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Z:\workspace\EquipTestingSpreadsheets\"/>
    </mc:Choice>
  </mc:AlternateContent>
  <xr:revisionPtr revIDLastSave="0" documentId="13_ncr:1_{F452696F-7002-4556-BD8E-AA55C0786D9F}" xr6:coauthVersionLast="47" xr6:coauthVersionMax="47" xr10:uidLastSave="{00000000-0000-0000-0000-000000000000}"/>
  <bookViews>
    <workbookView xWindow="-108" yWindow="-108" windowWidth="23256" windowHeight="13176" tabRatio="500" xr2:uid="{00000000-000D-0000-FFFF-FFFF00000000}"/>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G87" i="3" l="1" a="1"/>
  <c r="G87" i="3" s="1"/>
  <c r="G86" i="3" a="1"/>
  <c r="G86" i="3" s="1"/>
  <c r="G85" i="3"/>
  <c r="G85" i="3" a="1"/>
  <c r="G84" i="3" a="1"/>
  <c r="G84" i="3" s="1"/>
  <c r="G83" i="3" a="1"/>
  <c r="G83" i="3" s="1"/>
  <c r="G82" i="3" a="1"/>
  <c r="G82" i="3" s="1"/>
  <c r="G81" i="3" a="1"/>
  <c r="G81" i="3" s="1"/>
  <c r="G80" i="3" a="1"/>
  <c r="G80" i="3" s="1"/>
  <c r="G79" i="3" a="1"/>
  <c r="G79" i="3" s="1"/>
  <c r="G78" i="3" a="1"/>
  <c r="G78" i="3" s="1"/>
  <c r="T304" i="1" l="1"/>
  <c r="T271" i="1"/>
  <c r="T270" i="1"/>
  <c r="T269" i="1"/>
  <c r="T268" i="1"/>
  <c r="S271" i="1"/>
  <c r="S270" i="1"/>
  <c r="S269" i="1"/>
  <c r="S268" i="1"/>
  <c r="X261" i="1"/>
  <c r="X260" i="1"/>
  <c r="X259" i="1"/>
  <c r="X258" i="1"/>
  <c r="W261" i="1"/>
  <c r="W260" i="1"/>
  <c r="W259" i="1"/>
  <c r="W258" i="1"/>
  <c r="R261" i="1"/>
  <c r="R260" i="1"/>
  <c r="R259" i="1"/>
  <c r="R258" i="1"/>
  <c r="Q261" i="1"/>
  <c r="Q260" i="1"/>
  <c r="Q259" i="1"/>
  <c r="Q258" i="1"/>
  <c r="P261" i="1"/>
  <c r="P260" i="1"/>
  <c r="P259" i="1"/>
  <c r="P258" i="1"/>
  <c r="O261" i="1"/>
  <c r="O260" i="1"/>
  <c r="O259" i="1"/>
  <c r="O258" i="1"/>
  <c r="P173" i="1"/>
  <c r="O173" i="1"/>
  <c r="K141" i="1"/>
  <c r="O276" i="1"/>
  <c r="E204" i="1" s="1"/>
  <c r="F204" i="1"/>
  <c r="P276" i="1"/>
  <c r="S261" i="1"/>
  <c r="S260" i="1"/>
  <c r="S259" i="1"/>
  <c r="S267" i="1"/>
  <c r="AD155" i="1"/>
  <c r="AD154" i="1"/>
  <c r="AD153" i="1"/>
  <c r="AD152" i="1"/>
  <c r="AD150" i="1"/>
  <c r="AD149" i="1"/>
  <c r="AD148" i="1"/>
  <c r="AD147" i="1"/>
  <c r="H389" i="1"/>
  <c r="G389" i="1"/>
  <c r="H388" i="1"/>
  <c r="G388" i="1"/>
  <c r="I325" i="1"/>
  <c r="J325" i="1"/>
  <c r="J324" i="1"/>
  <c r="I324" i="1"/>
  <c r="T237" i="1"/>
  <c r="T243" i="1"/>
  <c r="T242" i="1"/>
  <c r="T241" i="1"/>
  <c r="T240" i="1"/>
  <c r="S243" i="1"/>
  <c r="S242" i="1"/>
  <c r="S241" i="1"/>
  <c r="S240" i="1"/>
  <c r="T204" i="1"/>
  <c r="T203" i="1"/>
  <c r="T202" i="1"/>
  <c r="T201" i="1"/>
  <c r="T200" i="1"/>
  <c r="T199" i="1"/>
  <c r="T198" i="1"/>
  <c r="T197" i="1"/>
  <c r="T196" i="1"/>
  <c r="T195" i="1"/>
  <c r="T194" i="1"/>
  <c r="T193" i="1"/>
  <c r="T192" i="1"/>
  <c r="T191" i="1"/>
  <c r="T190" i="1"/>
  <c r="X307" i="1"/>
  <c r="X306" i="1"/>
  <c r="W307" i="1"/>
  <c r="W306" i="1"/>
  <c r="W304" i="1"/>
  <c r="X304" i="1"/>
  <c r="Q296" i="1"/>
  <c r="T308" i="1"/>
  <c r="S308" i="1"/>
  <c r="R308" i="1"/>
  <c r="Q308" i="1"/>
  <c r="T307" i="1"/>
  <c r="S307" i="1"/>
  <c r="R307" i="1"/>
  <c r="Q307" i="1"/>
  <c r="T306" i="1"/>
  <c r="S306" i="1"/>
  <c r="R306" i="1"/>
  <c r="Q306" i="1"/>
  <c r="T305" i="1"/>
  <c r="S305" i="1"/>
  <c r="R305" i="1"/>
  <c r="Q305" i="1"/>
  <c r="P308" i="1"/>
  <c r="P307" i="1"/>
  <c r="P306" i="1"/>
  <c r="P305" i="1"/>
  <c r="P304" i="1"/>
  <c r="O296" i="1"/>
  <c r="O304" i="1" s="1"/>
  <c r="V304" i="1" s="1"/>
  <c r="U298" i="1"/>
  <c r="T298" i="1"/>
  <c r="S298" i="1"/>
  <c r="R298" i="1"/>
  <c r="Q298" i="1"/>
  <c r="P298" i="1"/>
  <c r="U297" i="1"/>
  <c r="T297" i="1"/>
  <c r="S297" i="1"/>
  <c r="R297" i="1"/>
  <c r="Q297" i="1"/>
  <c r="P297" i="1"/>
  <c r="U296" i="1"/>
  <c r="T296" i="1"/>
  <c r="S304" i="1" s="1"/>
  <c r="S296" i="1"/>
  <c r="X305" i="1" s="1"/>
  <c r="R296" i="1"/>
  <c r="Q304" i="1" s="1"/>
  <c r="P296" i="1"/>
  <c r="W305" i="1" s="1"/>
  <c r="U295" i="1"/>
  <c r="T295" i="1"/>
  <c r="S295" i="1"/>
  <c r="R295" i="1"/>
  <c r="Q295" i="1"/>
  <c r="P295" i="1"/>
  <c r="O298" i="1"/>
  <c r="O297" i="1"/>
  <c r="O295"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R304" i="1" l="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308" i="1" l="1"/>
  <c r="X309" i="1" s="1"/>
  <c r="E242" i="1" l="1"/>
  <c r="E243" i="1"/>
  <c r="P104" i="3" l="1"/>
  <c r="K104" i="3"/>
  <c r="F104" i="3"/>
  <c r="O254" i="1" l="1"/>
  <c r="M126" i="1" l="1"/>
  <c r="O48" i="1"/>
  <c r="L126" i="1" s="1"/>
  <c r="G227" i="1" l="1"/>
  <c r="G226" i="1"/>
  <c r="G225" i="1"/>
  <c r="K224" i="1"/>
  <c r="G224" i="1"/>
  <c r="K228" i="1"/>
  <c r="K227" i="1"/>
  <c r="K226" i="1"/>
  <c r="K225" i="1"/>
  <c r="K232" i="1"/>
  <c r="R309" i="1" l="1"/>
  <c r="R310" i="1"/>
  <c r="K230" i="1" s="1"/>
  <c r="V298" i="1"/>
  <c r="V297" i="1"/>
  <c r="V296" i="1"/>
  <c r="V295" i="1"/>
  <c r="K229" i="1" l="1"/>
  <c r="E239" i="1"/>
  <c r="R311" i="1"/>
  <c r="K231" i="1" s="1"/>
  <c r="L35" i="2" l="1"/>
  <c r="J35" i="2"/>
  <c r="H35" i="2"/>
  <c r="L3" i="2"/>
  <c r="J3" i="2"/>
  <c r="H3" i="2"/>
  <c r="L333" i="1"/>
  <c r="J333" i="1"/>
  <c r="H333" i="1"/>
  <c r="V99" i="1"/>
  <c r="V102" i="1"/>
  <c r="W291" i="1" s="1"/>
  <c r="L220" i="1" s="1"/>
  <c r="V101" i="1"/>
  <c r="T291" i="1" s="1"/>
  <c r="I220" i="1" s="1"/>
  <c r="V100" i="1"/>
  <c r="Q291" i="1" s="1"/>
  <c r="K267" i="1" l="1"/>
  <c r="K333" i="1" s="1"/>
  <c r="U266" i="1"/>
  <c r="G202" i="1" s="1"/>
  <c r="AD80" i="1"/>
  <c r="R266" i="1"/>
  <c r="D202" i="1" s="1"/>
  <c r="AD82" i="1"/>
  <c r="AC82" i="1" s="1"/>
  <c r="X266" i="1"/>
  <c r="J202" i="1" s="1"/>
  <c r="K35" i="2"/>
  <c r="AD81" i="1"/>
  <c r="AC81" i="1" s="1"/>
  <c r="AC80" i="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U184" i="1" a="1"/>
  <c r="U184" i="1" s="1"/>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50" i="1"/>
  <c r="S449" i="1"/>
  <c r="R448" i="1"/>
  <c r="C448" i="1"/>
  <c r="S447" i="1"/>
  <c r="E447" i="1"/>
  <c r="R446" i="1"/>
  <c r="E446" i="1"/>
  <c r="D446" i="1"/>
  <c r="S445" i="1"/>
  <c r="D445" i="1"/>
  <c r="R444" i="1"/>
  <c r="D444" i="1"/>
  <c r="S443" i="1"/>
  <c r="I443" i="1"/>
  <c r="D443" i="1"/>
  <c r="R442" i="1"/>
  <c r="D442" i="1"/>
  <c r="S441" i="1"/>
  <c r="G441" i="1"/>
  <c r="F441" i="1"/>
  <c r="E441" i="1"/>
  <c r="R440" i="1"/>
  <c r="S439" i="1"/>
  <c r="R438" i="1"/>
  <c r="S437" i="1"/>
  <c r="E437" i="1"/>
  <c r="D437" i="1"/>
  <c r="R436" i="1"/>
  <c r="D436" i="1"/>
  <c r="S435" i="1"/>
  <c r="D435" i="1"/>
  <c r="R434" i="1"/>
  <c r="I434" i="1"/>
  <c r="H434" i="1"/>
  <c r="G434" i="1"/>
  <c r="F434" i="1"/>
  <c r="E434" i="1"/>
  <c r="D434" i="1"/>
  <c r="S433" i="1"/>
  <c r="I433" i="1"/>
  <c r="H433" i="1"/>
  <c r="G433" i="1"/>
  <c r="F433" i="1"/>
  <c r="E433" i="1"/>
  <c r="D433" i="1"/>
  <c r="R432" i="1"/>
  <c r="S431" i="1"/>
  <c r="R430" i="1"/>
  <c r="S429" i="1"/>
  <c r="R428" i="1"/>
  <c r="S427" i="1"/>
  <c r="C427" i="1"/>
  <c r="R426" i="1"/>
  <c r="H426" i="1"/>
  <c r="N87" i="5" s="1"/>
  <c r="G426" i="1"/>
  <c r="N86" i="5" s="1"/>
  <c r="S425" i="1"/>
  <c r="H425" i="1"/>
  <c r="M87" i="5" s="1"/>
  <c r="G425" i="1"/>
  <c r="M86" i="5" s="1"/>
  <c r="R424" i="1"/>
  <c r="H424" i="1"/>
  <c r="L87" i="5" s="1"/>
  <c r="G424" i="1"/>
  <c r="L86" i="5" s="1"/>
  <c r="S423" i="1"/>
  <c r="H423" i="1"/>
  <c r="K87" i="5" s="1"/>
  <c r="G423" i="1"/>
  <c r="K86" i="5" s="1"/>
  <c r="R422" i="1"/>
  <c r="H422" i="1"/>
  <c r="J87" i="5" s="1"/>
  <c r="G422" i="1"/>
  <c r="J86" i="5" s="1"/>
  <c r="S421" i="1"/>
  <c r="H421" i="1"/>
  <c r="I87" i="5" s="1"/>
  <c r="G421" i="1"/>
  <c r="I86" i="5" s="1"/>
  <c r="R420" i="1"/>
  <c r="H420" i="1"/>
  <c r="H87" i="5" s="1"/>
  <c r="G420" i="1"/>
  <c r="H86" i="5" s="1"/>
  <c r="S419" i="1"/>
  <c r="H419" i="1"/>
  <c r="G87" i="5" s="1"/>
  <c r="G419" i="1"/>
  <c r="G86" i="5" s="1"/>
  <c r="R418" i="1"/>
  <c r="H418" i="1"/>
  <c r="F87" i="5" s="1"/>
  <c r="G418" i="1"/>
  <c r="F86" i="5" s="1"/>
  <c r="S417" i="1"/>
  <c r="H417" i="1"/>
  <c r="E87" i="5" s="1"/>
  <c r="G417" i="1"/>
  <c r="E86" i="5" s="1"/>
  <c r="R416" i="1"/>
  <c r="H416" i="1"/>
  <c r="D87" i="5" s="1"/>
  <c r="G416" i="1"/>
  <c r="D86" i="5" s="1"/>
  <c r="S415" i="1"/>
  <c r="H415" i="1"/>
  <c r="C87" i="5" s="1"/>
  <c r="G415" i="1"/>
  <c r="C86" i="5" s="1"/>
  <c r="R414" i="1"/>
  <c r="S413" i="1"/>
  <c r="R408" i="1"/>
  <c r="C408" i="1"/>
  <c r="S407" i="1"/>
  <c r="R406" i="1"/>
  <c r="S405" i="1"/>
  <c r="J405" i="1"/>
  <c r="C81" i="5" s="1"/>
  <c r="H405" i="1"/>
  <c r="C97" i="5" s="1"/>
  <c r="G405" i="1"/>
  <c r="F405" i="1"/>
  <c r="E405" i="1"/>
  <c r="R404" i="1"/>
  <c r="J404" i="1"/>
  <c r="C80" i="5" s="1"/>
  <c r="H404" i="1"/>
  <c r="C96" i="5" s="1"/>
  <c r="G404" i="1"/>
  <c r="F404" i="1"/>
  <c r="E404" i="1"/>
  <c r="S403" i="1"/>
  <c r="J403" i="1"/>
  <c r="C79" i="5" s="1"/>
  <c r="H403" i="1"/>
  <c r="C95" i="5" s="1"/>
  <c r="G403" i="1"/>
  <c r="F403" i="1"/>
  <c r="E403" i="1"/>
  <c r="R402" i="1"/>
  <c r="J402" i="1"/>
  <c r="C78" i="5" s="1"/>
  <c r="H402" i="1"/>
  <c r="C94" i="5" s="1"/>
  <c r="G402" i="1"/>
  <c r="F402" i="1"/>
  <c r="E402" i="1"/>
  <c r="S401" i="1"/>
  <c r="J401" i="1"/>
  <c r="C77" i="5" s="1"/>
  <c r="H401" i="1"/>
  <c r="C93" i="5" s="1"/>
  <c r="G401" i="1"/>
  <c r="F401" i="1"/>
  <c r="E401" i="1"/>
  <c r="R400" i="1"/>
  <c r="J400" i="1"/>
  <c r="G400" i="1"/>
  <c r="F400" i="1"/>
  <c r="E400" i="1"/>
  <c r="D400" i="1"/>
  <c r="S399" i="1"/>
  <c r="R398" i="1"/>
  <c r="M398" i="1"/>
  <c r="H398" i="1"/>
  <c r="S397" i="1"/>
  <c r="M397" i="1"/>
  <c r="R396" i="1"/>
  <c r="S395" i="1"/>
  <c r="D395" i="1"/>
  <c r="R394" i="1"/>
  <c r="S393" i="1"/>
  <c r="R392" i="1"/>
  <c r="S391" i="1"/>
  <c r="R390" i="1"/>
  <c r="S389" i="1"/>
  <c r="D389" i="1"/>
  <c r="R388" i="1"/>
  <c r="D388" i="1"/>
  <c r="S387" i="1"/>
  <c r="H387" i="1"/>
  <c r="G387" i="1"/>
  <c r="F387" i="1"/>
  <c r="E387" i="1"/>
  <c r="R386" i="1"/>
  <c r="H386" i="1"/>
  <c r="G386" i="1"/>
  <c r="S385" i="1"/>
  <c r="C385" i="1"/>
  <c r="R384" i="1"/>
  <c r="S383" i="1"/>
  <c r="R382" i="1"/>
  <c r="S381" i="1"/>
  <c r="C381" i="1"/>
  <c r="R380" i="1"/>
  <c r="H380" i="1"/>
  <c r="G380" i="1"/>
  <c r="F380" i="1"/>
  <c r="E380" i="1"/>
  <c r="S379" i="1"/>
  <c r="H379" i="1"/>
  <c r="G379" i="1"/>
  <c r="F379" i="1"/>
  <c r="E379" i="1"/>
  <c r="R378" i="1"/>
  <c r="H378" i="1"/>
  <c r="G378" i="1"/>
  <c r="F378" i="1"/>
  <c r="E378" i="1"/>
  <c r="S377" i="1"/>
  <c r="H377" i="1"/>
  <c r="G377" i="1"/>
  <c r="F377" i="1"/>
  <c r="E377" i="1"/>
  <c r="R376" i="1"/>
  <c r="H376" i="1"/>
  <c r="G376" i="1"/>
  <c r="F376" i="1"/>
  <c r="E376" i="1"/>
  <c r="S375" i="1"/>
  <c r="H375" i="1"/>
  <c r="G375" i="1"/>
  <c r="F375" i="1"/>
  <c r="E375" i="1"/>
  <c r="R374" i="1"/>
  <c r="H374" i="1"/>
  <c r="G374" i="1"/>
  <c r="F374" i="1"/>
  <c r="E374" i="1"/>
  <c r="S373" i="1"/>
  <c r="H373" i="1"/>
  <c r="G373" i="1"/>
  <c r="F373" i="1"/>
  <c r="E373" i="1"/>
  <c r="R372" i="1"/>
  <c r="H372" i="1"/>
  <c r="G372" i="1"/>
  <c r="F372" i="1"/>
  <c r="E372" i="1"/>
  <c r="S371"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64" i="1"/>
  <c r="D449" i="1" s="1"/>
  <c r="D364" i="1"/>
  <c r="C364" i="1"/>
  <c r="S361" i="1"/>
  <c r="S360" i="1"/>
  <c r="S359" i="1"/>
  <c r="S358" i="1"/>
  <c r="O355" i="1"/>
  <c r="V360" i="1" s="1"/>
  <c r="V362" i="1" s="1"/>
  <c r="P359" i="1" s="1"/>
  <c r="C354" i="1"/>
  <c r="D56" i="2" s="1"/>
  <c r="D352" i="1"/>
  <c r="D54" i="2" s="1"/>
  <c r="U351" i="1"/>
  <c r="I435" i="1" s="1"/>
  <c r="T351" i="1"/>
  <c r="H435" i="1" s="1"/>
  <c r="S351" i="1"/>
  <c r="G435" i="1" s="1"/>
  <c r="R351" i="1"/>
  <c r="F435" i="1" s="1"/>
  <c r="Q351" i="1"/>
  <c r="E435" i="1" s="1"/>
  <c r="D351" i="1"/>
  <c r="D53" i="2" s="1"/>
  <c r="D350" i="1"/>
  <c r="D52" i="2" s="1"/>
  <c r="D349" i="1"/>
  <c r="D51" i="2" s="1"/>
  <c r="W348" i="1"/>
  <c r="T352" i="1" s="1"/>
  <c r="H436" i="1" s="1"/>
  <c r="D348" i="1"/>
  <c r="D50" i="2" s="1"/>
  <c r="D347" i="1"/>
  <c r="D49" i="2" s="1"/>
  <c r="D346" i="1"/>
  <c r="D48" i="2" s="1"/>
  <c r="D345" i="1"/>
  <c r="D47" i="2" s="1"/>
  <c r="Q344"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25" i="1"/>
  <c r="R326" i="1" s="1"/>
  <c r="D325" i="1"/>
  <c r="D324" i="1"/>
  <c r="C324" i="1"/>
  <c r="J323" i="1"/>
  <c r="I323" i="1"/>
  <c r="H323" i="1"/>
  <c r="D323" i="1"/>
  <c r="L322" i="1"/>
  <c r="J322" i="1"/>
  <c r="I322" i="1"/>
  <c r="H322" i="1"/>
  <c r="G322" i="1"/>
  <c r="F322" i="1"/>
  <c r="E322" i="1"/>
  <c r="V318"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310"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99"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V285" i="1"/>
  <c r="U285" i="1"/>
  <c r="P285" i="1"/>
  <c r="D285" i="1"/>
  <c r="D21" i="2" s="1"/>
  <c r="V284" i="1"/>
  <c r="L212" i="1" s="1"/>
  <c r="U284" i="1"/>
  <c r="P284" i="1"/>
  <c r="D284" i="1"/>
  <c r="D20" i="2" s="1"/>
  <c r="AD286" i="1"/>
  <c r="AC286" i="1" s="1"/>
  <c r="V283" i="1"/>
  <c r="U283" i="1"/>
  <c r="K211" i="1" s="1"/>
  <c r="P283" i="1"/>
  <c r="F211" i="1" s="1"/>
  <c r="D283" i="1"/>
  <c r="D19" i="2" s="1"/>
  <c r="V282" i="1"/>
  <c r="U282" i="1"/>
  <c r="K210" i="1" s="1"/>
  <c r="P282" i="1"/>
  <c r="F210" i="1" s="1"/>
  <c r="D282" i="1"/>
  <c r="D18" i="2" s="1"/>
  <c r="AD284" i="1"/>
  <c r="AC284" i="1" s="1"/>
  <c r="V281" i="1"/>
  <c r="U281" i="1"/>
  <c r="K209" i="1" s="1"/>
  <c r="P281" i="1"/>
  <c r="D281" i="1"/>
  <c r="D17" i="2" s="1"/>
  <c r="V280" i="1"/>
  <c r="U280" i="1"/>
  <c r="K208" i="1" s="1"/>
  <c r="P280" i="1"/>
  <c r="D280" i="1"/>
  <c r="D16" i="2" s="1"/>
  <c r="AD282" i="1"/>
  <c r="AC282" i="1" s="1"/>
  <c r="V279" i="1"/>
  <c r="L207" i="1" s="1"/>
  <c r="U279" i="1"/>
  <c r="K207" i="1" s="1"/>
  <c r="P279" i="1"/>
  <c r="F207" i="1" s="1"/>
  <c r="D279" i="1"/>
  <c r="D15" i="2" s="1"/>
  <c r="V278" i="1"/>
  <c r="U278" i="1"/>
  <c r="K206" i="1" s="1"/>
  <c r="P278" i="1"/>
  <c r="F206" i="1" s="1"/>
  <c r="D278" i="1"/>
  <c r="D14" i="2" s="1"/>
  <c r="AD280" i="1"/>
  <c r="AC280" i="1" s="1"/>
  <c r="V277" i="1"/>
  <c r="U277" i="1"/>
  <c r="D277" i="1"/>
  <c r="D13" i="2" s="1"/>
  <c r="AD279" i="1"/>
  <c r="AC279" i="1" s="1"/>
  <c r="S276" i="1"/>
  <c r="R276" i="1"/>
  <c r="D276" i="1"/>
  <c r="D12" i="2" s="1"/>
  <c r="P275" i="1"/>
  <c r="O275" i="1"/>
  <c r="D275" i="1"/>
  <c r="D11" i="2" s="1"/>
  <c r="AD277" i="1"/>
  <c r="AC277" i="1" s="1"/>
  <c r="P274" i="1"/>
  <c r="O274" i="1"/>
  <c r="D274" i="1"/>
  <c r="D10" i="2" s="1"/>
  <c r="P273" i="1"/>
  <c r="O273" i="1"/>
  <c r="D273" i="1"/>
  <c r="D9" i="2" s="1"/>
  <c r="AD275" i="1"/>
  <c r="AC275" i="1"/>
  <c r="P272" i="1"/>
  <c r="O272" i="1"/>
  <c r="D272" i="1"/>
  <c r="D8" i="2" s="1"/>
  <c r="P271" i="1"/>
  <c r="O271" i="1"/>
  <c r="D271" i="1"/>
  <c r="D7" i="2" s="1"/>
  <c r="AD273" i="1"/>
  <c r="AC273" i="1" s="1"/>
  <c r="P270" i="1"/>
  <c r="O270" i="1"/>
  <c r="M270" i="1"/>
  <c r="L270" i="1"/>
  <c r="L6" i="2" s="1"/>
  <c r="K270" i="1"/>
  <c r="K6" i="2" s="1"/>
  <c r="J270" i="1"/>
  <c r="I270" i="1"/>
  <c r="I6" i="2" s="1"/>
  <c r="H270" i="1"/>
  <c r="H6" i="2" s="1"/>
  <c r="G270" i="1"/>
  <c r="F270" i="1"/>
  <c r="F6" i="2" s="1"/>
  <c r="E270" i="1"/>
  <c r="E6" i="2" s="1"/>
  <c r="D270" i="1"/>
  <c r="D6" i="2" s="1"/>
  <c r="P269" i="1"/>
  <c r="O269" i="1"/>
  <c r="D269" i="1"/>
  <c r="D5" i="2" s="1"/>
  <c r="C269" i="1"/>
  <c r="C5" i="2" s="1"/>
  <c r="AD271" i="1"/>
  <c r="AC271" i="1" s="1"/>
  <c r="P268" i="1"/>
  <c r="O268" i="1"/>
  <c r="C268" i="1"/>
  <c r="C4" i="2" s="1"/>
  <c r="AD269" i="1"/>
  <c r="AC269" i="1" s="1"/>
  <c r="M266" i="1"/>
  <c r="H266" i="1"/>
  <c r="V265" i="1"/>
  <c r="R285" i="1" s="1"/>
  <c r="S265" i="1"/>
  <c r="O285" i="1" s="1"/>
  <c r="M265" i="1"/>
  <c r="AD267" i="1"/>
  <c r="AC267" i="1" s="1"/>
  <c r="V264" i="1"/>
  <c r="R284" i="1" s="1"/>
  <c r="S264" i="1"/>
  <c r="O284" i="1" s="1"/>
  <c r="V263" i="1"/>
  <c r="R283" i="1" s="1"/>
  <c r="S263" i="1"/>
  <c r="O283" i="1" s="1"/>
  <c r="D263" i="1"/>
  <c r="AD265" i="1"/>
  <c r="AC265" i="1" s="1"/>
  <c r="V262" i="1"/>
  <c r="R282" i="1" s="1"/>
  <c r="S262" i="1"/>
  <c r="O282" i="1" s="1"/>
  <c r="V261" i="1"/>
  <c r="R281" i="1" s="1"/>
  <c r="O281" i="1"/>
  <c r="AD263" i="1"/>
  <c r="AC263" i="1" s="1"/>
  <c r="V260" i="1"/>
  <c r="R280" i="1" s="1"/>
  <c r="O280" i="1"/>
  <c r="V259" i="1"/>
  <c r="R279" i="1" s="1"/>
  <c r="O279" i="1"/>
  <c r="AD261" i="1"/>
  <c r="AC261" i="1" s="1"/>
  <c r="V258" i="1"/>
  <c r="R278" i="1" s="1"/>
  <c r="S258" i="1"/>
  <c r="O278" i="1" s="1"/>
  <c r="AD259" i="1"/>
  <c r="AC259" i="1" s="1"/>
  <c r="AD257" i="1"/>
  <c r="AC257" i="1" s="1"/>
  <c r="S281" i="1"/>
  <c r="I209" i="1" s="1"/>
  <c r="AD255" i="1"/>
  <c r="AC255" i="1" s="1"/>
  <c r="AD253" i="1"/>
  <c r="AC253" i="1" s="1"/>
  <c r="AD251" i="1"/>
  <c r="AC251" i="1" s="1"/>
  <c r="Q247" i="1"/>
  <c r="D327" i="1" s="1"/>
  <c r="AD249" i="1"/>
  <c r="AC249" i="1" s="1"/>
  <c r="AD247" i="1"/>
  <c r="AC247" i="1" s="1"/>
  <c r="V243" i="1"/>
  <c r="U243" i="1"/>
  <c r="AD245" i="1"/>
  <c r="AC245" i="1"/>
  <c r="V242" i="1"/>
  <c r="U242" i="1"/>
  <c r="O242" i="1"/>
  <c r="C388" i="1" s="1"/>
  <c r="V241" i="1"/>
  <c r="U241" i="1"/>
  <c r="AD243" i="1"/>
  <c r="AC243" i="1" s="1"/>
  <c r="V240" i="1"/>
  <c r="U240" i="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c r="U222" i="1"/>
  <c r="I224" i="1"/>
  <c r="F224" i="1"/>
  <c r="E224" i="1"/>
  <c r="C224" i="1"/>
  <c r="AD224" i="1"/>
  <c r="AC224" i="1" s="1"/>
  <c r="U221" i="1"/>
  <c r="AD223" i="1"/>
  <c r="AC223" i="1" s="1"/>
  <c r="U220" i="1"/>
  <c r="AD222" i="1"/>
  <c r="AC222" i="1" s="1"/>
  <c r="U219" i="1"/>
  <c r="AD221" i="1"/>
  <c r="AC221" i="1" s="1"/>
  <c r="U218" i="1"/>
  <c r="E220" i="1"/>
  <c r="AD220" i="1"/>
  <c r="AC220" i="1"/>
  <c r="U217" i="1"/>
  <c r="AD219" i="1"/>
  <c r="AC219" i="1" s="1"/>
  <c r="U216" i="1"/>
  <c r="AD218" i="1"/>
  <c r="AC218" i="1" s="1"/>
  <c r="U215" i="1"/>
  <c r="AD217" i="1"/>
  <c r="AC217" i="1" s="1"/>
  <c r="U214" i="1"/>
  <c r="AD216" i="1"/>
  <c r="AC216" i="1" s="1"/>
  <c r="E215" i="1"/>
  <c r="D215" i="1"/>
  <c r="AD215" i="1"/>
  <c r="AC215" i="1" s="1"/>
  <c r="AD214" i="1"/>
  <c r="AC214" i="1" s="1"/>
  <c r="K213" i="1"/>
  <c r="F213" i="1"/>
  <c r="D213" i="1"/>
  <c r="C213" i="1"/>
  <c r="AD213" i="1"/>
  <c r="AC213" i="1" s="1"/>
  <c r="O210" i="1"/>
  <c r="C362" i="1" s="1"/>
  <c r="K212" i="1"/>
  <c r="F212" i="1"/>
  <c r="D212" i="1"/>
  <c r="C212" i="1"/>
  <c r="AD212" i="1"/>
  <c r="AC212" i="1" s="1"/>
  <c r="L211" i="1"/>
  <c r="D211" i="1"/>
  <c r="C211" i="1"/>
  <c r="AD211" i="1"/>
  <c r="AC211" i="1" s="1"/>
  <c r="L210" i="1"/>
  <c r="D210" i="1"/>
  <c r="C210" i="1"/>
  <c r="AD210" i="1"/>
  <c r="AC210" i="1" s="1"/>
  <c r="F209" i="1"/>
  <c r="D209" i="1"/>
  <c r="C209" i="1"/>
  <c r="AD209" i="1"/>
  <c r="AC209" i="1" s="1"/>
  <c r="Q206" i="1"/>
  <c r="E320" i="1" s="1"/>
  <c r="F208" i="1"/>
  <c r="D208" i="1"/>
  <c r="C208" i="1"/>
  <c r="AD208" i="1"/>
  <c r="AC208" i="1" s="1"/>
  <c r="D207" i="1"/>
  <c r="C207" i="1"/>
  <c r="AD207" i="1"/>
  <c r="AC207" i="1" s="1"/>
  <c r="U204" i="1"/>
  <c r="D206" i="1"/>
  <c r="C206" i="1"/>
  <c r="AD206" i="1"/>
  <c r="AC206" i="1" s="1"/>
  <c r="U203" i="1"/>
  <c r="L205" i="1"/>
  <c r="K205" i="1"/>
  <c r="AD205" i="1"/>
  <c r="AC205" i="1" s="1"/>
  <c r="U202" i="1"/>
  <c r="I204" i="1"/>
  <c r="H204"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c r="Q184" i="1"/>
  <c r="AD186" i="1"/>
  <c r="AC186" i="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1" i="1"/>
  <c r="AC161"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J41" i="5"/>
  <c r="AC153" i="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AC154" i="1" l="1"/>
  <c r="L206" i="1"/>
  <c r="W278" i="1"/>
  <c r="AC149" i="1"/>
  <c r="AC147" i="1"/>
  <c r="S324" i="1"/>
  <c r="F17" i="1"/>
  <c r="F18" i="1"/>
  <c r="K35" i="1"/>
  <c r="AD157" i="1"/>
  <c r="AC157" i="1" s="1"/>
  <c r="E8" i="3"/>
  <c r="U182" i="1" a="1"/>
  <c r="U182" i="1" s="1"/>
  <c r="L139" i="1" s="1"/>
  <c r="L109" i="1"/>
  <c r="M109" i="1"/>
  <c r="W280" i="1"/>
  <c r="M208" i="1" s="1"/>
  <c r="W281" i="1"/>
  <c r="M209" i="1" s="1"/>
  <c r="W284" i="1"/>
  <c r="M212" i="1" s="1"/>
  <c r="W285" i="1"/>
  <c r="M213" i="1" s="1"/>
  <c r="K19" i="1"/>
  <c r="S158" i="1"/>
  <c r="K36" i="1"/>
  <c r="AC155" i="1"/>
  <c r="V158" i="1"/>
  <c r="AD163" i="1"/>
  <c r="AC163" i="1" s="1"/>
  <c r="AC148" i="1"/>
  <c r="Y158" i="1"/>
  <c r="AD165" i="1"/>
  <c r="AC165" i="1" s="1"/>
  <c r="J224" i="1"/>
  <c r="V175" i="1"/>
  <c r="AD111" i="1"/>
  <c r="AC111" i="1" s="1"/>
  <c r="L208" i="1"/>
  <c r="AD112" i="1"/>
  <c r="AC112" i="1" s="1"/>
  <c r="AD84" i="1"/>
  <c r="AC84" i="1" s="1"/>
  <c r="F37" i="1"/>
  <c r="F11" i="1"/>
  <c r="K16" i="1"/>
  <c r="K28" i="1"/>
  <c r="AD164" i="1"/>
  <c r="AC164" i="1" s="1"/>
  <c r="AD169" i="1"/>
  <c r="AC169" i="1" s="1"/>
  <c r="K39" i="1"/>
  <c r="L425" i="1"/>
  <c r="M91" i="5" s="1"/>
  <c r="K27" i="1"/>
  <c r="F33" i="1"/>
  <c r="AD167" i="1"/>
  <c r="AC167" i="1" s="1"/>
  <c r="M416" i="1"/>
  <c r="D92" i="5" s="1"/>
  <c r="R345"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52" i="1"/>
  <c r="I436" i="1" s="1"/>
  <c r="F13" i="1"/>
  <c r="B2" i="5" s="1"/>
  <c r="F21" i="1"/>
  <c r="F40" i="1"/>
  <c r="AD110" i="1"/>
  <c r="AC110" i="1" s="1"/>
  <c r="AC150" i="1"/>
  <c r="AC152" i="1"/>
  <c r="AD166" i="1"/>
  <c r="AC166" i="1" s="1"/>
  <c r="AD168" i="1"/>
  <c r="AC168" i="1" s="1"/>
  <c r="L213" i="1"/>
  <c r="Q352" i="1"/>
  <c r="E436" i="1" s="1"/>
  <c r="R365" i="1"/>
  <c r="M426" i="1"/>
  <c r="N92" i="5" s="1"/>
  <c r="K12" i="1"/>
  <c r="K13" i="1"/>
  <c r="K17" i="1"/>
  <c r="F22" i="1"/>
  <c r="F29" i="1"/>
  <c r="F30" i="1"/>
  <c r="L209" i="1"/>
  <c r="W279" i="1"/>
  <c r="M207" i="1" s="1"/>
  <c r="S352" i="1"/>
  <c r="G436" i="1" s="1"/>
  <c r="P358" i="1"/>
  <c r="AD170" i="1" s="1"/>
  <c r="AC170" i="1" s="1"/>
  <c r="K402" i="1"/>
  <c r="I404" i="1"/>
  <c r="M418" i="1"/>
  <c r="F92" i="5" s="1"/>
  <c r="L419" i="1"/>
  <c r="G91" i="5" s="1"/>
  <c r="K24" i="1"/>
  <c r="AD159" i="1"/>
  <c r="AC159" i="1" s="1"/>
  <c r="W282" i="1"/>
  <c r="M210" i="1" s="1"/>
  <c r="W283" i="1"/>
  <c r="M211"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30" i="1"/>
  <c r="P202" i="1"/>
  <c r="D315" i="1" s="1"/>
  <c r="P192" i="1"/>
  <c r="D305" i="1" s="1"/>
  <c r="O148" i="1"/>
  <c r="C277" i="1"/>
  <c r="C13" i="2" s="1"/>
  <c r="P226" i="1"/>
  <c r="D378" i="1" s="1"/>
  <c r="P221" i="1"/>
  <c r="D373" i="1" s="1"/>
  <c r="P197" i="1"/>
  <c r="D310" i="1" s="1"/>
  <c r="S348" i="1"/>
  <c r="G432" i="1" s="1"/>
  <c r="O321"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H206" i="1"/>
  <c r="E208" i="1"/>
  <c r="Q280" i="1"/>
  <c r="G208" i="1" s="1"/>
  <c r="Q281" i="1"/>
  <c r="G209" i="1" s="1"/>
  <c r="E209" i="1"/>
  <c r="Q284" i="1"/>
  <c r="G212" i="1" s="1"/>
  <c r="E212"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48" i="1"/>
  <c r="E432" i="1" s="1"/>
  <c r="P190" i="1"/>
  <c r="D303" i="1" s="1"/>
  <c r="O142" i="1"/>
  <c r="C271" i="1"/>
  <c r="C7" i="2" s="1"/>
  <c r="P219" i="1"/>
  <c r="D371" i="1" s="1"/>
  <c r="Q330" i="1"/>
  <c r="O319"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48" i="1"/>
  <c r="F432" i="1" s="1"/>
  <c r="O320" i="1"/>
  <c r="D402" i="1" s="1"/>
  <c r="P191" i="1"/>
  <c r="D304" i="1" s="1"/>
  <c r="R330"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48" i="1"/>
  <c r="H432" i="1" s="1"/>
  <c r="P222" i="1"/>
  <c r="D374" i="1" s="1"/>
  <c r="P193" i="1"/>
  <c r="D306" i="1" s="1"/>
  <c r="O151" i="1"/>
  <c r="C280" i="1"/>
  <c r="C16" i="2" s="1"/>
  <c r="P227" i="1"/>
  <c r="D379" i="1" s="1"/>
  <c r="P203" i="1"/>
  <c r="D316" i="1" s="1"/>
  <c r="T330" i="1"/>
  <c r="O322"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H208" i="1"/>
  <c r="T281" i="1"/>
  <c r="J209" i="1" s="1"/>
  <c r="H209" i="1"/>
  <c r="H212" i="1"/>
  <c r="E213" i="1"/>
  <c r="Q285" i="1"/>
  <c r="G213"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48" i="1"/>
  <c r="I432" i="1" s="1"/>
  <c r="U330" i="1"/>
  <c r="O323"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E207" i="1"/>
  <c r="Q279" i="1"/>
  <c r="G207" i="1" s="1"/>
  <c r="E210" i="1"/>
  <c r="Q282" i="1"/>
  <c r="G210" i="1" s="1"/>
  <c r="Q283" i="1"/>
  <c r="G211" i="1" s="1"/>
  <c r="E211" i="1"/>
  <c r="H213"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E206" i="1"/>
  <c r="Q278" i="1"/>
  <c r="H207" i="1"/>
  <c r="H210" i="1"/>
  <c r="H211" i="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S280" i="1"/>
  <c r="I208" i="1" s="1"/>
  <c r="S282" i="1"/>
  <c r="I210" i="1" s="1"/>
  <c r="S283" i="1"/>
  <c r="I211" i="1" s="1"/>
  <c r="S285" i="1"/>
  <c r="I213" i="1" s="1"/>
  <c r="D319" i="1"/>
  <c r="C392" i="1"/>
  <c r="E328" i="1"/>
  <c r="I337" i="1"/>
  <c r="I39" i="2" s="1"/>
  <c r="I338" i="1"/>
  <c r="I40" i="2" s="1"/>
  <c r="I339" i="1"/>
  <c r="I41" i="2" s="1"/>
  <c r="I343" i="1"/>
  <c r="I45" i="2" s="1"/>
  <c r="E344" i="1"/>
  <c r="E46" i="2" s="1"/>
  <c r="M344" i="1"/>
  <c r="M46" i="2" s="1"/>
  <c r="H345" i="1"/>
  <c r="H47" i="2" s="1"/>
  <c r="L346" i="1"/>
  <c r="L48" i="2" s="1"/>
  <c r="K349" i="1"/>
  <c r="K51" i="2" s="1"/>
  <c r="R248" i="1"/>
  <c r="S284" i="1"/>
  <c r="I212" i="1" s="1"/>
  <c r="D326" i="1"/>
  <c r="E337" i="1"/>
  <c r="E39" i="2" s="1"/>
  <c r="E338" i="1"/>
  <c r="E40" i="2" s="1"/>
  <c r="E339" i="1"/>
  <c r="E41" i="2" s="1"/>
  <c r="J341" i="1"/>
  <c r="J43" i="2" s="1"/>
  <c r="H342" i="1"/>
  <c r="H44" i="2" s="1"/>
  <c r="L347" i="1"/>
  <c r="L49" i="2" s="1"/>
  <c r="J348" i="1"/>
  <c r="J50" i="2" s="1"/>
  <c r="I350" i="1"/>
  <c r="I52" i="2" s="1"/>
  <c r="M351" i="1"/>
  <c r="M53" i="2" s="1"/>
  <c r="P361" i="1"/>
  <c r="P360" i="1"/>
  <c r="D383" i="1"/>
  <c r="D381" i="1"/>
  <c r="D382" i="1"/>
  <c r="Q242" i="1"/>
  <c r="S279" i="1"/>
  <c r="I207" i="1" s="1"/>
  <c r="P309"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S278" i="1"/>
  <c r="I206" i="1" s="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52"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W286" i="1" l="1"/>
  <c r="M214" i="1" s="1"/>
  <c r="H104" i="3"/>
  <c r="G104" i="3"/>
  <c r="I104" i="3"/>
  <c r="J104" i="3"/>
  <c r="K425" i="1"/>
  <c r="M90" i="5" s="1"/>
  <c r="D104" i="3"/>
  <c r="E104" i="3"/>
  <c r="C104" i="3"/>
  <c r="B104" i="3"/>
  <c r="L104" i="3"/>
  <c r="O104" i="3"/>
  <c r="N104" i="3"/>
  <c r="M104" i="3"/>
  <c r="M206" i="1"/>
  <c r="Q358" i="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24" i="1"/>
  <c r="O65" i="1" s="1"/>
  <c r="L98" i="1" s="1"/>
  <c r="J63" i="3"/>
  <c r="P68" i="3"/>
  <c r="J67" i="3"/>
  <c r="P72" i="3"/>
  <c r="D62" i="3"/>
  <c r="N69" i="3"/>
  <c r="N65" i="3"/>
  <c r="L61" i="3"/>
  <c r="J62" i="3"/>
  <c r="H63" i="3"/>
  <c r="F64" i="3"/>
  <c r="D65" i="3"/>
  <c r="R66" i="3"/>
  <c r="P67" i="3"/>
  <c r="N68" i="3"/>
  <c r="L69" i="3"/>
  <c r="J70" i="3"/>
  <c r="H71" i="3"/>
  <c r="F72" i="3"/>
  <c r="F442" i="1"/>
  <c r="E388" i="1"/>
  <c r="Q243" i="1"/>
  <c r="E389" i="1" s="1"/>
  <c r="Q360"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T283" i="1"/>
  <c r="J211" i="1" s="1"/>
  <c r="E99" i="3"/>
  <c r="E98" i="3"/>
  <c r="E100" i="3"/>
  <c r="M99" i="3"/>
  <c r="M98" i="3"/>
  <c r="M100" i="3"/>
  <c r="T285" i="1"/>
  <c r="J213" i="1" s="1"/>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311" i="1"/>
  <c r="J229" i="1"/>
  <c r="T279" i="1"/>
  <c r="J207" i="1" s="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T280" i="1"/>
  <c r="J208" i="1" s="1"/>
  <c r="D107" i="3"/>
  <c r="D108" i="3"/>
  <c r="D106" i="3"/>
  <c r="A30" i="4"/>
  <c r="C340" i="1"/>
  <c r="C42" i="2" s="1"/>
  <c r="J414" i="1"/>
  <c r="E414" i="1"/>
  <c r="C99" i="3"/>
  <c r="C98" i="3"/>
  <c r="C100" i="3"/>
  <c r="A27" i="4"/>
  <c r="C337" i="1"/>
  <c r="C39" i="2" s="1"/>
  <c r="B62" i="5"/>
  <c r="B88" i="5"/>
  <c r="B72" i="5"/>
  <c r="B52" i="5"/>
  <c r="B83" i="5"/>
  <c r="B67" i="5"/>
  <c r="B47" i="5"/>
  <c r="B93" i="5"/>
  <c r="B57" i="5"/>
  <c r="B77" i="5"/>
  <c r="T278" i="1"/>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T282" i="1"/>
  <c r="J210" i="1" s="1"/>
  <c r="Q286" i="1"/>
  <c r="G206" i="1"/>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T284" i="1"/>
  <c r="J212" i="1" s="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L108" i="1" l="1"/>
  <c r="M108"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G214" i="1"/>
  <c r="M106" i="1"/>
  <c r="L106" i="1"/>
  <c r="L97" i="1"/>
  <c r="M97" i="1"/>
  <c r="L96" i="1"/>
  <c r="M96" i="1"/>
  <c r="L95" i="1"/>
  <c r="M95" i="1"/>
  <c r="J231" i="1"/>
  <c r="P312" i="1"/>
  <c r="R358" i="1"/>
  <c r="G442" i="1" s="1"/>
  <c r="L323" i="1"/>
  <c r="O66" i="1"/>
  <c r="T286" i="1"/>
  <c r="J206" i="1"/>
  <c r="I79" i="3" l="1"/>
  <c r="J79" i="3" s="1"/>
  <c r="U180" i="1"/>
  <c r="I78" i="3"/>
  <c r="H139" i="1"/>
  <c r="L105" i="1"/>
  <c r="M105" i="1"/>
  <c r="J214" i="1"/>
  <c r="M107" i="1"/>
  <c r="L107" i="1"/>
  <c r="J232" i="1"/>
  <c r="L110" i="1"/>
  <c r="M110" i="1"/>
  <c r="T361"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<sst xmlns="http://schemas.openxmlformats.org/spreadsheetml/2006/main" count="1836" uniqueCount="518">
  <si>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</si>
  <si>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</si>
  <si>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</si>
  <si>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</si>
  <si>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</si>
  <si>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</si>
  <si>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</si>
  <si>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</si>
  <si>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</si>
  <si>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</si>
  <si>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</si>
  <si>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</si>
  <si>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</si>
  <si>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</si>
  <si>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</si>
  <si>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</si>
  <si>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</si>
  <si>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</si>
  <si>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</si>
  <si>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</si>
  <si>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</si>
  <si>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</si>
  <si>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</si>
  <si>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</si>
  <si>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</si>
  <si>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</si>
  <si>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</si>
  <si>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</si>
  <si>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</si>
  <si>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</si>
  <si>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</si>
  <si>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</si>
  <si>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</si>
  <si>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</si>
  <si>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</si>
  <si>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</si>
  <si>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</si>
  <si>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</si>
  <si>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</si>
  <si>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</si>
  <si>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</si>
  <si>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</si>
  <si>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</si>
  <si>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</si>
  <si>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</si>
  <si>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</si>
  <si>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</si>
  <si>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</si>
  <si>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</si>
  <si>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</si>
  <si>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</si>
  <si>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</si>
  <si>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</si>
  <si>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</si>
  <si>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</si>
  <si>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</si>
  <si>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</si>
  <si>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</si>
  <si>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</si>
  <si>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</si>
  <si>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</si>
  <si>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</si>
  <si>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</si>
  <si>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</si>
  <si>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</si>
  <si>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</si>
  <si>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</si>
  <si>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</si>
  <si>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</si>
  <si>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</si>
  <si>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</si>
  <si>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</si>
  <si>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</si>
  <si>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</si>
  <si>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</si>
  <si>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</si>
  <si>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</si>
  <si>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</si>
  <si>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</si>
  <si>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</si>
  <si>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</si>
  <si>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</si>
  <si>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</si>
  <si>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</si>
  <si>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Elapsed timer (5 min maximum) functional</t>
  </si>
  <si>
    <t>Mag 2:</t>
  </si>
  <si>
    <t>Fluoroscopic kV and mA meter present and functional</t>
  </si>
  <si>
    <t>Mag 3:</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</si>
  <si>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</si>
  <si>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</si>
  <si>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</si>
  <si>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</si>
  <si>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</si>
  <si>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</si>
  <si>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</si>
  <si>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</si>
  <si>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</si>
  <si>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</si>
  <si>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</si>
  <si>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</si>
  <si>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</si>
  <si>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</si>
  <si>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</si>
  <si>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</si>
  <si>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</si>
  <si>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</si>
  <si>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</si>
  <si>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</si>
  <si>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</si>
  <si>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</si>
  <si>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</si>
  <si>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</si>
  <si>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</si>
  <si>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</si>
  <si>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</si>
  <si>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</si>
  <si>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</si>
  <si>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</si>
  <si>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</si>
  <si>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</si>
  <si>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</si>
  <si>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Display monitor is free of artifacts, shadows, bright spots, and burn-in</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</si>
  <si>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</si>
  <si>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</si>
  <si>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</si>
  <si>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</si>
  <si>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</si>
  <si>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Entrance Exposure Rate</t>
  </si>
  <si>
    <t>Type 1 for manual, leave blank for auto</t>
  </si>
  <si>
    <t>Auto</t>
  </si>
  <si>
    <t>Auto/mA mode</t>
  </si>
  <si>
    <t>Type 1 if using Lucite, leave blank if using Al</t>
  </si>
  <si>
    <t>How many dose rate settings are present (exclusing High Level)?</t>
  </si>
  <si>
    <t>Is High Level provided? (1=Yes, 2=No)</t>
  </si>
  <si>
    <t>HVL</t>
  </si>
  <si>
    <t>cm</t>
  </si>
  <si>
    <t>Unit for image receptor size</t>
  </si>
  <si>
    <t>HVL Measured kV:</t>
  </si>
  <si>
    <t>Patient Entrance Exposure Rate (Fluoroscopy)*</t>
  </si>
  <si>
    <t>HVL Measured:</t>
  </si>
  <si>
    <t>Kerma area product display is accurate to within 40%</t>
  </si>
  <si>
    <t>Image</t>
  </si>
  <si>
    <t>Pt Dose Measured Dig Acq</t>
  </si>
  <si>
    <t>Air kerma display is accurate to within 40%</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</si>
  <si>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</si>
  <si>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</si>
  <si>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</si>
  <si>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</si>
  <si>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</si>
  <si>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</si>
  <si>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</si>
  <si>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</si>
  <si>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</si>
  <si>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</si>
  <si>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</si>
  <si>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</si>
  <si>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</si>
  <si>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</si>
  <si>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</si>
  <si>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</si>
  <si>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</si>
  <si>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</si>
  <si>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</si>
  <si>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</si>
  <si>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</si>
  <si>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</si>
  <si>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</si>
  <si>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</si>
  <si>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</si>
  <si>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</si>
  <si>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</si>
  <si>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</si>
  <si>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</si>
  <si>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</si>
  <si>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</si>
  <si>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</si>
  <si>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</si>
  <si>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</si>
  <si>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</si>
  <si>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</si>
  <si>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</si>
  <si>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</si>
  <si>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</si>
  <si>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</si>
  <si>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</si>
  <si>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</si>
  <si>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</si>
  <si>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</si>
  <si>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</si>
  <si>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</si>
  <si>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</si>
  <si>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</si>
  <si>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</si>
  <si>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</si>
  <si>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</si>
  <si>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</si>
  <si>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</si>
  <si>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</si>
  <si>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</si>
  <si>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</si>
  <si>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</si>
  <si>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</si>
  <si>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</si>
  <si>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</si>
  <si>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</si>
  <si>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</si>
  <si>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</si>
  <si>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</si>
  <si>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</si>
  <si>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</si>
  <si>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</si>
  <si>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</si>
  <si>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</si>
  <si>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</si>
  <si>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</si>
  <si>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</si>
  <si>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</si>
  <si>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</si>
  <si>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</si>
  <si>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</si>
  <si>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</si>
  <si>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</si>
  <si>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</si>
  <si>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</si>
  <si>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</si>
  <si>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</si>
  <si>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</si>
  <si>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</si>
  <si>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</si>
  <si>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</si>
  <si>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</si>
  <si>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</si>
  <si>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</si>
  <si>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</si>
  <si>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</si>
  <si>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</si>
  <si>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</si>
  <si>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</si>
  <si>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</si>
  <si>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</si>
  <si>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</si>
  <si>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KAP Deviation</t>
  </si>
  <si>
    <t>AK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</si>
  <si>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</si>
  <si>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</si>
  <si>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</si>
  <si>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</si>
  <si>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</si>
  <si>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</si>
  <si>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</si>
  <si>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</si>
  <si>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</si>
  <si>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</si>
  <si>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</si>
  <si>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</si>
  <si>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</si>
  <si>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</si>
  <si>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</si>
  <si>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</si>
  <si>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</si>
  <si>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</si>
  <si>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</si>
  <si>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</si>
  <si>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</si>
  <si>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</si>
  <si>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</si>
  <si>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</si>
  <si>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</si>
  <si>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</si>
  <si>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</si>
  <si>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</si>
  <si>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</si>
  <si>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</si>
  <si>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</si>
  <si>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</si>
  <si>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</si>
  <si>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</si>
  <si>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</si>
  <si>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Kerma Area Product/Cumulative Air Kerma/Air Kerma Rate</t>
  </si>
  <si>
    <t>Source-PDC distance (cm)</t>
  </si>
  <si>
    <t>Source-Isocenter</t>
  </si>
  <si>
    <t>Source-Ref Pt distance (cm)</t>
  </si>
  <si>
    <t>Table-Isocenter</t>
  </si>
  <si>
    <t>CAK Reference Point correction factor</t>
  </si>
  <si>
    <t>RefPt-Isocenter</t>
  </si>
  <si>
    <t>Apply criteria</t>
  </si>
  <si>
    <t>Start KAP</t>
  </si>
  <si>
    <t>End KAP</t>
  </si>
  <si>
    <t>Start AK</t>
  </si>
  <si>
    <t>End AK</t>
  </si>
  <si>
    <t>µGy·m²</t>
  </si>
  <si>
    <t>KAP</t>
  </si>
  <si>
    <t>mGy</t>
  </si>
  <si>
    <t>CAK</t>
  </si>
  <si>
    <t>Calibration date:</t>
  </si>
  <si>
    <t>CAK Deviation</t>
  </si>
  <si>
    <t>Deviation</t>
  </si>
  <si>
    <t>Comment Page 2</t>
  </si>
  <si>
    <t>Measured KAP/AK/AKR is within 40% of the displayed values</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</si>
  <si>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</si>
  <si>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</si>
  <si>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</si>
  <si>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</si>
  <si>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</si>
  <si>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</si>
  <si>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</si>
  <si>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</si>
  <si>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</si>
  <si>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</si>
  <si>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</si>
  <si>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</si>
  <si>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</si>
  <si>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</si>
  <si>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</si>
  <si>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</si>
  <si>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</si>
  <si>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</si>
  <si>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</si>
  <si>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</si>
  <si>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</si>
  <si>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</si>
  <si>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</si>
  <si>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</si>
  <si>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</si>
  <si>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</si>
  <si>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</si>
  <si>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</si>
  <si>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</si>
  <si>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</si>
  <si>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</si>
  <si>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</si>
  <si>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</si>
  <si>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</si>
  <si>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</si>
  <si>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</si>
  <si>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</si>
  <si>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</si>
  <si>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</si>
  <si>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</si>
  <si>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</si>
  <si>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</si>
  <si>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</si>
  <si>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</si>
  <si>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</si>
  <si>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</si>
  <si>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</si>
  <si>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</si>
  <si>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</si>
  <si>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</si>
  <si>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</si>
  <si>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</si>
  <si>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</si>
  <si>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</si>
  <si>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</si>
  <si>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</si>
  <si>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</si>
  <si>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</si>
  <si>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</si>
  <si>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</si>
  <si>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</si>
  <si>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</si>
  <si>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</si>
  <si>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</si>
  <si>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</si>
  <si>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</si>
  <si>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</si>
  <si>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</si>
  <si>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</si>
  <si>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</si>
  <si>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</si>
  <si>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</si>
  <si>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</si>
  <si>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</si>
  <si>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</si>
  <si>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</si>
  <si>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</si>
  <si>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</si>
  <si>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</si>
  <si>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</si>
  <si>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</si>
  <si>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</si>
  <si>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</si>
  <si>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</si>
  <si>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</si>
  <si>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</si>
  <si>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</si>
  <si>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</si>
  <si>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</si>
  <si>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</si>
  <si>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</si>
  <si>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</si>
  <si>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</si>
  <si>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</si>
  <si>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</si>
  <si>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</si>
  <si>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</si>
  <si>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</si>
  <si>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</si>
  <si>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</si>
  <si>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</si>
  <si>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</si>
  <si>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</si>
  <si>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</si>
  <si>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</si>
  <si>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</si>
  <si>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</si>
  <si>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</si>
  <si>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</si>
  <si>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</si>
  <si>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</si>
  <si>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</si>
  <si>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</si>
  <si>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</si>
  <si>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</si>
  <si>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</si>
  <si>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</si>
  <si>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</si>
  <si>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</si>
  <si>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</si>
  <si>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</si>
  <si>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</si>
  <si>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</si>
  <si>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</si>
  <si>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</si>
  <si>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</si>
  <si>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</si>
  <si>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</si>
  <si>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</si>
  <si>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</si>
  <si>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</si>
  <si>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</si>
  <si>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</si>
  <si>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</si>
  <si>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</si>
  <si>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</si>
  <si>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</si>
  <si>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</si>
  <si>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</si>
  <si>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</si>
  <si>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</si>
  <si>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</si>
  <si>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</si>
  <si>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</si>
  <si>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</si>
  <si>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</si>
  <si>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</si>
  <si>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</si>
  <si>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</si>
  <si>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</si>
  <si>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</si>
  <si>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</si>
  <si>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</si>
  <si>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</si>
  <si>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</si>
  <si>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</si>
  <si>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</si>
  <si>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</si>
  <si>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</si>
  <si>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</si>
  <si>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</si>
  <si>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</si>
  <si>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</si>
  <si>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</si>
  <si>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</si>
  <si>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</si>
  <si>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</si>
  <si>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</si>
  <si>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</si>
  <si>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</si>
  <si>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</si>
  <si>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</si>
  <si>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</si>
  <si>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</si>
  <si>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</si>
  <si>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</si>
  <si>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</si>
  <si>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</si>
  <si>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</si>
  <si>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</si>
  <si>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</si>
  <si>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</si>
  <si>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</si>
  <si>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KAP Accuracy</t>
  </si>
  <si>
    <t>KAP exposure rate_x000D_(mGycm²/s)</t>
  </si>
  <si>
    <t>Indicated KAP</t>
  </si>
  <si>
    <t>Exposure rate_x000D_(µGy/h)</t>
  </si>
  <si>
    <t>Receptor Transmission</t>
  </si>
  <si>
    <t>DAP Measurements</t>
  </si>
  <si>
    <t>mGy/s</t>
  </si>
  <si>
    <t>KAP exposure_x000D_(mGycm²)</t>
  </si>
  <si>
    <t>KAP exposure diff %</t>
  </si>
  <si>
    <t>mGy·cm²/s</t>
  </si>
  <si>
    <t>Revision 2.3-20251003</t>
  </si>
  <si>
    <t>SCDES</t>
  </si>
  <si>
    <t>Use SCDES standards? (Type 1 to base acceptance on SCDES criteria)</t>
  </si>
  <si>
    <t>SCDES Registration sticker is present, clearly visible and legible</t>
  </si>
  <si>
    <t>SCDES form SC-RHA-20 “Notice to Employees” posted or referenced</t>
  </si>
  <si>
    <t>SCDES RHB 2.5.1.1</t>
  </si>
  <si>
    <t>SCDES RHB 11.2.3</t>
  </si>
  <si>
    <t>SCDES RHB 4.3.1</t>
  </si>
  <si>
    <t>SCDES RHB 4.2.12.7</t>
  </si>
  <si>
    <t>SCDES RHB 4.2.8</t>
  </si>
  <si>
    <t>SCDES RHB 4.9.2.1.2</t>
  </si>
  <si>
    <t>SCDES RHB 4.9.1</t>
  </si>
  <si>
    <t>SCDES RHB 4.9.8.1</t>
  </si>
  <si>
    <t>SCDES RHB 4.9.2.1.1</t>
  </si>
  <si>
    <t>SCDES RHB 4.9.4.2.1</t>
  </si>
  <si>
    <t>SCDES RHB 4.9.4.2.1.2</t>
  </si>
  <si>
    <t>SCDES RHB 4.9.5</t>
  </si>
  <si>
    <t>SCDES RHB 4.9.2.2.1</t>
  </si>
  <si>
    <t>SCDES RHB 4.9.2.2</t>
  </si>
  <si>
    <t>SCDES RHB 4.9.7.1</t>
  </si>
  <si>
    <t>SCDES RHB 4.9.6</t>
  </si>
  <si>
    <t>SCDES RHB 4.3.5</t>
  </si>
  <si>
    <t>The Measured HVL meeds SCDES minimum requirements</t>
  </si>
  <si>
    <t>A copy of the fluoroscopic skin entrance doses (attached) must be posted on the unit in a location visible to the operator (SCDES RHB 4.9.4.5.6).</t>
  </si>
  <si>
    <t>All lead aprons must be inspected and documented on an annual basis (SCDES RHB 4.2.14.7).  Please provide a copy of documentation of inspection or arrange to have lead aprons inspected.</t>
  </si>
  <si>
    <t>**The SCDES registration tag was not present on the system or was damaged and should be replaced.  Arrangements must be made with the Radiation Safety Office to obtain the required registration 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</si>
</sst>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8">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medium">
        <color auto="1"/>
      </top>
      <bottom style="thin">
        <color auto="1"/>
      </bottom>
      <diagonal/>
    </border>
    <border>
      <left style="thin">
        <color auto="1"/>
      </left>
      <right style="thin">
        <color theme="1"/>
      </right>
      <top/>
      <bottom/>
      <diagonal/>
    </border>
    <border>
      <left style="thin">
        <color auto="1"/>
      </left>
      <right style="thin">
        <color theme="1"/>
      </right>
      <top/>
      <bottom style="medium">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68">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0" xfId="0" applyFont="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4" fontId="3" fillId="0" borderId="36" xfId="0" applyNumberFormat="1" applyFont="1" applyBorder="1">
      <alignment horizontal="center" vertical="center"/>
    </xf>
    <xf numFmtId="169" fontId="3" fillId="0" borderId="37" xfId="0" applyNumberFormat="1" applyFont="1" applyBorder="1">
      <alignment horizontal="center" vertical="center"/>
    </xf>
    <xf numFmtId="2" fontId="3" fillId="0" borderId="11" xfId="0" applyFont="1" applyBorder="1">
      <alignment horizontal="center" vertical="center"/>
    </xf>
    <xf numFmtId="4" fontId="3" fillId="0" borderId="1" xfId="0" applyNumberFormat="1" applyFont="1" applyBorder="1">
      <alignment horizontal="center" vertical="center"/>
    </xf>
    <xf numFmtId="169" fontId="3" fillId="0" borderId="40" xfId="0" applyNumberFormat="1" applyFont="1" applyBorder="1">
      <alignment horizontal="center" vertical="center"/>
    </xf>
    <xf numFmtId="4" fontId="3" fillId="0" borderId="44" xfId="0" applyNumberFormat="1" applyFont="1" applyBorder="1">
      <alignment horizontal="center" vertical="center"/>
    </xf>
    <xf numFmtId="169" fontId="3" fillId="0" borderId="45" xfId="0" applyNumberFormat="1"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6" fillId="0" borderId="17" xfId="0" applyFont="1" applyBorder="1" applyAlignment="1">
      <alignment horizontal="right"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4"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0" fillId="0" borderId="130" xfId="0" applyBorder="1">
      <alignment horizontal="center" vertical="center"/>
    </xf>
    <xf numFmtId="169" fontId="0" fillId="0" borderId="131" xfId="0" applyNumberFormat="1" applyBorder="1">
      <alignment horizontal="center" vertical="center"/>
    </xf>
    <xf numFmtId="169" fontId="0" fillId="0" borderId="132" xfId="0" applyNumberFormat="1" applyBorder="1">
      <alignment horizontal="center" vertical="center"/>
    </xf>
    <xf numFmtId="169" fontId="0" fillId="0" borderId="133" xfId="0" applyNumberFormat="1" applyBorder="1">
      <alignment horizontal="center" vertical="center"/>
    </xf>
    <xf numFmtId="2" fontId="3" fillId="0" borderId="134" xfId="0" applyFont="1" applyBorder="1">
      <alignment horizontal="center" vertical="center"/>
    </xf>
    <xf numFmtId="2" fontId="0" fillId="0" borderId="135" xfId="0" applyBorder="1">
      <alignment horizontal="center" vertical="center"/>
    </xf>
    <xf numFmtId="2" fontId="3" fillId="0" borderId="136" xfId="0" applyFont="1" applyBorder="1">
      <alignment horizontal="center" vertical="center"/>
    </xf>
    <xf numFmtId="2" fontId="0" fillId="0" borderId="141" xfId="0" applyBorder="1">
      <alignment horizontal="center" vertical="center"/>
    </xf>
    <xf numFmtId="2" fontId="0" fillId="0" borderId="142" xfId="0" applyBorder="1">
      <alignment horizontal="center" vertical="center"/>
    </xf>
    <xf numFmtId="2" fontId="0" fillId="0" borderId="144"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2" fontId="0" fillId="0" borderId="150" xfId="0" applyBorder="1">
      <alignment horizontal="center" vertical="center"/>
    </xf>
    <xf numFmtId="10" fontId="0" fillId="0" borderId="150" xfId="0" applyNumberFormat="1" applyBorder="1">
      <alignment horizontal="center" vertical="center"/>
    </xf>
    <xf numFmtId="2" fontId="0" fillId="0" borderId="151" xfId="0" applyBorder="1">
      <alignment horizontal="center" vertical="center"/>
    </xf>
    <xf numFmtId="2" fontId="0" fillId="0" borderId="109"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53" xfId="0" applyBorder="1">
      <alignment horizontal="center" vertical="center"/>
    </xf>
    <xf numFmtId="2" fontId="0" fillId="0" borderId="155" xfId="0" applyBorder="1">
      <alignment horizontal="center" vertical="center"/>
    </xf>
    <xf numFmtId="2" fontId="0" fillId="0" borderId="140"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62"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33"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67" xfId="0" applyBorder="1">
      <alignment horizontal="center" vertical="center"/>
    </xf>
    <xf numFmtId="2" fontId="0" fillId="0" borderId="143"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0" fillId="0" borderId="170" xfId="0"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39"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1"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2" xfId="0" applyFont="1" applyBorder="1">
      <alignment horizontal="center" vertical="center"/>
    </xf>
    <xf numFmtId="0" fontId="0" fillId="0" borderId="128" xfId="0" applyNumberFormat="1" applyBorder="1">
      <alignment horizontal="center" vertical="center"/>
    </xf>
    <xf numFmtId="168" fontId="0" fillId="0" borderId="129" xfId="0" applyNumberFormat="1" applyBorder="1">
      <alignment horizontal="center" vertical="center"/>
    </xf>
    <xf numFmtId="0" fontId="0" fillId="0" borderId="130" xfId="0" applyNumberFormat="1" applyBorder="1">
      <alignment horizontal="center" vertical="center"/>
    </xf>
    <xf numFmtId="2" fontId="0" fillId="0" borderId="174" xfId="0"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0" fontId="0" fillId="0" borderId="151" xfId="0" applyNumberFormat="1" applyBorder="1">
      <alignment horizontal="center" vertical="center"/>
    </xf>
    <xf numFmtId="168" fontId="0" fillId="0" borderId="151" xfId="0" applyNumberFormat="1" applyBorder="1">
      <alignment horizontal="center" vertical="center"/>
    </xf>
    <xf numFmtId="2" fontId="0" fillId="0" borderId="176" xfId="0" applyBorder="1">
      <alignment horizontal="center" vertical="center"/>
    </xf>
    <xf numFmtId="0" fontId="0" fillId="0" borderId="176" xfId="0" applyNumberFormat="1" applyBorder="1">
      <alignment horizontal="center" vertical="center"/>
    </xf>
    <xf numFmtId="168" fontId="0" fillId="0" borderId="176" xfId="0" applyNumberFormat="1" applyBorder="1">
      <alignment horizontal="center" vertical="center"/>
    </xf>
    <xf numFmtId="2" fontId="0" fillId="0" borderId="128" xfId="0" applyBorder="1" applyAlignment="1">
      <alignment horizontal="right" vertical="center"/>
    </xf>
    <xf numFmtId="0" fontId="0" fillId="9" borderId="128" xfId="0" applyNumberFormat="1" applyFill="1" applyBorder="1">
      <alignment horizontal="center" vertical="center"/>
    </xf>
    <xf numFmtId="2" fontId="0" fillId="9" borderId="128" xfId="0" applyFill="1" applyBorder="1">
      <alignment horizontal="center" vertical="center"/>
    </xf>
    <xf numFmtId="2" fontId="0" fillId="0" borderId="130" xfId="0" applyBorder="1" applyAlignment="1">
      <alignment horizontal="right" vertical="center"/>
    </xf>
    <xf numFmtId="0" fontId="0" fillId="9" borderId="130" xfId="0" applyNumberFormat="1" applyFill="1" applyBorder="1">
      <alignment horizontal="center" vertical="center"/>
    </xf>
    <xf numFmtId="2" fontId="0" fillId="9" borderId="130" xfId="0" applyFill="1" applyBorder="1">
      <alignment horizontal="center" vertical="center"/>
    </xf>
    <xf numFmtId="0" fontId="0" fillId="0" borderId="124" xfId="0" applyNumberFormat="1" applyBorder="1">
      <alignment horizontal="center" vertical="center"/>
    </xf>
    <xf numFmtId="2" fontId="0" fillId="0" borderId="177" xfId="0" applyBorder="1" applyAlignment="1">
      <alignment horizontal="right" vertical="center"/>
    </xf>
    <xf numFmtId="0" fontId="0" fillId="0" borderId="178" xfId="0" applyNumberFormat="1" applyBorder="1">
      <alignment horizontal="center" vertical="center"/>
    </xf>
    <xf numFmtId="2" fontId="0" fillId="0" borderId="179" xfId="0" applyBorder="1">
      <alignment horizontal="center" vertical="center"/>
    </xf>
    <xf numFmtId="2" fontId="3" fillId="0" borderId="155" xfId="0" applyFont="1" applyBorder="1">
      <alignment horizontal="center" vertical="center"/>
    </xf>
    <xf numFmtId="2" fontId="3" fillId="0" borderId="140" xfId="0" applyFont="1" applyBorder="1">
      <alignment horizontal="center" vertical="center"/>
    </xf>
    <xf numFmtId="2" fontId="0" fillId="0" borderId="181" xfId="0" applyBorder="1">
      <alignment horizontal="center" vertical="center"/>
    </xf>
    <xf numFmtId="2" fontId="0" fillId="0" borderId="184" xfId="0" applyBorder="1">
      <alignment horizontal="center" vertical="center"/>
    </xf>
    <xf numFmtId="2" fontId="0" fillId="0" borderId="173"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2" fontId="0" fillId="0" borderId="191" xfId="0" applyBorder="1">
      <alignment horizontal="center" vertical="center"/>
    </xf>
    <xf numFmtId="0" fontId="0" fillId="0" borderId="122" xfId="0" applyNumberFormat="1"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6" xfId="0" applyBorder="1">
      <alignment horizontal="center" vertical="center"/>
    </xf>
    <xf numFmtId="2" fontId="0" fillId="0" borderId="198"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7" xfId="0" applyNumberFormat="1"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2" fontId="0" fillId="0" borderId="204" xfId="0"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27" xfId="0" applyNumberFormat="1" applyBorder="1">
      <alignment horizontal="center" vertical="center"/>
    </xf>
    <xf numFmtId="171" fontId="0" fillId="0" borderId="130" xfId="0" applyNumberFormat="1" applyBorder="1">
      <alignment horizontal="center" vertical="center"/>
    </xf>
    <xf numFmtId="171" fontId="0" fillId="0" borderId="147" xfId="0" applyNumberFormat="1" applyBorder="1">
      <alignment horizontal="center" vertical="center"/>
    </xf>
    <xf numFmtId="171" fontId="0" fillId="0" borderId="205"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0" fontId="0" fillId="0" borderId="127" xfId="0" applyNumberFormat="1" applyBorder="1">
      <alignment horizontal="center" vertical="center"/>
    </xf>
    <xf numFmtId="170" fontId="0" fillId="0" borderId="130" xfId="0" applyNumberFormat="1" applyBorder="1">
      <alignment horizontal="center" vertical="center"/>
    </xf>
    <xf numFmtId="170" fontId="0" fillId="0" borderId="133" xfId="0" applyNumberFormat="1" applyBorder="1">
      <alignment horizontal="center" vertical="center"/>
    </xf>
    <xf numFmtId="171" fontId="0" fillId="0" borderId="141" xfId="0" applyNumberFormat="1" applyBorder="1">
      <alignment horizontal="center" vertical="center"/>
    </xf>
    <xf numFmtId="171" fontId="0" fillId="0" borderId="142" xfId="0" applyNumberFormat="1" applyBorder="1">
      <alignment horizontal="center" vertical="center"/>
    </xf>
    <xf numFmtId="171" fontId="0" fillId="0" borderId="146" xfId="0" applyNumberFormat="1" applyBorder="1">
      <alignment horizontal="center" vertical="center"/>
    </xf>
    <xf numFmtId="170" fontId="0" fillId="0" borderId="141" xfId="0" applyNumberFormat="1" applyBorder="1">
      <alignment horizontal="center" vertical="center"/>
    </xf>
    <xf numFmtId="170" fontId="0" fillId="0" borderId="142" xfId="0" applyNumberFormat="1" applyBorder="1">
      <alignment horizontal="center" vertical="center"/>
    </xf>
    <xf numFmtId="170" fontId="0" fillId="0" borderId="163" xfId="0" applyNumberFormat="1"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2" fontId="0" fillId="0" borderId="209" xfId="0" applyBorder="1">
      <alignment horizontal="center" vertical="center"/>
    </xf>
    <xf numFmtId="168" fontId="0" fillId="0" borderId="123" xfId="0" applyNumberFormat="1" applyBorder="1">
      <alignment horizontal="center" vertical="center"/>
    </xf>
    <xf numFmtId="2" fontId="0" fillId="0" borderId="138" xfId="0"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0"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2" fontId="3" fillId="0" borderId="213" xfId="0" applyFont="1" applyBorder="1" applyAlignment="1">
      <alignment horizontal="left" vertical="center"/>
    </xf>
    <xf numFmtId="2" fontId="3" fillId="0" borderId="213"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2" fontId="0" fillId="0" borderId="121" xfId="0" applyBorder="1" applyAlignment="1">
      <alignment horizontal="center" vertical="center" wrapText="1"/>
    </xf>
    <xf numFmtId="0" fontId="3" fillId="6" borderId="214" xfId="0" applyNumberFormat="1" applyFont="1" applyFill="1" applyBorder="1">
      <alignment horizontal="center" vertical="center"/>
    </xf>
    <xf numFmtId="0" fontId="3" fillId="6" borderId="217" xfId="0" applyNumberFormat="1" applyFont="1" applyFill="1" applyBorder="1">
      <alignment horizontal="center" vertical="center"/>
    </xf>
    <xf numFmtId="0" fontId="3" fillId="5" borderId="218" xfId="0" applyNumberFormat="1" applyFont="1" applyFill="1" applyBorder="1">
      <alignment horizontal="center" vertical="center"/>
    </xf>
    <xf numFmtId="2" fontId="3" fillId="0" borderId="92" xfId="0" applyFont="1" applyBorder="1" applyAlignment="1">
      <alignment horizontal="right" vertical="center"/>
    </xf>
    <xf numFmtId="2" fontId="3" fillId="0" borderId="219" xfId="0" applyFont="1" applyBorder="1">
      <alignment horizontal="center" vertical="center"/>
    </xf>
    <xf numFmtId="2" fontId="3" fillId="0" borderId="3" xfId="0" applyFont="1" applyBorder="1" applyAlignment="1">
      <alignment horizontal="right" vertical="center"/>
    </xf>
    <xf numFmtId="172" fontId="3" fillId="6" borderId="216" xfId="0" applyNumberFormat="1" applyFont="1" applyFill="1" applyBorder="1">
      <alignment horizontal="center" vertical="center"/>
    </xf>
    <xf numFmtId="172" fontId="3" fillId="0" borderId="219" xfId="0" applyNumberFormat="1" applyFont="1" applyBorder="1">
      <alignment horizontal="center" vertical="center"/>
    </xf>
    <xf numFmtId="172" fontId="3" fillId="0" borderId="220"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10" fontId="3" fillId="0" borderId="44"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8" xfId="0" applyBorder="1" applyAlignment="1">
      <alignment horizontal="center" vertical="center" shrinkToFit="1"/>
    </xf>
    <xf numFmtId="2" fontId="0" fillId="0" borderId="145" xfId="0" applyBorder="1" applyAlignment="1">
      <alignment horizontal="center" vertical="center" shrinkToFit="1"/>
    </xf>
    <xf numFmtId="2" fontId="0" fillId="0" borderId="199"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9" xfId="0" applyNumberFormat="1" applyBorder="1">
      <alignment horizontal="center" vertical="center"/>
    </xf>
    <xf numFmtId="10" fontId="0" fillId="0" borderId="130"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6" xfId="0" applyNumberFormat="1" applyFont="1" applyFill="1" applyBorder="1">
      <alignment horizontal="center" vertical="center"/>
    </xf>
    <xf numFmtId="2" fontId="3" fillId="0" borderId="227" xfId="0" applyFont="1" applyBorder="1">
      <alignment horizontal="center" vertical="center"/>
    </xf>
    <xf numFmtId="2" fontId="3" fillId="0" borderId="224" xfId="0" applyFont="1" applyBorder="1" applyAlignment="1">
      <alignment horizontal="center" vertical="center" shrinkToFit="1"/>
    </xf>
    <xf numFmtId="172" fontId="3" fillId="0" borderId="224" xfId="0" applyNumberFormat="1" applyFont="1" applyBorder="1" applyAlignment="1">
      <alignment horizontal="center" vertical="center" shrinkToFit="1"/>
    </xf>
    <xf numFmtId="172" fontId="3" fillId="0" borderId="225"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5"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50"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8"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0" fontId="16" fillId="0" borderId="221" xfId="0" applyNumberFormat="1" applyFont="1" applyBorder="1">
      <alignment horizontal="center" vertical="center"/>
    </xf>
    <xf numFmtId="167" fontId="16" fillId="0" borderId="221"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2" fontId="22" fillId="11" borderId="0" xfId="0" applyFont="1" applyFill="1">
      <alignment horizontal="center" vertical="center"/>
    </xf>
    <xf numFmtId="169" fontId="0" fillId="0" borderId="128" xfId="0" applyNumberFormat="1" applyBorder="1">
      <alignment horizontal="center" vertical="center"/>
    </xf>
    <xf numFmtId="169" fontId="0" fillId="0" borderId="129"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169" fontId="0" fillId="0" borderId="130" xfId="0" applyNumberFormat="1" applyBorder="1">
      <alignment horizontal="center" vertical="center"/>
    </xf>
    <xf numFmtId="2" fontId="0" fillId="0" borderId="109" xfId="0" applyBorder="1">
      <alignment horizontal="center" vertical="center"/>
    </xf>
    <xf numFmtId="2" fontId="3" fillId="0" borderId="117" xfId="0" applyFont="1" applyBorder="1" applyAlignment="1">
      <alignment horizontal="center" vertical="center" wrapText="1"/>
    </xf>
    <xf numFmtId="2" fontId="3" fillId="0" borderId="200" xfId="0" applyFont="1" applyBorder="1" applyAlignment="1">
      <alignment horizontal="center" vertical="center" wrapText="1"/>
    </xf>
    <xf numFmtId="2" fontId="3" fillId="0" borderId="61" xfId="0" applyFont="1" applyBorder="1" applyAlignment="1">
      <alignment horizontal="center" vertical="center" wrapText="1"/>
    </xf>
    <xf numFmtId="2" fontId="3" fillId="0" borderId="201" xfId="0" applyFont="1"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51" xfId="0" applyBorder="1" applyAlignment="1">
      <alignment horizontal="center" vertical="center" wrapText="1"/>
    </xf>
    <xf numFmtId="2" fontId="0" fillId="0" borderId="183" xfId="0" applyBorder="1" applyAlignment="1">
      <alignment horizontal="center" vertical="center" wrapText="1"/>
    </xf>
    <xf numFmtId="2" fontId="0" fillId="0" borderId="192" xfId="0" applyBorder="1" applyAlignment="1">
      <alignment horizontal="center" vertical="center" wrapText="1"/>
    </xf>
    <xf numFmtId="2" fontId="0" fillId="0" borderId="193" xfId="0" applyBorder="1" applyAlignment="1">
      <alignment horizontal="center" vertical="center" wrapText="1"/>
    </xf>
    <xf numFmtId="2" fontId="0" fillId="0" borderId="125" xfId="0" applyBorder="1" applyAlignment="1">
      <alignment horizontal="center" vertical="center" wrapText="1"/>
    </xf>
    <xf numFmtId="2" fontId="0" fillId="0" borderId="127" xfId="0" applyBorder="1" applyAlignment="1">
      <alignment horizontal="center" vertical="center" wrapText="1"/>
    </xf>
    <xf numFmtId="169" fontId="3" fillId="0" borderId="60" xfId="0" applyNumberFormat="1" applyFont="1" applyBorder="1">
      <alignment horizontal="center" vertical="center"/>
    </xf>
    <xf numFmtId="169" fontId="3" fillId="0" borderId="57" xfId="0" applyNumberFormat="1" applyFont="1" applyBorder="1">
      <alignment horizontal="center" vertical="center"/>
    </xf>
    <xf numFmtId="2" fontId="0" fillId="0" borderId="155" xfId="0" applyBorder="1" applyAlignment="1">
      <alignment horizontal="center" vertical="center" wrapText="1"/>
    </xf>
    <xf numFmtId="2" fontId="0" fillId="0" borderId="182" xfId="0" applyBorder="1" applyAlignment="1">
      <alignment horizontal="center" vertical="center" wrapText="1"/>
    </xf>
    <xf numFmtId="2" fontId="0" fillId="0" borderId="175" xfId="0" applyBorder="1" applyAlignment="1">
      <alignment horizontal="center" vertical="center" wrapText="1"/>
    </xf>
    <xf numFmtId="2" fontId="0" fillId="0" borderId="176" xfId="0" applyBorder="1" applyAlignment="1">
      <alignment horizontal="center" vertical="center" wrapText="1"/>
    </xf>
    <xf numFmtId="2" fontId="0" fillId="0" borderId="154" xfId="0" applyBorder="1">
      <alignment horizontal="center" vertical="center"/>
    </xf>
    <xf numFmtId="2" fontId="0" fillId="0" borderId="180" xfId="0" applyBorder="1">
      <alignment horizontal="center" vertical="center"/>
    </xf>
    <xf numFmtId="2" fontId="0" fillId="0" borderId="92" xfId="0" applyBorder="1">
      <alignment horizontal="center" vertical="center"/>
    </xf>
    <xf numFmtId="2" fontId="3" fillId="0" borderId="1" xfId="0" applyFont="1" applyBorder="1">
      <alignment horizontal="center" vertical="center"/>
    </xf>
    <xf numFmtId="2" fontId="3" fillId="0" borderId="65" xfId="0" applyFont="1" applyBorder="1">
      <alignment horizontal="center" vertical="center"/>
    </xf>
    <xf numFmtId="2" fontId="0" fillId="0" borderId="10" xfId="0" applyBorder="1">
      <alignment horizontal="center" vertical="center"/>
    </xf>
    <xf numFmtId="2" fontId="0" fillId="0" borderId="33" xfId="0"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3" fillId="0" borderId="9" xfId="0" applyFont="1" applyBorder="1" applyAlignment="1">
      <alignment horizontal="center" vertical="center" wrapText="1"/>
    </xf>
    <xf numFmtId="2" fontId="3" fillId="0" borderId="0" xfId="0" applyFont="1" applyAlignment="1">
      <alignment horizontal="center" vertical="center" wrapText="1"/>
    </xf>
    <xf numFmtId="2" fontId="3" fillId="0" borderId="0" xfId="0" applyFont="1">
      <alignment horizontal="center" vertical="center"/>
    </xf>
    <xf numFmtId="0" fontId="3" fillId="0" borderId="46" xfId="0" applyNumberFormat="1" applyFont="1" applyBorder="1" applyAlignment="1">
      <alignment horizontal="center" vertical="center" wrapText="1"/>
    </xf>
    <xf numFmtId="2" fontId="3" fillId="0" borderId="47" xfId="0" applyFont="1" applyBorder="1" applyAlignment="1">
      <alignment horizontal="center" vertical="center" wrapText="1"/>
    </xf>
    <xf numFmtId="2" fontId="3" fillId="7" borderId="0" xfId="0" applyFont="1" applyFill="1">
      <alignment horizontal="center" vertical="center"/>
    </xf>
    <xf numFmtId="0" fontId="0" fillId="0" borderId="107" xfId="0" applyNumberFormat="1" applyBorder="1">
      <alignment horizontal="center" vertical="center"/>
    </xf>
    <xf numFmtId="2" fontId="0" fillId="0" borderId="108" xfId="0" applyBorder="1">
      <alignment horizontal="center" vertical="center"/>
    </xf>
    <xf numFmtId="0" fontId="0" fillId="0" borderId="108" xfId="0" applyNumberFormat="1" applyBorder="1">
      <alignment horizontal="center" vertical="center"/>
    </xf>
    <xf numFmtId="2" fontId="6" fillId="0" borderId="99" xfId="0" applyFont="1" applyBorder="1">
      <alignment horizontal="center" vertical="center"/>
    </xf>
    <xf numFmtId="2" fontId="6" fillId="0" borderId="93" xfId="0" applyFont="1" applyBorder="1">
      <alignment horizontal="center" vertical="center"/>
    </xf>
    <xf numFmtId="2" fontId="3" fillId="0" borderId="10" xfId="0" applyFont="1" applyBorder="1">
      <alignment horizontal="center" vertical="center"/>
    </xf>
    <xf numFmtId="2" fontId="3" fillId="0" borderId="33" xfId="0" applyFont="1" applyBorder="1">
      <alignment horizontal="center" vertical="center"/>
    </xf>
    <xf numFmtId="2" fontId="3" fillId="0" borderId="222" xfId="0" applyFont="1" applyBorder="1" applyAlignment="1">
      <alignment horizontal="center" vertical="center" wrapText="1"/>
    </xf>
    <xf numFmtId="2" fontId="3" fillId="0" borderId="223" xfId="0" applyFont="1" applyBorder="1" applyAlignment="1">
      <alignment horizontal="center" vertical="center" wrapText="1"/>
    </xf>
    <xf numFmtId="2" fontId="3" fillId="0" borderId="95" xfId="0" applyFont="1" applyBorder="1" applyAlignment="1">
      <alignment horizontal="center" vertical="center" wrapText="1"/>
    </xf>
    <xf numFmtId="2" fontId="3" fillId="0" borderId="139" xfId="0" applyFont="1" applyBorder="1" applyAlignment="1">
      <alignment horizontal="center" vertical="center" wrapText="1"/>
    </xf>
    <xf numFmtId="2" fontId="0" fillId="0" borderId="118" xfId="0" applyBorder="1" applyAlignment="1">
      <alignment horizontal="center" vertical="center" wrapText="1"/>
    </xf>
    <xf numFmtId="2" fontId="0" fillId="0" borderId="202" xfId="0" applyBorder="1" applyAlignment="1">
      <alignment horizontal="center" vertical="center" wrapText="1"/>
    </xf>
    <xf numFmtId="2" fontId="0" fillId="0" borderId="107" xfId="0" applyBorder="1">
      <alignment horizontal="center" vertical="center"/>
    </xf>
    <xf numFmtId="166" fontId="0" fillId="0" borderId="108" xfId="0" applyNumberFormat="1" applyBorder="1">
      <alignment horizontal="center" vertical="center"/>
    </xf>
    <xf numFmtId="173" fontId="0" fillId="0" borderId="108" xfId="0" applyNumberFormat="1" applyBorder="1">
      <alignment horizontal="center" vertical="center"/>
    </xf>
    <xf numFmtId="166" fontId="0" fillId="0" borderId="107" xfId="0" applyNumberFormat="1" applyBorder="1">
      <alignment horizontal="center" vertical="center"/>
    </xf>
    <xf numFmtId="2" fontId="0" fillId="0" borderId="0" xfId="0">
      <alignment horizontal="center" vertical="center"/>
    </xf>
    <xf numFmtId="2" fontId="0" fillId="0" borderId="46" xfId="0" applyBorder="1">
      <alignment horizontal="center" vertical="center"/>
    </xf>
    <xf numFmtId="2" fontId="3" fillId="0" borderId="11" xfId="0" applyFont="1" applyBorder="1">
      <alignment horizontal="center" vertical="center"/>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552720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435045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436920</xdr:colOff>
      <xdr:row>657</xdr:row>
      <xdr:rowOff>19050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136500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478140</xdr:colOff>
      <xdr:row>723</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563880</xdr:colOff>
          <xdr:row>0</xdr:row>
          <xdr:rowOff>137160</xdr:rowOff>
        </xdr:from>
        <xdr:to>
          <xdr:col>13</xdr:col>
          <xdr:colOff>762000</xdr:colOff>
          <xdr:row>2</xdr:row>
          <xdr:rowOff>106680</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zoomScaleNormal="100" workbookViewId="0"/>
  </sheetViews>
  <sheetFormatPr defaultRowHeight="15.6" x14ac:dyDescent="0.3"/>
  <cols>
    <col min="1" max="2" width="2.3984375" style="1" customWidth="1"/>
    <col min="3" max="13" width="10.59765625" style="1" customWidth="1"/>
    <col min="14" max="14" width="2.3984375" style="1" customWidth="1"/>
    <col min="15" max="26" width="10.59765625" style="1" customWidth="1"/>
    <col min="27" max="27" width="10.59765625" style="2" customWidth="1"/>
    <col min="28" max="30" width="10.59765625" style="1" customWidth="1"/>
  </cols>
  <sheetData>
    <row r="1" spans="1:30" ht="14.1" customHeight="1" x14ac:dyDescent="0.3">
      <c r="A1" s="3">
        <v>1</v>
      </c>
      <c r="B1" s="256"/>
      <c r="C1" s="257"/>
      <c r="D1" s="257"/>
      <c r="E1" s="257"/>
      <c r="F1" s="257"/>
      <c r="G1" s="257"/>
      <c r="H1" s="257"/>
      <c r="I1" s="257"/>
      <c r="J1" s="257"/>
      <c r="K1" s="257"/>
      <c r="L1" s="257"/>
      <c r="M1" s="258"/>
      <c r="O1" s="6" t="s">
        <v>492</v>
      </c>
      <c r="P1" s="7"/>
      <c r="Q1" s="7"/>
      <c r="R1" s="7"/>
      <c r="S1" s="7"/>
      <c r="T1" s="7"/>
      <c r="U1" s="7"/>
      <c r="V1" s="7"/>
      <c r="W1" s="7"/>
      <c r="X1" s="7"/>
      <c r="Y1" s="8"/>
      <c r="AA1" s="9" t="s">
        <v>0</v>
      </c>
    </row>
    <row r="2" spans="1:30" ht="14.1" customHeight="1" x14ac:dyDescent="0.3">
      <c r="A2" s="3">
        <v>2</v>
      </c>
      <c r="B2" s="259"/>
      <c r="H2" s="11" t="s">
        <v>1</v>
      </c>
      <c r="M2" s="260"/>
      <c r="O2" s="13"/>
      <c r="T2" s="11" t="s">
        <v>1</v>
      </c>
      <c r="Y2" s="14"/>
      <c r="AA2" s="15" t="s">
        <v>424</v>
      </c>
    </row>
    <row r="3" spans="1:30" ht="14.1" customHeight="1" x14ac:dyDescent="0.3">
      <c r="A3" s="3">
        <v>3</v>
      </c>
      <c r="B3" s="259"/>
      <c r="H3" s="11" t="s">
        <v>2</v>
      </c>
      <c r="M3" s="260"/>
      <c r="O3" s="13"/>
      <c r="T3" s="11" t="s">
        <v>2</v>
      </c>
      <c r="Y3" s="14"/>
      <c r="AA3" s="16" t="str">
        <f>IF(AB7="","",AB7)</f>
        <v/>
      </c>
    </row>
    <row r="4" spans="1:30" ht="14.1" customHeight="1" x14ac:dyDescent="0.3">
      <c r="A4" s="3">
        <v>4</v>
      </c>
      <c r="B4" s="259"/>
      <c r="M4" s="260"/>
      <c r="O4" s="13"/>
      <c r="Y4" s="14"/>
      <c r="AA4" s="2" t="s">
        <v>3</v>
      </c>
      <c r="AB4" s="17" t="s">
        <v>424</v>
      </c>
    </row>
    <row r="5" spans="1:30" ht="14.1" customHeight="1" x14ac:dyDescent="0.3">
      <c r="A5" s="3">
        <v>5</v>
      </c>
      <c r="B5" s="259"/>
      <c r="H5" s="11" t="s">
        <v>4</v>
      </c>
      <c r="M5" s="260"/>
      <c r="O5" s="13"/>
      <c r="T5" s="11" t="s">
        <v>4</v>
      </c>
      <c r="Y5" s="14"/>
    </row>
    <row r="6" spans="1:30" ht="14.1" customHeight="1" x14ac:dyDescent="0.3">
      <c r="A6" s="3">
        <v>6</v>
      </c>
      <c r="B6" s="261"/>
      <c r="C6" s="262"/>
      <c r="D6" s="262"/>
      <c r="E6" s="262"/>
      <c r="F6" s="262"/>
      <c r="G6" s="262"/>
      <c r="H6" s="262"/>
      <c r="I6" s="262"/>
      <c r="J6" s="262"/>
      <c r="K6" s="262"/>
      <c r="L6" s="262"/>
      <c r="M6" s="263"/>
      <c r="O6" s="21"/>
      <c r="P6" s="22"/>
      <c r="Q6" s="22"/>
      <c r="R6" s="22"/>
      <c r="S6" s="22"/>
      <c r="T6" s="22"/>
      <c r="U6" s="22"/>
      <c r="V6" s="22"/>
      <c r="W6" s="22"/>
      <c r="X6" s="22"/>
      <c r="Y6" s="23"/>
      <c r="AA6" s="24" t="s">
        <v>5</v>
      </c>
      <c r="AB6" s="1" t="s">
        <v>6</v>
      </c>
      <c r="AD6" s="1" t="s">
        <v>7</v>
      </c>
    </row>
    <row r="7" spans="1:30" ht="14.1" customHeight="1" x14ac:dyDescent="0.3">
      <c r="A7" s="3">
        <v>7</v>
      </c>
      <c r="O7" s="1" t="s">
        <v>8</v>
      </c>
      <c r="P7" s="435"/>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3">
      <c r="A8" s="3">
        <v>8</v>
      </c>
      <c r="H8" s="31" t="s">
        <v>11</v>
      </c>
      <c r="O8" s="1" t="s">
        <v>12</v>
      </c>
      <c r="P8" s="436" t="str">
        <f>IF(AB8="","",AB8)</f>
        <v/>
      </c>
      <c r="Q8" s="32"/>
      <c r="T8" s="31" t="s">
        <v>11</v>
      </c>
      <c r="W8" s="22"/>
      <c r="X8" s="22"/>
      <c r="Y8" s="33"/>
      <c r="AA8" s="2" t="s">
        <v>13</v>
      </c>
      <c r="AB8" s="34"/>
      <c r="AC8" s="29" t="str">
        <f t="shared" si="0"/>
        <v/>
      </c>
      <c r="AD8" s="35" t="str">
        <f>IF(P7="","",P7)</f>
        <v/>
      </c>
    </row>
    <row r="9" spans="1:30" ht="14.1" customHeight="1" x14ac:dyDescent="0.3">
      <c r="A9" s="3">
        <v>9</v>
      </c>
      <c r="B9" s="264"/>
      <c r="C9" s="265"/>
      <c r="D9" s="266" t="s">
        <v>14</v>
      </c>
      <c r="E9" s="265"/>
      <c r="F9" s="265"/>
      <c r="G9" s="265"/>
      <c r="H9" s="265"/>
      <c r="I9" s="265"/>
      <c r="J9" s="265"/>
      <c r="K9" s="265"/>
      <c r="L9" s="265"/>
      <c r="M9" s="267"/>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3">
      <c r="A10" s="3">
        <v>10</v>
      </c>
      <c r="B10" s="268"/>
      <c r="C10"/>
      <c r="D10"/>
      <c r="E10" s="145" t="s">
        <v>17</v>
      </c>
      <c r="F10" s="561" t="str">
        <f>IF(R10="","",R10)</f>
        <v/>
      </c>
      <c r="G10" s="561"/>
      <c r="H10"/>
      <c r="I10"/>
      <c r="J10" s="145" t="s">
        <v>18</v>
      </c>
      <c r="K10" s="548" t="str">
        <f>IF(V10="","",V10)</f>
        <v/>
      </c>
      <c r="L10" s="548"/>
      <c r="M10" s="269"/>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3">
      <c r="A11" s="3">
        <v>11</v>
      </c>
      <c r="B11" s="268"/>
      <c r="C11"/>
      <c r="D11"/>
      <c r="E11" s="145" t="s">
        <v>19</v>
      </c>
      <c r="F11" s="549" t="str">
        <f>IF(R11="","",R11)</f>
        <v/>
      </c>
      <c r="G11" s="549"/>
      <c r="H11"/>
      <c r="I11"/>
      <c r="J11" s="145" t="s">
        <v>20</v>
      </c>
      <c r="K11" s="549" t="str">
        <f>IF(V11="","",V11)</f>
        <v/>
      </c>
      <c r="L11" s="549"/>
      <c r="M11" s="269"/>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3">
      <c r="A12" s="3">
        <v>12</v>
      </c>
      <c r="B12" s="268"/>
      <c r="C12"/>
      <c r="D12"/>
      <c r="E12" s="145" t="s">
        <v>21</v>
      </c>
      <c r="F12" s="549" t="str">
        <f>IF(R12="","",R12)</f>
        <v/>
      </c>
      <c r="G12" s="549"/>
      <c r="H12"/>
      <c r="I12"/>
      <c r="J12" s="145" t="s">
        <v>22</v>
      </c>
      <c r="K12" s="563" t="str">
        <f>IF(V12="","",V12)</f>
        <v/>
      </c>
      <c r="L12" s="563"/>
      <c r="M12" s="269"/>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3">
      <c r="A13" s="3">
        <v>13</v>
      </c>
      <c r="B13" s="268"/>
      <c r="C13"/>
      <c r="D13"/>
      <c r="E13" s="145" t="s">
        <v>23</v>
      </c>
      <c r="F13" s="550" t="str">
        <f>IF(R13="","",R13)</f>
        <v/>
      </c>
      <c r="G13" s="550"/>
      <c r="H13"/>
      <c r="I13"/>
      <c r="J13" s="145" t="s">
        <v>24</v>
      </c>
      <c r="K13" s="550" t="str">
        <f>IF(V13="","",V13)</f>
        <v/>
      </c>
      <c r="L13" s="550"/>
      <c r="M13" s="269"/>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3">
      <c r="A14" s="3">
        <v>14</v>
      </c>
      <c r="B14" s="268"/>
      <c r="C14"/>
      <c r="D14"/>
      <c r="E14"/>
      <c r="F14"/>
      <c r="G14"/>
      <c r="H14"/>
      <c r="I14"/>
      <c r="J14"/>
      <c r="K14"/>
      <c r="L14"/>
      <c r="M14" s="269"/>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3">
      <c r="A15" s="3">
        <v>15</v>
      </c>
      <c r="B15" s="268"/>
      <c r="C15"/>
      <c r="D15" s="46" t="s">
        <v>27</v>
      </c>
      <c r="E15"/>
      <c r="F15"/>
      <c r="G15"/>
      <c r="H15"/>
      <c r="I15"/>
      <c r="J15"/>
      <c r="K15"/>
      <c r="L15"/>
      <c r="M15" s="269"/>
      <c r="O15" s="13"/>
      <c r="Y15" s="14"/>
      <c r="AA15" s="2" t="s">
        <v>18</v>
      </c>
      <c r="AB15" s="39"/>
      <c r="AC15" s="29" t="str">
        <f t="shared" si="0"/>
        <v/>
      </c>
      <c r="AD15" s="40" t="str">
        <f>IF(V10="","",V10)</f>
        <v/>
      </c>
    </row>
    <row r="16" spans="1:30" ht="14.1" customHeight="1" x14ac:dyDescent="0.3">
      <c r="A16" s="3">
        <v>16</v>
      </c>
      <c r="B16" s="268"/>
      <c r="C16"/>
      <c r="D16"/>
      <c r="E16" s="145" t="s">
        <v>28</v>
      </c>
      <c r="F16" s="561" t="str">
        <f>IF(R17="","",R17)</f>
        <v/>
      </c>
      <c r="G16" s="561"/>
      <c r="H16"/>
      <c r="I16"/>
      <c r="J16" s="145" t="s">
        <v>29</v>
      </c>
      <c r="K16" s="564" t="str">
        <f>IF(V17="","",V17)</f>
        <v/>
      </c>
      <c r="L16" s="564"/>
      <c r="M16" s="269"/>
      <c r="O16" s="13"/>
      <c r="P16" s="47" t="s">
        <v>27</v>
      </c>
      <c r="Y16" s="14"/>
      <c r="AA16" s="2" t="s">
        <v>20</v>
      </c>
      <c r="AB16" s="39"/>
      <c r="AC16" s="29" t="str">
        <f t="shared" si="0"/>
        <v/>
      </c>
      <c r="AD16" s="40" t="str">
        <f>IF(V11="","",V11)</f>
        <v/>
      </c>
    </row>
    <row r="17" spans="1:30" ht="14.1" customHeight="1" x14ac:dyDescent="0.3">
      <c r="A17" s="3">
        <v>17</v>
      </c>
      <c r="B17" s="268"/>
      <c r="C17"/>
      <c r="D17"/>
      <c r="E17" s="145" t="s">
        <v>30</v>
      </c>
      <c r="F17" s="549" t="str">
        <f>IF(R18="","",R18)</f>
        <v/>
      </c>
      <c r="G17" s="549"/>
      <c r="H17"/>
      <c r="I17"/>
      <c r="J17" s="145" t="s">
        <v>31</v>
      </c>
      <c r="K17" s="550" t="str">
        <f>IF(V18="","",V18)</f>
        <v/>
      </c>
      <c r="L17" s="550"/>
      <c r="M17" s="269"/>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3">
      <c r="A18" s="3">
        <v>18</v>
      </c>
      <c r="B18" s="268"/>
      <c r="C18"/>
      <c r="D18"/>
      <c r="E18" s="145" t="s">
        <v>32</v>
      </c>
      <c r="F18" s="550" t="str">
        <f>IF(R19="","",R19)</f>
        <v/>
      </c>
      <c r="G18" s="550"/>
      <c r="H18"/>
      <c r="I18"/>
      <c r="J18" s="145" t="s">
        <v>33</v>
      </c>
      <c r="K18" s="550" t="str">
        <f>IF(V19="","",V19)</f>
        <v/>
      </c>
      <c r="L18" s="550"/>
      <c r="M18" s="269"/>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3">
      <c r="A19" s="3">
        <v>19</v>
      </c>
      <c r="B19" s="268"/>
      <c r="C19"/>
      <c r="D19"/>
      <c r="E19"/>
      <c r="F19"/>
      <c r="G19"/>
      <c r="H19"/>
      <c r="I19"/>
      <c r="J19" s="145" t="s">
        <v>34</v>
      </c>
      <c r="K19" s="550" t="str">
        <f>IF(V20="","",V20)</f>
        <v/>
      </c>
      <c r="L19" s="550"/>
      <c r="M19" s="269"/>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3">
      <c r="A20" s="3">
        <v>20</v>
      </c>
      <c r="B20" s="268"/>
      <c r="C20"/>
      <c r="D20" s="46" t="s">
        <v>36</v>
      </c>
      <c r="E20"/>
      <c r="F20"/>
      <c r="G20"/>
      <c r="H20"/>
      <c r="I20"/>
      <c r="J20"/>
      <c r="K20"/>
      <c r="L20"/>
      <c r="M20" s="269"/>
      <c r="O20" s="13"/>
      <c r="U20" s="2" t="s">
        <v>34</v>
      </c>
      <c r="V20" s="44" t="str">
        <f>IF(W20&lt;&gt;"",W20,IF(AB27="","",AB27))</f>
        <v/>
      </c>
      <c r="W20" s="27"/>
      <c r="Y20" s="14"/>
      <c r="AA20" s="24" t="s">
        <v>27</v>
      </c>
    </row>
    <row r="21" spans="1:30" ht="14.1" customHeight="1" x14ac:dyDescent="0.3">
      <c r="A21" s="3">
        <v>21</v>
      </c>
      <c r="B21" s="268"/>
      <c r="C21"/>
      <c r="D21"/>
      <c r="E21" s="145" t="s">
        <v>37</v>
      </c>
      <c r="F21" s="561" t="str">
        <f>IF(R22="","",R22)</f>
        <v/>
      </c>
      <c r="G21" s="561"/>
      <c r="H21"/>
      <c r="I21"/>
      <c r="J21" s="68" t="s">
        <v>38</v>
      </c>
      <c r="K21"/>
      <c r="L21"/>
      <c r="M21" s="269"/>
      <c r="O21" s="13"/>
      <c r="P21" s="47" t="s">
        <v>36</v>
      </c>
      <c r="U21"/>
      <c r="V21"/>
      <c r="W21"/>
      <c r="Y21" s="14"/>
      <c r="AA21" s="2" t="s">
        <v>28</v>
      </c>
      <c r="AB21" s="39"/>
      <c r="AC21" s="29" t="str">
        <f t="shared" ref="AC21:AC27" si="1">IF(AB21&lt;&gt;AD21,"Change","")</f>
        <v/>
      </c>
      <c r="AD21" s="40" t="str">
        <f>IF(R17="","",R17)</f>
        <v/>
      </c>
    </row>
    <row r="22" spans="1:30" ht="14.1" customHeight="1" x14ac:dyDescent="0.3">
      <c r="A22" s="3">
        <v>22</v>
      </c>
      <c r="B22" s="268"/>
      <c r="C22"/>
      <c r="D22"/>
      <c r="E22" s="145" t="s">
        <v>29</v>
      </c>
      <c r="F22" s="562" t="str">
        <f>IF(R23="","",R23)</f>
        <v/>
      </c>
      <c r="G22" s="562"/>
      <c r="H22"/>
      <c r="I22"/>
      <c r="J22" s="145" t="s">
        <v>39</v>
      </c>
      <c r="K22" s="561" t="str">
        <f>IF(V23="","",V23)</f>
        <v/>
      </c>
      <c r="L22" s="561"/>
      <c r="M22" s="269"/>
      <c r="O22" s="13"/>
      <c r="Q22" s="2" t="s">
        <v>37</v>
      </c>
      <c r="R22" s="26" t="str">
        <f>IF(S22&lt;&gt;"",S22,IF(AB29="","",AB29))</f>
        <v/>
      </c>
      <c r="S22" s="27"/>
      <c r="U22" s="50" t="s">
        <v>38</v>
      </c>
      <c r="Y22" s="14"/>
      <c r="AA22" s="2" t="s">
        <v>30</v>
      </c>
      <c r="AB22" s="39"/>
      <c r="AC22" s="29" t="str">
        <f t="shared" si="1"/>
        <v/>
      </c>
      <c r="AD22" s="40" t="str">
        <f>IF(R18="","",R18)</f>
        <v/>
      </c>
    </row>
    <row r="23" spans="1:30" ht="14.1" customHeight="1" x14ac:dyDescent="0.3">
      <c r="A23" s="3">
        <v>23</v>
      </c>
      <c r="B23" s="268"/>
      <c r="C23"/>
      <c r="D23" s="46" t="s">
        <v>40</v>
      </c>
      <c r="E23"/>
      <c r="F23"/>
      <c r="G23"/>
      <c r="H23"/>
      <c r="I23"/>
      <c r="J23" s="145" t="s">
        <v>41</v>
      </c>
      <c r="K23" s="549" t="str">
        <f>IF(V24="","",V24)</f>
        <v/>
      </c>
      <c r="L23" s="549"/>
      <c r="M23" s="269"/>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3">
      <c r="A24" s="3">
        <v>24</v>
      </c>
      <c r="B24" s="268"/>
      <c r="C24"/>
      <c r="D24"/>
      <c r="E24" s="145" t="s">
        <v>28</v>
      </c>
      <c r="F24" s="548" t="str">
        <f>IF(R25="","",R25)</f>
        <v/>
      </c>
      <c r="G24" s="548"/>
      <c r="H24"/>
      <c r="I24"/>
      <c r="J24" s="145" t="s">
        <v>42</v>
      </c>
      <c r="K24" s="549" t="str">
        <f>IF(V25="","",V25)</f>
        <v/>
      </c>
      <c r="L24" s="549"/>
      <c r="M24" s="269"/>
      <c r="O24" s="13"/>
      <c r="P24" s="47" t="s">
        <v>40</v>
      </c>
      <c r="U24" s="2" t="s">
        <v>41</v>
      </c>
      <c r="V24" s="26" t="str">
        <f>IF(W24&lt;&gt;"",W24,IF(AB38="","",AB38))</f>
        <v/>
      </c>
      <c r="W24" s="27"/>
      <c r="Y24" s="14"/>
      <c r="AA24" s="2" t="s">
        <v>29</v>
      </c>
      <c r="AB24" s="48"/>
      <c r="AC24" s="29" t="str">
        <f t="shared" si="1"/>
        <v/>
      </c>
      <c r="AD24" s="49" t="str">
        <f>IF(V17="","",V17)</f>
        <v/>
      </c>
    </row>
    <row r="25" spans="1:30" ht="14.1" customHeight="1" x14ac:dyDescent="0.3">
      <c r="A25" s="3">
        <v>25</v>
      </c>
      <c r="B25" s="268"/>
      <c r="C25"/>
      <c r="D25"/>
      <c r="E25" s="145" t="s">
        <v>30</v>
      </c>
      <c r="F25" s="550" t="str">
        <f>IF(R26="","",R26)</f>
        <v/>
      </c>
      <c r="G25" s="550"/>
      <c r="H25"/>
      <c r="I25"/>
      <c r="J25"/>
      <c r="K25"/>
      <c r="L25"/>
      <c r="M25" s="269"/>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3">
      <c r="A26" s="3">
        <v>26</v>
      </c>
      <c r="B26" s="268"/>
      <c r="C26"/>
      <c r="D26"/>
      <c r="E26" s="145" t="s">
        <v>31</v>
      </c>
      <c r="F26" s="550" t="str">
        <f>IF(R27="","",R27)</f>
        <v/>
      </c>
      <c r="G26" s="550"/>
      <c r="H26"/>
      <c r="I26"/>
      <c r="J26" s="46" t="s">
        <v>43</v>
      </c>
      <c r="K26"/>
      <c r="L26"/>
      <c r="M26" s="269"/>
      <c r="O26" s="13"/>
      <c r="Q26" s="2" t="s">
        <v>30</v>
      </c>
      <c r="R26" s="44" t="str">
        <f>IF(S26&lt;&gt;"",S26,IF(AB32="","",AB32))</f>
        <v/>
      </c>
      <c r="S26" s="45"/>
      <c r="Y26" s="14"/>
      <c r="AA26" s="2" t="s">
        <v>33</v>
      </c>
      <c r="AB26" s="39"/>
      <c r="AC26" s="29" t="str">
        <f t="shared" si="1"/>
        <v/>
      </c>
      <c r="AD26" s="40" t="str">
        <f>IF(V19="","",V19)</f>
        <v/>
      </c>
    </row>
    <row r="27" spans="1:30" ht="14.1" customHeight="1" x14ac:dyDescent="0.3">
      <c r="A27" s="3">
        <v>27</v>
      </c>
      <c r="B27" s="268"/>
      <c r="C27"/>
      <c r="D27" s="46" t="s">
        <v>44</v>
      </c>
      <c r="E27"/>
      <c r="F27"/>
      <c r="G27"/>
      <c r="H27"/>
      <c r="I27"/>
      <c r="J27" s="145" t="s">
        <v>45</v>
      </c>
      <c r="K27" s="561" t="str">
        <f>IF(V28="","",V28)</f>
        <v/>
      </c>
      <c r="L27" s="561"/>
      <c r="M27" s="269"/>
      <c r="O27" s="13"/>
      <c r="Q27" s="2" t="s">
        <v>31</v>
      </c>
      <c r="R27" s="44" t="str">
        <f>IF(S27&lt;&gt;"",S27,IF(AB33="","",AB33))</f>
        <v/>
      </c>
      <c r="S27" s="45"/>
      <c r="U27" s="47" t="s">
        <v>43</v>
      </c>
      <c r="Y27" s="14"/>
      <c r="AA27" s="2" t="s">
        <v>34</v>
      </c>
      <c r="AB27" s="39"/>
      <c r="AC27" s="29" t="str">
        <f t="shared" si="1"/>
        <v/>
      </c>
      <c r="AD27" s="40" t="str">
        <f>IF(V20="","",V20)</f>
        <v/>
      </c>
    </row>
    <row r="28" spans="1:30" ht="14.1" customHeight="1" x14ac:dyDescent="0.3">
      <c r="A28" s="3">
        <v>28</v>
      </c>
      <c r="B28" s="268"/>
      <c r="C28"/>
      <c r="D28"/>
      <c r="E28" s="145" t="s">
        <v>28</v>
      </c>
      <c r="F28" s="548" t="str">
        <f>IF(R29="","",R29)</f>
        <v/>
      </c>
      <c r="G28" s="548"/>
      <c r="H28"/>
      <c r="I28"/>
      <c r="J28" s="145" t="s">
        <v>46</v>
      </c>
      <c r="K28" s="549" t="str">
        <f>IF(V29="","",V29)</f>
        <v/>
      </c>
      <c r="L28" s="549"/>
      <c r="M28" s="269"/>
      <c r="O28" s="13"/>
      <c r="P28" s="47" t="s">
        <v>44</v>
      </c>
      <c r="U28" s="2" t="s">
        <v>45</v>
      </c>
      <c r="V28" s="26" t="str">
        <f>IF(W28&lt;&gt;"",W28,IF(AB40="","",AB40))</f>
        <v/>
      </c>
      <c r="W28" s="27"/>
      <c r="Y28" s="14"/>
      <c r="AA28" s="47" t="s">
        <v>36</v>
      </c>
    </row>
    <row r="29" spans="1:30" ht="14.1" customHeight="1" x14ac:dyDescent="0.3">
      <c r="A29" s="3">
        <v>29</v>
      </c>
      <c r="B29" s="268"/>
      <c r="C29"/>
      <c r="D29"/>
      <c r="E29" s="145" t="s">
        <v>30</v>
      </c>
      <c r="F29" s="550" t="str">
        <f>IF(R30="","",R30)</f>
        <v/>
      </c>
      <c r="G29" s="550"/>
      <c r="H29"/>
      <c r="I29"/>
      <c r="J29"/>
      <c r="K29"/>
      <c r="L29"/>
      <c r="M29" s="269"/>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3">
      <c r="A30" s="3">
        <v>30</v>
      </c>
      <c r="B30" s="268"/>
      <c r="C30"/>
      <c r="D30"/>
      <c r="E30" s="145" t="s">
        <v>31</v>
      </c>
      <c r="F30" s="550" t="str">
        <f>IF(R31="","",R31)</f>
        <v/>
      </c>
      <c r="G30" s="550"/>
      <c r="H30"/>
      <c r="I30"/>
      <c r="J30"/>
      <c r="K30"/>
      <c r="L30"/>
      <c r="M30" s="269"/>
      <c r="O30" s="13"/>
      <c r="Q30" s="2" t="s">
        <v>30</v>
      </c>
      <c r="R30" s="44" t="str">
        <f>IF(S30&lt;&gt;"",S30,IF(AB35="","",AB35))</f>
        <v/>
      </c>
      <c r="S30" s="45"/>
      <c r="U30"/>
      <c r="Y30" s="14"/>
      <c r="AA30" s="2" t="s">
        <v>29</v>
      </c>
      <c r="AB30" s="48"/>
      <c r="AC30" s="29" t="str">
        <f t="shared" si="2"/>
        <v/>
      </c>
      <c r="AD30" s="49" t="str">
        <f>IF(R23="","",R23)</f>
        <v/>
      </c>
    </row>
    <row r="31" spans="1:30" ht="14.1" customHeight="1" x14ac:dyDescent="0.3">
      <c r="A31" s="3">
        <v>31</v>
      </c>
      <c r="B31" s="268"/>
      <c r="C31"/>
      <c r="D31"/>
      <c r="E31"/>
      <c r="F31"/>
      <c r="G31"/>
      <c r="H31"/>
      <c r="I31"/>
      <c r="J31"/>
      <c r="K31"/>
      <c r="L31"/>
      <c r="M31" s="269"/>
      <c r="O31" s="13"/>
      <c r="Q31" s="2" t="s">
        <v>31</v>
      </c>
      <c r="R31" s="44" t="str">
        <f>IF(S31&lt;&gt;"",S31,IF(AB36="","",AB36))</f>
        <v/>
      </c>
      <c r="S31" s="45"/>
      <c r="U31"/>
      <c r="Y31" s="14"/>
      <c r="AA31" s="2" t="s">
        <v>28</v>
      </c>
      <c r="AB31" s="39"/>
      <c r="AC31" s="29" t="str">
        <f t="shared" si="2"/>
        <v/>
      </c>
      <c r="AD31" s="40" t="str">
        <f>IF(R25="","",R25)</f>
        <v/>
      </c>
    </row>
    <row r="32" spans="1:30" ht="14.1" customHeight="1" x14ac:dyDescent="0.3">
      <c r="A32" s="3">
        <v>32</v>
      </c>
      <c r="B32" s="268"/>
      <c r="C32"/>
      <c r="D32" s="46" t="s">
        <v>47</v>
      </c>
      <c r="E32"/>
      <c r="F32"/>
      <c r="G32"/>
      <c r="H32"/>
      <c r="I32"/>
      <c r="J32"/>
      <c r="K32"/>
      <c r="L32"/>
      <c r="M32" s="269"/>
      <c r="O32" s="13"/>
      <c r="U32"/>
      <c r="Y32" s="14"/>
      <c r="AA32" s="2" t="s">
        <v>30</v>
      </c>
      <c r="AB32" s="39"/>
      <c r="AC32" s="29" t="str">
        <f t="shared" si="2"/>
        <v/>
      </c>
      <c r="AD32" s="40" t="str">
        <f>IF(R26="","",R26)</f>
        <v/>
      </c>
    </row>
    <row r="33" spans="1:30" ht="14.1" customHeight="1" x14ac:dyDescent="0.3">
      <c r="A33" s="3">
        <v>33</v>
      </c>
      <c r="B33" s="268"/>
      <c r="C33"/>
      <c r="D33"/>
      <c r="E33" s="145" t="s">
        <v>37</v>
      </c>
      <c r="F33" s="561" t="str">
        <f>IF(R34="","",R34)</f>
        <v/>
      </c>
      <c r="G33" s="561"/>
      <c r="H33"/>
      <c r="I33"/>
      <c r="J33" s="68" t="s">
        <v>38</v>
      </c>
      <c r="K33"/>
      <c r="L33"/>
      <c r="M33" s="269"/>
      <c r="O33" s="13"/>
      <c r="P33" s="47" t="s">
        <v>47</v>
      </c>
      <c r="Y33" s="14"/>
      <c r="AA33" s="2" t="s">
        <v>31</v>
      </c>
      <c r="AB33" s="39"/>
      <c r="AC33" s="29" t="str">
        <f t="shared" si="2"/>
        <v/>
      </c>
      <c r="AD33" s="40" t="str">
        <f>IF(R27="","",R27)</f>
        <v/>
      </c>
    </row>
    <row r="34" spans="1:30" ht="14.1" customHeight="1" x14ac:dyDescent="0.3">
      <c r="A34" s="3">
        <v>34</v>
      </c>
      <c r="B34" s="268"/>
      <c r="C34"/>
      <c r="D34"/>
      <c r="E34" s="145" t="s">
        <v>29</v>
      </c>
      <c r="F34" s="562" t="str">
        <f>IF(R35="","",R35)</f>
        <v/>
      </c>
      <c r="G34" s="562"/>
      <c r="H34"/>
      <c r="I34"/>
      <c r="J34" s="145" t="s">
        <v>39</v>
      </c>
      <c r="K34" s="561" t="str">
        <f>IF(V35="","",V35)</f>
        <v/>
      </c>
      <c r="L34" s="561"/>
      <c r="M34" s="269"/>
      <c r="O34" s="13"/>
      <c r="Q34" s="2" t="s">
        <v>37</v>
      </c>
      <c r="R34" s="26" t="str">
        <f>IF(S34&lt;&gt;"",S34,IF(AB43="","",AB43))</f>
        <v/>
      </c>
      <c r="S34" s="27"/>
      <c r="U34" s="50" t="s">
        <v>38</v>
      </c>
      <c r="Y34" s="14"/>
      <c r="AA34" s="2" t="s">
        <v>28</v>
      </c>
      <c r="AB34" s="39"/>
      <c r="AC34" s="29" t="str">
        <f t="shared" si="2"/>
        <v/>
      </c>
      <c r="AD34" s="40" t="str">
        <f>IF(R29="","",R29)</f>
        <v/>
      </c>
    </row>
    <row r="35" spans="1:30" ht="14.1" customHeight="1" x14ac:dyDescent="0.3">
      <c r="A35" s="3">
        <v>35</v>
      </c>
      <c r="B35" s="268"/>
      <c r="C35"/>
      <c r="D35" s="46" t="s">
        <v>40</v>
      </c>
      <c r="E35"/>
      <c r="F35"/>
      <c r="G35"/>
      <c r="H35"/>
      <c r="I35"/>
      <c r="J35" s="145" t="s">
        <v>41</v>
      </c>
      <c r="K35" s="549" t="str">
        <f>IF(V36="","",V36)</f>
        <v/>
      </c>
      <c r="L35" s="549"/>
      <c r="M35" s="269"/>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3">
      <c r="A36" s="3">
        <v>36</v>
      </c>
      <c r="B36" s="268"/>
      <c r="C36"/>
      <c r="D36"/>
      <c r="E36" s="145" t="s">
        <v>28</v>
      </c>
      <c r="F36" s="548" t="str">
        <f>IF(R37="","",R37)</f>
        <v/>
      </c>
      <c r="G36" s="548"/>
      <c r="H36"/>
      <c r="I36"/>
      <c r="J36" s="145" t="s">
        <v>42</v>
      </c>
      <c r="K36" s="549" t="str">
        <f>IF(V37="","",V37)</f>
        <v/>
      </c>
      <c r="L36" s="549"/>
      <c r="M36" s="269"/>
      <c r="O36" s="13"/>
      <c r="P36" s="47" t="s">
        <v>40</v>
      </c>
      <c r="U36" s="2" t="s">
        <v>41</v>
      </c>
      <c r="V36" s="26" t="str">
        <f>IF(W36&lt;&gt;"",W36,IF(AB52="","",AB52))</f>
        <v/>
      </c>
      <c r="W36" s="27"/>
      <c r="Y36" s="14"/>
      <c r="AA36" s="2" t="s">
        <v>31</v>
      </c>
      <c r="AB36" s="39"/>
      <c r="AC36" s="29" t="str">
        <f t="shared" si="2"/>
        <v/>
      </c>
      <c r="AD36" s="40" t="str">
        <f>IF(R31="","",R31)</f>
        <v/>
      </c>
    </row>
    <row r="37" spans="1:30" ht="14.1" customHeight="1" x14ac:dyDescent="0.3">
      <c r="A37" s="3">
        <v>37</v>
      </c>
      <c r="B37" s="268"/>
      <c r="C37"/>
      <c r="D37"/>
      <c r="E37" s="145" t="s">
        <v>30</v>
      </c>
      <c r="F37" s="550" t="str">
        <f>IF(R38="","",R38)</f>
        <v/>
      </c>
      <c r="G37" s="550"/>
      <c r="H37"/>
      <c r="I37"/>
      <c r="J37"/>
      <c r="K37"/>
      <c r="L37"/>
      <c r="M37" s="269"/>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3">
      <c r="A38" s="3">
        <v>38</v>
      </c>
      <c r="B38" s="268"/>
      <c r="C38"/>
      <c r="D38"/>
      <c r="E38" s="145" t="s">
        <v>31</v>
      </c>
      <c r="F38" s="550" t="str">
        <f>IF(R39="","",R39)</f>
        <v/>
      </c>
      <c r="G38" s="550"/>
      <c r="H38"/>
      <c r="I38"/>
      <c r="J38" s="46" t="s">
        <v>43</v>
      </c>
      <c r="K38"/>
      <c r="L38"/>
      <c r="M38" s="269"/>
      <c r="O38" s="13"/>
      <c r="Q38" s="2" t="s">
        <v>30</v>
      </c>
      <c r="R38" s="44" t="str">
        <f>IF(S38&lt;&gt;"",S38,IF(AB46="","",AB46))</f>
        <v/>
      </c>
      <c r="S38" s="45"/>
      <c r="Y38" s="14"/>
      <c r="AA38" s="2" t="s">
        <v>41</v>
      </c>
      <c r="AB38" s="39"/>
      <c r="AC38" s="29" t="str">
        <f t="shared" si="2"/>
        <v/>
      </c>
      <c r="AD38" s="40" t="str">
        <f>IF(V24="","",V24)</f>
        <v/>
      </c>
    </row>
    <row r="39" spans="1:30" ht="14.1" customHeight="1" x14ac:dyDescent="0.3">
      <c r="A39" s="3">
        <v>39</v>
      </c>
      <c r="B39" s="268"/>
      <c r="C39"/>
      <c r="D39"/>
      <c r="E39"/>
      <c r="F39"/>
      <c r="G39"/>
      <c r="H39"/>
      <c r="I39"/>
      <c r="J39" s="145" t="s">
        <v>45</v>
      </c>
      <c r="K39" s="561" t="str">
        <f>IF(V40="","",V40)</f>
        <v/>
      </c>
      <c r="L39" s="561"/>
      <c r="M39" s="269"/>
      <c r="O39" s="13"/>
      <c r="Q39" s="2" t="s">
        <v>31</v>
      </c>
      <c r="R39" s="44" t="str">
        <f>IF(S39&lt;&gt;"",S39,IF(AB47="","",AB47))</f>
        <v/>
      </c>
      <c r="S39" s="45"/>
      <c r="U39" s="1" t="s">
        <v>43</v>
      </c>
      <c r="Y39" s="14"/>
      <c r="AA39" s="2" t="s">
        <v>42</v>
      </c>
      <c r="AB39" s="39"/>
      <c r="AC39" s="29" t="str">
        <f t="shared" si="2"/>
        <v/>
      </c>
      <c r="AD39" s="40" t="str">
        <f>IF(V25="","",V25)</f>
        <v/>
      </c>
    </row>
    <row r="40" spans="1:30" ht="14.1" customHeight="1" x14ac:dyDescent="0.3">
      <c r="A40" s="3">
        <v>40</v>
      </c>
      <c r="B40" s="268"/>
      <c r="C40"/>
      <c r="D40"/>
      <c r="E40" s="145" t="s">
        <v>28</v>
      </c>
      <c r="F40" s="548" t="str">
        <f>IF(R41="","",R41)</f>
        <v/>
      </c>
      <c r="G40" s="548"/>
      <c r="H40"/>
      <c r="I40"/>
      <c r="J40" s="145" t="s">
        <v>46</v>
      </c>
      <c r="K40" s="549" t="str">
        <f>IF(V41="","",V41)</f>
        <v/>
      </c>
      <c r="L40" s="549"/>
      <c r="M40" s="269"/>
      <c r="O40" s="13"/>
      <c r="P40" s="47" t="s">
        <v>44</v>
      </c>
      <c r="U40" s="2" t="s">
        <v>45</v>
      </c>
      <c r="V40" s="26" t="str">
        <f>IF(W40&lt;&gt;"",W40,IF(AB54="","",AB54))</f>
        <v/>
      </c>
      <c r="W40" s="27"/>
      <c r="Y40" s="14"/>
      <c r="AA40" s="2" t="s">
        <v>45</v>
      </c>
      <c r="AB40" s="39"/>
      <c r="AC40" s="29" t="str">
        <f t="shared" si="2"/>
        <v/>
      </c>
      <c r="AD40" s="40" t="str">
        <f>IF(V28="","",V28)</f>
        <v/>
      </c>
    </row>
    <row r="41" spans="1:30" ht="14.1" customHeight="1" x14ac:dyDescent="0.3">
      <c r="A41" s="3">
        <v>41</v>
      </c>
      <c r="B41" s="268"/>
      <c r="C41"/>
      <c r="D41"/>
      <c r="E41" s="145" t="s">
        <v>30</v>
      </c>
      <c r="F41" s="550" t="str">
        <f>IF(R42="","",R42)</f>
        <v/>
      </c>
      <c r="G41" s="550"/>
      <c r="H41"/>
      <c r="I41"/>
      <c r="J41"/>
      <c r="K41"/>
      <c r="L41"/>
      <c r="M41" s="269"/>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3">
      <c r="A42" s="3">
        <v>42</v>
      </c>
      <c r="B42" s="268"/>
      <c r="C42"/>
      <c r="D42"/>
      <c r="E42" s="145" t="s">
        <v>31</v>
      </c>
      <c r="F42" s="550" t="str">
        <f>IF(R43="","",R43)</f>
        <v/>
      </c>
      <c r="G42" s="550"/>
      <c r="H42"/>
      <c r="I42"/>
      <c r="J42"/>
      <c r="K42"/>
      <c r="L42"/>
      <c r="M42" s="269"/>
      <c r="O42" s="13"/>
      <c r="Q42" s="2" t="s">
        <v>30</v>
      </c>
      <c r="R42" s="44" t="str">
        <f>IF(S42&lt;&gt;"",S42,IF(AB49="","",AB49))</f>
        <v/>
      </c>
      <c r="S42" s="45"/>
      <c r="U42"/>
      <c r="Y42" s="14"/>
      <c r="AA42" s="47" t="s">
        <v>47</v>
      </c>
    </row>
    <row r="43" spans="1:30" ht="14.1" customHeight="1" x14ac:dyDescent="0.3">
      <c r="A43" s="3">
        <v>43</v>
      </c>
      <c r="B43" s="270"/>
      <c r="C43" s="271"/>
      <c r="D43" s="271"/>
      <c r="E43" s="271"/>
      <c r="F43" s="271"/>
      <c r="G43" s="271"/>
      <c r="H43" s="271"/>
      <c r="I43" s="271"/>
      <c r="J43" s="271"/>
      <c r="K43" s="271"/>
      <c r="L43" s="271"/>
      <c r="M43" s="272"/>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3">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3">
      <c r="A45" s="3">
        <v>45</v>
      </c>
      <c r="H45" s="31"/>
      <c r="AA45" s="2" t="s">
        <v>28</v>
      </c>
      <c r="AB45" s="39"/>
      <c r="AC45" s="29" t="str">
        <f t="shared" si="3"/>
        <v/>
      </c>
      <c r="AD45" s="40" t="str">
        <f>IF(R37="","",R37)</f>
        <v/>
      </c>
    </row>
    <row r="46" spans="1:30" ht="14.1" customHeight="1" x14ac:dyDescent="0.3">
      <c r="A46" s="3">
        <v>46</v>
      </c>
      <c r="S46" s="47"/>
      <c r="T46" s="31" t="s">
        <v>48</v>
      </c>
      <c r="AA46" s="2" t="s">
        <v>30</v>
      </c>
      <c r="AB46" s="39"/>
      <c r="AC46" s="29" t="str">
        <f t="shared" si="3"/>
        <v/>
      </c>
      <c r="AD46" s="40" t="str">
        <f>IF(R38="","",R38)</f>
        <v/>
      </c>
    </row>
    <row r="47" spans="1:30" ht="14.1" customHeight="1" x14ac:dyDescent="0.3">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3">
      <c r="A48" s="3">
        <v>48</v>
      </c>
      <c r="O48" s="477">
        <f>IF(P48&lt;&gt;"",P48,IF(OR(AB318=0,AB318=""),"",AB318))</f>
        <v>2</v>
      </c>
      <c r="P48" s="476">
        <v>2</v>
      </c>
      <c r="Q48" s="146" t="s">
        <v>422</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3">
      <c r="A49" s="3">
        <v>49</v>
      </c>
      <c r="O49" s="52"/>
      <c r="P49" s="17" t="s">
        <v>495</v>
      </c>
      <c r="U49"/>
      <c r="W49" s="17" t="s">
        <v>52</v>
      </c>
      <c r="Y49" s="14"/>
      <c r="AA49" s="2" t="s">
        <v>30</v>
      </c>
      <c r="AB49" s="39"/>
      <c r="AC49" s="29" t="str">
        <f t="shared" si="3"/>
        <v/>
      </c>
      <c r="AD49" s="40" t="str">
        <f>IF(R42="","",R42)</f>
        <v/>
      </c>
    </row>
    <row r="50" spans="1:30" ht="14.1" customHeight="1" x14ac:dyDescent="0.3">
      <c r="A50" s="3">
        <v>50</v>
      </c>
      <c r="O50" s="52"/>
      <c r="P50" s="17" t="s">
        <v>496</v>
      </c>
      <c r="U50"/>
      <c r="W50" s="17" t="s">
        <v>53</v>
      </c>
      <c r="Y50" s="14"/>
      <c r="AA50" s="2" t="s">
        <v>31</v>
      </c>
      <c r="AB50" s="39"/>
      <c r="AC50" s="29" t="str">
        <f t="shared" si="3"/>
        <v/>
      </c>
      <c r="AD50" s="40" t="str">
        <f>IF(R43="","",R43)</f>
        <v/>
      </c>
    </row>
    <row r="51" spans="1:30" ht="14.1" customHeight="1" x14ac:dyDescent="0.3">
      <c r="A51" s="3">
        <v>51</v>
      </c>
      <c r="O51" s="52"/>
      <c r="P51" s="17" t="s">
        <v>54</v>
      </c>
      <c r="U51"/>
      <c r="W51" s="53">
        <f t="shared" ref="W51:W60" si="4">IF(X51&lt;&gt;"",X51,IF(AB57="","",AB57))</f>
        <v>1</v>
      </c>
      <c r="X51" s="54">
        <v>1</v>
      </c>
      <c r="Y51" s="14"/>
      <c r="AA51" s="2" t="s">
        <v>39</v>
      </c>
      <c r="AB51" s="39"/>
      <c r="AC51" s="29" t="str">
        <f t="shared" si="3"/>
        <v/>
      </c>
      <c r="AD51" s="40" t="str">
        <f>IF(V35="","",V35)</f>
        <v/>
      </c>
    </row>
    <row r="52" spans="1:30" ht="14.1" customHeight="1" x14ac:dyDescent="0.3">
      <c r="A52" s="3">
        <v>52</v>
      </c>
      <c r="O52" s="52"/>
      <c r="P52" s="17" t="s">
        <v>55</v>
      </c>
      <c r="U52"/>
      <c r="W52" s="55">
        <f t="shared" si="4"/>
        <v>2</v>
      </c>
      <c r="X52" s="56">
        <v>2</v>
      </c>
      <c r="Y52" s="14"/>
      <c r="AA52" s="2" t="s">
        <v>41</v>
      </c>
      <c r="AB52" s="39"/>
      <c r="AC52" s="29" t="str">
        <f t="shared" si="3"/>
        <v/>
      </c>
      <c r="AD52" s="40" t="str">
        <f>IF(V36="","",V36)</f>
        <v/>
      </c>
    </row>
    <row r="53" spans="1:30" ht="14.1" customHeight="1" x14ac:dyDescent="0.3">
      <c r="A53" s="3">
        <v>53</v>
      </c>
      <c r="O53" s="52"/>
      <c r="P53" s="17" t="s">
        <v>56</v>
      </c>
      <c r="U53"/>
      <c r="W53" s="55">
        <f t="shared" si="4"/>
        <v>3</v>
      </c>
      <c r="X53" s="56">
        <v>3</v>
      </c>
      <c r="Y53" s="14"/>
      <c r="AA53" s="2" t="s">
        <v>42</v>
      </c>
      <c r="AB53" s="39"/>
      <c r="AC53" s="29" t="str">
        <f t="shared" si="3"/>
        <v/>
      </c>
      <c r="AD53" s="40" t="str">
        <f>IF(V37="","",V37)</f>
        <v/>
      </c>
    </row>
    <row r="54" spans="1:30" ht="14.1" customHeight="1" x14ac:dyDescent="0.3">
      <c r="A54" s="3">
        <v>54</v>
      </c>
      <c r="O54" s="52"/>
      <c r="P54" s="17" t="s">
        <v>57</v>
      </c>
      <c r="U54"/>
      <c r="W54" s="55" t="str">
        <f t="shared" si="4"/>
        <v>AP</v>
      </c>
      <c r="X54" s="56" t="s">
        <v>58</v>
      </c>
      <c r="Y54" s="14"/>
      <c r="AA54" s="2" t="s">
        <v>45</v>
      </c>
      <c r="AB54" s="39"/>
      <c r="AC54" s="29" t="str">
        <f t="shared" si="3"/>
        <v/>
      </c>
      <c r="AD54" s="40" t="str">
        <f>IF(V40="","",V40)</f>
        <v/>
      </c>
    </row>
    <row r="55" spans="1:30" ht="14.1" customHeight="1" x14ac:dyDescent="0.3">
      <c r="A55" s="3">
        <v>55</v>
      </c>
      <c r="O55" s="52"/>
      <c r="P55" s="17" t="s">
        <v>59</v>
      </c>
      <c r="W55" s="55" t="str">
        <f t="shared" si="4"/>
        <v>Front</v>
      </c>
      <c r="X55" s="56" t="s">
        <v>60</v>
      </c>
      <c r="Y55" s="14"/>
      <c r="AA55" s="2" t="s">
        <v>46</v>
      </c>
      <c r="AB55" s="39"/>
      <c r="AC55" s="29" t="str">
        <f t="shared" si="3"/>
        <v/>
      </c>
      <c r="AD55" s="40" t="str">
        <f>IF(V41="","",V41)</f>
        <v/>
      </c>
    </row>
    <row r="56" spans="1:30" ht="14.1" customHeight="1" x14ac:dyDescent="0.3">
      <c r="A56" s="3">
        <v>56</v>
      </c>
      <c r="O56" s="13"/>
      <c r="S56"/>
      <c r="T56" s="46" t="s">
        <v>61</v>
      </c>
      <c r="W56" s="55" t="str">
        <f t="shared" si="4"/>
        <v>Frontal</v>
      </c>
      <c r="X56" s="56" t="s">
        <v>62</v>
      </c>
      <c r="Y56" s="14"/>
      <c r="AA56" s="1" t="s">
        <v>51</v>
      </c>
      <c r="AB56" s="39"/>
      <c r="AC56" s="29" t="str">
        <f t="shared" si="3"/>
        <v/>
      </c>
      <c r="AD56" s="57" t="str">
        <f>IF(W48="","",W48)</f>
        <v/>
      </c>
    </row>
    <row r="57" spans="1:30" ht="14.1" customHeight="1" x14ac:dyDescent="0.3">
      <c r="A57" s="3">
        <v>57</v>
      </c>
      <c r="O57" s="52"/>
      <c r="P57" s="17" t="s">
        <v>63</v>
      </c>
      <c r="W57" s="55" t="str">
        <f t="shared" si="4"/>
        <v>Lat</v>
      </c>
      <c r="X57" s="56" t="s">
        <v>64</v>
      </c>
      <c r="Y57" s="14"/>
      <c r="AA57" s="24" t="s">
        <v>65</v>
      </c>
      <c r="AB57" s="39"/>
      <c r="AC57" s="29" t="str">
        <f t="shared" si="3"/>
        <v>Change</v>
      </c>
      <c r="AD57" s="57">
        <f t="shared" ref="AD57:AD66" si="5">IF(W51="","",W51)</f>
        <v>1</v>
      </c>
    </row>
    <row r="58" spans="1:30" ht="14.1" customHeight="1" x14ac:dyDescent="0.3">
      <c r="A58" s="3">
        <v>58</v>
      </c>
      <c r="O58" s="52"/>
      <c r="P58" s="17" t="s">
        <v>66</v>
      </c>
      <c r="W58" s="55" t="str">
        <f t="shared" si="4"/>
        <v>Lateral</v>
      </c>
      <c r="X58" s="56" t="s">
        <v>67</v>
      </c>
      <c r="Y58" s="14"/>
      <c r="AB58" s="39"/>
      <c r="AC58" s="29" t="str">
        <f t="shared" si="3"/>
        <v>Change</v>
      </c>
      <c r="AD58" s="57">
        <f t="shared" si="5"/>
        <v>2</v>
      </c>
    </row>
    <row r="59" spans="1:30" ht="14.1" customHeight="1" x14ac:dyDescent="0.3">
      <c r="A59" s="3">
        <v>59</v>
      </c>
      <c r="O59" s="52"/>
      <c r="P59" s="17" t="s">
        <v>68</v>
      </c>
      <c r="W59" s="55" t="str">
        <f t="shared" si="4"/>
        <v/>
      </c>
      <c r="X59" s="56"/>
      <c r="Y59" s="14"/>
      <c r="AB59" s="39"/>
      <c r="AC59" s="29" t="str">
        <f t="shared" si="3"/>
        <v>Change</v>
      </c>
      <c r="AD59" s="57">
        <f t="shared" si="5"/>
        <v>3</v>
      </c>
    </row>
    <row r="60" spans="1:30" ht="14.1" customHeight="1" x14ac:dyDescent="0.3">
      <c r="A60" s="3">
        <v>60</v>
      </c>
      <c r="O60" s="52"/>
      <c r="P60" s="17" t="s">
        <v>69</v>
      </c>
      <c r="W60" s="58" t="str">
        <f t="shared" si="4"/>
        <v/>
      </c>
      <c r="X60" s="59"/>
      <c r="Y60" s="14"/>
      <c r="AB60" s="39"/>
      <c r="AC60" s="29" t="str">
        <f t="shared" si="3"/>
        <v>Change</v>
      </c>
      <c r="AD60" s="57" t="str">
        <f t="shared" si="5"/>
        <v>AP</v>
      </c>
    </row>
    <row r="61" spans="1:30" ht="14.1" customHeight="1" x14ac:dyDescent="0.3">
      <c r="A61" s="3">
        <v>61</v>
      </c>
      <c r="O61" s="52"/>
      <c r="P61" s="17"/>
      <c r="Y61" s="14"/>
      <c r="AB61" s="39"/>
      <c r="AC61" s="29" t="str">
        <f t="shared" si="3"/>
        <v>Change</v>
      </c>
      <c r="AD61" s="57" t="str">
        <f t="shared" si="5"/>
        <v>Front</v>
      </c>
    </row>
    <row r="62" spans="1:30" ht="14.1" customHeight="1" x14ac:dyDescent="0.3">
      <c r="A62" s="3">
        <v>62</v>
      </c>
      <c r="O62" s="60">
        <f>IF(AND(S126="NA",V126="NA"),"",IF(O102=1,IF(OR(S126="NO",V126="NO"),2,1),IF(OR(S126="NO",V126="NO",Y126="NO"),2,1)))</f>
        <v>1</v>
      </c>
      <c r="P62" s="17" t="s">
        <v>70</v>
      </c>
      <c r="Y62" s="14"/>
      <c r="AB62" s="39"/>
      <c r="AC62" s="29" t="str">
        <f t="shared" si="3"/>
        <v>Change</v>
      </c>
      <c r="AD62" s="57" t="str">
        <f t="shared" si="5"/>
        <v>Frontal</v>
      </c>
    </row>
    <row r="63" spans="1:30" ht="14.1" customHeight="1" x14ac:dyDescent="0.3">
      <c r="A63" s="3">
        <v>63</v>
      </c>
      <c r="O63" s="60">
        <f>IF(O102=2,3,IF(Y126="TBD","",IF(Y126="NO",2,IF(Y126="YES",1,3))))</f>
        <v>1</v>
      </c>
      <c r="P63" s="17" t="s">
        <v>71</v>
      </c>
      <c r="Y63" s="14"/>
      <c r="AB63" s="39"/>
      <c r="AC63" s="29" t="str">
        <f t="shared" si="3"/>
        <v>Change</v>
      </c>
      <c r="AD63" s="57" t="str">
        <f t="shared" si="5"/>
        <v>Lat</v>
      </c>
    </row>
    <row r="64" spans="1:30" ht="14.1" customHeight="1" x14ac:dyDescent="0.3">
      <c r="A64" s="3">
        <v>64</v>
      </c>
      <c r="O64" s="60">
        <f>IF(AND(I401="",I402="",I403="",I404="",I405=""),3,IF(OR(I401="NO",I402="NO",I403="NO",I404="NO",I405="NO"),2,1))</f>
        <v>3</v>
      </c>
      <c r="P64" s="17" t="s">
        <v>72</v>
      </c>
      <c r="Y64" s="14"/>
      <c r="AB64" s="39"/>
      <c r="AC64" s="29" t="str">
        <f t="shared" si="3"/>
        <v>Change</v>
      </c>
      <c r="AD64" s="57" t="str">
        <f t="shared" si="5"/>
        <v>Lateral</v>
      </c>
    </row>
    <row r="65" spans="1:30" ht="14.1" customHeight="1" x14ac:dyDescent="0.3">
      <c r="A65" s="3">
        <v>65</v>
      </c>
      <c r="C65" s="2" t="s">
        <v>8</v>
      </c>
      <c r="D65" s="437" t="str">
        <f>IF($P$7="","",$P$7)</f>
        <v/>
      </c>
      <c r="L65" s="2" t="s">
        <v>9</v>
      </c>
      <c r="M65" s="62" t="str">
        <f>IF($X$7="","",$X$7)</f>
        <v>Eugene Mah</v>
      </c>
      <c r="O65" s="60">
        <f>IF(OR(T324="",T324="NA"),3,IF(T324="TBD","",IF(T324="YES",1,2)))</f>
        <v>3</v>
      </c>
      <c r="P65" s="17" t="s">
        <v>73</v>
      </c>
      <c r="Y65" s="14"/>
      <c r="AB65" s="39"/>
      <c r="AC65" s="29" t="str">
        <f t="shared" si="3"/>
        <v/>
      </c>
      <c r="AD65" s="57" t="str">
        <f t="shared" si="5"/>
        <v/>
      </c>
    </row>
    <row r="66" spans="1:30" ht="14.1" customHeight="1" x14ac:dyDescent="0.3">
      <c r="A66" s="3">
        <v>66</v>
      </c>
      <c r="C66" s="2" t="s">
        <v>74</v>
      </c>
      <c r="D66" s="63" t="str">
        <f>IF($R$14="","",$R$14&amp;" Tube "&amp;$W$48)</f>
        <v/>
      </c>
      <c r="L66" s="2" t="s">
        <v>23</v>
      </c>
      <c r="M66" s="64" t="str">
        <f>IF($R$13="","",$R$13)</f>
        <v/>
      </c>
      <c r="O66" s="60">
        <f>IF(W237="TBD","",IF(W237="YES",1,IF(W237="NO",2,3)))</f>
        <v>1</v>
      </c>
      <c r="P66" s="17" t="s">
        <v>75</v>
      </c>
      <c r="Y66" s="14"/>
      <c r="AB66" s="39"/>
      <c r="AC66" s="29" t="str">
        <f t="shared" si="3"/>
        <v/>
      </c>
      <c r="AD66" s="57" t="str">
        <f t="shared" si="5"/>
        <v/>
      </c>
    </row>
    <row r="67" spans="1:30" ht="14.1" customHeight="1" x14ac:dyDescent="0.3">
      <c r="A67" s="3">
        <v>1</v>
      </c>
      <c r="M67" s="65" t="str">
        <f>$H$2</f>
        <v>Medical University of South Carolina</v>
      </c>
      <c r="O67" s="52"/>
      <c r="P67" s="17" t="s">
        <v>76</v>
      </c>
      <c r="Y67" s="14"/>
      <c r="AA67" s="24" t="s">
        <v>77</v>
      </c>
      <c r="AD67"/>
    </row>
    <row r="68" spans="1:30" ht="14.1" customHeight="1" x14ac:dyDescent="0.3">
      <c r="A68" s="3">
        <v>2</v>
      </c>
      <c r="H68" s="31" t="s">
        <v>48</v>
      </c>
      <c r="M68" s="24" t="str">
        <f>$H$5</f>
        <v>Fluoroscopy System Compliance Inspection</v>
      </c>
      <c r="O68" s="52"/>
      <c r="P68" s="17" t="s">
        <v>78</v>
      </c>
      <c r="Y68" s="14"/>
      <c r="AA68" s="2" t="s">
        <v>79</v>
      </c>
      <c r="AB68" s="39"/>
      <c r="AC68" s="29" t="str">
        <f>IF(AB68&lt;&gt;AD68,"Change","")</f>
        <v/>
      </c>
      <c r="AD68" s="40" t="str">
        <f>IF(O110="","",O110)</f>
        <v/>
      </c>
    </row>
    <row r="69" spans="1:30" ht="14.1" customHeight="1" x14ac:dyDescent="0.3">
      <c r="A69" s="3">
        <v>3</v>
      </c>
      <c r="B69" s="256"/>
      <c r="C69" s="273" t="s">
        <v>80</v>
      </c>
      <c r="D69" s="257"/>
      <c r="E69" s="265"/>
      <c r="F69" s="266" t="s">
        <v>50</v>
      </c>
      <c r="G69" s="257"/>
      <c r="H69" s="257"/>
      <c r="I69" s="257"/>
      <c r="J69" s="257"/>
      <c r="K69" s="257"/>
      <c r="L69" s="551" t="s">
        <v>81</v>
      </c>
      <c r="M69" s="552"/>
      <c r="O69" s="52"/>
      <c r="P69" s="17" t="s">
        <v>82</v>
      </c>
      <c r="Y69" s="14"/>
      <c r="AA69" s="2" t="s">
        <v>83</v>
      </c>
      <c r="AB69" s="39"/>
      <c r="AC69" s="29" t="str">
        <f>IF(AB69&lt;&gt;AD69,"Change","")</f>
        <v/>
      </c>
      <c r="AD69" s="40" t="str">
        <f>IF(O113="","",O113)</f>
        <v/>
      </c>
    </row>
    <row r="70" spans="1:30" ht="14.1" customHeight="1" x14ac:dyDescent="0.3">
      <c r="A70" s="3">
        <v>4</v>
      </c>
      <c r="B70" s="259"/>
      <c r="C70" s="66" t="s">
        <v>497</v>
      </c>
      <c r="E70" s="66" t="s">
        <v>495</v>
      </c>
      <c r="L70" s="274" t="str">
        <f t="shared" ref="L70:L76" si="6">IF(O49="","TBD",IF(O49=1,"YES",IF(O49=3,"NA","")))</f>
        <v>TBD</v>
      </c>
      <c r="M70" s="275" t="str">
        <f t="shared" ref="M70:M76" si="7">IF(O49=2,"NO","")</f>
        <v/>
      </c>
      <c r="O70" s="52"/>
      <c r="P70" s="17" t="s">
        <v>84</v>
      </c>
      <c r="Y70" s="14"/>
      <c r="AA70" s="2" t="s">
        <v>85</v>
      </c>
      <c r="AB70" s="39"/>
      <c r="AC70" s="29" t="str">
        <f>IF(AB70&lt;&gt;AD70,"Change","")</f>
        <v/>
      </c>
      <c r="AD70" s="40" t="str">
        <f>IF(O116="","",O116)</f>
        <v/>
      </c>
    </row>
    <row r="71" spans="1:30" ht="14.1" customHeight="1" x14ac:dyDescent="0.3">
      <c r="A71" s="3">
        <v>5</v>
      </c>
      <c r="B71" s="259"/>
      <c r="C71" s="66" t="s">
        <v>498</v>
      </c>
      <c r="E71" s="66" t="s">
        <v>496</v>
      </c>
      <c r="L71" s="274" t="str">
        <f t="shared" si="6"/>
        <v>TBD</v>
      </c>
      <c r="M71" s="275" t="str">
        <f t="shared" si="7"/>
        <v/>
      </c>
      <c r="O71" s="52"/>
      <c r="P71" s="17" t="s">
        <v>86</v>
      </c>
      <c r="Y71" s="14"/>
      <c r="AA71" s="2" t="s">
        <v>87</v>
      </c>
      <c r="AB71" s="39"/>
      <c r="AC71" s="29" t="str">
        <f>IF(AB71&lt;&gt;AD71,"Change","")</f>
        <v/>
      </c>
      <c r="AD71" s="40" t="str">
        <f>IF(O119="","",O119)</f>
        <v/>
      </c>
    </row>
    <row r="72" spans="1:30" ht="14.1" customHeight="1" x14ac:dyDescent="0.3">
      <c r="A72" s="3">
        <v>6</v>
      </c>
      <c r="B72" s="259"/>
      <c r="C72" s="66" t="s">
        <v>499</v>
      </c>
      <c r="E72" s="66" t="s">
        <v>54</v>
      </c>
      <c r="L72" s="274" t="str">
        <f t="shared" si="6"/>
        <v>TBD</v>
      </c>
      <c r="M72" s="275" t="str">
        <f t="shared" si="7"/>
        <v/>
      </c>
      <c r="O72" s="13"/>
      <c r="S72"/>
      <c r="T72" s="46" t="s">
        <v>88</v>
      </c>
      <c r="Y72" s="14"/>
      <c r="AA72" s="2" t="s">
        <v>89</v>
      </c>
      <c r="AB72" s="39"/>
      <c r="AC72" s="29" t="str">
        <f>IF(AB72&lt;&gt;AD72,"Change","")</f>
        <v/>
      </c>
      <c r="AD72" s="40" t="str">
        <f>IF(O122="","",O122)</f>
        <v/>
      </c>
    </row>
    <row r="73" spans="1:30" ht="14.1" customHeight="1" x14ac:dyDescent="0.3">
      <c r="A73" s="3">
        <v>7</v>
      </c>
      <c r="B73" s="259"/>
      <c r="C73" s="66"/>
      <c r="E73" s="66" t="s">
        <v>55</v>
      </c>
      <c r="L73" s="274" t="str">
        <f t="shared" si="6"/>
        <v>TBD</v>
      </c>
      <c r="M73" s="275" t="str">
        <f t="shared" si="7"/>
        <v/>
      </c>
      <c r="O73" s="52"/>
      <c r="P73" s="17" t="s">
        <v>90</v>
      </c>
      <c r="Y73" s="14"/>
      <c r="AA73" s="24" t="s">
        <v>91</v>
      </c>
      <c r="AD73"/>
    </row>
    <row r="74" spans="1:30" ht="14.1" customHeight="1" x14ac:dyDescent="0.3">
      <c r="A74" s="3">
        <v>8</v>
      </c>
      <c r="B74" s="259"/>
      <c r="C74" s="66"/>
      <c r="E74" s="66" t="s">
        <v>56</v>
      </c>
      <c r="L74" s="274" t="str">
        <f t="shared" si="6"/>
        <v>TBD</v>
      </c>
      <c r="M74" s="275" t="str">
        <f t="shared" si="7"/>
        <v/>
      </c>
      <c r="O74" s="52"/>
      <c r="P74" s="17" t="s">
        <v>92</v>
      </c>
      <c r="Y74" s="14"/>
      <c r="AA74" s="2" t="s">
        <v>93</v>
      </c>
      <c r="AB74" s="39"/>
      <c r="AC74" s="29" t="str">
        <f t="shared" ref="AC74:AC82" si="8">IF(AB74&lt;&gt;AD74,"Change","")</f>
        <v/>
      </c>
      <c r="AD74" s="57" t="str">
        <f>IF(Q99="","",Q99)</f>
        <v/>
      </c>
    </row>
    <row r="75" spans="1:30" ht="14.1" customHeight="1" x14ac:dyDescent="0.3">
      <c r="A75" s="3">
        <v>9</v>
      </c>
      <c r="B75" s="259"/>
      <c r="C75" s="66"/>
      <c r="E75" s="66" t="s">
        <v>57</v>
      </c>
      <c r="L75" s="274" t="str">
        <f t="shared" si="6"/>
        <v>TBD</v>
      </c>
      <c r="M75" s="275" t="str">
        <f t="shared" si="7"/>
        <v/>
      </c>
      <c r="O75" s="52"/>
      <c r="P75" s="17" t="s">
        <v>94</v>
      </c>
      <c r="Y75" s="14"/>
      <c r="AA75" s="2" t="s">
        <v>95</v>
      </c>
      <c r="AB75" s="39"/>
      <c r="AC75" s="29" t="str">
        <f t="shared" si="8"/>
        <v>Change</v>
      </c>
      <c r="AD75" s="57">
        <f>IF(Q100="","",Q100)</f>
        <v>1</v>
      </c>
    </row>
    <row r="76" spans="1:30" ht="14.1" customHeight="1" x14ac:dyDescent="0.3">
      <c r="A76" s="3">
        <v>10</v>
      </c>
      <c r="B76" s="259"/>
      <c r="C76" s="66"/>
      <c r="E76" s="66" t="s">
        <v>59</v>
      </c>
      <c r="L76" s="274" t="str">
        <f t="shared" si="6"/>
        <v>TBD</v>
      </c>
      <c r="M76" s="275" t="str">
        <f t="shared" si="7"/>
        <v/>
      </c>
      <c r="O76" s="52"/>
      <c r="P76" s="17" t="s">
        <v>96</v>
      </c>
      <c r="Y76" s="14"/>
      <c r="AA76" s="2" t="s">
        <v>97</v>
      </c>
      <c r="AB76" s="39"/>
      <c r="AC76" s="29" t="str">
        <f t="shared" si="8"/>
        <v/>
      </c>
      <c r="AD76" s="40" t="str">
        <f>IF(O101="","",O101)</f>
        <v/>
      </c>
    </row>
    <row r="77" spans="1:30" ht="14.1" customHeight="1" x14ac:dyDescent="0.3">
      <c r="A77" s="3">
        <v>11</v>
      </c>
      <c r="B77" s="259"/>
      <c r="C77" s="66"/>
      <c r="M77" s="260"/>
      <c r="O77" s="52"/>
      <c r="P77" s="17" t="s">
        <v>98</v>
      </c>
      <c r="Y77" s="14"/>
      <c r="AA77" s="2" t="s">
        <v>99</v>
      </c>
      <c r="AB77" s="39"/>
      <c r="AC77" s="29" t="str">
        <f t="shared" si="8"/>
        <v/>
      </c>
      <c r="AD77" s="40" t="str">
        <f>IF(O102="","",O102)</f>
        <v/>
      </c>
    </row>
    <row r="78" spans="1:30" ht="14.1" customHeight="1" x14ac:dyDescent="0.3">
      <c r="A78" s="3">
        <v>12</v>
      </c>
      <c r="B78" s="259"/>
      <c r="C78" s="66"/>
      <c r="F78" s="46" t="s">
        <v>88</v>
      </c>
      <c r="M78" s="260"/>
      <c r="O78" s="52"/>
      <c r="P78" s="17" t="s">
        <v>100</v>
      </c>
      <c r="Y78" s="14"/>
      <c r="AA78" s="2" t="s">
        <v>101</v>
      </c>
      <c r="AB78" s="39"/>
      <c r="AC78" s="29" t="str">
        <f t="shared" si="8"/>
        <v>Change</v>
      </c>
      <c r="AD78" s="40" t="str">
        <f>IF(O104="","",O104)</f>
        <v>cm</v>
      </c>
    </row>
    <row r="79" spans="1:30" ht="14.1" customHeight="1" x14ac:dyDescent="0.3">
      <c r="A79" s="3">
        <v>13</v>
      </c>
      <c r="B79" s="259"/>
      <c r="C79" s="66"/>
      <c r="E79" s="66" t="s">
        <v>90</v>
      </c>
      <c r="L79" s="274" t="str">
        <f t="shared" ref="L79:L87" si="9">IF(O73="","TBD",IF(O73=1,"YES",IF(O73=3,"NA","")))</f>
        <v>TBD</v>
      </c>
      <c r="M79" s="275" t="str">
        <f t="shared" ref="M79:M87" si="10">IF(O73=2,"NO","")</f>
        <v/>
      </c>
      <c r="O79" s="52"/>
      <c r="P79" s="17" t="s">
        <v>102</v>
      </c>
      <c r="Y79" s="14"/>
      <c r="AA79" s="2" t="s">
        <v>103</v>
      </c>
      <c r="AB79" s="39"/>
      <c r="AC79" s="29" t="str">
        <f t="shared" si="8"/>
        <v>Change</v>
      </c>
      <c r="AD79" s="40" t="str">
        <f>IF(V99="","",V99)</f>
        <v>Auto</v>
      </c>
    </row>
    <row r="80" spans="1:30" ht="14.1" customHeight="1" x14ac:dyDescent="0.3">
      <c r="A80" s="3">
        <v>14</v>
      </c>
      <c r="B80" s="259"/>
      <c r="C80" s="66"/>
      <c r="E80" s="66" t="s">
        <v>92</v>
      </c>
      <c r="L80" s="274" t="str">
        <f t="shared" si="9"/>
        <v>TBD</v>
      </c>
      <c r="M80" s="275" t="str">
        <f t="shared" si="10"/>
        <v/>
      </c>
      <c r="O80" s="52"/>
      <c r="P80" s="17" t="s">
        <v>104</v>
      </c>
      <c r="Y80" s="14"/>
      <c r="AA80" s="2" t="s">
        <v>417</v>
      </c>
      <c r="AB80" s="39"/>
      <c r="AC80" s="29" t="str">
        <f t="shared" si="8"/>
        <v>Change</v>
      </c>
      <c r="AD80" s="40" t="str">
        <f>IF(V100="","",V100)</f>
        <v>Piranha 1 CB2-17090320</v>
      </c>
    </row>
    <row r="81" spans="1:30" ht="14.1" customHeight="1" x14ac:dyDescent="0.3">
      <c r="A81" s="3">
        <v>15</v>
      </c>
      <c r="B81" s="259"/>
      <c r="C81" s="66" t="s">
        <v>500</v>
      </c>
      <c r="E81" s="66" t="s">
        <v>94</v>
      </c>
      <c r="L81" s="274" t="str">
        <f t="shared" si="9"/>
        <v>TBD</v>
      </c>
      <c r="M81" s="275" t="str">
        <f t="shared" si="10"/>
        <v/>
      </c>
      <c r="O81" s="52"/>
      <c r="P81" s="17" t="s">
        <v>106</v>
      </c>
      <c r="Y81" s="14"/>
      <c r="AA81" s="2" t="s">
        <v>294</v>
      </c>
      <c r="AB81" s="452"/>
      <c r="AC81" s="29" t="str">
        <f t="shared" si="8"/>
        <v/>
      </c>
      <c r="AD81" s="451" t="str">
        <f>IF(V101="","",V101)</f>
        <v/>
      </c>
    </row>
    <row r="82" spans="1:30" ht="14.1" customHeight="1" x14ac:dyDescent="0.3">
      <c r="A82" s="3">
        <v>16</v>
      </c>
      <c r="B82" s="259"/>
      <c r="C82" s="66" t="s">
        <v>500</v>
      </c>
      <c r="E82" s="66" t="s">
        <v>96</v>
      </c>
      <c r="L82" s="274" t="str">
        <f t="shared" si="9"/>
        <v>TBD</v>
      </c>
      <c r="M82" s="275" t="str">
        <f t="shared" si="10"/>
        <v/>
      </c>
      <c r="O82" s="13"/>
      <c r="S82"/>
      <c r="T82" s="46" t="s">
        <v>108</v>
      </c>
      <c r="Y82" s="14"/>
      <c r="AA82" s="2" t="s">
        <v>418</v>
      </c>
      <c r="AB82" s="452"/>
      <c r="AC82" s="29" t="str">
        <f t="shared" si="8"/>
        <v/>
      </c>
      <c r="AD82" s="451" t="str">
        <f>IF(V102="","",V102)</f>
        <v/>
      </c>
    </row>
    <row r="83" spans="1:30" ht="14.1" customHeight="1" x14ac:dyDescent="0.3">
      <c r="A83" s="3">
        <v>17</v>
      </c>
      <c r="B83" s="259"/>
      <c r="C83" s="66"/>
      <c r="E83" s="66" t="s">
        <v>98</v>
      </c>
      <c r="L83" s="274" t="str">
        <f t="shared" si="9"/>
        <v>TBD</v>
      </c>
      <c r="M83" s="275" t="str">
        <f t="shared" si="10"/>
        <v/>
      </c>
      <c r="O83" s="52"/>
      <c r="P83" s="17" t="s">
        <v>110</v>
      </c>
      <c r="Y83" s="14"/>
      <c r="AA83" s="2" t="s">
        <v>105</v>
      </c>
      <c r="AB83" s="39"/>
      <c r="AC83" s="29" t="str">
        <f>IF(AB83&lt;&gt;AD83,"Change","")</f>
        <v/>
      </c>
      <c r="AD83" s="40" t="str">
        <f>IF(Q106="","",Q106)</f>
        <v/>
      </c>
    </row>
    <row r="84" spans="1:30" ht="14.1" customHeight="1" x14ac:dyDescent="0.3">
      <c r="A84" s="3">
        <v>18</v>
      </c>
      <c r="B84" s="259"/>
      <c r="C84" s="66" t="s">
        <v>501</v>
      </c>
      <c r="E84" s="66" t="s">
        <v>100</v>
      </c>
      <c r="L84" s="274" t="str">
        <f t="shared" si="9"/>
        <v>TBD</v>
      </c>
      <c r="M84" s="275" t="str">
        <f t="shared" si="10"/>
        <v/>
      </c>
      <c r="O84" s="52"/>
      <c r="P84" s="17" t="s">
        <v>112</v>
      </c>
      <c r="Y84" s="14"/>
      <c r="AA84" s="2" t="s">
        <v>107</v>
      </c>
      <c r="AB84" s="39"/>
      <c r="AC84" s="29" t="str">
        <f>IF(AB84&lt;&gt;AD84,"Change","")</f>
        <v/>
      </c>
      <c r="AD84" s="40" t="str">
        <f>IF(T106="","",T106)</f>
        <v/>
      </c>
    </row>
    <row r="85" spans="1:30" ht="14.1" customHeight="1" x14ac:dyDescent="0.3">
      <c r="A85" s="3">
        <v>19</v>
      </c>
      <c r="B85" s="259"/>
      <c r="C85" s="66"/>
      <c r="E85" s="66" t="s">
        <v>102</v>
      </c>
      <c r="L85" s="274" t="str">
        <f t="shared" si="9"/>
        <v>TBD</v>
      </c>
      <c r="M85" s="275" t="str">
        <f t="shared" si="10"/>
        <v/>
      </c>
      <c r="O85" s="52"/>
      <c r="P85" s="17" t="s">
        <v>114</v>
      </c>
      <c r="Y85" s="14"/>
      <c r="AA85" s="2" t="s">
        <v>109</v>
      </c>
      <c r="AB85" s="39"/>
      <c r="AC85" s="29" t="str">
        <f>IF(AB85&lt;&gt;AD85,"Change","")</f>
        <v/>
      </c>
      <c r="AD85" s="40" t="str">
        <f>IF(W106="","",W106)</f>
        <v/>
      </c>
    </row>
    <row r="86" spans="1:30" ht="14.1" customHeight="1" x14ac:dyDescent="0.3">
      <c r="A86" s="3">
        <v>20</v>
      </c>
      <c r="B86" s="259"/>
      <c r="C86" s="66" t="s">
        <v>500</v>
      </c>
      <c r="E86" s="66" t="s">
        <v>104</v>
      </c>
      <c r="L86" s="274" t="str">
        <f t="shared" si="9"/>
        <v>TBD</v>
      </c>
      <c r="M86" s="275" t="str">
        <f t="shared" si="10"/>
        <v/>
      </c>
      <c r="O86" s="52"/>
      <c r="P86" s="17" t="s">
        <v>116</v>
      </c>
      <c r="Y86" s="14"/>
      <c r="AA86" s="24" t="s">
        <v>111</v>
      </c>
    </row>
    <row r="87" spans="1:30" ht="14.1" customHeight="1" x14ac:dyDescent="0.3">
      <c r="A87" s="3">
        <v>21</v>
      </c>
      <c r="B87" s="259"/>
      <c r="C87" s="66"/>
      <c r="E87" s="66" t="s">
        <v>106</v>
      </c>
      <c r="L87" s="274" t="str">
        <f t="shared" si="9"/>
        <v>TBD</v>
      </c>
      <c r="M87" s="275" t="str">
        <f t="shared" si="10"/>
        <v/>
      </c>
      <c r="O87" s="52"/>
      <c r="P87" s="17" t="s">
        <v>118</v>
      </c>
      <c r="Y87" s="14"/>
      <c r="AA87" s="2" t="s">
        <v>113</v>
      </c>
      <c r="AB87" s="39"/>
      <c r="AC87" s="29" t="str">
        <f t="shared" ref="AC87:AC95" si="11">IF(AB87&lt;&gt;AD87,"Change","")</f>
        <v/>
      </c>
      <c r="AD87" s="40">
        <f>IF(Q124="","",Q124)</f>
        <v>0</v>
      </c>
    </row>
    <row r="88" spans="1:30" ht="14.1" customHeight="1" x14ac:dyDescent="0.3">
      <c r="A88" s="3">
        <v>22</v>
      </c>
      <c r="B88" s="259"/>
      <c r="C88" s="66"/>
      <c r="D88"/>
      <c r="E88"/>
      <c r="F88"/>
      <c r="G88"/>
      <c r="H88"/>
      <c r="I88"/>
      <c r="J88"/>
      <c r="K88"/>
      <c r="L88"/>
      <c r="M88" s="269"/>
      <c r="O88" s="52"/>
      <c r="P88" s="17" t="str">
        <f>IF(OR(O48="",O48=1),"Unit installed as shown on shielding plan","")</f>
        <v/>
      </c>
      <c r="Y88" s="14"/>
      <c r="AA88" s="2" t="s">
        <v>115</v>
      </c>
      <c r="AB88" s="39"/>
      <c r="AC88" s="29" t="str">
        <f t="shared" si="11"/>
        <v/>
      </c>
      <c r="AD88" s="40">
        <f>IF(R124="","",R124)</f>
        <v>0</v>
      </c>
    </row>
    <row r="89" spans="1:30" ht="14.1" customHeight="1" x14ac:dyDescent="0.3">
      <c r="A89" s="3">
        <v>23</v>
      </c>
      <c r="B89" s="259"/>
      <c r="C89" s="68"/>
      <c r="F89" s="46" t="s">
        <v>61</v>
      </c>
      <c r="M89" s="260"/>
      <c r="O89" s="67"/>
      <c r="P89" s="17"/>
      <c r="S89"/>
      <c r="T89" s="46" t="s">
        <v>119</v>
      </c>
      <c r="Y89" s="14"/>
      <c r="AA89" s="2" t="s">
        <v>117</v>
      </c>
      <c r="AB89" s="39"/>
      <c r="AC89" s="29" t="str">
        <f t="shared" si="11"/>
        <v/>
      </c>
      <c r="AD89" s="40">
        <f>IF(S124="","",S124)</f>
        <v>0</v>
      </c>
    </row>
    <row r="90" spans="1:30" ht="14.1" customHeight="1" x14ac:dyDescent="0.3">
      <c r="A90" s="3">
        <v>24</v>
      </c>
      <c r="B90" s="259"/>
      <c r="C90" s="66" t="s">
        <v>502</v>
      </c>
      <c r="E90" s="66" t="s">
        <v>63</v>
      </c>
      <c r="L90" s="274" t="str">
        <f t="shared" ref="L90:L97" si="12">IF(O57="","TBD",IF(O57=1,"YES",IF(O57=3,"NA","")))</f>
        <v>TBD</v>
      </c>
      <c r="M90" s="275" t="str">
        <f t="shared" ref="M90:M104" si="13">IF(O57=2,"NO","")</f>
        <v/>
      </c>
      <c r="O90" s="52"/>
      <c r="P90" s="17" t="s">
        <v>120</v>
      </c>
      <c r="Y90" s="14"/>
      <c r="AA90" s="2" t="s">
        <v>113</v>
      </c>
      <c r="AB90" s="39"/>
      <c r="AC90" s="29" t="str">
        <f t="shared" si="11"/>
        <v/>
      </c>
      <c r="AD90" s="40">
        <f>IF(T124="","",T124)</f>
        <v>0</v>
      </c>
    </row>
    <row r="91" spans="1:30" ht="14.1" customHeight="1" x14ac:dyDescent="0.3">
      <c r="A91" s="3">
        <v>25</v>
      </c>
      <c r="B91" s="259"/>
      <c r="C91" s="66" t="s">
        <v>503</v>
      </c>
      <c r="E91" s="66" t="s">
        <v>66</v>
      </c>
      <c r="L91" s="274" t="str">
        <f t="shared" si="12"/>
        <v>TBD</v>
      </c>
      <c r="M91" s="275" t="str">
        <f t="shared" si="13"/>
        <v/>
      </c>
      <c r="O91" s="52"/>
      <c r="P91" s="17" t="s">
        <v>121</v>
      </c>
      <c r="Y91" s="14"/>
      <c r="AA91" s="2" t="s">
        <v>115</v>
      </c>
      <c r="AB91" s="39"/>
      <c r="AC91" s="29" t="str">
        <f t="shared" si="11"/>
        <v/>
      </c>
      <c r="AD91" s="40">
        <f>IF(U124="","",U124)</f>
        <v>0</v>
      </c>
    </row>
    <row r="92" spans="1:30" ht="14.1" customHeight="1" x14ac:dyDescent="0.3">
      <c r="A92" s="3">
        <v>26</v>
      </c>
      <c r="B92" s="259"/>
      <c r="C92" s="66" t="s">
        <v>504</v>
      </c>
      <c r="E92" s="66" t="s">
        <v>445</v>
      </c>
      <c r="L92" s="274" t="str">
        <f t="shared" si="12"/>
        <v>TBD</v>
      </c>
      <c r="M92" s="275" t="str">
        <f t="shared" si="13"/>
        <v/>
      </c>
      <c r="O92" s="52"/>
      <c r="P92" s="17" t="s">
        <v>122</v>
      </c>
      <c r="Y92" s="14"/>
      <c r="AA92" s="2" t="s">
        <v>117</v>
      </c>
      <c r="AB92" s="39"/>
      <c r="AC92" s="29" t="str">
        <f t="shared" si="11"/>
        <v/>
      </c>
      <c r="AD92" s="40">
        <f>IF(V124="","",V124)</f>
        <v>0</v>
      </c>
    </row>
    <row r="93" spans="1:30" ht="14.1" customHeight="1" x14ac:dyDescent="0.3">
      <c r="A93" s="3">
        <v>27</v>
      </c>
      <c r="B93" s="259"/>
      <c r="C93" s="66" t="s">
        <v>505</v>
      </c>
      <c r="E93" s="66" t="s">
        <v>69</v>
      </c>
      <c r="L93" s="274" t="str">
        <f t="shared" si="12"/>
        <v>TBD</v>
      </c>
      <c r="M93" s="275" t="str">
        <f t="shared" si="13"/>
        <v/>
      </c>
      <c r="O93" s="52"/>
      <c r="P93" s="17" t="s">
        <v>123</v>
      </c>
      <c r="Y93" s="14"/>
      <c r="AA93" s="2" t="s">
        <v>113</v>
      </c>
      <c r="AB93" s="39"/>
      <c r="AC93" s="29" t="str">
        <f t="shared" si="11"/>
        <v/>
      </c>
      <c r="AD93" s="40">
        <f>IF(W124="","",W124)</f>
        <v>0</v>
      </c>
    </row>
    <row r="94" spans="1:30" ht="14.1" customHeight="1" x14ac:dyDescent="0.3">
      <c r="A94" s="3">
        <v>28</v>
      </c>
      <c r="B94" s="259"/>
      <c r="C94" s="66"/>
      <c r="E94" s="66"/>
      <c r="L94" s="274"/>
      <c r="M94" s="275"/>
      <c r="O94" s="52"/>
      <c r="P94" s="17" t="s">
        <v>124</v>
      </c>
      <c r="Y94" s="14"/>
      <c r="AA94" s="2" t="s">
        <v>115</v>
      </c>
      <c r="AB94" s="39"/>
      <c r="AC94" s="29" t="str">
        <f t="shared" si="11"/>
        <v/>
      </c>
      <c r="AD94" s="40">
        <f>IF(X124="","",X124)</f>
        <v>0</v>
      </c>
    </row>
    <row r="95" spans="1:30" ht="14.1" customHeight="1" thickBot="1" x14ac:dyDescent="0.35">
      <c r="A95" s="3">
        <v>29</v>
      </c>
      <c r="B95" s="259"/>
      <c r="C95" s="66" t="s">
        <v>506</v>
      </c>
      <c r="E95" s="66" t="s">
        <v>70</v>
      </c>
      <c r="L95" s="274" t="str">
        <f t="shared" si="12"/>
        <v>YES</v>
      </c>
      <c r="M95" s="275" t="str">
        <f t="shared" si="13"/>
        <v/>
      </c>
      <c r="O95" s="475"/>
      <c r="P95" s="197" t="s">
        <v>126</v>
      </c>
      <c r="Q95" s="22"/>
      <c r="R95" s="22"/>
      <c r="S95" s="22"/>
      <c r="T95" s="22"/>
      <c r="U95" s="22"/>
      <c r="V95" s="22"/>
      <c r="W95" s="22"/>
      <c r="X95" s="22"/>
      <c r="Y95" s="23"/>
      <c r="AA95" s="2" t="s">
        <v>117</v>
      </c>
      <c r="AB95" s="39"/>
      <c r="AC95" s="29" t="str">
        <f t="shared" si="11"/>
        <v/>
      </c>
      <c r="AD95" s="40">
        <f>IF(Y124="","",Y124)</f>
        <v>0</v>
      </c>
    </row>
    <row r="96" spans="1:30" ht="14.1" customHeight="1" x14ac:dyDescent="0.3">
      <c r="A96" s="3">
        <v>30</v>
      </c>
      <c r="B96" s="259"/>
      <c r="C96" s="66" t="s">
        <v>507</v>
      </c>
      <c r="E96" s="66" t="s">
        <v>71</v>
      </c>
      <c r="L96" s="274" t="str">
        <f t="shared" si="12"/>
        <v>YES</v>
      </c>
      <c r="M96" s="275" t="str">
        <f t="shared" si="13"/>
        <v/>
      </c>
      <c r="AA96" s="24" t="s">
        <v>125</v>
      </c>
      <c r="AB96"/>
      <c r="AC96"/>
      <c r="AD96"/>
    </row>
    <row r="97" spans="1:30" ht="14.1" customHeight="1" x14ac:dyDescent="0.3">
      <c r="A97" s="3">
        <v>31</v>
      </c>
      <c r="B97" s="259"/>
      <c r="C97" s="66"/>
      <c r="E97" s="66" t="s">
        <v>72</v>
      </c>
      <c r="L97" s="274" t="str">
        <f t="shared" si="12"/>
        <v>NA</v>
      </c>
      <c r="M97" s="275" t="str">
        <f t="shared" si="13"/>
        <v/>
      </c>
      <c r="S97"/>
      <c r="T97" s="31" t="s">
        <v>48</v>
      </c>
      <c r="AA97" s="2" t="s">
        <v>113</v>
      </c>
      <c r="AB97" s="39"/>
      <c r="AC97" s="29" t="str">
        <f t="shared" ref="AC97:AC105" si="14">IF(AB97&lt;&gt;AD97,"Change","")</f>
        <v/>
      </c>
      <c r="AD97" s="40">
        <f>IF(Q156="","",Q156)</f>
        <v>0</v>
      </c>
    </row>
    <row r="98" spans="1:30" ht="14.1" customHeight="1" thickBot="1" x14ac:dyDescent="0.35">
      <c r="A98" s="3">
        <v>32</v>
      </c>
      <c r="B98" s="259"/>
      <c r="C98" s="66"/>
      <c r="E98" s="66" t="s">
        <v>73</v>
      </c>
      <c r="L98" s="274" t="str">
        <f>IF(O65="","NA",IF(O65=1,"YES",IF(O65=3,"NA","")))</f>
        <v>NA</v>
      </c>
      <c r="M98" s="275" t="str">
        <f t="shared" si="13"/>
        <v/>
      </c>
      <c r="AA98" s="2" t="s">
        <v>115</v>
      </c>
      <c r="AB98" s="39"/>
      <c r="AC98" s="29" t="str">
        <f t="shared" si="14"/>
        <v/>
      </c>
      <c r="AD98" s="40">
        <f>IF(R156="","",R156)</f>
        <v>0</v>
      </c>
    </row>
    <row r="99" spans="1:30" ht="14.1" customHeight="1" x14ac:dyDescent="0.3">
      <c r="A99" s="3">
        <v>33</v>
      </c>
      <c r="B99" s="259"/>
      <c r="C99" s="66" t="s">
        <v>508</v>
      </c>
      <c r="E99" s="66" t="s">
        <v>75</v>
      </c>
      <c r="L99" s="274" t="str">
        <f t="shared" ref="L99:L104" si="15">IF(O66="","TBD",IF(O66=1,"YES",IF(O66=3,"NA","")))</f>
        <v>YES</v>
      </c>
      <c r="M99" s="275" t="str">
        <f t="shared" si="13"/>
        <v/>
      </c>
      <c r="O99" s="51" t="s">
        <v>127</v>
      </c>
      <c r="P99" s="7"/>
      <c r="Q99" s="69" t="str">
        <f>IF(R99&lt;&gt;"",R99,IF(AB74="","",AB74))</f>
        <v/>
      </c>
      <c r="R99" s="70"/>
      <c r="S99" s="71" t="s">
        <v>128</v>
      </c>
      <c r="T99" s="72"/>
      <c r="U99" s="7"/>
      <c r="V99" s="443" t="str">
        <f>IF(W99&lt;&gt;"",W99,IF(AB79="","",AB79))</f>
        <v>Auto</v>
      </c>
      <c r="W99" s="444" t="s">
        <v>129</v>
      </c>
      <c r="X99" s="71" t="s">
        <v>130</v>
      </c>
      <c r="Y99" s="8"/>
      <c r="AA99" s="2" t="s">
        <v>117</v>
      </c>
      <c r="AB99" s="39"/>
      <c r="AC99" s="29" t="str">
        <f t="shared" si="14"/>
        <v/>
      </c>
      <c r="AD99" s="40">
        <f>IF(S156="","",S156)</f>
        <v>0</v>
      </c>
    </row>
    <row r="100" spans="1:30" ht="14.1" customHeight="1" x14ac:dyDescent="0.3">
      <c r="A100" s="3">
        <v>34</v>
      </c>
      <c r="B100" s="259"/>
      <c r="C100" s="66" t="s">
        <v>509</v>
      </c>
      <c r="E100" s="66" t="s">
        <v>76</v>
      </c>
      <c r="L100" s="274" t="str">
        <f t="shared" si="15"/>
        <v>TBD</v>
      </c>
      <c r="M100" s="275" t="str">
        <f t="shared" si="13"/>
        <v/>
      </c>
      <c r="O100" s="13"/>
      <c r="Q100" s="44">
        <f>IF(R100&lt;&gt;"",R100,IF(AB75="","",AB75))</f>
        <v>1</v>
      </c>
      <c r="R100" s="45">
        <v>1</v>
      </c>
      <c r="S100" s="17" t="s">
        <v>131</v>
      </c>
      <c r="T100"/>
      <c r="V100" s="442" t="str">
        <f>IF(W100&lt;&gt;"",W100,IF(AB80="","",AB80))</f>
        <v>Piranha 1 CB2-17090320</v>
      </c>
      <c r="W100" s="485" t="s">
        <v>472</v>
      </c>
      <c r="X100" s="1" t="s">
        <v>414</v>
      </c>
      <c r="Y100" s="14"/>
      <c r="AA100" s="2" t="s">
        <v>113</v>
      </c>
      <c r="AB100" s="39"/>
      <c r="AC100" s="29" t="str">
        <f t="shared" si="14"/>
        <v/>
      </c>
      <c r="AD100" s="40">
        <f>IF(T156="","",T156)</f>
        <v>0</v>
      </c>
    </row>
    <row r="101" spans="1:30" ht="14.1" customHeight="1" x14ac:dyDescent="0.3">
      <c r="A101" s="3">
        <v>35</v>
      </c>
      <c r="B101" s="259"/>
      <c r="C101" s="66"/>
      <c r="E101" s="66" t="s">
        <v>78</v>
      </c>
      <c r="L101" s="274" t="str">
        <f t="shared" si="15"/>
        <v>TBD</v>
      </c>
      <c r="M101" s="275" t="str">
        <f t="shared" si="13"/>
        <v/>
      </c>
      <c r="O101" s="55" t="str">
        <f>IF(P101&lt;&gt;"",P101,IF(AB76="","",AB76))</f>
        <v/>
      </c>
      <c r="P101" s="45"/>
      <c r="Q101" s="17" t="s">
        <v>132</v>
      </c>
      <c r="V101" s="448" t="str">
        <f>IF(W101&lt;&gt;"",W101,IF(AB81="","",AB81))</f>
        <v/>
      </c>
      <c r="W101" s="486"/>
      <c r="X101" s="1" t="s">
        <v>415</v>
      </c>
      <c r="Y101" s="14"/>
      <c r="AA101" s="2" t="s">
        <v>115</v>
      </c>
      <c r="AB101" s="39"/>
      <c r="AC101" s="29" t="str">
        <f t="shared" si="14"/>
        <v/>
      </c>
      <c r="AD101" s="40">
        <f>IF(U156="","",U156)</f>
        <v>0</v>
      </c>
    </row>
    <row r="102" spans="1:30" ht="14.1" customHeight="1" x14ac:dyDescent="0.3">
      <c r="A102" s="3">
        <v>36</v>
      </c>
      <c r="B102" s="259"/>
      <c r="C102" s="66" t="s">
        <v>510</v>
      </c>
      <c r="E102" s="66" t="s">
        <v>82</v>
      </c>
      <c r="L102" s="274" t="str">
        <f t="shared" si="15"/>
        <v>TBD</v>
      </c>
      <c r="M102" s="275" t="str">
        <f t="shared" si="13"/>
        <v/>
      </c>
      <c r="O102" s="55" t="str">
        <f>IF(P102&lt;&gt;"",P102,IF(AB77="","",AB77))</f>
        <v/>
      </c>
      <c r="P102" s="45"/>
      <c r="Q102" s="17" t="s">
        <v>133</v>
      </c>
      <c r="V102" s="448" t="str">
        <f>IF(W102&lt;&gt;"",W102,IF(AB82="","",AB82))</f>
        <v/>
      </c>
      <c r="W102" s="486"/>
      <c r="X102" s="1" t="s">
        <v>416</v>
      </c>
      <c r="Y102" s="14"/>
      <c r="AA102" s="2" t="s">
        <v>117</v>
      </c>
      <c r="AB102" s="39"/>
      <c r="AC102" s="29" t="str">
        <f t="shared" si="14"/>
        <v/>
      </c>
      <c r="AD102" s="40">
        <f>IF(V156="","",V156)</f>
        <v>0</v>
      </c>
    </row>
    <row r="103" spans="1:30" ht="14.1" customHeight="1" x14ac:dyDescent="0.3">
      <c r="A103" s="3">
        <v>37</v>
      </c>
      <c r="B103" s="259"/>
      <c r="C103" s="66" t="s">
        <v>511</v>
      </c>
      <c r="E103" s="66" t="s">
        <v>84</v>
      </c>
      <c r="L103" s="274" t="str">
        <f t="shared" si="15"/>
        <v>TBD</v>
      </c>
      <c r="M103" s="275"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113</v>
      </c>
      <c r="AB103" s="39"/>
      <c r="AC103" s="29" t="str">
        <f t="shared" si="14"/>
        <v/>
      </c>
      <c r="AD103" s="40">
        <f>IF(W156="","",W156)</f>
        <v>0</v>
      </c>
    </row>
    <row r="104" spans="1:30" ht="14.1" customHeight="1" x14ac:dyDescent="0.3">
      <c r="A104" s="3">
        <v>38</v>
      </c>
      <c r="B104" s="259"/>
      <c r="C104" s="66" t="s">
        <v>512</v>
      </c>
      <c r="E104" s="66" t="s">
        <v>86</v>
      </c>
      <c r="L104" s="274" t="str">
        <f t="shared" si="15"/>
        <v>TBD</v>
      </c>
      <c r="M104" s="275" t="str">
        <f t="shared" si="13"/>
        <v/>
      </c>
      <c r="O104" s="74" t="str">
        <f>IF(P104&lt;&gt;"",P104,IF(AB78="","",AB78))</f>
        <v>cm</v>
      </c>
      <c r="P104" s="27" t="s">
        <v>135</v>
      </c>
      <c r="Q104" s="17" t="s">
        <v>136</v>
      </c>
      <c r="Y104" s="14"/>
      <c r="AA104" s="2" t="s">
        <v>115</v>
      </c>
      <c r="AB104" s="39"/>
      <c r="AC104" s="29" t="str">
        <f t="shared" si="14"/>
        <v/>
      </c>
      <c r="AD104" s="40">
        <f>IF(X156="","",X156)</f>
        <v>0</v>
      </c>
    </row>
    <row r="105" spans="1:30" ht="14.1" customHeight="1" x14ac:dyDescent="0.3">
      <c r="A105" s="3">
        <v>39</v>
      </c>
      <c r="B105" s="259"/>
      <c r="C105" s="66" t="s">
        <v>513</v>
      </c>
      <c r="E105" s="66" t="s">
        <v>514</v>
      </c>
      <c r="L105" s="274" t="str">
        <f>IF(X181="TBD","TBD",IF(X181="YES","YES",IF(X181="NA","NA","")))</f>
        <v>TBD</v>
      </c>
      <c r="M105" s="275" t="str">
        <f>IF(X181="NO","NO","")</f>
        <v/>
      </c>
      <c r="O105" s="75" t="str">
        <f>IF($U$105=1,"Patient Entrance Exposure Rate (Fluoroscopy)","Patient Entrance Exposure Rate (Pulse Fluoroscopy)")</f>
        <v>Patient Entrance Exposure Rate (Pulse Fluoroscopy)</v>
      </c>
      <c r="T105" s="2" t="s">
        <v>176</v>
      </c>
      <c r="U105" s="45">
        <v>2</v>
      </c>
      <c r="V105" s="17" t="s">
        <v>467</v>
      </c>
      <c r="Y105" s="14"/>
      <c r="AA105" s="2" t="s">
        <v>117</v>
      </c>
      <c r="AB105" s="39"/>
      <c r="AC105" s="29" t="str">
        <f t="shared" si="14"/>
        <v/>
      </c>
      <c r="AD105" s="40">
        <f>IF(Y156="","",Y156)</f>
        <v>0</v>
      </c>
    </row>
    <row r="106" spans="1:30" ht="14.1" customHeight="1" x14ac:dyDescent="0.3">
      <c r="A106" s="3">
        <v>40</v>
      </c>
      <c r="B106" s="259"/>
      <c r="C106"/>
      <c r="E106" s="66" t="s">
        <v>140</v>
      </c>
      <c r="L106" s="274" t="str">
        <f>IF(Q286="","NA",IF(Q286="YES",Q286,IF(Q286="NA",Q286,"")))</f>
        <v>NA</v>
      </c>
      <c r="M106" s="275" t="str">
        <f>IF(Q286="NO",Q286,"")</f>
        <v/>
      </c>
      <c r="O106" s="76" t="s">
        <v>141</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134</v>
      </c>
      <c r="AB106"/>
    </row>
    <row r="107" spans="1:30" ht="14.1" customHeight="1" x14ac:dyDescent="0.3">
      <c r="A107" s="3">
        <v>41</v>
      </c>
      <c r="B107" s="259"/>
      <c r="C107"/>
      <c r="E107" s="66" t="s">
        <v>143</v>
      </c>
      <c r="F107"/>
      <c r="G107"/>
      <c r="H107"/>
      <c r="I107"/>
      <c r="J107"/>
      <c r="K107"/>
      <c r="L107" s="274" t="str">
        <f>IF(T286="","NA",IF(T286="YES",T286,IF(T286="NA",T286,"")))</f>
        <v>NA</v>
      </c>
      <c r="M107" s="275" t="str">
        <f>IF(T286="NO",T286,"")</f>
        <v/>
      </c>
      <c r="O107" s="76" t="s">
        <v>144</v>
      </c>
      <c r="P107" s="14" t="s">
        <v>145</v>
      </c>
      <c r="Q107" s="553" t="str">
        <f>IF(Q106&lt;&gt;"",Q106,IF($Q$99=1,"Manual 1",IF(AUTO_MA="","",AUTO_MA&amp;" 1")))</f>
        <v>Auto 1</v>
      </c>
      <c r="R107" s="553"/>
      <c r="S107" s="553"/>
      <c r="T107" s="554" t="str">
        <f>IF(T106&lt;&gt;"",T106,IF($R$1399=1,"Manual 2",IF(OR(AUTO_MA="",O101="",O101=1),"",AUTO_MA&amp;" "&amp;IF(O101=2,2,IF(AND(O102=2,O101&gt;2),ROUND(O101/2,0),O101)))))</f>
        <v/>
      </c>
      <c r="U107" s="554"/>
      <c r="V107" s="554"/>
      <c r="W107" s="554" t="str">
        <f>IF(W106&lt;&gt;"",W106,IF(OR(O102=1,O101&lt;3),IF(O102=1,"High Level","No High Level"),IF(AUTO_MA="","",AUTO_MA&amp;" "&amp;O101)))</f>
        <v xml:space="preserve">Auto </v>
      </c>
      <c r="X107" s="554"/>
      <c r="Y107" s="554"/>
      <c r="AA107" s="2" t="s">
        <v>137</v>
      </c>
      <c r="AB107" s="39"/>
      <c r="AC107" s="29" t="str">
        <f>IF(AB107&lt;&gt;AD107,"Change","")</f>
        <v>Change</v>
      </c>
      <c r="AD107" s="57">
        <f>IF(O173="","",O173)</f>
        <v>80</v>
      </c>
    </row>
    <row r="108" spans="1:30" ht="14.1" customHeight="1" thickBot="1" x14ac:dyDescent="0.35">
      <c r="A108" s="3">
        <v>42</v>
      </c>
      <c r="B108" s="259"/>
      <c r="C108"/>
      <c r="E108" s="66" t="s">
        <v>146</v>
      </c>
      <c r="F108"/>
      <c r="G108"/>
      <c r="H108"/>
      <c r="I108"/>
      <c r="J108"/>
      <c r="K108"/>
      <c r="L108" s="274" t="str">
        <f>IF(W286="","NA",IF(W286="YES",W286,IF(W286="NA",W286,"")))</f>
        <v>NA</v>
      </c>
      <c r="M108" s="275" t="str">
        <f>IF(W286="NO",W286,"")</f>
        <v/>
      </c>
      <c r="O108" s="76" t="str">
        <f>IF(flocm_in="","","("&amp;flocm_in&amp;")")</f>
        <v>(cm)</v>
      </c>
      <c r="P108" s="23" t="s">
        <v>147</v>
      </c>
      <c r="Q108" s="1" t="s">
        <v>148</v>
      </c>
      <c r="R108" s="1" t="s">
        <v>149</v>
      </c>
      <c r="S108" s="14" t="s">
        <v>150</v>
      </c>
      <c r="T108" s="1" t="s">
        <v>148</v>
      </c>
      <c r="U108" s="1" t="s">
        <v>149</v>
      </c>
      <c r="V108" s="14" t="s">
        <v>150</v>
      </c>
      <c r="W108" s="1" t="s">
        <v>148</v>
      </c>
      <c r="X108" s="1" t="s">
        <v>149</v>
      </c>
      <c r="Y108" s="14" t="s">
        <v>150</v>
      </c>
      <c r="AA108" s="2" t="s">
        <v>139</v>
      </c>
      <c r="AB108" s="39"/>
      <c r="AC108" s="29" t="str">
        <f>IF(AB108&lt;&gt;AD108,"Change","")</f>
        <v>Change</v>
      </c>
      <c r="AD108" s="40" t="str">
        <f>IF(X174="","",X174)</f>
        <v>TBD</v>
      </c>
    </row>
    <row r="109" spans="1:30" ht="14.1" customHeight="1" x14ac:dyDescent="0.3">
      <c r="A109" s="3">
        <v>43</v>
      </c>
      <c r="B109" s="259"/>
      <c r="C109"/>
      <c r="E109" s="276" t="s">
        <v>151</v>
      </c>
      <c r="F109"/>
      <c r="G109"/>
      <c r="H109"/>
      <c r="I109"/>
      <c r="J109"/>
      <c r="K109"/>
      <c r="L109" s="274" t="str">
        <f>IF(V299="","NA",IF(V299="YES",V299,IF(V299="NA",V299,"")))</f>
        <v>NA</v>
      </c>
      <c r="M109" s="275" t="str">
        <f>IF(V299="NO",V299,"")</f>
        <v/>
      </c>
      <c r="O109" s="77" t="s">
        <v>152</v>
      </c>
      <c r="P109" s="77">
        <v>10</v>
      </c>
      <c r="Q109" s="169">
        <f>IF($U$105="","",IF($U$105=1,RTI_SEE!D5,RTI_SEE!L5))</f>
        <v>0</v>
      </c>
      <c r="R109" s="152">
        <f>IF($U$105="","",IF($U$105=1,RTI_SEE!E5,RTI_SEE!M5))</f>
        <v>0</v>
      </c>
      <c r="S109" s="165">
        <f>IF($U$105="","",IF($U$105=1,RTI_SEE!F5,RTI_SEE!N5))</f>
        <v>0</v>
      </c>
      <c r="T109" s="169">
        <f>IF($U$105="","",IF($U$105=1,RTI_SEE!D10,RTI_SEE!L10))</f>
        <v>0</v>
      </c>
      <c r="U109" s="152">
        <f>IF($U$105="","",IF($U$105=1,RTI_SEE!E10,RTI_SEE!M10))</f>
        <v>0</v>
      </c>
      <c r="V109" s="165">
        <f>IF($U$105="","",IF($U$105=1,RTI_SEE!F10,RTI_SEE!N10))</f>
        <v>0</v>
      </c>
      <c r="W109" s="169">
        <f>IF($U$105="","",IF($U$105=1,RTI_SEE!D15,RTI_SEE!L15))</f>
        <v>0</v>
      </c>
      <c r="X109" s="152">
        <f>IF($U$105="","",IF($U$105=1,RTI_SEE!E15,RTI_SEE!M15))</f>
        <v>0</v>
      </c>
      <c r="Y109" s="165">
        <f>IF($U$105="","",IF($U$105=1,RTI_SEE!F15,RTI_SEE!N15))</f>
        <v>0</v>
      </c>
      <c r="AA109" s="24" t="s">
        <v>142</v>
      </c>
      <c r="AB109"/>
    </row>
    <row r="110" spans="1:30" ht="14.1" customHeight="1" x14ac:dyDescent="0.3">
      <c r="A110" s="3">
        <v>44</v>
      </c>
      <c r="B110" s="259"/>
      <c r="C110"/>
      <c r="E110" s="276" t="s">
        <v>153</v>
      </c>
      <c r="F110"/>
      <c r="G110"/>
      <c r="H110"/>
      <c r="I110"/>
      <c r="J110"/>
      <c r="K110"/>
      <c r="L110" s="274" t="str">
        <f>IF(P312="","NA",IF(P312="YES",P312,IF(P312="NA",T300,"")))</f>
        <v>NA</v>
      </c>
      <c r="M110" s="275" t="str">
        <f>IF(P312="NO",P312,"")</f>
        <v/>
      </c>
      <c r="O110" s="81" t="str">
        <f>IF(O111&lt;&gt;"",O111,IF(AB68="","",AB68))</f>
        <v/>
      </c>
      <c r="P110" s="76">
        <v>20</v>
      </c>
      <c r="Q110" s="170">
        <f>IF($U$105="","",IF($U$105=1,RTI_SEE!D20,RTI_SEE!L20))</f>
        <v>0</v>
      </c>
      <c r="R110" s="121">
        <f>IF($U$105="","",IF($U$105=1,RTI_SEE!E20,RTI_SEE!M20))</f>
        <v>0</v>
      </c>
      <c r="S110" s="166">
        <f>IF($U$105="","",IF($U$105=1,RTI_SEE!F20,RTI_SEE!N20))</f>
        <v>0</v>
      </c>
      <c r="T110" s="170">
        <f>IF($U$105="","",IF($U$105=1,RTI_SEE!D25,RTI_SEE!L25))</f>
        <v>0</v>
      </c>
      <c r="U110" s="121">
        <f>IF($U$105="","",IF($U$105=1,RTI_SEE!E25,RTI_SEE!M25))</f>
        <v>0</v>
      </c>
      <c r="V110" s="166">
        <f>IF($U$105="","",IF($U$105=1,RTI_SEE!F25,RTI_SEE!N25))</f>
        <v>0</v>
      </c>
      <c r="W110" s="170">
        <f>IF($U$105="","",IF($U$105=1,RTI_SEE!D30,RTI_SEE!L30))</f>
        <v>0</v>
      </c>
      <c r="X110" s="121">
        <f>IF($U$105="","",IF($U$105=1,RTI_SEE!E30,RTI_SEE!M30))</f>
        <v>0</v>
      </c>
      <c r="Y110" s="166">
        <f>IF($U$105="","",IF($U$105=1,RTI_SEE!F30,RTI_SEE!N30))</f>
        <v>0</v>
      </c>
      <c r="AA110" s="2" t="s">
        <v>105</v>
      </c>
      <c r="AB110" s="39"/>
      <c r="AC110" s="29" t="str">
        <f>IF(AB110&lt;&gt;AD110,"Change","")</f>
        <v/>
      </c>
      <c r="AD110" s="40" t="str">
        <f>IF(Q138="","",Q138)</f>
        <v/>
      </c>
    </row>
    <row r="111" spans="1:30" ht="14.1" customHeight="1" thickBot="1" x14ac:dyDescent="0.35">
      <c r="A111" s="3">
        <v>45</v>
      </c>
      <c r="B111" s="259"/>
      <c r="C111"/>
      <c r="E111"/>
      <c r="F111"/>
      <c r="G111"/>
      <c r="H111"/>
      <c r="I111"/>
      <c r="J111"/>
      <c r="K111"/>
      <c r="L111"/>
      <c r="M111" s="260"/>
      <c r="O111" s="85"/>
      <c r="P111" s="86">
        <v>30</v>
      </c>
      <c r="Q111" s="179">
        <f>IF($U$105="","",IF($U$105=1,RTI_SEE!D35,RTI_SEE!L35))</f>
        <v>0</v>
      </c>
      <c r="R111" s="157">
        <f>IF($U$105="","",IF($U$105=1,RTI_SEE!E35,RTI_SEE!M35))</f>
        <v>0</v>
      </c>
      <c r="S111" s="167">
        <f>IF($U$105="","",IF($U$105=1,RTI_SEE!F35,RTI_SEE!N35))</f>
        <v>0</v>
      </c>
      <c r="T111" s="179">
        <f>IF($U$105="","",IF($U$105=1,RTI_SEE!D40,RTI_SEE!L40))</f>
        <v>0</v>
      </c>
      <c r="U111" s="157">
        <f>IF($U$105="","",IF($U$105=1,RTI_SEE!E40,RTI_SEE!M40))</f>
        <v>0</v>
      </c>
      <c r="V111" s="167">
        <f>IF($U$105="","",IF($U$105=1,RTI_SEE!F40,RTI_SEE!N40))</f>
        <v>0</v>
      </c>
      <c r="W111" s="179">
        <f>IF($U$105="","",IF($U$105=1,RTI_SEE!D45,RTI_SEE!L45))</f>
        <v>0</v>
      </c>
      <c r="X111" s="157">
        <f>IF($U$105="","",IF($U$105=1,RTI_SEE!E45,RTI_SEE!M45))</f>
        <v>0</v>
      </c>
      <c r="Y111" s="167">
        <f>IF($U$105="","",IF($U$105=1,RTI_SEE!F45,RTI_SEE!N45))</f>
        <v>0</v>
      </c>
      <c r="AA111" s="2" t="s">
        <v>107</v>
      </c>
      <c r="AB111" s="39"/>
      <c r="AC111" s="29" t="str">
        <f>IF(AB111&lt;&gt;AD111,"Change","")</f>
        <v/>
      </c>
      <c r="AD111" s="40" t="str">
        <f>IF(T138="","",T138)</f>
        <v/>
      </c>
    </row>
    <row r="112" spans="1:30" ht="14.1" customHeight="1" x14ac:dyDescent="0.3">
      <c r="A112" s="3">
        <v>46</v>
      </c>
      <c r="B112" s="259"/>
      <c r="C112"/>
      <c r="F112" s="46" t="s">
        <v>119</v>
      </c>
      <c r="M112" s="260"/>
      <c r="O112" s="77" t="s">
        <v>155</v>
      </c>
      <c r="P112" s="77">
        <v>10</v>
      </c>
      <c r="Q112" s="169">
        <f>IF($U$105="","",IF($U$105=1,RTI_SEE!D6,RTI_SEE!L6))</f>
        <v>0</v>
      </c>
      <c r="R112" s="152">
        <f>IF($U$105="","",IF($U$105=1,RTI_SEE!E6,RTI_SEE!M6))</f>
        <v>0</v>
      </c>
      <c r="S112" s="165">
        <f>IF($U$105="","",IF($U$105=1,RTI_SEE!F6,RTI_SEE!N6))</f>
        <v>0</v>
      </c>
      <c r="T112" s="169">
        <f>IF($U$105="","",IF($U$105=1,RTI_SEE!D11,RTI_SEE!L11))</f>
        <v>0</v>
      </c>
      <c r="U112" s="152">
        <f>IF($U$105="","",IF($U$105=1,RTI_SEE!E11,RTI_SEE!M11))</f>
        <v>0</v>
      </c>
      <c r="V112" s="165">
        <f>IF($U$105="","",IF($U$105=1,RTI_SEE!F11,RTI_SEE!N11))</f>
        <v>0</v>
      </c>
      <c r="W112" s="169">
        <f>IF($U$105="","",IF($U$105=1,RTI_SEE!D16,RTI_SEE!L16))</f>
        <v>0</v>
      </c>
      <c r="X112" s="152">
        <f>IF($U$105="","",IF($U$105=1,RTI_SEE!E16,RTI_SEE!M16))</f>
        <v>0</v>
      </c>
      <c r="Y112" s="165">
        <f>IF($U$105="","",IF($U$105=1,RTI_SEE!F16,RTI_SEE!N16))</f>
        <v>0</v>
      </c>
      <c r="AA112" s="2" t="s">
        <v>109</v>
      </c>
      <c r="AB112" s="39"/>
      <c r="AC112" s="29" t="str">
        <f>IF(AB112&lt;&gt;AD112,"Change","")</f>
        <v/>
      </c>
      <c r="AD112" s="40" t="str">
        <f>IF(W138="","",W138)</f>
        <v/>
      </c>
    </row>
    <row r="113" spans="1:30" ht="14.1" customHeight="1" x14ac:dyDescent="0.3">
      <c r="A113" s="3">
        <v>47</v>
      </c>
      <c r="B113" s="259"/>
      <c r="C113"/>
      <c r="E113" s="66" t="s">
        <v>120</v>
      </c>
      <c r="L113" s="274" t="str">
        <f t="shared" ref="L113:L118" si="16">IF(O90="","TBD",IF(O90=1,"YES",IF(O90=3,"NA","")))</f>
        <v>TBD</v>
      </c>
      <c r="M113" s="275" t="str">
        <f t="shared" ref="M113:M118" si="17">IF(O90=2,"NO","")</f>
        <v/>
      </c>
      <c r="O113" s="81" t="str">
        <f>IF(O114&lt;&gt;"",O114,IF(AB69="","",AB69))</f>
        <v/>
      </c>
      <c r="P113" s="76">
        <v>20</v>
      </c>
      <c r="Q113" s="170">
        <f>IF($U$105="","",IF($U$105=1,RTI_SEE!D21,RTI_SEE!L21))</f>
        <v>0</v>
      </c>
      <c r="R113" s="121">
        <f>IF($U$105="","",IF($U$105=1,RTI_SEE!E21,RTI_SEE!M21))</f>
        <v>0</v>
      </c>
      <c r="S113" s="166">
        <f>IF($U$105="","",IF($U$105=1,RTI_SEE!F21,RTI_SEE!N21))</f>
        <v>0</v>
      </c>
      <c r="T113" s="170">
        <f>IF($U$105="","",IF($U$105=1,RTI_SEE!D26,RTI_SEE!L26))</f>
        <v>0</v>
      </c>
      <c r="U113" s="121">
        <f>IF($U$105="","",IF($U$105=1,RTI_SEE!E26,RTI_SEE!M26))</f>
        <v>0</v>
      </c>
      <c r="V113" s="166">
        <f>IF($U$105="","",IF($U$105=1,RTI_SEE!F26,RTI_SEE!N26))</f>
        <v>0</v>
      </c>
      <c r="W113" s="170">
        <f>IF($U$105="","",IF($U$105=1,RTI_SEE!D31,RTI_SEE!L31))</f>
        <v>0</v>
      </c>
      <c r="X113" s="121">
        <f>IF($U$105="","",IF($U$105=1,RTI_SEE!E31,RTI_SEE!M31))</f>
        <v>0</v>
      </c>
      <c r="Y113" s="166">
        <f>IF($U$105="","",IF($U$105=1,RTI_SEE!F31,RTI_SEE!N31))</f>
        <v>0</v>
      </c>
      <c r="AA113" s="24" t="s">
        <v>154</v>
      </c>
    </row>
    <row r="114" spans="1:30" ht="14.1" customHeight="1" thickBot="1" x14ac:dyDescent="0.35">
      <c r="A114" s="3">
        <v>48</v>
      </c>
      <c r="B114" s="259"/>
      <c r="C114"/>
      <c r="E114" s="66" t="s">
        <v>121</v>
      </c>
      <c r="L114" s="274" t="str">
        <f t="shared" si="16"/>
        <v>TBD</v>
      </c>
      <c r="M114" s="275" t="str">
        <f t="shared" si="17"/>
        <v/>
      </c>
      <c r="O114" s="85"/>
      <c r="P114" s="86">
        <v>30</v>
      </c>
      <c r="Q114" s="179">
        <f>IF($U$105="","",IF($U$105=1,RTI_SEE!D36,RTI_SEE!L36))</f>
        <v>0</v>
      </c>
      <c r="R114" s="157">
        <f>IF($U$105="","",IF($U$105=1,RTI_SEE!E36,RTI_SEE!M36))</f>
        <v>0</v>
      </c>
      <c r="S114" s="167">
        <f>IF($U$105="","",IF($U$105=1,RTI_SEE!F36,RTI_SEE!N36))</f>
        <v>0</v>
      </c>
      <c r="T114" s="179">
        <f>IF($U$105="","",IF($U$105=1,RTI_SEE!D41,RTI_SEE!L41))</f>
        <v>0</v>
      </c>
      <c r="U114" s="157">
        <f>IF($U$105="","",IF($U$105=1,RTI_SEE!E41,RTI_SEE!M41))</f>
        <v>0</v>
      </c>
      <c r="V114" s="167">
        <f>IF($U$105="","",IF($U$105=1,RTI_SEE!F41,RTI_SEE!N41))</f>
        <v>0</v>
      </c>
      <c r="W114" s="179">
        <f>IF($U$105="","",IF($U$105=1,RTI_SEE!D46,RTI_SEE!L46))</f>
        <v>0</v>
      </c>
      <c r="X114" s="157">
        <f>IF($U$105="","",IF($U$105=1,RTI_SEE!E46,RTI_SEE!M46))</f>
        <v>0</v>
      </c>
      <c r="Y114" s="167">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3">
      <c r="A115" s="3">
        <v>49</v>
      </c>
      <c r="B115" s="259"/>
      <c r="C115"/>
      <c r="E115" s="66" t="s">
        <v>122</v>
      </c>
      <c r="L115" s="274" t="str">
        <f t="shared" si="16"/>
        <v>TBD</v>
      </c>
      <c r="M115" s="275" t="str">
        <f t="shared" si="17"/>
        <v/>
      </c>
      <c r="O115" s="77" t="s">
        <v>156</v>
      </c>
      <c r="P115" s="77">
        <v>10</v>
      </c>
      <c r="Q115" s="169">
        <f>IF($U$105="","",IF($U$105=1,RTI_SEE!D7,RTI_SEE!L7))</f>
        <v>0</v>
      </c>
      <c r="R115" s="152">
        <f>IF($U$105="","",IF($U$105=1,RTI_SEE!E7,RTI_SEE!M7))</f>
        <v>0</v>
      </c>
      <c r="S115" s="165">
        <f>IF($U$105="","",IF($U$105=1,RTI_SEE!F7,RTI_SEE!N7))</f>
        <v>0</v>
      </c>
      <c r="T115" s="169">
        <f>IF($U$105="","",IF($U$105=1,RTI_SEE!D12,RTI_SEE!L12))</f>
        <v>0</v>
      </c>
      <c r="U115" s="152">
        <f>IF($U$105="","",IF($U$105=1,RTI_SEE!E12,RTI_SEE!M12))</f>
        <v>0</v>
      </c>
      <c r="V115" s="165">
        <f>IF($U$105="","",IF($U$105=1,RTI_SEE!F12,RTI_SEE!N12))</f>
        <v>0</v>
      </c>
      <c r="W115" s="169">
        <f>IF($U$105="","",IF($U$105=1,RTI_SEE!D17,RTI_SEE!L17))</f>
        <v>0</v>
      </c>
      <c r="X115" s="152">
        <f>IF($U$105="","",IF($U$105=1,RTI_SEE!E17,RTI_SEE!M17))</f>
        <v>0</v>
      </c>
      <c r="Y115" s="165">
        <f>IF($U$105="","",IF($U$105=1,RTI_SEE!F17,RTI_SEE!N17))</f>
        <v>0</v>
      </c>
      <c r="AA115" s="2" t="str">
        <f>$Q$107&amp;" Mag 1"</f>
        <v>Auto 1 Mag 1</v>
      </c>
      <c r="AB115" s="39"/>
      <c r="AC115" s="29" t="str">
        <f t="shared" si="18"/>
        <v/>
      </c>
      <c r="AD115" s="57">
        <f t="shared" si="19"/>
        <v>0</v>
      </c>
    </row>
    <row r="116" spans="1:30" ht="14.1" customHeight="1" x14ac:dyDescent="0.3">
      <c r="A116" s="3">
        <v>50</v>
      </c>
      <c r="B116" s="259"/>
      <c r="C116"/>
      <c r="E116" s="66" t="s">
        <v>123</v>
      </c>
      <c r="L116" s="274" t="str">
        <f t="shared" si="16"/>
        <v>TBD</v>
      </c>
      <c r="M116" s="275" t="str">
        <f t="shared" si="17"/>
        <v/>
      </c>
      <c r="O116" s="81" t="str">
        <f>IF(O117&lt;&gt;"",O117,IF(AB70="","",AB70))</f>
        <v/>
      </c>
      <c r="P116" s="76">
        <v>20</v>
      </c>
      <c r="Q116" s="170">
        <f>IF($U$105="","",IF($U$105=1,RTI_SEE!D22,RTI_SEE!L22))</f>
        <v>0</v>
      </c>
      <c r="R116" s="121">
        <f>IF($U$105="","",IF($U$105=1,RTI_SEE!E22,RTI_SEE!M22))</f>
        <v>0</v>
      </c>
      <c r="S116" s="166">
        <f>IF($U$105="","",IF($U$105=1,RTI_SEE!F22,RTI_SEE!N22))</f>
        <v>0</v>
      </c>
      <c r="T116" s="170">
        <f>IF($U$105="","",IF($U$105=1,RTI_SEE!D27,RTI_SEE!L27))</f>
        <v>0</v>
      </c>
      <c r="U116" s="121">
        <f>IF($U$105="","",IF($U$105=1,RTI_SEE!E27,RTI_SEE!M27))</f>
        <v>0</v>
      </c>
      <c r="V116" s="166">
        <f>IF($U$105="","",IF($U$105=1,RTI_SEE!F27,RTI_SEE!N27))</f>
        <v>0</v>
      </c>
      <c r="W116" s="170">
        <f>IF($U$105="","",IF($U$105=1,RTI_SEE!D32,RTI_SEE!L32))</f>
        <v>0</v>
      </c>
      <c r="X116" s="121">
        <f>IF($U$105="","",IF($U$105=1,RTI_SEE!E32,RTI_SEE!M32))</f>
        <v>0</v>
      </c>
      <c r="Y116" s="166">
        <f>IF($U$105="","",IF($U$105=1,RTI_SEE!F32,RTI_SEE!N32))</f>
        <v>0</v>
      </c>
      <c r="AA116" s="2" t="str">
        <f>$Q$107&amp;" Mag 2"</f>
        <v>Auto 1 Mag 2</v>
      </c>
      <c r="AB116" s="39"/>
      <c r="AC116" s="29" t="str">
        <f t="shared" si="18"/>
        <v/>
      </c>
      <c r="AD116" s="57">
        <f t="shared" si="19"/>
        <v>0</v>
      </c>
    </row>
    <row r="117" spans="1:30" ht="14.1" customHeight="1" thickBot="1" x14ac:dyDescent="0.35">
      <c r="A117" s="3">
        <v>51</v>
      </c>
      <c r="B117" s="259"/>
      <c r="C117"/>
      <c r="E117" s="66" t="s">
        <v>124</v>
      </c>
      <c r="L117" s="274" t="str">
        <f t="shared" si="16"/>
        <v>TBD</v>
      </c>
      <c r="M117" s="275" t="str">
        <f t="shared" si="17"/>
        <v/>
      </c>
      <c r="O117" s="85"/>
      <c r="P117" s="86">
        <v>30</v>
      </c>
      <c r="Q117" s="179">
        <f>IF($U$105="","",IF($U$105=1,RTI_SEE!D37,RTI_SEE!L37))</f>
        <v>0</v>
      </c>
      <c r="R117" s="157">
        <f>IF($U$105="","",IF($U$105=1,RTI_SEE!E37,RTI_SEE!M37))</f>
        <v>0</v>
      </c>
      <c r="S117" s="167">
        <f>IF($U$105="","",IF($U$105=1,RTI_SEE!F37,RTI_SEE!N37))</f>
        <v>0</v>
      </c>
      <c r="T117" s="179">
        <f>IF($U$105="","",IF($U$105=1,RTI_SEE!D42,RTI_SEE!L42))</f>
        <v>0</v>
      </c>
      <c r="U117" s="157">
        <f>IF($U$105="","",IF($U$105=1,RTI_SEE!E42,RTI_SEE!M42))</f>
        <v>0</v>
      </c>
      <c r="V117" s="167">
        <f>IF($U$105="","",IF($U$105=1,RTI_SEE!F42,RTI_SEE!N42))</f>
        <v>0</v>
      </c>
      <c r="W117" s="179">
        <f>IF($U$105="","",IF($U$105=1,RTI_SEE!D47,RTI_SEE!L47))</f>
        <v>0</v>
      </c>
      <c r="X117" s="157">
        <f>IF($U$105="","",IF($U$105=1,RTI_SEE!E47,RTI_SEE!M47))</f>
        <v>0</v>
      </c>
      <c r="Y117" s="167">
        <f>IF($U$105="","",IF($U$105=1,RTI_SEE!F47,RTI_SEE!N47))</f>
        <v>0</v>
      </c>
      <c r="AA117" s="2" t="str">
        <f>$Q$107&amp;" Mag 3"</f>
        <v>Auto 1 Mag 3</v>
      </c>
      <c r="AB117" s="39"/>
      <c r="AC117" s="29" t="str">
        <f t="shared" si="18"/>
        <v/>
      </c>
      <c r="AD117" s="57">
        <f t="shared" si="19"/>
        <v>0</v>
      </c>
    </row>
    <row r="118" spans="1:30" ht="14.1" customHeight="1" x14ac:dyDescent="0.3">
      <c r="A118" s="3">
        <v>52</v>
      </c>
      <c r="B118" s="259"/>
      <c r="C118"/>
      <c r="E118" s="66" t="s">
        <v>126</v>
      </c>
      <c r="L118" s="274" t="str">
        <f t="shared" si="16"/>
        <v>TBD</v>
      </c>
      <c r="M118" s="275" t="str">
        <f t="shared" si="17"/>
        <v/>
      </c>
      <c r="O118" s="77" t="s">
        <v>157</v>
      </c>
      <c r="P118" s="77">
        <v>10</v>
      </c>
      <c r="Q118" s="169">
        <f>IF($U$105="","",IF($U$105=1,RTI_SEE!D8,RTI_SEE!L8))</f>
        <v>0</v>
      </c>
      <c r="R118" s="152">
        <f>IF($U$105="","",IF($U$105=1,RTI_SEE!E8,RTI_SEE!M8))</f>
        <v>0</v>
      </c>
      <c r="S118" s="165">
        <f>IF($U$105="","",IF($U$105=1,RTI_SEE!F8,RTI_SEE!N8))</f>
        <v>0</v>
      </c>
      <c r="T118" s="169">
        <f>IF($U$105="","",IF($U$105=1,RTI_SEE!D13,RTI_SEE!L13))</f>
        <v>0</v>
      </c>
      <c r="U118" s="152">
        <f>IF($U$105="","",IF($U$105=1,RTI_SEE!E13,RTI_SEE!M13))</f>
        <v>0</v>
      </c>
      <c r="V118" s="165">
        <f>IF($U$105="","",IF($U$105=1,RTI_SEE!F13,RTI_SEE!N13))</f>
        <v>0</v>
      </c>
      <c r="W118" s="169">
        <f>IF($U$105="","",IF($U$105=1,RTI_SEE!D18,RTI_SEE!L18))</f>
        <v>0</v>
      </c>
      <c r="X118" s="152">
        <f>IF($U$105="","",IF($U$105=1,RTI_SEE!E18,RTI_SEE!M18))</f>
        <v>0</v>
      </c>
      <c r="Y118" s="165">
        <f>IF($U$105="","",IF($U$105=1,RTI_SEE!F18,RTI_SEE!N18))</f>
        <v>0</v>
      </c>
      <c r="AA118" s="2" t="str">
        <f>$Q$107&amp;" Mag 4"</f>
        <v>Auto 1 Mag 4</v>
      </c>
      <c r="AB118" s="39"/>
      <c r="AC118" s="29" t="str">
        <f t="shared" si="18"/>
        <v/>
      </c>
      <c r="AD118" s="57">
        <f t="shared" si="19"/>
        <v>0</v>
      </c>
    </row>
    <row r="119" spans="1:30" ht="14.1" customHeight="1" x14ac:dyDescent="0.3">
      <c r="A119" s="3">
        <v>53</v>
      </c>
      <c r="B119" s="259"/>
      <c r="C119"/>
      <c r="M119" s="260"/>
      <c r="O119" s="81" t="str">
        <f>IF(O120&lt;&gt;"",O120,IF(AB71="","",AB71))</f>
        <v/>
      </c>
      <c r="P119" s="76">
        <v>20</v>
      </c>
      <c r="Q119" s="170">
        <f>IF($U$105="","",IF($U$105=1,RTI_SEE!D23,RTI_SEE!L23))</f>
        <v>0</v>
      </c>
      <c r="R119" s="121">
        <f>IF($U$105="","",IF($U$105=1,RTI_SEE!E23,RTI_SEE!M23))</f>
        <v>0</v>
      </c>
      <c r="S119" s="166">
        <f>IF($U$105="","",IF($U$105=1,RTI_SEE!F23,RTI_SEE!N23))</f>
        <v>0</v>
      </c>
      <c r="T119" s="170">
        <f>IF($U$105="","",IF($U$105=1,RTI_SEE!D28,RTI_SEE!L28))</f>
        <v>0</v>
      </c>
      <c r="U119" s="121">
        <f>IF($U$105="","",IF($U$105=1,RTI_SEE!E28,RTI_SEE!M28))</f>
        <v>0</v>
      </c>
      <c r="V119" s="166">
        <f>IF($U$105="","",IF($U$105=1,RTI_SEE!F28,RTI_SEE!N28))</f>
        <v>0</v>
      </c>
      <c r="W119" s="170">
        <f>IF($U$105="","",IF($U$105=1,RTI_SEE!D33,RTI_SEE!L33))</f>
        <v>0</v>
      </c>
      <c r="X119" s="121">
        <f>IF($U$105="","",IF($U$105=1,RTI_SEE!E33,RTI_SEE!M33))</f>
        <v>0</v>
      </c>
      <c r="Y119" s="166">
        <f>IF($U$105="","",IF($U$105=1,RTI_SEE!F33,RTI_SEE!N33))</f>
        <v>0</v>
      </c>
      <c r="AA119" s="2" t="str">
        <f>$T$107&amp;" Normal"</f>
        <v xml:space="preserve"> Normal</v>
      </c>
      <c r="AB119" s="39"/>
      <c r="AC119" s="29" t="str">
        <f t="shared" si="18"/>
        <v/>
      </c>
      <c r="AD119" s="57">
        <f t="shared" si="19"/>
        <v>0</v>
      </c>
    </row>
    <row r="120" spans="1:30" ht="14.1" customHeight="1" thickBot="1" x14ac:dyDescent="0.35">
      <c r="A120" s="3">
        <v>54</v>
      </c>
      <c r="B120" s="259"/>
      <c r="C120"/>
      <c r="F120" s="46" t="s">
        <v>108</v>
      </c>
      <c r="M120" s="260"/>
      <c r="O120" s="85"/>
      <c r="P120" s="86">
        <v>30</v>
      </c>
      <c r="Q120" s="179">
        <f>IF($U$105="","",IF($U$105=1,RTI_SEE!D38,RTI_SEE!L38))</f>
        <v>0</v>
      </c>
      <c r="R120" s="157">
        <f>IF($U$105="","",IF($U$105=1,RTI_SEE!E38,RTI_SEE!M38))</f>
        <v>0</v>
      </c>
      <c r="S120" s="167">
        <f>IF($U$105="","",IF($U$105=1,RTI_SEE!F38,RTI_SEE!N38))</f>
        <v>0</v>
      </c>
      <c r="T120" s="179">
        <f>IF($U$105="","",IF($U$105=1,RTI_SEE!D43,RTI_SEE!L43))</f>
        <v>0</v>
      </c>
      <c r="U120" s="157">
        <f>IF($U$105="","",IF($U$105=1,RTI_SEE!E43,RTI_SEE!M43))</f>
        <v>0</v>
      </c>
      <c r="V120" s="167">
        <f>IF($U$105="","",IF($U$105=1,RTI_SEE!F43,RTI_SEE!N43))</f>
        <v>0</v>
      </c>
      <c r="W120" s="179">
        <f>IF($U$105="","",IF($U$105=1,RTI_SEE!D48,RTI_SEE!L48))</f>
        <v>0</v>
      </c>
      <c r="X120" s="157">
        <f>IF($U$105="","",IF($U$105=1,RTI_SEE!E48,RTI_SEE!M48))</f>
        <v>0</v>
      </c>
      <c r="Y120" s="167">
        <f>IF($U$105="","",IF($U$105=1,RTI_SEE!F48,RTI_SEE!N48))</f>
        <v>0</v>
      </c>
      <c r="AA120" s="2" t="str">
        <f>$T$107&amp;" Mag 1"</f>
        <v xml:space="preserve"> Mag 1</v>
      </c>
      <c r="AB120" s="39"/>
      <c r="AC120" s="29" t="str">
        <f t="shared" si="18"/>
        <v/>
      </c>
      <c r="AD120" s="57">
        <f t="shared" si="19"/>
        <v>0</v>
      </c>
    </row>
    <row r="121" spans="1:30" ht="14.1" customHeight="1" x14ac:dyDescent="0.3">
      <c r="A121" s="3">
        <v>55</v>
      </c>
      <c r="B121" s="259"/>
      <c r="C121"/>
      <c r="E121" s="66" t="s">
        <v>110</v>
      </c>
      <c r="L121" s="274" t="str">
        <f>IF(O83="","TBD",IF(O83=1,"YES",IF(O83=3,"NA","")))</f>
        <v>TBD</v>
      </c>
      <c r="M121" s="275" t="str">
        <f t="shared" ref="M121:M126" si="20">IF(O83=2,"NO","")</f>
        <v/>
      </c>
      <c r="O121" s="77" t="s">
        <v>158</v>
      </c>
      <c r="P121" s="77">
        <v>10</v>
      </c>
      <c r="Q121" s="169">
        <f>IF($U$105="","",IF($U$105=1,RTI_SEE!D9,RTI_SEE!L9))</f>
        <v>0</v>
      </c>
      <c r="R121" s="152">
        <f>IF($U$105="","",IF($U$105=1,RTI_SEE!E9,RTI_SEE!M9))</f>
        <v>0</v>
      </c>
      <c r="S121" s="165">
        <f>IF($U$105="","",IF($U$105=1,RTI_SEE!F9,RTI_SEE!N9))</f>
        <v>0</v>
      </c>
      <c r="T121" s="169">
        <f>IF($U$105="","",IF($U$105=1,RTI_SEE!D14,RTI_SEE!L14))</f>
        <v>0</v>
      </c>
      <c r="U121" s="152">
        <f>IF($U$105="","",IF($U$105=1,RTI_SEE!E14,RTI_SEE!M14))</f>
        <v>0</v>
      </c>
      <c r="V121" s="165">
        <f>IF($U$105="","",IF($U$105=1,RTI_SEE!F14,RTI_SEE!N14))</f>
        <v>0</v>
      </c>
      <c r="W121" s="169">
        <f>IF($U$105="","",IF($U$105=1,RTI_SEE!D19,RTI_SEE!L19))</f>
        <v>0</v>
      </c>
      <c r="X121" s="152">
        <f>IF($U$105="","",IF($U$105=1,RTI_SEE!E19,RTI_SEE!M19))</f>
        <v>0</v>
      </c>
      <c r="Y121" s="165">
        <f>IF($U$105="","",IF($U$105=1,RTI_SEE!F19,RTI_SEE!N19))</f>
        <v>0</v>
      </c>
      <c r="AA121" s="2" t="str">
        <f>$T$107&amp;" Mag 2"</f>
        <v xml:space="preserve"> Mag 2</v>
      </c>
      <c r="AB121" s="39"/>
      <c r="AC121" s="29" t="str">
        <f t="shared" si="18"/>
        <v/>
      </c>
      <c r="AD121" s="57">
        <f t="shared" si="19"/>
        <v>0</v>
      </c>
    </row>
    <row r="122" spans="1:30" ht="14.1" customHeight="1" x14ac:dyDescent="0.3">
      <c r="A122" s="3">
        <v>56</v>
      </c>
      <c r="B122" s="259"/>
      <c r="C122"/>
      <c r="E122" s="66" t="s">
        <v>112</v>
      </c>
      <c r="L122" s="274" t="str">
        <f>IF(O84="","TBD",IF(O84=1,"YES",IF(O84=3,"NA","")))</f>
        <v>TBD</v>
      </c>
      <c r="M122" s="275" t="str">
        <f t="shared" si="20"/>
        <v/>
      </c>
      <c r="O122" s="81" t="str">
        <f>IF(O123&lt;&gt;"",O123,IF(AB72="","",AB72))</f>
        <v/>
      </c>
      <c r="P122" s="76">
        <v>20</v>
      </c>
      <c r="Q122" s="170">
        <f>IF($U$105="","",IF($U$105=1,RTI_SEE!D24,RTI_SEE!L24))</f>
        <v>0</v>
      </c>
      <c r="R122" s="121">
        <f>IF($U$105="","",IF($U$105=1,RTI_SEE!E24,RTI_SEE!M24))</f>
        <v>0</v>
      </c>
      <c r="S122" s="166">
        <f>IF($U$105="","",IF($U$105=1,RTI_SEE!F24,RTI_SEE!N24))</f>
        <v>0</v>
      </c>
      <c r="T122" s="170">
        <f>IF($U$105="","",IF($U$105=1,RTI_SEE!D29,RTI_SEE!L29))</f>
        <v>0</v>
      </c>
      <c r="U122" s="121">
        <f>IF($U$105="","",IF($U$105=1,RTI_SEE!E29,RTI_SEE!M29))</f>
        <v>0</v>
      </c>
      <c r="V122" s="166">
        <f>IF($U$105="","",IF($U$105=1,RTI_SEE!F29,RTI_SEE!N29))</f>
        <v>0</v>
      </c>
      <c r="W122" s="170">
        <f>IF($U$105="","",IF($U$105=1,RTI_SEE!D34,RTI_SEE!L34))</f>
        <v>0</v>
      </c>
      <c r="X122" s="121">
        <f>IF($U$105="","",IF($U$105=1,RTI_SEE!E34,RTI_SEE!M34))</f>
        <v>0</v>
      </c>
      <c r="Y122" s="166">
        <f>IF($U$105="","",IF($U$105=1,RTI_SEE!F34,RTI_SEE!N34))</f>
        <v>0</v>
      </c>
      <c r="AA122" s="2" t="str">
        <f>$T$107&amp;" Mag 3"</f>
        <v xml:space="preserve"> Mag 3</v>
      </c>
      <c r="AB122" s="39"/>
      <c r="AC122" s="29" t="str">
        <f t="shared" si="18"/>
        <v/>
      </c>
      <c r="AD122" s="57">
        <f t="shared" si="19"/>
        <v>0</v>
      </c>
    </row>
    <row r="123" spans="1:30" ht="14.1" customHeight="1" thickBot="1" x14ac:dyDescent="0.35">
      <c r="A123" s="3">
        <v>57</v>
      </c>
      <c r="B123" s="259"/>
      <c r="C123"/>
      <c r="E123" s="66" t="s">
        <v>114</v>
      </c>
      <c r="L123" s="274" t="str">
        <f>IF(O85="","TBD",IF(O85=1,"YES",IF(O85=3,"NA","")))</f>
        <v>TBD</v>
      </c>
      <c r="M123" s="275" t="str">
        <f t="shared" si="20"/>
        <v/>
      </c>
      <c r="O123" s="85"/>
      <c r="P123" s="86">
        <v>30</v>
      </c>
      <c r="Q123" s="179">
        <f>IF($U$105="","",IF($U$105=1,RTI_SEE!D39,RTI_SEE!L39))</f>
        <v>0</v>
      </c>
      <c r="R123" s="157">
        <f>IF($U$105="","",IF($U$105=1,RTI_SEE!E39,RTI_SEE!M39))</f>
        <v>0</v>
      </c>
      <c r="S123" s="167">
        <f>IF($U$105="","",IF($U$105=1,RTI_SEE!F39,RTI_SEE!N39))</f>
        <v>0</v>
      </c>
      <c r="T123" s="179">
        <f>IF($U$105="","",IF($U$105=1,RTI_SEE!D44,RTI_SEE!L44))</f>
        <v>0</v>
      </c>
      <c r="U123" s="157">
        <f>IF($U$105="","",IF($U$105=1,RTI_SEE!E44,RTI_SEE!M44))</f>
        <v>0</v>
      </c>
      <c r="V123" s="167">
        <f>IF($U$105="","",IF($U$105=1,RTI_SEE!F44,RTI_SEE!N44))</f>
        <v>0</v>
      </c>
      <c r="W123" s="179">
        <f>IF($U$105="","",IF($U$105=1,RTI_SEE!D49,RTI_SEE!L49))</f>
        <v>0</v>
      </c>
      <c r="X123" s="157">
        <f>IF($U$105="","",IF($U$105=1,RTI_SEE!E49,RTI_SEE!M49))</f>
        <v>0</v>
      </c>
      <c r="Y123" s="167">
        <f>IF($U$105="","",IF($U$105=1,RTI_SEE!F49,RTI_SEE!N49))</f>
        <v>0</v>
      </c>
      <c r="AA123" s="2" t="str">
        <f>$T$107&amp;" Mag 4"</f>
        <v xml:space="preserve"> Mag 4</v>
      </c>
      <c r="AB123" s="39"/>
      <c r="AC123" s="29" t="str">
        <f t="shared" si="18"/>
        <v/>
      </c>
      <c r="AD123" s="57">
        <f t="shared" si="19"/>
        <v>0</v>
      </c>
    </row>
    <row r="124" spans="1:30" ht="14.1" customHeight="1" thickBot="1" x14ac:dyDescent="0.35">
      <c r="A124" s="3">
        <v>58</v>
      </c>
      <c r="B124" s="259"/>
      <c r="C124"/>
      <c r="E124" s="66" t="s">
        <v>116</v>
      </c>
      <c r="L124" s="274" t="str">
        <f>IF(O86="","TBD",IF(O86=1,"YES",IF(O86=3,"NA","")))</f>
        <v>TBD</v>
      </c>
      <c r="M124" s="275" t="str">
        <f t="shared" si="20"/>
        <v/>
      </c>
      <c r="O124" s="13"/>
      <c r="P124" s="90" t="s">
        <v>159</v>
      </c>
      <c r="Q124" s="500">
        <f>IF($U$105="","",IF($U$105=1,RTI_SEE!D50,RTI_SEE!L50))</f>
        <v>0</v>
      </c>
      <c r="R124" s="149">
        <f>IF($U$105="","",IF($U$105=1,RTI_SEE!E50,RTI_SEE!M50))</f>
        <v>0</v>
      </c>
      <c r="S124" s="501">
        <f>IF($U$105="","",IF($U$105=1,RTI_SEE!F50,RTI_SEE!N50))</f>
        <v>0</v>
      </c>
      <c r="T124" s="500">
        <f>IF($U$105="","",IF($U$105=1,RTI_SEE!D51,RTI_SEE!L51))</f>
        <v>0</v>
      </c>
      <c r="U124" s="149">
        <f>IF($U$105="","",IF($U$105=1,RTI_SEE!E51,RTI_SEE!M51))</f>
        <v>0</v>
      </c>
      <c r="V124" s="501">
        <f>IF($U$105="","",IF($U$105=1,RTI_SEE!F51,RTI_SEE!N51))</f>
        <v>0</v>
      </c>
      <c r="W124" s="500">
        <f>IF($U$105="","",IF($U$105=1,RTI_SEE!D52,RTI_SEE!L52))</f>
        <v>0</v>
      </c>
      <c r="X124" s="149">
        <f>IF($U$105="","",IF($U$105=1,RTI_SEE!E52,RTI_SEE!M52))</f>
        <v>0</v>
      </c>
      <c r="Y124" s="501">
        <f>IF($U$105="","",IF($U$105=1,RTI_SEE!F52,RTI_SEE!N52))</f>
        <v>0</v>
      </c>
      <c r="AA124" s="2" t="str">
        <f>$W$107&amp;" Normal"</f>
        <v>Auto  Normal</v>
      </c>
      <c r="AB124" s="39"/>
      <c r="AC124" s="29" t="str">
        <f t="shared" si="18"/>
        <v/>
      </c>
      <c r="AD124" s="57">
        <f t="shared" si="19"/>
        <v>0</v>
      </c>
    </row>
    <row r="125" spans="1:30" ht="14.1" customHeight="1" thickBot="1" x14ac:dyDescent="0.35">
      <c r="A125" s="3">
        <v>59</v>
      </c>
      <c r="B125" s="259"/>
      <c r="C125"/>
      <c r="E125" s="66" t="s">
        <v>118</v>
      </c>
      <c r="L125" s="274" t="str">
        <f>IF(O87="","TBD",IF(O87=1,"YES",IF(O87=3,"NA","")))</f>
        <v>TBD</v>
      </c>
      <c r="M125" s="275" t="str">
        <f t="shared" si="20"/>
        <v/>
      </c>
      <c r="O125" s="13"/>
      <c r="P125" s="1" t="s">
        <v>160</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5">
      <c r="A126" s="3">
        <v>60</v>
      </c>
      <c r="B126" s="259"/>
      <c r="C126"/>
      <c r="E126" s="276" t="str">
        <f>P88</f>
        <v/>
      </c>
      <c r="L126" s="274" t="str">
        <f>IF(O48=2,"",IF(OR(O48="",O88=""),"TBD",IF(AND(O48=1,O88=1),"YES",IF(OR(O48=2,O88=3),"NA",""))))</f>
        <v/>
      </c>
      <c r="M126" s="275" t="str">
        <f t="shared" si="20"/>
        <v/>
      </c>
      <c r="O126" s="13"/>
      <c r="P126" s="97" t="s">
        <v>161</v>
      </c>
      <c r="R126" s="98" t="s">
        <v>162</v>
      </c>
      <c r="S126" s="99" t="str">
        <f>IF(S124="","NA",IF($Q$99=1,IF(S124&gt;44,"NO","YES"),IF(S124&gt;88,"NO","YES")))</f>
        <v>YES</v>
      </c>
      <c r="U126" s="98" t="s">
        <v>162</v>
      </c>
      <c r="V126" s="99" t="str">
        <f>IF(V124="","NA",IF($Q$99=1,IF(V124&gt;44,"NO","YES"),IF(V124&gt;88,"NO","YES")))</f>
        <v>YES</v>
      </c>
      <c r="X126" s="98" t="s">
        <v>162</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3">
      <c r="A127" s="3">
        <v>61</v>
      </c>
      <c r="B127" s="259"/>
      <c r="C127"/>
      <c r="M127" s="260"/>
      <c r="O127" s="13"/>
      <c r="P127" s="100" t="s">
        <v>164</v>
      </c>
      <c r="Y127" s="14"/>
      <c r="AA127" s="2" t="str">
        <f>$W$107&amp;" Mag 3"</f>
        <v>Auto  Mag 3</v>
      </c>
      <c r="AB127" s="39"/>
      <c r="AC127" s="29" t="str">
        <f t="shared" si="18"/>
        <v/>
      </c>
      <c r="AD127" s="57">
        <f t="shared" si="19"/>
        <v>0</v>
      </c>
    </row>
    <row r="128" spans="1:30" ht="14.1" customHeight="1" x14ac:dyDescent="0.3">
      <c r="A128" s="3">
        <v>62</v>
      </c>
      <c r="B128" s="259"/>
      <c r="C128"/>
      <c r="M128" s="260"/>
      <c r="O128" s="13"/>
      <c r="P128" s="100" t="s">
        <v>165</v>
      </c>
      <c r="Y128" s="14"/>
      <c r="AA128" s="2" t="str">
        <f>$W$107&amp;" Mag 4"</f>
        <v>Auto  Mag 4</v>
      </c>
      <c r="AB128" s="39"/>
      <c r="AC128" s="29" t="str">
        <f t="shared" si="18"/>
        <v/>
      </c>
      <c r="AD128" s="57">
        <f t="shared" si="19"/>
        <v>0</v>
      </c>
    </row>
    <row r="129" spans="1:30" ht="14.1" customHeight="1" x14ac:dyDescent="0.3">
      <c r="A129" s="3">
        <v>63</v>
      </c>
      <c r="B129" s="259"/>
      <c r="C129"/>
      <c r="M129" s="260"/>
      <c r="O129" s="13"/>
      <c r="P129" s="100" t="s">
        <v>166</v>
      </c>
      <c r="Y129" s="14"/>
      <c r="AA129" s="24" t="s">
        <v>163</v>
      </c>
      <c r="AB129"/>
      <c r="AC129"/>
      <c r="AD129"/>
    </row>
    <row r="130" spans="1:30" ht="14.1" customHeight="1" thickBot="1" x14ac:dyDescent="0.35">
      <c r="A130" s="3">
        <v>64</v>
      </c>
      <c r="B130" s="261"/>
      <c r="C130" s="262"/>
      <c r="D130" s="262"/>
      <c r="E130" s="262"/>
      <c r="F130" s="262"/>
      <c r="G130" s="262"/>
      <c r="H130" s="262"/>
      <c r="I130" s="262"/>
      <c r="J130" s="262"/>
      <c r="K130" s="262"/>
      <c r="L130" s="262"/>
      <c r="M130" s="263"/>
      <c r="O130" s="13"/>
      <c r="P130" s="100" t="s">
        <v>167</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3">
      <c r="A131" s="3">
        <v>65</v>
      </c>
      <c r="C131" s="2" t="s">
        <v>8</v>
      </c>
      <c r="D131" s="437" t="str">
        <f>IF($P$7="","",$P$7)</f>
        <v/>
      </c>
      <c r="L131" s="2" t="s">
        <v>9</v>
      </c>
      <c r="M131" s="62" t="str">
        <f>IF($X$7="","",$X$7)</f>
        <v>Eugene Mah</v>
      </c>
      <c r="O131" s="13"/>
      <c r="P131" s="24" t="s">
        <v>168</v>
      </c>
      <c r="Q131" s="17" t="s">
        <v>169</v>
      </c>
      <c r="Y131" s="14"/>
      <c r="AA131" s="2" t="str">
        <f>$Q$139&amp;" Mag 1"</f>
        <v>Auto 1 Mag 1</v>
      </c>
      <c r="AB131" s="39"/>
      <c r="AC131" s="29" t="str">
        <f t="shared" si="21"/>
        <v/>
      </c>
      <c r="AD131" s="57">
        <f t="shared" si="22"/>
        <v>0</v>
      </c>
    </row>
    <row r="132" spans="1:30" ht="14.1" customHeight="1" x14ac:dyDescent="0.3">
      <c r="A132" s="3">
        <v>66</v>
      </c>
      <c r="C132" s="2" t="s">
        <v>74</v>
      </c>
      <c r="D132" s="63" t="str">
        <f>IF($R$14="","",$R$14&amp;" Tube "&amp;$W$48)</f>
        <v/>
      </c>
      <c r="L132" s="2" t="s">
        <v>23</v>
      </c>
      <c r="M132" s="64" t="str">
        <f>IF($R$13="","",$R$13)</f>
        <v/>
      </c>
      <c r="O132" s="13"/>
      <c r="Q132" s="17" t="s">
        <v>170</v>
      </c>
      <c r="Y132" s="14"/>
      <c r="AA132" s="2" t="str">
        <f>$Q$139&amp;" Mag 2"</f>
        <v>Auto 1 Mag 2</v>
      </c>
      <c r="AB132" s="39"/>
      <c r="AC132" s="29" t="str">
        <f t="shared" si="21"/>
        <v/>
      </c>
      <c r="AD132" s="57">
        <f t="shared" si="22"/>
        <v>0</v>
      </c>
    </row>
    <row r="133" spans="1:30" ht="14.1" customHeight="1" x14ac:dyDescent="0.3">
      <c r="A133" s="3">
        <v>1</v>
      </c>
      <c r="M133" s="65" t="str">
        <f>$H$2</f>
        <v>Medical University of South Carolina</v>
      </c>
      <c r="O133" s="13"/>
      <c r="P133" s="2" t="s">
        <v>171</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5">
      <c r="A134" s="3">
        <v>2</v>
      </c>
      <c r="H134" s="31" t="str">
        <f>$H$68</f>
        <v>Inspection Results</v>
      </c>
      <c r="M134" s="24" t="str">
        <f>$H$5</f>
        <v>Fluoroscopy System Compliance Inspection</v>
      </c>
      <c r="O134" s="13"/>
      <c r="P134" s="102" t="s">
        <v>172</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3">
      <c r="A135" s="3">
        <v>3</v>
      </c>
      <c r="B135" s="256"/>
      <c r="C135" s="277" t="s">
        <v>173</v>
      </c>
      <c r="D135" s="257"/>
      <c r="E135" s="257"/>
      <c r="F135" s="257"/>
      <c r="G135" s="257"/>
      <c r="H135" s="257"/>
      <c r="I135" s="257"/>
      <c r="J135" s="257"/>
      <c r="K135" s="257"/>
      <c r="L135" s="257"/>
      <c r="M135" s="258"/>
      <c r="O135" s="13"/>
      <c r="P135" s="2" t="s">
        <v>174</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5">
      <c r="A136" s="3">
        <v>4</v>
      </c>
      <c r="B136" s="259"/>
      <c r="C136" s="145" t="s">
        <v>175</v>
      </c>
      <c r="D136" s="108">
        <f>IF(O173="","",O173)</f>
        <v>80</v>
      </c>
      <c r="M136" s="260"/>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3">
      <c r="A137" s="3">
        <v>5</v>
      </c>
      <c r="B137" s="259"/>
      <c r="E137"/>
      <c r="F137"/>
      <c r="M137" s="260"/>
      <c r="O137" s="109" t="str">
        <f>IF($U$137=1,"Patient Entrance Exposure Rate – Pulse Fluroscopy","Patient Entrance Exposure Rate – Digital Acquisition")</f>
        <v>Patient Entrance Exposure Rate – Pulse Fluroscopy</v>
      </c>
      <c r="P137" s="7"/>
      <c r="Q137" s="7"/>
      <c r="R137" s="7"/>
      <c r="S137" s="7"/>
      <c r="T137" s="110" t="s">
        <v>176</v>
      </c>
      <c r="U137" s="45">
        <v>1</v>
      </c>
      <c r="V137" s="71" t="s">
        <v>468</v>
      </c>
      <c r="W137" s="7"/>
      <c r="X137" s="7"/>
      <c r="Y137" s="8"/>
      <c r="AA137" s="2" t="str">
        <f>$T$139&amp;" Mag 2"</f>
        <v xml:space="preserve"> Mag 2</v>
      </c>
      <c r="AB137" s="39"/>
      <c r="AC137" s="29" t="str">
        <f t="shared" si="21"/>
        <v/>
      </c>
      <c r="AD137" s="57">
        <f t="shared" si="22"/>
        <v>0</v>
      </c>
    </row>
    <row r="138" spans="1:30" ht="14.1" customHeight="1" thickBot="1" x14ac:dyDescent="0.35">
      <c r="A138" s="3">
        <v>6</v>
      </c>
      <c r="B138" s="259"/>
      <c r="C138" t="s">
        <v>177</v>
      </c>
      <c r="D138" t="s">
        <v>150</v>
      </c>
      <c r="E138" t="s">
        <v>150</v>
      </c>
      <c r="G138" s="145" t="s">
        <v>178</v>
      </c>
      <c r="H138" t="str">
        <f>X174</f>
        <v>TBD</v>
      </c>
      <c r="J138"/>
      <c r="K138" s="278" t="s">
        <v>179</v>
      </c>
      <c r="M138" s="260"/>
      <c r="O138" s="76" t="s">
        <v>141</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5">
      <c r="A139" s="3">
        <v>7</v>
      </c>
      <c r="B139" s="259"/>
      <c r="C139" s="111">
        <f>Q173</f>
        <v>0</v>
      </c>
      <c r="D139" s="112" t="str">
        <f>IF(R173="","",R173)</f>
        <v/>
      </c>
      <c r="E139" s="112" t="str">
        <f>IF(R174="","",R174)</f>
        <v/>
      </c>
      <c r="F139"/>
      <c r="G139" s="145" t="s">
        <v>180</v>
      </c>
      <c r="H139" s="290" t="str">
        <f>X181</f>
        <v>TBD</v>
      </c>
      <c r="J139"/>
      <c r="K139" s="145" t="str">
        <f>"Min acceptable HVL at "&amp;D136&amp;" kVp:"</f>
        <v>Min acceptable HVL at 80 kVp:</v>
      </c>
      <c r="L139">
        <f>U182</f>
        <v>2.8</v>
      </c>
      <c r="M139" s="260"/>
      <c r="O139" s="76" t="s">
        <v>144</v>
      </c>
      <c r="P139" s="14" t="s">
        <v>145</v>
      </c>
      <c r="Q139" s="553" t="str">
        <f>IF(Q138&lt;&gt;"",Q138,IF($Q$99=1,"Manual 1",IF(AUTO_MA="","",AUTO_MA&amp;" 1")))</f>
        <v>Auto 1</v>
      </c>
      <c r="R139" s="553"/>
      <c r="S139" s="553"/>
      <c r="T139" s="554" t="str">
        <f>IF(T138&lt;&gt;"",T138,IF($R$1399=1,"Manual 2",IF(OR(AUTO_MA="",O101="",O101=1),"",AUTO_MA&amp;" "&amp;IF(O101=2,2,IF(AND(O102=2,O101&gt;2),ROUND(O101/2,0),O101)))))</f>
        <v/>
      </c>
      <c r="U139" s="554"/>
      <c r="V139" s="554"/>
      <c r="W139" s="554" t="str">
        <f>IF(W138&lt;&gt;"",W138,IF(OR(O102=1,O101&lt;3),IF(O102=1,"High Level","No High Level"),IF(AUTO_MA="","",AUTO_MA&amp;" "&amp;O101)))</f>
        <v xml:space="preserve">Auto </v>
      </c>
      <c r="X139" s="554"/>
      <c r="Y139" s="554"/>
      <c r="AA139" s="2" t="str">
        <f>$T$139&amp;" Mag 4"</f>
        <v xml:space="preserve"> Mag 4</v>
      </c>
      <c r="AB139" s="39"/>
      <c r="AC139" s="29" t="str">
        <f t="shared" si="21"/>
        <v/>
      </c>
      <c r="AD139" s="57">
        <f t="shared" si="22"/>
        <v>0</v>
      </c>
    </row>
    <row r="140" spans="1:30" ht="14.1" customHeight="1" thickBot="1" x14ac:dyDescent="0.35">
      <c r="A140" s="3">
        <v>8</v>
      </c>
      <c r="B140" s="259"/>
      <c r="C140" s="111">
        <f>IF(Q175="","",Q175)</f>
        <v>0</v>
      </c>
      <c r="D140" s="112" t="str">
        <f>IF(R175="","",R175)</f>
        <v/>
      </c>
      <c r="E140" s="112" t="str">
        <f>IF(R176="","",R176)</f>
        <v/>
      </c>
      <c r="F140"/>
      <c r="G140"/>
      <c r="H140"/>
      <c r="J140"/>
      <c r="K140" s="145" t="str">
        <f>"Desired HVL at "&amp;D136&amp;" kVp:"</f>
        <v>Desired HVL at 80 kVp:</v>
      </c>
      <c r="L140">
        <f>U183</f>
        <v>3.1</v>
      </c>
      <c r="M140" s="260"/>
      <c r="O140" s="76" t="str">
        <f>IF(flocm_in="","","("&amp;flocm_in&amp;")")</f>
        <v>(cm)</v>
      </c>
      <c r="P140" s="23" t="s">
        <v>147</v>
      </c>
      <c r="Q140" s="1" t="s">
        <v>148</v>
      </c>
      <c r="R140" s="1" t="s">
        <v>149</v>
      </c>
      <c r="S140" s="14" t="s">
        <v>150</v>
      </c>
      <c r="T140" s="1" t="s">
        <v>148</v>
      </c>
      <c r="U140" s="1" t="s">
        <v>149</v>
      </c>
      <c r="V140" s="14" t="s">
        <v>150</v>
      </c>
      <c r="W140" s="1" t="s">
        <v>148</v>
      </c>
      <c r="X140" s="1" t="s">
        <v>149</v>
      </c>
      <c r="Y140" s="14" t="s">
        <v>150</v>
      </c>
      <c r="AA140" s="2" t="str">
        <f>$W$139&amp;" Normal"</f>
        <v>Auto  Normal</v>
      </c>
      <c r="AB140" s="39"/>
      <c r="AC140" s="29" t="str">
        <f t="shared" si="21"/>
        <v/>
      </c>
      <c r="AD140" s="57">
        <f t="shared" si="22"/>
        <v>0</v>
      </c>
    </row>
    <row r="141" spans="1:30" ht="14.1" customHeight="1" x14ac:dyDescent="0.3">
      <c r="A141" s="3">
        <v>9</v>
      </c>
      <c r="B141" s="259"/>
      <c r="C141" s="111">
        <f>IF(Q177="","",Q177)</f>
        <v>0</v>
      </c>
      <c r="D141" s="112" t="str">
        <f>IF(R177="","",R177)</f>
        <v/>
      </c>
      <c r="E141" s="112" t="str">
        <f>IF(R178="","",R178)</f>
        <v/>
      </c>
      <c r="F141"/>
      <c r="G141"/>
      <c r="H141"/>
      <c r="I141"/>
      <c r="J141" s="145" t="s">
        <v>168</v>
      </c>
      <c r="K141" s="66" t="str">
        <f>IF(O170=1,"SCDES Standard","MUSC Standard")</f>
        <v>MUSC Standard</v>
      </c>
      <c r="L141"/>
      <c r="M141" s="260"/>
      <c r="O141" s="77" t="s">
        <v>152</v>
      </c>
      <c r="P141" s="77">
        <v>10</v>
      </c>
      <c r="Q141" s="169">
        <f>IF($U$137="","",IF(AND($U$105=1,$U$137=1),RTI_SEE!L5,IF(AND($U$105=2,$U$137=1),RTI_SEE!W5,IF($U$137=2,RTI_SEE!AH5,""))))</f>
        <v>0</v>
      </c>
      <c r="R141" s="152">
        <f>IF($U$137="","",IF(AND($U$105=1,$U$137=1),RTI_SEE!M5,IF(AND($U$105=2,$U$137=1),RTI_SEE!X5,IF($U$137=2,RTI_SEE!AI5,""))))</f>
        <v>0</v>
      </c>
      <c r="S141" s="165">
        <f>IF($U$137="","",IF(AND($U$105=1,$U$137=1),RTI_SEE!N5,IF(AND($U$105=2,$U$137=1),RTI_SEE!Y5,IF($U$137=2,RTI_SEE!AJ5,""))))</f>
        <v>0</v>
      </c>
      <c r="T141" s="169">
        <f>IF($U$137="","",IF(AND($U$105=1,$U$137=1),RTI_SEE!L10,IF(AND($U$105=2,$U$137=1),RTI_SEE!W10,IF($U$137=2,RTI_SEE!AH10,""))))</f>
        <v>0</v>
      </c>
      <c r="U141" s="152">
        <f>IF($U$137="","",IF(AND($U$105=1,$U$137=1),RTI_SEE!M10,IF(AND($U$105=2,$U$137=1),RTI_SEE!X10,IF($U$137=2,RTI_SEE!AI10,""))))</f>
        <v>0</v>
      </c>
      <c r="V141" s="165">
        <f>IF($U$137="","",IF(AND($U$105=1,$U$137=1),RTI_SEE!N10,IF(AND($U$105=2,$U$137=1),RTI_SEE!Y10,IF($U$137=2,RTI_SEE!AJ10,""))))</f>
        <v>0</v>
      </c>
      <c r="W141" s="169">
        <f>IF($U$137="","",IF(AND($U$105=1,$U$137=1),RTI_SEE!L15,IF(AND($U$105=2,$U$137=1),RTI_SEE!W15,IF($U$137=2,RTI_SEE!AH15,""))))</f>
        <v>0</v>
      </c>
      <c r="X141" s="152">
        <f>IF($U$137="","",IF(AND($U$105=1,$U$137=1),RTI_SEE!M15,IF(AND($U$105=2,$U$137=1),RTI_SEE!X15,IF($U$137=2,RTI_SEE!AI15,""))))</f>
        <v>0</v>
      </c>
      <c r="Y141" s="165">
        <f>IF($U$137="","",IF(AND($U$105=1,$U$137=1),RTI_SEE!N15,IF(AND($U$105=2,$U$137=1),RTI_SEE!Y15,IF($U$137=2,RTI_SEE!AJ15,""))))</f>
        <v>0</v>
      </c>
      <c r="AA141" s="2" t="str">
        <f>$W$139&amp;" Mag 1"</f>
        <v>Auto  Mag 1</v>
      </c>
      <c r="AB141" s="39"/>
      <c r="AC141" s="29" t="str">
        <f t="shared" si="21"/>
        <v/>
      </c>
      <c r="AD141" s="57">
        <f t="shared" si="22"/>
        <v>0</v>
      </c>
    </row>
    <row r="142" spans="1:30" ht="14.1" customHeight="1" x14ac:dyDescent="0.3">
      <c r="A142" s="3">
        <v>10</v>
      </c>
      <c r="B142" s="259"/>
      <c r="C142" s="111" t="str">
        <f>IF(Q179="","",Q179)</f>
        <v/>
      </c>
      <c r="D142" s="112" t="str">
        <f>IF(R179="","",R179)</f>
        <v/>
      </c>
      <c r="E142" s="112" t="str">
        <f>IF(R180="","",R180)</f>
        <v/>
      </c>
      <c r="F142"/>
      <c r="G142"/>
      <c r="H142"/>
      <c r="I142"/>
      <c r="J142"/>
      <c r="K142"/>
      <c r="M142" s="260"/>
      <c r="O142" s="81" t="str">
        <f>O110</f>
        <v/>
      </c>
      <c r="P142" s="76">
        <v>20</v>
      </c>
      <c r="Q142" s="170">
        <f>IF($U$137="","",IF(AND($U$105=1,$U$137=1),RTI_SEE!L20,IF(AND($U$105=2,$U$137=1),RTI_SEE!W20,IF($U$137=2,RTI_SEE!AH20,""))))</f>
        <v>0</v>
      </c>
      <c r="R142" s="121">
        <f>IF($U$137="","",IF(AND($U$105=1,$U$137=1),RTI_SEE!M20,IF(AND($U$105=2,$U$137=1),RTI_SEE!X20,IF($U$137=2,RTI_SEE!AI20,""))))</f>
        <v>0</v>
      </c>
      <c r="S142" s="166">
        <f>IF($U$137="","",IF(AND($U$105=1,$U$137=1),RTI_SEE!N20,IF(AND($U$105=2,$U$137=1),RTI_SEE!Y20,IF($U$137=2,RTI_SEE!AJ20,""))))</f>
        <v>0</v>
      </c>
      <c r="T142" s="170">
        <f>IF($U$137="","",IF(AND($U$105=1,$U$137=1),RTI_SEE!L25,IF(AND($U$105=2,$U$137=1),RTI_SEE!W25,IF($U$137=2,RTI_SEE!AH25,""))))</f>
        <v>0</v>
      </c>
      <c r="U142" s="121">
        <f>IF($U$137="","",IF(AND($U$105=1,$U$137=1),RTI_SEE!M25,IF(AND($U$105=2,$U$137=1),RTI_SEE!X25,IF($U$137=2,RTI_SEE!AI25,""))))</f>
        <v>0</v>
      </c>
      <c r="V142" s="166">
        <f>IF($U$137="","",IF(AND($U$105=1,$U$137=1),RTI_SEE!N25,IF(AND($U$105=2,$U$137=1),RTI_SEE!Y25,IF($U$137=2,RTI_SEE!AJ25,""))))</f>
        <v>0</v>
      </c>
      <c r="W142" s="170">
        <f>IF($U$137="","",IF(AND($U$105=1,$U$137=1),RTI_SEE!L30,IF(AND($U$105=2,$U$137=1),RTI_SEE!W30,IF($U$137=2,RTI_SEE!AH30,""))))</f>
        <v>0</v>
      </c>
      <c r="X142" s="121">
        <f>IF($U$137="","",IF(AND($U$105=1,$U$137=1),RTI_SEE!M30,IF(AND($U$105=2,$U$137=1),RTI_SEE!X30,IF($U$137=2,RTI_SEE!AI30,""))))</f>
        <v>0</v>
      </c>
      <c r="Y142" s="166">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5">
      <c r="A143" s="3">
        <v>11</v>
      </c>
      <c r="B143" s="259"/>
      <c r="C143" s="111" t="str">
        <f>IF(Q181="","",Q181)</f>
        <v/>
      </c>
      <c r="D143" s="113" t="str">
        <f>IF(R181="","",R181)</f>
        <v/>
      </c>
      <c r="E143" s="113" t="str">
        <f>IF(R182="","",R182)</f>
        <v/>
      </c>
      <c r="F143"/>
      <c r="G143"/>
      <c r="H143"/>
      <c r="I143"/>
      <c r="J143"/>
      <c r="K143"/>
      <c r="M143" s="260"/>
      <c r="O143" s="114"/>
      <c r="P143" s="86">
        <v>30</v>
      </c>
      <c r="Q143" s="179">
        <f>IF($U$137="","",IF(AND($U$105=1,$U$137=1),RTI_SEE!L35,IF(AND($U$105=2,$U$137=1),RTI_SEE!W35,IF($U$137=2,RTI_SEE!AH35,""))))</f>
        <v>0</v>
      </c>
      <c r="R143" s="157">
        <f>IF($U$137="","",IF(AND($U$105=1,$U$137=1),RTI_SEE!M35,IF(AND($U$105=2,$U$137=1),RTI_SEE!X35,IF($U$137=2,RTI_SEE!AI35,""))))</f>
        <v>0</v>
      </c>
      <c r="S143" s="167">
        <f>IF($U$137="","",IF(AND($U$105=1,$U$137=1),RTI_SEE!N35,IF(AND($U$105=2,$U$137=1),RTI_SEE!Y35,IF($U$137=2,RTI_SEE!AJ35,""))))</f>
        <v>0</v>
      </c>
      <c r="T143" s="179">
        <f>IF($U$137="","",IF(AND($U$105=1,$U$137=1),RTI_SEE!L40,IF(AND($U$105=2,$U$137=1),RTI_SEE!W40,IF($U$137=2,RTI_SEE!AH40,""))))</f>
        <v>0</v>
      </c>
      <c r="U143" s="157">
        <f>IF($U$137="","",IF(AND($U$105=1,$U$137=1),RTI_SEE!M40,IF(AND($U$105=2,$U$137=1),RTI_SEE!X40,IF($U$137=2,RTI_SEE!AI40,""))))</f>
        <v>0</v>
      </c>
      <c r="V143" s="167">
        <f>IF($U$137="","",IF(AND($U$105=1,$U$137=1),RTI_SEE!N40,IF(AND($U$105=2,$U$137=1),RTI_SEE!Y40,IF($U$137=2,RTI_SEE!AJ40,""))))</f>
        <v>0</v>
      </c>
      <c r="W143" s="179">
        <f>IF($U$137="","",IF(AND($U$105=1,$U$137=1),RTI_SEE!L45,IF(AND($U$105=2,$U$137=1),RTI_SEE!W45,IF($U$137=2,RTI_SEE!AH45,""))))</f>
        <v>0</v>
      </c>
      <c r="X143" s="157">
        <f>IF($U$137="","",IF(AND($U$105=1,$U$137=1),RTI_SEE!M45,IF(AND($U$105=2,$U$137=1),RTI_SEE!X45,IF($U$137=2,RTI_SEE!AI45,""))))</f>
        <v>0</v>
      </c>
      <c r="Y143" s="167">
        <f>IF($U$137="","",IF(AND($U$105=1,$U$137=1),RTI_SEE!N45,IF(AND($U$105=2,$U$137=1),RTI_SEE!Y45,IF($U$137=2,RTI_SEE!AJ45,""))))</f>
        <v>0</v>
      </c>
      <c r="AA143" s="2" t="str">
        <f>$W$139&amp;" Mag 3"</f>
        <v>Auto  Mag 3</v>
      </c>
      <c r="AB143" s="39"/>
      <c r="AC143" s="29" t="str">
        <f t="shared" si="21"/>
        <v/>
      </c>
      <c r="AD143" s="57">
        <f t="shared" si="22"/>
        <v>0</v>
      </c>
    </row>
    <row r="144" spans="1:30" ht="14.1" customHeight="1" x14ac:dyDescent="0.3">
      <c r="A144" s="3">
        <v>12</v>
      </c>
      <c r="B144" s="259"/>
      <c r="C144" s="111" t="str">
        <f>IF(Q183="","",Q183)</f>
        <v/>
      </c>
      <c r="D144" s="113" t="str">
        <f>IF(R183="","",R183)</f>
        <v/>
      </c>
      <c r="E144" s="113" t="str">
        <f>IF(R184="","",R184)</f>
        <v/>
      </c>
      <c r="F144"/>
      <c r="G144"/>
      <c r="H144"/>
      <c r="I144"/>
      <c r="J144"/>
      <c r="K144"/>
      <c r="M144" s="260"/>
      <c r="O144" s="77" t="s">
        <v>155</v>
      </c>
      <c r="P144" s="77">
        <v>10</v>
      </c>
      <c r="Q144" s="169">
        <f>IF($U$137="","",IF(AND($U$105=1,$U$137=1),RTI_SEE!L6,IF(AND($U$105=2,$U$137=1),RTI_SEE!W6,IF($U$137=2,RTI_SEE!AH6,""))))</f>
        <v>0</v>
      </c>
      <c r="R144" s="152">
        <f>IF($U$137="","",IF(AND($U$105=1,$U$137=1),RTI_SEE!M6,IF(AND($U$105=2,$U$137=1),RTI_SEE!X6,IF($U$137=2,RTI_SEE!AI6,""))))</f>
        <v>0</v>
      </c>
      <c r="S144" s="165">
        <f>IF($U$137="","",IF(AND($U$105=1,$U$137=1),RTI_SEE!N6,IF(AND($U$105=2,$U$137=1),RTI_SEE!Y6,IF($U$137=2,RTI_SEE!AJ6,""))))</f>
        <v>0</v>
      </c>
      <c r="T144" s="169">
        <f>IF($U$137="","",IF(AND($U$105=1,$U$137=1),RTI_SEE!L11,IF(AND($U$105=2,$U$137=1),RTI_SEE!W11,IF($U$137=2,RTI_SEE!AH11,""))))</f>
        <v>0</v>
      </c>
      <c r="U144" s="152">
        <f>IF($U$137="","",IF(AND($U$105=1,$U$137=1),RTI_SEE!M11,IF(AND($U$105=2,$U$137=1),RTI_SEE!X11,IF($U$137=2,RTI_SEE!AI11,""))))</f>
        <v>0</v>
      </c>
      <c r="V144" s="165">
        <f>IF($U$137="","",IF(AND($U$105=1,$U$137=1),RTI_SEE!N11,IF(AND($U$105=2,$U$137=1),RTI_SEE!Y11,IF($U$137=2,RTI_SEE!AJ11,""))))</f>
        <v>0</v>
      </c>
      <c r="W144" s="169">
        <f>IF($U$137="","",IF(AND($U$105=1,$U$137=1),RTI_SEE!L16,IF(AND($U$105=2,$U$137=1),RTI_SEE!W16,IF($U$137=2,RTI_SEE!AH16,""))))</f>
        <v>0</v>
      </c>
      <c r="X144" s="152">
        <f>IF($U$137="","",IF(AND($U$105=1,$U$137=1),RTI_SEE!M16,IF(AND($U$105=2,$U$137=1),RTI_SEE!X16,IF($U$137=2,RTI_SEE!AI16,""))))</f>
        <v>0</v>
      </c>
      <c r="Y144" s="165">
        <f>IF($U$137="","",IF(AND($U$105=1,$U$137=1),RTI_SEE!N16,IF(AND($U$105=2,$U$137=1),RTI_SEE!Y16,IF($U$137=2,RTI_SEE!AJ16,""))))</f>
        <v>0</v>
      </c>
      <c r="AA144" s="2" t="str">
        <f>$W$139&amp;" Mag 4"</f>
        <v>Auto  Mag 4</v>
      </c>
      <c r="AB144" s="39"/>
      <c r="AC144" s="29" t="str">
        <f t="shared" si="21"/>
        <v/>
      </c>
      <c r="AD144" s="57">
        <f t="shared" si="22"/>
        <v>0</v>
      </c>
    </row>
    <row r="145" spans="1:30" ht="14.1" customHeight="1" x14ac:dyDescent="0.3">
      <c r="A145" s="3">
        <v>13</v>
      </c>
      <c r="B145" s="259"/>
      <c r="E145"/>
      <c r="F145"/>
      <c r="G145"/>
      <c r="I145"/>
      <c r="J145"/>
      <c r="K145"/>
      <c r="M145" s="260"/>
      <c r="O145" s="81" t="str">
        <f>O113</f>
        <v/>
      </c>
      <c r="P145" s="76">
        <v>20</v>
      </c>
      <c r="Q145" s="170">
        <f>IF($U$137="","",IF(AND($U$105=1,$U$137=1),RTI_SEE!L21,IF(AND($U$105=2,$U$137=1),RTI_SEE!W21,IF($U$137=2,RTI_SEE!AH21,""))))</f>
        <v>0</v>
      </c>
      <c r="R145" s="121">
        <f>IF($U$137="","",IF(AND($U$105=1,$U$137=1),RTI_SEE!M21,IF(AND($U$105=2,$U$137=1),RTI_SEE!X21,IF($U$137=2,RTI_SEE!AI21,""))))</f>
        <v>0</v>
      </c>
      <c r="S145" s="166">
        <f>IF($U$137="","",IF(AND($U$105=1,$U$137=1),RTI_SEE!N21,IF(AND($U$105=2,$U$137=1),RTI_SEE!Y21,IF($U$137=2,RTI_SEE!AJ21,""))))</f>
        <v>0</v>
      </c>
      <c r="T145" s="170">
        <f>IF($U$137="","",IF(AND($U$105=1,$U$137=1),RTI_SEE!L26,IF(AND($U$105=2,$U$137=1),RTI_SEE!W26,IF($U$137=2,RTI_SEE!AH26,""))))</f>
        <v>0</v>
      </c>
      <c r="U145" s="121">
        <f>IF($U$137="","",IF(AND($U$105=1,$U$137=1),RTI_SEE!M26,IF(AND($U$105=2,$U$137=1),RTI_SEE!X26,IF($U$137=2,RTI_SEE!AI26,""))))</f>
        <v>0</v>
      </c>
      <c r="V145" s="166">
        <f>IF($U$137="","",IF(AND($U$105=1,$U$137=1),RTI_SEE!N26,IF(AND($U$105=2,$U$137=1),RTI_SEE!Y26,IF($U$137=2,RTI_SEE!AJ26,""))))</f>
        <v>0</v>
      </c>
      <c r="W145" s="170">
        <f>IF($U$137="","",IF(AND($U$105=1,$U$137=1),RTI_SEE!L31,IF(AND($U$105=2,$U$137=1),RTI_SEE!W31,IF($U$137=2,RTI_SEE!AH31,""))))</f>
        <v>0</v>
      </c>
      <c r="X145" s="121">
        <f>IF($U$137="","",IF(AND($U$105=1,$U$137=1),RTI_SEE!M31,IF(AND($U$105=2,$U$137=1),RTI_SEE!X31,IF($U$137=2,RTI_SEE!AI31,""))))</f>
        <v>0</v>
      </c>
      <c r="Y145" s="166">
        <f>IF($U$137="","",IF(AND($U$105=1,$U$137=1),RTI_SEE!N31,IF(AND($U$105=2,$U$137=1),RTI_SEE!Y31,IF($U$137=2,RTI_SEE!AJ31,""))))</f>
        <v>0</v>
      </c>
      <c r="AA145" s="24" t="s">
        <v>181</v>
      </c>
      <c r="AB145"/>
      <c r="AC145"/>
      <c r="AD145"/>
    </row>
    <row r="146" spans="1:30" ht="14.1" customHeight="1" thickBot="1" x14ac:dyDescent="0.35">
      <c r="A146" s="3">
        <v>14</v>
      </c>
      <c r="B146" s="259"/>
      <c r="M146" s="260"/>
      <c r="O146" s="114"/>
      <c r="P146" s="86">
        <v>30</v>
      </c>
      <c r="Q146" s="179">
        <f>IF($U$137="","",IF(AND($U$105=1,$U$137=1),RTI_SEE!L36,IF(AND($U$105=2,$U$137=1),RTI_SEE!W36,IF($U$137=2,RTI_SEE!AH36,""))))</f>
        <v>0</v>
      </c>
      <c r="R146" s="157">
        <f>IF($U$137="","",IF(AND($U$105=1,$U$137=1),RTI_SEE!M36,IF(AND($U$105=2,$U$137=1),RTI_SEE!X36,IF($U$137=2,RTI_SEE!AI36,""))))</f>
        <v>0</v>
      </c>
      <c r="S146" s="167">
        <f>IF($U$137="","",IF(AND($U$105=1,$U$137=1),RTI_SEE!N36,IF(AND($U$105=2,$U$137=1),RTI_SEE!Y36,IF($U$137=2,RTI_SEE!AJ36,""))))</f>
        <v>0</v>
      </c>
      <c r="T146" s="179">
        <f>IF($U$137="","",IF(AND($U$105=1,$U$137=1),RTI_SEE!L41,IF(AND($U$105=2,$U$137=1),RTI_SEE!W41,IF($U$137=2,RTI_SEE!AH41,""))))</f>
        <v>0</v>
      </c>
      <c r="U146" s="157">
        <f>IF($U$137="","",IF(AND($U$105=1,$U$137=1),RTI_SEE!M41,IF(AND($U$105=2,$U$137=1),RTI_SEE!X41,IF($U$137=2,RTI_SEE!AI41,""))))</f>
        <v>0</v>
      </c>
      <c r="V146" s="167">
        <f>IF($U$137="","",IF(AND($U$105=1,$U$137=1),RTI_SEE!N41,IF(AND($U$105=2,$U$137=1),RTI_SEE!Y41,IF($U$137=2,RTI_SEE!AJ41,""))))</f>
        <v>0</v>
      </c>
      <c r="W146" s="179">
        <f>IF($U$137="","",IF(AND($U$105=1,$U$137=1),RTI_SEE!L46,IF(AND($U$105=2,$U$137=1),RTI_SEE!W46,IF($U$137=2,RTI_SEE!AH46,""))))</f>
        <v>0</v>
      </c>
      <c r="X146" s="157">
        <f>IF($U$137="","",IF(AND($U$105=1,$U$137=1),RTI_SEE!M46,IF(AND($U$105=2,$U$137=1),RTI_SEE!X46,IF($U$137=2,RTI_SEE!AI46,""))))</f>
        <v>0</v>
      </c>
      <c r="Y146" s="167">
        <f>IF($U$137="","",IF(AND($U$105=1,$U$137=1),RTI_SEE!N46,IF(AND($U$105=2,$U$137=1),RTI_SEE!Y46,IF($U$137=2,RTI_SEE!AJ46,""))))</f>
        <v>0</v>
      </c>
      <c r="AA146" s="2" t="s">
        <v>182</v>
      </c>
      <c r="AB146" s="39"/>
      <c r="AC146" s="29" t="str">
        <f>IF(AB146&lt;&gt;AD146,"Change","")</f>
        <v/>
      </c>
      <c r="AD146" s="40">
        <f>IF(T237="","",T237)</f>
        <v>0</v>
      </c>
    </row>
    <row r="147" spans="1:30" ht="14.1" customHeight="1" x14ac:dyDescent="0.3">
      <c r="A147" s="3">
        <v>15</v>
      </c>
      <c r="B147" s="259"/>
      <c r="M147" s="260"/>
      <c r="O147" s="77" t="s">
        <v>156</v>
      </c>
      <c r="P147" s="77">
        <v>10</v>
      </c>
      <c r="Q147" s="169">
        <f>IF($U$137="","",IF(AND($U$105=1,$U$137=1),RTI_SEE!L7,IF(AND($U$105=2,$U$137=1),RTI_SEE!W7,IF($U$137=2,RTI_SEE!AH7,""))))</f>
        <v>0</v>
      </c>
      <c r="R147" s="152">
        <f>IF($U$137="","",IF(AND($U$105=1,$U$137=1),RTI_SEE!M7,IF(AND($U$105=2,$U$137=1),RTI_SEE!X7,IF($U$137=2,RTI_SEE!AI7,""))))</f>
        <v>0</v>
      </c>
      <c r="S147" s="165">
        <f>IF($U$137="","",IF(AND($U$105=1,$U$137=1),RTI_SEE!N7,IF(AND($U$105=2,$U$137=1),RTI_SEE!Y7,IF($U$137=2,RTI_SEE!AJ7,""))))</f>
        <v>0</v>
      </c>
      <c r="T147" s="169">
        <f>IF($U$137="","",IF(AND($U$105=1,$U$137=1),RTI_SEE!L12,IF(AND($U$105=2,$U$137=1),RTI_SEE!W12,IF($U$137=2,RTI_SEE!AH12,""))))</f>
        <v>0</v>
      </c>
      <c r="U147" s="152">
        <f>IF($U$137="","",IF(AND($U$105=1,$U$137=1),RTI_SEE!M12,IF(AND($U$105=2,$U$137=1),RTI_SEE!X12,IF($U$137=2,RTI_SEE!AI12,""))))</f>
        <v>0</v>
      </c>
      <c r="V147" s="165">
        <f>IF($U$137="","",IF(AND($U$105=1,$U$137=1),RTI_SEE!N12,IF(AND($U$105=2,$U$137=1),RTI_SEE!Y12,IF($U$137=2,RTI_SEE!AJ12,""))))</f>
        <v>0</v>
      </c>
      <c r="W147" s="169">
        <f>IF($U$137="","",IF(AND($U$105=1,$U$137=1),RTI_SEE!L17,IF(AND($U$105=2,$U$137=1),RTI_SEE!W17,IF($U$137=2,RTI_SEE!AH17,""))))</f>
        <v>0</v>
      </c>
      <c r="X147" s="152">
        <f>IF($U$137="","",IF(AND($U$105=1,$U$137=1),RTI_SEE!M17,IF(AND($U$105=2,$U$137=1),RTI_SEE!X17,IF($U$137=2,RTI_SEE!AI17,""))))</f>
        <v>0</v>
      </c>
      <c r="Y147" s="165">
        <f>IF($U$137="","",IF(AND($U$105=1,$U$137=1),RTI_SEE!N17,IF(AND($U$105=2,$U$137=1),RTI_SEE!Y17,IF($U$137=2,RTI_SEE!AJ17,""))))</f>
        <v>0</v>
      </c>
      <c r="AA147" s="2" t="s">
        <v>183</v>
      </c>
      <c r="AB147" s="39"/>
      <c r="AC147" s="29" t="str">
        <f>IF(AB147&lt;&gt;AD147,"Change","")</f>
        <v/>
      </c>
      <c r="AD147" s="40" t="str">
        <f>IF(S240="","",S240)</f>
        <v/>
      </c>
    </row>
    <row r="148" spans="1:30" ht="14.1" customHeight="1" x14ac:dyDescent="0.3">
      <c r="A148" s="3">
        <v>16</v>
      </c>
      <c r="B148" s="259"/>
      <c r="M148" s="260"/>
      <c r="O148" s="81" t="str">
        <f>O116</f>
        <v/>
      </c>
      <c r="P148" s="76">
        <v>20</v>
      </c>
      <c r="Q148" s="170">
        <f>IF($U$137="","",IF(AND($U$105=1,$U$137=1),RTI_SEE!L22,IF(AND($U$105=2,$U$137=1),RTI_SEE!W22,IF($U$137=2,RTI_SEE!AH22,""))))</f>
        <v>0</v>
      </c>
      <c r="R148" s="121">
        <f>IF($U$137="","",IF(AND($U$105=1,$U$137=1),RTI_SEE!M22,IF(AND($U$105=2,$U$137=1),RTI_SEE!X22,IF($U$137=2,RTI_SEE!AI22,""))))</f>
        <v>0</v>
      </c>
      <c r="S148" s="166">
        <f>IF($U$137="","",IF(AND($U$105=1,$U$137=1),RTI_SEE!N22,IF(AND($U$105=2,$U$137=1),RTI_SEE!Y22,IF($U$137=2,RTI_SEE!AJ22,""))))</f>
        <v>0</v>
      </c>
      <c r="T148" s="170">
        <f>IF($U$137="","",IF(AND($U$105=1,$U$137=1),RTI_SEE!L27,IF(AND($U$105=2,$U$137=1),RTI_SEE!W27,IF($U$137=2,RTI_SEE!AH27,""))))</f>
        <v>0</v>
      </c>
      <c r="U148" s="121">
        <f>IF($U$137="","",IF(AND($U$105=1,$U$137=1),RTI_SEE!M27,IF(AND($U$105=2,$U$137=1),RTI_SEE!X27,IF($U$137=2,RTI_SEE!AI27,""))))</f>
        <v>0</v>
      </c>
      <c r="V148" s="166">
        <f>IF($U$137="","",IF(AND($U$105=1,$U$137=1),RTI_SEE!N27,IF(AND($U$105=2,$U$137=1),RTI_SEE!Y27,IF($U$137=2,RTI_SEE!AJ27,""))))</f>
        <v>0</v>
      </c>
      <c r="W148" s="170">
        <f>IF($U$137="","",IF(AND($U$105=1,$U$137=1),RTI_SEE!L32,IF(AND($U$105=2,$U$137=1),RTI_SEE!W32,IF($U$137=2,RTI_SEE!AH32,""))))</f>
        <v>0</v>
      </c>
      <c r="X148" s="121">
        <f>IF($U$137="","",IF(AND($U$105=1,$U$137=1),RTI_SEE!M32,IF(AND($U$105=2,$U$137=1),RTI_SEE!X32,IF($U$137=2,RTI_SEE!AI32,""))))</f>
        <v>0</v>
      </c>
      <c r="Y148" s="166">
        <f>IF($U$137="","",IF(AND($U$105=1,$U$137=1),RTI_SEE!N32,IF(AND($U$105=2,$U$137=1),RTI_SEE!Y32,IF($U$137=2,RTI_SEE!AJ32,""))))</f>
        <v>0</v>
      </c>
      <c r="AA148" s="2" t="s">
        <v>184</v>
      </c>
      <c r="AB148" s="39"/>
      <c r="AC148" s="29" t="str">
        <f>IF(AB148&lt;&gt;AD148,"Change","")</f>
        <v/>
      </c>
      <c r="AD148" s="40" t="str">
        <f>IF(S241="","",S241)</f>
        <v/>
      </c>
    </row>
    <row r="149" spans="1:30" ht="14.1" customHeight="1" thickBot="1" x14ac:dyDescent="0.35">
      <c r="A149" s="3">
        <v>17</v>
      </c>
      <c r="B149" s="259"/>
      <c r="M149" s="260"/>
      <c r="O149" s="114"/>
      <c r="P149" s="86">
        <v>30</v>
      </c>
      <c r="Q149" s="179">
        <f>IF($U$137="","",IF(AND($U$105=1,$U$137=1),RTI_SEE!L37,IF(AND($U$105=2,$U$137=1),RTI_SEE!W37,IF($U$137=2,RTI_SEE!AH37,""))))</f>
        <v>0</v>
      </c>
      <c r="R149" s="157">
        <f>IF($U$137="","",IF(AND($U$105=1,$U$137=1),RTI_SEE!M37,IF(AND($U$105=2,$U$137=1),RTI_SEE!X37,IF($U$137=2,RTI_SEE!AI37,""))))</f>
        <v>0</v>
      </c>
      <c r="S149" s="167">
        <f>IF($U$137="","",IF(AND($U$105=1,$U$137=1),RTI_SEE!N37,IF(AND($U$105=2,$U$137=1),RTI_SEE!Y37,IF($U$137=2,RTI_SEE!AJ37,""))))</f>
        <v>0</v>
      </c>
      <c r="T149" s="179">
        <f>IF($U$137="","",IF(AND($U$105=1,$U$137=1),RTI_SEE!L42,IF(AND($U$105=2,$U$137=1),RTI_SEE!W42,IF($U$137=2,RTI_SEE!AH42,""))))</f>
        <v>0</v>
      </c>
      <c r="U149" s="157">
        <f>IF($U$137="","",IF(AND($U$105=1,$U$137=1),RTI_SEE!M42,IF(AND($U$105=2,$U$137=1),RTI_SEE!X42,IF($U$137=2,RTI_SEE!AI42,""))))</f>
        <v>0</v>
      </c>
      <c r="V149" s="167">
        <f>IF($U$137="","",IF(AND($U$105=1,$U$137=1),RTI_SEE!N42,IF(AND($U$105=2,$U$137=1),RTI_SEE!Y42,IF($U$137=2,RTI_SEE!AJ42,""))))</f>
        <v>0</v>
      </c>
      <c r="W149" s="179">
        <f>IF($U$137="","",IF(AND($U$105=1,$U$137=1),RTI_SEE!L47,IF(AND($U$105=2,$U$137=1),RTI_SEE!W47,IF($U$137=2,RTI_SEE!AH47,""))))</f>
        <v>0</v>
      </c>
      <c r="X149" s="157">
        <f>IF($U$137="","",IF(AND($U$105=1,$U$137=1),RTI_SEE!M47,IF(AND($U$105=2,$U$137=1),RTI_SEE!X47,IF($U$137=2,RTI_SEE!AI47,""))))</f>
        <v>0</v>
      </c>
      <c r="Y149" s="167">
        <f>IF($U$137="","",IF(AND($U$105=1,$U$137=1),RTI_SEE!N47,IF(AND($U$105=2,$U$137=1),RTI_SEE!Y47,IF($U$137=2,RTI_SEE!AJ47,""))))</f>
        <v>0</v>
      </c>
      <c r="AA149" s="2" t="s">
        <v>185</v>
      </c>
      <c r="AB149" s="39"/>
      <c r="AC149" s="29" t="str">
        <f>IF(AB149&lt;&gt;AD149,"Change","")</f>
        <v/>
      </c>
      <c r="AD149" s="40" t="str">
        <f>IF(T240="","",T240)</f>
        <v/>
      </c>
    </row>
    <row r="150" spans="1:30" ht="14.1" customHeight="1" x14ac:dyDescent="0.3">
      <c r="A150" s="3">
        <v>18</v>
      </c>
      <c r="B150" s="259"/>
      <c r="M150" s="260"/>
      <c r="O150" s="77" t="s">
        <v>157</v>
      </c>
      <c r="P150" s="77">
        <v>10</v>
      </c>
      <c r="Q150" s="169">
        <f>IF($U$137="","",IF(AND($U$105=1,$U$137=1),RTI_SEE!L8,IF(AND($U$105=2,$U$137=1),RTI_SEE!W8,IF($U$137=2,RTI_SEE!AH8,""))))</f>
        <v>0</v>
      </c>
      <c r="R150" s="152">
        <f>IF($U$137="","",IF(AND($U$105=1,$U$137=1),RTI_SEE!M8,IF(AND($U$105=2,$U$137=1),RTI_SEE!X8,IF($U$137=2,RTI_SEE!AI8,""))))</f>
        <v>0</v>
      </c>
      <c r="S150" s="165">
        <f>IF($U$137="","",IF(AND($U$105=1,$U$137=1),RTI_SEE!N8,IF(AND($U$105=2,$U$137=1),RTI_SEE!Y8,IF($U$137=2,RTI_SEE!AJ8,""))))</f>
        <v>0</v>
      </c>
      <c r="T150" s="169">
        <f>IF($U$137="","",IF(AND($U$105=1,$U$137=1),RTI_SEE!L13,IF(AND($U$105=2,$U$137=1),RTI_SEE!W13,IF($U$137=2,RTI_SEE!AH13,""))))</f>
        <v>0</v>
      </c>
      <c r="U150" s="152">
        <f>IF($U$137="","",IF(AND($U$105=1,$U$137=1),RTI_SEE!M13,IF(AND($U$105=2,$U$137=1),RTI_SEE!X13,IF($U$137=2,RTI_SEE!AI13,""))))</f>
        <v>0</v>
      </c>
      <c r="V150" s="165">
        <f>IF($U$137="","",IF(AND($U$105=1,$U$137=1),RTI_SEE!N13,IF(AND($U$105=2,$U$137=1),RTI_SEE!Y13,IF($U$137=2,RTI_SEE!AJ13,""))))</f>
        <v>0</v>
      </c>
      <c r="W150" s="169">
        <f>IF($U$137="","",IF(AND($U$105=1,$U$137=1),RTI_SEE!L18,IF(AND($U$105=2,$U$137=1),RTI_SEE!W18,IF($U$137=2,RTI_SEE!AH18,""))))</f>
        <v>0</v>
      </c>
      <c r="X150" s="152">
        <f>IF($U$137="","",IF(AND($U$105=1,$U$137=1),RTI_SEE!M18,IF(AND($U$105=2,$U$137=1),RTI_SEE!X18,IF($U$137=2,RTI_SEE!AI18,""))))</f>
        <v>0</v>
      </c>
      <c r="Y150" s="165">
        <f>IF($U$137="","",IF(AND($U$105=1,$U$137=1),RTI_SEE!N18,IF(AND($U$105=2,$U$137=1),RTI_SEE!Y18,IF($U$137=2,RTI_SEE!AJ18,""))))</f>
        <v>0</v>
      </c>
      <c r="AA150" s="2" t="s">
        <v>186</v>
      </c>
      <c r="AB150" s="39"/>
      <c r="AC150" s="29" t="str">
        <f>IF(AB150&lt;&gt;AD150,"Change","")</f>
        <v/>
      </c>
      <c r="AD150" s="40" t="str">
        <f>IF(T241="","",T241)</f>
        <v/>
      </c>
    </row>
    <row r="151" spans="1:30" ht="14.1" customHeight="1" x14ac:dyDescent="0.3">
      <c r="A151" s="3">
        <v>19</v>
      </c>
      <c r="B151" s="259"/>
      <c r="M151" s="260"/>
      <c r="O151" s="81" t="str">
        <f>O119</f>
        <v/>
      </c>
      <c r="P151" s="76">
        <v>20</v>
      </c>
      <c r="Q151" s="170">
        <f>IF($U$137="","",IF(AND($U$105=1,$U$137=1),RTI_SEE!L23,IF(AND($U$105=2,$U$137=1),RTI_SEE!W23,IF($U$137=2,RTI_SEE!AH23,""))))</f>
        <v>0</v>
      </c>
      <c r="R151" s="121">
        <f>IF($U$137="","",IF(AND($U$105=1,$U$137=1),RTI_SEE!M23,IF(AND($U$105=2,$U$137=1),RTI_SEE!X23,IF($U$137=2,RTI_SEE!AI23,""))))</f>
        <v>0</v>
      </c>
      <c r="S151" s="166">
        <f>IF($U$137="","",IF(AND($U$105=1,$U$137=1),RTI_SEE!N23,IF(AND($U$105=2,$U$137=1),RTI_SEE!Y23,IF($U$137=2,RTI_SEE!AJ23,""))))</f>
        <v>0</v>
      </c>
      <c r="T151" s="170">
        <f>IF($U$137="","",IF(AND($U$105=1,$U$137=1),RTI_SEE!L28,IF(AND($U$105=2,$U$137=1),RTI_SEE!W28,IF($U$137=2,RTI_SEE!AH28,""))))</f>
        <v>0</v>
      </c>
      <c r="U151" s="121">
        <f>IF($U$137="","",IF(AND($U$105=1,$U$137=1),RTI_SEE!M28,IF(AND($U$105=2,$U$137=1),RTI_SEE!X28,IF($U$137=2,RTI_SEE!AI28,""))))</f>
        <v>0</v>
      </c>
      <c r="V151" s="166">
        <f>IF($U$137="","",IF(AND($U$105=1,$U$137=1),RTI_SEE!N28,IF(AND($U$105=2,$U$137=1),RTI_SEE!Y28,IF($U$137=2,RTI_SEE!AJ28,""))))</f>
        <v>0</v>
      </c>
      <c r="W151" s="170">
        <f>IF($U$137="","",IF(AND($U$105=1,$U$137=1),RTI_SEE!L33,IF(AND($U$105=2,$U$137=1),RTI_SEE!W33,IF($U$137=2,RTI_SEE!AH33,""))))</f>
        <v>0</v>
      </c>
      <c r="X151" s="121">
        <f>IF($U$137="","",IF(AND($U$105=1,$U$137=1),RTI_SEE!M33,IF(AND($U$105=2,$U$137=1),RTI_SEE!X33,IF($U$137=2,RTI_SEE!AI33,""))))</f>
        <v>0</v>
      </c>
      <c r="Y151" s="166">
        <f>IF($U$137="","",IF(AND($U$105=1,$U$137=1),RTI_SEE!N33,IF(AND($U$105=2,$U$137=1),RTI_SEE!Y33,IF($U$137=2,RTI_SEE!AJ33,""))))</f>
        <v>0</v>
      </c>
      <c r="AA151" s="24" t="s">
        <v>187</v>
      </c>
      <c r="AB151"/>
      <c r="AC151"/>
      <c r="AD151"/>
    </row>
    <row r="152" spans="1:30" ht="14.1" customHeight="1" thickBot="1" x14ac:dyDescent="0.35">
      <c r="A152" s="3">
        <v>20</v>
      </c>
      <c r="B152" s="259"/>
      <c r="M152" s="260"/>
      <c r="O152" s="114"/>
      <c r="P152" s="86">
        <v>30</v>
      </c>
      <c r="Q152" s="179">
        <f>IF($U$137="","",IF(AND($U$105=1,$U$137=1),RTI_SEE!L38,IF(AND($U$105=2,$U$137=1),RTI_SEE!W38,IF($U$137=2,RTI_SEE!AH38,""))))</f>
        <v>0</v>
      </c>
      <c r="R152" s="157">
        <f>IF($U$137="","",IF(AND($U$105=1,$U$137=1),RTI_SEE!M38,IF(AND($U$105=2,$U$137=1),RTI_SEE!X38,IF($U$137=2,RTI_SEE!AI38,""))))</f>
        <v>0</v>
      </c>
      <c r="S152" s="167">
        <f>IF($U$137="","",IF(AND($U$105=1,$U$137=1),RTI_SEE!N38,IF(AND($U$105=2,$U$137=1),RTI_SEE!Y38,IF($U$137=2,RTI_SEE!AJ38,""))))</f>
        <v>0</v>
      </c>
      <c r="T152" s="179">
        <f>IF($U$137="","",IF(AND($U$105=1,$U$137=1),RTI_SEE!L43,IF(AND($U$105=2,$U$137=1),RTI_SEE!W43,IF($U$137=2,RTI_SEE!AH43,""))))</f>
        <v>0</v>
      </c>
      <c r="U152" s="157">
        <f>IF($U$137="","",IF(AND($U$105=1,$U$137=1),RTI_SEE!M43,IF(AND($U$105=2,$U$137=1),RTI_SEE!X43,IF($U$137=2,RTI_SEE!AI43,""))))</f>
        <v>0</v>
      </c>
      <c r="V152" s="167">
        <f>IF($U$137="","",IF(AND($U$105=1,$U$137=1),RTI_SEE!N43,IF(AND($U$105=2,$U$137=1),RTI_SEE!Y43,IF($U$137=2,RTI_SEE!AJ43,""))))</f>
        <v>0</v>
      </c>
      <c r="W152" s="179">
        <f>IF($U$137="","",IF(AND($U$105=1,$U$137=1),RTI_SEE!L48,IF(AND($U$105=2,$U$137=1),RTI_SEE!W48,IF($U$137=2,RTI_SEE!AH48,""))))</f>
        <v>0</v>
      </c>
      <c r="X152" s="157">
        <f>IF($U$137="","",IF(AND($U$105=1,$U$137=1),RTI_SEE!M48,IF(AND($U$105=2,$U$137=1),RTI_SEE!X48,IF($U$137=2,RTI_SEE!AI48,""))))</f>
        <v>0</v>
      </c>
      <c r="Y152" s="167">
        <f>IF($U$137="","",IF(AND($U$105=1,$U$137=1),RTI_SEE!N48,IF(AND($U$105=2,$U$137=1),RTI_SEE!Y48,IF($U$137=2,RTI_SEE!AJ48,""))))</f>
        <v>0</v>
      </c>
      <c r="AA152" s="2" t="s">
        <v>183</v>
      </c>
      <c r="AB152" s="39"/>
      <c r="AC152" s="29" t="str">
        <f>IF(AB153&lt;&gt;AD152,"Change","")</f>
        <v/>
      </c>
      <c r="AD152" s="40" t="str">
        <f>IF(S242="","",S242)</f>
        <v/>
      </c>
    </row>
    <row r="153" spans="1:30" ht="14.1" customHeight="1" x14ac:dyDescent="0.3">
      <c r="A153" s="3">
        <v>21</v>
      </c>
      <c r="B153" s="259"/>
      <c r="M153" s="260"/>
      <c r="O153" s="77" t="s">
        <v>158</v>
      </c>
      <c r="P153" s="77">
        <v>10</v>
      </c>
      <c r="Q153" s="169">
        <f>IF($U$137="","",IF(AND($U$105=1,$U$137=1),RTI_SEE!L9,IF(AND($U$105=2,$U$137=1),RTI_SEE!W9,IF($U$137=2,RTI_SEE!AH9,""))))</f>
        <v>0</v>
      </c>
      <c r="R153" s="152">
        <f>IF($U$137="","",IF(AND($U$105=1,$U$137=1),RTI_SEE!M9,IF(AND($U$105=2,$U$137=1),RTI_SEE!X9,IF($U$137=2,RTI_SEE!AI9,""))))</f>
        <v>0</v>
      </c>
      <c r="S153" s="165">
        <f>IF($U$137="","",IF(AND($U$105=1,$U$137=1),RTI_SEE!N9,IF(AND($U$105=2,$U$137=1),RTI_SEE!Y9,IF($U$137=2,RTI_SEE!AJ9,""))))</f>
        <v>0</v>
      </c>
      <c r="T153" s="169">
        <f>IF($U$137="","",IF(AND($U$105=1,$U$137=1),RTI_SEE!L14,IF(AND($U$105=2,$U$137=1),RTI_SEE!W14,IF($U$137=2,RTI_SEE!AH14,""))))</f>
        <v>0</v>
      </c>
      <c r="U153" s="152">
        <f>IF($U$137="","",IF(AND($U$105=1,$U$137=1),RTI_SEE!M14,IF(AND($U$105=2,$U$137=1),RTI_SEE!X14,IF($U$137=2,RTI_SEE!AI14,""))))</f>
        <v>0</v>
      </c>
      <c r="V153" s="165">
        <f>IF($U$137="","",IF(AND($U$105=1,$U$137=1),RTI_SEE!N14,IF(AND($U$105=2,$U$137=1),RTI_SEE!Y14,IF($U$137=2,RTI_SEE!AJ14,""))))</f>
        <v>0</v>
      </c>
      <c r="W153" s="169">
        <f>IF($U$137="","",IF(AND($U$105=1,$U$137=1),RTI_SEE!L19,IF(AND($U$105=2,$U$137=1),RTI_SEE!W19,IF($U$137=2,RTI_SEE!AH19,""))))</f>
        <v>0</v>
      </c>
      <c r="X153" s="152">
        <f>IF($U$137="","",IF(AND($U$105=1,$U$137=1),RTI_SEE!M19,IF(AND($U$105=2,$U$137=1),RTI_SEE!X19,IF($U$137=2,RTI_SEE!AI19,""))))</f>
        <v>0</v>
      </c>
      <c r="Y153" s="165">
        <f>IF($U$137="","",IF(AND($U$105=1,$U$137=1),RTI_SEE!N19,IF(AND($U$105=2,$U$137=1),RTI_SEE!Y19,IF($U$137=2,RTI_SEE!AJ19,""))))</f>
        <v>0</v>
      </c>
      <c r="AA153" s="2" t="s">
        <v>184</v>
      </c>
      <c r="AB153" s="39"/>
      <c r="AC153" s="29" t="str">
        <f>IF(AB153&lt;&gt;AD153,"Change","")</f>
        <v/>
      </c>
      <c r="AD153" s="40" t="str">
        <f>IF(S243="","",S243)</f>
        <v/>
      </c>
    </row>
    <row r="154" spans="1:30" ht="14.1" customHeight="1" x14ac:dyDescent="0.3">
      <c r="A154" s="3">
        <v>22</v>
      </c>
      <c r="B154" s="259"/>
      <c r="M154" s="260"/>
      <c r="O154" s="81" t="str">
        <f>O122</f>
        <v/>
      </c>
      <c r="P154" s="76">
        <v>20</v>
      </c>
      <c r="Q154" s="170">
        <f>IF($U$137="","",IF(AND($U$105=1,$U$137=1),RTI_SEE!L24,IF(AND($U$105=2,$U$137=1),RTI_SEE!W24,IF($U$137=2,RTI_SEE!AH24,""))))</f>
        <v>0</v>
      </c>
      <c r="R154" s="121">
        <f>IF($U$137="","",IF(AND($U$105=1,$U$137=1),RTI_SEE!M24,IF(AND($U$105=2,$U$137=1),RTI_SEE!X24,IF($U$137=2,RTI_SEE!AI24,""))))</f>
        <v>0</v>
      </c>
      <c r="S154" s="166">
        <f>IF($U$137="","",IF(AND($U$105=1,$U$137=1),RTI_SEE!N24,IF(AND($U$105=2,$U$137=1),RTI_SEE!Y24,IF($U$137=2,RTI_SEE!AJ24,""))))</f>
        <v>0</v>
      </c>
      <c r="T154" s="170">
        <f>IF($U$137="","",IF(AND($U$105=1,$U$137=1),RTI_SEE!L29,IF(AND($U$105=2,$U$137=1),RTI_SEE!W29,IF($U$137=2,RTI_SEE!AH29,""))))</f>
        <v>0</v>
      </c>
      <c r="U154" s="121">
        <f>IF($U$137="","",IF(AND($U$105=1,$U$137=1),RTI_SEE!M29,IF(AND($U$105=2,$U$137=1),RTI_SEE!X29,IF($U$137=2,RTI_SEE!AI29,""))))</f>
        <v>0</v>
      </c>
      <c r="V154" s="166">
        <f>IF($U$137="","",IF(AND($U$105=1,$U$137=1),RTI_SEE!N29,IF(AND($U$105=2,$U$137=1),RTI_SEE!Y29,IF($U$137=2,RTI_SEE!AJ29,""))))</f>
        <v>0</v>
      </c>
      <c r="W154" s="170">
        <f>IF($U$137="","",IF(AND($U$105=1,$U$137=1),RTI_SEE!L34,IF(AND($U$105=2,$U$137=1),RTI_SEE!W34,IF($U$137=2,RTI_SEE!AH34,""))))</f>
        <v>0</v>
      </c>
      <c r="X154" s="121">
        <f>IF($U$137="","",IF(AND($U$105=1,$U$137=1),RTI_SEE!M34,IF(AND($U$105=2,$U$137=1),RTI_SEE!X34,IF($U$137=2,RTI_SEE!AI34,""))))</f>
        <v>0</v>
      </c>
      <c r="Y154" s="166">
        <f>IF($U$137="","",IF(AND($U$105=1,$U$137=1),RTI_SEE!N34,IF(AND($U$105=2,$U$137=1),RTI_SEE!Y34,IF($U$137=2,RTI_SEE!AJ34,""))))</f>
        <v>0</v>
      </c>
      <c r="AA154" s="2" t="s">
        <v>185</v>
      </c>
      <c r="AB154" s="39"/>
      <c r="AC154" s="29" t="str">
        <f>IF(AB155&lt;&gt;AD154,"Change","")</f>
        <v/>
      </c>
      <c r="AD154" s="40" t="str">
        <f>IF(T242="","",T242)</f>
        <v/>
      </c>
    </row>
    <row r="155" spans="1:30" ht="14.1" customHeight="1" thickBot="1" x14ac:dyDescent="0.35">
      <c r="A155" s="3">
        <v>23</v>
      </c>
      <c r="B155" s="259"/>
      <c r="M155" s="260"/>
      <c r="O155" s="114"/>
      <c r="P155" s="86">
        <v>30</v>
      </c>
      <c r="Q155" s="179">
        <f>IF($U$137="","",IF(AND($U$105=1,$U$137=1),RTI_SEE!L39,IF(AND($U$105=2,$U$137=1),RTI_SEE!W39,IF($U$137=2,RTI_SEE!AH39,""))))</f>
        <v>0</v>
      </c>
      <c r="R155" s="157">
        <f>IF($U$137="","",IF(AND($U$105=1,$U$137=1),RTI_SEE!M39,IF(AND($U$105=2,$U$137=1),RTI_SEE!X39,IF($U$137=2,RTI_SEE!AI39,""))))</f>
        <v>0</v>
      </c>
      <c r="S155" s="167">
        <f>IF($U$137="","",IF(AND($U$105=1,$U$137=1),RTI_SEE!N39,IF(AND($U$105=2,$U$137=1),RTI_SEE!Y39,IF($U$137=2,RTI_SEE!AJ39,""))))</f>
        <v>0</v>
      </c>
      <c r="T155" s="179">
        <f>IF($U$137="","",IF(AND($U$105=1,$U$137=1),RTI_SEE!L44,IF(AND($U$105=2,$U$137=1),RTI_SEE!W44,IF($U$137=2,RTI_SEE!AH44,""))))</f>
        <v>0</v>
      </c>
      <c r="U155" s="157">
        <f>IF($U$137="","",IF(AND($U$105=1,$U$137=1),RTI_SEE!M44,IF(AND($U$105=2,$U$137=1),RTI_SEE!X44,IF($U$137=2,RTI_SEE!AI44,""))))</f>
        <v>0</v>
      </c>
      <c r="V155" s="167">
        <f>IF($U$137="","",IF(AND($U$105=1,$U$137=1),RTI_SEE!N44,IF(AND($U$105=2,$U$137=1),RTI_SEE!Y44,IF($U$137=2,RTI_SEE!AJ44,""))))</f>
        <v>0</v>
      </c>
      <c r="W155" s="179">
        <f>IF($U$137="","",IF(AND($U$105=1,$U$137=1),RTI_SEE!L49,IF(AND($U$105=2,$U$137=1),RTI_SEE!W49,IF($U$137=2,RTI_SEE!AH49,""))))</f>
        <v>0</v>
      </c>
      <c r="X155" s="157">
        <f>IF($U$137="","",IF(AND($U$105=1,$U$137=1),RTI_SEE!M49,IF(AND($U$105=2,$U$137=1),RTI_SEE!X49,IF($U$137=2,RTI_SEE!AI49,""))))</f>
        <v>0</v>
      </c>
      <c r="Y155" s="167">
        <f>IF($U$137="","",IF(AND($U$105=1,$U$137=1),RTI_SEE!N49,IF(AND($U$105=2,$U$137=1),RTI_SEE!Y49,IF($U$137=2,RTI_SEE!AJ49,""))))</f>
        <v>0</v>
      </c>
      <c r="AA155" s="2" t="s">
        <v>186</v>
      </c>
      <c r="AB155" s="39"/>
      <c r="AC155" s="29" t="str">
        <f>IF(AB155&lt;&gt;AD155,"Change","")</f>
        <v/>
      </c>
      <c r="AD155" s="40" t="str">
        <f>IF(T243="","",T243)</f>
        <v/>
      </c>
    </row>
    <row r="156" spans="1:30" ht="14.1" customHeight="1" thickBot="1" x14ac:dyDescent="0.35">
      <c r="A156" s="3">
        <v>24</v>
      </c>
      <c r="B156" s="259"/>
      <c r="M156" s="260"/>
      <c r="O156" s="13"/>
      <c r="P156" s="90" t="s">
        <v>159</v>
      </c>
      <c r="Q156" s="179">
        <f>IF($U$137="","",IF(AND($U$105=1,$U$137=1),RTI_SEE!L50,IF(AND($U$105=2,$U$137=1),RTI_SEE!W50,IF($U$137=2,"",""))))</f>
        <v>0</v>
      </c>
      <c r="R156" s="157">
        <f>IF($U$137="","",IF(AND($U$105=1,$U$137=1),RTI_SEE!M50,IF(AND($U$105=2,$U$137=1),RTI_SEE!X50,IF($U$137=2,"",""))))</f>
        <v>0</v>
      </c>
      <c r="S156" s="167">
        <f>IF($U$137="","",IF(AND($U$105=1,$U$137=1),RTI_SEE!N50,IF(AND($U$105=2,$U$137=1),RTI_SEE!Y50,IF($U$137=2,"",""))))</f>
        <v>0</v>
      </c>
      <c r="T156" s="179">
        <f>IF($U$137="","",IF(AND($U$105=1,$U$137=1),RTI_SEE!L51,IF(AND($U$105=2,$U$137=1),RTI_SEE!W51,IF($U$137=2,"",""))))</f>
        <v>0</v>
      </c>
      <c r="U156" s="157">
        <f>IF($U$137="","",IF(AND($U$105=1,$U$137=1),RTI_SEE!M51,IF(AND($U$105=2,$U$137=1),RTI_SEE!X51,IF($U$137=2,"",""))))</f>
        <v>0</v>
      </c>
      <c r="V156" s="167">
        <f>IF($U$137="","",IF(AND($U$105=1,$U$137=1),RTI_SEE!N51,IF(AND($U$105=2,$U$137=1),RTI_SEE!Y51,IF($U$137=2,"",""))))</f>
        <v>0</v>
      </c>
      <c r="W156" s="179">
        <f>IF($U$137="","",IF(AND($U$105=1,$U$137=1),RTI_SEE!L52,IF(AND($U$105=2,$U$137=1),RTI_SEE!W52,IF($U$137=2,"",""))))</f>
        <v>0</v>
      </c>
      <c r="X156" s="157">
        <f>IF($U$137="","",IF(AND($U$105=1,$U$137=1),RTI_SEE!M52,IF(AND($U$105=2,$U$137=1),RTI_SEE!X52,IF($U$137=2,"",""))))</f>
        <v>0</v>
      </c>
      <c r="Y156" s="167">
        <f>IF($U$137="","",IF(AND($U$105=1,$U$137=1),RTI_SEE!N52,IF(AND($U$105=2,$U$137=1),RTI_SEE!Y52,IF($U$137=2,"",""))))</f>
        <v>0</v>
      </c>
      <c r="AA156" s="24" t="s">
        <v>188</v>
      </c>
      <c r="AB156"/>
      <c r="AC156"/>
      <c r="AD156"/>
    </row>
    <row r="157" spans="1:30" ht="14.1" customHeight="1" thickBot="1" x14ac:dyDescent="0.35">
      <c r="A157" s="3">
        <v>25</v>
      </c>
      <c r="B157" s="259"/>
      <c r="M157" s="260"/>
      <c r="O157" s="13"/>
      <c r="P157" s="1" t="s">
        <v>160</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189</v>
      </c>
      <c r="AB157" s="39"/>
      <c r="AC157" s="29" t="str">
        <f t="shared" ref="AC157:AC188" si="23">IF(AB157&lt;&gt;AD157,"Change","")</f>
        <v>Change</v>
      </c>
      <c r="AD157" s="57">
        <f>IF(V318="","",V318)</f>
        <v>70</v>
      </c>
    </row>
    <row r="158" spans="1:30" ht="14.1" customHeight="1" thickBot="1" x14ac:dyDescent="0.35">
      <c r="A158" s="3">
        <v>26</v>
      </c>
      <c r="B158" s="259"/>
      <c r="M158" s="260"/>
      <c r="O158" s="13"/>
      <c r="P158" s="97" t="s">
        <v>161</v>
      </c>
      <c r="R158" s="98" t="s">
        <v>162</v>
      </c>
      <c r="S158" s="99" t="str">
        <f>IF($U$137=2,"NA",IF(S156="","NA",IF($Q$99=1,IF(S156&gt;44,"NO","YES"),IF(S156&gt;88,"NO","YES"))))</f>
        <v>YES</v>
      </c>
      <c r="U158" s="98" t="s">
        <v>162</v>
      </c>
      <c r="V158" s="99" t="str">
        <f>IF($U$137=2,"NA",IF(V156="","NA",IF($Q$99=1,IF(V156&gt;44,"NO","YES"),IF(V156&gt;88,"NO","YES"))))</f>
        <v>YES</v>
      </c>
      <c r="X158" s="98" t="s">
        <v>162</v>
      </c>
      <c r="Y158" s="99" t="str">
        <f>IF($U$137=2,"NA",IF(OR(AND($O$102=1,Y156=""),AND($S$156="",$V$156="",$Y$156="")),"NA",IF(Y156="","NA",IF($Q$99="",IF($O$102=2,IF(Y156&gt;88,"NO","YES"),IF(Y156&gt;176,"NO","YES")),IF(Y156&gt;44,"NO","YES")))))</f>
        <v>YES</v>
      </c>
      <c r="AA158" s="2" t="s">
        <v>190</v>
      </c>
      <c r="AB158" s="39"/>
      <c r="AC158" s="29" t="str">
        <f t="shared" si="23"/>
        <v/>
      </c>
      <c r="AD158" s="57" t="str">
        <f>IF(H401="","",H401)</f>
        <v/>
      </c>
    </row>
    <row r="159" spans="1:30" ht="14.1" customHeight="1" x14ac:dyDescent="0.3">
      <c r="A159" s="3">
        <v>27</v>
      </c>
      <c r="B159" s="259"/>
      <c r="M159" s="260"/>
      <c r="O159" s="13"/>
      <c r="P159" s="100" t="s">
        <v>164</v>
      </c>
      <c r="Y159" s="14"/>
      <c r="AA159" s="2" t="s">
        <v>191</v>
      </c>
      <c r="AB159" s="39"/>
      <c r="AC159" s="29" t="str">
        <f t="shared" si="23"/>
        <v/>
      </c>
      <c r="AD159" s="57" t="str">
        <f>IF(H402="","",H402)</f>
        <v/>
      </c>
    </row>
    <row r="160" spans="1:30" ht="14.1" customHeight="1" x14ac:dyDescent="0.3">
      <c r="A160" s="3">
        <v>28</v>
      </c>
      <c r="B160" s="259"/>
      <c r="M160" s="260"/>
      <c r="O160" s="13"/>
      <c r="P160" s="100" t="s">
        <v>165</v>
      </c>
      <c r="Y160" s="14"/>
      <c r="AA160" s="2" t="s">
        <v>192</v>
      </c>
      <c r="AB160" s="39"/>
      <c r="AC160" s="29" t="str">
        <f t="shared" si="23"/>
        <v/>
      </c>
      <c r="AD160" s="57" t="str">
        <f>IF(H403="","",H403)</f>
        <v/>
      </c>
    </row>
    <row r="161" spans="1:30" ht="14.1" customHeight="1" x14ac:dyDescent="0.3">
      <c r="A161" s="3">
        <v>29</v>
      </c>
      <c r="B161" s="259"/>
      <c r="M161" s="260"/>
      <c r="O161" s="13"/>
      <c r="P161" s="100" t="s">
        <v>166</v>
      </c>
      <c r="Y161" s="14"/>
      <c r="AA161" s="2" t="s">
        <v>193</v>
      </c>
      <c r="AB161" s="39"/>
      <c r="AC161" s="29" t="str">
        <f t="shared" si="23"/>
        <v/>
      </c>
      <c r="AD161" s="57" t="str">
        <f>IF(H404="","",H404)</f>
        <v/>
      </c>
    </row>
    <row r="162" spans="1:30" ht="14.1" customHeight="1" x14ac:dyDescent="0.3">
      <c r="A162" s="3">
        <v>30</v>
      </c>
      <c r="B162" s="259"/>
      <c r="M162" s="260"/>
      <c r="O162" s="13"/>
      <c r="P162" s="100" t="s">
        <v>167</v>
      </c>
      <c r="Y162" s="14"/>
      <c r="AA162" s="2" t="s">
        <v>194</v>
      </c>
      <c r="AB162" s="39"/>
      <c r="AC162" s="29" t="str">
        <f t="shared" si="23"/>
        <v/>
      </c>
      <c r="AD162" s="57" t="str">
        <f>IF(H405="","",H405)</f>
        <v/>
      </c>
    </row>
    <row r="163" spans="1:30" ht="14.1" customHeight="1" x14ac:dyDescent="0.3">
      <c r="A163" s="3">
        <v>31</v>
      </c>
      <c r="B163" s="259"/>
      <c r="M163" s="260"/>
      <c r="O163" s="13"/>
      <c r="P163" s="24" t="s">
        <v>168</v>
      </c>
      <c r="Q163" s="17" t="s">
        <v>169</v>
      </c>
      <c r="Y163" s="14"/>
      <c r="AA163" s="2" t="s">
        <v>195</v>
      </c>
      <c r="AB163" s="39"/>
      <c r="AC163" s="29" t="str">
        <f t="shared" si="23"/>
        <v/>
      </c>
      <c r="AD163" s="57" t="str">
        <f>IF(J401="","",J401)</f>
        <v/>
      </c>
    </row>
    <row r="164" spans="1:30" ht="14.1" customHeight="1" x14ac:dyDescent="0.3">
      <c r="A164" s="3">
        <v>32</v>
      </c>
      <c r="B164" s="259"/>
      <c r="M164" s="260"/>
      <c r="O164" s="13"/>
      <c r="Q164" s="17" t="s">
        <v>170</v>
      </c>
      <c r="Y164" s="14"/>
      <c r="AA164" s="2" t="s">
        <v>196</v>
      </c>
      <c r="AB164" s="39"/>
      <c r="AC164" s="29" t="str">
        <f t="shared" si="23"/>
        <v/>
      </c>
      <c r="AD164" s="57" t="str">
        <f>IF(J402="","",J402)</f>
        <v/>
      </c>
    </row>
    <row r="165" spans="1:30" ht="14.1" customHeight="1" x14ac:dyDescent="0.3">
      <c r="A165" s="3">
        <v>33</v>
      </c>
      <c r="B165" s="259"/>
      <c r="M165" s="260"/>
      <c r="O165" s="13"/>
      <c r="P165" s="2" t="s">
        <v>171</v>
      </c>
      <c r="Q165" s="101" t="str">
        <f>IF(Q167&lt;&gt;"",Q167,IF(AB236="","",AB236))</f>
        <v/>
      </c>
      <c r="R165" s="62"/>
      <c r="S165" s="62"/>
      <c r="T165" s="62"/>
      <c r="U165" s="62"/>
      <c r="V165" s="62"/>
      <c r="W165" s="62"/>
      <c r="X165" s="62"/>
      <c r="Y165" s="14"/>
      <c r="AA165" s="2" t="s">
        <v>197</v>
      </c>
      <c r="AB165" s="39"/>
      <c r="AC165" s="29" t="str">
        <f t="shared" si="23"/>
        <v/>
      </c>
      <c r="AD165" s="57" t="str">
        <f>IF(J403="","",J403)</f>
        <v/>
      </c>
    </row>
    <row r="166" spans="1:30" ht="14.1" customHeight="1" x14ac:dyDescent="0.3">
      <c r="A166" s="3">
        <v>34</v>
      </c>
      <c r="B166" s="259"/>
      <c r="M166" s="260"/>
      <c r="O166" s="13"/>
      <c r="P166" s="102" t="s">
        <v>172</v>
      </c>
      <c r="Q166" s="103"/>
      <c r="R166" s="104">
        <f>LEN(Q165)</f>
        <v>0</v>
      </c>
      <c r="S166" s="105"/>
      <c r="T166" s="105"/>
      <c r="U166" s="105"/>
      <c r="V166" s="105"/>
      <c r="W166" s="105"/>
      <c r="X166" s="105"/>
      <c r="Y166" s="14"/>
      <c r="AA166" s="2" t="s">
        <v>198</v>
      </c>
      <c r="AB166" s="39"/>
      <c r="AC166" s="29" t="str">
        <f t="shared" si="23"/>
        <v/>
      </c>
      <c r="AD166" s="57" t="str">
        <f>IF(J404="","",J404)</f>
        <v/>
      </c>
    </row>
    <row r="167" spans="1:30" ht="14.1" customHeight="1" x14ac:dyDescent="0.3">
      <c r="A167" s="3">
        <v>35</v>
      </c>
      <c r="B167" s="259"/>
      <c r="M167" s="260"/>
      <c r="O167" s="13"/>
      <c r="P167" s="2" t="s">
        <v>174</v>
      </c>
      <c r="Q167" s="107"/>
      <c r="R167" s="105"/>
      <c r="S167" s="105"/>
      <c r="T167" s="105"/>
      <c r="U167" s="105"/>
      <c r="V167" s="105"/>
      <c r="W167" s="105"/>
      <c r="X167" s="105"/>
      <c r="Y167" s="14"/>
      <c r="AA167" s="2" t="s">
        <v>199</v>
      </c>
      <c r="AB167" s="39"/>
      <c r="AC167" s="29" t="str">
        <f t="shared" si="23"/>
        <v/>
      </c>
      <c r="AD167" s="57" t="str">
        <f>IF(J405="","",J405)</f>
        <v/>
      </c>
    </row>
    <row r="168" spans="1:30" ht="14.1" customHeight="1" thickBot="1" x14ac:dyDescent="0.35">
      <c r="A168" s="3">
        <v>36</v>
      </c>
      <c r="B168" s="259"/>
      <c r="M168" s="260"/>
      <c r="O168" s="21"/>
      <c r="P168" s="22"/>
      <c r="Q168" s="22"/>
      <c r="R168" s="22"/>
      <c r="S168" s="22"/>
      <c r="T168" s="22"/>
      <c r="U168" s="22"/>
      <c r="V168" s="22"/>
      <c r="W168" s="22"/>
      <c r="X168" s="22"/>
      <c r="Y168" s="23"/>
      <c r="AA168" s="2" t="s">
        <v>200</v>
      </c>
      <c r="AB168" s="39"/>
      <c r="AC168" s="29" t="str">
        <f t="shared" si="23"/>
        <v/>
      </c>
      <c r="AD168" s="40" t="str">
        <f>IF(W348="","",W348)</f>
        <v/>
      </c>
    </row>
    <row r="169" spans="1:30" ht="14.1" customHeight="1" x14ac:dyDescent="0.3">
      <c r="A169" s="3">
        <v>37</v>
      </c>
      <c r="B169" s="259"/>
      <c r="M169" s="260"/>
      <c r="O169" s="109" t="s">
        <v>204</v>
      </c>
      <c r="P169" s="7"/>
      <c r="Q169" s="7"/>
      <c r="R169" s="7"/>
      <c r="S169" s="7"/>
      <c r="T169" s="7"/>
      <c r="U169" s="7"/>
      <c r="V169" s="7"/>
      <c r="W169" s="7"/>
      <c r="X169" s="7"/>
      <c r="Y169" s="8"/>
      <c r="AA169" s="2" t="s">
        <v>201</v>
      </c>
      <c r="AB169" s="39"/>
      <c r="AC169" s="29" t="str">
        <f t="shared" si="23"/>
        <v/>
      </c>
      <c r="AD169" s="40" t="str">
        <f>IF(O355="","",O355)</f>
        <v/>
      </c>
    </row>
    <row r="170" spans="1:30" ht="14.1" customHeight="1" x14ac:dyDescent="0.3">
      <c r="A170" s="3">
        <v>38</v>
      </c>
      <c r="B170" s="259"/>
      <c r="M170" s="260"/>
      <c r="O170" s="52">
        <v>2</v>
      </c>
      <c r="P170" s="17" t="s">
        <v>494</v>
      </c>
      <c r="U170"/>
      <c r="V170"/>
      <c r="Y170" s="14"/>
      <c r="AA170" s="2" t="s">
        <v>202</v>
      </c>
      <c r="AB170" s="39"/>
      <c r="AC170" s="29" t="str">
        <f t="shared" si="23"/>
        <v/>
      </c>
      <c r="AD170" s="40" t="str">
        <f>IF(P358="","",P358)</f>
        <v/>
      </c>
    </row>
    <row r="171" spans="1:30" ht="14.1" customHeight="1" x14ac:dyDescent="0.3">
      <c r="A171" s="3">
        <v>39</v>
      </c>
      <c r="B171" s="259"/>
      <c r="M171" s="260"/>
      <c r="O171" s="13"/>
      <c r="U171"/>
      <c r="V171"/>
      <c r="Y171" s="14"/>
      <c r="AA171" s="2" t="s">
        <v>203</v>
      </c>
      <c r="AB171" s="39"/>
      <c r="AC171" s="29" t="str">
        <f t="shared" si="23"/>
        <v/>
      </c>
      <c r="AD171" s="40" t="str">
        <f>IF(P359="","",P359)</f>
        <v/>
      </c>
    </row>
    <row r="172" spans="1:30" ht="14.1" customHeight="1" thickBot="1" x14ac:dyDescent="0.35">
      <c r="A172" s="3">
        <v>40</v>
      </c>
      <c r="B172" s="259"/>
      <c r="M172" s="260"/>
      <c r="O172" s="115" t="s">
        <v>208</v>
      </c>
      <c r="P172" s="116" t="s">
        <v>149</v>
      </c>
      <c r="Q172" s="115" t="s">
        <v>209</v>
      </c>
      <c r="R172" s="117" t="s">
        <v>150</v>
      </c>
      <c r="T172" s="17" t="s">
        <v>210</v>
      </c>
      <c r="Y172" s="14"/>
      <c r="AA172" s="2" t="s">
        <v>205</v>
      </c>
      <c r="AB172" s="39"/>
      <c r="AC172" s="29" t="str">
        <f t="shared" si="23"/>
        <v/>
      </c>
      <c r="AD172" s="40" t="str">
        <f>IF(P360="","",P360)</f>
        <v/>
      </c>
    </row>
    <row r="173" spans="1:30" ht="14.1" customHeight="1" x14ac:dyDescent="0.3">
      <c r="A173" s="3">
        <v>41</v>
      </c>
      <c r="B173" s="259"/>
      <c r="M173" s="260"/>
      <c r="O173" s="118">
        <f>IF(RTI_HVL!A4="","",RTI_HVL!A4)</f>
        <v>80</v>
      </c>
      <c r="P173" s="119" t="str">
        <f>IF(RTI_HVL!B4="","",RTI_HVL!B4)</f>
        <v/>
      </c>
      <c r="Q173" s="120">
        <v>0</v>
      </c>
      <c r="R173" s="165" t="str">
        <f>IF(RTI_HVL!D4="","",RTI_HVL!D4)</f>
        <v/>
      </c>
      <c r="T173" s="121" t="s">
        <v>209</v>
      </c>
      <c r="U173" s="121" t="s">
        <v>212</v>
      </c>
      <c r="V173" s="121" t="s">
        <v>213</v>
      </c>
      <c r="W173" s="121" t="s">
        <v>214</v>
      </c>
      <c r="X173" s="77" t="s">
        <v>134</v>
      </c>
      <c r="Y173" s="14"/>
      <c r="AA173" s="2" t="s">
        <v>206</v>
      </c>
      <c r="AB173" s="39"/>
      <c r="AC173" s="29" t="str">
        <f t="shared" si="23"/>
        <v/>
      </c>
      <c r="AD173" s="40" t="str">
        <f>IF(P361="","",P361)</f>
        <v/>
      </c>
    </row>
    <row r="174" spans="1:30" ht="14.1" customHeight="1" thickBot="1" x14ac:dyDescent="0.35">
      <c r="A174" s="3">
        <v>42</v>
      </c>
      <c r="B174" s="259"/>
      <c r="M174" s="260"/>
      <c r="O174" s="122"/>
      <c r="P174" s="123"/>
      <c r="Q174" s="124">
        <v>0</v>
      </c>
      <c r="R174" s="167" t="str">
        <f>IF(RTI_HVL!D5="","",RTI_HVL!D5)</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207</v>
      </c>
      <c r="AB174" s="39"/>
      <c r="AC174" s="29" t="str">
        <f t="shared" si="23"/>
        <v/>
      </c>
      <c r="AD174" s="40" t="str">
        <f t="shared" ref="AD174:AD185" si="25">IF(Q331="","",Q331)</f>
        <v/>
      </c>
    </row>
    <row r="175" spans="1:30" ht="14.1" customHeight="1" x14ac:dyDescent="0.3">
      <c r="A175" s="3">
        <v>43</v>
      </c>
      <c r="B175" s="268"/>
      <c r="C175"/>
      <c r="D175"/>
      <c r="E175"/>
      <c r="F175"/>
      <c r="G175"/>
      <c r="H175"/>
      <c r="I175"/>
      <c r="J175"/>
      <c r="K175"/>
      <c r="L175"/>
      <c r="M175" s="269"/>
      <c r="O175" s="122"/>
      <c r="Q175" s="200">
        <f>RTI_HVL!C6</f>
        <v>0</v>
      </c>
      <c r="R175" s="165" t="str">
        <f>IF(RTI_HVL!D6="","",RTI_HVL!D6)</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211</v>
      </c>
      <c r="AB175" s="39"/>
      <c r="AC175" s="29" t="str">
        <f t="shared" si="23"/>
        <v/>
      </c>
      <c r="AD175" s="40" t="str">
        <f t="shared" si="25"/>
        <v/>
      </c>
    </row>
    <row r="176" spans="1:30" ht="14.1" customHeight="1" thickBot="1" x14ac:dyDescent="0.35">
      <c r="A176" s="3">
        <v>44</v>
      </c>
      <c r="B176" s="268"/>
      <c r="C176"/>
      <c r="D176"/>
      <c r="E176"/>
      <c r="F176"/>
      <c r="G176"/>
      <c r="H176"/>
      <c r="I176"/>
      <c r="J176"/>
      <c r="K176"/>
      <c r="L176"/>
      <c r="M176" s="269"/>
      <c r="O176" s="122"/>
      <c r="Q176" s="124">
        <f>IF(Q175="","",Q175)</f>
        <v>0</v>
      </c>
      <c r="R176" s="167" t="str">
        <f>IF(RTI_HVL!D7="","",RTI_HVL!D7)</f>
        <v/>
      </c>
      <c r="T176" s="121">
        <f>IF(Q177="","",Q177)</f>
        <v>0</v>
      </c>
      <c r="U176" s="121" t="str">
        <f>IF(MIN(R177:R178)=0,"",AVERAGE(R177:R178))</f>
        <v/>
      </c>
      <c r="V176" s="121" t="str">
        <f t="shared" si="24"/>
        <v/>
      </c>
      <c r="Y176" s="14"/>
      <c r="AA176" s="2" t="s">
        <v>215</v>
      </c>
      <c r="AB176" s="39"/>
      <c r="AC176" s="29" t="str">
        <f t="shared" si="23"/>
        <v/>
      </c>
      <c r="AD176" s="40" t="str">
        <f t="shared" si="25"/>
        <v/>
      </c>
    </row>
    <row r="177" spans="1:30" ht="14.1" customHeight="1" x14ac:dyDescent="0.3">
      <c r="A177" s="3">
        <v>45</v>
      </c>
      <c r="B177" s="268"/>
      <c r="C177"/>
      <c r="D177"/>
      <c r="E177"/>
      <c r="F177"/>
      <c r="G177"/>
      <c r="H177"/>
      <c r="I177"/>
      <c r="J177"/>
      <c r="K177"/>
      <c r="L177"/>
      <c r="M177" s="269"/>
      <c r="O177" s="122"/>
      <c r="Q177" s="502">
        <f>RTI_HVL!C8</f>
        <v>0</v>
      </c>
      <c r="R177" s="165" t="str">
        <f>IF(RTI_HVL!D8="","",RTI_HVL!D8)</f>
        <v/>
      </c>
      <c r="T177" s="121" t="str">
        <f>IF(Q179="","",Q179)</f>
        <v/>
      </c>
      <c r="U177" s="121" t="str">
        <f>IF(MIN(R179:R180)=0,"",AVERAGE(R179:R180))</f>
        <v/>
      </c>
      <c r="V177" s="121" t="str">
        <f t="shared" si="24"/>
        <v/>
      </c>
      <c r="W177" s="1" t="s">
        <v>219</v>
      </c>
      <c r="X177" s="1" t="s">
        <v>220</v>
      </c>
      <c r="Y177" s="14"/>
      <c r="AA177" s="2" t="s">
        <v>216</v>
      </c>
      <c r="AB177" s="39"/>
      <c r="AC177" s="29" t="str">
        <f t="shared" si="23"/>
        <v/>
      </c>
      <c r="AD177" s="40" t="str">
        <f t="shared" si="25"/>
        <v/>
      </c>
    </row>
    <row r="178" spans="1:30" ht="14.1" customHeight="1" thickBot="1" x14ac:dyDescent="0.35">
      <c r="A178" s="3">
        <v>46</v>
      </c>
      <c r="B178" s="268"/>
      <c r="C178"/>
      <c r="D178"/>
      <c r="E178"/>
      <c r="F178"/>
      <c r="G178"/>
      <c r="H178"/>
      <c r="I178"/>
      <c r="J178"/>
      <c r="K178"/>
      <c r="L178"/>
      <c r="M178" s="269"/>
      <c r="O178" s="122"/>
      <c r="Q178" s="124">
        <f>IF(Q177="","",Q177)</f>
        <v>0</v>
      </c>
      <c r="R178" s="167" t="str">
        <f>IF(RTI_HVL!D9="","",RTI_HVL!D9)</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217</v>
      </c>
      <c r="AB178" s="39"/>
      <c r="AC178" s="29" t="str">
        <f t="shared" si="23"/>
        <v/>
      </c>
      <c r="AD178" s="40" t="str">
        <f t="shared" si="25"/>
        <v/>
      </c>
    </row>
    <row r="179" spans="1:30" ht="14.1" customHeight="1" x14ac:dyDescent="0.3">
      <c r="A179" s="3">
        <v>47</v>
      </c>
      <c r="B179" s="268"/>
      <c r="C179"/>
      <c r="D179"/>
      <c r="E179"/>
      <c r="F179"/>
      <c r="G179"/>
      <c r="H179"/>
      <c r="I179"/>
      <c r="J179"/>
      <c r="K179"/>
      <c r="L179"/>
      <c r="M179" s="269"/>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218</v>
      </c>
      <c r="AB179" s="39"/>
      <c r="AC179" s="29" t="str">
        <f t="shared" si="23"/>
        <v/>
      </c>
      <c r="AD179" s="40" t="str">
        <f t="shared" si="25"/>
        <v/>
      </c>
    </row>
    <row r="180" spans="1:30" ht="14.1" customHeight="1" thickBot="1" x14ac:dyDescent="0.35">
      <c r="A180" s="3">
        <v>48</v>
      </c>
      <c r="B180" s="268"/>
      <c r="C180"/>
      <c r="D180"/>
      <c r="E180"/>
      <c r="F180"/>
      <c r="G180"/>
      <c r="H180"/>
      <c r="I180"/>
      <c r="J180"/>
      <c r="K180"/>
      <c r="L180"/>
      <c r="M180" s="269"/>
      <c r="O180" s="122"/>
      <c r="Q180" s="124" t="str">
        <f>IF(Q179="","",Q179)</f>
        <v/>
      </c>
      <c r="R180" s="89"/>
      <c r="T180" s="127" t="str">
        <f>HVL</f>
        <v>TBD</v>
      </c>
      <c r="U180" s="127" t="str">
        <f>IF(HVL="TBD","TBD",EXP(TREND(LNEXP,ALUM,T180)))</f>
        <v>TBD</v>
      </c>
      <c r="Y180" s="14"/>
      <c r="AA180" s="2" t="s">
        <v>221</v>
      </c>
      <c r="AB180" s="39"/>
      <c r="AC180" s="29" t="str">
        <f t="shared" si="23"/>
        <v/>
      </c>
      <c r="AD180" s="40" t="str">
        <f t="shared" si="25"/>
        <v/>
      </c>
    </row>
    <row r="181" spans="1:30" ht="14.1" customHeight="1" thickBot="1" x14ac:dyDescent="0.35">
      <c r="A181" s="3">
        <v>49</v>
      </c>
      <c r="B181" s="268"/>
      <c r="C181"/>
      <c r="D181"/>
      <c r="E181"/>
      <c r="F181"/>
      <c r="G181"/>
      <c r="H181"/>
      <c r="I181"/>
      <c r="J181"/>
      <c r="K181"/>
      <c r="L181"/>
      <c r="M181" s="269"/>
      <c r="O181" s="122"/>
      <c r="Q181" s="126"/>
      <c r="R181" s="80"/>
      <c r="T181" s="536" t="s">
        <v>225</v>
      </c>
      <c r="U181" s="536"/>
      <c r="W181" s="2" t="s">
        <v>180</v>
      </c>
      <c r="X181" s="128" t="str">
        <f>IF(AND(R173="",R174=""),"TBD",IF(X174&gt;=U182,"YES","NO"))</f>
        <v>TBD</v>
      </c>
      <c r="Y181" s="14"/>
      <c r="AA181" s="2" t="s">
        <v>222</v>
      </c>
      <c r="AB181" s="39"/>
      <c r="AC181" s="29" t="str">
        <f t="shared" si="23"/>
        <v/>
      </c>
      <c r="AD181" s="40" t="str">
        <f t="shared" si="25"/>
        <v/>
      </c>
    </row>
    <row r="182" spans="1:30" ht="14.1" customHeight="1" thickBot="1" x14ac:dyDescent="0.35">
      <c r="A182" s="3">
        <v>50</v>
      </c>
      <c r="B182" s="268"/>
      <c r="C182"/>
      <c r="D182"/>
      <c r="E182"/>
      <c r="F182"/>
      <c r="G182"/>
      <c r="H182"/>
      <c r="I182"/>
      <c r="J182"/>
      <c r="K182"/>
      <c r="L182"/>
      <c r="M182" s="269"/>
      <c r="O182" s="122"/>
      <c r="Q182" s="124" t="str">
        <f>IF(Q181="","",Q181)</f>
        <v/>
      </c>
      <c r="R182" s="89"/>
      <c r="T182" s="121" t="s">
        <v>227</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2.8</v>
      </c>
      <c r="Y182" s="14"/>
      <c r="AA182" s="2" t="s">
        <v>223</v>
      </c>
      <c r="AB182" s="39"/>
      <c r="AC182" s="29" t="str">
        <f t="shared" si="23"/>
        <v/>
      </c>
      <c r="AD182" s="40" t="str">
        <f t="shared" si="25"/>
        <v/>
      </c>
    </row>
    <row r="183" spans="1:30" ht="14.1" customHeight="1" x14ac:dyDescent="0.3">
      <c r="A183" s="3">
        <v>51</v>
      </c>
      <c r="B183" s="268"/>
      <c r="C183"/>
      <c r="D183"/>
      <c r="E183"/>
      <c r="F183"/>
      <c r="G183"/>
      <c r="H183"/>
      <c r="I183"/>
      <c r="J183"/>
      <c r="K183"/>
      <c r="L183"/>
      <c r="M183" s="269"/>
      <c r="O183" s="122"/>
      <c r="Q183" s="126"/>
      <c r="R183" s="80"/>
      <c r="T183" s="121" t="s">
        <v>229</v>
      </c>
      <c r="U183" s="121">
        <f t="array" ref="U183">IF($O$170=1,"",ROUND(AVERAGE(ROUND(TREND(Tables!E78:E85,Tables!D78:D85,O173),2),TRUNC(TREND(Tables!E78:E85,Tables!D78:D85,O173),2)),1))</f>
        <v>3.1</v>
      </c>
      <c r="W183" s="2" t="str">
        <f>"Previous HVL @ "&amp;AB107&amp;" kV:"</f>
        <v>Previous HVL @  kV:</v>
      </c>
      <c r="X183" s="129" t="str">
        <f>IF(AB108="","",AB108)</f>
        <v/>
      </c>
      <c r="Y183" s="14"/>
      <c r="AA183" s="2" t="s">
        <v>224</v>
      </c>
      <c r="AB183" s="39"/>
      <c r="AC183" s="29" t="str">
        <f t="shared" si="23"/>
        <v/>
      </c>
      <c r="AD183" s="40" t="str">
        <f t="shared" si="25"/>
        <v/>
      </c>
    </row>
    <row r="184" spans="1:30" ht="14.1" customHeight="1" thickBot="1" x14ac:dyDescent="0.35">
      <c r="A184" s="3">
        <v>52</v>
      </c>
      <c r="B184" s="268"/>
      <c r="C184"/>
      <c r="D184"/>
      <c r="E184"/>
      <c r="F184"/>
      <c r="G184"/>
      <c r="H184"/>
      <c r="I184"/>
      <c r="J184"/>
      <c r="K184"/>
      <c r="L184"/>
      <c r="M184" s="269"/>
      <c r="O184" s="122"/>
      <c r="Q184" s="124" t="str">
        <f>IF(Q183="","",Q183)</f>
        <v/>
      </c>
      <c r="R184" s="89"/>
      <c r="T184" s="121" t="s">
        <v>230</v>
      </c>
      <c r="U184" s="121">
        <f t="array" ref="U184">IF($O$170=1,"",MAX(ROUND(TREND(Tables!G78:G85,Tables!D78:D85,O173),1),TRUNC(TREND(Tables!G78:G85,Tables!D78:D85,O173,O173),2)))</f>
        <v>3.5</v>
      </c>
      <c r="W184"/>
      <c r="X184"/>
      <c r="Y184" s="14"/>
      <c r="AA184" s="2" t="s">
        <v>226</v>
      </c>
      <c r="AB184" s="39"/>
      <c r="AC184" s="29" t="str">
        <f t="shared" si="23"/>
        <v/>
      </c>
      <c r="AD184" s="40" t="str">
        <f t="shared" si="25"/>
        <v/>
      </c>
    </row>
    <row r="185" spans="1:30" ht="14.1" customHeight="1" thickBot="1" x14ac:dyDescent="0.35">
      <c r="A185" s="3">
        <v>53</v>
      </c>
      <c r="B185" s="268"/>
      <c r="C185"/>
      <c r="D185"/>
      <c r="E185"/>
      <c r="F185"/>
      <c r="G185"/>
      <c r="H185"/>
      <c r="I185"/>
      <c r="J185"/>
      <c r="K185"/>
      <c r="L185"/>
      <c r="M185" s="269"/>
      <c r="O185" s="13"/>
      <c r="Y185" s="14"/>
      <c r="AA185" s="2" t="s">
        <v>228</v>
      </c>
      <c r="AB185" s="39"/>
      <c r="AC185" s="29" t="str">
        <f t="shared" si="23"/>
        <v/>
      </c>
      <c r="AD185" s="40" t="str">
        <f t="shared" si="25"/>
        <v/>
      </c>
    </row>
    <row r="186" spans="1:30" ht="14.1" customHeight="1" x14ac:dyDescent="0.3">
      <c r="A186" s="3">
        <v>54</v>
      </c>
      <c r="B186" s="268"/>
      <c r="C186"/>
      <c r="D186"/>
      <c r="E186"/>
      <c r="F186"/>
      <c r="G186"/>
      <c r="H186"/>
      <c r="I186"/>
      <c r="J186"/>
      <c r="K186"/>
      <c r="L186"/>
      <c r="M186" s="269"/>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207</v>
      </c>
      <c r="AB186" s="39"/>
      <c r="AC186" s="29" t="str">
        <f t="shared" si="23"/>
        <v/>
      </c>
      <c r="AD186" s="40" t="str">
        <f t="shared" ref="AD186:AD197" si="26">IF(R331="","",R331)</f>
        <v/>
      </c>
    </row>
    <row r="187" spans="1:30" ht="14.1" customHeight="1" x14ac:dyDescent="0.3">
      <c r="A187" s="3">
        <v>55</v>
      </c>
      <c r="B187" s="268"/>
      <c r="C187"/>
      <c r="D187"/>
      <c r="E187"/>
      <c r="F187"/>
      <c r="G187"/>
      <c r="H187"/>
      <c r="I187"/>
      <c r="J187"/>
      <c r="K187"/>
      <c r="L187"/>
      <c r="M187" s="269"/>
      <c r="O187" s="13"/>
      <c r="Y187" s="14"/>
      <c r="AA187" s="2" t="s">
        <v>211</v>
      </c>
      <c r="AB187" s="39"/>
      <c r="AC187" s="29" t="str">
        <f t="shared" si="23"/>
        <v/>
      </c>
      <c r="AD187" s="40" t="str">
        <f t="shared" si="26"/>
        <v/>
      </c>
    </row>
    <row r="188" spans="1:30" ht="14.1" customHeight="1" x14ac:dyDescent="0.3">
      <c r="A188" s="3">
        <v>56</v>
      </c>
      <c r="B188" s="268"/>
      <c r="C188"/>
      <c r="D188"/>
      <c r="E188"/>
      <c r="F188"/>
      <c r="G188"/>
      <c r="H188"/>
      <c r="I188"/>
      <c r="J188"/>
      <c r="K188"/>
      <c r="L188"/>
      <c r="M188" s="269"/>
      <c r="O188" s="13" t="s">
        <v>231</v>
      </c>
      <c r="P188" s="1" t="s">
        <v>232</v>
      </c>
      <c r="U188" s="1" t="s">
        <v>233</v>
      </c>
      <c r="Y188" s="14"/>
      <c r="AA188" s="2" t="s">
        <v>215</v>
      </c>
      <c r="AB188" s="39"/>
      <c r="AC188" s="29" t="str">
        <f t="shared" si="23"/>
        <v/>
      </c>
      <c r="AD188" s="40" t="str">
        <f t="shared" si="26"/>
        <v/>
      </c>
    </row>
    <row r="189" spans="1:30" ht="14.1" customHeight="1" thickBot="1" x14ac:dyDescent="0.35">
      <c r="A189" s="3">
        <v>57</v>
      </c>
      <c r="B189" s="268"/>
      <c r="C189"/>
      <c r="D189"/>
      <c r="E189"/>
      <c r="F189"/>
      <c r="G189"/>
      <c r="H189"/>
      <c r="I189"/>
      <c r="J189"/>
      <c r="K189"/>
      <c r="L189"/>
      <c r="M189" s="269"/>
      <c r="O189" s="13" t="s">
        <v>234</v>
      </c>
      <c r="P189" s="1" t="s">
        <v>235</v>
      </c>
      <c r="Q189" s="1" t="s">
        <v>148</v>
      </c>
      <c r="R189" s="1" t="s">
        <v>149</v>
      </c>
      <c r="S189" s="1" t="s">
        <v>236</v>
      </c>
      <c r="T189" s="1" t="s">
        <v>237</v>
      </c>
      <c r="U189" s="1" t="s">
        <v>237</v>
      </c>
      <c r="Y189" s="14"/>
      <c r="AA189" s="2" t="s">
        <v>216</v>
      </c>
      <c r="AB189" s="39"/>
      <c r="AC189" s="29" t="str">
        <f t="shared" ref="AC189:AC220" si="27">IF(AB189&lt;&gt;AD189,"Change","")</f>
        <v/>
      </c>
      <c r="AD189" s="40" t="str">
        <f t="shared" si="26"/>
        <v/>
      </c>
    </row>
    <row r="190" spans="1:30" ht="14.1" customHeight="1" thickBot="1" x14ac:dyDescent="0.35">
      <c r="A190" s="3">
        <v>58</v>
      </c>
      <c r="B190" s="268"/>
      <c r="C190"/>
      <c r="D190"/>
      <c r="E190"/>
      <c r="F190"/>
      <c r="G190"/>
      <c r="H190"/>
      <c r="I190"/>
      <c r="J190"/>
      <c r="K190"/>
      <c r="L190"/>
      <c r="M190" s="269"/>
      <c r="O190" s="545"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8">IF(AB114="","",AB114)</f>
        <v/>
      </c>
      <c r="V190"/>
      <c r="W190" s="100" t="s">
        <v>238</v>
      </c>
      <c r="Y190" s="14"/>
      <c r="AA190" s="2" t="s">
        <v>217</v>
      </c>
      <c r="AB190" s="39"/>
      <c r="AC190" s="29" t="str">
        <f t="shared" si="27"/>
        <v/>
      </c>
      <c r="AD190" s="40" t="str">
        <f t="shared" si="26"/>
        <v/>
      </c>
    </row>
    <row r="191" spans="1:30" ht="14.1" customHeight="1" thickBot="1" x14ac:dyDescent="0.35">
      <c r="A191" s="3">
        <v>59</v>
      </c>
      <c r="B191" s="259"/>
      <c r="C191"/>
      <c r="D191"/>
      <c r="E191"/>
      <c r="F191"/>
      <c r="G191"/>
      <c r="H191"/>
      <c r="I191"/>
      <c r="J191"/>
      <c r="K191"/>
      <c r="L191"/>
      <c r="M191" s="260"/>
      <c r="O191" s="545"/>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8"/>
        <v/>
      </c>
      <c r="W191" s="100" t="s">
        <v>239</v>
      </c>
      <c r="Y191" s="14"/>
      <c r="AA191" s="2" t="s">
        <v>218</v>
      </c>
      <c r="AB191" s="39"/>
      <c r="AC191" s="29" t="str">
        <f t="shared" si="27"/>
        <v/>
      </c>
      <c r="AD191" s="40" t="str">
        <f t="shared" si="26"/>
        <v/>
      </c>
    </row>
    <row r="192" spans="1:30" ht="14.1" customHeight="1" thickBot="1" x14ac:dyDescent="0.35">
      <c r="A192" s="3">
        <v>60</v>
      </c>
      <c r="B192" s="259"/>
      <c r="M192" s="260"/>
      <c r="O192" s="545"/>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8"/>
        <v/>
      </c>
      <c r="W192" s="100" t="s">
        <v>240</v>
      </c>
      <c r="Y192" s="14"/>
      <c r="AA192" s="2" t="s">
        <v>221</v>
      </c>
      <c r="AB192" s="39"/>
      <c r="AC192" s="29" t="str">
        <f t="shared" si="27"/>
        <v/>
      </c>
      <c r="AD192" s="40" t="str">
        <f t="shared" si="26"/>
        <v/>
      </c>
    </row>
    <row r="193" spans="1:30" ht="14.1" customHeight="1" thickBot="1" x14ac:dyDescent="0.35">
      <c r="A193" s="3">
        <v>61</v>
      </c>
      <c r="B193" s="259"/>
      <c r="M193" s="260"/>
      <c r="O193" s="545"/>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8"/>
        <v/>
      </c>
      <c r="Y193" s="14"/>
      <c r="AA193" s="2" t="s">
        <v>222</v>
      </c>
      <c r="AB193" s="39"/>
      <c r="AC193" s="29" t="str">
        <f t="shared" si="27"/>
        <v/>
      </c>
      <c r="AD193" s="40" t="str">
        <f t="shared" si="26"/>
        <v/>
      </c>
    </row>
    <row r="194" spans="1:30" ht="14.1" customHeight="1" thickBot="1" x14ac:dyDescent="0.35">
      <c r="A194" s="3">
        <v>62</v>
      </c>
      <c r="B194" s="259"/>
      <c r="M194" s="260"/>
      <c r="O194" s="545"/>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8"/>
        <v/>
      </c>
      <c r="Y194" s="14"/>
      <c r="AA194" s="2" t="s">
        <v>223</v>
      </c>
      <c r="AB194" s="39"/>
      <c r="AC194" s="29" t="str">
        <f t="shared" si="27"/>
        <v/>
      </c>
      <c r="AD194" s="40" t="str">
        <f t="shared" si="26"/>
        <v/>
      </c>
    </row>
    <row r="195" spans="1:30" ht="14.1" customHeight="1" thickBot="1" x14ac:dyDescent="0.35">
      <c r="A195" s="3">
        <v>63</v>
      </c>
      <c r="B195" s="259"/>
      <c r="M195" s="260"/>
      <c r="O195" s="545"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8"/>
        <v/>
      </c>
      <c r="Y195" s="14"/>
      <c r="AA195" s="2" t="s">
        <v>224</v>
      </c>
      <c r="AB195" s="39"/>
      <c r="AC195" s="29" t="str">
        <f t="shared" si="27"/>
        <v/>
      </c>
      <c r="AD195" s="40" t="str">
        <f t="shared" si="26"/>
        <v/>
      </c>
    </row>
    <row r="196" spans="1:30" ht="14.1" customHeight="1" thickBot="1" x14ac:dyDescent="0.35">
      <c r="A196" s="3">
        <v>64</v>
      </c>
      <c r="B196" s="261"/>
      <c r="C196" s="262"/>
      <c r="D196" s="262"/>
      <c r="E196" s="262"/>
      <c r="F196" s="262"/>
      <c r="G196" s="262"/>
      <c r="H196" s="262"/>
      <c r="I196" s="262"/>
      <c r="J196" s="262"/>
      <c r="K196" s="262"/>
      <c r="L196" s="262"/>
      <c r="M196" s="263"/>
      <c r="O196" s="545"/>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8"/>
        <v/>
      </c>
      <c r="Y196" s="14"/>
      <c r="AA196" s="2" t="s">
        <v>226</v>
      </c>
      <c r="AB196" s="39"/>
      <c r="AC196" s="29" t="str">
        <f t="shared" si="27"/>
        <v/>
      </c>
      <c r="AD196" s="40" t="str">
        <f t="shared" si="26"/>
        <v/>
      </c>
    </row>
    <row r="197" spans="1:30" ht="14.1" customHeight="1" thickTop="1" thickBot="1" x14ac:dyDescent="0.35">
      <c r="A197" s="3">
        <v>65</v>
      </c>
      <c r="C197" s="2" t="s">
        <v>8</v>
      </c>
      <c r="D197" s="437" t="str">
        <f>IF($P$7="","",$P$7)</f>
        <v/>
      </c>
      <c r="L197" s="2" t="s">
        <v>9</v>
      </c>
      <c r="M197" s="62" t="str">
        <f>IF($X$7="","",$X$7)</f>
        <v>Eugene Mah</v>
      </c>
      <c r="O197" s="545"/>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8"/>
        <v/>
      </c>
      <c r="Y197" s="14"/>
      <c r="AA197" s="2" t="s">
        <v>228</v>
      </c>
      <c r="AB197" s="39"/>
      <c r="AC197" s="29" t="str">
        <f t="shared" si="27"/>
        <v/>
      </c>
      <c r="AD197" s="40" t="str">
        <f t="shared" si="26"/>
        <v/>
      </c>
    </row>
    <row r="198" spans="1:30" ht="14.1" customHeight="1" thickBot="1" x14ac:dyDescent="0.35">
      <c r="A198" s="3">
        <v>66</v>
      </c>
      <c r="C198" s="2" t="s">
        <v>74</v>
      </c>
      <c r="D198" s="63" t="str">
        <f>IF($R$14="","",$R$14&amp;" Tube "&amp;$W$48)</f>
        <v/>
      </c>
      <c r="L198" s="2" t="s">
        <v>23</v>
      </c>
      <c r="M198" s="64" t="str">
        <f>IF($R$13="","",$R$13)</f>
        <v/>
      </c>
      <c r="O198" s="545"/>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8"/>
        <v/>
      </c>
      <c r="Y198" s="14"/>
      <c r="AA198" s="2" t="s">
        <v>207</v>
      </c>
      <c r="AB198" s="39"/>
      <c r="AC198" s="29" t="str">
        <f t="shared" si="27"/>
        <v/>
      </c>
      <c r="AD198" s="40" t="str">
        <f t="shared" ref="AD198:AD209" si="29">IF(S331="","",S331)</f>
        <v/>
      </c>
    </row>
    <row r="199" spans="1:30" ht="14.1" customHeight="1" thickBot="1" x14ac:dyDescent="0.35">
      <c r="A199" s="3">
        <v>1</v>
      </c>
      <c r="B199"/>
      <c r="C199"/>
      <c r="D199"/>
      <c r="E199"/>
      <c r="F199"/>
      <c r="G199"/>
      <c r="H199"/>
      <c r="I199"/>
      <c r="J199"/>
      <c r="K199"/>
      <c r="L199"/>
      <c r="M199" s="65" t="str">
        <f>$H$2</f>
        <v>Medical University of South Carolina</v>
      </c>
      <c r="O199" s="545"/>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8"/>
        <v/>
      </c>
      <c r="Y199" s="14"/>
      <c r="AA199" s="2" t="s">
        <v>211</v>
      </c>
      <c r="AB199" s="39"/>
      <c r="AC199" s="29" t="str">
        <f t="shared" si="27"/>
        <v/>
      </c>
      <c r="AD199" s="40" t="str">
        <f t="shared" si="29"/>
        <v/>
      </c>
    </row>
    <row r="200" spans="1:30" ht="14.1" customHeight="1" thickBot="1" x14ac:dyDescent="0.35">
      <c r="A200" s="3">
        <v>2</v>
      </c>
      <c r="B200"/>
      <c r="C200"/>
      <c r="D200"/>
      <c r="E200"/>
      <c r="F200"/>
      <c r="G200"/>
      <c r="H200" s="31" t="str">
        <f>$H$68</f>
        <v>Inspection Results</v>
      </c>
      <c r="I200"/>
      <c r="J200"/>
      <c r="K200"/>
      <c r="L200"/>
      <c r="M200" s="24" t="str">
        <f>$H$5</f>
        <v>Fluoroscopy System Compliance Inspection</v>
      </c>
      <c r="O200" s="545"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8"/>
        <v/>
      </c>
      <c r="Y200" s="14"/>
      <c r="AA200" s="2" t="s">
        <v>215</v>
      </c>
      <c r="AB200" s="39"/>
      <c r="AC200" s="29" t="str">
        <f t="shared" si="27"/>
        <v/>
      </c>
      <c r="AD200" s="40" t="str">
        <f t="shared" si="29"/>
        <v/>
      </c>
    </row>
    <row r="201" spans="1:30" ht="14.1" customHeight="1" thickTop="1" thickBot="1" x14ac:dyDescent="0.35">
      <c r="A201" s="3">
        <v>3</v>
      </c>
      <c r="B201" s="256"/>
      <c r="C201" s="277" t="str">
        <f>O251</f>
        <v>Kerma Area Product/Cumulative Air Kerma/Air Kerma Rate</v>
      </c>
      <c r="D201" s="265"/>
      <c r="E201" s="265"/>
      <c r="F201" s="265"/>
      <c r="G201" s="265"/>
      <c r="H201" s="265"/>
      <c r="I201" s="265"/>
      <c r="J201" s="265"/>
      <c r="K201" s="257"/>
      <c r="L201" s="257"/>
      <c r="M201" s="258"/>
      <c r="O201" s="545"/>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8"/>
        <v/>
      </c>
      <c r="Y201" s="14"/>
      <c r="AA201" s="2" t="s">
        <v>216</v>
      </c>
      <c r="AB201" s="39"/>
      <c r="AC201" s="29" t="str">
        <f t="shared" si="27"/>
        <v/>
      </c>
      <c r="AD201" s="40" t="str">
        <f t="shared" si="29"/>
        <v/>
      </c>
    </row>
    <row r="202" spans="1:30" ht="14.1" customHeight="1" thickBot="1" x14ac:dyDescent="0.35">
      <c r="A202" s="3">
        <v>4</v>
      </c>
      <c r="B202" s="10"/>
      <c r="C202" s="2" t="s">
        <v>417</v>
      </c>
      <c r="D202" s="63" t="str">
        <f>IF(R266="","",R266)</f>
        <v>Piranha 1 CB2-17090320</v>
      </c>
      <c r="F202" s="2" t="s">
        <v>294</v>
      </c>
      <c r="G202" s="437" t="str">
        <f>IF(U266="","",U266)</f>
        <v/>
      </c>
      <c r="I202" s="2" t="s">
        <v>418</v>
      </c>
      <c r="J202" s="437" t="str">
        <f>IF(X266="","",X266)</f>
        <v/>
      </c>
      <c r="M202" s="12"/>
      <c r="O202" s="545"/>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8"/>
        <v/>
      </c>
      <c r="Y202" s="14"/>
      <c r="AA202" s="2" t="s">
        <v>217</v>
      </c>
      <c r="AB202" s="39"/>
      <c r="AC202" s="29" t="str">
        <f t="shared" si="27"/>
        <v/>
      </c>
      <c r="AD202" s="40" t="str">
        <f t="shared" si="29"/>
        <v/>
      </c>
    </row>
    <row r="203" spans="1:30" ht="14.1" customHeight="1" thickBot="1" x14ac:dyDescent="0.35">
      <c r="A203" s="3">
        <v>5</v>
      </c>
      <c r="B203" s="10"/>
      <c r="M203" s="12"/>
      <c r="O203" s="545"/>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8"/>
        <v/>
      </c>
      <c r="Y203" s="14"/>
      <c r="AA203" s="2" t="s">
        <v>218</v>
      </c>
      <c r="AB203" s="39"/>
      <c r="AC203" s="29" t="str">
        <f t="shared" si="27"/>
        <v/>
      </c>
      <c r="AD203" s="40" t="str">
        <f t="shared" si="29"/>
        <v/>
      </c>
    </row>
    <row r="204" spans="1:30" ht="14.1" customHeight="1" thickBot="1" x14ac:dyDescent="0.35">
      <c r="A204" s="3">
        <v>6</v>
      </c>
      <c r="B204" s="259"/>
      <c r="C204" s="291"/>
      <c r="D204"/>
      <c r="E204" s="515" t="str">
        <f>O276</f>
        <v>Ind KAP mGy·cm²</v>
      </c>
      <c r="F204" s="517" t="str">
        <f>P276</f>
        <v>Meas KAP mGy·cm²</v>
      </c>
      <c r="G204" s="559" t="s">
        <v>241</v>
      </c>
      <c r="H204" s="515" t="str">
        <f>R276</f>
        <v>Ind AK @ Ref Pt (mGy)</v>
      </c>
      <c r="I204" s="555" t="str">
        <f>S276</f>
        <v>Meas AK @ Ref Pt (mGy)</v>
      </c>
      <c r="J204" s="441" t="s">
        <v>242</v>
      </c>
      <c r="K204" s="1" t="s">
        <v>243</v>
      </c>
      <c r="L204" s="1" t="s">
        <v>244</v>
      </c>
      <c r="M204" s="557" t="s">
        <v>245</v>
      </c>
      <c r="O204" s="545"/>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8"/>
        <v/>
      </c>
      <c r="Y204" s="14"/>
      <c r="AA204" s="2" t="s">
        <v>221</v>
      </c>
      <c r="AB204" s="39"/>
      <c r="AC204" s="29" t="str">
        <f t="shared" si="27"/>
        <v/>
      </c>
      <c r="AD204" s="40" t="str">
        <f t="shared" si="29"/>
        <v/>
      </c>
    </row>
    <row r="205" spans="1:30" ht="14.1" customHeight="1" thickBot="1" x14ac:dyDescent="0.35">
      <c r="A205" s="3">
        <v>7</v>
      </c>
      <c r="B205" s="259"/>
      <c r="C205" s="291" t="s">
        <v>208</v>
      </c>
      <c r="D205" t="s">
        <v>149</v>
      </c>
      <c r="E205" s="516"/>
      <c r="F205" s="518"/>
      <c r="G205" s="560"/>
      <c r="H205" s="516"/>
      <c r="I205" s="556"/>
      <c r="J205" s="441"/>
      <c r="K205" s="1" t="str">
        <f>U277</f>
        <v>mGy/min</v>
      </c>
      <c r="L205" s="1" t="str">
        <f>V277</f>
        <v>mGy/min</v>
      </c>
      <c r="M205" s="558"/>
      <c r="O205" s="13"/>
      <c r="Y205" s="14"/>
      <c r="AA205" s="2" t="s">
        <v>222</v>
      </c>
      <c r="AB205" s="39"/>
      <c r="AC205" s="29" t="str">
        <f t="shared" si="27"/>
        <v/>
      </c>
      <c r="AD205" s="40" t="str">
        <f t="shared" si="29"/>
        <v/>
      </c>
    </row>
    <row r="206" spans="1:30" ht="14.1" customHeight="1" x14ac:dyDescent="0.3">
      <c r="A206" s="3">
        <v>8</v>
      </c>
      <c r="B206" s="259"/>
      <c r="C206" s="294">
        <f t="shared" ref="C206:D213" si="30">IF(O258="","",O258)</f>
        <v>60</v>
      </c>
      <c r="D206" s="295" t="str">
        <f t="shared" si="30"/>
        <v/>
      </c>
      <c r="E206" s="294" t="str">
        <f t="shared" ref="E206:M213" si="31">IF(O278="","",O278)</f>
        <v/>
      </c>
      <c r="F206" s="300" t="str">
        <f t="shared" si="31"/>
        <v/>
      </c>
      <c r="G206" s="438" t="str">
        <f t="shared" si="31"/>
        <v/>
      </c>
      <c r="H206" s="294" t="str">
        <f t="shared" si="31"/>
        <v/>
      </c>
      <c r="I206" s="300" t="str">
        <f t="shared" si="31"/>
        <v/>
      </c>
      <c r="J206" s="438" t="str">
        <f t="shared" si="31"/>
        <v/>
      </c>
      <c r="K206" s="294" t="str">
        <f t="shared" si="31"/>
        <v/>
      </c>
      <c r="L206" s="300" t="str">
        <f t="shared" si="31"/>
        <v/>
      </c>
      <c r="M206" s="303" t="str">
        <f t="shared" si="31"/>
        <v/>
      </c>
      <c r="O206" s="13"/>
      <c r="P206" s="2" t="s">
        <v>171</v>
      </c>
      <c r="Q206" s="101" t="str">
        <f>IF(Q208&lt;&gt;"",Q208,IF(AB237="","",AB237))</f>
        <v/>
      </c>
      <c r="R206" s="62"/>
      <c r="S206" s="62"/>
      <c r="T206" s="62"/>
      <c r="U206" s="62"/>
      <c r="V206" s="62"/>
      <c r="W206" s="62"/>
      <c r="X206" s="62"/>
      <c r="Y206" s="14"/>
      <c r="AA206" s="2" t="s">
        <v>223</v>
      </c>
      <c r="AB206" s="39"/>
      <c r="AC206" s="29" t="str">
        <f t="shared" si="27"/>
        <v/>
      </c>
      <c r="AD206" s="40" t="str">
        <f t="shared" si="29"/>
        <v/>
      </c>
    </row>
    <row r="207" spans="1:30" ht="14.1" customHeight="1" x14ac:dyDescent="0.3">
      <c r="A207" s="3">
        <v>9</v>
      </c>
      <c r="B207" s="259"/>
      <c r="C207" s="296">
        <f t="shared" si="30"/>
        <v>80</v>
      </c>
      <c r="D207" s="297" t="str">
        <f t="shared" si="30"/>
        <v/>
      </c>
      <c r="E207" s="296" t="str">
        <f t="shared" si="31"/>
        <v/>
      </c>
      <c r="F207" s="301" t="str">
        <f t="shared" si="31"/>
        <v/>
      </c>
      <c r="G207" s="439" t="str">
        <f t="shared" si="31"/>
        <v/>
      </c>
      <c r="H207" s="296" t="str">
        <f t="shared" si="31"/>
        <v/>
      </c>
      <c r="I207" s="301" t="str">
        <f t="shared" si="31"/>
        <v/>
      </c>
      <c r="J207" s="439" t="str">
        <f t="shared" si="31"/>
        <v/>
      </c>
      <c r="K207" s="296" t="str">
        <f t="shared" si="31"/>
        <v/>
      </c>
      <c r="L207" s="301" t="str">
        <f t="shared" si="31"/>
        <v/>
      </c>
      <c r="M207" s="304" t="str">
        <f t="shared" si="31"/>
        <v/>
      </c>
      <c r="O207" s="13"/>
      <c r="Q207" s="103"/>
      <c r="R207" s="104">
        <f>LEN(Q206)</f>
        <v>0</v>
      </c>
      <c r="S207" s="105"/>
      <c r="T207" s="105"/>
      <c r="U207" s="105"/>
      <c r="V207" s="105"/>
      <c r="W207" s="105"/>
      <c r="X207" s="105"/>
      <c r="Y207" s="14"/>
      <c r="AA207" s="2" t="s">
        <v>224</v>
      </c>
      <c r="AB207" s="39"/>
      <c r="AC207" s="29" t="str">
        <f t="shared" si="27"/>
        <v/>
      </c>
      <c r="AD207" s="40" t="str">
        <f t="shared" si="29"/>
        <v/>
      </c>
    </row>
    <row r="208" spans="1:30" ht="14.1" customHeight="1" x14ac:dyDescent="0.3">
      <c r="A208" s="3">
        <v>10</v>
      </c>
      <c r="B208" s="259"/>
      <c r="C208" s="296">
        <f t="shared" si="30"/>
        <v>100</v>
      </c>
      <c r="D208" s="297" t="str">
        <f t="shared" si="30"/>
        <v/>
      </c>
      <c r="E208" s="296" t="str">
        <f t="shared" si="31"/>
        <v/>
      </c>
      <c r="F208" s="301" t="str">
        <f t="shared" si="31"/>
        <v/>
      </c>
      <c r="G208" s="439" t="str">
        <f t="shared" si="31"/>
        <v/>
      </c>
      <c r="H208" s="296" t="str">
        <f t="shared" si="31"/>
        <v/>
      </c>
      <c r="I208" s="301" t="str">
        <f t="shared" si="31"/>
        <v/>
      </c>
      <c r="J208" s="439" t="str">
        <f t="shared" si="31"/>
        <v/>
      </c>
      <c r="K208" s="296" t="str">
        <f t="shared" si="31"/>
        <v/>
      </c>
      <c r="L208" s="301" t="str">
        <f t="shared" si="31"/>
        <v/>
      </c>
      <c r="M208" s="304" t="str">
        <f t="shared" si="31"/>
        <v/>
      </c>
      <c r="O208" s="13"/>
      <c r="P208" s="2" t="s">
        <v>174</v>
      </c>
      <c r="Q208" s="107"/>
      <c r="R208" s="105"/>
      <c r="S208" s="105"/>
      <c r="T208" s="105"/>
      <c r="U208" s="105"/>
      <c r="V208" s="105"/>
      <c r="W208" s="105"/>
      <c r="X208" s="105"/>
      <c r="Y208" s="14"/>
      <c r="AA208" s="2" t="s">
        <v>226</v>
      </c>
      <c r="AB208" s="39"/>
      <c r="AC208" s="29" t="str">
        <f t="shared" si="27"/>
        <v/>
      </c>
      <c r="AD208" s="40" t="str">
        <f t="shared" si="29"/>
        <v/>
      </c>
    </row>
    <row r="209" spans="1:30" ht="14.1" customHeight="1" thickBot="1" x14ac:dyDescent="0.35">
      <c r="A209" s="3">
        <v>11</v>
      </c>
      <c r="B209" s="259"/>
      <c r="C209" s="296">
        <f t="shared" si="30"/>
        <v>120</v>
      </c>
      <c r="D209" s="297" t="str">
        <f t="shared" si="30"/>
        <v/>
      </c>
      <c r="E209" s="296" t="str">
        <f t="shared" si="31"/>
        <v/>
      </c>
      <c r="F209" s="301" t="str">
        <f t="shared" si="31"/>
        <v/>
      </c>
      <c r="G209" s="439" t="str">
        <f t="shared" si="31"/>
        <v/>
      </c>
      <c r="H209" s="296" t="str">
        <f t="shared" si="31"/>
        <v/>
      </c>
      <c r="I209" s="301" t="str">
        <f t="shared" si="31"/>
        <v/>
      </c>
      <c r="J209" s="439" t="str">
        <f t="shared" si="31"/>
        <v/>
      </c>
      <c r="K209" s="296" t="str">
        <f t="shared" si="31"/>
        <v/>
      </c>
      <c r="L209" s="301" t="str">
        <f t="shared" si="31"/>
        <v/>
      </c>
      <c r="M209" s="304" t="str">
        <f t="shared" si="31"/>
        <v/>
      </c>
      <c r="O209" s="21"/>
      <c r="P209" s="22"/>
      <c r="Q209" s="22"/>
      <c r="R209" s="22"/>
      <c r="S209" s="22"/>
      <c r="T209" s="22"/>
      <c r="U209" s="22"/>
      <c r="V209" s="22"/>
      <c r="W209" s="22"/>
      <c r="X209" s="22"/>
      <c r="Y209" s="23"/>
      <c r="AA209" s="2" t="s">
        <v>228</v>
      </c>
      <c r="AB209" s="39"/>
      <c r="AC209" s="29" t="str">
        <f t="shared" si="27"/>
        <v/>
      </c>
      <c r="AD209" s="40" t="str">
        <f t="shared" si="29"/>
        <v/>
      </c>
    </row>
    <row r="210" spans="1:30" ht="14.1" customHeight="1" x14ac:dyDescent="0.3">
      <c r="A210" s="3">
        <v>12</v>
      </c>
      <c r="B210" s="259"/>
      <c r="C210" s="296" t="str">
        <f t="shared" si="30"/>
        <v/>
      </c>
      <c r="D210" s="297" t="str">
        <f t="shared" si="30"/>
        <v/>
      </c>
      <c r="E210" s="296" t="str">
        <f t="shared" si="31"/>
        <v/>
      </c>
      <c r="F210" s="301" t="str">
        <f t="shared" si="31"/>
        <v/>
      </c>
      <c r="G210" s="439" t="str">
        <f t="shared" si="31"/>
        <v/>
      </c>
      <c r="H210" s="296" t="str">
        <f t="shared" si="31"/>
        <v/>
      </c>
      <c r="I210" s="301" t="str">
        <f t="shared" si="31"/>
        <v/>
      </c>
      <c r="J210" s="439" t="str">
        <f t="shared" si="31"/>
        <v/>
      </c>
      <c r="K210" s="296" t="str">
        <f t="shared" si="31"/>
        <v/>
      </c>
      <c r="L210" s="301" t="str">
        <f t="shared" si="31"/>
        <v/>
      </c>
      <c r="M210" s="304" t="str">
        <f t="shared" si="31"/>
        <v/>
      </c>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207</v>
      </c>
      <c r="AB210" s="39"/>
      <c r="AC210" s="29" t="str">
        <f t="shared" si="27"/>
        <v/>
      </c>
      <c r="AD210" s="40" t="str">
        <f t="shared" ref="AD210:AD221" si="32">IF(T331="","",T331)</f>
        <v/>
      </c>
    </row>
    <row r="211" spans="1:30" ht="14.1" customHeight="1" x14ac:dyDescent="0.3">
      <c r="A211" s="3">
        <v>13</v>
      </c>
      <c r="B211" s="259"/>
      <c r="C211" s="296" t="str">
        <f t="shared" si="30"/>
        <v/>
      </c>
      <c r="D211" s="297" t="str">
        <f t="shared" si="30"/>
        <v/>
      </c>
      <c r="E211" s="296" t="str">
        <f t="shared" si="31"/>
        <v/>
      </c>
      <c r="F211" s="301" t="str">
        <f t="shared" si="31"/>
        <v/>
      </c>
      <c r="G211" s="439" t="str">
        <f t="shared" si="31"/>
        <v/>
      </c>
      <c r="H211" s="296" t="str">
        <f t="shared" si="31"/>
        <v/>
      </c>
      <c r="I211" s="301" t="str">
        <f t="shared" si="31"/>
        <v/>
      </c>
      <c r="J211" s="439" t="str">
        <f t="shared" si="31"/>
        <v/>
      </c>
      <c r="K211" s="296" t="str">
        <f t="shared" si="31"/>
        <v/>
      </c>
      <c r="L211" s="301" t="str">
        <f t="shared" si="31"/>
        <v/>
      </c>
      <c r="M211" s="304" t="str">
        <f t="shared" si="31"/>
        <v/>
      </c>
      <c r="O211" s="13"/>
      <c r="Y211" s="14"/>
      <c r="AA211" s="2" t="s">
        <v>211</v>
      </c>
      <c r="AB211" s="39"/>
      <c r="AC211" s="29" t="str">
        <f t="shared" si="27"/>
        <v/>
      </c>
      <c r="AD211" s="40" t="str">
        <f t="shared" si="32"/>
        <v/>
      </c>
    </row>
    <row r="212" spans="1:30" ht="14.1" customHeight="1" x14ac:dyDescent="0.3">
      <c r="A212" s="3">
        <v>14</v>
      </c>
      <c r="B212" s="259"/>
      <c r="C212" s="296" t="str">
        <f t="shared" si="30"/>
        <v/>
      </c>
      <c r="D212" s="297" t="str">
        <f t="shared" si="30"/>
        <v/>
      </c>
      <c r="E212" s="296" t="str">
        <f t="shared" si="31"/>
        <v/>
      </c>
      <c r="F212" s="301" t="str">
        <f t="shared" si="31"/>
        <v/>
      </c>
      <c r="G212" s="439" t="str">
        <f t="shared" si="31"/>
        <v/>
      </c>
      <c r="H212" s="296" t="str">
        <f t="shared" si="31"/>
        <v/>
      </c>
      <c r="I212" s="301" t="str">
        <f t="shared" si="31"/>
        <v/>
      </c>
      <c r="J212" s="439" t="str">
        <f t="shared" si="31"/>
        <v/>
      </c>
      <c r="K212" s="296" t="str">
        <f t="shared" si="31"/>
        <v/>
      </c>
      <c r="L212" s="301" t="str">
        <f t="shared" si="31"/>
        <v/>
      </c>
      <c r="M212" s="304" t="str">
        <f t="shared" si="31"/>
        <v/>
      </c>
      <c r="O212" s="13" t="s">
        <v>231</v>
      </c>
      <c r="P212" s="1" t="s">
        <v>232</v>
      </c>
      <c r="U212" s="1" t="s">
        <v>233</v>
      </c>
      <c r="Y212" s="14"/>
      <c r="AA212" s="2" t="s">
        <v>215</v>
      </c>
      <c r="AB212" s="39"/>
      <c r="AC212" s="29" t="str">
        <f t="shared" si="27"/>
        <v/>
      </c>
      <c r="AD212" s="40" t="str">
        <f t="shared" si="32"/>
        <v/>
      </c>
    </row>
    <row r="213" spans="1:30" ht="14.1" customHeight="1" thickBot="1" x14ac:dyDescent="0.35">
      <c r="A213" s="3">
        <v>15</v>
      </c>
      <c r="B213" s="259"/>
      <c r="C213" s="298" t="str">
        <f t="shared" si="30"/>
        <v/>
      </c>
      <c r="D213" s="299" t="str">
        <f t="shared" si="30"/>
        <v/>
      </c>
      <c r="E213" s="298" t="str">
        <f t="shared" si="31"/>
        <v/>
      </c>
      <c r="F213" s="302" t="str">
        <f t="shared" si="31"/>
        <v/>
      </c>
      <c r="G213" s="440" t="str">
        <f t="shared" si="31"/>
        <v/>
      </c>
      <c r="H213" s="298" t="str">
        <f t="shared" si="31"/>
        <v/>
      </c>
      <c r="I213" s="302" t="str">
        <f t="shared" si="31"/>
        <v/>
      </c>
      <c r="J213" s="440" t="str">
        <f t="shared" si="31"/>
        <v/>
      </c>
      <c r="K213" s="298" t="str">
        <f t="shared" si="31"/>
        <v/>
      </c>
      <c r="L213" s="302" t="str">
        <f t="shared" si="31"/>
        <v/>
      </c>
      <c r="M213" s="305" t="str">
        <f t="shared" si="31"/>
        <v/>
      </c>
      <c r="O213" s="13" t="s">
        <v>234</v>
      </c>
      <c r="P213" s="1" t="s">
        <v>235</v>
      </c>
      <c r="Q213" s="1" t="s">
        <v>148</v>
      </c>
      <c r="R213" s="1" t="s">
        <v>149</v>
      </c>
      <c r="S213" s="1" t="s">
        <v>236</v>
      </c>
      <c r="T213" s="1" t="s">
        <v>237</v>
      </c>
      <c r="U213" s="1" t="s">
        <v>237</v>
      </c>
      <c r="Y213" s="14"/>
      <c r="AA213" s="2" t="s">
        <v>216</v>
      </c>
      <c r="AB213" s="39"/>
      <c r="AC213" s="29" t="str">
        <f t="shared" si="27"/>
        <v/>
      </c>
      <c r="AD213" s="40" t="str">
        <f t="shared" si="32"/>
        <v/>
      </c>
    </row>
    <row r="214" spans="1:30" ht="14.1" customHeight="1" thickBot="1" x14ac:dyDescent="0.35">
      <c r="A214" s="3">
        <v>16</v>
      </c>
      <c r="B214" s="259"/>
      <c r="C214"/>
      <c r="D214"/>
      <c r="E214"/>
      <c r="F214" s="145" t="s">
        <v>162</v>
      </c>
      <c r="G214" s="319" t="str">
        <f>Q286</f>
        <v/>
      </c>
      <c r="H214"/>
      <c r="I214" s="145" t="s">
        <v>162</v>
      </c>
      <c r="J214" s="319" t="str">
        <f>T286</f>
        <v/>
      </c>
      <c r="L214" s="145" t="s">
        <v>162</v>
      </c>
      <c r="M214" s="319" t="str">
        <f>W286</f>
        <v/>
      </c>
      <c r="O214" s="545"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33">IF(AB130="","",AB130)</f>
        <v/>
      </c>
      <c r="V214"/>
      <c r="W214" s="100" t="s">
        <v>238</v>
      </c>
      <c r="Y214" s="14"/>
      <c r="AA214" s="2" t="s">
        <v>217</v>
      </c>
      <c r="AB214" s="39"/>
      <c r="AC214" s="29" t="str">
        <f t="shared" si="27"/>
        <v/>
      </c>
      <c r="AD214" s="40" t="str">
        <f t="shared" si="32"/>
        <v/>
      </c>
    </row>
    <row r="215" spans="1:30" ht="14.1" customHeight="1" thickBot="1" x14ac:dyDescent="0.35">
      <c r="A215" s="3">
        <v>17</v>
      </c>
      <c r="B215" s="259"/>
      <c r="D215" s="24" t="str">
        <f>P288</f>
        <v>Criteria:</v>
      </c>
      <c r="E215" s="17" t="str">
        <f>Q288</f>
        <v>Measured KAP/AK/AKR is within 40% of the displayed values</v>
      </c>
      <c r="M215" s="260"/>
      <c r="O215" s="545"/>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33"/>
        <v/>
      </c>
      <c r="W215" s="100" t="s">
        <v>239</v>
      </c>
      <c r="Y215" s="14"/>
      <c r="AA215" s="2" t="s">
        <v>218</v>
      </c>
      <c r="AB215" s="39"/>
      <c r="AC215" s="29" t="str">
        <f t="shared" si="27"/>
        <v/>
      </c>
      <c r="AD215" s="40" t="str">
        <f t="shared" si="32"/>
        <v/>
      </c>
    </row>
    <row r="216" spans="1:30" ht="14.1" customHeight="1" thickBot="1" x14ac:dyDescent="0.35">
      <c r="A216" s="3">
        <v>18</v>
      </c>
      <c r="B216" s="259"/>
      <c r="C216"/>
      <c r="D216"/>
      <c r="E216"/>
      <c r="F216"/>
      <c r="G216"/>
      <c r="H216"/>
      <c r="I216"/>
      <c r="J216"/>
      <c r="K216"/>
      <c r="L216"/>
      <c r="M216" s="260"/>
      <c r="O216" s="545"/>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33"/>
        <v/>
      </c>
      <c r="W216" s="100" t="s">
        <v>240</v>
      </c>
      <c r="Y216" s="14"/>
      <c r="AA216" s="2" t="s">
        <v>221</v>
      </c>
      <c r="AB216" s="39"/>
      <c r="AC216" s="29" t="str">
        <f t="shared" si="27"/>
        <v/>
      </c>
      <c r="AD216" s="40" t="str">
        <f t="shared" si="32"/>
        <v/>
      </c>
    </row>
    <row r="217" spans="1:30" ht="14.1" customHeight="1" thickBot="1" x14ac:dyDescent="0.35">
      <c r="A217" s="3">
        <v>19</v>
      </c>
      <c r="B217" s="306"/>
      <c r="C217" s="307"/>
      <c r="D217" s="307"/>
      <c r="E217" s="307"/>
      <c r="F217" s="307"/>
      <c r="G217" s="307"/>
      <c r="H217" s="307"/>
      <c r="I217" s="307"/>
      <c r="J217" s="307"/>
      <c r="K217" s="307"/>
      <c r="L217" s="307"/>
      <c r="M217" s="308"/>
      <c r="O217" s="545"/>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33"/>
        <v/>
      </c>
      <c r="Y217" s="14"/>
      <c r="AA217" s="2" t="s">
        <v>222</v>
      </c>
      <c r="AB217" s="39"/>
      <c r="AC217" s="29" t="str">
        <f t="shared" si="27"/>
        <v/>
      </c>
      <c r="AD217" s="40" t="str">
        <f t="shared" si="32"/>
        <v/>
      </c>
    </row>
    <row r="218" spans="1:30" ht="14.1" customHeight="1" thickBot="1" x14ac:dyDescent="0.35">
      <c r="A218" s="3">
        <v>20</v>
      </c>
      <c r="B218" s="259"/>
      <c r="C218" s="281" t="s">
        <v>246</v>
      </c>
      <c r="D218"/>
      <c r="E218"/>
      <c r="F218"/>
      <c r="G218"/>
      <c r="I218" s="281" t="s">
        <v>247</v>
      </c>
      <c r="J218"/>
      <c r="K218"/>
      <c r="L218"/>
      <c r="M218" s="260"/>
      <c r="O218" s="545"/>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33"/>
        <v/>
      </c>
      <c r="Y218" s="14"/>
      <c r="AA218" s="2" t="s">
        <v>223</v>
      </c>
      <c r="AB218" s="39"/>
      <c r="AC218" s="29" t="str">
        <f t="shared" si="27"/>
        <v/>
      </c>
      <c r="AD218" s="40" t="str">
        <f t="shared" si="32"/>
        <v/>
      </c>
    </row>
    <row r="219" spans="1:30" ht="14.1" customHeight="1" thickBot="1" x14ac:dyDescent="0.35">
      <c r="A219" s="3">
        <v>21</v>
      </c>
      <c r="B219" s="268"/>
      <c r="C219"/>
      <c r="D219"/>
      <c r="E219"/>
      <c r="F219"/>
      <c r="G219"/>
      <c r="H219"/>
      <c r="I219"/>
      <c r="J219"/>
      <c r="K219"/>
      <c r="L219"/>
      <c r="M219" s="269"/>
      <c r="O219" s="545"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33"/>
        <v/>
      </c>
      <c r="Y219" s="14"/>
      <c r="AA219" s="2" t="s">
        <v>224</v>
      </c>
      <c r="AB219" s="39"/>
      <c r="AC219" s="29" t="str">
        <f t="shared" si="27"/>
        <v/>
      </c>
      <c r="AD219" s="40" t="str">
        <f t="shared" si="32"/>
        <v/>
      </c>
    </row>
    <row r="220" spans="1:30" ht="14.1" customHeight="1" thickBot="1" x14ac:dyDescent="0.35">
      <c r="A220" s="3">
        <v>22</v>
      </c>
      <c r="B220" s="268"/>
      <c r="C220"/>
      <c r="D220" s="145" t="s">
        <v>248</v>
      </c>
      <c r="E220" s="276" t="str">
        <f>Q291</f>
        <v>Piranha 1 CB2-17090320</v>
      </c>
      <c r="F220"/>
      <c r="G220"/>
      <c r="H220" s="145" t="s">
        <v>412</v>
      </c>
      <c r="I220" s="461" t="str">
        <f>IF(T291="","",T291)</f>
        <v/>
      </c>
      <c r="J220"/>
      <c r="K220" s="145" t="s">
        <v>413</v>
      </c>
      <c r="L220" s="461" t="str">
        <f>IF(W291="","",W291)</f>
        <v/>
      </c>
      <c r="M220" s="269"/>
      <c r="O220" s="545"/>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33"/>
        <v/>
      </c>
      <c r="Y220" s="14"/>
      <c r="AA220" s="2" t="s">
        <v>226</v>
      </c>
      <c r="AB220" s="39"/>
      <c r="AC220" s="29" t="str">
        <f t="shared" si="27"/>
        <v/>
      </c>
      <c r="AD220" s="40" t="str">
        <f t="shared" si="32"/>
        <v/>
      </c>
    </row>
    <row r="221" spans="1:30" ht="14.1" customHeight="1" thickBot="1" x14ac:dyDescent="0.35">
      <c r="A221" s="3">
        <v>23</v>
      </c>
      <c r="B221" s="268"/>
      <c r="C221"/>
      <c r="D221"/>
      <c r="E221"/>
      <c r="F221"/>
      <c r="G221"/>
      <c r="H221"/>
      <c r="I221"/>
      <c r="J221"/>
      <c r="K221"/>
      <c r="L221"/>
      <c r="M221" s="269"/>
      <c r="O221" s="545"/>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33"/>
        <v/>
      </c>
      <c r="Y221" s="14"/>
      <c r="AA221" s="2" t="s">
        <v>228</v>
      </c>
      <c r="AB221" s="39"/>
      <c r="AC221" s="29" t="str">
        <f t="shared" ref="AC221:AC233" si="34">IF(AB221&lt;&gt;AD221,"Change","")</f>
        <v/>
      </c>
      <c r="AD221" s="40" t="str">
        <f t="shared" si="32"/>
        <v/>
      </c>
    </row>
    <row r="222" spans="1:30" ht="14.1" customHeight="1" thickBot="1" x14ac:dyDescent="0.35">
      <c r="A222" s="3">
        <v>24</v>
      </c>
      <c r="B222" s="268"/>
      <c r="C222"/>
      <c r="E222" s="311" t="s">
        <v>249</v>
      </c>
      <c r="F222"/>
      <c r="G222" t="s">
        <v>420</v>
      </c>
      <c r="I222"/>
      <c r="J222" s="311" t="s">
        <v>249</v>
      </c>
      <c r="K222" t="s">
        <v>420</v>
      </c>
      <c r="L222"/>
      <c r="M222" s="269"/>
      <c r="O222" s="545"/>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33"/>
        <v/>
      </c>
      <c r="Y222" s="14"/>
      <c r="AA222" s="2" t="s">
        <v>207</v>
      </c>
      <c r="AB222" s="39"/>
      <c r="AC222" s="29" t="str">
        <f t="shared" si="34"/>
        <v/>
      </c>
      <c r="AD222" s="40" t="str">
        <f t="shared" ref="AD222:AD233" si="35">IF(U331="","",U331)</f>
        <v/>
      </c>
    </row>
    <row r="223" spans="1:30" ht="14.1" customHeight="1" thickBot="1" x14ac:dyDescent="0.35">
      <c r="A223" s="3">
        <v>25</v>
      </c>
      <c r="B223" s="268"/>
      <c r="C223" s="309" t="s">
        <v>250</v>
      </c>
      <c r="D223" s="310" t="s">
        <v>441</v>
      </c>
      <c r="E223" s="310" t="s">
        <v>208</v>
      </c>
      <c r="F223" s="310" t="s">
        <v>251</v>
      </c>
      <c r="G223" s="340" t="s">
        <v>421</v>
      </c>
      <c r="I223" s="312" t="s">
        <v>250</v>
      </c>
      <c r="J223" s="310" t="s">
        <v>208</v>
      </c>
      <c r="K223" s="310" t="s">
        <v>421</v>
      </c>
      <c r="L223"/>
      <c r="M223" s="269"/>
      <c r="O223" s="545"/>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33"/>
        <v/>
      </c>
      <c r="Y223" s="14"/>
      <c r="AA223" s="2" t="s">
        <v>211</v>
      </c>
      <c r="AB223" s="39"/>
      <c r="AC223" s="29" t="str">
        <f t="shared" si="34"/>
        <v/>
      </c>
      <c r="AD223" s="40" t="str">
        <f t="shared" si="35"/>
        <v/>
      </c>
    </row>
    <row r="224" spans="1:30" ht="14.1" customHeight="1" thickBot="1" x14ac:dyDescent="0.35">
      <c r="A224" s="3">
        <v>26</v>
      </c>
      <c r="B224" s="268"/>
      <c r="C224" s="296">
        <f t="shared" ref="C224:D227" si="36">IF(O295="","",O295)</f>
        <v>60</v>
      </c>
      <c r="D224" s="301">
        <f t="shared" si="36"/>
        <v>5</v>
      </c>
      <c r="E224" s="301" t="str">
        <f>IF(Q295="","",Q295)</f>
        <v/>
      </c>
      <c r="F224" s="472" t="str">
        <f>IF(V295="","",V295)</f>
        <v/>
      </c>
      <c r="G224" s="297" t="str">
        <f>IF(S295="","",S295)</f>
        <v/>
      </c>
      <c r="I224" s="313">
        <f>IF(O304="","",O304)</f>
        <v>80</v>
      </c>
      <c r="J224" s="301" t="str">
        <f>IF(P304="","",P304)</f>
        <v/>
      </c>
      <c r="K224" s="301" t="str">
        <f t="shared" ref="K224:K232" si="37">IF(R304="","",R304)</f>
        <v/>
      </c>
      <c r="L224"/>
      <c r="M224" s="269"/>
      <c r="O224" s="545"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33"/>
        <v/>
      </c>
      <c r="Y224" s="14"/>
      <c r="AA224" s="2" t="s">
        <v>215</v>
      </c>
      <c r="AB224" s="39"/>
      <c r="AC224" s="29" t="str">
        <f t="shared" si="34"/>
        <v/>
      </c>
      <c r="AD224" s="40" t="str">
        <f t="shared" si="35"/>
        <v/>
      </c>
    </row>
    <row r="225" spans="1:30" ht="14.1" customHeight="1" thickBot="1" x14ac:dyDescent="0.35">
      <c r="A225" s="3">
        <v>27</v>
      </c>
      <c r="B225" s="268"/>
      <c r="C225" s="296">
        <f t="shared" si="36"/>
        <v>80</v>
      </c>
      <c r="D225" s="301">
        <f t="shared" si="36"/>
        <v>5</v>
      </c>
      <c r="E225" s="301" t="str">
        <f>IF(Q296="","",Q296)</f>
        <v/>
      </c>
      <c r="F225" s="472" t="str">
        <f>IF(V296="","",V296)</f>
        <v/>
      </c>
      <c r="G225" s="297" t="str">
        <f>IF(S296="","",S296)</f>
        <v/>
      </c>
      <c r="I225"/>
      <c r="J225" s="301" t="str">
        <f t="shared" ref="J225:J232" si="38">IF(P305="","",P305)</f>
        <v/>
      </c>
      <c r="K225" s="301" t="str">
        <f t="shared" si="37"/>
        <v/>
      </c>
      <c r="L225"/>
      <c r="M225" s="269"/>
      <c r="O225" s="545"/>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33"/>
        <v/>
      </c>
      <c r="Y225" s="14"/>
      <c r="AA225" s="2" t="s">
        <v>216</v>
      </c>
      <c r="AB225" s="39"/>
      <c r="AC225" s="29" t="str">
        <f t="shared" si="34"/>
        <v/>
      </c>
      <c r="AD225" s="40" t="str">
        <f t="shared" si="35"/>
        <v/>
      </c>
    </row>
    <row r="226" spans="1:30" ht="14.1" customHeight="1" thickBot="1" x14ac:dyDescent="0.35">
      <c r="A226" s="3">
        <v>28</v>
      </c>
      <c r="B226" s="268"/>
      <c r="C226" s="296">
        <f t="shared" si="36"/>
        <v>100</v>
      </c>
      <c r="D226" s="301">
        <f t="shared" si="36"/>
        <v>5</v>
      </c>
      <c r="E226" s="301" t="str">
        <f>IF(Q297="","",Q297)</f>
        <v/>
      </c>
      <c r="F226" s="472" t="str">
        <f>IF(V297="","",V297)</f>
        <v/>
      </c>
      <c r="G226" s="297" t="str">
        <f>IF(S297="","",S297)</f>
        <v/>
      </c>
      <c r="I226"/>
      <c r="J226" s="301" t="str">
        <f t="shared" si="38"/>
        <v/>
      </c>
      <c r="K226" s="301" t="str">
        <f t="shared" si="37"/>
        <v/>
      </c>
      <c r="L226"/>
      <c r="M226" s="269"/>
      <c r="O226" s="545"/>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33"/>
        <v/>
      </c>
      <c r="Y226" s="14"/>
      <c r="AA226" s="2" t="s">
        <v>217</v>
      </c>
      <c r="AB226" s="39"/>
      <c r="AC226" s="29" t="str">
        <f t="shared" si="34"/>
        <v/>
      </c>
      <c r="AD226" s="40" t="str">
        <f t="shared" si="35"/>
        <v/>
      </c>
    </row>
    <row r="227" spans="1:30" ht="14.1" customHeight="1" thickBot="1" x14ac:dyDescent="0.35">
      <c r="A227" s="3">
        <v>29</v>
      </c>
      <c r="B227" s="268"/>
      <c r="C227" s="298">
        <f t="shared" si="36"/>
        <v>120</v>
      </c>
      <c r="D227" s="302">
        <f t="shared" si="36"/>
        <v>5</v>
      </c>
      <c r="E227" s="302" t="str">
        <f>IF(Q298="","",Q298)</f>
        <v/>
      </c>
      <c r="F227" s="473" t="str">
        <f>IF(V298="","",V298)</f>
        <v/>
      </c>
      <c r="G227" s="299" t="str">
        <f>IF(S298="","",S298)</f>
        <v/>
      </c>
      <c r="I227"/>
      <c r="J227" s="301" t="str">
        <f t="shared" si="38"/>
        <v/>
      </c>
      <c r="K227" s="301" t="str">
        <f t="shared" si="37"/>
        <v/>
      </c>
      <c r="L227"/>
      <c r="M227" s="269"/>
      <c r="O227" s="545"/>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33"/>
        <v/>
      </c>
      <c r="Y227" s="14"/>
      <c r="AA227" s="2" t="s">
        <v>218</v>
      </c>
      <c r="AB227" s="39"/>
      <c r="AC227" s="29" t="str">
        <f t="shared" si="34"/>
        <v/>
      </c>
      <c r="AD227" s="40" t="str">
        <f t="shared" si="35"/>
        <v/>
      </c>
    </row>
    <row r="228" spans="1:30" ht="14.1" customHeight="1" thickBot="1" x14ac:dyDescent="0.35">
      <c r="A228" s="3">
        <v>30</v>
      </c>
      <c r="B228" s="268"/>
      <c r="C228"/>
      <c r="D228" s="145" t="s">
        <v>162</v>
      </c>
      <c r="E228" s="319" t="str">
        <f>V299</f>
        <v/>
      </c>
      <c r="F228"/>
      <c r="G228"/>
      <c r="I228"/>
      <c r="J228" s="314" t="str">
        <f t="shared" si="38"/>
        <v/>
      </c>
      <c r="K228" s="314" t="str">
        <f t="shared" si="37"/>
        <v/>
      </c>
      <c r="L228"/>
      <c r="M228" s="269"/>
      <c r="O228" s="545"/>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33"/>
        <v/>
      </c>
      <c r="Y228" s="14"/>
      <c r="AA228" s="2" t="s">
        <v>221</v>
      </c>
      <c r="AB228" s="39"/>
      <c r="AC228" s="29" t="str">
        <f t="shared" si="34"/>
        <v/>
      </c>
      <c r="AD228" s="40" t="str">
        <f t="shared" si="35"/>
        <v/>
      </c>
    </row>
    <row r="229" spans="1:30" ht="14.1" customHeight="1" x14ac:dyDescent="0.3">
      <c r="A229" s="3">
        <v>31</v>
      </c>
      <c r="B229" s="268"/>
      <c r="C229"/>
      <c r="D229" s="47" t="str">
        <f>P300</f>
        <v>Criteria:</v>
      </c>
      <c r="E229" s="146" t="str">
        <f>Q300</f>
        <v>kVp accurate to within 5% of indicated.</v>
      </c>
      <c r="F229"/>
      <c r="G229"/>
      <c r="I229" s="145" t="s">
        <v>252</v>
      </c>
      <c r="J229" s="315" t="str">
        <f t="shared" si="38"/>
        <v/>
      </c>
      <c r="K229" s="315" t="str">
        <f t="shared" si="37"/>
        <v/>
      </c>
      <c r="L229"/>
      <c r="M229" s="269"/>
      <c r="O229" s="13"/>
      <c r="Y229" s="14"/>
      <c r="AA229" s="2" t="s">
        <v>222</v>
      </c>
      <c r="AB229" s="39"/>
      <c r="AC229" s="29" t="str">
        <f t="shared" si="34"/>
        <v/>
      </c>
      <c r="AD229" s="40" t="str">
        <f t="shared" si="35"/>
        <v/>
      </c>
    </row>
    <row r="230" spans="1:30" ht="14.1" customHeight="1" x14ac:dyDescent="0.3">
      <c r="A230" s="3">
        <v>32</v>
      </c>
      <c r="B230" s="268"/>
      <c r="C230"/>
      <c r="D230"/>
      <c r="E230"/>
      <c r="F230"/>
      <c r="G230"/>
      <c r="I230" s="145" t="s">
        <v>253</v>
      </c>
      <c r="J230" s="316" t="str">
        <f t="shared" si="38"/>
        <v/>
      </c>
      <c r="K230" s="316" t="str">
        <f t="shared" si="37"/>
        <v/>
      </c>
      <c r="L230"/>
      <c r="M230" s="269"/>
      <c r="O230" s="13"/>
      <c r="P230" s="2" t="s">
        <v>171</v>
      </c>
      <c r="Q230" s="101" t="str">
        <f>IF(Q232&lt;&gt;"",Q232,IF(AB238="","",AB238))</f>
        <v/>
      </c>
      <c r="R230" s="62"/>
      <c r="S230" s="62"/>
      <c r="T230" s="62"/>
      <c r="U230" s="62"/>
      <c r="V230" s="62"/>
      <c r="W230" s="62"/>
      <c r="X230" s="62"/>
      <c r="Y230" s="14"/>
      <c r="AA230" s="2" t="s">
        <v>223</v>
      </c>
      <c r="AB230" s="39"/>
      <c r="AC230" s="29" t="str">
        <f t="shared" si="34"/>
        <v/>
      </c>
      <c r="AD230" s="40" t="str">
        <f t="shared" si="35"/>
        <v/>
      </c>
    </row>
    <row r="231" spans="1:30" ht="14.1" customHeight="1" x14ac:dyDescent="0.3">
      <c r="A231" s="3">
        <v>33</v>
      </c>
      <c r="B231" s="268"/>
      <c r="C231"/>
      <c r="D231"/>
      <c r="E231"/>
      <c r="F231"/>
      <c r="G231"/>
      <c r="I231" s="145" t="s">
        <v>254</v>
      </c>
      <c r="J231" s="317" t="str">
        <f t="shared" si="38"/>
        <v/>
      </c>
      <c r="K231" s="494" t="str">
        <f t="shared" si="37"/>
        <v/>
      </c>
      <c r="L231"/>
      <c r="M231" s="269"/>
      <c r="O231" s="13"/>
      <c r="P231" s="102" t="s">
        <v>172</v>
      </c>
      <c r="Q231" s="103"/>
      <c r="R231" s="104">
        <f>LEN(Q230)</f>
        <v>0</v>
      </c>
      <c r="S231" s="105"/>
      <c r="T231" s="105"/>
      <c r="U231" s="105"/>
      <c r="V231" s="105"/>
      <c r="W231" s="105"/>
      <c r="X231" s="105"/>
      <c r="Y231" s="14"/>
      <c r="AA231" s="2" t="s">
        <v>224</v>
      </c>
      <c r="AB231" s="39"/>
      <c r="AC231" s="29" t="str">
        <f t="shared" si="34"/>
        <v/>
      </c>
      <c r="AD231" s="40" t="str">
        <f t="shared" si="35"/>
        <v/>
      </c>
    </row>
    <row r="232" spans="1:30" ht="14.1" customHeight="1" thickBot="1" x14ac:dyDescent="0.35">
      <c r="A232" s="3">
        <v>34</v>
      </c>
      <c r="B232" s="268"/>
      <c r="C232"/>
      <c r="D232"/>
      <c r="E232"/>
      <c r="F232"/>
      <c r="G232"/>
      <c r="I232" s="145" t="s">
        <v>162</v>
      </c>
      <c r="J232" s="318" t="str">
        <f t="shared" si="38"/>
        <v/>
      </c>
      <c r="K232" s="318" t="str">
        <f t="shared" si="37"/>
        <v/>
      </c>
      <c r="L232"/>
      <c r="M232" s="269"/>
      <c r="O232" s="13"/>
      <c r="P232" s="2" t="s">
        <v>174</v>
      </c>
      <c r="Q232" s="107"/>
      <c r="R232" s="105"/>
      <c r="S232" s="105"/>
      <c r="T232" s="105"/>
      <c r="U232" s="105"/>
      <c r="V232" s="105"/>
      <c r="W232" s="105"/>
      <c r="X232" s="105"/>
      <c r="Y232" s="14"/>
      <c r="AA232" s="2" t="s">
        <v>226</v>
      </c>
      <c r="AB232" s="39"/>
      <c r="AC232" s="29" t="str">
        <f t="shared" si="34"/>
        <v/>
      </c>
      <c r="AD232" s="40" t="str">
        <f t="shared" si="35"/>
        <v/>
      </c>
    </row>
    <row r="233" spans="1:30" ht="14.1" customHeight="1" thickBot="1" x14ac:dyDescent="0.35">
      <c r="A233" s="3">
        <v>35</v>
      </c>
      <c r="B233" s="268"/>
      <c r="C233"/>
      <c r="D233"/>
      <c r="E233"/>
      <c r="F233"/>
      <c r="G233"/>
      <c r="H233"/>
      <c r="I233" s="47" t="str">
        <f>P313</f>
        <v>Criteria:</v>
      </c>
      <c r="J233" s="146" t="str">
        <f>Q313</f>
        <v>kVp coefficient of variation (std dev./mean) &lt;= 5%.</v>
      </c>
      <c r="K233"/>
      <c r="L233"/>
      <c r="M233" s="269"/>
      <c r="O233" s="21"/>
      <c r="P233" s="22"/>
      <c r="Q233" s="22"/>
      <c r="R233" s="22"/>
      <c r="S233" s="22"/>
      <c r="T233" s="22"/>
      <c r="U233" s="22"/>
      <c r="V233" s="22"/>
      <c r="W233" s="22"/>
      <c r="X233" s="22"/>
      <c r="Y233" s="23"/>
      <c r="AA233" s="2" t="s">
        <v>228</v>
      </c>
      <c r="AB233" s="39"/>
      <c r="AC233" s="29" t="str">
        <f t="shared" si="34"/>
        <v/>
      </c>
      <c r="AD233" s="40" t="str">
        <f t="shared" si="35"/>
        <v/>
      </c>
    </row>
    <row r="234" spans="1:30" ht="14.1" customHeight="1" x14ac:dyDescent="0.3">
      <c r="A234" s="3">
        <v>36</v>
      </c>
      <c r="B234" s="268"/>
      <c r="C234"/>
      <c r="D234"/>
      <c r="E234"/>
      <c r="F234"/>
      <c r="G234"/>
      <c r="H234"/>
      <c r="I234"/>
      <c r="J234"/>
      <c r="K234"/>
      <c r="L234"/>
      <c r="M234" s="269"/>
      <c r="O234" s="109" t="s">
        <v>258</v>
      </c>
      <c r="P234" s="7"/>
      <c r="Q234" s="7"/>
      <c r="R234" s="7"/>
      <c r="S234" s="7"/>
      <c r="T234" s="7"/>
      <c r="U234" s="7"/>
      <c r="V234" s="7"/>
      <c r="W234" s="7"/>
      <c r="X234" s="7"/>
      <c r="Y234" s="8"/>
      <c r="AA234" s="24" t="s">
        <v>255</v>
      </c>
      <c r="AB234"/>
      <c r="AC234"/>
      <c r="AD234"/>
    </row>
    <row r="235" spans="1:30" ht="14.1" customHeight="1" thickBot="1" x14ac:dyDescent="0.35">
      <c r="A235" s="3">
        <v>37</v>
      </c>
      <c r="B235" s="259"/>
      <c r="C235" s="281" t="s">
        <v>444</v>
      </c>
      <c r="M235" s="260"/>
      <c r="O235" s="13"/>
      <c r="S235" s="1" t="s">
        <v>260</v>
      </c>
      <c r="Y235" s="14"/>
      <c r="AA235" s="2" t="s">
        <v>256</v>
      </c>
      <c r="AB235" s="28"/>
      <c r="AC235" s="29" t="str">
        <f t="shared" ref="AC235:AC243" si="39">IF(AB235&lt;&gt;AD235,"Change","")</f>
        <v/>
      </c>
      <c r="AD235" s="30" t="str">
        <f>IF(Q133="","",Q133)</f>
        <v/>
      </c>
    </row>
    <row r="236" spans="1:30" ht="14.1" customHeight="1" thickBot="1" x14ac:dyDescent="0.35">
      <c r="A236" s="3">
        <v>38</v>
      </c>
      <c r="B236" s="268"/>
      <c r="D236"/>
      <c r="E236"/>
      <c r="F236"/>
      <c r="G236"/>
      <c r="H236"/>
      <c r="I236"/>
      <c r="J236"/>
      <c r="K236"/>
      <c r="L236"/>
      <c r="M236" s="269"/>
      <c r="O236" s="13"/>
      <c r="Q236" s="1" t="s">
        <v>148</v>
      </c>
      <c r="R236" s="1" t="s">
        <v>149</v>
      </c>
      <c r="S236" s="1" t="s">
        <v>150</v>
      </c>
      <c r="T236" s="1" t="s">
        <v>262</v>
      </c>
      <c r="U236" s="1" t="s">
        <v>6</v>
      </c>
      <c r="W236" s="130" t="s">
        <v>263</v>
      </c>
      <c r="X236"/>
      <c r="Y236" s="14"/>
      <c r="AA236" s="2" t="s">
        <v>257</v>
      </c>
      <c r="AB236" s="28"/>
      <c r="AC236" s="29" t="str">
        <f t="shared" si="39"/>
        <v/>
      </c>
      <c r="AD236" s="30" t="str">
        <f>IF(Q165="","",Q165)</f>
        <v/>
      </c>
    </row>
    <row r="237" spans="1:30" ht="14.1" customHeight="1" thickBot="1" x14ac:dyDescent="0.35">
      <c r="A237" s="3">
        <v>39</v>
      </c>
      <c r="B237" s="268"/>
      <c r="C237" s="312" t="s">
        <v>250</v>
      </c>
      <c r="D237" s="492" t="s">
        <v>149</v>
      </c>
      <c r="E237" s="492" t="s">
        <v>440</v>
      </c>
      <c r="F237"/>
      <c r="G237"/>
      <c r="H237"/>
      <c r="I237"/>
      <c r="J237"/>
      <c r="K237"/>
      <c r="L237"/>
      <c r="M237" s="269"/>
      <c r="O237" s="13"/>
      <c r="P237" s="147" t="s">
        <v>265</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f>IF(RTI_Scatter!B12="",0,RTI_Scatter!B12)</f>
        <v>0</v>
      </c>
      <c r="U237" s="96" t="str">
        <f>IF(AB146="","",AB146)</f>
        <v/>
      </c>
      <c r="W237" s="125" t="str">
        <f>IF(T237="NA","NA",IF(OR(S237="",T237=""),"TBD",IF(T237&lt;=2*S237,"YES","NO")))</f>
        <v>YES</v>
      </c>
      <c r="X237"/>
      <c r="Y237" s="14"/>
      <c r="AA237" s="2" t="s">
        <v>259</v>
      </c>
      <c r="AB237" s="28"/>
      <c r="AC237" s="29" t="str">
        <f t="shared" si="39"/>
        <v/>
      </c>
      <c r="AD237" s="30"/>
    </row>
    <row r="238" spans="1:30" ht="14.1" customHeight="1" x14ac:dyDescent="0.3">
      <c r="A238" s="3">
        <v>40</v>
      </c>
      <c r="B238" s="268"/>
      <c r="C238" s="313">
        <f>IF(V304="","",V304)</f>
        <v>80</v>
      </c>
      <c r="D238" s="140">
        <f t="shared" ref="D238:E238" si="40">IF(W304="","",W304)</f>
        <v>1</v>
      </c>
      <c r="E238" s="140" t="str">
        <f t="shared" si="40"/>
        <v/>
      </c>
      <c r="F238"/>
      <c r="G238"/>
      <c r="H238"/>
      <c r="I238"/>
      <c r="J238"/>
      <c r="K238"/>
      <c r="L238"/>
      <c r="M238" s="269"/>
      <c r="O238" s="13"/>
      <c r="P238"/>
      <c r="Q238"/>
      <c r="R238"/>
      <c r="S238" t="s">
        <v>267</v>
      </c>
      <c r="T238" t="s">
        <v>268</v>
      </c>
      <c r="U238" t="s">
        <v>267</v>
      </c>
      <c r="V238" t="s">
        <v>268</v>
      </c>
      <c r="Y238" s="14"/>
      <c r="AA238" s="2" t="s">
        <v>261</v>
      </c>
      <c r="AB238" s="28"/>
      <c r="AC238" s="29" t="str">
        <f t="shared" si="39"/>
        <v/>
      </c>
      <c r="AD238" s="30"/>
    </row>
    <row r="239" spans="1:30" ht="14.1" customHeight="1" thickBot="1" x14ac:dyDescent="0.35">
      <c r="A239" s="3">
        <v>41</v>
      </c>
      <c r="B239" s="268"/>
      <c r="C239"/>
      <c r="D239" s="140">
        <f t="shared" ref="D239:D242" si="41">IF(W305="","",W305)</f>
        <v>5</v>
      </c>
      <c r="E239" s="140" t="str">
        <f t="shared" ref="E239:E243" si="42">IF(X305="","",X305)</f>
        <v/>
      </c>
      <c r="F239"/>
      <c r="G239"/>
      <c r="H239"/>
      <c r="I239"/>
      <c r="J239"/>
      <c r="K239"/>
      <c r="L239"/>
      <c r="M239" s="269"/>
      <c r="O239" s="122"/>
      <c r="P239"/>
      <c r="Q239"/>
      <c r="R239"/>
      <c r="S239" t="s">
        <v>262</v>
      </c>
      <c r="T239" t="s">
        <v>262</v>
      </c>
      <c r="U239" t="s">
        <v>262</v>
      </c>
      <c r="V239" t="s">
        <v>262</v>
      </c>
      <c r="Y239" s="14"/>
      <c r="AA239" s="2" t="s">
        <v>264</v>
      </c>
      <c r="AB239" s="28"/>
      <c r="AC239" s="29" t="str">
        <f t="shared" si="39"/>
        <v/>
      </c>
      <c r="AD239" s="30"/>
    </row>
    <row r="240" spans="1:30" ht="14.1" customHeight="1" thickBot="1" x14ac:dyDescent="0.35">
      <c r="A240" s="3">
        <v>42</v>
      </c>
      <c r="B240" s="268"/>
      <c r="C240"/>
      <c r="D240" s="140">
        <f t="shared" si="41"/>
        <v>10</v>
      </c>
      <c r="E240" s="140" t="str">
        <f t="shared" si="42"/>
        <v/>
      </c>
      <c r="F240"/>
      <c r="G240"/>
      <c r="H240"/>
      <c r="I240"/>
      <c r="J240"/>
      <c r="K240"/>
      <c r="L240"/>
      <c r="M240" s="269"/>
      <c r="O240" s="546" t="s">
        <v>271</v>
      </c>
      <c r="P240" s="150" t="s">
        <v>272</v>
      </c>
      <c r="Q240" s="151">
        <f>IF(Q237="","",Q237)</f>
        <v>0</v>
      </c>
      <c r="R240" s="151">
        <f>IF(R237="","",R237)</f>
        <v>0</v>
      </c>
      <c r="S240" s="79" t="str">
        <f>IF(RTI_Scatter!B4="","",RTI_Scatter!B4)</f>
        <v/>
      </c>
      <c r="T240" s="79" t="str">
        <f>IF(RTI_Scatter!B8="","",RTI_Scatter!B8)</f>
        <v/>
      </c>
      <c r="U240" s="153" t="str">
        <f>IF(AB147="","",AB147)</f>
        <v/>
      </c>
      <c r="V240" s="154" t="str">
        <f>IF(AB149="","",AB149)</f>
        <v/>
      </c>
      <c r="Y240" s="14"/>
      <c r="AA240" s="2" t="s">
        <v>266</v>
      </c>
      <c r="AB240" s="28"/>
      <c r="AC240" s="29" t="str">
        <f t="shared" si="39"/>
        <v/>
      </c>
      <c r="AD240" s="30"/>
    </row>
    <row r="241" spans="1:30" ht="14.1" customHeight="1" thickBot="1" x14ac:dyDescent="0.35">
      <c r="A241" s="3">
        <v>43</v>
      </c>
      <c r="B241" s="268"/>
      <c r="C241"/>
      <c r="D241" s="140">
        <f t="shared" si="41"/>
        <v>15</v>
      </c>
      <c r="E241" s="140" t="str">
        <f t="shared" si="42"/>
        <v/>
      </c>
      <c r="F241"/>
      <c r="G241"/>
      <c r="H241"/>
      <c r="I241"/>
      <c r="J241"/>
      <c r="K241"/>
      <c r="L241"/>
      <c r="M241" s="269"/>
      <c r="O241" s="546"/>
      <c r="P241" s="155" t="s">
        <v>274</v>
      </c>
      <c r="Q241" s="156">
        <f>IF(Q237="","",Q237)</f>
        <v>0</v>
      </c>
      <c r="R241" s="156">
        <f>IF(R237="","",R237)</f>
        <v>0</v>
      </c>
      <c r="S241" s="88" t="str">
        <f>IF(RTI_Scatter!B5="","",RTI_Scatter!B5)</f>
        <v/>
      </c>
      <c r="T241" s="88" t="str">
        <f>IF(RTI_Scatter!B9="","",RTI_Scatter!B9)</f>
        <v/>
      </c>
      <c r="U241" s="158" t="str">
        <f>IF(AB148="","",AB148)</f>
        <v/>
      </c>
      <c r="V241" s="159" t="str">
        <f>IF(AB150="","",AB150)</f>
        <v/>
      </c>
      <c r="Y241" s="14"/>
      <c r="AA241" s="2" t="s">
        <v>269</v>
      </c>
      <c r="AB241" s="28"/>
      <c r="AC241" s="29" t="str">
        <f t="shared" si="39"/>
        <v/>
      </c>
      <c r="AD241" s="30"/>
    </row>
    <row r="242" spans="1:30" ht="14.1" customHeight="1" thickBot="1" x14ac:dyDescent="0.35">
      <c r="A242" s="3">
        <v>44</v>
      </c>
      <c r="B242" s="268"/>
      <c r="C242"/>
      <c r="D242" s="145" t="str">
        <f t="shared" si="41"/>
        <v>Coeff of Linearity:</v>
      </c>
      <c r="E242" s="493" t="str">
        <f t="shared" si="42"/>
        <v/>
      </c>
      <c r="F242"/>
      <c r="G242"/>
      <c r="H242"/>
      <c r="I242"/>
      <c r="J242"/>
      <c r="K242"/>
      <c r="L242"/>
      <c r="M242" s="269"/>
      <c r="O242" s="546" t="str">
        <f>IF($U$137=1,"Scatter - Pulse", "Scatter – Digital acq")</f>
        <v>Scatter - Pulse</v>
      </c>
      <c r="P242" s="150" t="s">
        <v>272</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3" t="str">
        <f>IF(AB152="","",AB152)</f>
        <v/>
      </c>
      <c r="V242" s="154" t="str">
        <f>IF(AB154="","",AB154)</f>
        <v/>
      </c>
      <c r="Y242" s="14"/>
      <c r="AA242" s="2" t="s">
        <v>270</v>
      </c>
      <c r="AB242" s="28"/>
      <c r="AC242" s="29" t="str">
        <f t="shared" si="39"/>
        <v/>
      </c>
      <c r="AD242" s="30"/>
    </row>
    <row r="243" spans="1:30" ht="14.1" customHeight="1" thickBot="1" x14ac:dyDescent="0.35">
      <c r="A243" s="3">
        <v>45</v>
      </c>
      <c r="B243" s="268"/>
      <c r="C243"/>
      <c r="D243" s="145" t="s">
        <v>162</v>
      </c>
      <c r="E243" s="319" t="str">
        <f t="shared" si="42"/>
        <v/>
      </c>
      <c r="F243"/>
      <c r="G243"/>
      <c r="H243"/>
      <c r="I243"/>
      <c r="J243"/>
      <c r="K243"/>
      <c r="L243"/>
      <c r="M243" s="269"/>
      <c r="O243" s="546"/>
      <c r="P243" s="155" t="s">
        <v>274</v>
      </c>
      <c r="Q243" s="156">
        <f>IF(Q242="","",Q242)</f>
        <v>0</v>
      </c>
      <c r="R243" s="156">
        <f>IF(R242="","",R242)</f>
        <v>0</v>
      </c>
      <c r="S243" s="88" t="str">
        <f>IF(RTI_Scatter!B7="","",RTI_Scatter!B7)</f>
        <v/>
      </c>
      <c r="T243" s="88" t="str">
        <f>IF(RTI_Scatter!B11="","",RTI_Scatter!B11)</f>
        <v/>
      </c>
      <c r="U243" s="158" t="str">
        <f>IF(AB153="","",AB153)</f>
        <v/>
      </c>
      <c r="V243" s="159" t="str">
        <f>IF(AB155="","",AB155)</f>
        <v/>
      </c>
      <c r="Y243" s="14"/>
      <c r="AA243" s="24" t="s">
        <v>273</v>
      </c>
      <c r="AB243" s="28"/>
      <c r="AC243" s="29" t="str">
        <f t="shared" si="39"/>
        <v/>
      </c>
      <c r="AD243" s="30" t="str">
        <f>IF(Q371="","",Q371)</f>
        <v/>
      </c>
    </row>
    <row r="244" spans="1:30" ht="14.1" customHeight="1" x14ac:dyDescent="0.3">
      <c r="A244" s="3">
        <v>46</v>
      </c>
      <c r="B244" s="268"/>
      <c r="C244" s="24" t="s">
        <v>168</v>
      </c>
      <c r="D244" s="146" t="s">
        <v>442</v>
      </c>
      <c r="E244"/>
      <c r="F244"/>
      <c r="G244"/>
      <c r="H244"/>
      <c r="I244"/>
      <c r="J244"/>
      <c r="K244"/>
      <c r="L244"/>
      <c r="M244" s="269"/>
      <c r="O244" s="13"/>
      <c r="P244" s="17" t="s">
        <v>275</v>
      </c>
      <c r="Y244" s="14"/>
      <c r="AB244" s="66"/>
      <c r="AC244"/>
      <c r="AD244" s="66"/>
    </row>
    <row r="245" spans="1:30" ht="14.1" customHeight="1" x14ac:dyDescent="0.3">
      <c r="A245" s="3">
        <v>47</v>
      </c>
      <c r="B245" s="268"/>
      <c r="C245"/>
      <c r="D245"/>
      <c r="E245"/>
      <c r="F245"/>
      <c r="G245"/>
      <c r="H245"/>
      <c r="I245"/>
      <c r="J245"/>
      <c r="K245"/>
      <c r="L245"/>
      <c r="M245" s="269"/>
      <c r="O245" s="13"/>
      <c r="P245" s="17" t="s">
        <v>276</v>
      </c>
      <c r="Y245" s="14"/>
      <c r="AB245" s="28"/>
      <c r="AC245" s="29" t="str">
        <f>IF(AB245&lt;&gt;AD245,"Change","")</f>
        <v/>
      </c>
      <c r="AD245" s="30" t="str">
        <f>IF(Q373="","",Q373)</f>
        <v/>
      </c>
    </row>
    <row r="246" spans="1:30" ht="14.1" customHeight="1" x14ac:dyDescent="0.3">
      <c r="A246" s="3">
        <v>48</v>
      </c>
      <c r="B246" s="268"/>
      <c r="C246"/>
      <c r="D246"/>
      <c r="E246"/>
      <c r="F246"/>
      <c r="G246"/>
      <c r="H246"/>
      <c r="I246"/>
      <c r="J246"/>
      <c r="K246"/>
      <c r="L246"/>
      <c r="M246" s="269"/>
      <c r="O246" s="13"/>
      <c r="P246" s="24" t="s">
        <v>168</v>
      </c>
      <c r="Q246" s="17" t="s">
        <v>277</v>
      </c>
      <c r="Y246" s="14"/>
      <c r="AB246" s="66"/>
      <c r="AC246"/>
      <c r="AD246" s="66"/>
    </row>
    <row r="247" spans="1:30" ht="14.1" customHeight="1" x14ac:dyDescent="0.3">
      <c r="A247" s="3">
        <v>49</v>
      </c>
      <c r="B247" s="268"/>
      <c r="C247"/>
      <c r="D247"/>
      <c r="E247"/>
      <c r="F247"/>
      <c r="G247"/>
      <c r="H247"/>
      <c r="I247"/>
      <c r="J247"/>
      <c r="K247"/>
      <c r="L247"/>
      <c r="M247" s="269"/>
      <c r="O247" s="13"/>
      <c r="P247" s="2" t="s">
        <v>171</v>
      </c>
      <c r="Q247" s="101" t="str">
        <f>IF(Q249&lt;&gt;"",Q249,IF(AB239="","",AB239))</f>
        <v/>
      </c>
      <c r="R247" s="62"/>
      <c r="S247" s="62"/>
      <c r="T247" s="62"/>
      <c r="U247" s="62"/>
      <c r="V247" s="62"/>
      <c r="W247" s="62"/>
      <c r="X247" s="62"/>
      <c r="Y247" s="14"/>
      <c r="AB247" s="28"/>
      <c r="AC247" s="29" t="str">
        <f>IF(AB247&lt;&gt;AD247,"Change","")</f>
        <v/>
      </c>
      <c r="AD247" s="30" t="str">
        <f>IF(Q375="","",Q375)</f>
        <v/>
      </c>
    </row>
    <row r="248" spans="1:30" ht="14.1" customHeight="1" x14ac:dyDescent="0.3">
      <c r="A248" s="3">
        <v>50</v>
      </c>
      <c r="B248" s="268"/>
      <c r="C248"/>
      <c r="D248"/>
      <c r="E248"/>
      <c r="F248"/>
      <c r="G248"/>
      <c r="H248"/>
      <c r="I248"/>
      <c r="J248"/>
      <c r="K248"/>
      <c r="L248"/>
      <c r="M248" s="269"/>
      <c r="O248" s="13"/>
      <c r="P248" s="102" t="s">
        <v>172</v>
      </c>
      <c r="Q248" s="103"/>
      <c r="R248" s="104">
        <f>LEN(Q247)</f>
        <v>0</v>
      </c>
      <c r="S248" s="105"/>
      <c r="T248" s="105"/>
      <c r="U248" s="105"/>
      <c r="V248" s="105"/>
      <c r="W248" s="105"/>
      <c r="X248" s="105"/>
      <c r="Y248" s="14"/>
      <c r="AB248" s="66"/>
      <c r="AD248" s="66"/>
    </row>
    <row r="249" spans="1:30" ht="14.1" customHeight="1" x14ac:dyDescent="0.3">
      <c r="A249" s="3">
        <v>51</v>
      </c>
      <c r="B249" s="268"/>
      <c r="C249"/>
      <c r="D249"/>
      <c r="E249"/>
      <c r="F249"/>
      <c r="G249"/>
      <c r="H249"/>
      <c r="I249"/>
      <c r="J249"/>
      <c r="K249"/>
      <c r="L249"/>
      <c r="M249" s="269"/>
      <c r="O249" s="13"/>
      <c r="P249" s="2" t="s">
        <v>174</v>
      </c>
      <c r="Q249" s="107"/>
      <c r="R249" s="105"/>
      <c r="S249" s="105"/>
      <c r="T249" s="105"/>
      <c r="U249" s="105"/>
      <c r="V249" s="105"/>
      <c r="W249" s="105"/>
      <c r="X249" s="105"/>
      <c r="Y249" s="14"/>
      <c r="AB249" s="28"/>
      <c r="AC249" s="29" t="str">
        <f>IF(AB249&lt;&gt;AD249,"Change","")</f>
        <v/>
      </c>
      <c r="AD249" s="30" t="str">
        <f>IF(Q377="","",Q377)</f>
        <v/>
      </c>
    </row>
    <row r="250" spans="1:30" ht="14.1" customHeight="1" thickBot="1" x14ac:dyDescent="0.35">
      <c r="A250" s="3">
        <v>52</v>
      </c>
      <c r="B250" s="268"/>
      <c r="C250"/>
      <c r="D250"/>
      <c r="E250"/>
      <c r="F250"/>
      <c r="G250"/>
      <c r="H250"/>
      <c r="I250"/>
      <c r="J250"/>
      <c r="K250"/>
      <c r="L250"/>
      <c r="M250" s="269"/>
      <c r="O250" s="21"/>
      <c r="P250" s="22"/>
      <c r="Q250" s="22"/>
      <c r="R250" s="22"/>
      <c r="S250" s="22"/>
      <c r="T250" s="22"/>
      <c r="U250" s="22"/>
      <c r="V250" s="22"/>
      <c r="W250" s="22"/>
      <c r="X250" s="22"/>
      <c r="Y250" s="23"/>
      <c r="AB250" s="66"/>
      <c r="AD250" s="66"/>
    </row>
    <row r="251" spans="1:30" ht="14.1" customHeight="1" x14ac:dyDescent="0.3">
      <c r="A251" s="3">
        <v>53</v>
      </c>
      <c r="B251" s="268"/>
      <c r="C251"/>
      <c r="D251"/>
      <c r="E251"/>
      <c r="F251"/>
      <c r="G251"/>
      <c r="H251"/>
      <c r="I251"/>
      <c r="J251"/>
      <c r="K251"/>
      <c r="L251"/>
      <c r="M251" s="269"/>
      <c r="O251" s="109" t="s">
        <v>278</v>
      </c>
      <c r="P251" s="7"/>
      <c r="Q251" s="7"/>
      <c r="R251" s="7"/>
      <c r="S251" s="7"/>
      <c r="T251" s="7"/>
      <c r="U251" s="7"/>
      <c r="V251" s="7"/>
      <c r="W251" s="7"/>
      <c r="X251" s="7"/>
      <c r="Y251" s="8"/>
      <c r="AB251" s="28"/>
      <c r="AC251" s="29" t="str">
        <f>IF(AB251&lt;&gt;AD251,"Change","")</f>
        <v/>
      </c>
      <c r="AD251" s="30" t="str">
        <f>IF(Q379="","",Q379)</f>
        <v/>
      </c>
    </row>
    <row r="252" spans="1:30" ht="14.1" customHeight="1" x14ac:dyDescent="0.3">
      <c r="A252" s="3">
        <v>54</v>
      </c>
      <c r="B252" s="268"/>
      <c r="C252"/>
      <c r="D252"/>
      <c r="E252"/>
      <c r="F252"/>
      <c r="G252"/>
      <c r="H252"/>
      <c r="I252"/>
      <c r="J252"/>
      <c r="K252"/>
      <c r="L252"/>
      <c r="M252" s="269"/>
      <c r="O252" s="160">
        <v>30</v>
      </c>
      <c r="P252" s="17" t="s">
        <v>279</v>
      </c>
      <c r="Q252" s="161"/>
      <c r="R252" s="161"/>
      <c r="S252" s="459"/>
      <c r="T252" s="17" t="s">
        <v>280</v>
      </c>
      <c r="U252" s="161"/>
      <c r="V252" s="161"/>
      <c r="W252" s="161"/>
      <c r="X252" s="161"/>
      <c r="Y252" s="162"/>
      <c r="AB252" s="66"/>
      <c r="AD252" s="66"/>
    </row>
    <row r="253" spans="1:30" ht="14.1" customHeight="1" x14ac:dyDescent="0.3">
      <c r="A253" s="3">
        <v>55</v>
      </c>
      <c r="B253" s="268"/>
      <c r="C253"/>
      <c r="D253"/>
      <c r="E253"/>
      <c r="F253"/>
      <c r="G253"/>
      <c r="H253"/>
      <c r="I253"/>
      <c r="J253"/>
      <c r="K253"/>
      <c r="L253"/>
      <c r="M253" s="269"/>
      <c r="O253" s="160">
        <v>30</v>
      </c>
      <c r="P253" s="17" t="s">
        <v>281</v>
      </c>
      <c r="Q253" s="161"/>
      <c r="R253" s="161"/>
      <c r="S253" s="460"/>
      <c r="T253" s="1" t="s">
        <v>282</v>
      </c>
      <c r="U253" s="161"/>
      <c r="V253" s="161"/>
      <c r="W253" s="161"/>
      <c r="X253" s="161"/>
      <c r="Y253" s="162"/>
      <c r="AB253" s="28"/>
      <c r="AC253" s="29" t="str">
        <f>IF(AB253&lt;&gt;AD253,"Change","")</f>
        <v/>
      </c>
      <c r="AD253" s="30" t="str">
        <f>IF(Q381="","",Q381)</f>
        <v/>
      </c>
    </row>
    <row r="254" spans="1:30" ht="14.1" customHeight="1" x14ac:dyDescent="0.3">
      <c r="A254" s="3">
        <v>56</v>
      </c>
      <c r="B254" s="268"/>
      <c r="C254"/>
      <c r="D254"/>
      <c r="E254"/>
      <c r="F254"/>
      <c r="G254"/>
      <c r="H254"/>
      <c r="I254"/>
      <c r="J254"/>
      <c r="K254"/>
      <c r="L254"/>
      <c r="M254" s="269"/>
      <c r="O254" s="163">
        <f>IF(OR(O252=0,O253=0),"",(O252/O253)^2)</f>
        <v>1</v>
      </c>
      <c r="P254" s="17" t="s">
        <v>283</v>
      </c>
      <c r="Q254" s="161"/>
      <c r="R254" s="161"/>
      <c r="S254" s="460"/>
      <c r="T254" s="1" t="s">
        <v>284</v>
      </c>
      <c r="U254" s="161"/>
      <c r="V254" s="161"/>
      <c r="W254" s="161"/>
      <c r="X254" s="161"/>
      <c r="Y254" s="162"/>
      <c r="AB254" s="66"/>
      <c r="AD254" s="66"/>
    </row>
    <row r="255" spans="1:30" ht="14.1" customHeight="1" x14ac:dyDescent="0.3">
      <c r="A255" s="3">
        <v>57</v>
      </c>
      <c r="B255" s="268"/>
      <c r="C255"/>
      <c r="D255"/>
      <c r="E255"/>
      <c r="F255"/>
      <c r="G255"/>
      <c r="H255"/>
      <c r="I255"/>
      <c r="J255"/>
      <c r="K255"/>
      <c r="L255"/>
      <c r="M255" s="269"/>
      <c r="O255" s="160">
        <v>1</v>
      </c>
      <c r="P255" s="17" t="s">
        <v>285</v>
      </c>
      <c r="Q255"/>
      <c r="R255"/>
      <c r="S255"/>
      <c r="T255"/>
      <c r="U255"/>
      <c r="V255"/>
      <c r="X255"/>
      <c r="Y255" s="14"/>
      <c r="AB255" s="28"/>
      <c r="AC255" s="29" t="str">
        <f>IF(AB255&lt;&gt;AD255,"Change","")</f>
        <v/>
      </c>
      <c r="AD255" s="30" t="str">
        <f>IF(Q383="","",Q383)</f>
        <v/>
      </c>
    </row>
    <row r="256" spans="1:30" ht="14.1" customHeight="1" x14ac:dyDescent="0.3">
      <c r="A256" s="3">
        <v>58</v>
      </c>
      <c r="B256" s="268"/>
      <c r="C256"/>
      <c r="D256"/>
      <c r="E256"/>
      <c r="F256"/>
      <c r="G256"/>
      <c r="H256"/>
      <c r="I256"/>
      <c r="J256"/>
      <c r="K256"/>
      <c r="L256"/>
      <c r="M256" s="269"/>
      <c r="O256" s="13"/>
      <c r="Q256" s="1" t="s">
        <v>286</v>
      </c>
      <c r="R256" s="1" t="s">
        <v>287</v>
      </c>
      <c r="T256" s="1" t="s">
        <v>288</v>
      </c>
      <c r="U256" s="1" t="s">
        <v>289</v>
      </c>
      <c r="W256" s="1" t="s">
        <v>243</v>
      </c>
      <c r="X256" s="1" t="s">
        <v>244</v>
      </c>
      <c r="Y256" s="164"/>
      <c r="AB256" s="66"/>
      <c r="AD256" s="66"/>
    </row>
    <row r="257" spans="1:30" ht="14.1" customHeight="1" thickBot="1" x14ac:dyDescent="0.35">
      <c r="A257" s="3">
        <v>59</v>
      </c>
      <c r="B257" s="268"/>
      <c r="C257"/>
      <c r="D257"/>
      <c r="E257"/>
      <c r="F257"/>
      <c r="G257"/>
      <c r="H257"/>
      <c r="I257"/>
      <c r="J257"/>
      <c r="K257"/>
      <c r="L257"/>
      <c r="M257" s="269"/>
      <c r="O257" s="13" t="s">
        <v>208</v>
      </c>
      <c r="P257" s="1" t="s">
        <v>149</v>
      </c>
      <c r="Q257" s="547" t="s">
        <v>399</v>
      </c>
      <c r="R257" s="547"/>
      <c r="S257" s="1" t="s">
        <v>291</v>
      </c>
      <c r="T257" s="547" t="s">
        <v>292</v>
      </c>
      <c r="U257" s="547"/>
      <c r="V257" s="1" t="s">
        <v>293</v>
      </c>
      <c r="W257" s="1" t="s">
        <v>150</v>
      </c>
      <c r="X257" s="1" t="s">
        <v>150</v>
      </c>
      <c r="Y257" s="164"/>
      <c r="AB257" s="28"/>
      <c r="AC257" s="29" t="str">
        <f>IF(AB257&lt;&gt;AD257,"Change","")</f>
        <v/>
      </c>
      <c r="AD257" s="30" t="str">
        <f>IF(Q385="","",Q385)</f>
        <v/>
      </c>
    </row>
    <row r="258" spans="1:30" ht="14.1" customHeight="1" x14ac:dyDescent="0.3">
      <c r="A258" s="3">
        <v>60</v>
      </c>
      <c r="B258" s="268"/>
      <c r="C258"/>
      <c r="D258"/>
      <c r="E258"/>
      <c r="F258"/>
      <c r="G258"/>
      <c r="H258"/>
      <c r="I258"/>
      <c r="J258"/>
      <c r="K258"/>
      <c r="L258"/>
      <c r="M258" s="269"/>
      <c r="O258" s="169">
        <f>IF(RTI_AKAccuracy!A5="","",RTI_AKAccuracy!A5)</f>
        <v>60</v>
      </c>
      <c r="P258" s="152" t="str">
        <f>IF(RTI_AKAccuracy!B5="","",RTI_AKAccuracy!B5)</f>
        <v/>
      </c>
      <c r="Q258" s="169" t="str">
        <f>IF(RTI_AKAccuracy!H5="","",RTI_AKAccuracy!H5)</f>
        <v/>
      </c>
      <c r="R258" s="152" t="str">
        <f>IF(RTI_AKAccuracy!I5="","",RTI_AKAccuracy!I5)</f>
        <v/>
      </c>
      <c r="S258" s="165" t="str">
        <f t="shared" ref="S258:S265" si="43">IF(OR(Q258="",R258=""),"",R258-Q258)</f>
        <v/>
      </c>
      <c r="T258" s="152"/>
      <c r="U258" s="152"/>
      <c r="V258" s="165" t="str">
        <f t="shared" ref="V258:V265" si="44">IF(OR(T258="",U258=""),"",U258-T258)</f>
        <v/>
      </c>
      <c r="W258" s="169" t="str">
        <f>IF(RTI_AKAccuracy!C5="","",RTI_AKAccuracy!C5)</f>
        <v/>
      </c>
      <c r="X258" s="165" t="str">
        <f>IF(RTI_AKAccuracy!D5="","",RTI_AKAccuracy!D5)</f>
        <v/>
      </c>
      <c r="Y258" s="164"/>
      <c r="AB258" s="66"/>
      <c r="AD258" s="17"/>
    </row>
    <row r="259" spans="1:30" ht="14.1" customHeight="1" x14ac:dyDescent="0.3">
      <c r="A259" s="3">
        <v>61</v>
      </c>
      <c r="B259" s="268"/>
      <c r="C259"/>
      <c r="D259"/>
      <c r="E259"/>
      <c r="F259"/>
      <c r="G259"/>
      <c r="H259"/>
      <c r="I259"/>
      <c r="J259"/>
      <c r="K259"/>
      <c r="L259"/>
      <c r="M259" s="269"/>
      <c r="O259" s="170">
        <f>IF(RTI_AKAccuracy!A6="","",RTI_AKAccuracy!A6)</f>
        <v>80</v>
      </c>
      <c r="P259" s="121" t="str">
        <f>IF(RTI_AKAccuracy!B6="","",RTI_AKAccuracy!B6)</f>
        <v/>
      </c>
      <c r="Q259" s="170" t="str">
        <f>IF(RTI_AKAccuracy!H6="","",RTI_AKAccuracy!H6)</f>
        <v/>
      </c>
      <c r="R259" s="121" t="str">
        <f>IF(RTI_AKAccuracy!I6="","",RTI_AKAccuracy!I6)</f>
        <v/>
      </c>
      <c r="S259" s="166" t="str">
        <f t="shared" ref="S259:S261" si="45">IF(OR(Q259="",R259=""),"",R259-Q259)</f>
        <v/>
      </c>
      <c r="T259" s="121"/>
      <c r="U259" s="121"/>
      <c r="V259" s="166" t="str">
        <f t="shared" si="44"/>
        <v/>
      </c>
      <c r="W259" s="170" t="str">
        <f>IF(RTI_AKAccuracy!C6="","",RTI_AKAccuracy!C6)</f>
        <v/>
      </c>
      <c r="X259" s="166" t="str">
        <f>IF(RTI_AKAccuracy!D6="","",RTI_AKAccuracy!D6)</f>
        <v/>
      </c>
      <c r="Y259" s="164"/>
      <c r="AB259" s="28"/>
      <c r="AC259" s="29" t="str">
        <f>IF(AB259&lt;&gt;AD259,"Change","")</f>
        <v/>
      </c>
      <c r="AD259" s="30" t="str">
        <f>IF(Q387="","",Q387)</f>
        <v/>
      </c>
    </row>
    <row r="260" spans="1:30" ht="14.1" customHeight="1" x14ac:dyDescent="0.3">
      <c r="A260" s="3">
        <v>62</v>
      </c>
      <c r="B260" s="268"/>
      <c r="C260"/>
      <c r="D260"/>
      <c r="E260"/>
      <c r="F260"/>
      <c r="G260"/>
      <c r="H260"/>
      <c r="I260"/>
      <c r="J260"/>
      <c r="K260"/>
      <c r="L260"/>
      <c r="M260" s="269"/>
      <c r="O260" s="170">
        <f>IF(RTI_AKAccuracy!A7="","",RTI_AKAccuracy!A7)</f>
        <v>100</v>
      </c>
      <c r="P260" s="121" t="str">
        <f>IF(RTI_AKAccuracy!B7="","",RTI_AKAccuracy!B7)</f>
        <v/>
      </c>
      <c r="Q260" s="170" t="str">
        <f>IF(RTI_AKAccuracy!H7="","",RTI_AKAccuracy!H7)</f>
        <v/>
      </c>
      <c r="R260" s="121" t="str">
        <f>IF(RTI_AKAccuracy!I7="","",RTI_AKAccuracy!I7)</f>
        <v/>
      </c>
      <c r="S260" s="166" t="str">
        <f t="shared" si="45"/>
        <v/>
      </c>
      <c r="T260" s="121"/>
      <c r="U260" s="121"/>
      <c r="V260" s="166" t="str">
        <f t="shared" si="44"/>
        <v/>
      </c>
      <c r="W260" s="170" t="str">
        <f>IF(RTI_AKAccuracy!C7="","",RTI_AKAccuracy!C7)</f>
        <v/>
      </c>
      <c r="X260" s="166" t="str">
        <f>IF(RTI_AKAccuracy!D7="","",RTI_AKAccuracy!D7)</f>
        <v/>
      </c>
      <c r="Y260" s="164"/>
      <c r="AB260" s="66"/>
      <c r="AD260" s="66"/>
    </row>
    <row r="261" spans="1:30" ht="14.1" customHeight="1" x14ac:dyDescent="0.3">
      <c r="A261" s="3">
        <v>63</v>
      </c>
      <c r="B261" s="268"/>
      <c r="C261"/>
      <c r="D261"/>
      <c r="E261"/>
      <c r="F261"/>
      <c r="G261"/>
      <c r="H261"/>
      <c r="I261"/>
      <c r="J261"/>
      <c r="K261"/>
      <c r="L261"/>
      <c r="M261" s="269"/>
      <c r="O261" s="170">
        <f>IF(RTI_AKAccuracy!A8="","",RTI_AKAccuracy!A8)</f>
        <v>120</v>
      </c>
      <c r="P261" s="121" t="str">
        <f>IF(RTI_AKAccuracy!B8="","",RTI_AKAccuracy!B8)</f>
        <v/>
      </c>
      <c r="Q261" s="170" t="str">
        <f>IF(RTI_AKAccuracy!H8="","",RTI_AKAccuracy!H8)</f>
        <v/>
      </c>
      <c r="R261" s="121" t="str">
        <f>IF(RTI_AKAccuracy!I8="","",RTI_AKAccuracy!I8)</f>
        <v/>
      </c>
      <c r="S261" s="166" t="str">
        <f t="shared" si="45"/>
        <v/>
      </c>
      <c r="T261" s="121"/>
      <c r="U261" s="121"/>
      <c r="V261" s="166" t="str">
        <f t="shared" si="44"/>
        <v/>
      </c>
      <c r="W261" s="170" t="str">
        <f>IF(RTI_AKAccuracy!C8="","",RTI_AKAccuracy!C8)</f>
        <v/>
      </c>
      <c r="X261" s="166" t="str">
        <f>IF(RTI_AKAccuracy!D8="","",RTI_AKAccuracy!D8)</f>
        <v/>
      </c>
      <c r="Y261" s="164"/>
      <c r="AB261" s="28"/>
      <c r="AC261" s="29" t="str">
        <f>IF(AB261&lt;&gt;AD261,"Change","")</f>
        <v/>
      </c>
      <c r="AD261" s="30" t="str">
        <f>IF(Q389="","",Q389)</f>
        <v/>
      </c>
    </row>
    <row r="262" spans="1:30" ht="14.1" customHeight="1" thickBot="1" x14ac:dyDescent="0.35">
      <c r="A262" s="3">
        <v>64</v>
      </c>
      <c r="B262" s="270"/>
      <c r="C262" s="271"/>
      <c r="D262" s="271"/>
      <c r="E262" s="271"/>
      <c r="F262" s="271"/>
      <c r="G262" s="271"/>
      <c r="H262" s="271"/>
      <c r="I262" s="271"/>
      <c r="J262" s="271"/>
      <c r="K262" s="271"/>
      <c r="L262" s="271"/>
      <c r="M262" s="272"/>
      <c r="O262" s="82"/>
      <c r="P262" s="83"/>
      <c r="Q262" s="82"/>
      <c r="R262" s="83"/>
      <c r="S262" s="166" t="str">
        <f t="shared" si="43"/>
        <v/>
      </c>
      <c r="T262" s="83"/>
      <c r="U262" s="83"/>
      <c r="V262" s="166" t="str">
        <f t="shared" si="44"/>
        <v/>
      </c>
      <c r="W262" s="82"/>
      <c r="X262" s="84"/>
      <c r="Y262" s="164"/>
      <c r="AB262" s="66"/>
      <c r="AD262" s="66"/>
    </row>
    <row r="263" spans="1:30" ht="14.1" customHeight="1" thickTop="1" x14ac:dyDescent="0.3">
      <c r="A263" s="3">
        <v>65</v>
      </c>
      <c r="B263"/>
      <c r="C263" s="2" t="s">
        <v>8</v>
      </c>
      <c r="D263" s="437" t="str">
        <f>IF($P$7="","",$P$7)</f>
        <v/>
      </c>
      <c r="L263" s="2" t="s">
        <v>9</v>
      </c>
      <c r="M263" s="62" t="str">
        <f>IF($X$7="","",$X$7)</f>
        <v>Eugene Mah</v>
      </c>
      <c r="O263" s="82"/>
      <c r="P263" s="83"/>
      <c r="Q263" s="82"/>
      <c r="R263" s="83"/>
      <c r="S263" s="166" t="str">
        <f t="shared" si="43"/>
        <v/>
      </c>
      <c r="T263" s="83"/>
      <c r="U263" s="83"/>
      <c r="V263" s="166" t="str">
        <f t="shared" si="44"/>
        <v/>
      </c>
      <c r="W263" s="82"/>
      <c r="X263" s="84"/>
      <c r="Y263" s="164"/>
      <c r="AB263" s="28"/>
      <c r="AC263" s="29" t="str">
        <f>IF(AB263&lt;&gt;AD263,"Change","")</f>
        <v/>
      </c>
      <c r="AD263" s="30" t="str">
        <f>IF(Q391="","",Q391)</f>
        <v/>
      </c>
    </row>
    <row r="264" spans="1:30" ht="14.1" customHeight="1" x14ac:dyDescent="0.3">
      <c r="A264" s="3">
        <v>66</v>
      </c>
      <c r="B264"/>
      <c r="C264" s="2" t="s">
        <v>74</v>
      </c>
      <c r="D264" s="63" t="str">
        <f>IF($R$14="","",$R$14&amp;" Tube "&amp;$W$48)</f>
        <v/>
      </c>
      <c r="L264" s="2" t="s">
        <v>23</v>
      </c>
      <c r="M264" s="64" t="str">
        <f>IF($R$13="","",$R$13)</f>
        <v/>
      </c>
      <c r="O264" s="82"/>
      <c r="P264" s="83"/>
      <c r="Q264" s="82"/>
      <c r="R264" s="83"/>
      <c r="S264" s="166" t="str">
        <f t="shared" si="43"/>
        <v/>
      </c>
      <c r="T264" s="83"/>
      <c r="U264" s="83"/>
      <c r="V264" s="166" t="str">
        <f t="shared" si="44"/>
        <v/>
      </c>
      <c r="W264" s="82"/>
      <c r="X264" s="84"/>
      <c r="Y264" s="164"/>
      <c r="AB264" s="66"/>
      <c r="AD264" s="66"/>
    </row>
    <row r="265" spans="1:30" ht="14.1" customHeight="1" thickBot="1" x14ac:dyDescent="0.35">
      <c r="A265" s="3">
        <v>1</v>
      </c>
      <c r="M265" s="65" t="str">
        <f>$H$2</f>
        <v>Medical University of South Carolina</v>
      </c>
      <c r="O265" s="87"/>
      <c r="P265" s="88"/>
      <c r="Q265" s="87"/>
      <c r="R265" s="88"/>
      <c r="S265" s="167" t="str">
        <f t="shared" si="43"/>
        <v/>
      </c>
      <c r="T265" s="88"/>
      <c r="U265" s="88"/>
      <c r="V265" s="167" t="str">
        <f t="shared" si="44"/>
        <v/>
      </c>
      <c r="W265" s="87"/>
      <c r="X265" s="89"/>
      <c r="Y265" s="164"/>
      <c r="AB265" s="28"/>
      <c r="AC265" s="29" t="str">
        <f>IF(AB265&lt;&gt;AD265,"Change","")</f>
        <v/>
      </c>
      <c r="AD265" s="30" t="str">
        <f>IF(Q393="","",Q393)</f>
        <v/>
      </c>
    </row>
    <row r="266" spans="1:30" ht="14.1" customHeight="1" thickBot="1" x14ac:dyDescent="0.35">
      <c r="A266" s="3">
        <v>2</v>
      </c>
      <c r="H266" s="31" t="str">
        <f>$H$68</f>
        <v>Inspection Results</v>
      </c>
      <c r="M266" s="24" t="str">
        <f>$H$5</f>
        <v>Fluoroscopy System Compliance Inspection</v>
      </c>
      <c r="O266" s="198" t="s">
        <v>487</v>
      </c>
      <c r="P266"/>
      <c r="Q266" s="2" t="s">
        <v>417</v>
      </c>
      <c r="R266" s="503" t="str">
        <f>V100</f>
        <v>Piranha 1 CB2-17090320</v>
      </c>
      <c r="T266" s="2" t="s">
        <v>294</v>
      </c>
      <c r="U266" s="504" t="str">
        <f>V101</f>
        <v/>
      </c>
      <c r="W266" s="2" t="s">
        <v>418</v>
      </c>
      <c r="X266" s="504" t="str">
        <f>V102</f>
        <v/>
      </c>
      <c r="Y266" s="14"/>
      <c r="AB266" s="66"/>
      <c r="AD266" s="66"/>
    </row>
    <row r="267" spans="1:30" ht="14.1" customHeight="1" thickTop="1" thickBot="1" x14ac:dyDescent="0.35">
      <c r="A267" s="3">
        <v>3</v>
      </c>
      <c r="B267" s="256"/>
      <c r="C267" s="277" t="str">
        <f>$O$105</f>
        <v>Patient Entrance Exposure Rate (Pulse Fluoroscopy)</v>
      </c>
      <c r="D267" s="257"/>
      <c r="E267" s="257"/>
      <c r="F267" s="257"/>
      <c r="G267" s="257"/>
      <c r="H267" s="445" t="s">
        <v>417</v>
      </c>
      <c r="I267" s="446" t="str">
        <f>IF(V100="","",V100)</f>
        <v>Piranha 1 CB2-17090320</v>
      </c>
      <c r="J267" s="445" t="s">
        <v>294</v>
      </c>
      <c r="K267" s="449" t="str">
        <f>IF(V101="","",V101)</f>
        <v/>
      </c>
      <c r="L267" s="445" t="s">
        <v>418</v>
      </c>
      <c r="M267" s="450" t="str">
        <f>IF(V102="","",V102)</f>
        <v/>
      </c>
      <c r="O267" s="13" t="s">
        <v>208</v>
      </c>
      <c r="P267" s="1" t="s">
        <v>149</v>
      </c>
      <c r="Q267" s="1" t="s">
        <v>292</v>
      </c>
      <c r="R267" s="1" t="s">
        <v>488</v>
      </c>
      <c r="S267" s="1" t="str">
        <f>Q257</f>
        <v>mGy·cm²</v>
      </c>
      <c r="T267" s="1" t="s">
        <v>491</v>
      </c>
      <c r="U267"/>
      <c r="V267"/>
      <c r="W267"/>
      <c r="X267"/>
      <c r="Y267" s="14"/>
      <c r="AB267" s="28"/>
      <c r="AC267" s="29" t="str">
        <f>IF(AB267&lt;&gt;AD267,"Change","")</f>
        <v/>
      </c>
      <c r="AD267" s="30" t="str">
        <f>IF(Q395="","",Q395)</f>
        <v/>
      </c>
    </row>
    <row r="268" spans="1:30" ht="14.1" customHeight="1" x14ac:dyDescent="0.3">
      <c r="A268" s="3">
        <v>4</v>
      </c>
      <c r="B268" s="259"/>
      <c r="C268" s="321" t="str">
        <f t="shared" ref="C268:D270" si="46">O106</f>
        <v>Image</v>
      </c>
      <c r="D268" s="322" t="str">
        <f t="shared" si="46"/>
        <v>Acrylic</v>
      </c>
      <c r="E268"/>
      <c r="F268"/>
      <c r="G268"/>
      <c r="H268"/>
      <c r="I268"/>
      <c r="J268"/>
      <c r="K268"/>
      <c r="L268"/>
      <c r="M268" s="269"/>
      <c r="O268" s="169">
        <f t="shared" ref="O268:P275" si="47">IF(O258="","",O258)</f>
        <v>60</v>
      </c>
      <c r="P268" s="152" t="str">
        <f t="shared" si="47"/>
        <v/>
      </c>
      <c r="Q268" s="152"/>
      <c r="R268" s="152"/>
      <c r="S268" s="152" t="str">
        <f>IF(RTI_AKAccuracy!K5="","",RTI_AKAccuracy!K5)</f>
        <v/>
      </c>
      <c r="T268" s="165" t="str">
        <f>IF(RTI_AKAccuracy!L5="","",RTI_AKAccuracy!L5)</f>
        <v/>
      </c>
      <c r="U268"/>
      <c r="V268"/>
      <c r="W268"/>
      <c r="X268"/>
      <c r="Y268" s="14"/>
      <c r="AB268" s="66"/>
      <c r="AD268" s="66"/>
    </row>
    <row r="269" spans="1:30" ht="14.1" customHeight="1" x14ac:dyDescent="0.3">
      <c r="A269" s="3">
        <v>5</v>
      </c>
      <c r="B269" s="259"/>
      <c r="C269" s="321" t="str">
        <f t="shared" si="46"/>
        <v>Mode</v>
      </c>
      <c r="D269" s="322" t="str">
        <f t="shared" si="46"/>
        <v>Attenuator</v>
      </c>
      <c r="E269" s="538" t="str">
        <f>Q107</f>
        <v>Auto 1</v>
      </c>
      <c r="F269" s="539"/>
      <c r="G269" s="539"/>
      <c r="H269" s="539" t="str">
        <f>T107</f>
        <v/>
      </c>
      <c r="I269" s="539"/>
      <c r="J269" s="539"/>
      <c r="K269" s="540" t="str">
        <f>W107</f>
        <v xml:space="preserve">Auto </v>
      </c>
      <c r="L269" s="540"/>
      <c r="M269" s="541"/>
      <c r="O269" s="170">
        <f t="shared" si="47"/>
        <v>80</v>
      </c>
      <c r="P269" s="121" t="str">
        <f t="shared" si="47"/>
        <v/>
      </c>
      <c r="Q269" s="121"/>
      <c r="R269" s="121"/>
      <c r="S269" s="121" t="str">
        <f>IF(RTI_AKAccuracy!K6="","",RTI_AKAccuracy!K6)</f>
        <v/>
      </c>
      <c r="T269" s="166" t="str">
        <f>IF(RTI_AKAccuracy!L6="","",RTI_AKAccuracy!L6)</f>
        <v/>
      </c>
      <c r="U269"/>
      <c r="V269"/>
      <c r="W269"/>
      <c r="X269"/>
      <c r="Y269" s="14"/>
      <c r="AB269" s="28"/>
      <c r="AC269" s="29" t="str">
        <f>IF(AB269&lt;&gt;AD269,"Change","")</f>
        <v/>
      </c>
      <c r="AD269" s="30" t="str">
        <f>IF(Q397="","",Q397)</f>
        <v/>
      </c>
    </row>
    <row r="270" spans="1:30" ht="14.1" customHeight="1" thickBot="1" x14ac:dyDescent="0.35">
      <c r="A270" s="3">
        <v>6</v>
      </c>
      <c r="B270" s="259"/>
      <c r="C270" s="321" t="str">
        <f t="shared" si="46"/>
        <v>(cm)</v>
      </c>
      <c r="D270" s="322" t="str">
        <f t="shared" si="46"/>
        <v>(cm)</v>
      </c>
      <c r="E270" t="str">
        <f>Q108</f>
        <v>kVp</v>
      </c>
      <c r="F270" t="str">
        <f>R108</f>
        <v>mA</v>
      </c>
      <c r="G270" s="164" t="str">
        <f>S108</f>
        <v>mGy/min</v>
      </c>
      <c r="H270" s="122" t="str">
        <f>T108</f>
        <v>kVp</v>
      </c>
      <c r="I270" t="str">
        <f>U108</f>
        <v>mA</v>
      </c>
      <c r="J270" s="164" t="str">
        <f>V108</f>
        <v>mGy/min</v>
      </c>
      <c r="K270" s="122" t="str">
        <f>W108</f>
        <v>kVp</v>
      </c>
      <c r="L270" t="str">
        <f>X108</f>
        <v>mA</v>
      </c>
      <c r="M270" s="269" t="str">
        <f>Y108</f>
        <v>mGy/min</v>
      </c>
      <c r="O270" s="170">
        <f t="shared" si="47"/>
        <v>100</v>
      </c>
      <c r="P270" s="121" t="str">
        <f t="shared" si="47"/>
        <v/>
      </c>
      <c r="Q270" s="121"/>
      <c r="R270" s="121"/>
      <c r="S270" s="121" t="str">
        <f>IF(RTI_AKAccuracy!K7="","",RTI_AKAccuracy!K7)</f>
        <v/>
      </c>
      <c r="T270" s="166" t="str">
        <f>IF(RTI_AKAccuracy!L7="","",RTI_AKAccuracy!L7)</f>
        <v/>
      </c>
      <c r="U270"/>
      <c r="V270"/>
      <c r="W270"/>
      <c r="X270"/>
      <c r="Y270" s="14"/>
      <c r="AB270" s="66"/>
      <c r="AD270" s="66"/>
    </row>
    <row r="271" spans="1:30" ht="14.1" customHeight="1" thickBot="1" x14ac:dyDescent="0.35">
      <c r="A271" s="3">
        <v>7</v>
      </c>
      <c r="B271" s="259"/>
      <c r="C271" s="514" t="str">
        <f>O110&amp;" "&amp;flocm_in</f>
        <v xml:space="preserve"> cm</v>
      </c>
      <c r="D271" s="323">
        <f t="shared" ref="D271:D286" si="48">P109</f>
        <v>10</v>
      </c>
      <c r="E271" s="294">
        <f t="shared" ref="E271:E286" si="49">IF(Q109="","",Q109)</f>
        <v>0</v>
      </c>
      <c r="F271" s="300">
        <f t="shared" ref="F271:F286" si="50">IF(R109="","",R109)</f>
        <v>0</v>
      </c>
      <c r="G271" s="295">
        <f t="shared" ref="G271:G286" si="51">IF(S109="","",S109)</f>
        <v>0</v>
      </c>
      <c r="H271" s="294">
        <f t="shared" ref="H271:H286" si="52">IF(T109="","",T109)</f>
        <v>0</v>
      </c>
      <c r="I271" s="300">
        <f t="shared" ref="I271:I286" si="53">IF(U109="","",U109)</f>
        <v>0</v>
      </c>
      <c r="J271" s="295">
        <f t="shared" ref="J271:J286" si="54">IF(V109="","",V109)</f>
        <v>0</v>
      </c>
      <c r="K271" s="336">
        <f t="shared" ref="K271:K286" si="55">IF(W109="","",W109)</f>
        <v>0</v>
      </c>
      <c r="L271" s="300">
        <f t="shared" ref="L271:L286" si="56">IF(X109="","",X109)</f>
        <v>0</v>
      </c>
      <c r="M271" s="332">
        <f t="shared" ref="M271:M286" si="57">IF(Y109="","",Y109)</f>
        <v>0</v>
      </c>
      <c r="O271" s="170">
        <f t="shared" si="47"/>
        <v>120</v>
      </c>
      <c r="P271" s="121" t="str">
        <f t="shared" si="47"/>
        <v/>
      </c>
      <c r="Q271" s="121"/>
      <c r="R271" s="121"/>
      <c r="S271" s="121" t="str">
        <f>IF(RTI_AKAccuracy!K8="","",RTI_AKAccuracy!K8)</f>
        <v/>
      </c>
      <c r="T271" s="166" t="str">
        <f>IF(RTI_AKAccuracy!L8="","",RTI_AKAccuracy!L8)</f>
        <v/>
      </c>
      <c r="U271"/>
      <c r="V271"/>
      <c r="W271"/>
      <c r="X271"/>
      <c r="Y271" s="14"/>
      <c r="AB271" s="28"/>
      <c r="AC271" s="29" t="str">
        <f>IF(AB271&lt;&gt;AD271,"Change","")</f>
        <v/>
      </c>
      <c r="AD271" s="30" t="str">
        <f>IF(Q399="","",Q399)</f>
        <v/>
      </c>
    </row>
    <row r="272" spans="1:30" ht="14.1" customHeight="1" thickBot="1" x14ac:dyDescent="0.35">
      <c r="A272" s="3">
        <v>8</v>
      </c>
      <c r="B272" s="259"/>
      <c r="C272" s="514"/>
      <c r="D272" s="321">
        <f t="shared" si="48"/>
        <v>20</v>
      </c>
      <c r="E272" s="296">
        <f t="shared" si="49"/>
        <v>0</v>
      </c>
      <c r="F272" s="301">
        <f t="shared" si="50"/>
        <v>0</v>
      </c>
      <c r="G272" s="297">
        <f t="shared" si="51"/>
        <v>0</v>
      </c>
      <c r="H272" s="296">
        <f t="shared" si="52"/>
        <v>0</v>
      </c>
      <c r="I272" s="301">
        <f t="shared" si="53"/>
        <v>0</v>
      </c>
      <c r="J272" s="297">
        <f t="shared" si="54"/>
        <v>0</v>
      </c>
      <c r="K272" s="337">
        <f t="shared" si="55"/>
        <v>0</v>
      </c>
      <c r="L272" s="301">
        <f t="shared" si="56"/>
        <v>0</v>
      </c>
      <c r="M272" s="333">
        <f t="shared" si="57"/>
        <v>0</v>
      </c>
      <c r="O272" s="170" t="str">
        <f t="shared" si="47"/>
        <v/>
      </c>
      <c r="P272" s="121" t="str">
        <f t="shared" si="47"/>
        <v/>
      </c>
      <c r="Q272" s="121"/>
      <c r="R272" s="121"/>
      <c r="S272" s="121"/>
      <c r="T272" s="166"/>
      <c r="U272"/>
      <c r="V272"/>
      <c r="W272"/>
      <c r="X272"/>
      <c r="Y272" s="14"/>
      <c r="AB272" s="66"/>
      <c r="AD272" s="66"/>
    </row>
    <row r="273" spans="1:30" ht="14.1" customHeight="1" thickBot="1" x14ac:dyDescent="0.35">
      <c r="A273" s="3">
        <v>9</v>
      </c>
      <c r="B273" s="259"/>
      <c r="C273" s="514"/>
      <c r="D273" s="324">
        <f t="shared" si="48"/>
        <v>30</v>
      </c>
      <c r="E273" s="298">
        <f t="shared" si="49"/>
        <v>0</v>
      </c>
      <c r="F273" s="302">
        <f t="shared" si="50"/>
        <v>0</v>
      </c>
      <c r="G273" s="299">
        <f t="shared" si="51"/>
        <v>0</v>
      </c>
      <c r="H273" s="298">
        <f t="shared" si="52"/>
        <v>0</v>
      </c>
      <c r="I273" s="302">
        <f t="shared" si="53"/>
        <v>0</v>
      </c>
      <c r="J273" s="299">
        <f t="shared" si="54"/>
        <v>0</v>
      </c>
      <c r="K273" s="338">
        <f t="shared" si="55"/>
        <v>0</v>
      </c>
      <c r="L273" s="302">
        <f t="shared" si="56"/>
        <v>0</v>
      </c>
      <c r="M273" s="334">
        <f t="shared" si="57"/>
        <v>0</v>
      </c>
      <c r="O273" s="170" t="str">
        <f t="shared" si="47"/>
        <v/>
      </c>
      <c r="P273" s="121" t="str">
        <f t="shared" si="47"/>
        <v/>
      </c>
      <c r="Q273" s="121"/>
      <c r="R273" s="121"/>
      <c r="S273" s="121"/>
      <c r="T273" s="166"/>
      <c r="U273"/>
      <c r="V273"/>
      <c r="W273"/>
      <c r="X273"/>
      <c r="Y273" s="14"/>
      <c r="AB273" s="28"/>
      <c r="AC273" s="29" t="str">
        <f>IF(AB273&lt;&gt;AD273,"Change","")</f>
        <v/>
      </c>
      <c r="AD273" s="30" t="str">
        <f>IF(Q401="","",Q401)</f>
        <v/>
      </c>
    </row>
    <row r="274" spans="1:30" ht="14.1" customHeight="1" thickBot="1" x14ac:dyDescent="0.35">
      <c r="A274" s="3">
        <v>10</v>
      </c>
      <c r="B274" s="259"/>
      <c r="C274" s="514" t="str">
        <f>O113&amp;" "&amp;flocm_in</f>
        <v xml:space="preserve"> cm</v>
      </c>
      <c r="D274" s="323">
        <f t="shared" si="48"/>
        <v>10</v>
      </c>
      <c r="E274" s="294">
        <f t="shared" si="49"/>
        <v>0</v>
      </c>
      <c r="F274" s="300">
        <f t="shared" si="50"/>
        <v>0</v>
      </c>
      <c r="G274" s="295">
        <f t="shared" si="51"/>
        <v>0</v>
      </c>
      <c r="H274" s="294">
        <f t="shared" si="52"/>
        <v>0</v>
      </c>
      <c r="I274" s="300">
        <f t="shared" si="53"/>
        <v>0</v>
      </c>
      <c r="J274" s="295">
        <f t="shared" si="54"/>
        <v>0</v>
      </c>
      <c r="K274" s="336">
        <f t="shared" si="55"/>
        <v>0</v>
      </c>
      <c r="L274" s="300">
        <f t="shared" si="56"/>
        <v>0</v>
      </c>
      <c r="M274" s="332">
        <f t="shared" si="57"/>
        <v>0</v>
      </c>
      <c r="O274" s="170" t="str">
        <f t="shared" si="47"/>
        <v/>
      </c>
      <c r="P274" s="121" t="str">
        <f t="shared" si="47"/>
        <v/>
      </c>
      <c r="Q274" s="121"/>
      <c r="R274" s="121"/>
      <c r="S274" s="121"/>
      <c r="T274" s="166"/>
      <c r="U274"/>
      <c r="V274"/>
      <c r="W274"/>
      <c r="X274"/>
      <c r="Y274" s="164"/>
      <c r="AB274" s="66"/>
      <c r="AD274" s="17"/>
    </row>
    <row r="275" spans="1:30" ht="14.1" customHeight="1" thickBot="1" x14ac:dyDescent="0.35">
      <c r="A275" s="3">
        <v>11</v>
      </c>
      <c r="B275" s="259"/>
      <c r="C275" s="514"/>
      <c r="D275" s="321">
        <f t="shared" si="48"/>
        <v>20</v>
      </c>
      <c r="E275" s="296">
        <f t="shared" si="49"/>
        <v>0</v>
      </c>
      <c r="F275" s="301">
        <f t="shared" si="50"/>
        <v>0</v>
      </c>
      <c r="G275" s="297">
        <f t="shared" si="51"/>
        <v>0</v>
      </c>
      <c r="H275" s="296">
        <f t="shared" si="52"/>
        <v>0</v>
      </c>
      <c r="I275" s="301">
        <f t="shared" si="53"/>
        <v>0</v>
      </c>
      <c r="J275" s="297">
        <f t="shared" si="54"/>
        <v>0</v>
      </c>
      <c r="K275" s="337">
        <f t="shared" si="55"/>
        <v>0</v>
      </c>
      <c r="L275" s="301">
        <f t="shared" si="56"/>
        <v>0</v>
      </c>
      <c r="M275" s="333">
        <f t="shared" si="57"/>
        <v>0</v>
      </c>
      <c r="O275" s="179" t="str">
        <f t="shared" si="47"/>
        <v/>
      </c>
      <c r="P275" s="157" t="str">
        <f t="shared" si="47"/>
        <v/>
      </c>
      <c r="Q275" s="157"/>
      <c r="R275" s="157"/>
      <c r="S275" s="157"/>
      <c r="T275" s="167"/>
      <c r="U275"/>
      <c r="V275"/>
      <c r="W275"/>
      <c r="X275"/>
      <c r="Y275" s="164"/>
      <c r="AB275" s="28"/>
      <c r="AC275" s="29" t="str">
        <f>IF(AB275&lt;&gt;AD275,"Change","")</f>
        <v/>
      </c>
      <c r="AD275" s="30" t="str">
        <f>IF(Q403="","",Q403)</f>
        <v/>
      </c>
    </row>
    <row r="276" spans="1:30" ht="14.1" customHeight="1" thickBot="1" x14ac:dyDescent="0.35">
      <c r="A276" s="3">
        <v>12</v>
      </c>
      <c r="B276" s="259"/>
      <c r="C276" s="514"/>
      <c r="D276" s="324">
        <f t="shared" si="48"/>
        <v>30</v>
      </c>
      <c r="E276" s="298">
        <f t="shared" si="49"/>
        <v>0</v>
      </c>
      <c r="F276" s="302">
        <f t="shared" si="50"/>
        <v>0</v>
      </c>
      <c r="G276" s="299">
        <f t="shared" si="51"/>
        <v>0</v>
      </c>
      <c r="H276" s="298">
        <f t="shared" si="52"/>
        <v>0</v>
      </c>
      <c r="I276" s="302">
        <f t="shared" si="53"/>
        <v>0</v>
      </c>
      <c r="J276" s="299">
        <f t="shared" si="54"/>
        <v>0</v>
      </c>
      <c r="K276" s="338">
        <f t="shared" si="55"/>
        <v>0</v>
      </c>
      <c r="L276" s="302">
        <f t="shared" si="56"/>
        <v>0</v>
      </c>
      <c r="M276" s="334">
        <f t="shared" si="57"/>
        <v>0</v>
      </c>
      <c r="O276" s="542" t="str">
        <f>"Ind KAP "&amp;Q257</f>
        <v>Ind KAP mGy·cm²</v>
      </c>
      <c r="P276" s="543" t="str">
        <f>"Meas KAP "&amp;Q257</f>
        <v>Meas KAP mGy·cm²</v>
      </c>
      <c r="R276" s="543" t="str">
        <f>"Ind AK @ Ref Pt ("&amp;T257&amp;")"</f>
        <v>Ind AK @ Ref Pt (mGy)</v>
      </c>
      <c r="S276" s="543" t="str">
        <f>"Meas AK @ Ref Pt ("&amp;T257&amp;")"</f>
        <v>Meas AK @ Ref Pt (mGy)</v>
      </c>
      <c r="T276"/>
      <c r="U276" s="1" t="s">
        <v>243</v>
      </c>
      <c r="V276" s="1" t="s">
        <v>244</v>
      </c>
      <c r="W276"/>
      <c r="X276"/>
      <c r="Y276" s="164"/>
      <c r="AB276" s="66"/>
      <c r="AD276" s="17"/>
    </row>
    <row r="277" spans="1:30" ht="14.1" customHeight="1" thickBot="1" x14ac:dyDescent="0.35">
      <c r="A277" s="3">
        <v>13</v>
      </c>
      <c r="B277" s="259"/>
      <c r="C277" s="514" t="str">
        <f>O116&amp;" "&amp;flocm_in</f>
        <v xml:space="preserve"> cm</v>
      </c>
      <c r="D277" s="323">
        <f t="shared" si="48"/>
        <v>10</v>
      </c>
      <c r="E277" s="294">
        <f t="shared" si="49"/>
        <v>0</v>
      </c>
      <c r="F277" s="300">
        <f t="shared" si="50"/>
        <v>0</v>
      </c>
      <c r="G277" s="295">
        <f t="shared" si="51"/>
        <v>0</v>
      </c>
      <c r="H277" s="294">
        <f t="shared" si="52"/>
        <v>0</v>
      </c>
      <c r="I277" s="300">
        <f t="shared" si="53"/>
        <v>0</v>
      </c>
      <c r="J277" s="295">
        <f t="shared" si="54"/>
        <v>0</v>
      </c>
      <c r="K277" s="336">
        <f t="shared" si="55"/>
        <v>0</v>
      </c>
      <c r="L277" s="300">
        <f t="shared" si="56"/>
        <v>0</v>
      </c>
      <c r="M277" s="332">
        <f t="shared" si="57"/>
        <v>0</v>
      </c>
      <c r="O277" s="542"/>
      <c r="P277" s="543"/>
      <c r="Q277" s="1" t="s">
        <v>241</v>
      </c>
      <c r="R277" s="543"/>
      <c r="S277" s="543"/>
      <c r="T277" s="1" t="s">
        <v>295</v>
      </c>
      <c r="U277" s="1" t="str">
        <f>W257</f>
        <v>mGy/min</v>
      </c>
      <c r="V277" s="1" t="str">
        <f>X257</f>
        <v>mGy/min</v>
      </c>
      <c r="W277" s="1" t="s">
        <v>296</v>
      </c>
      <c r="X277"/>
      <c r="Y277" s="164"/>
      <c r="AB277" s="28"/>
      <c r="AC277" s="29" t="str">
        <f>IF(AB277&lt;&gt;AD277,"Change","")</f>
        <v/>
      </c>
      <c r="AD277" s="30" t="str">
        <f>IF(Q405="","",Q405)</f>
        <v/>
      </c>
    </row>
    <row r="278" spans="1:30" ht="14.1" customHeight="1" thickBot="1" x14ac:dyDescent="0.35">
      <c r="A278" s="3">
        <v>14</v>
      </c>
      <c r="B278" s="259"/>
      <c r="C278" s="514"/>
      <c r="D278" s="321">
        <f t="shared" si="48"/>
        <v>20</v>
      </c>
      <c r="E278" s="296">
        <f t="shared" si="49"/>
        <v>0</v>
      </c>
      <c r="F278" s="301">
        <f t="shared" si="50"/>
        <v>0</v>
      </c>
      <c r="G278" s="297">
        <f t="shared" si="51"/>
        <v>0</v>
      </c>
      <c r="H278" s="296">
        <f t="shared" si="52"/>
        <v>0</v>
      </c>
      <c r="I278" s="301">
        <f t="shared" si="53"/>
        <v>0</v>
      </c>
      <c r="J278" s="297">
        <f t="shared" si="54"/>
        <v>0</v>
      </c>
      <c r="K278" s="337">
        <f t="shared" si="55"/>
        <v>0</v>
      </c>
      <c r="L278" s="301">
        <f t="shared" si="56"/>
        <v>0</v>
      </c>
      <c r="M278" s="333">
        <f t="shared" si="57"/>
        <v>0</v>
      </c>
      <c r="O278" s="169" t="str">
        <f>IF(S258="","",S258*VLOOKUP($Q$257,Tables!$A$112:$B$116,2,FALSE))</f>
        <v/>
      </c>
      <c r="P278" s="152" t="str">
        <f t="shared" ref="P278:P285" si="58">IF(S268="","",S268)</f>
        <v/>
      </c>
      <c r="Q278" s="456" t="str">
        <f t="shared" ref="Q278:Q285" si="59">IF(OR(O278="",P278=""),"",(P278-O278)/O278)</f>
        <v/>
      </c>
      <c r="R278" s="152" t="str">
        <f t="shared" ref="R278:R285" si="60">IF(V258="","",V258)</f>
        <v/>
      </c>
      <c r="S278" s="180" t="str">
        <f t="shared" ref="S278:S285" si="61">IF(OR($O$254="",Q268=""),"",$O$254*Q268)</f>
        <v/>
      </c>
      <c r="T278" s="456" t="str">
        <f t="shared" ref="T278:T285" si="62">IF(OR(R278="",S278=""),"",(S278-R278)/R278)</f>
        <v/>
      </c>
      <c r="U278" s="152" t="str">
        <f t="shared" ref="U278:U285" si="63">IF(W258="","",W258)</f>
        <v/>
      </c>
      <c r="V278" s="152" t="str">
        <f t="shared" ref="V278:V285" si="64">IF(AND(X258="",R268=""),"",IF(NOT(ISBLANK(X258)),X258,IF(NOT(ISBLANK(R268)),R268,"")))</f>
        <v/>
      </c>
      <c r="W278" s="181" t="str">
        <f>IF(OR(V278="",U278=""),"",(V278-U278)/V278)</f>
        <v/>
      </c>
      <c r="X278"/>
      <c r="Y278" s="164"/>
      <c r="AB278" s="66"/>
      <c r="AD278" s="17"/>
    </row>
    <row r="279" spans="1:30" ht="14.1" customHeight="1" thickBot="1" x14ac:dyDescent="0.35">
      <c r="A279" s="3">
        <v>15</v>
      </c>
      <c r="B279" s="259"/>
      <c r="C279" s="514"/>
      <c r="D279" s="324">
        <f t="shared" si="48"/>
        <v>30</v>
      </c>
      <c r="E279" s="298">
        <f t="shared" si="49"/>
        <v>0</v>
      </c>
      <c r="F279" s="302">
        <f t="shared" si="50"/>
        <v>0</v>
      </c>
      <c r="G279" s="299">
        <f t="shared" si="51"/>
        <v>0</v>
      </c>
      <c r="H279" s="298">
        <f t="shared" si="52"/>
        <v>0</v>
      </c>
      <c r="I279" s="302">
        <f t="shared" si="53"/>
        <v>0</v>
      </c>
      <c r="J279" s="299">
        <f t="shared" si="54"/>
        <v>0</v>
      </c>
      <c r="K279" s="338">
        <f t="shared" si="55"/>
        <v>0</v>
      </c>
      <c r="L279" s="302">
        <f t="shared" si="56"/>
        <v>0</v>
      </c>
      <c r="M279" s="334">
        <f t="shared" si="57"/>
        <v>0</v>
      </c>
      <c r="O279" s="170" t="str">
        <f>IF(S259="","",S259*VLOOKUP($Q$257,Tables!$A$112:$B$116,2,FALSE))</f>
        <v/>
      </c>
      <c r="P279" s="121" t="str">
        <f t="shared" si="58"/>
        <v/>
      </c>
      <c r="Q279" s="457" t="str">
        <f t="shared" si="59"/>
        <v/>
      </c>
      <c r="R279" s="121" t="str">
        <f t="shared" si="60"/>
        <v/>
      </c>
      <c r="S279" s="183" t="str">
        <f t="shared" si="61"/>
        <v/>
      </c>
      <c r="T279" s="457" t="str">
        <f t="shared" si="62"/>
        <v/>
      </c>
      <c r="U279" s="121" t="str">
        <f t="shared" si="63"/>
        <v/>
      </c>
      <c r="V279" s="121" t="str">
        <f t="shared" si="64"/>
        <v/>
      </c>
      <c r="W279" s="184" t="str">
        <f t="shared" ref="W279:W285" si="65">IF(OR(V279="",U279=""),"",(V279-U279)/V279)</f>
        <v/>
      </c>
      <c r="X279"/>
      <c r="Y279" s="164"/>
      <c r="AB279" s="28"/>
      <c r="AC279" s="29" t="str">
        <f>IF(AB279&lt;&gt;AD279,"Change","")</f>
        <v/>
      </c>
      <c r="AD279" s="30" t="str">
        <f>IF(Q407="","",Q407)</f>
        <v/>
      </c>
    </row>
    <row r="280" spans="1:30" ht="14.1" customHeight="1" thickBot="1" x14ac:dyDescent="0.35">
      <c r="A280" s="3">
        <v>16</v>
      </c>
      <c r="B280" s="259"/>
      <c r="C280" s="514" t="str">
        <f>O119&amp;" "&amp;flocm_in</f>
        <v xml:space="preserve"> cm</v>
      </c>
      <c r="D280" s="323">
        <f t="shared" si="48"/>
        <v>10</v>
      </c>
      <c r="E280" s="294">
        <f t="shared" si="49"/>
        <v>0</v>
      </c>
      <c r="F280" s="300">
        <f t="shared" si="50"/>
        <v>0</v>
      </c>
      <c r="G280" s="295">
        <f t="shared" si="51"/>
        <v>0</v>
      </c>
      <c r="H280" s="294">
        <f t="shared" si="52"/>
        <v>0</v>
      </c>
      <c r="I280" s="300">
        <f t="shared" si="53"/>
        <v>0</v>
      </c>
      <c r="J280" s="295">
        <f t="shared" si="54"/>
        <v>0</v>
      </c>
      <c r="K280" s="336">
        <f t="shared" si="55"/>
        <v>0</v>
      </c>
      <c r="L280" s="300">
        <f t="shared" si="56"/>
        <v>0</v>
      </c>
      <c r="M280" s="332">
        <f t="shared" si="57"/>
        <v>0</v>
      </c>
      <c r="O280" s="170" t="str">
        <f>IF(S260="","",S260*VLOOKUP($Q$257,Tables!$A$112:$B$116,2,FALSE))</f>
        <v/>
      </c>
      <c r="P280" s="121" t="str">
        <f t="shared" si="58"/>
        <v/>
      </c>
      <c r="Q280" s="457" t="str">
        <f t="shared" si="59"/>
        <v/>
      </c>
      <c r="R280" s="121" t="str">
        <f t="shared" si="60"/>
        <v/>
      </c>
      <c r="S280" s="183" t="str">
        <f t="shared" si="61"/>
        <v/>
      </c>
      <c r="T280" s="457" t="str">
        <f t="shared" si="62"/>
        <v/>
      </c>
      <c r="U280" s="121" t="str">
        <f t="shared" si="63"/>
        <v/>
      </c>
      <c r="V280" s="121" t="str">
        <f t="shared" si="64"/>
        <v/>
      </c>
      <c r="W280" s="184" t="str">
        <f t="shared" si="65"/>
        <v/>
      </c>
      <c r="X280"/>
      <c r="Y280" s="164"/>
      <c r="AA280" s="24" t="s">
        <v>297</v>
      </c>
      <c r="AB280" s="28"/>
      <c r="AC280" s="29" t="str">
        <f>IF(AB280&lt;&gt;AD280,"Change","")</f>
        <v/>
      </c>
      <c r="AD280" s="30" t="str">
        <f>IF(Q413="","",Q413)</f>
        <v/>
      </c>
    </row>
    <row r="281" spans="1:30" ht="14.1" customHeight="1" thickBot="1" x14ac:dyDescent="0.35">
      <c r="A281" s="3">
        <v>17</v>
      </c>
      <c r="B281" s="259"/>
      <c r="C281" s="514"/>
      <c r="D281" s="321">
        <f t="shared" si="48"/>
        <v>20</v>
      </c>
      <c r="E281" s="296">
        <f t="shared" si="49"/>
        <v>0</v>
      </c>
      <c r="F281" s="301">
        <f t="shared" si="50"/>
        <v>0</v>
      </c>
      <c r="G281" s="297">
        <f t="shared" si="51"/>
        <v>0</v>
      </c>
      <c r="H281" s="296">
        <f t="shared" si="52"/>
        <v>0</v>
      </c>
      <c r="I281" s="301">
        <f t="shared" si="53"/>
        <v>0</v>
      </c>
      <c r="J281" s="297">
        <f t="shared" si="54"/>
        <v>0</v>
      </c>
      <c r="K281" s="337">
        <f t="shared" si="55"/>
        <v>0</v>
      </c>
      <c r="L281" s="301">
        <f t="shared" si="56"/>
        <v>0</v>
      </c>
      <c r="M281" s="333">
        <f t="shared" si="57"/>
        <v>0</v>
      </c>
      <c r="O281" s="170" t="str">
        <f>IF(S261="","",S261*VLOOKUP($Q$257,Tables!$A$112:$B$116,2,FALSE))</f>
        <v/>
      </c>
      <c r="P281" s="121" t="str">
        <f t="shared" si="58"/>
        <v/>
      </c>
      <c r="Q281" s="457" t="str">
        <f t="shared" si="59"/>
        <v/>
      </c>
      <c r="R281" s="121" t="str">
        <f t="shared" si="60"/>
        <v/>
      </c>
      <c r="S281" s="183" t="str">
        <f t="shared" si="61"/>
        <v/>
      </c>
      <c r="T281" s="457" t="str">
        <f t="shared" si="62"/>
        <v/>
      </c>
      <c r="U281" s="121" t="str">
        <f t="shared" si="63"/>
        <v/>
      </c>
      <c r="V281" s="121" t="str">
        <f t="shared" si="64"/>
        <v/>
      </c>
      <c r="W281" s="184" t="str">
        <f t="shared" si="65"/>
        <v/>
      </c>
      <c r="X281"/>
      <c r="Y281" s="164"/>
      <c r="AB281" s="66"/>
      <c r="AD281" s="66"/>
    </row>
    <row r="282" spans="1:30" ht="14.1" customHeight="1" thickBot="1" x14ac:dyDescent="0.35">
      <c r="A282" s="3">
        <v>18</v>
      </c>
      <c r="B282" s="259"/>
      <c r="C282" s="514"/>
      <c r="D282" s="324">
        <f t="shared" si="48"/>
        <v>30</v>
      </c>
      <c r="E282" s="298">
        <f t="shared" si="49"/>
        <v>0</v>
      </c>
      <c r="F282" s="302">
        <f t="shared" si="50"/>
        <v>0</v>
      </c>
      <c r="G282" s="299">
        <f t="shared" si="51"/>
        <v>0</v>
      </c>
      <c r="H282" s="298">
        <f t="shared" si="52"/>
        <v>0</v>
      </c>
      <c r="I282" s="302">
        <f t="shared" si="53"/>
        <v>0</v>
      </c>
      <c r="J282" s="299">
        <f t="shared" si="54"/>
        <v>0</v>
      </c>
      <c r="K282" s="338">
        <f t="shared" si="55"/>
        <v>0</v>
      </c>
      <c r="L282" s="302">
        <f t="shared" si="56"/>
        <v>0</v>
      </c>
      <c r="M282" s="334">
        <f t="shared" si="57"/>
        <v>0</v>
      </c>
      <c r="O282" s="170" t="str">
        <f>IF(S262="","",S262*VLOOKUP($Q$257,Tables!$A$112:$B$116,2,FALSE))</f>
        <v/>
      </c>
      <c r="P282" s="121" t="str">
        <f t="shared" si="58"/>
        <v/>
      </c>
      <c r="Q282" s="457" t="str">
        <f t="shared" si="59"/>
        <v/>
      </c>
      <c r="R282" s="121" t="str">
        <f t="shared" si="60"/>
        <v/>
      </c>
      <c r="S282" s="183" t="str">
        <f t="shared" si="61"/>
        <v/>
      </c>
      <c r="T282" s="457" t="str">
        <f t="shared" si="62"/>
        <v/>
      </c>
      <c r="U282" s="121" t="str">
        <f t="shared" si="63"/>
        <v/>
      </c>
      <c r="V282" s="121" t="str">
        <f t="shared" si="64"/>
        <v/>
      </c>
      <c r="W282" s="184" t="str">
        <f t="shared" si="65"/>
        <v/>
      </c>
      <c r="X282"/>
      <c r="Y282" s="164"/>
      <c r="AB282" s="28"/>
      <c r="AC282" s="29" t="str">
        <f>IF(AB282&lt;&gt;AD282,"Change","")</f>
        <v/>
      </c>
      <c r="AD282" s="30" t="str">
        <f>IF(Q415="","",Q415)</f>
        <v/>
      </c>
    </row>
    <row r="283" spans="1:30" ht="14.1" customHeight="1" thickBot="1" x14ac:dyDescent="0.35">
      <c r="A283" s="3">
        <v>19</v>
      </c>
      <c r="B283" s="259"/>
      <c r="C283" s="514" t="str">
        <f>O122&amp;" "&amp;flocm_in</f>
        <v xml:space="preserve"> cm</v>
      </c>
      <c r="D283" s="323">
        <f t="shared" si="48"/>
        <v>10</v>
      </c>
      <c r="E283" s="309">
        <f t="shared" si="49"/>
        <v>0</v>
      </c>
      <c r="F283" s="310">
        <f t="shared" si="50"/>
        <v>0</v>
      </c>
      <c r="G283" s="340">
        <f t="shared" si="51"/>
        <v>0</v>
      </c>
      <c r="H283" s="309">
        <f t="shared" si="52"/>
        <v>0</v>
      </c>
      <c r="I283" s="310">
        <f t="shared" si="53"/>
        <v>0</v>
      </c>
      <c r="J283" s="340">
        <f t="shared" si="54"/>
        <v>0</v>
      </c>
      <c r="K283" s="339">
        <f t="shared" si="55"/>
        <v>0</v>
      </c>
      <c r="L283" s="310">
        <f t="shared" si="56"/>
        <v>0</v>
      </c>
      <c r="M283" s="335">
        <f t="shared" si="57"/>
        <v>0</v>
      </c>
      <c r="O283" s="170" t="str">
        <f>IF(S263="","",S263*VLOOKUP($Q$257,Tables!$A$112:$B$116,2,FALSE))</f>
        <v/>
      </c>
      <c r="P283" s="121" t="str">
        <f t="shared" si="58"/>
        <v/>
      </c>
      <c r="Q283" s="457" t="str">
        <f t="shared" si="59"/>
        <v/>
      </c>
      <c r="R283" s="121" t="str">
        <f t="shared" si="60"/>
        <v/>
      </c>
      <c r="S283" s="183" t="str">
        <f t="shared" si="61"/>
        <v/>
      </c>
      <c r="T283" s="457" t="str">
        <f t="shared" si="62"/>
        <v/>
      </c>
      <c r="U283" s="121" t="str">
        <f t="shared" si="63"/>
        <v/>
      </c>
      <c r="V283" s="121" t="str">
        <f t="shared" si="64"/>
        <v/>
      </c>
      <c r="W283" s="184" t="str">
        <f t="shared" si="65"/>
        <v/>
      </c>
      <c r="X283"/>
      <c r="Y283" s="164"/>
      <c r="AB283" s="66"/>
      <c r="AD283" s="66"/>
    </row>
    <row r="284" spans="1:30" ht="14.1" customHeight="1" thickBot="1" x14ac:dyDescent="0.35">
      <c r="A284" s="3">
        <v>20</v>
      </c>
      <c r="B284" s="259"/>
      <c r="C284" s="514"/>
      <c r="D284" s="321">
        <f t="shared" si="48"/>
        <v>20</v>
      </c>
      <c r="E284" s="296">
        <f t="shared" si="49"/>
        <v>0</v>
      </c>
      <c r="F284" s="301">
        <f t="shared" si="50"/>
        <v>0</v>
      </c>
      <c r="G284" s="297">
        <f t="shared" si="51"/>
        <v>0</v>
      </c>
      <c r="H284" s="296">
        <f t="shared" si="52"/>
        <v>0</v>
      </c>
      <c r="I284" s="301">
        <f t="shared" si="53"/>
        <v>0</v>
      </c>
      <c r="J284" s="297">
        <f t="shared" si="54"/>
        <v>0</v>
      </c>
      <c r="K284" s="337">
        <f t="shared" si="55"/>
        <v>0</v>
      </c>
      <c r="L284" s="301">
        <f t="shared" si="56"/>
        <v>0</v>
      </c>
      <c r="M284" s="333">
        <f t="shared" si="57"/>
        <v>0</v>
      </c>
      <c r="O284" s="170" t="str">
        <f>IF(S264="","",S264*VLOOKUP($Q$257,Tables!$A$112:$B$116,2,FALSE))</f>
        <v/>
      </c>
      <c r="P284" s="121" t="str">
        <f t="shared" si="58"/>
        <v/>
      </c>
      <c r="Q284" s="457" t="str">
        <f t="shared" si="59"/>
        <v/>
      </c>
      <c r="R284" s="121" t="str">
        <f t="shared" si="60"/>
        <v/>
      </c>
      <c r="S284" s="183" t="str">
        <f t="shared" si="61"/>
        <v/>
      </c>
      <c r="T284" s="457" t="str">
        <f t="shared" si="62"/>
        <v/>
      </c>
      <c r="U284" s="121" t="str">
        <f t="shared" si="63"/>
        <v/>
      </c>
      <c r="V284" s="121" t="str">
        <f t="shared" si="64"/>
        <v/>
      </c>
      <c r="W284" s="184" t="str">
        <f t="shared" si="65"/>
        <v/>
      </c>
      <c r="X284"/>
      <c r="Y284" s="164"/>
      <c r="AB284" s="28"/>
      <c r="AC284" s="29" t="str">
        <f>IF(AB284&lt;&gt;AD284,"Change","")</f>
        <v/>
      </c>
      <c r="AD284" s="30" t="str">
        <f>IF(Q417="","",Q417)</f>
        <v/>
      </c>
    </row>
    <row r="285" spans="1:30" ht="14.1" customHeight="1" thickBot="1" x14ac:dyDescent="0.35">
      <c r="A285" s="3">
        <v>21</v>
      </c>
      <c r="B285" s="259"/>
      <c r="C285" s="514"/>
      <c r="D285" s="321">
        <f t="shared" si="48"/>
        <v>30</v>
      </c>
      <c r="E285" s="298">
        <f t="shared" si="49"/>
        <v>0</v>
      </c>
      <c r="F285" s="302">
        <f t="shared" si="50"/>
        <v>0</v>
      </c>
      <c r="G285" s="299">
        <f t="shared" si="51"/>
        <v>0</v>
      </c>
      <c r="H285" s="298">
        <f t="shared" si="52"/>
        <v>0</v>
      </c>
      <c r="I285" s="302">
        <f t="shared" si="53"/>
        <v>0</v>
      </c>
      <c r="J285" s="299">
        <f t="shared" si="54"/>
        <v>0</v>
      </c>
      <c r="K285" s="338">
        <f t="shared" si="55"/>
        <v>0</v>
      </c>
      <c r="L285" s="302">
        <f t="shared" si="56"/>
        <v>0</v>
      </c>
      <c r="M285" s="334">
        <f t="shared" si="57"/>
        <v>0</v>
      </c>
      <c r="O285" s="179" t="str">
        <f>IF(S265="","",S265*VLOOKUP($Q$257,Tables!$A$112:$B$116,2,FALSE))</f>
        <v/>
      </c>
      <c r="P285" s="157" t="str">
        <f t="shared" si="58"/>
        <v/>
      </c>
      <c r="Q285" s="458" t="str">
        <f t="shared" si="59"/>
        <v/>
      </c>
      <c r="R285" s="157" t="str">
        <f t="shared" si="60"/>
        <v/>
      </c>
      <c r="S285" s="185" t="str">
        <f t="shared" si="61"/>
        <v/>
      </c>
      <c r="T285" s="458" t="str">
        <f t="shared" si="62"/>
        <v/>
      </c>
      <c r="U285" s="157" t="str">
        <f t="shared" si="63"/>
        <v/>
      </c>
      <c r="V285" s="157" t="str">
        <f t="shared" si="64"/>
        <v/>
      </c>
      <c r="W285" s="186" t="str">
        <f t="shared" si="65"/>
        <v/>
      </c>
      <c r="X285"/>
      <c r="Y285" s="164"/>
      <c r="AB285" s="66"/>
      <c r="AD285" s="66"/>
    </row>
    <row r="286" spans="1:30" ht="14.1" customHeight="1" thickBot="1" x14ac:dyDescent="0.35">
      <c r="A286" s="3">
        <v>22</v>
      </c>
      <c r="B286" s="259"/>
      <c r="C286" s="320"/>
      <c r="D286" s="325" t="str">
        <f t="shared" si="48"/>
        <v>max</v>
      </c>
      <c r="E286" s="326">
        <f t="shared" si="49"/>
        <v>0</v>
      </c>
      <c r="F286" s="327">
        <f t="shared" si="50"/>
        <v>0</v>
      </c>
      <c r="G286" s="328">
        <f t="shared" si="51"/>
        <v>0</v>
      </c>
      <c r="H286" s="326">
        <f t="shared" si="52"/>
        <v>0</v>
      </c>
      <c r="I286" s="327">
        <f t="shared" si="53"/>
        <v>0</v>
      </c>
      <c r="J286" s="328">
        <f t="shared" si="54"/>
        <v>0</v>
      </c>
      <c r="K286" s="329">
        <f t="shared" si="55"/>
        <v>0</v>
      </c>
      <c r="L286" s="330">
        <f t="shared" si="56"/>
        <v>0</v>
      </c>
      <c r="M286" s="331">
        <f t="shared" si="57"/>
        <v>0</v>
      </c>
      <c r="O286" s="122"/>
      <c r="P286" s="1" t="s">
        <v>162</v>
      </c>
      <c r="Q286" s="90" t="str">
        <f>IF($O$255=2,"NA",IF(Q278="","",IF(AND(MAX(Q278:Q285)&lt;=0.4,MIN(Q278:Q285)&gt;=-0.4),"YES","NO")))</f>
        <v/>
      </c>
      <c r="R286"/>
      <c r="S286" s="1" t="s">
        <v>162</v>
      </c>
      <c r="T286" s="90" t="str">
        <f>IF($O$255=2,"NA",IF(T278="","",IF(AND(MAX(T278:T285)&lt;=0.4,MIN(T278:T285)&gt;=-0.4),"YES","NO")))</f>
        <v/>
      </c>
      <c r="U286"/>
      <c r="V286" s="1" t="s">
        <v>162</v>
      </c>
      <c r="W286" s="90" t="str">
        <f>IF($O$255=2,"NA",IF(W278="","",IF(AND(MAX(W278:W285)&lt;=0.4,MIN(W278:W285)&gt;=-0.4),"YES","NO")))</f>
        <v/>
      </c>
      <c r="X286"/>
      <c r="Y286" s="164"/>
      <c r="AB286" s="28"/>
      <c r="AC286" s="29" t="str">
        <f>IF(AB286&lt;&gt;AD286,"Change","")</f>
        <v/>
      </c>
      <c r="AD286" s="30" t="str">
        <f>IF(Q419="","",Q419)</f>
        <v/>
      </c>
    </row>
    <row r="287" spans="1:30" ht="14.1" customHeight="1" thickBot="1" x14ac:dyDescent="0.35">
      <c r="A287" s="3">
        <v>23</v>
      </c>
      <c r="B287" s="259"/>
      <c r="M287" s="260"/>
      <c r="O287" s="122"/>
      <c r="P287"/>
      <c r="Q287"/>
      <c r="R287"/>
      <c r="S287"/>
      <c r="T287"/>
      <c r="U287"/>
      <c r="V287"/>
      <c r="W287"/>
      <c r="X287"/>
      <c r="Y287" s="164"/>
      <c r="AB287" s="66"/>
      <c r="AD287" s="66"/>
    </row>
    <row r="288" spans="1:30" ht="14.1" customHeight="1" thickBot="1" x14ac:dyDescent="0.35">
      <c r="A288" s="3">
        <v>24</v>
      </c>
      <c r="B288" s="259"/>
      <c r="D288" s="97" t="str">
        <f t="shared" ref="D288:D293" si="66">P126</f>
        <v>*Measured at:</v>
      </c>
      <c r="F288" s="341" t="str">
        <f>R126</f>
        <v>Acceptable:</v>
      </c>
      <c r="G288" s="342" t="str">
        <f>S126</f>
        <v>YES</v>
      </c>
      <c r="I288" s="341" t="str">
        <f>U126</f>
        <v>Acceptable:</v>
      </c>
      <c r="J288" s="342" t="str">
        <f>V126</f>
        <v>YES</v>
      </c>
      <c r="L288" s="341" t="str">
        <f>X126</f>
        <v>Acceptable:</v>
      </c>
      <c r="M288" s="343" t="str">
        <f>Y126</f>
        <v>YES</v>
      </c>
      <c r="O288" s="172"/>
      <c r="P288" s="196" t="s">
        <v>168</v>
      </c>
      <c r="Q288" s="197" t="s">
        <v>298</v>
      </c>
      <c r="R288" s="173"/>
      <c r="S288" s="173"/>
      <c r="T288" s="173"/>
      <c r="U288" s="173"/>
      <c r="V288" s="173"/>
      <c r="W288" s="173"/>
      <c r="X288" s="173"/>
      <c r="Y288" s="174"/>
      <c r="AB288" s="28"/>
      <c r="AC288" s="29" t="str">
        <f>IF(AB288&lt;&gt;AD288,"Change","")</f>
        <v/>
      </c>
      <c r="AD288" s="30" t="str">
        <f>IF(Q421="","",Q421)</f>
        <v/>
      </c>
    </row>
    <row r="289" spans="1:30" ht="14.1" customHeight="1" x14ac:dyDescent="0.3">
      <c r="A289" s="3">
        <v>25</v>
      </c>
      <c r="B289" s="259"/>
      <c r="D289" s="100" t="str">
        <f t="shared" si="66"/>
        <v>Undertable fluoroscopy units: 1 cm above table top</v>
      </c>
      <c r="M289" s="260"/>
      <c r="O289" s="198" t="s">
        <v>299</v>
      </c>
      <c r="Y289" s="14"/>
      <c r="AB289" s="66"/>
      <c r="AD289" s="66"/>
    </row>
    <row r="290" spans="1:30" ht="14.1" customHeight="1" x14ac:dyDescent="0.3">
      <c r="A290" s="3">
        <v>26</v>
      </c>
      <c r="B290" s="259"/>
      <c r="D290" s="100" t="str">
        <f t="shared" si="66"/>
        <v>Overhead tube fluoroscopy units: 30 cm above table top (Tube as close as possible to measuring point)</v>
      </c>
      <c r="M290" s="260"/>
      <c r="O290" s="13"/>
      <c r="Y290" s="14"/>
      <c r="AB290" s="28"/>
      <c r="AC290" s="29" t="str">
        <f>IF(AB290&lt;&gt;AD290,"Change","")</f>
        <v/>
      </c>
      <c r="AD290" s="30" t="str">
        <f>IF(Q423="","",Q423)</f>
        <v/>
      </c>
    </row>
    <row r="291" spans="1:30" ht="14.1" customHeight="1" x14ac:dyDescent="0.3">
      <c r="A291" s="3">
        <v>27</v>
      </c>
      <c r="B291" s="259"/>
      <c r="D291" s="100" t="str">
        <f t="shared" si="66"/>
        <v>C-arm fluoroscopy units: 30 cm from image receptor input (Tube at any ID, but spacer no closer than measuring point</v>
      </c>
      <c r="M291" s="260"/>
      <c r="O291" s="13"/>
      <c r="P291" s="2" t="s">
        <v>248</v>
      </c>
      <c r="Q291" s="505" t="str">
        <f>V100</f>
        <v>Piranha 1 CB2-17090320</v>
      </c>
      <c r="S291" s="2" t="s">
        <v>412</v>
      </c>
      <c r="T291" s="506" t="str">
        <f>V101</f>
        <v/>
      </c>
      <c r="V291" s="2" t="s">
        <v>413</v>
      </c>
      <c r="W291" s="506" t="str">
        <f>V102</f>
        <v/>
      </c>
      <c r="Y291" s="14"/>
      <c r="AB291" s="66"/>
      <c r="AD291" s="66"/>
    </row>
    <row r="292" spans="1:30" ht="14.1" customHeight="1" x14ac:dyDescent="0.3">
      <c r="A292" s="3">
        <v>28</v>
      </c>
      <c r="B292" s="259"/>
      <c r="D292" s="100" t="str">
        <f t="shared" si="66"/>
        <v>Lateral fluoroscopy units: 15 cm from center line of table and towards the tube (Position table and tube so spacer is as close as possible to measuring point)</v>
      </c>
      <c r="M292" s="260"/>
      <c r="O292" s="13"/>
      <c r="P292" s="24"/>
      <c r="Y292" s="14"/>
      <c r="AB292" s="28"/>
      <c r="AC292" s="29" t="str">
        <f>IF(AB292&lt;&gt;AD292,"Change","")</f>
        <v/>
      </c>
      <c r="AD292" s="30" t="str">
        <f>IF(Q425="","",Q425)</f>
        <v/>
      </c>
    </row>
    <row r="293" spans="1:30" ht="14.1" customHeight="1" x14ac:dyDescent="0.3">
      <c r="A293" s="3">
        <v>29</v>
      </c>
      <c r="B293" s="259"/>
      <c r="D293" s="24" t="str">
        <f t="shared" si="66"/>
        <v>Criteria:</v>
      </c>
      <c r="E293" s="50" t="str">
        <f>Q131</f>
        <v>Max Entrance Exposure Rate &lt;= 88 mGy/min (auto) and &lt;= 44 mGy/min (manual)</v>
      </c>
      <c r="M293" s="260"/>
      <c r="O293" s="13"/>
      <c r="Q293" s="544" t="s">
        <v>300</v>
      </c>
      <c r="R293" s="544"/>
      <c r="S293" s="544"/>
      <c r="T293" s="544"/>
      <c r="U293" s="544"/>
      <c r="Y293" s="14"/>
      <c r="AB293" s="66"/>
      <c r="AD293" s="66"/>
    </row>
    <row r="294" spans="1:30" ht="14.1" customHeight="1" thickBot="1" x14ac:dyDescent="0.35">
      <c r="A294" s="3">
        <v>30</v>
      </c>
      <c r="B294" s="259"/>
      <c r="D294" s="17"/>
      <c r="E294" s="50" t="str">
        <f>Q132</f>
        <v>Max Entrance Exposure Rate &lt; = 176 mGy/min (high level)</v>
      </c>
      <c r="M294" s="260"/>
      <c r="O294" s="13" t="s">
        <v>301</v>
      </c>
      <c r="P294" s="1" t="s">
        <v>441</v>
      </c>
      <c r="Q294" s="1" t="s">
        <v>208</v>
      </c>
      <c r="R294" s="1" t="s">
        <v>425</v>
      </c>
      <c r="S294" s="471" t="s">
        <v>419</v>
      </c>
      <c r="T294" s="1" t="s">
        <v>134</v>
      </c>
      <c r="U294" s="1" t="s">
        <v>302</v>
      </c>
      <c r="V294" s="1" t="s">
        <v>303</v>
      </c>
      <c r="Y294" s="14"/>
      <c r="AB294" s="28"/>
      <c r="AC294" s="29" t="str">
        <f>IF(AB294&lt;&gt;AD294,"Change","")</f>
        <v/>
      </c>
      <c r="AD294" s="30" t="str">
        <f>IF(Q427="","",Q427)</f>
        <v/>
      </c>
    </row>
    <row r="295" spans="1:30" ht="14.1" customHeight="1" x14ac:dyDescent="0.3">
      <c r="A295" s="3">
        <v>31</v>
      </c>
      <c r="B295" s="259"/>
      <c r="C295" s="1" t="str">
        <f>P133</f>
        <v>Comments:</v>
      </c>
      <c r="D295" s="347" t="str">
        <f>IF(Q133="","",IF(LEN(Q133)&lt;=135,Q133,IF(LEN(Q133)&lt;=260,LEFT(Q133,SEARCH(" ",Q133,125)),LEFT(Q133,SEARCH(" ",Q133,130)))))</f>
        <v/>
      </c>
      <c r="E295" s="348"/>
      <c r="F295" s="348"/>
      <c r="G295" s="348"/>
      <c r="H295" s="348"/>
      <c r="I295" s="348"/>
      <c r="J295" s="348"/>
      <c r="K295" s="348"/>
      <c r="L295" s="348"/>
      <c r="M295" s="349"/>
      <c r="O295" s="200">
        <f>IF($U$105=1,IF(RTI_kV!A5="","",RTI_kV!A5),IF(RTI_kV!I5="","",RTI_kV!I5))</f>
        <v>60</v>
      </c>
      <c r="P295" s="152">
        <f>IF($U$105=1,IF(RTI_kV!B5="","",RTI_kV!B5),IF(RTI_kV!J5="","",RTI_kV!J5))</f>
        <v>5</v>
      </c>
      <c r="Q295" s="489" t="str">
        <f>IF($U$105=1,IF(RTI_kV!C5="","",RTI_kV!C5),IF(RTI_kV!K5="","",RTI_kV!K5))</f>
        <v/>
      </c>
      <c r="R295" s="152" t="str">
        <f>IF($U$105=1,IF(RTI_kV!D5="","",RTI_kV!D5),IF(RTI_kV!L5="","",RTI_kV!L5))</f>
        <v/>
      </c>
      <c r="S295" s="152" t="str">
        <f>IF($U$105=1,IF(RTI_kV!E5="","",RTI_kV!E5),IF(RTI_kV!M5="","",RTI_kV!M5))</f>
        <v/>
      </c>
      <c r="T295" s="152" t="str">
        <f>IF($U$105=1,IF(RTI_kV!F5="","",RTI_kV!F5),IF(RTI_kV!N5="","",RTI_kV!N5))</f>
        <v/>
      </c>
      <c r="U295" s="165" t="str">
        <f>IF($U$105=1,IF(RTI_kV!G5="","",RTI_kV!G5),IF(RTI_kV!O5="","",RTI_kV!O5))</f>
        <v/>
      </c>
      <c r="V295" s="453" t="str">
        <f>IF(OR(O295="",Q295=""),"",IF(AND(O295&gt;0,Q295&gt;0),(Q295-O295)/O295,""))</f>
        <v/>
      </c>
      <c r="Y295" s="14"/>
      <c r="AB295" s="66"/>
      <c r="AD295" s="66"/>
    </row>
    <row r="296" spans="1:30" ht="14.1" customHeight="1" x14ac:dyDescent="0.3">
      <c r="A296" s="3">
        <v>32</v>
      </c>
      <c r="B296" s="259"/>
      <c r="D296" s="350" t="str">
        <f>IF(LEN(Q133)&lt;=135,"",IF(LEN(Q133)&lt;=260,RIGHT(Q133,LEN(Q133)-SEARCH(" ",Q133,125)),MID(Q133,SEARCH(" ",Q133,130),IF(LEN(Q133)&lt;=265,LEN(Q133),SEARCH(" ",Q133,255)-SEARCH(" ",Q133,130)))))</f>
        <v/>
      </c>
      <c r="E296" s="351"/>
      <c r="F296" s="351"/>
      <c r="G296" s="351"/>
      <c r="H296" s="351"/>
      <c r="I296" s="351"/>
      <c r="J296" s="351"/>
      <c r="K296" s="351"/>
      <c r="L296" s="351"/>
      <c r="M296" s="352"/>
      <c r="O296" s="202">
        <f>IF($U$105=1,IF(RTI_kV!A6="","",RTI_kV!A6),IF(RTI_kV!I6="","",RTI_kV!I6))</f>
        <v>80</v>
      </c>
      <c r="P296" s="121">
        <f>IF($U$105=1,IF(RTI_kV!B6="","",RTI_kV!B6),IF(RTI_kV!J6="","",RTI_kV!J6))</f>
        <v>5</v>
      </c>
      <c r="Q296" s="490" t="str">
        <f>IF($U$105=1,IF(RTI_kV!C6="","",RTI_kV!C6),IF(RTI_kV!K6="","",RTI_kV!K6))</f>
        <v/>
      </c>
      <c r="R296" s="121" t="str">
        <f>IF($U$105=1,IF(RTI_kV!D6="","",RTI_kV!D6),IF(RTI_kV!L6="","",RTI_kV!L6))</f>
        <v/>
      </c>
      <c r="S296" s="121" t="str">
        <f>IF($U$105=1,IF(RTI_kV!E6="","",RTI_kV!E6),IF(RTI_kV!M6="","",RTI_kV!M6))</f>
        <v/>
      </c>
      <c r="T296" s="121" t="str">
        <f>IF($U$105=1,IF(RTI_kV!F6="","",RTI_kV!F6),IF(RTI_kV!N6="","",RTI_kV!N6))</f>
        <v/>
      </c>
      <c r="U296" s="166" t="str">
        <f>IF($U$105=1,IF(RTI_kV!G6="","",RTI_kV!G6),IF(RTI_kV!O6="","",RTI_kV!O6))</f>
        <v/>
      </c>
      <c r="V296" s="454" t="str">
        <f>IF(OR(O296="",Q296=""),"",IF(AND(O296&gt;0,Q296&gt;0),(Q296-O296)/O296,""))</f>
        <v/>
      </c>
      <c r="Y296" s="14"/>
      <c r="AB296" s="28"/>
      <c r="AC296" s="29" t="str">
        <f>IF(AB296&lt;&gt;AD296,"Change","")</f>
        <v/>
      </c>
      <c r="AD296" s="30" t="str">
        <f>IF(Q429="","",Q429)</f>
        <v/>
      </c>
    </row>
    <row r="297" spans="1:30" ht="14.1" customHeight="1" x14ac:dyDescent="0.3">
      <c r="A297" s="3">
        <v>33</v>
      </c>
      <c r="B297" s="259"/>
      <c r="D297" s="350" t="str">
        <f>IF(LEN(Q133)&lt;=265,"",RIGHT(Q133,LEN(Q133)-SEARCH(" ",Q133,255)))</f>
        <v/>
      </c>
      <c r="E297" s="351"/>
      <c r="F297" s="351"/>
      <c r="G297" s="351"/>
      <c r="H297" s="351"/>
      <c r="I297" s="351"/>
      <c r="J297" s="351"/>
      <c r="K297" s="351"/>
      <c r="L297" s="351"/>
      <c r="M297" s="352"/>
      <c r="O297" s="202">
        <f>IF($U$105=1,IF(RTI_kV!A11="","",RTI_kV!A11),IF(RTI_kV!I11="","",RTI_kV!I11))</f>
        <v>100</v>
      </c>
      <c r="P297" s="121">
        <f>IF($U$105=1,IF(RTI_kV!B11="","",RTI_kV!B11),IF(RTI_kV!J11="","",RTI_kV!J11))</f>
        <v>5</v>
      </c>
      <c r="Q297" s="490" t="str">
        <f>IF($U$105=1,IF(RTI_kV!C11="","",RTI_kV!C11),IF(RTI_kV!K11="","",RTI_kV!K11))</f>
        <v/>
      </c>
      <c r="R297" s="121" t="str">
        <f>IF($U$105=1,IF(RTI_kV!D11="","",RTI_kV!D11),IF(RTI_kV!L11="","",RTI_kV!L11))</f>
        <v/>
      </c>
      <c r="S297" s="121" t="str">
        <f>IF($U$105=1,IF(RTI_kV!E11="","",RTI_kV!E11),IF(RTI_kV!M11="","",RTI_kV!M11))</f>
        <v/>
      </c>
      <c r="T297" s="121" t="str">
        <f>IF($U$105=1,IF(RTI_kV!F11="","",RTI_kV!F11),IF(RTI_kV!N11="","",RTI_kV!N11))</f>
        <v/>
      </c>
      <c r="U297" s="166" t="str">
        <f>IF($U$105=1,IF(RTI_kV!G11="","",RTI_kV!G11),IF(RTI_kV!O11="","",RTI_kV!O11))</f>
        <v/>
      </c>
      <c r="V297" s="454" t="str">
        <f>IF(OR(O297="",Q297=""),"",IF(AND(O297&gt;0,Q297&gt;0),(Q297-O297)/O297,""))</f>
        <v/>
      </c>
      <c r="Y297" s="14"/>
      <c r="AB297" s="66"/>
      <c r="AD297" s="66"/>
    </row>
    <row r="298" spans="1:30" ht="14.1" customHeight="1" thickBot="1" x14ac:dyDescent="0.35">
      <c r="A298" s="3">
        <v>34</v>
      </c>
      <c r="B298" s="344"/>
      <c r="C298" s="345"/>
      <c r="D298" s="345"/>
      <c r="E298" s="345"/>
      <c r="F298" s="345"/>
      <c r="G298" s="345"/>
      <c r="H298" s="345"/>
      <c r="I298" s="345"/>
      <c r="J298" s="345"/>
      <c r="K298" s="345"/>
      <c r="L298" s="345"/>
      <c r="M298" s="346"/>
      <c r="O298" s="124">
        <f>IF($U$105=1,IF(RTI_kV!A12="","",RTI_kV!A12),IF(RTI_kV!I12="","",RTI_kV!I12))</f>
        <v>120</v>
      </c>
      <c r="P298" s="157">
        <f>IF($U$105=1,IF(RTI_kV!B12="","",RTI_kV!B12),IF(RTI_kV!J12="","",RTI_kV!J12))</f>
        <v>5</v>
      </c>
      <c r="Q298" s="491" t="str">
        <f>IF($U$105=1,IF(RTI_kV!C12="","",RTI_kV!C12),IF(RTI_kV!K12="","",RTI_kV!K12))</f>
        <v/>
      </c>
      <c r="R298" s="157" t="str">
        <f>IF($U$105=1,IF(RTI_kV!D12="","",RTI_kV!D12),IF(RTI_kV!L12="","",RTI_kV!L12))</f>
        <v/>
      </c>
      <c r="S298" s="157" t="str">
        <f>IF($U$105=1,IF(RTI_kV!E12="","",RTI_kV!E12),IF(RTI_kV!M12="","",RTI_kV!M12))</f>
        <v/>
      </c>
      <c r="T298" s="157" t="str">
        <f>IF($U$105=1,IF(RTI_kV!F12="","",RTI_kV!F12),IF(RTI_kV!N12="","",RTI_kV!N12))</f>
        <v/>
      </c>
      <c r="U298" s="167" t="str">
        <f>IF($U$105=1,IF(RTI_kV!G12="","",RTI_kV!G12),IF(RTI_kV!O12="","",RTI_kV!O12))</f>
        <v/>
      </c>
      <c r="V298" s="455" t="str">
        <f>IF(OR(O298="",Q298=""),"",IF(AND(O298&gt;0,Q298&gt;0),(Q298-O298)/O298,""))</f>
        <v/>
      </c>
      <c r="Y298" s="14"/>
      <c r="AB298" s="28"/>
      <c r="AC298" s="29" t="str">
        <f>IF(AB298&lt;&gt;AD298,"Change","")</f>
        <v/>
      </c>
      <c r="AD298" s="30" t="str">
        <f>IF(Q431="","",Q431)</f>
        <v/>
      </c>
    </row>
    <row r="299" spans="1:30" ht="14.1" customHeight="1" thickBot="1" x14ac:dyDescent="0.35">
      <c r="A299" s="3">
        <v>35</v>
      </c>
      <c r="B299" s="259"/>
      <c r="C299" s="285" t="str">
        <f>$O$186</f>
        <v>Image Receptor Entrance Exposure Rate – Pulse Fluoroscopy</v>
      </c>
      <c r="M299" s="260"/>
      <c r="O299" s="13"/>
      <c r="U299" s="1" t="s">
        <v>162</v>
      </c>
      <c r="V299" s="90" t="str">
        <f>IF(V295="","",IF(AND(ABS(MAX(V295:V298))&lt;=0.05,ABS(MIN(V295:V298))&lt;=0.05),"YES","NO"))</f>
        <v/>
      </c>
      <c r="Y299" s="14"/>
      <c r="AB299" s="66"/>
      <c r="AD299" s="66"/>
    </row>
    <row r="300" spans="1:30" ht="14.1" customHeight="1" x14ac:dyDescent="0.3">
      <c r="A300" s="3">
        <v>36</v>
      </c>
      <c r="B300" s="259"/>
      <c r="M300" s="260"/>
      <c r="O300" s="13"/>
      <c r="P300" s="24" t="s">
        <v>168</v>
      </c>
      <c r="Q300" s="146" t="s">
        <v>151</v>
      </c>
      <c r="Y300" s="14"/>
      <c r="AB300" s="28"/>
      <c r="AC300" s="29" t="str">
        <f>IF(AB300&lt;&gt;AD300,"Change","")</f>
        <v/>
      </c>
      <c r="AD300" s="30" t="str">
        <f>IF(Q433="","",Q433)</f>
        <v/>
      </c>
    </row>
    <row r="301" spans="1:30" ht="14.1" customHeight="1" x14ac:dyDescent="0.3">
      <c r="A301" s="3">
        <v>37</v>
      </c>
      <c r="B301" s="259"/>
      <c r="C301" t="str">
        <f>O188</f>
        <v>Dose</v>
      </c>
      <c r="D301" t="str">
        <f>P188</f>
        <v>Receptor</v>
      </c>
      <c r="E301"/>
      <c r="F301"/>
      <c r="G301"/>
      <c r="H301"/>
      <c r="M301" s="260"/>
      <c r="O301" s="13"/>
      <c r="Y301" s="14"/>
      <c r="AB301" s="66"/>
      <c r="AD301" s="66"/>
    </row>
    <row r="302" spans="1:30" ht="14.1" customHeight="1" thickBot="1" x14ac:dyDescent="0.35">
      <c r="A302" s="3">
        <v>38</v>
      </c>
      <c r="B302" s="259"/>
      <c r="C302" t="str">
        <f>O189</f>
        <v>Level</v>
      </c>
      <c r="D302" t="str">
        <f>P189</f>
        <v>Size (cm)</v>
      </c>
      <c r="E302" t="str">
        <f>Q189</f>
        <v>kVp</v>
      </c>
      <c r="F302" t="str">
        <f>R189</f>
        <v>mA</v>
      </c>
      <c r="G302" t="str">
        <f>S189</f>
        <v>uGy/min</v>
      </c>
      <c r="H302" t="str">
        <f>T189</f>
        <v>nGy/frame</v>
      </c>
      <c r="M302" s="260"/>
      <c r="O302" s="13"/>
      <c r="P302" s="544" t="s">
        <v>300</v>
      </c>
      <c r="Q302" s="544"/>
      <c r="R302" s="544"/>
      <c r="S302" s="544"/>
      <c r="T302" s="544"/>
      <c r="V302" s="146" t="s">
        <v>439</v>
      </c>
      <c r="Y302" s="14"/>
      <c r="AB302" s="28"/>
      <c r="AC302" s="29" t="str">
        <f>IF(AB302&lt;&gt;AD302,"Change","")</f>
        <v/>
      </c>
      <c r="AD302" s="30" t="str">
        <f>IF(Q435="","",Q435)</f>
        <v/>
      </c>
    </row>
    <row r="303" spans="1:30" ht="14.1" customHeight="1" thickBot="1" x14ac:dyDescent="0.35">
      <c r="A303" s="3">
        <v>39</v>
      </c>
      <c r="B303" s="259"/>
      <c r="C303" s="519" t="str">
        <f>O190</f>
        <v>Auto 1</v>
      </c>
      <c r="D303" s="315" t="str">
        <f t="shared" ref="D303:D317" si="67">IF(P190="","",P190)</f>
        <v/>
      </c>
      <c r="E303" s="357">
        <f t="shared" ref="E303:E317" si="68">IF(Q190="","",Q190)</f>
        <v>0</v>
      </c>
      <c r="F303" s="357">
        <f t="shared" ref="F303:F317" si="69">IF(R190="","",R190)</f>
        <v>0</v>
      </c>
      <c r="G303" s="358">
        <f t="shared" ref="G303:G317" si="70">IF(S190="","",S190)</f>
        <v>0</v>
      </c>
      <c r="H303" s="315">
        <f t="shared" ref="H303:H317" si="71">IF(T190="","",T190)</f>
        <v>0</v>
      </c>
      <c r="J303" s="17" t="str">
        <f>W190</f>
        <v>Measure using pancake probe placed against</v>
      </c>
      <c r="M303" s="260"/>
      <c r="O303" s="13" t="s">
        <v>304</v>
      </c>
      <c r="P303" s="1" t="s">
        <v>208</v>
      </c>
      <c r="Q303" s="1" t="s">
        <v>425</v>
      </c>
      <c r="R303" s="471" t="s">
        <v>419</v>
      </c>
      <c r="S303" s="1" t="s">
        <v>134</v>
      </c>
      <c r="T303" s="1" t="s">
        <v>302</v>
      </c>
      <c r="V303" s="1" t="s">
        <v>304</v>
      </c>
      <c r="W303" s="1" t="s">
        <v>149</v>
      </c>
      <c r="X303" s="1" t="s">
        <v>440</v>
      </c>
      <c r="Y303" s="14"/>
      <c r="AB303" s="66"/>
      <c r="AD303" s="66"/>
    </row>
    <row r="304" spans="1:30" ht="14.1" customHeight="1" thickBot="1" x14ac:dyDescent="0.35">
      <c r="A304" s="3">
        <v>40</v>
      </c>
      <c r="B304" s="259"/>
      <c r="C304" s="520"/>
      <c r="D304" s="316" t="str">
        <f t="shared" si="67"/>
        <v/>
      </c>
      <c r="E304" s="359">
        <f t="shared" si="68"/>
        <v>0</v>
      </c>
      <c r="F304" s="359">
        <f t="shared" si="69"/>
        <v>0</v>
      </c>
      <c r="G304" s="360">
        <f t="shared" si="70"/>
        <v>0</v>
      </c>
      <c r="H304" s="316">
        <f t="shared" si="71"/>
        <v>0</v>
      </c>
      <c r="J304" s="17" t="str">
        <f>W191</f>
        <v>image receptor input window</v>
      </c>
      <c r="M304" s="260"/>
      <c r="O304" s="90">
        <f>O296</f>
        <v>80</v>
      </c>
      <c r="P304" s="200" t="str">
        <f>Q296</f>
        <v/>
      </c>
      <c r="Q304" s="152" t="str">
        <f t="shared" ref="Q304:T304" si="72">R296</f>
        <v/>
      </c>
      <c r="R304" s="152" t="str">
        <f t="shared" si="72"/>
        <v/>
      </c>
      <c r="S304" s="152" t="str">
        <f t="shared" si="72"/>
        <v/>
      </c>
      <c r="T304" s="165" t="str">
        <f t="shared" si="72"/>
        <v/>
      </c>
      <c r="V304" s="487">
        <f>O304</f>
        <v>80</v>
      </c>
      <c r="W304" s="152">
        <f>IF($U$105=1,IF(RTI_kV!B13="","",RTI_kV!B13),IF(RTI_kV!J16="","",RTI_kV!J16))</f>
        <v>1</v>
      </c>
      <c r="X304" s="165" t="str">
        <f>IF($U$105=1,IF(RTI_kV!E13="","",RTI_kV!E13/W304),IF(RTI_kV!M16="","",RTI_kV!M16/W304))</f>
        <v/>
      </c>
      <c r="Y304" s="14"/>
      <c r="AB304" s="28"/>
      <c r="AC304" s="29" t="str">
        <f>IF(AB304&lt;&gt;AD304,"Change","")</f>
        <v/>
      </c>
      <c r="AD304" s="30" t="str">
        <f>IF(Q437="","",Q437)</f>
        <v/>
      </c>
    </row>
    <row r="305" spans="1:30" ht="14.1" customHeight="1" x14ac:dyDescent="0.3">
      <c r="A305" s="3">
        <v>41</v>
      </c>
      <c r="B305" s="259"/>
      <c r="C305" s="520"/>
      <c r="D305" s="316" t="str">
        <f t="shared" si="67"/>
        <v/>
      </c>
      <c r="E305" s="359">
        <f t="shared" si="68"/>
        <v>0</v>
      </c>
      <c r="F305" s="359">
        <f t="shared" si="69"/>
        <v>0</v>
      </c>
      <c r="G305" s="360">
        <f t="shared" si="70"/>
        <v>0</v>
      </c>
      <c r="H305" s="316">
        <f t="shared" si="71"/>
        <v>0</v>
      </c>
      <c r="J305" s="17" t="str">
        <f>W192</f>
        <v>Use 1.5mm Cu filtration</v>
      </c>
      <c r="M305" s="260"/>
      <c r="O305" s="13"/>
      <c r="P305" s="202" t="str">
        <f>IF($U$105=1,IF(RTI_kV!C7="","",RTI_kV!C7),IF(RTI_kV!K7="","",RTI_kV!K7))</f>
        <v/>
      </c>
      <c r="Q305" s="121" t="str">
        <f>IF($U$105=1,IF(RTI_kV!D7="","",RTI_kV!D7),IF(RTI_kV!L7="","",RTI_kV!L7))</f>
        <v/>
      </c>
      <c r="R305" s="121" t="str">
        <f>IF($U$105=1,IF(RTI_kV!E7="","",RTI_kV!E7),IF(RTI_kV!M7="","",RTI_kV!M7))</f>
        <v/>
      </c>
      <c r="S305" s="121" t="str">
        <f>IF($U$105=1,IF(RTI_kV!F7="","",RTI_kV!F7),IF(RTI_kV!N7="","",RTI_kV!N7))</f>
        <v/>
      </c>
      <c r="T305" s="166" t="str">
        <f>IF($U$105=1,IF(RTI_kV!G7="","",RTI_kV!G7),IF(RTI_kV!O7="","",RTI_kV!O7))</f>
        <v/>
      </c>
      <c r="W305" s="170">
        <f>P296</f>
        <v>5</v>
      </c>
      <c r="X305" s="166" t="str">
        <f>IF(S296="","",S296/W305)</f>
        <v/>
      </c>
      <c r="Y305" s="14"/>
      <c r="AB305" s="66"/>
      <c r="AD305" s="66"/>
    </row>
    <row r="306" spans="1:30" ht="14.1" customHeight="1" x14ac:dyDescent="0.3">
      <c r="A306" s="3">
        <v>42</v>
      </c>
      <c r="B306" s="259"/>
      <c r="C306" s="520"/>
      <c r="D306" s="316" t="str">
        <f t="shared" si="67"/>
        <v/>
      </c>
      <c r="E306" s="359">
        <f t="shared" si="68"/>
        <v>0</v>
      </c>
      <c r="F306" s="359">
        <f t="shared" si="69"/>
        <v>0</v>
      </c>
      <c r="G306" s="360">
        <f t="shared" si="70"/>
        <v>0</v>
      </c>
      <c r="H306" s="316">
        <f t="shared" si="71"/>
        <v>0</v>
      </c>
      <c r="M306" s="260"/>
      <c r="O306" s="13"/>
      <c r="P306" s="202" t="str">
        <f>IF($U$105=1,IF(RTI_kV!C8="","",RTI_kV!C8),IF(RTI_kV!K8="","",RTI_kV!K8))</f>
        <v/>
      </c>
      <c r="Q306" s="121" t="str">
        <f>IF($U$105=1,IF(RTI_kV!D8="","",RTI_kV!D8),IF(RTI_kV!L8="","",RTI_kV!L8))</f>
        <v/>
      </c>
      <c r="R306" s="121" t="str">
        <f>IF($U$105=1,IF(RTI_kV!E8="","",RTI_kV!E8),IF(RTI_kV!M8="","",RTI_kV!M8))</f>
        <v/>
      </c>
      <c r="S306" s="121" t="str">
        <f>IF($U$105=1,IF(RTI_kV!F8="","",RTI_kV!F8),IF(RTI_kV!N8="","",RTI_kV!N8))</f>
        <v/>
      </c>
      <c r="T306" s="166" t="str">
        <f>IF($U$105=1,IF(RTI_kV!G8="","",RTI_kV!G8),IF(RTI_kV!O8="","",RTI_kV!O8))</f>
        <v/>
      </c>
      <c r="W306" s="170">
        <f>IF($U$105=1,IF(RTI_kV!B14="","",RTI_kV!B14),IF(RTI_kV!J17="","",RTI_kV!J17))</f>
        <v>10</v>
      </c>
      <c r="X306" s="166" t="str">
        <f>IF($U$105=1,IF(RTI_kV!E14="","",RTI_kV!E14/W306),IF(RTI_kV!M17="","",RTI_kV!M17/W306))</f>
        <v/>
      </c>
      <c r="Y306" s="14"/>
      <c r="AB306" s="28"/>
      <c r="AC306" s="29" t="str">
        <f>IF(AB306&lt;&gt;AD306,"Change","")</f>
        <v/>
      </c>
      <c r="AD306" s="30" t="str">
        <f>IF(Q439="","",Q439)</f>
        <v/>
      </c>
    </row>
    <row r="307" spans="1:30" ht="14.1" customHeight="1" thickBot="1" x14ac:dyDescent="0.35">
      <c r="A307" s="3">
        <v>43</v>
      </c>
      <c r="B307" s="259"/>
      <c r="C307" s="531"/>
      <c r="D307" s="361" t="str">
        <f t="shared" si="67"/>
        <v/>
      </c>
      <c r="E307" s="362">
        <f t="shared" si="68"/>
        <v>0</v>
      </c>
      <c r="F307" s="362">
        <f t="shared" si="69"/>
        <v>0</v>
      </c>
      <c r="G307" s="363">
        <f t="shared" si="70"/>
        <v>0</v>
      </c>
      <c r="H307" s="361">
        <f t="shared" si="71"/>
        <v>0</v>
      </c>
      <c r="M307" s="260"/>
      <c r="O307" s="13"/>
      <c r="P307" s="202" t="str">
        <f>IF($U$105=1,IF(RTI_kV!C9="","",RTI_kV!C9),IF(RTI_kV!K9="","",RTI_kV!K9))</f>
        <v/>
      </c>
      <c r="Q307" s="121" t="str">
        <f>IF($U$105=1,IF(RTI_kV!D9="","",RTI_kV!D9),IF(RTI_kV!L9="","",RTI_kV!L9))</f>
        <v/>
      </c>
      <c r="R307" s="121" t="str">
        <f>IF($U$105=1,IF(RTI_kV!E9="","",RTI_kV!E9),IF(RTI_kV!M9="","",RTI_kV!M9))</f>
        <v/>
      </c>
      <c r="S307" s="121" t="str">
        <f>IF($U$105=1,IF(RTI_kV!F9="","",RTI_kV!F9),IF(RTI_kV!N9="","",RTI_kV!N9))</f>
        <v/>
      </c>
      <c r="T307" s="166" t="str">
        <f>IF($U$105=1,IF(RTI_kV!G9="","",RTI_kV!G9),IF(RTI_kV!O9="","",RTI_kV!O9))</f>
        <v/>
      </c>
      <c r="W307" s="179">
        <f>IF($U$105=1,IF(RTI_kV!B15="","",RTI_kV!B15),IF(RTI_kV!J18="","",RTI_kV!J18))</f>
        <v>15</v>
      </c>
      <c r="X307" s="167" t="str">
        <f>IF($U$105=1,IF(RTI_kV!E15="","",RTI_kV!E15/W307),IF(RTI_kV!M18="","",RTI_kV!M18/W307))</f>
        <v/>
      </c>
      <c r="Y307" s="14"/>
      <c r="AB307" s="66"/>
      <c r="AD307" s="66"/>
    </row>
    <row r="308" spans="1:30" ht="14.1" customHeight="1" thickBot="1" x14ac:dyDescent="0.35">
      <c r="A308" s="3">
        <v>44</v>
      </c>
      <c r="B308" s="259"/>
      <c r="C308" s="519" t="str">
        <f>O195</f>
        <v/>
      </c>
      <c r="D308" s="315" t="str">
        <f t="shared" si="67"/>
        <v/>
      </c>
      <c r="E308" s="357">
        <f t="shared" si="68"/>
        <v>0</v>
      </c>
      <c r="F308" s="357">
        <f t="shared" si="69"/>
        <v>0</v>
      </c>
      <c r="G308" s="358">
        <f t="shared" si="70"/>
        <v>0</v>
      </c>
      <c r="H308" s="315">
        <f t="shared" si="71"/>
        <v>0</v>
      </c>
      <c r="M308" s="260"/>
      <c r="O308" s="13"/>
      <c r="P308" s="124" t="str">
        <f>IF($U$105=1,IF(RTI_kV!C10="","",RTI_kV!C10),IF(RTI_kV!K10="","",RTI_kV!K10))</f>
        <v/>
      </c>
      <c r="Q308" s="157" t="str">
        <f>IF($U$105=1,IF(RTI_kV!D10="","",RTI_kV!D10),IF(RTI_kV!L10="","",RTI_kV!L10))</f>
        <v/>
      </c>
      <c r="R308" s="157" t="str">
        <f>IF($U$105=1,IF(RTI_kV!E10="","",RTI_kV!E10),IF(RTI_kV!M10="","",RTI_kV!M10))</f>
        <v/>
      </c>
      <c r="S308" s="157" t="str">
        <f>IF($U$105=1,IF(RTI_kV!F10="","",RTI_kV!F10),IF(RTI_kV!N10="","",RTI_kV!N10))</f>
        <v/>
      </c>
      <c r="T308" s="167" t="str">
        <f>IF($U$105=1,IF(RTI_kV!G10="","",RTI_kV!G10),IF(RTI_kV!O10="","",RTI_kV!O10))</f>
        <v/>
      </c>
      <c r="W308" s="2" t="s">
        <v>443</v>
      </c>
      <c r="X308" s="488" t="str">
        <f>IF(X304="","",(MAX(X304:X307)-MIN(X304:X307))/(MAX(X304:X307)+MIN(X304:X307)))</f>
        <v/>
      </c>
      <c r="Y308" s="14"/>
      <c r="AB308" s="28"/>
      <c r="AC308" s="29" t="str">
        <f>IF(AB308&lt;&gt;AD308,"Change","")</f>
        <v/>
      </c>
      <c r="AD308" s="30" t="str">
        <f>IF(Q441="","",Q441)</f>
        <v/>
      </c>
    </row>
    <row r="309" spans="1:30" ht="14.1" customHeight="1" thickBot="1" x14ac:dyDescent="0.35">
      <c r="A309" s="3">
        <v>45</v>
      </c>
      <c r="B309" s="259"/>
      <c r="C309" s="520"/>
      <c r="D309" s="316" t="str">
        <f t="shared" si="67"/>
        <v/>
      </c>
      <c r="E309" s="359">
        <f t="shared" si="68"/>
        <v>0</v>
      </c>
      <c r="F309" s="359">
        <f t="shared" si="69"/>
        <v>0</v>
      </c>
      <c r="G309" s="360">
        <f t="shared" si="70"/>
        <v>0</v>
      </c>
      <c r="H309" s="316">
        <f t="shared" si="71"/>
        <v>0</v>
      </c>
      <c r="M309" s="260"/>
      <c r="O309" s="205" t="s">
        <v>252</v>
      </c>
      <c r="P309" s="130" t="str">
        <f>IF(P304="","",AVERAGE(P304:P308))</f>
        <v/>
      </c>
      <c r="R309" s="130" t="str">
        <f>IF(R304="","",AVERAGE(R304:R308))</f>
        <v/>
      </c>
      <c r="W309" s="2" t="s">
        <v>162</v>
      </c>
      <c r="X309" s="90" t="str">
        <f>IF(X308="","",IF(X308&lt;0.1,"YES","NO"))</f>
        <v/>
      </c>
      <c r="Y309" s="14"/>
      <c r="AB309" s="66"/>
      <c r="AD309" s="17"/>
    </row>
    <row r="310" spans="1:30" ht="14.1" customHeight="1" x14ac:dyDescent="0.3">
      <c r="A310" s="3">
        <v>46</v>
      </c>
      <c r="B310" s="259"/>
      <c r="C310" s="520"/>
      <c r="D310" s="316" t="str">
        <f t="shared" si="67"/>
        <v/>
      </c>
      <c r="E310" s="359">
        <f t="shared" si="68"/>
        <v>0</v>
      </c>
      <c r="F310" s="359">
        <f t="shared" si="69"/>
        <v>0</v>
      </c>
      <c r="G310" s="360">
        <f t="shared" si="70"/>
        <v>0</v>
      </c>
      <c r="H310" s="316">
        <f t="shared" si="71"/>
        <v>0</v>
      </c>
      <c r="M310" s="260"/>
      <c r="O310" s="205" t="s">
        <v>253</v>
      </c>
      <c r="P310" s="132" t="str">
        <f>IF(P304="","",STDEV(P304:P308))</f>
        <v/>
      </c>
      <c r="R310" s="132" t="str">
        <f>IF(R304="","",STDEV(R304:R308))</f>
        <v/>
      </c>
      <c r="V310" s="24" t="s">
        <v>168</v>
      </c>
      <c r="W310" s="17" t="s">
        <v>442</v>
      </c>
      <c r="Y310" s="14"/>
      <c r="AB310" s="28"/>
      <c r="AC310" s="29" t="str">
        <f>IF(AB310&lt;&gt;AD310,"Change","")</f>
        <v/>
      </c>
      <c r="AD310" s="30" t="str">
        <f>IF(Q443="","",Q443)</f>
        <v/>
      </c>
    </row>
    <row r="311" spans="1:30" ht="14.1" customHeight="1" thickBot="1" x14ac:dyDescent="0.35">
      <c r="A311" s="3">
        <v>47</v>
      </c>
      <c r="B311" s="259"/>
      <c r="C311" s="520"/>
      <c r="D311" s="316" t="str">
        <f t="shared" si="67"/>
        <v/>
      </c>
      <c r="E311" s="359">
        <f t="shared" si="68"/>
        <v>0</v>
      </c>
      <c r="F311" s="359">
        <f t="shared" si="69"/>
        <v>0</v>
      </c>
      <c r="G311" s="360">
        <f t="shared" si="70"/>
        <v>0</v>
      </c>
      <c r="H311" s="316">
        <f t="shared" si="71"/>
        <v>0</v>
      </c>
      <c r="M311" s="260"/>
      <c r="O311" s="205" t="s">
        <v>254</v>
      </c>
      <c r="P311" s="206" t="str">
        <f>IF(P309="","",IF(P309&gt;0,P310/P309,""))</f>
        <v/>
      </c>
      <c r="R311" s="474" t="str">
        <f>IF(R309="","",IF(R309&gt;0,R310/R309,""))</f>
        <v/>
      </c>
      <c r="Y311" s="14"/>
      <c r="AB311" s="66"/>
      <c r="AD311" s="17"/>
    </row>
    <row r="312" spans="1:30" ht="14.1" customHeight="1" thickBot="1" x14ac:dyDescent="0.35">
      <c r="A312" s="3">
        <v>48</v>
      </c>
      <c r="B312" s="259"/>
      <c r="C312" s="521"/>
      <c r="D312" s="318" t="str">
        <f t="shared" si="67"/>
        <v/>
      </c>
      <c r="E312" s="364">
        <f t="shared" si="68"/>
        <v>0</v>
      </c>
      <c r="F312" s="364">
        <f t="shared" si="69"/>
        <v>0</v>
      </c>
      <c r="G312" s="365">
        <f t="shared" si="70"/>
        <v>0</v>
      </c>
      <c r="H312" s="318">
        <f t="shared" si="71"/>
        <v>0</v>
      </c>
      <c r="M312" s="260"/>
      <c r="O312" s="13" t="s">
        <v>162</v>
      </c>
      <c r="P312" s="90" t="str">
        <f>IF(P311="","",IF(P311&lt;0.05,"YES","NO"))</f>
        <v/>
      </c>
      <c r="R312" s="125"/>
      <c r="Y312" s="14"/>
      <c r="AB312" s="28"/>
      <c r="AC312" s="29" t="str">
        <f>IF(AB312&lt;&gt;AD312,"Change","")</f>
        <v/>
      </c>
      <c r="AD312" s="30" t="str">
        <f>IF(Q445="","",Q445)</f>
        <v/>
      </c>
    </row>
    <row r="313" spans="1:30" ht="14.1" customHeight="1" x14ac:dyDescent="0.3">
      <c r="A313" s="3">
        <v>49</v>
      </c>
      <c r="B313" s="259"/>
      <c r="C313" s="532" t="str">
        <f>O200</f>
        <v xml:space="preserve">Auto </v>
      </c>
      <c r="D313" s="366" t="str">
        <f t="shared" si="67"/>
        <v/>
      </c>
      <c r="E313" s="367">
        <f t="shared" si="68"/>
        <v>0</v>
      </c>
      <c r="F313" s="367">
        <f t="shared" si="69"/>
        <v>0</v>
      </c>
      <c r="G313" s="368">
        <f t="shared" si="70"/>
        <v>0</v>
      </c>
      <c r="H313" s="366">
        <f t="shared" si="71"/>
        <v>0</v>
      </c>
      <c r="M313" s="260"/>
      <c r="O313" s="13"/>
      <c r="P313" s="24" t="s">
        <v>168</v>
      </c>
      <c r="Q313" s="146" t="s">
        <v>305</v>
      </c>
      <c r="Y313" s="14"/>
      <c r="AB313" s="66"/>
      <c r="AD313" s="17"/>
    </row>
    <row r="314" spans="1:30" ht="14.1" customHeight="1" x14ac:dyDescent="0.3">
      <c r="A314" s="3">
        <v>50</v>
      </c>
      <c r="B314" s="259"/>
      <c r="C314" s="520"/>
      <c r="D314" s="316" t="str">
        <f t="shared" si="67"/>
        <v/>
      </c>
      <c r="E314" s="359">
        <f t="shared" si="68"/>
        <v>0</v>
      </c>
      <c r="F314" s="359">
        <f t="shared" si="69"/>
        <v>0</v>
      </c>
      <c r="G314" s="360">
        <f t="shared" si="70"/>
        <v>0</v>
      </c>
      <c r="H314" s="316">
        <f t="shared" si="71"/>
        <v>0</v>
      </c>
      <c r="M314" s="260"/>
      <c r="O314" s="13"/>
      <c r="Y314" s="14"/>
      <c r="AB314" s="28"/>
      <c r="AC314" s="29" t="str">
        <f>IF(AB314&lt;&gt;AD314,"Change","")</f>
        <v/>
      </c>
      <c r="AD314" s="30" t="str">
        <f>IF(Q447="","",Q447)</f>
        <v/>
      </c>
    </row>
    <row r="315" spans="1:30" ht="14.1" customHeight="1" thickBot="1" x14ac:dyDescent="0.35">
      <c r="A315" s="3">
        <v>51</v>
      </c>
      <c r="B315" s="259"/>
      <c r="C315" s="520"/>
      <c r="D315" s="316" t="str">
        <f t="shared" si="67"/>
        <v/>
      </c>
      <c r="E315" s="359">
        <f t="shared" si="68"/>
        <v>0</v>
      </c>
      <c r="F315" s="359">
        <f t="shared" si="69"/>
        <v>0</v>
      </c>
      <c r="G315" s="360">
        <f t="shared" si="70"/>
        <v>0</v>
      </c>
      <c r="H315" s="316">
        <f t="shared" si="71"/>
        <v>0</v>
      </c>
      <c r="I315"/>
      <c r="J315"/>
      <c r="K315"/>
      <c r="L315"/>
      <c r="M315" s="260"/>
      <c r="O315" s="13"/>
      <c r="Y315" s="14"/>
      <c r="AB315" s="66"/>
      <c r="AD315" s="17"/>
    </row>
    <row r="316" spans="1:30" ht="14.1" customHeight="1" x14ac:dyDescent="0.3">
      <c r="A316" s="3">
        <v>52</v>
      </c>
      <c r="B316" s="259"/>
      <c r="C316" s="520"/>
      <c r="D316" s="316" t="str">
        <f t="shared" si="67"/>
        <v/>
      </c>
      <c r="E316" s="359">
        <f t="shared" si="68"/>
        <v>0</v>
      </c>
      <c r="F316" s="359">
        <f t="shared" si="69"/>
        <v>0</v>
      </c>
      <c r="G316" s="360">
        <f t="shared" si="70"/>
        <v>0</v>
      </c>
      <c r="H316" s="316">
        <f t="shared" si="71"/>
        <v>0</v>
      </c>
      <c r="I316"/>
      <c r="J316"/>
      <c r="K316"/>
      <c r="L316"/>
      <c r="M316" s="260"/>
      <c r="O316" s="109" t="s">
        <v>188</v>
      </c>
      <c r="P316" s="7"/>
      <c r="Q316" s="7"/>
      <c r="R316" s="7"/>
      <c r="S316" s="7"/>
      <c r="T316" s="7"/>
      <c r="U316" s="7"/>
      <c r="V316" s="7"/>
      <c r="W316" s="7"/>
      <c r="X316" s="7"/>
      <c r="Y316" s="8"/>
      <c r="AB316" s="28"/>
      <c r="AC316" s="29" t="str">
        <f>IF(AB316&lt;&gt;AD316,"Change","")</f>
        <v/>
      </c>
      <c r="AD316" s="30" t="str">
        <f>IF(Q449="","",Q449)</f>
        <v/>
      </c>
    </row>
    <row r="317" spans="1:30" ht="14.1" customHeight="1" thickBot="1" x14ac:dyDescent="0.35">
      <c r="A317" s="3">
        <v>53</v>
      </c>
      <c r="B317" s="259"/>
      <c r="C317" s="521"/>
      <c r="D317" s="318" t="str">
        <f t="shared" si="67"/>
        <v/>
      </c>
      <c r="E317" s="364">
        <f t="shared" si="68"/>
        <v>0</v>
      </c>
      <c r="F317" s="364">
        <f t="shared" si="69"/>
        <v>0</v>
      </c>
      <c r="G317" s="365">
        <f t="shared" si="70"/>
        <v>0</v>
      </c>
      <c r="H317" s="318">
        <f t="shared" si="71"/>
        <v>0</v>
      </c>
      <c r="I317"/>
      <c r="J317"/>
      <c r="K317"/>
      <c r="L317"/>
      <c r="M317" s="260"/>
      <c r="O317" s="13"/>
      <c r="Y317" s="14"/>
    </row>
    <row r="318" spans="1:30" ht="14.1" customHeight="1" thickBot="1" x14ac:dyDescent="0.35">
      <c r="A318" s="3">
        <v>54</v>
      </c>
      <c r="B318" s="259"/>
      <c r="C318" s="1" t="str">
        <f>P206</f>
        <v>Comments:</v>
      </c>
      <c r="D318" s="63" t="str">
        <f>IF(Q206="","",IF(LEN(Q206)&lt;=135,Q206,IF(LEN(Q206)&lt;=260,LEFT(Q206,SEARCH(" ",Q206,125)),LEFT(Q206,SEARCH(" ",Q206,130)))))</f>
        <v/>
      </c>
      <c r="E318" s="62"/>
      <c r="F318" s="62"/>
      <c r="G318" s="62"/>
      <c r="H318" s="62"/>
      <c r="I318" s="62"/>
      <c r="J318" s="62"/>
      <c r="K318" s="62"/>
      <c r="L318" s="62"/>
      <c r="M318" s="282"/>
      <c r="O318" s="21" t="s">
        <v>77</v>
      </c>
      <c r="P318" s="207" t="s">
        <v>306</v>
      </c>
      <c r="Q318" s="208" t="s">
        <v>307</v>
      </c>
      <c r="R318" s="209" t="s">
        <v>308</v>
      </c>
      <c r="S318" s="86" t="s">
        <v>309</v>
      </c>
      <c r="T318" s="86" t="s">
        <v>310</v>
      </c>
      <c r="U318" s="2" t="s">
        <v>189</v>
      </c>
      <c r="V318" s="44">
        <f>IF(W318&lt;&gt;"",W318,IF(AB157="","",AB157))</f>
        <v>70</v>
      </c>
      <c r="W318" s="45">
        <v>70</v>
      </c>
      <c r="X318"/>
      <c r="Y318" s="164"/>
      <c r="AA318" s="2" t="s">
        <v>423</v>
      </c>
      <c r="AB318" s="28"/>
      <c r="AC318" s="29" t="str">
        <f>IF(AB318&lt;&gt;AD318,"Change","")</f>
        <v>Change</v>
      </c>
      <c r="AD318" s="30">
        <f>IF(O48="","",O48)</f>
        <v>2</v>
      </c>
    </row>
    <row r="319" spans="1:30" ht="14.1" customHeight="1" x14ac:dyDescent="0.3">
      <c r="A319" s="3">
        <v>55</v>
      </c>
      <c r="B319" s="259"/>
      <c r="D319" s="103" t="str">
        <f>IF(LEN(Q206)&lt;=135,"",IF(LEN(Q206)&lt;=260,RIGHT(Q206,LEN(Q206)-SEARCH(" ",Q206,125)),MID(Q206,SEARCH(" ",Q206,130),IF(LEN(Q206)&lt;=265,LEN(Q206),SEARCH(" ",Q206,255)-SEARCH(" ",Q206,130)))))</f>
        <v/>
      </c>
      <c r="E319" s="105"/>
      <c r="F319" s="105"/>
      <c r="G319" s="105"/>
      <c r="H319" s="105"/>
      <c r="I319" s="105"/>
      <c r="J319" s="105"/>
      <c r="K319" s="105"/>
      <c r="L319" s="105"/>
      <c r="M319" s="283"/>
      <c r="O319" s="130" t="str">
        <f>IF($O$110="","",$O$110&amp;" "&amp;flocm_in)</f>
        <v/>
      </c>
      <c r="P319" s="118"/>
      <c r="Q319" s="119"/>
      <c r="R319" s="210"/>
      <c r="S319" s="211"/>
      <c r="T319" s="211"/>
      <c r="V319" s="536" t="s">
        <v>311</v>
      </c>
      <c r="W319" s="536"/>
      <c r="X319" s="17" t="s">
        <v>312</v>
      </c>
      <c r="Y319" s="164"/>
    </row>
    <row r="320" spans="1:30" ht="14.1" customHeight="1" x14ac:dyDescent="0.3">
      <c r="A320" s="3">
        <v>56</v>
      </c>
      <c r="B320" s="259"/>
      <c r="E320" s="103" t="str">
        <f>IF(LEN(Q206)&lt;=265,"",RIGHT(Q206,LEN(Q206)-SEARCH(" ",Q206,255)))</f>
        <v/>
      </c>
      <c r="F320" s="105"/>
      <c r="G320" s="105"/>
      <c r="H320" s="105"/>
      <c r="I320" s="105"/>
      <c r="J320" s="105"/>
      <c r="K320" s="105"/>
      <c r="L320" s="105"/>
      <c r="M320" s="283"/>
      <c r="O320" s="132" t="str">
        <f>IF($O$113="","",$O$113&amp;" "&amp;flocm_in)</f>
        <v/>
      </c>
      <c r="P320" s="212"/>
      <c r="Q320" s="213"/>
      <c r="R320" s="214"/>
      <c r="S320" s="215"/>
      <c r="T320" s="215"/>
      <c r="V320" s="216">
        <v>1</v>
      </c>
      <c r="W320" s="121" t="s">
        <v>313</v>
      </c>
      <c r="X320" s="17" t="s">
        <v>314</v>
      </c>
      <c r="Y320" s="164"/>
    </row>
    <row r="321" spans="1:25" ht="14.1" customHeight="1" x14ac:dyDescent="0.3">
      <c r="A321" s="3">
        <v>57</v>
      </c>
      <c r="B321" s="279"/>
      <c r="C321" s="204" t="s">
        <v>315</v>
      </c>
      <c r="D321" s="72"/>
      <c r="E321" s="7"/>
      <c r="F321" s="7"/>
      <c r="G321" s="72" t="s">
        <v>260</v>
      </c>
      <c r="H321" s="7"/>
      <c r="I321" s="72"/>
      <c r="J321" s="72"/>
      <c r="K321" s="7"/>
      <c r="L321" s="7"/>
      <c r="M321" s="280"/>
      <c r="O321" s="132" t="str">
        <f>IF($O$116="","",$O$116&amp;" "&amp;flocm_in)</f>
        <v/>
      </c>
      <c r="P321" s="212"/>
      <c r="Q321" s="213"/>
      <c r="R321" s="214"/>
      <c r="S321" s="215"/>
      <c r="T321" s="215"/>
      <c r="V321" s="216">
        <v>2</v>
      </c>
      <c r="W321" s="121" t="s">
        <v>316</v>
      </c>
      <c r="X321"/>
      <c r="Y321" s="164"/>
    </row>
    <row r="322" spans="1:25" ht="14.1" customHeight="1" thickBot="1" x14ac:dyDescent="0.35">
      <c r="A322" s="3">
        <v>58</v>
      </c>
      <c r="B322" s="259"/>
      <c r="D322" s="2"/>
      <c r="E322" t="str">
        <f t="shared" ref="E322:H323" si="73">Q236</f>
        <v>kVp</v>
      </c>
      <c r="F322" t="str">
        <f t="shared" si="73"/>
        <v>mA</v>
      </c>
      <c r="G322" t="str">
        <f t="shared" si="73"/>
        <v>mGy/min</v>
      </c>
      <c r="H322" t="str">
        <f t="shared" si="73"/>
        <v>uGy/hr</v>
      </c>
      <c r="I322" t="str">
        <f>S238</f>
        <v>Unshielded</v>
      </c>
      <c r="J322" t="str">
        <f>T238</f>
        <v>Shielded</v>
      </c>
      <c r="K322"/>
      <c r="L322" s="379" t="str">
        <f>W236</f>
        <v>Acceptable</v>
      </c>
      <c r="M322" s="260"/>
      <c r="O322" s="132" t="str">
        <f>IF($O$119="","",$O$119&amp;" "&amp;flocm_in)</f>
        <v/>
      </c>
      <c r="P322" s="212"/>
      <c r="Q322" s="213"/>
      <c r="R322" s="214"/>
      <c r="S322" s="215"/>
      <c r="T322" s="215"/>
      <c r="V322" s="216">
        <v>3</v>
      </c>
      <c r="W322" s="121" t="s">
        <v>317</v>
      </c>
      <c r="X322"/>
      <c r="Y322" s="164"/>
    </row>
    <row r="323" spans="1:25" ht="14.1" customHeight="1" thickBot="1" x14ac:dyDescent="0.35">
      <c r="A323" s="3">
        <v>59</v>
      </c>
      <c r="B323" s="259"/>
      <c r="C323"/>
      <c r="D323" s="376" t="str">
        <f>P237</f>
        <v>Transmission* @ 10cm</v>
      </c>
      <c r="E323" s="377">
        <f t="shared" si="73"/>
        <v>0</v>
      </c>
      <c r="F323" s="377">
        <f t="shared" si="73"/>
        <v>0</v>
      </c>
      <c r="G323" s="499">
        <f t="shared" si="73"/>
        <v>0</v>
      </c>
      <c r="H323" s="378">
        <f t="shared" si="73"/>
        <v>0</v>
      </c>
      <c r="I323" t="str">
        <f>S239</f>
        <v>uGy/hr</v>
      </c>
      <c r="J323" t="str">
        <f>T239</f>
        <v>uGy/hr</v>
      </c>
      <c r="K323"/>
      <c r="L323" s="380" t="str">
        <f>W237</f>
        <v>YES</v>
      </c>
      <c r="M323" s="260"/>
      <c r="O323" s="125" t="str">
        <f>IF($O$122="","",$O$122&amp;" "&amp;flocm_in)</f>
        <v/>
      </c>
      <c r="P323" s="217"/>
      <c r="Q323" s="218"/>
      <c r="R323" s="219"/>
      <c r="S323" s="220"/>
      <c r="T323" s="220"/>
      <c r="V323" s="216">
        <v>4</v>
      </c>
      <c r="W323" s="121" t="s">
        <v>318</v>
      </c>
      <c r="X323"/>
      <c r="Y323" s="164"/>
    </row>
    <row r="324" spans="1:25" ht="14.1" customHeight="1" thickBot="1" x14ac:dyDescent="0.35">
      <c r="A324" s="3">
        <v>60</v>
      </c>
      <c r="B324" s="259"/>
      <c r="C324" s="525" t="str">
        <f>O240</f>
        <v>Scatter – Fluoro</v>
      </c>
      <c r="D324" s="369" t="str">
        <f>P240</f>
        <v>Eye level</v>
      </c>
      <c r="E324" s="353">
        <f>Q240</f>
        <v>0</v>
      </c>
      <c r="F324" s="353">
        <f>R240</f>
        <v>0</v>
      </c>
      <c r="G324" s="370"/>
      <c r="H324" s="371"/>
      <c r="I324" s="300" t="str">
        <f>S240</f>
        <v/>
      </c>
      <c r="J324" s="295" t="str">
        <f t="shared" ref="J324:J325" si="74">T240</f>
        <v/>
      </c>
      <c r="M324" s="260"/>
      <c r="O324" s="13"/>
      <c r="R324" s="1" t="s">
        <v>162</v>
      </c>
      <c r="S324" s="128" t="str">
        <f>IF(AND(H401="",H402="",H403="",H404="",H405=""),"NA",IF(OR(I401="NO",I402="NO",I403="NO",I404="NO",I405="NO"),"NO","YES"))</f>
        <v>NA</v>
      </c>
      <c r="T324" s="99" t="str">
        <f>IF(AND(K401="",K402="",K403="",K404="",K405=""),"NA",IF(OR(K401="NO",K402="NO",K403="NO",K404="NO",K405="NO"),"NO","YES"))</f>
        <v>NA</v>
      </c>
      <c r="V324"/>
      <c r="X324"/>
      <c r="Y324" s="164"/>
    </row>
    <row r="325" spans="1:25" ht="14.1" customHeight="1" thickBot="1" x14ac:dyDescent="0.35">
      <c r="A325" s="3">
        <v>61</v>
      </c>
      <c r="B325" s="259"/>
      <c r="C325" s="526"/>
      <c r="D325" s="372" t="str">
        <f>P241</f>
        <v>Waist level</v>
      </c>
      <c r="E325" s="355">
        <f>Q241</f>
        <v>0</v>
      </c>
      <c r="F325" s="355">
        <f>R241</f>
        <v>0</v>
      </c>
      <c r="G325" s="373"/>
      <c r="H325" s="374"/>
      <c r="I325" s="355" t="str">
        <f>S241</f>
        <v/>
      </c>
      <c r="J325" s="375" t="str">
        <f t="shared" si="74"/>
        <v/>
      </c>
      <c r="M325" s="260"/>
      <c r="O325" s="13"/>
      <c r="P325" s="2" t="s">
        <v>171</v>
      </c>
      <c r="Q325" s="101" t="str">
        <f>IF(Q327&lt;&gt;"",Q327,IF(AB240="","",AB240))</f>
        <v/>
      </c>
      <c r="R325" s="62"/>
      <c r="S325" s="62"/>
      <c r="T325" s="62"/>
      <c r="U325" s="62"/>
      <c r="V325"/>
      <c r="X325" s="62"/>
      <c r="Y325" s="14"/>
    </row>
    <row r="326" spans="1:25" ht="14.1" customHeight="1" x14ac:dyDescent="0.3">
      <c r="A326" s="3">
        <v>62</v>
      </c>
      <c r="B326" s="259"/>
      <c r="C326" s="1" t="str">
        <f>P247</f>
        <v>Comments:</v>
      </c>
      <c r="D326" s="63" t="str">
        <f>IF(Q247="","",IF(LEN(Q247)&lt;=135,Q247,IF(LEN(Q247)&lt;=260,LEFT(Q247,SEARCH(" ",Q247,125)),LEFT(Q247,SEARCH(" ",Q247,130)))))</f>
        <v/>
      </c>
      <c r="E326" s="62"/>
      <c r="F326" s="62"/>
      <c r="G326" s="62"/>
      <c r="H326" s="62"/>
      <c r="I326" s="62"/>
      <c r="J326" s="62"/>
      <c r="K326" s="62"/>
      <c r="L326" s="62"/>
      <c r="M326" s="282"/>
      <c r="O326" s="13"/>
      <c r="P326" s="102" t="s">
        <v>172</v>
      </c>
      <c r="Q326" s="103"/>
      <c r="R326" s="104">
        <f>LEN(Q325)</f>
        <v>0</v>
      </c>
      <c r="S326" s="105"/>
      <c r="T326" s="105"/>
      <c r="U326" s="105"/>
      <c r="V326" s="105"/>
      <c r="W326" s="105"/>
      <c r="X326" s="105"/>
      <c r="Y326" s="14"/>
    </row>
    <row r="327" spans="1:25" ht="14.1" customHeight="1" x14ac:dyDescent="0.3">
      <c r="A327" s="3">
        <v>63</v>
      </c>
      <c r="B327" s="259"/>
      <c r="D327" s="103" t="str">
        <f>IF(LEN(Q247)&lt;=135,"",IF(LEN(Q247)&lt;=260,RIGHT(Q247,LEN(Q247)-SEARCH(" ",Q247,125)),MID(Q247,SEARCH(" ",Q247,130),IF(LEN(Q247)&lt;=265,LEN(Q247),SEARCH(" ",Q247,255)-SEARCH(" ",Q247,130)))))</f>
        <v/>
      </c>
      <c r="E327" s="105"/>
      <c r="F327" s="105"/>
      <c r="G327" s="105"/>
      <c r="H327" s="105"/>
      <c r="I327" s="105"/>
      <c r="J327" s="105"/>
      <c r="K327" s="105"/>
      <c r="L327" s="105"/>
      <c r="M327" s="283"/>
      <c r="O327" s="13"/>
      <c r="P327" s="2" t="s">
        <v>174</v>
      </c>
      <c r="Q327" s="107"/>
      <c r="R327" s="105"/>
      <c r="S327" s="105"/>
      <c r="T327" s="105"/>
      <c r="U327" s="105"/>
      <c r="V327" s="105"/>
      <c r="W327" s="105"/>
      <c r="X327" s="105"/>
      <c r="Y327" s="14"/>
    </row>
    <row r="328" spans="1:25" ht="14.1" customHeight="1" x14ac:dyDescent="0.3">
      <c r="A328" s="3">
        <v>64</v>
      </c>
      <c r="B328" s="261"/>
      <c r="C328" s="262"/>
      <c r="D328" s="262"/>
      <c r="E328" s="284" t="str">
        <f>IF(LEN(Q247)&lt;=265,"",RIGHT(Q247,LEN(Q247)-SEARCH(" ",Q247,255)))</f>
        <v/>
      </c>
      <c r="F328" s="262"/>
      <c r="G328" s="262"/>
      <c r="H328" s="262"/>
      <c r="I328" s="262"/>
      <c r="J328" s="262"/>
      <c r="K328" s="262"/>
      <c r="L328" s="262"/>
      <c r="M328" s="263"/>
      <c r="O328" s="13"/>
      <c r="Y328" s="14"/>
    </row>
    <row r="329" spans="1:25" ht="14.1" customHeight="1" x14ac:dyDescent="0.3">
      <c r="A329" s="3">
        <v>65</v>
      </c>
      <c r="C329" s="2" t="s">
        <v>8</v>
      </c>
      <c r="D329" s="437" t="str">
        <f>IF($P$7="","",$P$7)</f>
        <v/>
      </c>
      <c r="L329" s="2" t="s">
        <v>9</v>
      </c>
      <c r="M329" s="62" t="str">
        <f>IF($X$7="","",$X$7)</f>
        <v>Eugene Mah</v>
      </c>
      <c r="O329" s="75" t="s">
        <v>319</v>
      </c>
      <c r="P329"/>
      <c r="Q329" s="537" t="s">
        <v>320</v>
      </c>
      <c r="R329" s="537"/>
      <c r="S329" s="537"/>
      <c r="T329" s="537"/>
      <c r="U329" s="537"/>
      <c r="Y329" s="14"/>
    </row>
    <row r="330" spans="1:25" ht="14.1" customHeight="1" x14ac:dyDescent="0.3">
      <c r="A330" s="3">
        <v>66</v>
      </c>
      <c r="C330" s="2" t="s">
        <v>74</v>
      </c>
      <c r="D330" s="63" t="str">
        <f>IF($R$14="","",$R$14&amp;" Tube "&amp;$W$48)</f>
        <v/>
      </c>
      <c r="L330" s="2" t="s">
        <v>23</v>
      </c>
      <c r="M330" s="64" t="str">
        <f>IF($R$13="","",$R$13)</f>
        <v/>
      </c>
      <c r="O330" s="122"/>
      <c r="P330" s="121" t="s">
        <v>321</v>
      </c>
      <c r="Q330" s="216" t="str">
        <f>IF($O$110="","",$O$110&amp;" "&amp;flocm_in)</f>
        <v/>
      </c>
      <c r="R330" s="216" t="str">
        <f>IF($O$113="","",$O$113&amp;" "&amp;flocm_in)</f>
        <v/>
      </c>
      <c r="S330" s="216" t="str">
        <f>IF($O$116="","",$O$116&amp;" "&amp;flocm_in)</f>
        <v/>
      </c>
      <c r="T330" s="216" t="str">
        <f>IF($O$119="","",$O$119&amp;" "&amp;flocm_in)</f>
        <v/>
      </c>
      <c r="U330" s="216" t="str">
        <f>IF($O$122="","",$O$122&amp;" "&amp;flocm_in)</f>
        <v/>
      </c>
      <c r="Y330" s="14"/>
    </row>
    <row r="331" spans="1:25" ht="14.1" customHeight="1" x14ac:dyDescent="0.3">
      <c r="A331" s="3">
        <v>1</v>
      </c>
      <c r="M331" s="65" t="str">
        <f>$H$2</f>
        <v>Medical University of South Carolina</v>
      </c>
      <c r="O331" s="122"/>
      <c r="P331" s="121" t="s">
        <v>322</v>
      </c>
      <c r="Q331" s="213"/>
      <c r="R331" s="213"/>
      <c r="S331" s="213"/>
      <c r="T331" s="213"/>
      <c r="U331" s="213"/>
      <c r="Y331" s="14"/>
    </row>
    <row r="332" spans="1:25" ht="14.1" customHeight="1" x14ac:dyDescent="0.3">
      <c r="A332" s="3">
        <v>2</v>
      </c>
      <c r="H332" s="31" t="str">
        <f>$H$68</f>
        <v>Inspection Results</v>
      </c>
      <c r="M332" s="24" t="str">
        <f>$H$5</f>
        <v>Fluoroscopy System Compliance Inspection</v>
      </c>
      <c r="O332" s="122"/>
      <c r="P332" s="121" t="s">
        <v>323</v>
      </c>
      <c r="Q332" s="213"/>
      <c r="R332" s="213"/>
      <c r="S332" s="213"/>
      <c r="T332" s="213"/>
      <c r="U332" s="213"/>
      <c r="Y332" s="14"/>
    </row>
    <row r="333" spans="1:25" ht="14.1" customHeight="1" thickTop="1" x14ac:dyDescent="0.3">
      <c r="A333" s="3">
        <v>3</v>
      </c>
      <c r="B333" s="256"/>
      <c r="C333" s="277" t="str">
        <f>$O$137</f>
        <v>Patient Entrance Exposure Rate – Pulse Fluroscopy</v>
      </c>
      <c r="D333" s="257"/>
      <c r="E333" s="257"/>
      <c r="F333" s="257"/>
      <c r="G333" s="257"/>
      <c r="H333" s="445" t="str">
        <f>H267</f>
        <v>Test equipment:</v>
      </c>
      <c r="I333" s="446" t="str">
        <f t="shared" ref="I333:M333" si="75">I267</f>
        <v>Piranha 1 CB2-17090320</v>
      </c>
      <c r="J333" s="445" t="str">
        <f t="shared" si="75"/>
        <v>Calibration date:</v>
      </c>
      <c r="K333" s="449" t="str">
        <f t="shared" si="75"/>
        <v/>
      </c>
      <c r="L333" s="445" t="str">
        <f t="shared" si="75"/>
        <v>Calibration due:</v>
      </c>
      <c r="M333" s="450" t="str">
        <f t="shared" si="75"/>
        <v/>
      </c>
      <c r="O333" s="122"/>
      <c r="P333" s="121" t="s">
        <v>324</v>
      </c>
      <c r="Q333" s="213"/>
      <c r="R333" s="213"/>
      <c r="S333" s="213"/>
      <c r="T333" s="213"/>
      <c r="U333" s="213"/>
      <c r="Y333" s="14"/>
    </row>
    <row r="334" spans="1:25" ht="14.1" customHeight="1" x14ac:dyDescent="0.3">
      <c r="A334" s="3">
        <v>4</v>
      </c>
      <c r="B334" s="259"/>
      <c r="C334" s="321" t="str">
        <f t="shared" ref="C334:D336" si="76">O138</f>
        <v>Image</v>
      </c>
      <c r="D334" s="321" t="str">
        <f t="shared" si="76"/>
        <v>Acrylic</v>
      </c>
      <c r="E334"/>
      <c r="F334"/>
      <c r="G334"/>
      <c r="H334"/>
      <c r="I334"/>
      <c r="J334"/>
      <c r="K334"/>
      <c r="L334"/>
      <c r="M334" s="269"/>
      <c r="O334" s="122"/>
      <c r="P334" s="121" t="s">
        <v>325</v>
      </c>
      <c r="Q334" s="213"/>
      <c r="R334" s="213"/>
      <c r="S334" s="213"/>
      <c r="T334" s="213"/>
      <c r="U334" s="213"/>
      <c r="Y334" s="14"/>
    </row>
    <row r="335" spans="1:25" ht="14.1" customHeight="1" x14ac:dyDescent="0.3">
      <c r="A335" s="3">
        <v>5</v>
      </c>
      <c r="B335" s="259"/>
      <c r="C335" s="321" t="str">
        <f t="shared" si="76"/>
        <v>Mode</v>
      </c>
      <c r="D335" s="321" t="str">
        <f t="shared" si="76"/>
        <v>Attenuator</v>
      </c>
      <c r="E335" s="538" t="str">
        <f>Q139</f>
        <v>Auto 1</v>
      </c>
      <c r="F335" s="539"/>
      <c r="G335" s="539"/>
      <c r="H335" s="539" t="str">
        <f>T139</f>
        <v/>
      </c>
      <c r="I335" s="539"/>
      <c r="J335" s="539"/>
      <c r="K335" s="540" t="str">
        <f>W139</f>
        <v xml:space="preserve">Auto </v>
      </c>
      <c r="L335" s="540"/>
      <c r="M335" s="541"/>
      <c r="O335" s="122"/>
      <c r="P335" s="121" t="s">
        <v>326</v>
      </c>
      <c r="Q335" s="213"/>
      <c r="R335" s="213"/>
      <c r="S335" s="213"/>
      <c r="T335" s="213"/>
      <c r="U335" s="213"/>
      <c r="Y335" s="14"/>
    </row>
    <row r="336" spans="1:25" ht="14.1" customHeight="1" thickBot="1" x14ac:dyDescent="0.35">
      <c r="A336" s="3">
        <v>6</v>
      </c>
      <c r="B336" s="259"/>
      <c r="C336" s="324" t="str">
        <f t="shared" si="76"/>
        <v>(cm)</v>
      </c>
      <c r="D336" s="321" t="str">
        <f t="shared" si="76"/>
        <v>(cm)</v>
      </c>
      <c r="E336" t="str">
        <f>Q140</f>
        <v>kVp</v>
      </c>
      <c r="F336" t="str">
        <f>R140</f>
        <v>mA</v>
      </c>
      <c r="G336" s="164" t="str">
        <f>S140</f>
        <v>mGy/min</v>
      </c>
      <c r="H336" s="122" t="str">
        <f>T140</f>
        <v>kVp</v>
      </c>
      <c r="I336" t="str">
        <f>U140</f>
        <v>mA</v>
      </c>
      <c r="J336" s="164" t="str">
        <f>V140</f>
        <v>mGy/min</v>
      </c>
      <c r="K336" s="122" t="str">
        <f>W140</f>
        <v>kVp</v>
      </c>
      <c r="L336" t="str">
        <f>X140</f>
        <v>mA</v>
      </c>
      <c r="M336" s="269" t="str">
        <f>Y140</f>
        <v>mGy/min</v>
      </c>
      <c r="O336" s="122"/>
      <c r="P336" s="121" t="s">
        <v>327</v>
      </c>
      <c r="Q336" s="213"/>
      <c r="R336" s="213"/>
      <c r="S336" s="213"/>
      <c r="T336" s="213"/>
      <c r="U336" s="213"/>
      <c r="Y336" s="14"/>
    </row>
    <row r="337" spans="1:25" ht="14.1" customHeight="1" thickBot="1" x14ac:dyDescent="0.35">
      <c r="A337" s="3">
        <v>7</v>
      </c>
      <c r="B337" s="259"/>
      <c r="C337" s="514" t="str">
        <f>O142&amp;" "&amp;flocm_in</f>
        <v xml:space="preserve"> cm</v>
      </c>
      <c r="D337" s="385">
        <f t="shared" ref="D337:D352" si="77">P141</f>
        <v>10</v>
      </c>
      <c r="E337" s="294">
        <f t="shared" ref="E337:E352" si="78">IF(Q141="","",Q141)</f>
        <v>0</v>
      </c>
      <c r="F337" s="300">
        <f t="shared" ref="F337:F352" si="79">IF(R141="","",R141)</f>
        <v>0</v>
      </c>
      <c r="G337" s="295">
        <f t="shared" ref="G337:G352" si="80">IF(S141="","",S141)</f>
        <v>0</v>
      </c>
      <c r="H337" s="336">
        <f t="shared" ref="H337:H352" si="81">IF(T141="","",T141)</f>
        <v>0</v>
      </c>
      <c r="I337" s="300">
        <f t="shared" ref="I337:I352" si="82">IF(U141="","",U141)</f>
        <v>0</v>
      </c>
      <c r="J337" s="295">
        <f t="shared" ref="J337:J352" si="83">IF(V141="","",V141)</f>
        <v>0</v>
      </c>
      <c r="K337" s="336">
        <f t="shared" ref="K337:K352" si="84">IF(W141="","",W141)</f>
        <v>0</v>
      </c>
      <c r="L337" s="300">
        <f t="shared" ref="L337:L352" si="85">IF(X141="","",X141)</f>
        <v>0</v>
      </c>
      <c r="M337" s="332">
        <f t="shared" ref="M337:M352" si="86">IF(Y141="","",Y141)</f>
        <v>0</v>
      </c>
      <c r="O337" s="122"/>
      <c r="P337" s="121" t="s">
        <v>328</v>
      </c>
      <c r="Q337" s="213"/>
      <c r="R337" s="213"/>
      <c r="S337" s="213"/>
      <c r="T337" s="213"/>
      <c r="U337" s="213"/>
      <c r="Y337" s="14"/>
    </row>
    <row r="338" spans="1:25" ht="14.1" customHeight="1" thickBot="1" x14ac:dyDescent="0.35">
      <c r="A338" s="3">
        <v>8</v>
      </c>
      <c r="B338" s="259"/>
      <c r="C338" s="514"/>
      <c r="D338" s="386">
        <f t="shared" si="77"/>
        <v>20</v>
      </c>
      <c r="E338" s="296">
        <f t="shared" si="78"/>
        <v>0</v>
      </c>
      <c r="F338" s="301">
        <f t="shared" si="79"/>
        <v>0</v>
      </c>
      <c r="G338" s="297">
        <f t="shared" si="80"/>
        <v>0</v>
      </c>
      <c r="H338" s="337">
        <f t="shared" si="81"/>
        <v>0</v>
      </c>
      <c r="I338" s="301">
        <f t="shared" si="82"/>
        <v>0</v>
      </c>
      <c r="J338" s="297">
        <f t="shared" si="83"/>
        <v>0</v>
      </c>
      <c r="K338" s="337">
        <f t="shared" si="84"/>
        <v>0</v>
      </c>
      <c r="L338" s="301">
        <f t="shared" si="85"/>
        <v>0</v>
      </c>
      <c r="M338" s="333">
        <f t="shared" si="86"/>
        <v>0</v>
      </c>
      <c r="O338" s="122"/>
      <c r="P338" s="121" t="s">
        <v>329</v>
      </c>
      <c r="Q338" s="213"/>
      <c r="R338" s="213"/>
      <c r="S338" s="213"/>
      <c r="T338" s="213"/>
      <c r="U338" s="213"/>
      <c r="Y338" s="14"/>
    </row>
    <row r="339" spans="1:25" ht="14.1" customHeight="1" thickBot="1" x14ac:dyDescent="0.35">
      <c r="A339" s="3">
        <v>9</v>
      </c>
      <c r="B339" s="259"/>
      <c r="C339" s="514"/>
      <c r="D339" s="387">
        <f t="shared" si="77"/>
        <v>30</v>
      </c>
      <c r="E339" s="383">
        <f t="shared" si="78"/>
        <v>0</v>
      </c>
      <c r="F339" s="314">
        <f t="shared" si="79"/>
        <v>0</v>
      </c>
      <c r="G339" s="356">
        <f t="shared" si="80"/>
        <v>0</v>
      </c>
      <c r="H339" s="390">
        <f t="shared" si="81"/>
        <v>0</v>
      </c>
      <c r="I339" s="314">
        <f t="shared" si="82"/>
        <v>0</v>
      </c>
      <c r="J339" s="356">
        <f t="shared" si="83"/>
        <v>0</v>
      </c>
      <c r="K339" s="390">
        <f t="shared" si="84"/>
        <v>0</v>
      </c>
      <c r="L339" s="314">
        <f t="shared" si="85"/>
        <v>0</v>
      </c>
      <c r="M339" s="384">
        <f t="shared" si="86"/>
        <v>0</v>
      </c>
      <c r="O339" s="122"/>
      <c r="P339" s="121" t="s">
        <v>330</v>
      </c>
      <c r="Q339" s="213"/>
      <c r="R339" s="213"/>
      <c r="S339" s="213"/>
      <c r="T339" s="213"/>
      <c r="U339" s="213"/>
      <c r="Y339" s="14"/>
    </row>
    <row r="340" spans="1:25" ht="14.1" customHeight="1" thickBot="1" x14ac:dyDescent="0.35">
      <c r="A340" s="3">
        <v>10</v>
      </c>
      <c r="B340" s="259"/>
      <c r="C340" s="514" t="str">
        <f>O145&amp;" "&amp;flocm_in</f>
        <v xml:space="preserve"> cm</v>
      </c>
      <c r="D340" s="385">
        <f t="shared" si="77"/>
        <v>10</v>
      </c>
      <c r="E340" s="294">
        <f t="shared" si="78"/>
        <v>0</v>
      </c>
      <c r="F340" s="300">
        <f t="shared" si="79"/>
        <v>0</v>
      </c>
      <c r="G340" s="295">
        <f t="shared" si="80"/>
        <v>0</v>
      </c>
      <c r="H340" s="336">
        <f t="shared" si="81"/>
        <v>0</v>
      </c>
      <c r="I340" s="300">
        <f t="shared" si="82"/>
        <v>0</v>
      </c>
      <c r="J340" s="295">
        <f t="shared" si="83"/>
        <v>0</v>
      </c>
      <c r="K340" s="336">
        <f t="shared" si="84"/>
        <v>0</v>
      </c>
      <c r="L340" s="300">
        <f t="shared" si="85"/>
        <v>0</v>
      </c>
      <c r="M340" s="332">
        <f t="shared" si="86"/>
        <v>0</v>
      </c>
      <c r="O340" s="122"/>
      <c r="P340" s="121" t="s">
        <v>331</v>
      </c>
      <c r="Q340" s="213"/>
      <c r="R340" s="213"/>
      <c r="S340" s="213"/>
      <c r="T340" s="213"/>
      <c r="U340" s="213"/>
      <c r="Y340" s="14"/>
    </row>
    <row r="341" spans="1:25" ht="14.1" customHeight="1" thickBot="1" x14ac:dyDescent="0.35">
      <c r="A341" s="3">
        <v>11</v>
      </c>
      <c r="B341" s="259"/>
      <c r="C341" s="514"/>
      <c r="D341" s="386">
        <f t="shared" si="77"/>
        <v>20</v>
      </c>
      <c r="E341" s="296">
        <f t="shared" si="78"/>
        <v>0</v>
      </c>
      <c r="F341" s="301">
        <f t="shared" si="79"/>
        <v>0</v>
      </c>
      <c r="G341" s="297">
        <f t="shared" si="80"/>
        <v>0</v>
      </c>
      <c r="H341" s="337">
        <f t="shared" si="81"/>
        <v>0</v>
      </c>
      <c r="I341" s="301">
        <f t="shared" si="82"/>
        <v>0</v>
      </c>
      <c r="J341" s="297">
        <f t="shared" si="83"/>
        <v>0</v>
      </c>
      <c r="K341" s="337">
        <f t="shared" si="84"/>
        <v>0</v>
      </c>
      <c r="L341" s="301">
        <f t="shared" si="85"/>
        <v>0</v>
      </c>
      <c r="M341" s="333">
        <f t="shared" si="86"/>
        <v>0</v>
      </c>
      <c r="O341" s="122"/>
      <c r="P341" s="121" t="s">
        <v>332</v>
      </c>
      <c r="Q341" s="213"/>
      <c r="R341" s="213"/>
      <c r="S341" s="213"/>
      <c r="T341" s="213"/>
      <c r="U341" s="213"/>
      <c r="Y341" s="14"/>
    </row>
    <row r="342" spans="1:25" ht="14.1" customHeight="1" thickBot="1" x14ac:dyDescent="0.35">
      <c r="A342" s="3">
        <v>12</v>
      </c>
      <c r="B342" s="259"/>
      <c r="C342" s="514"/>
      <c r="D342" s="388">
        <f t="shared" si="77"/>
        <v>30</v>
      </c>
      <c r="E342" s="298">
        <f t="shared" si="78"/>
        <v>0</v>
      </c>
      <c r="F342" s="302">
        <f t="shared" si="79"/>
        <v>0</v>
      </c>
      <c r="G342" s="299">
        <f t="shared" si="80"/>
        <v>0</v>
      </c>
      <c r="H342" s="338">
        <f t="shared" si="81"/>
        <v>0</v>
      </c>
      <c r="I342" s="302">
        <f t="shared" si="82"/>
        <v>0</v>
      </c>
      <c r="J342" s="299">
        <f t="shared" si="83"/>
        <v>0</v>
      </c>
      <c r="K342" s="338">
        <f t="shared" si="84"/>
        <v>0</v>
      </c>
      <c r="L342" s="302">
        <f t="shared" si="85"/>
        <v>0</v>
      </c>
      <c r="M342" s="334">
        <f t="shared" si="86"/>
        <v>0</v>
      </c>
      <c r="O342" s="122"/>
      <c r="P342" s="121" t="s">
        <v>333</v>
      </c>
      <c r="Q342" s="213"/>
      <c r="R342" s="213"/>
      <c r="S342" s="213"/>
      <c r="T342" s="213"/>
      <c r="U342" s="213"/>
      <c r="Y342" s="14"/>
    </row>
    <row r="343" spans="1:25" ht="14.1" customHeight="1" thickBot="1" x14ac:dyDescent="0.35">
      <c r="A343" s="3">
        <v>13</v>
      </c>
      <c r="B343" s="259"/>
      <c r="C343" s="514" t="str">
        <f>O148&amp;" "&amp;flocm_in</f>
        <v xml:space="preserve"> cm</v>
      </c>
      <c r="D343" s="389">
        <f t="shared" si="77"/>
        <v>10</v>
      </c>
      <c r="E343" s="309">
        <f t="shared" si="78"/>
        <v>0</v>
      </c>
      <c r="F343" s="310">
        <f t="shared" si="79"/>
        <v>0</v>
      </c>
      <c r="G343" s="340">
        <f t="shared" si="80"/>
        <v>0</v>
      </c>
      <c r="H343" s="339">
        <f t="shared" si="81"/>
        <v>0</v>
      </c>
      <c r="I343" s="310">
        <f t="shared" si="82"/>
        <v>0</v>
      </c>
      <c r="J343" s="340">
        <f t="shared" si="83"/>
        <v>0</v>
      </c>
      <c r="K343" s="339">
        <f t="shared" si="84"/>
        <v>0</v>
      </c>
      <c r="L343" s="310">
        <f t="shared" si="85"/>
        <v>0</v>
      </c>
      <c r="M343" s="335">
        <f t="shared" si="86"/>
        <v>0</v>
      </c>
      <c r="O343" s="13"/>
      <c r="Y343" s="14"/>
    </row>
    <row r="344" spans="1:25" ht="14.1" customHeight="1" thickBot="1" x14ac:dyDescent="0.35">
      <c r="A344" s="3">
        <v>14</v>
      </c>
      <c r="B344" s="259"/>
      <c r="C344" s="514"/>
      <c r="D344" s="386">
        <f t="shared" si="77"/>
        <v>20</v>
      </c>
      <c r="E344" s="296">
        <f t="shared" si="78"/>
        <v>0</v>
      </c>
      <c r="F344" s="301">
        <f t="shared" si="79"/>
        <v>0</v>
      </c>
      <c r="G344" s="297">
        <f t="shared" si="80"/>
        <v>0</v>
      </c>
      <c r="H344" s="337">
        <f t="shared" si="81"/>
        <v>0</v>
      </c>
      <c r="I344" s="301">
        <f t="shared" si="82"/>
        <v>0</v>
      </c>
      <c r="J344" s="297">
        <f t="shared" si="83"/>
        <v>0</v>
      </c>
      <c r="K344" s="337">
        <f t="shared" si="84"/>
        <v>0</v>
      </c>
      <c r="L344" s="301">
        <f t="shared" si="85"/>
        <v>0</v>
      </c>
      <c r="M344" s="333">
        <f t="shared" si="86"/>
        <v>0</v>
      </c>
      <c r="O344" s="13"/>
      <c r="P344" s="2" t="s">
        <v>171</v>
      </c>
      <c r="Q344" s="101" t="str">
        <f>IF(Q346&lt;&gt;"",Q346,IF(AB241="","",AB241))</f>
        <v/>
      </c>
      <c r="R344" s="62"/>
      <c r="S344" s="62"/>
      <c r="T344" s="62"/>
      <c r="U344" s="62"/>
      <c r="V344"/>
      <c r="X344" s="62"/>
      <c r="Y344" s="14"/>
    </row>
    <row r="345" spans="1:25" ht="14.1" customHeight="1" thickBot="1" x14ac:dyDescent="0.35">
      <c r="A345" s="3">
        <v>15</v>
      </c>
      <c r="B345" s="259"/>
      <c r="C345" s="514"/>
      <c r="D345" s="387">
        <f t="shared" si="77"/>
        <v>30</v>
      </c>
      <c r="E345" s="383">
        <f t="shared" si="78"/>
        <v>0</v>
      </c>
      <c r="F345" s="314">
        <f t="shared" si="79"/>
        <v>0</v>
      </c>
      <c r="G345" s="356">
        <f t="shared" si="80"/>
        <v>0</v>
      </c>
      <c r="H345" s="390">
        <f t="shared" si="81"/>
        <v>0</v>
      </c>
      <c r="I345" s="314">
        <f t="shared" si="82"/>
        <v>0</v>
      </c>
      <c r="J345" s="356">
        <f t="shared" si="83"/>
        <v>0</v>
      </c>
      <c r="K345" s="390">
        <f t="shared" si="84"/>
        <v>0</v>
      </c>
      <c r="L345" s="314">
        <f t="shared" si="85"/>
        <v>0</v>
      </c>
      <c r="M345" s="384">
        <f t="shared" si="86"/>
        <v>0</v>
      </c>
      <c r="O345" s="13"/>
      <c r="P345" s="102" t="s">
        <v>172</v>
      </c>
      <c r="Q345" s="103"/>
      <c r="R345" s="104">
        <f>LEN(Q344)</f>
        <v>0</v>
      </c>
      <c r="S345" s="105"/>
      <c r="T345" s="105"/>
      <c r="U345" s="105"/>
      <c r="V345" s="105"/>
      <c r="W345" s="105"/>
      <c r="X345" s="105"/>
      <c r="Y345" s="14"/>
    </row>
    <row r="346" spans="1:25" ht="14.1" customHeight="1" thickBot="1" x14ac:dyDescent="0.35">
      <c r="A346" s="3">
        <v>16</v>
      </c>
      <c r="B346" s="259"/>
      <c r="C346" s="514" t="str">
        <f>O151&amp;" "&amp;flocm_in</f>
        <v xml:space="preserve"> cm</v>
      </c>
      <c r="D346" s="385">
        <f t="shared" si="77"/>
        <v>10</v>
      </c>
      <c r="E346" s="294">
        <f t="shared" si="78"/>
        <v>0</v>
      </c>
      <c r="F346" s="300">
        <f t="shared" si="79"/>
        <v>0</v>
      </c>
      <c r="G346" s="295">
        <f t="shared" si="80"/>
        <v>0</v>
      </c>
      <c r="H346" s="336">
        <f t="shared" si="81"/>
        <v>0</v>
      </c>
      <c r="I346" s="300">
        <f t="shared" si="82"/>
        <v>0</v>
      </c>
      <c r="J346" s="295">
        <f t="shared" si="83"/>
        <v>0</v>
      </c>
      <c r="K346" s="336">
        <f t="shared" si="84"/>
        <v>0</v>
      </c>
      <c r="L346" s="300">
        <f t="shared" si="85"/>
        <v>0</v>
      </c>
      <c r="M346" s="332">
        <f t="shared" si="86"/>
        <v>0</v>
      </c>
      <c r="O346" s="13"/>
      <c r="P346" s="2" t="s">
        <v>174</v>
      </c>
      <c r="Q346" s="107"/>
      <c r="R346" s="105"/>
      <c r="S346" s="105"/>
      <c r="T346" s="105"/>
      <c r="U346" s="105"/>
      <c r="V346" s="105"/>
      <c r="W346" s="105"/>
      <c r="X346" s="105"/>
      <c r="Y346" s="14"/>
    </row>
    <row r="347" spans="1:25" ht="14.1" customHeight="1" thickBot="1" x14ac:dyDescent="0.35">
      <c r="A347" s="3">
        <v>17</v>
      </c>
      <c r="B347" s="259"/>
      <c r="C347" s="514"/>
      <c r="D347" s="386">
        <f t="shared" si="77"/>
        <v>20</v>
      </c>
      <c r="E347" s="296">
        <f t="shared" si="78"/>
        <v>0</v>
      </c>
      <c r="F347" s="301">
        <f t="shared" si="79"/>
        <v>0</v>
      </c>
      <c r="G347" s="297">
        <f t="shared" si="80"/>
        <v>0</v>
      </c>
      <c r="H347" s="337">
        <f t="shared" si="81"/>
        <v>0</v>
      </c>
      <c r="I347" s="301">
        <f t="shared" si="82"/>
        <v>0</v>
      </c>
      <c r="J347" s="297">
        <f t="shared" si="83"/>
        <v>0</v>
      </c>
      <c r="K347" s="337">
        <f t="shared" si="84"/>
        <v>0</v>
      </c>
      <c r="L347" s="301">
        <f t="shared" si="85"/>
        <v>0</v>
      </c>
      <c r="M347" s="333">
        <f t="shared" si="86"/>
        <v>0</v>
      </c>
      <c r="O347" s="21"/>
      <c r="P347" s="22"/>
      <c r="Q347" s="22"/>
      <c r="R347" s="22"/>
      <c r="S347" s="22"/>
      <c r="T347" s="22"/>
      <c r="U347" s="22"/>
      <c r="V347" s="22"/>
      <c r="W347" s="22"/>
      <c r="X347" s="22"/>
      <c r="Y347" s="23"/>
    </row>
    <row r="348" spans="1:25" ht="14.1" customHeight="1" thickBot="1" x14ac:dyDescent="0.35">
      <c r="A348" s="3">
        <v>18</v>
      </c>
      <c r="B348" s="259"/>
      <c r="C348" s="514"/>
      <c r="D348" s="388">
        <f t="shared" si="77"/>
        <v>30</v>
      </c>
      <c r="E348" s="298">
        <f t="shared" si="78"/>
        <v>0</v>
      </c>
      <c r="F348" s="302">
        <f t="shared" si="79"/>
        <v>0</v>
      </c>
      <c r="G348" s="299">
        <f t="shared" si="80"/>
        <v>0</v>
      </c>
      <c r="H348" s="338">
        <f t="shared" si="81"/>
        <v>0</v>
      </c>
      <c r="I348" s="302">
        <f t="shared" si="82"/>
        <v>0</v>
      </c>
      <c r="J348" s="299">
        <f t="shared" si="83"/>
        <v>0</v>
      </c>
      <c r="K348" s="338">
        <f t="shared" si="84"/>
        <v>0</v>
      </c>
      <c r="L348" s="302">
        <f t="shared" si="85"/>
        <v>0</v>
      </c>
      <c r="M348" s="334">
        <f t="shared" si="86"/>
        <v>0</v>
      </c>
      <c r="O348" s="109" t="s">
        <v>334</v>
      </c>
      <c r="P348" s="7"/>
      <c r="Q348" s="152" t="str">
        <f>IF($O$110="","",$O$110)</f>
        <v/>
      </c>
      <c r="R348" s="152" t="str">
        <f>IF($O$113="","",$O$113)</f>
        <v/>
      </c>
      <c r="S348" s="152" t="str">
        <f>IF($O$116="","",$O$116)</f>
        <v/>
      </c>
      <c r="T348" s="152" t="str">
        <f>IF($O$119="","",$O$119)</f>
        <v/>
      </c>
      <c r="U348" s="152" t="str">
        <f>IF($O$122="","",$O$122)</f>
        <v/>
      </c>
      <c r="V348" s="7"/>
      <c r="W348" s="69" t="str">
        <f>IF(X348&lt;&gt;"",X348,IF(AB168="","",AB168))</f>
        <v/>
      </c>
      <c r="X348" s="70"/>
      <c r="Y348" s="8"/>
    </row>
    <row r="349" spans="1:25" ht="14.1" customHeight="1" thickBot="1" x14ac:dyDescent="0.35">
      <c r="A349" s="3">
        <v>19</v>
      </c>
      <c r="B349" s="259"/>
      <c r="C349" s="514" t="str">
        <f>O154&amp;" "&amp;flocm_in</f>
        <v xml:space="preserve"> cm</v>
      </c>
      <c r="D349" s="389">
        <f t="shared" si="77"/>
        <v>10</v>
      </c>
      <c r="E349" s="309">
        <f t="shared" si="78"/>
        <v>0</v>
      </c>
      <c r="F349" s="310">
        <f t="shared" si="79"/>
        <v>0</v>
      </c>
      <c r="G349" s="340">
        <f t="shared" si="80"/>
        <v>0</v>
      </c>
      <c r="H349" s="339">
        <f t="shared" si="81"/>
        <v>0</v>
      </c>
      <c r="I349" s="310">
        <f t="shared" si="82"/>
        <v>0</v>
      </c>
      <c r="J349" s="340">
        <f t="shared" si="83"/>
        <v>0</v>
      </c>
      <c r="K349" s="339">
        <f t="shared" si="84"/>
        <v>0</v>
      </c>
      <c r="L349" s="310">
        <f t="shared" si="85"/>
        <v>0</v>
      </c>
      <c r="M349" s="335">
        <f t="shared" si="86"/>
        <v>0</v>
      </c>
      <c r="O349" s="13"/>
      <c r="P349" s="2" t="s">
        <v>335</v>
      </c>
      <c r="Q349" s="222"/>
      <c r="R349" s="222"/>
      <c r="S349" s="222"/>
      <c r="T349" s="222"/>
      <c r="U349" s="222"/>
      <c r="W349" s="100" t="s">
        <v>336</v>
      </c>
      <c r="Y349" s="14"/>
    </row>
    <row r="350" spans="1:25" ht="14.1" customHeight="1" thickBot="1" x14ac:dyDescent="0.35">
      <c r="A350" s="3">
        <v>20</v>
      </c>
      <c r="B350" s="259"/>
      <c r="C350" s="514"/>
      <c r="D350" s="386">
        <f t="shared" si="77"/>
        <v>20</v>
      </c>
      <c r="E350" s="296">
        <f t="shared" si="78"/>
        <v>0</v>
      </c>
      <c r="F350" s="301">
        <f t="shared" si="79"/>
        <v>0</v>
      </c>
      <c r="G350" s="297">
        <f t="shared" si="80"/>
        <v>0</v>
      </c>
      <c r="H350" s="337">
        <f t="shared" si="81"/>
        <v>0</v>
      </c>
      <c r="I350" s="301">
        <f t="shared" si="82"/>
        <v>0</v>
      </c>
      <c r="J350" s="297">
        <f t="shared" si="83"/>
        <v>0</v>
      </c>
      <c r="K350" s="337">
        <f t="shared" si="84"/>
        <v>0</v>
      </c>
      <c r="L350" s="301">
        <f t="shared" si="85"/>
        <v>0</v>
      </c>
      <c r="M350" s="333">
        <f t="shared" si="86"/>
        <v>0</v>
      </c>
      <c r="O350" s="13"/>
      <c r="P350" s="2" t="s">
        <v>337</v>
      </c>
      <c r="Q350" s="222"/>
      <c r="R350" s="222"/>
      <c r="S350" s="222"/>
      <c r="T350" s="222"/>
      <c r="U350" s="222"/>
      <c r="V350" s="2"/>
      <c r="W350" s="100"/>
      <c r="Y350" s="14"/>
    </row>
    <row r="351" spans="1:25" ht="14.1" customHeight="1" thickBot="1" x14ac:dyDescent="0.35">
      <c r="A351" s="3">
        <v>21</v>
      </c>
      <c r="B351" s="259"/>
      <c r="C351" s="514"/>
      <c r="D351" s="388">
        <f t="shared" si="77"/>
        <v>30</v>
      </c>
      <c r="E351" s="298">
        <f t="shared" si="78"/>
        <v>0</v>
      </c>
      <c r="F351" s="302">
        <f t="shared" si="79"/>
        <v>0</v>
      </c>
      <c r="G351" s="299">
        <f t="shared" si="80"/>
        <v>0</v>
      </c>
      <c r="H351" s="338">
        <f t="shared" si="81"/>
        <v>0</v>
      </c>
      <c r="I351" s="302">
        <f t="shared" si="82"/>
        <v>0</v>
      </c>
      <c r="J351" s="299">
        <f t="shared" si="83"/>
        <v>0</v>
      </c>
      <c r="K351" s="338">
        <f t="shared" si="84"/>
        <v>0</v>
      </c>
      <c r="L351" s="302">
        <f t="shared" si="85"/>
        <v>0</v>
      </c>
      <c r="M351" s="334">
        <f t="shared" si="86"/>
        <v>0</v>
      </c>
      <c r="O351" s="13"/>
      <c r="P351" s="2" t="s">
        <v>338</v>
      </c>
      <c r="Q351" s="223" t="str">
        <f>IF(OR(Q349="",Q350=""),"",SQRT(Q349^2+Q350^2))</f>
        <v/>
      </c>
      <c r="R351" s="223" t="str">
        <f>IF(OR(R349="",R350=""),"",SQRT(R349^2+R350^2))</f>
        <v/>
      </c>
      <c r="S351" s="223" t="str">
        <f>IF(OR(S349="",S350=""),"",SQRT(S349^2+S350^2))</f>
        <v/>
      </c>
      <c r="T351" s="223" t="str">
        <f>IF(OR(T349="",T350=""),"",SQRT(T349^2+T350^2))</f>
        <v/>
      </c>
      <c r="U351" s="223" t="str">
        <f>IF(OR(U349="",U350=""),"",SQRT(U349^2+U350^2))</f>
        <v/>
      </c>
      <c r="W351" s="100"/>
      <c r="Y351" s="14"/>
    </row>
    <row r="352" spans="1:25" ht="14.1" customHeight="1" thickBot="1" x14ac:dyDescent="0.35">
      <c r="A352" s="3">
        <v>22</v>
      </c>
      <c r="B352" s="259"/>
      <c r="C352" s="381"/>
      <c r="D352" s="325" t="str">
        <f t="shared" si="77"/>
        <v>max</v>
      </c>
      <c r="E352" s="326">
        <f t="shared" si="78"/>
        <v>0</v>
      </c>
      <c r="F352" s="327">
        <f t="shared" si="79"/>
        <v>0</v>
      </c>
      <c r="G352" s="328">
        <f t="shared" si="80"/>
        <v>0</v>
      </c>
      <c r="H352" s="326">
        <f t="shared" si="81"/>
        <v>0</v>
      </c>
      <c r="I352" s="327">
        <f t="shared" si="82"/>
        <v>0</v>
      </c>
      <c r="J352" s="328">
        <f t="shared" si="83"/>
        <v>0</v>
      </c>
      <c r="K352" s="326">
        <f t="shared" si="84"/>
        <v>0</v>
      </c>
      <c r="L352" s="327">
        <f t="shared" si="85"/>
        <v>0</v>
      </c>
      <c r="M352" s="382">
        <f t="shared" si="86"/>
        <v>0</v>
      </c>
      <c r="O352" s="13"/>
      <c r="P352" s="2" t="s">
        <v>263</v>
      </c>
      <c r="Q352" s="128" t="str">
        <f>IF($W$348="","NA",IF(OR(Q349=0,Q350="",Q351=""),"",IF($W$348=1,IF(AND(Q349&gt;Q348*0.85,Q350&gt;Q348*0.85),"YES","NO"),IF(Q351&gt;Q348*0.85,"YES","NO"))))</f>
        <v>NA</v>
      </c>
      <c r="R352" s="128" t="str">
        <f>IF($W$348="","NA",IF(OR(R349=0,R350="",R351=""),"",IF($W$348=1,IF(AND(R349&gt;R348*0.85,R350&gt;R348*0.85),"YES","NO"),IF(R351&gt;R348*0.85,"YES","NO"))))</f>
        <v>NA</v>
      </c>
      <c r="S352" s="128" t="str">
        <f>IF($W$348="","NA",IF(OR(S349=0,S350="",S351=""),"",IF($W$348=1,IF(AND(S349&gt;S348*0.85,S350&gt;S348*0.85),"YES","NO"),IF(S351&gt;S348*0.85,"YES","NO"))))</f>
        <v>NA</v>
      </c>
      <c r="T352" s="128" t="str">
        <f>IF($W$348="","NA",IF(OR(T349=0,T350="",T351=""),"",IF($W$348=1,IF(AND(T349&gt;T348*0.85,T350&gt;T348*0.85),"YES","NO"),IF(T351&gt;T348*0.85,"YES","NO"))))</f>
        <v>NA</v>
      </c>
      <c r="U352" s="128" t="str">
        <f>IF($W$348="","NA",IF(OR(U349=0,U350="",U351=""),"",IF($W$348=1,IF(AND(U349&gt;U348*0.85,U350&gt;U348*0.85),"YES","NO"),IF(U351&gt;U348*0.85,"YES","NO"))))</f>
        <v>NA</v>
      </c>
      <c r="Y352" s="14"/>
    </row>
    <row r="353" spans="1:25" ht="14.1" customHeight="1" x14ac:dyDescent="0.3">
      <c r="A353" s="3">
        <v>23</v>
      </c>
      <c r="B353" s="259"/>
      <c r="M353" s="260"/>
      <c r="O353" s="13"/>
      <c r="Q353" s="24" t="s">
        <v>339</v>
      </c>
      <c r="R353" s="100" t="s">
        <v>340</v>
      </c>
      <c r="Y353" s="14"/>
    </row>
    <row r="354" spans="1:25" ht="14.1" customHeight="1" x14ac:dyDescent="0.3">
      <c r="A354" s="3">
        <v>24</v>
      </c>
      <c r="B354" s="259"/>
      <c r="C354" s="1" t="str">
        <f>P165</f>
        <v>Comments:</v>
      </c>
      <c r="D354" s="347" t="str">
        <f>IF(Q165="","",IF(LEN(Q165)&lt;=135,Q165,IF(LEN(Q165)&lt;=260,LEFT(Q165,SEARCH(" ",Q165,125)),LEFT(Q165,SEARCH(" ",Q165,130)))))</f>
        <v/>
      </c>
      <c r="E354" s="348"/>
      <c r="F354" s="348"/>
      <c r="G354" s="348"/>
      <c r="H354" s="348"/>
      <c r="I354" s="348"/>
      <c r="J354" s="348"/>
      <c r="K354" s="348"/>
      <c r="L354" s="348"/>
      <c r="M354" s="349"/>
      <c r="O354" s="75" t="s">
        <v>341</v>
      </c>
      <c r="Y354" s="14"/>
    </row>
    <row r="355" spans="1:25" ht="14.1" customHeight="1" x14ac:dyDescent="0.3">
      <c r="A355" s="3">
        <v>25</v>
      </c>
      <c r="B355" s="259"/>
      <c r="D355" s="350" t="str">
        <f>IF(LEN(Q165)&lt;=135,"",IF(LEN(Q165)&lt;=260,RIGHT(Q165,LEN(Q165)-SEARCH(" ",Q165,125)),MID(Q165,SEARCH(" ",Q165,130),IF(LEN(Q165)&lt;=265,LEN(Q165),SEARCH(" ",Q165,255)-SEARCH(" ",Q165,130)))))</f>
        <v/>
      </c>
      <c r="E355" s="351"/>
      <c r="F355" s="351"/>
      <c r="G355" s="351"/>
      <c r="H355" s="351"/>
      <c r="I355" s="351"/>
      <c r="J355" s="351"/>
      <c r="K355" s="351"/>
      <c r="L355" s="351"/>
      <c r="M355" s="352"/>
      <c r="O355" s="55" t="str">
        <f>IF(P355&lt;&gt;"",P355,IF(AB169="","",AB169))</f>
        <v/>
      </c>
      <c r="P355" s="45"/>
      <c r="Q355" s="1" t="s">
        <v>342</v>
      </c>
      <c r="R355"/>
      <c r="Y355" s="14"/>
    </row>
    <row r="356" spans="1:25" ht="14.1" customHeight="1" x14ac:dyDescent="0.3">
      <c r="A356" s="3">
        <v>26</v>
      </c>
      <c r="B356" s="259"/>
      <c r="D356" s="350" t="str">
        <f>IF(LEN(Q165)&lt;=265,"",RIGHT(Q165,LEN(Q165)-SEARCH(" ",Q165,255)))</f>
        <v/>
      </c>
      <c r="E356" s="351"/>
      <c r="F356" s="351"/>
      <c r="G356" s="351"/>
      <c r="H356" s="351"/>
      <c r="I356" s="351"/>
      <c r="J356" s="351"/>
      <c r="K356" s="351"/>
      <c r="L356" s="351"/>
      <c r="M356" s="352"/>
      <c r="O356" s="13"/>
      <c r="Y356" s="14"/>
    </row>
    <row r="357" spans="1:25" ht="14.1" customHeight="1" x14ac:dyDescent="0.3">
      <c r="A357" s="3">
        <v>27</v>
      </c>
      <c r="B357" s="259"/>
      <c r="D357" s="100"/>
      <c r="M357" s="260"/>
      <c r="O357" s="13"/>
      <c r="P357" s="86" t="s">
        <v>249</v>
      </c>
      <c r="Q357" s="86" t="s">
        <v>343</v>
      </c>
      <c r="R357" s="86" t="s">
        <v>344</v>
      </c>
      <c r="S357" s="86" t="s">
        <v>6</v>
      </c>
      <c r="V357" s="1" t="s">
        <v>345</v>
      </c>
      <c r="W357" s="1" t="s">
        <v>323</v>
      </c>
      <c r="X357" s="1" t="s">
        <v>332</v>
      </c>
      <c r="Y357" s="14" t="s">
        <v>346</v>
      </c>
    </row>
    <row r="358" spans="1:25" ht="14.1" customHeight="1" x14ac:dyDescent="0.3">
      <c r="A358" s="3">
        <v>28</v>
      </c>
      <c r="B358" s="259"/>
      <c r="D358" s="100"/>
      <c r="M358" s="260"/>
      <c r="O358" s="13" t="s">
        <v>347</v>
      </c>
      <c r="P358" s="225" t="str">
        <f>IF(OR(V358="",V359="",V362=""),"",(V358-V359)*V362)</f>
        <v/>
      </c>
      <c r="Q358" s="527" t="str">
        <f>IF(OR(P358="",P359=""),"",(ABS(P358)+ABS(P359))/$O$355)</f>
        <v/>
      </c>
      <c r="R358" s="528" t="str">
        <f>IF(OR(Q358="",Q360=""),"",Q358+Q360)</f>
        <v/>
      </c>
      <c r="S358" s="133" t="str">
        <f>IF(AB170="","",AB170)</f>
        <v/>
      </c>
      <c r="U358" s="1" t="s">
        <v>316</v>
      </c>
      <c r="V358" s="213"/>
      <c r="W358" s="213"/>
      <c r="X358" s="213"/>
      <c r="Y358" s="214"/>
    </row>
    <row r="359" spans="1:25" ht="14.1" customHeight="1" x14ac:dyDescent="0.3">
      <c r="A359" s="3">
        <v>29</v>
      </c>
      <c r="B359" s="259"/>
      <c r="D359" s="24"/>
      <c r="E359" s="50"/>
      <c r="M359" s="260"/>
      <c r="O359" s="13" t="s">
        <v>348</v>
      </c>
      <c r="P359" s="225" t="str">
        <f>IF(OR(W358="",W359="",V362=""),"",(W358-W359)*V362)</f>
        <v/>
      </c>
      <c r="Q359" s="527"/>
      <c r="R359" s="527"/>
      <c r="S359" s="133" t="str">
        <f>IF(AB171="","",AB171)</f>
        <v/>
      </c>
      <c r="U359" s="1" t="s">
        <v>349</v>
      </c>
      <c r="V359" s="213"/>
      <c r="W359" s="213"/>
      <c r="X359" s="213"/>
      <c r="Y359" s="214"/>
    </row>
    <row r="360" spans="1:25" ht="14.1" customHeight="1" thickBot="1" x14ac:dyDescent="0.35">
      <c r="A360" s="3">
        <v>30</v>
      </c>
      <c r="B360" s="259"/>
      <c r="D360" s="17"/>
      <c r="E360" s="50"/>
      <c r="M360" s="260"/>
      <c r="O360" s="13" t="s">
        <v>350</v>
      </c>
      <c r="P360" s="225" t="str">
        <f>IF(OR(X358="",X359="",V362=""),"",(X358-X359)*V362)</f>
        <v/>
      </c>
      <c r="Q360" s="528" t="str">
        <f>IF(OR(P360="",P361=""),"",(ABS(P360)+ABS(P361))/$O$355)</f>
        <v/>
      </c>
      <c r="R360" s="528"/>
      <c r="S360" s="133" t="str">
        <f>IF(AB172="","",AB172)</f>
        <v/>
      </c>
      <c r="T360" s="77" t="s">
        <v>263</v>
      </c>
      <c r="U360" s="1" t="s">
        <v>351</v>
      </c>
      <c r="V360" s="216" t="str">
        <f>O355</f>
        <v/>
      </c>
      <c r="W360" s="226"/>
      <c r="X360" s="226"/>
      <c r="Y360" s="227"/>
    </row>
    <row r="361" spans="1:25" ht="14.1" customHeight="1" thickBot="1" x14ac:dyDescent="0.35">
      <c r="A361" s="3">
        <v>31</v>
      </c>
      <c r="B361" s="344"/>
      <c r="C361" s="345"/>
      <c r="D361" s="427"/>
      <c r="E361" s="427"/>
      <c r="F361" s="427"/>
      <c r="G361" s="427"/>
      <c r="H361" s="427"/>
      <c r="I361" s="427"/>
      <c r="J361" s="427"/>
      <c r="K361" s="427"/>
      <c r="L361" s="427"/>
      <c r="M361" s="346"/>
      <c r="O361" s="13" t="s">
        <v>352</v>
      </c>
      <c r="P361" s="228" t="str">
        <f>IF(OR(Y358="",Y359="",V362=""),"",(Y358-Y359)*V362)</f>
        <v/>
      </c>
      <c r="Q361" s="528"/>
      <c r="R361" s="528"/>
      <c r="S361" s="134" t="str">
        <f>IF(AB173="","",AB173)</f>
        <v/>
      </c>
      <c r="T361" s="86" t="str">
        <f>IF(OR(Q358="",Q360="",R358=""),"",IF(OR(Q358&gt;0.02,Q360&gt;0.02,R358&gt;0.04),"NO","YES"))</f>
        <v/>
      </c>
      <c r="U361" s="1" t="s">
        <v>353</v>
      </c>
      <c r="V361" s="213"/>
      <c r="W361" s="3"/>
      <c r="X361" s="3"/>
      <c r="Y361" s="227"/>
    </row>
    <row r="362" spans="1:25" ht="14.1" customHeight="1" x14ac:dyDescent="0.3">
      <c r="A362" s="3">
        <v>32</v>
      </c>
      <c r="B362" s="259"/>
      <c r="C362" s="285" t="str">
        <f>$O$210</f>
        <v>Image Receptor Entrance Exposure Rate – Pulse Fluoroscopy</v>
      </c>
      <c r="M362" s="260"/>
      <c r="O362" s="229" t="s">
        <v>168</v>
      </c>
      <c r="P362" s="17" t="s">
        <v>354</v>
      </c>
      <c r="T362"/>
      <c r="U362" s="1" t="s">
        <v>355</v>
      </c>
      <c r="V362" s="121" t="str">
        <f>IF(OR(V360="",V361=""),"",V360/V361)</f>
        <v/>
      </c>
      <c r="W362" s="3"/>
      <c r="X362" s="3"/>
      <c r="Y362" s="227"/>
    </row>
    <row r="363" spans="1:25" ht="14.1" customHeight="1" x14ac:dyDescent="0.3">
      <c r="A363" s="3">
        <v>33</v>
      </c>
      <c r="B363" s="259"/>
      <c r="M363" s="260"/>
      <c r="O363" s="122"/>
      <c r="P363" s="17" t="s">
        <v>356</v>
      </c>
      <c r="T363"/>
      <c r="U363"/>
      <c r="Y363" s="14"/>
    </row>
    <row r="364" spans="1:25" ht="14.1" customHeight="1" x14ac:dyDescent="0.3">
      <c r="A364" s="3">
        <v>34</v>
      </c>
      <c r="B364" s="259"/>
      <c r="C364" t="str">
        <f>O212</f>
        <v>Dose</v>
      </c>
      <c r="D364" t="str">
        <f>P212</f>
        <v>Receptor</v>
      </c>
      <c r="E364"/>
      <c r="F364"/>
      <c r="G364"/>
      <c r="H364"/>
      <c r="M364" s="260"/>
      <c r="O364" s="13"/>
      <c r="P364" s="2" t="s">
        <v>171</v>
      </c>
      <c r="Q364" s="101" t="str">
        <f>IF(Q366&lt;&gt;"",Q366,IF(AB242="","",AB242))</f>
        <v/>
      </c>
      <c r="R364" s="62"/>
      <c r="S364" s="62"/>
      <c r="T364" s="62"/>
      <c r="U364" s="62"/>
      <c r="V364"/>
      <c r="X364" s="62"/>
      <c r="Y364" s="14"/>
    </row>
    <row r="365" spans="1:25" ht="14.1" customHeight="1" thickBot="1" x14ac:dyDescent="0.35">
      <c r="A365" s="3">
        <v>35</v>
      </c>
      <c r="B365" s="259"/>
      <c r="C365" t="str">
        <f>O213</f>
        <v>Level</v>
      </c>
      <c r="D365" t="str">
        <f>P213</f>
        <v>Size (cm)</v>
      </c>
      <c r="E365" t="str">
        <f>Q213</f>
        <v>kVp</v>
      </c>
      <c r="F365" t="str">
        <f>R213</f>
        <v>mA</v>
      </c>
      <c r="G365" t="str">
        <f>S213</f>
        <v>uGy/min</v>
      </c>
      <c r="H365" t="str">
        <f>T213</f>
        <v>nGy/frame</v>
      </c>
      <c r="M365" s="260"/>
      <c r="O365" s="13"/>
      <c r="P365" s="102" t="s">
        <v>172</v>
      </c>
      <c r="Q365" s="103"/>
      <c r="R365" s="104">
        <f>LEN(Q364)</f>
        <v>0</v>
      </c>
      <c r="S365" s="105"/>
      <c r="T365" s="105"/>
      <c r="U365" s="105"/>
      <c r="V365" s="105"/>
      <c r="W365" s="105"/>
      <c r="X365" s="105"/>
      <c r="Y365" s="14"/>
    </row>
    <row r="366" spans="1:25" ht="14.1" customHeight="1" thickBot="1" x14ac:dyDescent="0.35">
      <c r="A366" s="3">
        <v>36</v>
      </c>
      <c r="B366" s="259"/>
      <c r="C366" s="529" t="str">
        <f>O214</f>
        <v>Auto 1</v>
      </c>
      <c r="D366" s="315" t="str">
        <f t="shared" ref="D366:D380" si="87">IF(P214="","",P214)</f>
        <v/>
      </c>
      <c r="E366" s="357">
        <f t="shared" ref="E366:E380" si="88">IF(Q214="","",Q214)</f>
        <v>0</v>
      </c>
      <c r="F366" s="357">
        <f t="shared" ref="F366:F380" si="89">IF(R214="","",R214)</f>
        <v>0</v>
      </c>
      <c r="G366" s="358">
        <f t="shared" ref="G366:G380" si="90">IF(S214="","",S214)</f>
        <v>0</v>
      </c>
      <c r="H366" s="315">
        <f t="shared" ref="H366:H380" si="91">IF(T214="","",T214)</f>
        <v>0</v>
      </c>
      <c r="J366" s="17" t="str">
        <f>W214</f>
        <v>Measure using pancake probe placed against</v>
      </c>
      <c r="M366" s="260"/>
      <c r="O366" s="13"/>
      <c r="P366" s="2" t="s">
        <v>174</v>
      </c>
      <c r="Q366" s="107"/>
      <c r="R366" s="105"/>
      <c r="S366" s="105"/>
      <c r="T366" s="105"/>
      <c r="U366" s="105"/>
      <c r="V366" s="105"/>
      <c r="W366" s="105"/>
      <c r="X366" s="105"/>
      <c r="Y366" s="14"/>
    </row>
    <row r="367" spans="1:25" ht="14.1" customHeight="1" thickBot="1" x14ac:dyDescent="0.35">
      <c r="A367" s="3">
        <v>37</v>
      </c>
      <c r="B367" s="259"/>
      <c r="C367" s="530"/>
      <c r="D367" s="316" t="str">
        <f t="shared" si="87"/>
        <v/>
      </c>
      <c r="E367" s="359">
        <f t="shared" si="88"/>
        <v>0</v>
      </c>
      <c r="F367" s="359">
        <f t="shared" si="89"/>
        <v>0</v>
      </c>
      <c r="G367" s="360">
        <f t="shared" si="90"/>
        <v>0</v>
      </c>
      <c r="H367" s="316">
        <f t="shared" si="91"/>
        <v>0</v>
      </c>
      <c r="J367" s="17" t="str">
        <f>W215</f>
        <v>image receptor input window</v>
      </c>
      <c r="M367" s="260"/>
      <c r="O367" s="21"/>
      <c r="P367" s="22"/>
      <c r="Q367" s="22"/>
      <c r="R367" s="22"/>
      <c r="S367" s="22"/>
      <c r="T367" s="22"/>
      <c r="U367" s="22"/>
      <c r="V367" s="22"/>
      <c r="W367" s="22"/>
      <c r="X367" s="22"/>
      <c r="Y367" s="23"/>
    </row>
    <row r="368" spans="1:25" ht="14.1" customHeight="1" thickBot="1" x14ac:dyDescent="0.35">
      <c r="A368" s="3">
        <v>38</v>
      </c>
      <c r="B368" s="259"/>
      <c r="C368" s="530"/>
      <c r="D368" s="316" t="str">
        <f t="shared" si="87"/>
        <v/>
      </c>
      <c r="E368" s="359">
        <f t="shared" si="88"/>
        <v>0</v>
      </c>
      <c r="F368" s="359">
        <f t="shared" si="89"/>
        <v>0</v>
      </c>
      <c r="G368" s="360">
        <f t="shared" si="90"/>
        <v>0</v>
      </c>
      <c r="H368" s="316">
        <f t="shared" si="91"/>
        <v>0</v>
      </c>
      <c r="J368" s="17" t="str">
        <f>W216</f>
        <v>Use 1.5mm Cu filtration</v>
      </c>
      <c r="M368" s="260"/>
    </row>
    <row r="369" spans="1:25" ht="14.1" customHeight="1" thickBot="1" x14ac:dyDescent="0.35">
      <c r="A369" s="3">
        <v>39</v>
      </c>
      <c r="B369" s="259"/>
      <c r="C369" s="530"/>
      <c r="D369" s="316" t="str">
        <f t="shared" si="87"/>
        <v/>
      </c>
      <c r="E369" s="359">
        <f t="shared" si="88"/>
        <v>0</v>
      </c>
      <c r="F369" s="359">
        <f t="shared" si="89"/>
        <v>0</v>
      </c>
      <c r="G369" s="360">
        <f t="shared" si="90"/>
        <v>0</v>
      </c>
      <c r="H369" s="316">
        <f t="shared" si="91"/>
        <v>0</v>
      </c>
      <c r="M369" s="260"/>
      <c r="T369" s="31" t="s">
        <v>357</v>
      </c>
    </row>
    <row r="370" spans="1:25" ht="14.1" customHeight="1" thickBot="1" x14ac:dyDescent="0.35">
      <c r="A370" s="3">
        <v>40</v>
      </c>
      <c r="B370" s="259"/>
      <c r="C370" s="530"/>
      <c r="D370" s="318" t="str">
        <f t="shared" si="87"/>
        <v/>
      </c>
      <c r="E370" s="364">
        <f t="shared" si="88"/>
        <v>0</v>
      </c>
      <c r="F370" s="364">
        <f t="shared" si="89"/>
        <v>0</v>
      </c>
      <c r="G370" s="365">
        <f t="shared" si="90"/>
        <v>0</v>
      </c>
      <c r="H370" s="318">
        <f t="shared" si="91"/>
        <v>0</v>
      </c>
      <c r="M370" s="260"/>
      <c r="O370" s="36"/>
      <c r="P370" s="7"/>
      <c r="Q370" s="7"/>
      <c r="R370" s="7"/>
      <c r="S370" s="71" t="s">
        <v>358</v>
      </c>
      <c r="T370" s="7"/>
      <c r="U370" s="7"/>
      <c r="V370" s="7"/>
      <c r="W370" s="7"/>
      <c r="X370" s="7"/>
      <c r="Y370" s="8"/>
    </row>
    <row r="371" spans="1:25" ht="14.1" customHeight="1" x14ac:dyDescent="0.3">
      <c r="A371" s="3">
        <v>41</v>
      </c>
      <c r="B371" s="259"/>
      <c r="C371" s="519" t="str">
        <f>O219</f>
        <v/>
      </c>
      <c r="D371" s="315" t="str">
        <f t="shared" si="87"/>
        <v/>
      </c>
      <c r="E371" s="357">
        <f t="shared" si="88"/>
        <v>0</v>
      </c>
      <c r="F371" s="357">
        <f t="shared" si="89"/>
        <v>0</v>
      </c>
      <c r="G371" s="358">
        <f t="shared" si="90"/>
        <v>0</v>
      </c>
      <c r="H371" s="315">
        <f t="shared" si="91"/>
        <v>0</v>
      </c>
      <c r="M371" s="260"/>
      <c r="O371" s="13"/>
      <c r="P371" s="2" t="s">
        <v>171</v>
      </c>
      <c r="Q371" s="230"/>
      <c r="R371" s="231"/>
      <c r="S371" s="232" t="str">
        <f>IF(AB243="","",AB243)</f>
        <v/>
      </c>
      <c r="T371" s="62"/>
      <c r="U371" s="62"/>
      <c r="V371"/>
      <c r="X371" s="62"/>
      <c r="Y371" s="14"/>
    </row>
    <row r="372" spans="1:25" ht="14.1" customHeight="1" x14ac:dyDescent="0.3">
      <c r="A372" s="3">
        <v>42</v>
      </c>
      <c r="B372" s="259"/>
      <c r="C372" s="520"/>
      <c r="D372" s="316" t="str">
        <f t="shared" si="87"/>
        <v/>
      </c>
      <c r="E372" s="359">
        <f t="shared" si="88"/>
        <v>0</v>
      </c>
      <c r="F372" s="359">
        <f t="shared" si="89"/>
        <v>0</v>
      </c>
      <c r="G372" s="360">
        <f t="shared" si="90"/>
        <v>0</v>
      </c>
      <c r="H372" s="316">
        <f t="shared" si="91"/>
        <v>0</v>
      </c>
      <c r="M372" s="260"/>
      <c r="O372" s="13"/>
      <c r="P372" s="102" t="s">
        <v>172</v>
      </c>
      <c r="Q372" s="103"/>
      <c r="R372" s="233">
        <f>LEN(Q371)</f>
        <v>0</v>
      </c>
      <c r="S372" s="105"/>
      <c r="T372" s="105"/>
      <c r="U372" s="234" t="s">
        <v>359</v>
      </c>
      <c r="V372" s="105"/>
      <c r="W372" s="105"/>
      <c r="X372" s="105"/>
      <c r="Y372" s="14"/>
    </row>
    <row r="373" spans="1:25" ht="14.1" customHeight="1" x14ac:dyDescent="0.3">
      <c r="A373" s="3">
        <v>43</v>
      </c>
      <c r="B373" s="259"/>
      <c r="C373" s="520"/>
      <c r="D373" s="316" t="str">
        <f t="shared" si="87"/>
        <v/>
      </c>
      <c r="E373" s="359">
        <f t="shared" si="88"/>
        <v>0</v>
      </c>
      <c r="F373" s="359">
        <f t="shared" si="89"/>
        <v>0</v>
      </c>
      <c r="G373" s="360">
        <f t="shared" si="90"/>
        <v>0</v>
      </c>
      <c r="H373" s="316">
        <f t="shared" si="91"/>
        <v>0</v>
      </c>
      <c r="M373" s="260"/>
      <c r="O373" s="13"/>
      <c r="P373" s="2" t="s">
        <v>360</v>
      </c>
      <c r="Q373" s="230"/>
      <c r="R373" s="231"/>
      <c r="S373" s="232" t="str">
        <f>IF(AB245="","",AB245)</f>
        <v/>
      </c>
      <c r="T373" s="62"/>
      <c r="U373" s="62"/>
      <c r="V373"/>
      <c r="X373" s="62"/>
      <c r="Y373" s="14"/>
    </row>
    <row r="374" spans="1:25" ht="14.1" customHeight="1" x14ac:dyDescent="0.3">
      <c r="A374" s="3">
        <v>44</v>
      </c>
      <c r="B374" s="259"/>
      <c r="C374" s="520"/>
      <c r="D374" s="316" t="str">
        <f t="shared" si="87"/>
        <v/>
      </c>
      <c r="E374" s="359">
        <f t="shared" si="88"/>
        <v>0</v>
      </c>
      <c r="F374" s="359">
        <f t="shared" si="89"/>
        <v>0</v>
      </c>
      <c r="G374" s="360">
        <f t="shared" si="90"/>
        <v>0</v>
      </c>
      <c r="H374" s="316">
        <f t="shared" si="91"/>
        <v>0</v>
      </c>
      <c r="M374" s="260"/>
      <c r="O374" s="13"/>
      <c r="P374" s="102" t="s">
        <v>172</v>
      </c>
      <c r="Q374" s="103"/>
      <c r="R374" s="233">
        <f>LEN(Q373)</f>
        <v>0</v>
      </c>
      <c r="S374" s="105"/>
      <c r="T374" s="105"/>
      <c r="U374" s="234" t="s">
        <v>361</v>
      </c>
      <c r="V374" s="105"/>
      <c r="W374" s="105"/>
      <c r="X374" s="105"/>
      <c r="Y374" s="14"/>
    </row>
    <row r="375" spans="1:25" ht="14.1" customHeight="1" thickBot="1" x14ac:dyDescent="0.35">
      <c r="A375" s="3">
        <v>45</v>
      </c>
      <c r="B375" s="259"/>
      <c r="C375" s="521"/>
      <c r="D375" s="318" t="str">
        <f t="shared" si="87"/>
        <v/>
      </c>
      <c r="E375" s="364">
        <f t="shared" si="88"/>
        <v>0</v>
      </c>
      <c r="F375" s="364">
        <f t="shared" si="89"/>
        <v>0</v>
      </c>
      <c r="G375" s="365">
        <f t="shared" si="90"/>
        <v>0</v>
      </c>
      <c r="H375" s="318">
        <f t="shared" si="91"/>
        <v>0</v>
      </c>
      <c r="M375" s="260"/>
      <c r="O375" s="13"/>
      <c r="P375" s="2" t="s">
        <v>360</v>
      </c>
      <c r="Q375" s="230"/>
      <c r="R375" s="231"/>
      <c r="S375" s="232" t="str">
        <f>IF(AB247="","",AB247)</f>
        <v/>
      </c>
      <c r="T375" s="62"/>
      <c r="U375" s="62"/>
      <c r="V375"/>
      <c r="X375" s="62"/>
      <c r="Y375" s="14"/>
    </row>
    <row r="376" spans="1:25" ht="14.1" customHeight="1" thickBot="1" x14ac:dyDescent="0.35">
      <c r="A376" s="3">
        <v>46</v>
      </c>
      <c r="B376" s="259"/>
      <c r="C376" s="522" t="str">
        <f>O224</f>
        <v xml:space="preserve">Auto </v>
      </c>
      <c r="D376" s="315" t="str">
        <f t="shared" si="87"/>
        <v/>
      </c>
      <c r="E376" s="357">
        <f t="shared" si="88"/>
        <v>0</v>
      </c>
      <c r="F376" s="357">
        <f t="shared" si="89"/>
        <v>0</v>
      </c>
      <c r="G376" s="358">
        <f t="shared" si="90"/>
        <v>0</v>
      </c>
      <c r="H376" s="315">
        <f t="shared" si="91"/>
        <v>0</v>
      </c>
      <c r="M376" s="260"/>
      <c r="O376" s="13"/>
      <c r="P376" s="102" t="s">
        <v>172</v>
      </c>
      <c r="Q376" s="103"/>
      <c r="R376" s="233">
        <f>LEN(Q375)</f>
        <v>0</v>
      </c>
      <c r="S376" s="105"/>
      <c r="T376" s="105"/>
      <c r="U376" s="234" t="s">
        <v>515</v>
      </c>
      <c r="V376" s="105"/>
      <c r="W376" s="105"/>
      <c r="X376" s="105"/>
      <c r="Y376" s="14"/>
    </row>
    <row r="377" spans="1:25" ht="14.1" customHeight="1" thickBot="1" x14ac:dyDescent="0.35">
      <c r="A377" s="3">
        <v>47</v>
      </c>
      <c r="B377" s="259"/>
      <c r="C377" s="523"/>
      <c r="D377" s="316" t="str">
        <f t="shared" si="87"/>
        <v/>
      </c>
      <c r="E377" s="359">
        <f t="shared" si="88"/>
        <v>0</v>
      </c>
      <c r="F377" s="359">
        <f t="shared" si="89"/>
        <v>0</v>
      </c>
      <c r="G377" s="360">
        <f t="shared" si="90"/>
        <v>0</v>
      </c>
      <c r="H377" s="316">
        <f t="shared" si="91"/>
        <v>0</v>
      </c>
      <c r="M377" s="260"/>
      <c r="O377" s="13"/>
      <c r="P377" s="2" t="s">
        <v>360</v>
      </c>
      <c r="Q377" s="230"/>
      <c r="R377" s="231"/>
      <c r="S377" s="232" t="str">
        <f>IF(AB249="","",AB249)</f>
        <v/>
      </c>
      <c r="T377" s="62"/>
      <c r="U377" s="62"/>
      <c r="V377"/>
      <c r="X377" s="62"/>
      <c r="Y377" s="14"/>
    </row>
    <row r="378" spans="1:25" ht="14.1" customHeight="1" thickBot="1" x14ac:dyDescent="0.35">
      <c r="A378" s="3">
        <v>48</v>
      </c>
      <c r="B378" s="259"/>
      <c r="C378" s="523"/>
      <c r="D378" s="316" t="str">
        <f t="shared" si="87"/>
        <v/>
      </c>
      <c r="E378" s="359">
        <f t="shared" si="88"/>
        <v>0</v>
      </c>
      <c r="F378" s="359">
        <f t="shared" si="89"/>
        <v>0</v>
      </c>
      <c r="G378" s="360">
        <f t="shared" si="90"/>
        <v>0</v>
      </c>
      <c r="H378" s="316">
        <f t="shared" si="91"/>
        <v>0</v>
      </c>
      <c r="I378"/>
      <c r="J378"/>
      <c r="K378"/>
      <c r="L378"/>
      <c r="M378" s="260"/>
      <c r="O378" s="13"/>
      <c r="P378" s="102" t="s">
        <v>172</v>
      </c>
      <c r="Q378" s="103"/>
      <c r="R378" s="233">
        <f>LEN(Q377)</f>
        <v>0</v>
      </c>
      <c r="S378" s="105"/>
      <c r="T378" s="105"/>
      <c r="U378" s="234" t="s">
        <v>516</v>
      </c>
      <c r="V378" s="105"/>
      <c r="W378" s="105"/>
      <c r="X378" s="105"/>
      <c r="Y378" s="14"/>
    </row>
    <row r="379" spans="1:25" ht="14.1" customHeight="1" thickBot="1" x14ac:dyDescent="0.35">
      <c r="A379" s="3">
        <v>49</v>
      </c>
      <c r="B379" s="259"/>
      <c r="C379" s="523"/>
      <c r="D379" s="316" t="str">
        <f t="shared" si="87"/>
        <v/>
      </c>
      <c r="E379" s="359">
        <f t="shared" si="88"/>
        <v>0</v>
      </c>
      <c r="F379" s="359">
        <f t="shared" si="89"/>
        <v>0</v>
      </c>
      <c r="G379" s="360">
        <f t="shared" si="90"/>
        <v>0</v>
      </c>
      <c r="H379" s="316">
        <f t="shared" si="91"/>
        <v>0</v>
      </c>
      <c r="I379"/>
      <c r="J379"/>
      <c r="K379"/>
      <c r="L379"/>
      <c r="M379" s="260"/>
      <c r="O379" s="13"/>
      <c r="P379" s="2" t="s">
        <v>360</v>
      </c>
      <c r="Q379" s="230"/>
      <c r="R379" s="231"/>
      <c r="S379" s="232" t="str">
        <f>IF(AB251="","",AB251)</f>
        <v/>
      </c>
      <c r="T379" s="62"/>
      <c r="U379" s="62"/>
      <c r="V379"/>
      <c r="X379" s="62"/>
      <c r="Y379" s="14"/>
    </row>
    <row r="380" spans="1:25" ht="14.1" customHeight="1" thickBot="1" x14ac:dyDescent="0.35">
      <c r="A380" s="3">
        <v>50</v>
      </c>
      <c r="B380" s="259"/>
      <c r="C380" s="524"/>
      <c r="D380" s="318" t="str">
        <f t="shared" si="87"/>
        <v/>
      </c>
      <c r="E380" s="364">
        <f t="shared" si="88"/>
        <v>0</v>
      </c>
      <c r="F380" s="364">
        <f t="shared" si="89"/>
        <v>0</v>
      </c>
      <c r="G380" s="365">
        <f t="shared" si="90"/>
        <v>0</v>
      </c>
      <c r="H380" s="318">
        <f t="shared" si="91"/>
        <v>0</v>
      </c>
      <c r="I380"/>
      <c r="J380"/>
      <c r="K380"/>
      <c r="L380"/>
      <c r="M380" s="260"/>
      <c r="O380" s="13"/>
      <c r="P380" s="102" t="s">
        <v>172</v>
      </c>
      <c r="Q380" s="103"/>
      <c r="R380" s="233">
        <f>LEN(Q379)</f>
        <v>0</v>
      </c>
      <c r="S380" s="105"/>
      <c r="T380" s="105"/>
      <c r="U380" s="234" t="s">
        <v>517</v>
      </c>
      <c r="V380" s="105"/>
      <c r="W380" s="105"/>
      <c r="X380" s="105"/>
      <c r="Y380" s="14"/>
    </row>
    <row r="381" spans="1:25" ht="14.1" customHeight="1" x14ac:dyDescent="0.3">
      <c r="A381" s="3">
        <v>51</v>
      </c>
      <c r="B381" s="259"/>
      <c r="C381" s="1" t="str">
        <f>P230</f>
        <v>Comments:</v>
      </c>
      <c r="D381" s="347" t="str">
        <f>IF(Q230="","",IF(LEN(Q230)&lt;=135,Q230,IF(LEN(Q230)&lt;=260,LEFT(Q230,SEARCH(" ",Q230,125)),LEFT(Q230,SEARCH(" ",Q230,130)))))</f>
        <v/>
      </c>
      <c r="E381" s="348"/>
      <c r="F381" s="348"/>
      <c r="G381" s="348"/>
      <c r="H381" s="348"/>
      <c r="I381" s="348"/>
      <c r="J381" s="348"/>
      <c r="K381" s="348"/>
      <c r="L381" s="348"/>
      <c r="M381" s="349"/>
      <c r="O381" s="13"/>
      <c r="P381" s="2" t="s">
        <v>360</v>
      </c>
      <c r="Q381" s="230"/>
      <c r="R381" s="231"/>
      <c r="S381" s="232" t="str">
        <f>IF(AB253="","",AB253)</f>
        <v/>
      </c>
      <c r="T381" s="62"/>
      <c r="U381" s="62"/>
      <c r="V381"/>
      <c r="X381" s="62"/>
      <c r="Y381" s="14"/>
    </row>
    <row r="382" spans="1:25" ht="14.1" customHeight="1" x14ac:dyDescent="0.3">
      <c r="A382" s="3">
        <v>52</v>
      </c>
      <c r="B382" s="259"/>
      <c r="D382" s="350" t="str">
        <f>IF(LEN(Q230)&lt;=135,"",IF(LEN(Q230)&lt;=260,RIGHT(Q230,LEN(Q230)-SEARCH(" ",Q230,125)),MID(Q337,SEARCH(" ",Q230,130),IF(LEN(Q230)&lt;=Q230,LEN(Q230),SEARCH(" ",Q230,255)-SEARCH(" ",Q230,130)))))</f>
        <v/>
      </c>
      <c r="E382" s="351"/>
      <c r="F382" s="351"/>
      <c r="G382" s="351"/>
      <c r="H382" s="351"/>
      <c r="I382" s="351"/>
      <c r="J382" s="351"/>
      <c r="K382" s="351"/>
      <c r="L382" s="351"/>
      <c r="M382" s="352"/>
      <c r="O382" s="13"/>
      <c r="P382" s="102" t="s">
        <v>172</v>
      </c>
      <c r="Q382" s="103"/>
      <c r="R382" s="233">
        <f>LEN(Q381)</f>
        <v>0</v>
      </c>
      <c r="S382" s="105"/>
      <c r="T382" s="105"/>
      <c r="U382" s="105"/>
      <c r="V382" s="105"/>
      <c r="W382" s="105"/>
      <c r="X382" s="105"/>
      <c r="Y382" s="14"/>
    </row>
    <row r="383" spans="1:25" ht="14.1" customHeight="1" x14ac:dyDescent="0.3">
      <c r="A383" s="3">
        <v>53</v>
      </c>
      <c r="B383" s="259"/>
      <c r="D383" s="350" t="str">
        <f>IF(LEN(Q230)&lt;=265,"",RIGHT(Q230,LEN(Q230)-SEARCH(" ",Q230,255)))</f>
        <v/>
      </c>
      <c r="E383" s="351"/>
      <c r="F383" s="351"/>
      <c r="G383" s="351"/>
      <c r="H383" s="351"/>
      <c r="I383" s="351"/>
      <c r="J383" s="351"/>
      <c r="K383" s="351"/>
      <c r="L383" s="351"/>
      <c r="M383" s="352"/>
      <c r="O383" s="13"/>
      <c r="P383" s="2" t="s">
        <v>360</v>
      </c>
      <c r="Q383" s="230"/>
      <c r="R383" s="231"/>
      <c r="S383" s="232" t="str">
        <f>IF(AB255="","",AB255)</f>
        <v/>
      </c>
      <c r="T383" s="62"/>
      <c r="U383" s="62"/>
      <c r="V383"/>
      <c r="X383" s="62"/>
      <c r="Y383" s="14"/>
    </row>
    <row r="384" spans="1:25" ht="14.1" customHeight="1" x14ac:dyDescent="0.3">
      <c r="A384" s="3">
        <v>54</v>
      </c>
      <c r="B384" s="259"/>
      <c r="M384" s="260"/>
      <c r="O384" s="13"/>
      <c r="P384" s="102" t="s">
        <v>172</v>
      </c>
      <c r="Q384" s="103"/>
      <c r="R384" s="233">
        <f>LEN(Q383)</f>
        <v>0</v>
      </c>
      <c r="S384" s="105"/>
      <c r="T384" s="105"/>
      <c r="U384" s="105"/>
      <c r="V384" s="105"/>
      <c r="W384" s="105"/>
      <c r="X384" s="105"/>
      <c r="Y384" s="14"/>
    </row>
    <row r="385" spans="1:25" ht="14.1" customHeight="1" x14ac:dyDescent="0.3">
      <c r="A385" s="3">
        <v>55</v>
      </c>
      <c r="B385" s="259"/>
      <c r="C385" s="285" t="str">
        <f>IF($U$137=1,"Scatter and Transmission – Pulse Fluoroscopy","Scatter and Transmission – Digital Acquisition")</f>
        <v>Scatter and Transmission – Pulse Fluoroscopy</v>
      </c>
      <c r="M385" s="260"/>
      <c r="O385" s="13"/>
      <c r="P385" s="2" t="s">
        <v>360</v>
      </c>
      <c r="Q385" s="230"/>
      <c r="R385" s="231"/>
      <c r="S385" s="232" t="str">
        <f>IF(AB257="","",AB257)</f>
        <v/>
      </c>
      <c r="T385" s="62"/>
      <c r="U385" s="62"/>
      <c r="V385"/>
      <c r="X385" s="62"/>
      <c r="Y385" s="14"/>
    </row>
    <row r="386" spans="1:25" ht="14.1" customHeight="1" x14ac:dyDescent="0.3">
      <c r="A386" s="3">
        <v>56</v>
      </c>
      <c r="B386" s="259"/>
      <c r="D386"/>
      <c r="E386"/>
      <c r="F386"/>
      <c r="G386" t="str">
        <f>S238</f>
        <v>Unshielded</v>
      </c>
      <c r="H386" t="str">
        <f>T238</f>
        <v>Shielded</v>
      </c>
      <c r="M386" s="260"/>
      <c r="O386" s="13"/>
      <c r="P386" s="102" t="s">
        <v>172</v>
      </c>
      <c r="Q386" s="103"/>
      <c r="R386" s="233">
        <f>LEN(Q385)</f>
        <v>0</v>
      </c>
      <c r="S386" s="105"/>
      <c r="T386" s="105"/>
      <c r="U386" s="105"/>
      <c r="V386" s="105"/>
      <c r="W386" s="105"/>
      <c r="X386" s="105"/>
      <c r="Y386" s="14"/>
    </row>
    <row r="387" spans="1:25" ht="14.1" customHeight="1" thickBot="1" x14ac:dyDescent="0.35">
      <c r="A387" s="3">
        <v>57</v>
      </c>
      <c r="B387" s="259"/>
      <c r="D387"/>
      <c r="E387" t="str">
        <f>Q236</f>
        <v>kVp</v>
      </c>
      <c r="F387" t="str">
        <f>R236</f>
        <v>mA</v>
      </c>
      <c r="G387" t="str">
        <f>S239</f>
        <v>uGy/hr</v>
      </c>
      <c r="H387" t="str">
        <f>T239</f>
        <v>uGy/hr</v>
      </c>
      <c r="M387" s="260"/>
      <c r="O387" s="13"/>
      <c r="P387" s="2" t="s">
        <v>360</v>
      </c>
      <c r="Q387" s="230"/>
      <c r="R387" s="231"/>
      <c r="S387" s="232" t="str">
        <f>IF(AB259="","",AB259)</f>
        <v/>
      </c>
      <c r="T387" s="62"/>
      <c r="U387" s="62"/>
      <c r="V387"/>
      <c r="X387" s="62"/>
      <c r="Y387" s="14"/>
    </row>
    <row r="388" spans="1:25" ht="14.1" customHeight="1" x14ac:dyDescent="0.3">
      <c r="A388" s="3">
        <v>58</v>
      </c>
      <c r="B388" s="259"/>
      <c r="C388" s="525" t="str">
        <f t="shared" ref="C388:H388" si="92">O242</f>
        <v>Scatter - Pulse</v>
      </c>
      <c r="D388" s="369" t="str">
        <f t="shared" si="92"/>
        <v>Eye level</v>
      </c>
      <c r="E388" s="353">
        <f t="shared" si="92"/>
        <v>0</v>
      </c>
      <c r="F388" s="353">
        <f t="shared" si="92"/>
        <v>0</v>
      </c>
      <c r="G388" s="300" t="str">
        <f t="shared" si="92"/>
        <v/>
      </c>
      <c r="H388" s="391" t="str">
        <f t="shared" si="92"/>
        <v/>
      </c>
      <c r="M388" s="260"/>
      <c r="O388" s="13"/>
      <c r="P388" s="102" t="s">
        <v>172</v>
      </c>
      <c r="Q388" s="103"/>
      <c r="R388" s="233">
        <f>LEN(Q387)</f>
        <v>0</v>
      </c>
      <c r="S388" s="105"/>
      <c r="T388" s="105"/>
      <c r="U388" s="105"/>
      <c r="V388" s="105"/>
      <c r="W388" s="105"/>
      <c r="X388" s="105"/>
      <c r="Y388" s="14"/>
    </row>
    <row r="389" spans="1:25" ht="14.1" customHeight="1" thickBot="1" x14ac:dyDescent="0.35">
      <c r="A389" s="3">
        <v>59</v>
      </c>
      <c r="B389" s="259"/>
      <c r="C389" s="526"/>
      <c r="D389" s="372" t="str">
        <f>P243</f>
        <v>Waist level</v>
      </c>
      <c r="E389" s="355">
        <f>Q243</f>
        <v>0</v>
      </c>
      <c r="F389" s="355">
        <f>R243</f>
        <v>0</v>
      </c>
      <c r="G389" s="302" t="str">
        <f t="shared" ref="G389:H389" si="93">S243</f>
        <v/>
      </c>
      <c r="H389" s="375" t="str">
        <f t="shared" si="93"/>
        <v/>
      </c>
      <c r="J389" s="17"/>
      <c r="M389" s="260"/>
      <c r="O389" s="13"/>
      <c r="P389" s="2" t="s">
        <v>360</v>
      </c>
      <c r="Q389" s="230"/>
      <c r="R389" s="231"/>
      <c r="S389" s="232" t="str">
        <f>IF(AB261="","",AB261)</f>
        <v/>
      </c>
      <c r="T389" s="62"/>
      <c r="U389" s="62"/>
      <c r="V389"/>
      <c r="X389" s="62"/>
      <c r="Y389" s="14"/>
    </row>
    <row r="390" spans="1:25" ht="14.1" customHeight="1" x14ac:dyDescent="0.3">
      <c r="A390" s="3">
        <v>60</v>
      </c>
      <c r="B390" s="259"/>
      <c r="C390"/>
      <c r="D390"/>
      <c r="E390"/>
      <c r="F390"/>
      <c r="G390"/>
      <c r="H390"/>
      <c r="I390" s="100"/>
      <c r="J390" s="17"/>
      <c r="M390" s="260"/>
      <c r="O390" s="13"/>
      <c r="P390" s="102" t="s">
        <v>172</v>
      </c>
      <c r="Q390" s="103"/>
      <c r="R390" s="233">
        <f>LEN(Q389)</f>
        <v>0</v>
      </c>
      <c r="S390" s="105"/>
      <c r="T390" s="105"/>
      <c r="U390" s="105"/>
      <c r="V390" s="105"/>
      <c r="W390" s="105"/>
      <c r="X390" s="105"/>
      <c r="Y390" s="14"/>
    </row>
    <row r="391" spans="1:25" ht="14.1" customHeight="1" x14ac:dyDescent="0.3">
      <c r="A391" s="3">
        <v>61</v>
      </c>
      <c r="B391" s="259"/>
      <c r="C391" s="24"/>
      <c r="D391" s="17"/>
      <c r="M391" s="260"/>
      <c r="O391" s="13"/>
      <c r="P391" s="2" t="s">
        <v>360</v>
      </c>
      <c r="Q391" s="230"/>
      <c r="R391" s="231"/>
      <c r="S391" s="232" t="str">
        <f>IF(AB263="","",AB263)</f>
        <v/>
      </c>
      <c r="T391" s="62"/>
      <c r="U391" s="62"/>
      <c r="V391"/>
      <c r="X391" s="62"/>
      <c r="Y391" s="14"/>
    </row>
    <row r="392" spans="1:25" ht="14.1" customHeight="1" x14ac:dyDescent="0.3">
      <c r="A392" s="3">
        <v>62</v>
      </c>
      <c r="B392" s="259"/>
      <c r="C392" s="1" t="str">
        <f>C326</f>
        <v>Comments:</v>
      </c>
      <c r="D392" s="63" t="str">
        <f>D326</f>
        <v/>
      </c>
      <c r="E392" s="62"/>
      <c r="F392" s="62"/>
      <c r="G392" s="62"/>
      <c r="H392" s="62"/>
      <c r="I392" s="62"/>
      <c r="J392" s="62"/>
      <c r="K392" s="62"/>
      <c r="L392" s="62"/>
      <c r="M392" s="282"/>
      <c r="O392" s="13"/>
      <c r="P392" s="102" t="s">
        <v>172</v>
      </c>
      <c r="Q392" s="103"/>
      <c r="R392" s="233">
        <f>LEN(Q391)</f>
        <v>0</v>
      </c>
      <c r="S392" s="105"/>
      <c r="T392" s="105"/>
      <c r="U392" s="105"/>
      <c r="V392" s="105"/>
      <c r="W392" s="105"/>
      <c r="X392" s="105"/>
      <c r="Y392" s="14"/>
    </row>
    <row r="393" spans="1:25" ht="14.1" customHeight="1" x14ac:dyDescent="0.3">
      <c r="A393" s="3">
        <v>63</v>
      </c>
      <c r="B393" s="259"/>
      <c r="D393" s="103" t="str">
        <f>D327</f>
        <v/>
      </c>
      <c r="E393" s="105"/>
      <c r="F393" s="105"/>
      <c r="G393" s="105"/>
      <c r="H393" s="105"/>
      <c r="I393" s="105"/>
      <c r="J393" s="105"/>
      <c r="K393" s="105"/>
      <c r="L393" s="105"/>
      <c r="M393" s="283"/>
      <c r="O393" s="13"/>
      <c r="P393" s="2" t="s">
        <v>360</v>
      </c>
      <c r="Q393" s="230"/>
      <c r="R393" s="231"/>
      <c r="S393" s="232" t="str">
        <f>IF(AB265="","",AB265)</f>
        <v/>
      </c>
      <c r="T393" s="62"/>
      <c r="U393" s="62"/>
      <c r="V393"/>
      <c r="X393" s="62"/>
      <c r="Y393" s="14"/>
    </row>
    <row r="394" spans="1:25" ht="14.1" customHeight="1" x14ac:dyDescent="0.3">
      <c r="A394" s="3">
        <v>64</v>
      </c>
      <c r="B394" s="261"/>
      <c r="C394" s="262"/>
      <c r="D394" s="262"/>
      <c r="E394" s="286" t="str">
        <f>E328</f>
        <v/>
      </c>
      <c r="F394" s="287"/>
      <c r="G394" s="287"/>
      <c r="H394" s="287"/>
      <c r="I394" s="287"/>
      <c r="J394" s="287"/>
      <c r="K394" s="287"/>
      <c r="L394" s="287"/>
      <c r="M394" s="288"/>
      <c r="O394" s="13"/>
      <c r="P394" s="102" t="s">
        <v>172</v>
      </c>
      <c r="Q394" s="103"/>
      <c r="R394" s="233">
        <f>LEN(Q393)</f>
        <v>0</v>
      </c>
      <c r="S394" s="105"/>
      <c r="T394" s="105"/>
      <c r="U394" s="105"/>
      <c r="V394" s="105"/>
      <c r="W394" s="105"/>
      <c r="X394" s="105"/>
      <c r="Y394" s="14"/>
    </row>
    <row r="395" spans="1:25" ht="14.1" customHeight="1" x14ac:dyDescent="0.3">
      <c r="A395" s="3">
        <v>65</v>
      </c>
      <c r="C395" s="2" t="s">
        <v>8</v>
      </c>
      <c r="D395" s="437" t="str">
        <f>IF($P$7="","",$P$7)</f>
        <v/>
      </c>
      <c r="L395" s="2" t="s">
        <v>9</v>
      </c>
      <c r="M395" s="62" t="str">
        <f>IF($X$7="","",$X$7)</f>
        <v>Eugene Mah</v>
      </c>
      <c r="O395" s="13"/>
      <c r="P395" s="2" t="s">
        <v>360</v>
      </c>
      <c r="Q395" s="230"/>
      <c r="R395" s="231"/>
      <c r="S395" s="232" t="str">
        <f>IF(AB267="","",AB267)</f>
        <v/>
      </c>
      <c r="T395" s="62"/>
      <c r="U395" s="62"/>
      <c r="V395"/>
      <c r="X395" s="62"/>
      <c r="Y395" s="14"/>
    </row>
    <row r="396" spans="1:25" ht="14.1" customHeight="1" x14ac:dyDescent="0.3">
      <c r="A396" s="3">
        <v>66</v>
      </c>
      <c r="C396" s="2" t="s">
        <v>74</v>
      </c>
      <c r="D396" s="63" t="str">
        <f>IF($R$14="","",$R$14&amp;" Tube "&amp;$W$48)</f>
        <v/>
      </c>
      <c r="L396" s="2" t="s">
        <v>23</v>
      </c>
      <c r="M396" s="64" t="str">
        <f>IF($R$13="","",$R$13)</f>
        <v/>
      </c>
      <c r="O396" s="13"/>
      <c r="P396" s="102" t="s">
        <v>172</v>
      </c>
      <c r="Q396" s="103"/>
      <c r="R396" s="233">
        <f>LEN(Q395)</f>
        <v>0</v>
      </c>
      <c r="S396" s="105"/>
      <c r="T396" s="105"/>
      <c r="U396" s="105"/>
      <c r="V396" s="105"/>
      <c r="W396" s="105"/>
      <c r="X396" s="105"/>
      <c r="Y396" s="14"/>
    </row>
    <row r="397" spans="1:25" ht="14.1" customHeight="1" x14ac:dyDescent="0.3">
      <c r="A397" s="3">
        <v>1</v>
      </c>
      <c r="M397" s="65" t="str">
        <f>$H$2</f>
        <v>Medical University of South Carolina</v>
      </c>
      <c r="O397" s="13"/>
      <c r="P397" s="2" t="s">
        <v>360</v>
      </c>
      <c r="Q397" s="230"/>
      <c r="R397" s="231"/>
      <c r="S397" s="232" t="str">
        <f>IF(AB269="","",AB269)</f>
        <v/>
      </c>
      <c r="T397" s="62"/>
      <c r="U397" s="62"/>
      <c r="V397"/>
      <c r="X397" s="62"/>
      <c r="Y397" s="14"/>
    </row>
    <row r="398" spans="1:25" ht="14.1" customHeight="1" x14ac:dyDescent="0.3">
      <c r="A398" s="3">
        <v>2</v>
      </c>
      <c r="H398" s="31" t="str">
        <f>$H$68</f>
        <v>Inspection Results</v>
      </c>
      <c r="M398" s="24" t="str">
        <f>$H$5</f>
        <v>Fluoroscopy System Compliance Inspection</v>
      </c>
      <c r="O398" s="13"/>
      <c r="P398" s="102" t="s">
        <v>172</v>
      </c>
      <c r="Q398" s="103"/>
      <c r="R398" s="233">
        <f>LEN(Q397)</f>
        <v>0</v>
      </c>
      <c r="S398" s="105"/>
      <c r="T398" s="105"/>
      <c r="U398" s="105"/>
      <c r="V398" s="105"/>
      <c r="W398" s="105"/>
      <c r="X398" s="105"/>
      <c r="Y398" s="14"/>
    </row>
    <row r="399" spans="1:25" ht="14.1" customHeight="1" thickTop="1" x14ac:dyDescent="0.3">
      <c r="A399" s="3">
        <v>3</v>
      </c>
      <c r="B399" s="256"/>
      <c r="C399" s="277" t="s">
        <v>362</v>
      </c>
      <c r="D399" s="257"/>
      <c r="E399" s="257"/>
      <c r="F399" s="257"/>
      <c r="G399" s="257"/>
      <c r="H399" s="535" t="s">
        <v>363</v>
      </c>
      <c r="I399" s="535"/>
      <c r="J399" s="535" t="s">
        <v>364</v>
      </c>
      <c r="K399" s="535"/>
      <c r="L399" s="257"/>
      <c r="M399" s="258"/>
      <c r="O399" s="13"/>
      <c r="P399" s="2" t="s">
        <v>360</v>
      </c>
      <c r="Q399" s="230"/>
      <c r="R399" s="231"/>
      <c r="S399" s="232" t="str">
        <f>IF(AB271="","",AB271)</f>
        <v/>
      </c>
      <c r="T399" s="62"/>
      <c r="U399" s="62"/>
      <c r="V399"/>
      <c r="X399" s="62"/>
      <c r="Y399" s="14"/>
    </row>
    <row r="400" spans="1:25" ht="14.1" customHeight="1" thickBot="1" x14ac:dyDescent="0.35">
      <c r="A400" s="3">
        <v>4</v>
      </c>
      <c r="B400" s="259"/>
      <c r="D400" s="320" t="str">
        <f>O318</f>
        <v>Receptor Size</v>
      </c>
      <c r="E400" s="399" t="str">
        <f>P318</f>
        <v>MS1</v>
      </c>
      <c r="F400" s="400" t="str">
        <f>Q318</f>
        <v>MS3</v>
      </c>
      <c r="G400" s="401" t="str">
        <f>R318</f>
        <v>MS4</v>
      </c>
      <c r="H400" s="399" t="s">
        <v>365</v>
      </c>
      <c r="I400" s="402" t="s">
        <v>263</v>
      </c>
      <c r="J400" s="403" t="str">
        <f>T318</f>
        <v>N3</v>
      </c>
      <c r="K400" s="402" t="s">
        <v>263</v>
      </c>
      <c r="M400" s="260"/>
      <c r="O400" s="13"/>
      <c r="P400" s="102" t="s">
        <v>172</v>
      </c>
      <c r="Q400" s="103"/>
      <c r="R400" s="233">
        <f>LEN(Q399)</f>
        <v>0</v>
      </c>
      <c r="S400" s="105"/>
      <c r="T400" s="105"/>
      <c r="U400" s="105"/>
      <c r="V400" s="105"/>
      <c r="W400" s="105"/>
      <c r="X400" s="105"/>
      <c r="Y400" s="14"/>
    </row>
    <row r="401" spans="1:25" ht="14.1" customHeight="1" x14ac:dyDescent="0.3">
      <c r="A401" s="3">
        <v>5</v>
      </c>
      <c r="B401" s="259"/>
      <c r="D401" s="389" t="str">
        <f>O319</f>
        <v/>
      </c>
      <c r="E401" s="462" t="str">
        <f t="shared" ref="E401:G405" si="94">IF(P319="","",VLOOKUP(P319,LeedsMS,2))</f>
        <v/>
      </c>
      <c r="F401" s="463" t="str">
        <f t="shared" si="94"/>
        <v/>
      </c>
      <c r="G401" s="464" t="str">
        <f t="shared" si="94"/>
        <v/>
      </c>
      <c r="H401" s="395" t="str">
        <f>IF(S319="","",VLOOKUP(S319,Huttner,2))</f>
        <v/>
      </c>
      <c r="I401" s="392" t="str">
        <f>IF(H401="","",IF(H401&lt;1,"NO","YES"))</f>
        <v/>
      </c>
      <c r="J401" s="398" t="str">
        <f>IF(T319="","",VLOOKUP(T319,LeedsN3,2))</f>
        <v/>
      </c>
      <c r="K401" s="392" t="str">
        <f>IF(J401="","",IF(J401&lt;=0.04,"YES","NO"))</f>
        <v/>
      </c>
      <c r="M401" s="260"/>
      <c r="O401" s="13"/>
      <c r="P401" s="2" t="s">
        <v>360</v>
      </c>
      <c r="Q401" s="230"/>
      <c r="R401" s="231"/>
      <c r="S401" s="232" t="str">
        <f>IF(AB273="","",AB273)</f>
        <v/>
      </c>
      <c r="T401" s="62"/>
      <c r="U401" s="62"/>
      <c r="V401"/>
      <c r="X401" s="62"/>
      <c r="Y401" s="14"/>
    </row>
    <row r="402" spans="1:25" ht="14.1" customHeight="1" x14ac:dyDescent="0.3">
      <c r="A402" s="3">
        <v>6</v>
      </c>
      <c r="B402" s="259"/>
      <c r="D402" s="386" t="str">
        <f>O320</f>
        <v/>
      </c>
      <c r="E402" s="465" t="str">
        <f t="shared" si="94"/>
        <v/>
      </c>
      <c r="F402" s="466" t="str">
        <f t="shared" si="94"/>
        <v/>
      </c>
      <c r="G402" s="467" t="str">
        <f t="shared" si="94"/>
        <v/>
      </c>
      <c r="H402" s="292" t="str">
        <f>IF(S320="","",VLOOKUP(S320,Huttner,2))</f>
        <v/>
      </c>
      <c r="I402" s="393" t="str">
        <f>IF(H402="","",IF(H402&lt;1.25,"NO","YES"))</f>
        <v/>
      </c>
      <c r="J402" s="396" t="str">
        <f>IF(T320="","",VLOOKUP(T320,LeedsN3,2))</f>
        <v/>
      </c>
      <c r="K402" s="393" t="str">
        <f>IF(J402="","",IF(J402&lt;=0.04,"YES","NO"))</f>
        <v/>
      </c>
      <c r="M402" s="260"/>
      <c r="O402" s="13"/>
      <c r="P402" s="102" t="s">
        <v>172</v>
      </c>
      <c r="Q402" s="103"/>
      <c r="R402" s="233">
        <f>LEN(Q401)</f>
        <v>0</v>
      </c>
      <c r="S402" s="105"/>
      <c r="T402" s="105"/>
      <c r="U402" s="105"/>
      <c r="V402" s="105"/>
      <c r="W402" s="105"/>
      <c r="X402" s="105"/>
      <c r="Y402" s="14"/>
    </row>
    <row r="403" spans="1:25" ht="14.1" customHeight="1" x14ac:dyDescent="0.3">
      <c r="A403" s="3">
        <v>7</v>
      </c>
      <c r="B403" s="259"/>
      <c r="D403" s="386" t="str">
        <f>O321</f>
        <v/>
      </c>
      <c r="E403" s="465" t="str">
        <f t="shared" si="94"/>
        <v/>
      </c>
      <c r="F403" s="466" t="str">
        <f t="shared" si="94"/>
        <v/>
      </c>
      <c r="G403" s="467" t="str">
        <f t="shared" si="94"/>
        <v/>
      </c>
      <c r="H403" s="292" t="str">
        <f>IF(S321="","",VLOOKUP(S321,Huttner,2))</f>
        <v/>
      </c>
      <c r="I403" s="393" t="str">
        <f>IF(H403="","",IF(H403&lt;1.4,"NO","YES"))</f>
        <v/>
      </c>
      <c r="J403" s="396" t="str">
        <f>IF(T321="","",VLOOKUP(T321,LeedsN3,2))</f>
        <v/>
      </c>
      <c r="K403" s="393" t="str">
        <f>IF(J403="","",IF(J403&lt;=0.04,"YES","NO"))</f>
        <v/>
      </c>
      <c r="M403" s="260"/>
      <c r="O403" s="13"/>
      <c r="P403" s="2" t="s">
        <v>360</v>
      </c>
      <c r="Q403" s="230"/>
      <c r="R403" s="231"/>
      <c r="S403" s="232" t="str">
        <f>IF(AB275="","",AB275)</f>
        <v/>
      </c>
      <c r="T403" s="62"/>
      <c r="U403" s="62"/>
      <c r="V403"/>
      <c r="X403" s="62"/>
      <c r="Y403" s="14"/>
    </row>
    <row r="404" spans="1:25" ht="14.1" customHeight="1" x14ac:dyDescent="0.3">
      <c r="A404" s="3">
        <v>8</v>
      </c>
      <c r="B404" s="259"/>
      <c r="D404" s="386" t="str">
        <f>O322</f>
        <v/>
      </c>
      <c r="E404" s="465" t="str">
        <f t="shared" si="94"/>
        <v/>
      </c>
      <c r="F404" s="466" t="str">
        <f t="shared" si="94"/>
        <v/>
      </c>
      <c r="G404" s="467" t="str">
        <f t="shared" si="94"/>
        <v/>
      </c>
      <c r="H404" s="292" t="str">
        <f>IF(S322="","",VLOOKUP(S322,Huttner,2))</f>
        <v/>
      </c>
      <c r="I404" s="393" t="str">
        <f>IF(H404="","",IF(H404&lt;2,"NO","YES"))</f>
        <v/>
      </c>
      <c r="J404" s="396" t="str">
        <f>IF(T322="","",VLOOKUP(T322,LeedsN3,2))</f>
        <v/>
      </c>
      <c r="K404" s="393" t="str">
        <f>IF(J404="","",IF(J404&lt;=0.04,"YES","NO"))</f>
        <v/>
      </c>
      <c r="M404" s="260"/>
      <c r="O404" s="13"/>
      <c r="P404" s="102" t="s">
        <v>172</v>
      </c>
      <c r="Q404" s="103"/>
      <c r="R404" s="233">
        <f>LEN(Q403)</f>
        <v>0</v>
      </c>
      <c r="S404" s="105"/>
      <c r="T404" s="105"/>
      <c r="U404" s="105"/>
      <c r="V404" s="105"/>
      <c r="W404" s="105"/>
      <c r="X404" s="105"/>
      <c r="Y404" s="14"/>
    </row>
    <row r="405" spans="1:25" ht="14.1" customHeight="1" thickBot="1" x14ac:dyDescent="0.35">
      <c r="A405" s="3">
        <v>9</v>
      </c>
      <c r="B405" s="259"/>
      <c r="D405" s="388" t="str">
        <f>O323</f>
        <v/>
      </c>
      <c r="E405" s="468" t="str">
        <f t="shared" si="94"/>
        <v/>
      </c>
      <c r="F405" s="469" t="str">
        <f t="shared" si="94"/>
        <v/>
      </c>
      <c r="G405" s="470" t="str">
        <f t="shared" si="94"/>
        <v/>
      </c>
      <c r="H405" s="293" t="str">
        <f>IF(S323="","",VLOOKUP(S323,Huttner,2))</f>
        <v/>
      </c>
      <c r="I405" s="394" t="str">
        <f>IF(H405="","",IF(H405&lt;1,"NO","YES"))</f>
        <v/>
      </c>
      <c r="J405" s="397" t="str">
        <f>IF(T323="","",VLOOKUP(T323,LeedsN3,2))</f>
        <v/>
      </c>
      <c r="K405" s="394" t="str">
        <f>IF(J405="","",IF(J405&lt;=0.04,"YES","NO"))</f>
        <v/>
      </c>
      <c r="M405" s="260"/>
      <c r="O405" s="13"/>
      <c r="P405" s="2" t="s">
        <v>360</v>
      </c>
      <c r="Q405" s="230"/>
      <c r="R405" s="231"/>
      <c r="S405" s="232" t="str">
        <f>IF(AB277="","",AB277)</f>
        <v/>
      </c>
      <c r="T405" s="62"/>
      <c r="U405" s="62"/>
      <c r="V405"/>
      <c r="X405" s="62"/>
      <c r="Y405" s="14"/>
    </row>
    <row r="406" spans="1:25" ht="14.1" customHeight="1" x14ac:dyDescent="0.3">
      <c r="A406" s="3">
        <v>10</v>
      </c>
      <c r="B406" s="259"/>
      <c r="D406" s="2" t="s">
        <v>168</v>
      </c>
      <c r="E406" s="17" t="s">
        <v>366</v>
      </c>
      <c r="M406" s="260"/>
      <c r="O406" s="13"/>
      <c r="P406" s="102" t="s">
        <v>172</v>
      </c>
      <c r="Q406" s="103"/>
      <c r="R406" s="233">
        <f>LEN(Q405)</f>
        <v>0</v>
      </c>
      <c r="S406" s="105"/>
      <c r="T406" s="105"/>
      <c r="U406" s="105"/>
      <c r="V406" s="105"/>
      <c r="W406" s="105"/>
      <c r="X406" s="105"/>
      <c r="Y406" s="14"/>
    </row>
    <row r="407" spans="1:25" ht="14.1" customHeight="1" x14ac:dyDescent="0.3">
      <c r="A407" s="3">
        <v>11</v>
      </c>
      <c r="B407" s="259"/>
      <c r="E407" s="17" t="s">
        <v>367</v>
      </c>
      <c r="M407" s="260"/>
      <c r="O407" s="13"/>
      <c r="P407" s="2" t="s">
        <v>360</v>
      </c>
      <c r="Q407" s="230"/>
      <c r="R407" s="231"/>
      <c r="S407" s="232" t="str">
        <f>IF(AB279="","",AB279)</f>
        <v/>
      </c>
      <c r="T407" s="62"/>
      <c r="U407" s="62"/>
      <c r="V407"/>
      <c r="X407" s="62"/>
      <c r="Y407" s="14"/>
    </row>
    <row r="408" spans="1:25" ht="14.1" customHeight="1" x14ac:dyDescent="0.3">
      <c r="A408" s="3">
        <v>12</v>
      </c>
      <c r="B408" s="259"/>
      <c r="C408" s="1" t="str">
        <f>P325</f>
        <v>Comments:</v>
      </c>
      <c r="D408" s="347" t="str">
        <f>IF(Q325="","",IF(LEN(Q325)&lt;=135,Q325,IF(LEN(Q325)&lt;=260,LEFT(Q325,SEARCH(" ",Q325,125)),LEFT(Q325,SEARCH(" ",Q325,130)))))</f>
        <v/>
      </c>
      <c r="E408" s="348"/>
      <c r="F408" s="348"/>
      <c r="G408" s="348"/>
      <c r="H408" s="348"/>
      <c r="I408" s="348"/>
      <c r="J408" s="348"/>
      <c r="K408" s="348"/>
      <c r="L408" s="348"/>
      <c r="M408" s="349"/>
      <c r="O408" s="13"/>
      <c r="P408" s="102" t="s">
        <v>172</v>
      </c>
      <c r="Q408" s="105"/>
      <c r="R408" s="233">
        <f>LEN(Q407)</f>
        <v>0</v>
      </c>
      <c r="S408" s="105"/>
      <c r="T408" s="105"/>
      <c r="U408" s="105"/>
      <c r="V408" s="105"/>
      <c r="W408" s="105"/>
      <c r="X408" s="105"/>
      <c r="Y408" s="14"/>
    </row>
    <row r="409" spans="1:25" ht="14.1" customHeight="1" x14ac:dyDescent="0.3">
      <c r="A409" s="3">
        <v>13</v>
      </c>
      <c r="B409" s="259"/>
      <c r="D409" s="350" t="str">
        <f>IF(LEN(Q325)&lt;=135,"",IF(LEN(Q325)&lt;=260,RIGHT(Q325,LEN(Q325)-SEARCH(" ",Q325,125)),MID(Q325,SEARCH(" ",Q325,130),IF(LEN(Q325)&lt;=265,LEN(Q325),SEARCH(" ",Q325,255)-SEARCH(" ",Q325,130)))))</f>
        <v/>
      </c>
      <c r="E409" s="351"/>
      <c r="F409" s="351"/>
      <c r="G409" s="351"/>
      <c r="H409" s="351"/>
      <c r="I409" s="351"/>
      <c r="J409" s="351"/>
      <c r="K409" s="351"/>
      <c r="L409" s="351"/>
      <c r="M409" s="352"/>
      <c r="O409" s="21"/>
      <c r="P409" s="22"/>
      <c r="Q409" s="22"/>
      <c r="R409" s="22"/>
      <c r="S409" s="22"/>
      <c r="T409" s="22"/>
      <c r="U409" s="22"/>
      <c r="V409" s="22"/>
      <c r="W409" s="22"/>
      <c r="X409" s="22"/>
      <c r="Y409" s="23"/>
    </row>
    <row r="410" spans="1:25" ht="14.1" customHeight="1" x14ac:dyDescent="0.3">
      <c r="A410" s="3">
        <v>14</v>
      </c>
      <c r="B410" s="259"/>
      <c r="D410" s="350" t="str">
        <f>IF(LEN(Q325)&lt;=265,"",RIGHT(Q325,LEN(Q325)-SEARCH(" ",Q325,255)))</f>
        <v/>
      </c>
      <c r="E410" s="351"/>
      <c r="F410" s="351"/>
      <c r="G410" s="351"/>
      <c r="H410" s="351"/>
      <c r="I410" s="351"/>
      <c r="J410" s="351"/>
      <c r="K410" s="351"/>
      <c r="L410" s="351"/>
      <c r="M410" s="352"/>
    </row>
    <row r="411" spans="1:25" ht="14.1" customHeight="1" x14ac:dyDescent="0.3">
      <c r="A411" s="3">
        <v>15</v>
      </c>
      <c r="B411" s="259"/>
      <c r="M411" s="260"/>
      <c r="T411" s="31" t="s">
        <v>368</v>
      </c>
    </row>
    <row r="412" spans="1:25" ht="14.1" customHeight="1" x14ac:dyDescent="0.3">
      <c r="A412" s="3">
        <v>16</v>
      </c>
      <c r="B412" s="259"/>
      <c r="C412" s="289" t="s">
        <v>369</v>
      </c>
      <c r="M412" s="260"/>
      <c r="O412" s="36"/>
      <c r="P412" s="7"/>
      <c r="Q412" s="7"/>
      <c r="R412" s="7"/>
      <c r="S412" s="71" t="s">
        <v>358</v>
      </c>
      <c r="T412" s="7"/>
      <c r="U412" s="7"/>
      <c r="V412" s="7"/>
      <c r="W412" s="7"/>
      <c r="X412" s="7"/>
      <c r="Y412" s="8"/>
    </row>
    <row r="413" spans="1:25" ht="14.1" customHeight="1" x14ac:dyDescent="0.3">
      <c r="A413" s="3">
        <v>17</v>
      </c>
      <c r="B413" s="259"/>
      <c r="C413"/>
      <c r="D413" s="533" t="s">
        <v>370</v>
      </c>
      <c r="E413" s="533"/>
      <c r="F413" s="533"/>
      <c r="G413" s="533"/>
      <c r="H413" s="533"/>
      <c r="I413" s="533" t="s">
        <v>371</v>
      </c>
      <c r="J413" s="533"/>
      <c r="K413" s="533"/>
      <c r="L413" s="533"/>
      <c r="M413" s="534"/>
      <c r="O413" s="13"/>
      <c r="P413" s="2" t="s">
        <v>171</v>
      </c>
      <c r="Q413" s="230"/>
      <c r="R413" s="231"/>
      <c r="S413" s="232" t="str">
        <f>IF(AB280="","",AB280)</f>
        <v/>
      </c>
      <c r="T413" s="62"/>
      <c r="U413" s="62"/>
      <c r="V413"/>
      <c r="X413" s="62"/>
      <c r="Y413" s="14"/>
    </row>
    <row r="414" spans="1:25" ht="14.1" customHeight="1" thickBot="1" x14ac:dyDescent="0.35">
      <c r="A414" s="3">
        <v>18</v>
      </c>
      <c r="B414" s="259"/>
      <c r="C414" s="297" t="s">
        <v>321</v>
      </c>
      <c r="D414" s="422" t="str">
        <f>Q330</f>
        <v/>
      </c>
      <c r="E414" s="423" t="str">
        <f>R330</f>
        <v/>
      </c>
      <c r="F414" s="423" t="str">
        <f>S330</f>
        <v/>
      </c>
      <c r="G414" s="423" t="str">
        <f>T330</f>
        <v/>
      </c>
      <c r="H414" s="424" t="str">
        <f>U330</f>
        <v/>
      </c>
      <c r="I414" s="422" t="str">
        <f>Q330</f>
        <v/>
      </c>
      <c r="J414" s="423" t="str">
        <f>R330</f>
        <v/>
      </c>
      <c r="K414" s="423" t="str">
        <f>S330</f>
        <v/>
      </c>
      <c r="L414" s="423" t="str">
        <f>T330</f>
        <v/>
      </c>
      <c r="M414" s="425" t="str">
        <f>U330</f>
        <v/>
      </c>
      <c r="O414" s="13"/>
      <c r="P414" s="102" t="s">
        <v>172</v>
      </c>
      <c r="Q414" s="103"/>
      <c r="R414" s="233">
        <f>LEN(Q413)</f>
        <v>0</v>
      </c>
      <c r="S414" s="105"/>
      <c r="T414" s="105"/>
      <c r="U414" s="234"/>
      <c r="V414" s="105"/>
      <c r="W414" s="105"/>
      <c r="X414" s="105"/>
      <c r="Y414" s="14"/>
    </row>
    <row r="415" spans="1:25" ht="14.1" customHeight="1" x14ac:dyDescent="0.3">
      <c r="A415" s="3">
        <v>19</v>
      </c>
      <c r="B415" s="259"/>
      <c r="C415" s="297" t="s">
        <v>322</v>
      </c>
      <c r="D415" s="416" t="str">
        <f t="shared" ref="D415:D426" si="95">IF(Q331="","",HLOOKUP(Q331,TO10Values,MATCH($P331,TO10Group,0)))</f>
        <v/>
      </c>
      <c r="E415" s="417" t="str">
        <f t="shared" ref="E415:E426" si="96">IF(R331="","",HLOOKUP(R331,TO10Values,MATCH($P331,TO10Group,0)))</f>
        <v/>
      </c>
      <c r="F415" s="417" t="str">
        <f t="shared" ref="F415:F426" si="97">IF(S331="","",HLOOKUP(S331,TO10Values,MATCH($P331,TO10Group,0)))</f>
        <v/>
      </c>
      <c r="G415" s="417" t="str">
        <f t="shared" ref="G415:G426" si="98">IF(T331="","",HLOOKUP(T331,TO10Values,MATCH($P331,TO10Group,0)))</f>
        <v/>
      </c>
      <c r="H415" s="418" t="str">
        <f t="shared" ref="H415:H426" si="99">IF(U331="","",HLOOKUP(U331,TO10Values,MATCH($P331,TO10Group,0)))</f>
        <v/>
      </c>
      <c r="I415" s="419" t="str">
        <f>IF(D415="","",IF(ISNA(D415),NA(),1/(D415*Tables!$C47)))</f>
        <v/>
      </c>
      <c r="J415" s="420" t="str">
        <f>IF(E415="","",IF(ISNA(E415),NA(),1/(E415*Tables!$C47)))</f>
        <v/>
      </c>
      <c r="K415" s="420" t="str">
        <f>IF(F415="","",IF(ISNA(F415),NA(),1/(F415*Tables!$C47)))</f>
        <v/>
      </c>
      <c r="L415" s="420" t="str">
        <f>IF(G415="","",IF(ISNA(G415),NA(),1/(G415*Tables!$C47)))</f>
        <v/>
      </c>
      <c r="M415" s="421" t="str">
        <f>IF(H415="","",IF(ISNA(H415),NA(),1/(H415*Tables!$C47)))</f>
        <v/>
      </c>
      <c r="O415" s="13"/>
      <c r="P415" s="2" t="s">
        <v>360</v>
      </c>
      <c r="Q415" s="230"/>
      <c r="R415" s="231"/>
      <c r="S415" s="232" t="str">
        <f>IF(AB282="","",AB282)</f>
        <v/>
      </c>
      <c r="T415" s="62"/>
      <c r="U415" s="62"/>
      <c r="V415"/>
      <c r="X415" s="62"/>
      <c r="Y415" s="14"/>
    </row>
    <row r="416" spans="1:25" ht="14.1" customHeight="1" x14ac:dyDescent="0.3">
      <c r="A416" s="3">
        <v>20</v>
      </c>
      <c r="B416" s="259"/>
      <c r="C416" s="297" t="s">
        <v>323</v>
      </c>
      <c r="D416" s="404" t="str">
        <f t="shared" si="95"/>
        <v/>
      </c>
      <c r="E416" s="405" t="str">
        <f t="shared" si="96"/>
        <v/>
      </c>
      <c r="F416" s="405" t="str">
        <f t="shared" si="97"/>
        <v/>
      </c>
      <c r="G416" s="405" t="str">
        <f t="shared" si="98"/>
        <v/>
      </c>
      <c r="H416" s="408" t="str">
        <f t="shared" si="99"/>
        <v/>
      </c>
      <c r="I416" s="410" t="str">
        <f>IF(D416="","",IF(ISNA(D416),NA(),1/(D416*Tables!$C48)))</f>
        <v/>
      </c>
      <c r="J416" s="411" t="str">
        <f>IF(E416="","",IF(ISNA(E416),NA(),1/(E416*Tables!$C48)))</f>
        <v/>
      </c>
      <c r="K416" s="411" t="str">
        <f>IF(F416="","",IF(ISNA(F416),NA(),1/(F416*Tables!$C48)))</f>
        <v/>
      </c>
      <c r="L416" s="411" t="str">
        <f>IF(G416="","",IF(ISNA(G416),NA(),1/(G416*Tables!$C48)))</f>
        <v/>
      </c>
      <c r="M416" s="412" t="str">
        <f>IF(H416="","",IF(ISNA(H416),NA(),1/(H416*Tables!$C48)))</f>
        <v/>
      </c>
      <c r="O416" s="13"/>
      <c r="P416" s="102" t="s">
        <v>172</v>
      </c>
      <c r="Q416" s="103"/>
      <c r="R416" s="233">
        <f>LEN(Q415)</f>
        <v>0</v>
      </c>
      <c r="S416" s="105"/>
      <c r="T416" s="105"/>
      <c r="U416" s="234"/>
      <c r="V416" s="105"/>
      <c r="W416" s="105"/>
      <c r="X416" s="105"/>
      <c r="Y416" s="14"/>
    </row>
    <row r="417" spans="1:25" ht="14.1" customHeight="1" x14ac:dyDescent="0.3">
      <c r="A417" s="3">
        <v>21</v>
      </c>
      <c r="B417" s="259"/>
      <c r="C417" s="297" t="s">
        <v>324</v>
      </c>
      <c r="D417" s="404" t="str">
        <f t="shared" si="95"/>
        <v/>
      </c>
      <c r="E417" s="405" t="str">
        <f t="shared" si="96"/>
        <v/>
      </c>
      <c r="F417" s="405" t="str">
        <f t="shared" si="97"/>
        <v/>
      </c>
      <c r="G417" s="405" t="str">
        <f t="shared" si="98"/>
        <v/>
      </c>
      <c r="H417" s="408" t="str">
        <f t="shared" si="99"/>
        <v/>
      </c>
      <c r="I417" s="410" t="str">
        <f>IF(D417="","",IF(ISNA(D417),NA(),1/(D417*Tables!$C49)))</f>
        <v/>
      </c>
      <c r="J417" s="411" t="str">
        <f>IF(E417="","",IF(ISNA(E417),NA(),1/(E417*Tables!$C49)))</f>
        <v/>
      </c>
      <c r="K417" s="411" t="str">
        <f>IF(F417="","",IF(ISNA(F417),NA(),1/(F417*Tables!$C49)))</f>
        <v/>
      </c>
      <c r="L417" s="411" t="str">
        <f>IF(G417="","",IF(ISNA(G417),NA(),1/(G417*Tables!$C49)))</f>
        <v/>
      </c>
      <c r="M417" s="412" t="str">
        <f>IF(H417="","",IF(ISNA(H417),NA(),1/(H417*Tables!$C49)))</f>
        <v/>
      </c>
      <c r="O417" s="13"/>
      <c r="P417" s="2" t="s">
        <v>360</v>
      </c>
      <c r="Q417" s="230"/>
      <c r="R417" s="231"/>
      <c r="S417" s="232" t="str">
        <f>IF(AB284="","",AB284)</f>
        <v/>
      </c>
      <c r="T417" s="62"/>
      <c r="U417" s="62"/>
      <c r="V417"/>
      <c r="X417" s="62"/>
      <c r="Y417" s="14"/>
    </row>
    <row r="418" spans="1:25" ht="14.1" customHeight="1" x14ac:dyDescent="0.3">
      <c r="A418" s="3">
        <v>22</v>
      </c>
      <c r="B418" s="259"/>
      <c r="C418" s="297" t="s">
        <v>325</v>
      </c>
      <c r="D418" s="404" t="str">
        <f t="shared" si="95"/>
        <v/>
      </c>
      <c r="E418" s="405" t="str">
        <f t="shared" si="96"/>
        <v/>
      </c>
      <c r="F418" s="405" t="str">
        <f t="shared" si="97"/>
        <v/>
      </c>
      <c r="G418" s="405" t="str">
        <f t="shared" si="98"/>
        <v/>
      </c>
      <c r="H418" s="408" t="str">
        <f t="shared" si="99"/>
        <v/>
      </c>
      <c r="I418" s="410" t="str">
        <f>IF(D418="","",IF(ISNA(D418),NA(),1/(D418*Tables!$C50)))</f>
        <v/>
      </c>
      <c r="J418" s="411" t="str">
        <f>IF(E418="","",IF(ISNA(E418),NA(),1/(E418*Tables!$C50)))</f>
        <v/>
      </c>
      <c r="K418" s="411" t="str">
        <f>IF(F418="","",IF(ISNA(F418),NA(),1/(F418*Tables!$C50)))</f>
        <v/>
      </c>
      <c r="L418" s="411" t="str">
        <f>IF(G418="","",IF(ISNA(G418),NA(),1/(G418*Tables!$C50)))</f>
        <v/>
      </c>
      <c r="M418" s="412" t="str">
        <f>IF(H418="","",IF(ISNA(H418),NA(),1/(H418*Tables!$C50)))</f>
        <v/>
      </c>
      <c r="O418" s="13"/>
      <c r="P418" s="102" t="s">
        <v>172</v>
      </c>
      <c r="Q418" s="103"/>
      <c r="R418" s="233">
        <f>LEN(Q417)</f>
        <v>0</v>
      </c>
      <c r="S418" s="105"/>
      <c r="T418" s="105"/>
      <c r="U418" s="234"/>
      <c r="V418" s="105"/>
      <c r="W418" s="105"/>
      <c r="X418" s="105"/>
      <c r="Y418" s="14"/>
    </row>
    <row r="419" spans="1:25" ht="14.1" customHeight="1" x14ac:dyDescent="0.3">
      <c r="A419" s="3">
        <v>23</v>
      </c>
      <c r="B419" s="259"/>
      <c r="C419" s="297" t="s">
        <v>326</v>
      </c>
      <c r="D419" s="404" t="str">
        <f t="shared" si="95"/>
        <v/>
      </c>
      <c r="E419" s="405" t="str">
        <f t="shared" si="96"/>
        <v/>
      </c>
      <c r="F419" s="405" t="str">
        <f t="shared" si="97"/>
        <v/>
      </c>
      <c r="G419" s="405" t="str">
        <f t="shared" si="98"/>
        <v/>
      </c>
      <c r="H419" s="408" t="str">
        <f t="shared" si="99"/>
        <v/>
      </c>
      <c r="I419" s="410" t="str">
        <f>IF(D419="","",IF(ISNA(D419),NA(),1/(D419*Tables!$C51)))</f>
        <v/>
      </c>
      <c r="J419" s="411" t="str">
        <f>IF(E419="","",IF(ISNA(E419),NA(),1/(E419*Tables!$C51)))</f>
        <v/>
      </c>
      <c r="K419" s="411" t="str">
        <f>IF(F419="","",IF(ISNA(F419),NA(),1/(F419*Tables!$C51)))</f>
        <v/>
      </c>
      <c r="L419" s="411" t="str">
        <f>IF(G419="","",IF(ISNA(G419),NA(),1/(G419*Tables!$C51)))</f>
        <v/>
      </c>
      <c r="M419" s="412" t="str">
        <f>IF(H419="","",IF(ISNA(H419),NA(),1/(H419*Tables!$C51)))</f>
        <v/>
      </c>
      <c r="O419" s="13"/>
      <c r="P419" s="2" t="s">
        <v>360</v>
      </c>
      <c r="Q419" s="230"/>
      <c r="R419" s="231"/>
      <c r="S419" s="232" t="str">
        <f>IF(AB286="","",AB286)</f>
        <v/>
      </c>
      <c r="T419" s="62"/>
      <c r="U419" s="62"/>
      <c r="V419"/>
      <c r="X419" s="62"/>
      <c r="Y419" s="14"/>
    </row>
    <row r="420" spans="1:25" ht="14.1" customHeight="1" x14ac:dyDescent="0.3">
      <c r="A420" s="3">
        <v>24</v>
      </c>
      <c r="B420" s="259"/>
      <c r="C420" s="297" t="s">
        <v>327</v>
      </c>
      <c r="D420" s="404" t="str">
        <f t="shared" si="95"/>
        <v/>
      </c>
      <c r="E420" s="405" t="str">
        <f t="shared" si="96"/>
        <v/>
      </c>
      <c r="F420" s="405" t="str">
        <f t="shared" si="97"/>
        <v/>
      </c>
      <c r="G420" s="405" t="str">
        <f t="shared" si="98"/>
        <v/>
      </c>
      <c r="H420" s="408" t="str">
        <f t="shared" si="99"/>
        <v/>
      </c>
      <c r="I420" s="410" t="str">
        <f>IF(D420="","",IF(ISNA(D420),NA(),1/(D420*Tables!$C52)))</f>
        <v/>
      </c>
      <c r="J420" s="411" t="str">
        <f>IF(E420="","",IF(ISNA(E420),NA(),1/(E420*Tables!$C52)))</f>
        <v/>
      </c>
      <c r="K420" s="411" t="str">
        <f>IF(F420="","",IF(ISNA(F420),NA(),1/(F420*Tables!$C52)))</f>
        <v/>
      </c>
      <c r="L420" s="411" t="str">
        <f>IF(G420="","",IF(ISNA(G420),NA(),1/(G420*Tables!$C52)))</f>
        <v/>
      </c>
      <c r="M420" s="412" t="str">
        <f>IF(H420="","",IF(ISNA(H420),NA(),1/(H420*Tables!$C52)))</f>
        <v/>
      </c>
      <c r="O420" s="13"/>
      <c r="P420" s="102" t="s">
        <v>172</v>
      </c>
      <c r="Q420" s="103"/>
      <c r="R420" s="233">
        <f>LEN(Q419)</f>
        <v>0</v>
      </c>
      <c r="S420" s="105"/>
      <c r="T420" s="105"/>
      <c r="U420" s="234"/>
      <c r="V420" s="105"/>
      <c r="W420" s="105"/>
      <c r="X420" s="105"/>
      <c r="Y420" s="14"/>
    </row>
    <row r="421" spans="1:25" ht="14.1" customHeight="1" x14ac:dyDescent="0.3">
      <c r="A421" s="3">
        <v>25</v>
      </c>
      <c r="B421" s="259"/>
      <c r="C421" s="297" t="s">
        <v>328</v>
      </c>
      <c r="D421" s="404" t="str">
        <f t="shared" si="95"/>
        <v/>
      </c>
      <c r="E421" s="405" t="str">
        <f t="shared" si="96"/>
        <v/>
      </c>
      <c r="F421" s="405" t="str">
        <f t="shared" si="97"/>
        <v/>
      </c>
      <c r="G421" s="405" t="str">
        <f t="shared" si="98"/>
        <v/>
      </c>
      <c r="H421" s="408" t="str">
        <f t="shared" si="99"/>
        <v/>
      </c>
      <c r="I421" s="410" t="str">
        <f>IF(D421="","",IF(ISNA(D421),NA(),1/(D421*Tables!$C53)))</f>
        <v/>
      </c>
      <c r="J421" s="411" t="str">
        <f>IF(E421="","",IF(ISNA(E421),NA(),1/(E421*Tables!$C53)))</f>
        <v/>
      </c>
      <c r="K421" s="411" t="str">
        <f>IF(F421="","",IF(ISNA(F421),NA(),1/(F421*Tables!$C53)))</f>
        <v/>
      </c>
      <c r="L421" s="411" t="str">
        <f>IF(G421="","",IF(ISNA(G421),NA(),1/(G421*Tables!$C53)))</f>
        <v/>
      </c>
      <c r="M421" s="412" t="str">
        <f>IF(H421="","",IF(ISNA(H421),NA(),1/(H421*Tables!$C53)))</f>
        <v/>
      </c>
      <c r="O421" s="13"/>
      <c r="P421" s="2" t="s">
        <v>360</v>
      </c>
      <c r="Q421" s="230"/>
      <c r="R421" s="231"/>
      <c r="S421" s="232" t="str">
        <f>IF(AB288="","",AB288)</f>
        <v/>
      </c>
      <c r="T421" s="62"/>
      <c r="U421" s="62"/>
      <c r="V421"/>
      <c r="X421" s="62"/>
      <c r="Y421" s="14"/>
    </row>
    <row r="422" spans="1:25" ht="14.1" customHeight="1" x14ac:dyDescent="0.3">
      <c r="A422" s="3">
        <v>26</v>
      </c>
      <c r="B422" s="259"/>
      <c r="C422" s="297" t="s">
        <v>329</v>
      </c>
      <c r="D422" s="404" t="str">
        <f t="shared" si="95"/>
        <v/>
      </c>
      <c r="E422" s="405" t="str">
        <f t="shared" si="96"/>
        <v/>
      </c>
      <c r="F422" s="405" t="str">
        <f t="shared" si="97"/>
        <v/>
      </c>
      <c r="G422" s="405" t="str">
        <f t="shared" si="98"/>
        <v/>
      </c>
      <c r="H422" s="408" t="str">
        <f t="shared" si="99"/>
        <v/>
      </c>
      <c r="I422" s="410" t="str">
        <f>IF(D422="","",IF(ISNA(D422),NA(),1/(D422*Tables!$C54)))</f>
        <v/>
      </c>
      <c r="J422" s="411" t="str">
        <f>IF(E422="","",IF(ISNA(E422),NA(),1/(E422*Tables!$C54)))</f>
        <v/>
      </c>
      <c r="K422" s="411" t="str">
        <f>IF(F422="","",IF(ISNA(F422),NA(),1/(F422*Tables!$C54)))</f>
        <v/>
      </c>
      <c r="L422" s="411" t="str">
        <f>IF(G422="","",IF(ISNA(G422),NA(),1/(G422*Tables!$C54)))</f>
        <v/>
      </c>
      <c r="M422" s="412" t="str">
        <f>IF(H422="","",IF(ISNA(H422),NA(),1/(H422*Tables!$C54)))</f>
        <v/>
      </c>
      <c r="O422" s="13"/>
      <c r="P422" s="102" t="s">
        <v>172</v>
      </c>
      <c r="Q422" s="103"/>
      <c r="R422" s="233">
        <f>LEN(Q421)</f>
        <v>0</v>
      </c>
      <c r="S422" s="105"/>
      <c r="T422" s="105"/>
      <c r="U422" s="234"/>
      <c r="V422" s="105"/>
      <c r="W422" s="105"/>
      <c r="X422" s="105"/>
      <c r="Y422" s="14"/>
    </row>
    <row r="423" spans="1:25" ht="14.1" customHeight="1" x14ac:dyDescent="0.3">
      <c r="A423" s="3">
        <v>27</v>
      </c>
      <c r="B423" s="259"/>
      <c r="C423" s="297" t="s">
        <v>330</v>
      </c>
      <c r="D423" s="404" t="str">
        <f t="shared" si="95"/>
        <v/>
      </c>
      <c r="E423" s="405" t="str">
        <f t="shared" si="96"/>
        <v/>
      </c>
      <c r="F423" s="405" t="str">
        <f t="shared" si="97"/>
        <v/>
      </c>
      <c r="G423" s="405" t="str">
        <f t="shared" si="98"/>
        <v/>
      </c>
      <c r="H423" s="408" t="str">
        <f t="shared" si="99"/>
        <v/>
      </c>
      <c r="I423" s="410" t="str">
        <f>IF(D423="","",IF(ISNA(D423),NA(),1/(D423*Tables!$C55)))</f>
        <v/>
      </c>
      <c r="J423" s="411" t="str">
        <f>IF(E423="","",IF(ISNA(E423),NA(),1/(E423*Tables!$C55)))</f>
        <v/>
      </c>
      <c r="K423" s="411" t="str">
        <f>IF(F423="","",IF(ISNA(F423),NA(),1/(F423*Tables!$C55)))</f>
        <v/>
      </c>
      <c r="L423" s="411" t="str">
        <f>IF(G423="","",IF(ISNA(G423),NA(),1/(G423*Tables!$C55)))</f>
        <v/>
      </c>
      <c r="M423" s="412" t="str">
        <f>IF(H423="","",IF(ISNA(H423),NA(),1/(H423*Tables!$C55)))</f>
        <v/>
      </c>
      <c r="O423" s="13"/>
      <c r="P423" s="2" t="s">
        <v>360</v>
      </c>
      <c r="Q423" s="230"/>
      <c r="R423" s="231"/>
      <c r="S423" s="232" t="str">
        <f>IF(AB290="","",AB290)</f>
        <v/>
      </c>
      <c r="T423" s="62"/>
      <c r="U423" s="62"/>
      <c r="V423"/>
      <c r="X423" s="62"/>
      <c r="Y423" s="14"/>
    </row>
    <row r="424" spans="1:25" ht="14.1" customHeight="1" x14ac:dyDescent="0.3">
      <c r="A424" s="3">
        <v>28</v>
      </c>
      <c r="B424" s="259"/>
      <c r="C424" s="297" t="s">
        <v>331</v>
      </c>
      <c r="D424" s="404" t="str">
        <f t="shared" si="95"/>
        <v/>
      </c>
      <c r="E424" s="405" t="str">
        <f t="shared" si="96"/>
        <v/>
      </c>
      <c r="F424" s="405" t="str">
        <f t="shared" si="97"/>
        <v/>
      </c>
      <c r="G424" s="405" t="str">
        <f t="shared" si="98"/>
        <v/>
      </c>
      <c r="H424" s="408" t="str">
        <f t="shared" si="99"/>
        <v/>
      </c>
      <c r="I424" s="410" t="str">
        <f>IF(D424="","",IF(ISNA(D424),NA(),1/(D424*Tables!$C56)))</f>
        <v/>
      </c>
      <c r="J424" s="411" t="str">
        <f>IF(E424="","",IF(ISNA(E424),NA(),1/(E424*Tables!$C56)))</f>
        <v/>
      </c>
      <c r="K424" s="411" t="str">
        <f>IF(F424="","",IF(ISNA(F424),NA(),1/(F424*Tables!$C56)))</f>
        <v/>
      </c>
      <c r="L424" s="411" t="str">
        <f>IF(G424="","",IF(ISNA(G424),NA(),1/(G424*Tables!$C56)))</f>
        <v/>
      </c>
      <c r="M424" s="412" t="str">
        <f>IF(H424="","",IF(ISNA(H424),NA(),1/(H424*Tables!$C56)))</f>
        <v/>
      </c>
      <c r="O424" s="13"/>
      <c r="P424" s="102" t="s">
        <v>172</v>
      </c>
      <c r="Q424" s="103"/>
      <c r="R424" s="233">
        <f>LEN(Q423)</f>
        <v>0</v>
      </c>
      <c r="S424" s="105"/>
      <c r="T424" s="105"/>
      <c r="U424" s="105"/>
      <c r="V424" s="105"/>
      <c r="W424" s="105"/>
      <c r="X424" s="105"/>
      <c r="Y424" s="14"/>
    </row>
    <row r="425" spans="1:25" ht="14.1" customHeight="1" x14ac:dyDescent="0.3">
      <c r="A425" s="3">
        <v>29</v>
      </c>
      <c r="B425" s="259"/>
      <c r="C425" s="297" t="s">
        <v>332</v>
      </c>
      <c r="D425" s="404" t="str">
        <f t="shared" si="95"/>
        <v/>
      </c>
      <c r="E425" s="405" t="str">
        <f t="shared" si="96"/>
        <v/>
      </c>
      <c r="F425" s="405" t="str">
        <f t="shared" si="97"/>
        <v/>
      </c>
      <c r="G425" s="405" t="str">
        <f t="shared" si="98"/>
        <v/>
      </c>
      <c r="H425" s="408" t="str">
        <f t="shared" si="99"/>
        <v/>
      </c>
      <c r="I425" s="410" t="str">
        <f>IF(D425="","",IF(ISNA(D425),NA(),1/(D425*Tables!$C57)))</f>
        <v/>
      </c>
      <c r="J425" s="411" t="str">
        <f>IF(E425="","",IF(ISNA(E425),NA(),1/(E425*Tables!$C57)))</f>
        <v/>
      </c>
      <c r="K425" s="411" t="str">
        <f>IF(F425="","",IF(ISNA(F425),NA(),1/(F425*Tables!$C57)))</f>
        <v/>
      </c>
      <c r="L425" s="411" t="str">
        <f>IF(G425="","",IF(ISNA(G425),NA(),1/(G425*Tables!$C57)))</f>
        <v/>
      </c>
      <c r="M425" s="412" t="str">
        <f>IF(H425="","",IF(ISNA(H425),NA(),1/(H425*Tables!$C57)))</f>
        <v/>
      </c>
      <c r="O425" s="13"/>
      <c r="P425" s="2" t="s">
        <v>360</v>
      </c>
      <c r="Q425" s="230"/>
      <c r="R425" s="231"/>
      <c r="S425" s="232" t="str">
        <f>IF(AB292="","",AB292)</f>
        <v/>
      </c>
      <c r="T425" s="62"/>
      <c r="U425" s="62"/>
      <c r="V425"/>
      <c r="X425" s="62"/>
      <c r="Y425" s="14"/>
    </row>
    <row r="426" spans="1:25" ht="14.1" customHeight="1" thickBot="1" x14ac:dyDescent="0.35">
      <c r="A426" s="3">
        <v>30</v>
      </c>
      <c r="B426" s="259"/>
      <c r="C426" s="297" t="s">
        <v>333</v>
      </c>
      <c r="D426" s="406" t="str">
        <f t="shared" si="95"/>
        <v/>
      </c>
      <c r="E426" s="407" t="str">
        <f t="shared" si="96"/>
        <v/>
      </c>
      <c r="F426" s="407" t="str">
        <f t="shared" si="97"/>
        <v/>
      </c>
      <c r="G426" s="407" t="str">
        <f t="shared" si="98"/>
        <v/>
      </c>
      <c r="H426" s="409" t="str">
        <f t="shared" si="99"/>
        <v/>
      </c>
      <c r="I426" s="413" t="str">
        <f>IF(D426="","",IF(ISNA(D426),NA(),1/(D426*Tables!$C58)))</f>
        <v/>
      </c>
      <c r="J426" s="414" t="str">
        <f>IF(E426="","",IF(ISNA(E426),NA(),1/(E426*Tables!$C58)))</f>
        <v/>
      </c>
      <c r="K426" s="414" t="str">
        <f>IF(F426="","",IF(ISNA(F426),NA(),1/(F426*Tables!$C58)))</f>
        <v/>
      </c>
      <c r="L426" s="414" t="str">
        <f>IF(G426="","",IF(ISNA(G426),NA(),1/(G426*Tables!$C58)))</f>
        <v/>
      </c>
      <c r="M426" s="415" t="str">
        <f>IF(H426="","",IF(ISNA(H426),NA(),1/(H426*Tables!$C58)))</f>
        <v/>
      </c>
      <c r="O426" s="13"/>
      <c r="P426" s="102" t="s">
        <v>172</v>
      </c>
      <c r="Q426" s="103"/>
      <c r="R426" s="233">
        <f>LEN(Q425)</f>
        <v>0</v>
      </c>
      <c r="S426" s="105"/>
      <c r="T426" s="105"/>
      <c r="U426" s="105"/>
      <c r="V426" s="105"/>
      <c r="W426" s="105"/>
      <c r="X426" s="105"/>
      <c r="Y426" s="14"/>
    </row>
    <row r="427" spans="1:25" ht="14.1" customHeight="1" x14ac:dyDescent="0.3">
      <c r="A427" s="3">
        <v>31</v>
      </c>
      <c r="B427" s="259"/>
      <c r="C427" s="1" t="str">
        <f>P344</f>
        <v>Comments:</v>
      </c>
      <c r="D427" s="428" t="str">
        <f>IF(Q344="","",IF(LEN(Q344)&lt;=135,Q344,IF(LEN(Q344)&lt;=260,LEFT(Q344,SEARCH(" ",Q344,125)),LEFT(Q344,SEARCH(" ",Q344,130)))))</f>
        <v/>
      </c>
      <c r="E427" s="429"/>
      <c r="F427" s="429"/>
      <c r="G427" s="429"/>
      <c r="H427" s="429"/>
      <c r="I427" s="429"/>
      <c r="J427" s="429"/>
      <c r="K427" s="429"/>
      <c r="L427" s="429"/>
      <c r="M427" s="430"/>
      <c r="O427" s="13"/>
      <c r="P427" s="2" t="s">
        <v>360</v>
      </c>
      <c r="Q427" s="230"/>
      <c r="R427" s="231"/>
      <c r="S427" s="232" t="str">
        <f>IF(AB294="","",AB294)</f>
        <v/>
      </c>
      <c r="T427" s="62"/>
      <c r="U427" s="62"/>
      <c r="V427"/>
      <c r="X427" s="62"/>
      <c r="Y427" s="14"/>
    </row>
    <row r="428" spans="1:25" ht="14.1" customHeight="1" x14ac:dyDescent="0.3">
      <c r="A428" s="3">
        <v>32</v>
      </c>
      <c r="B428" s="259"/>
      <c r="D428" s="350" t="str">
        <f>IF(LEN(Q344)&lt;=135,"",IF(LEN(Q344)&lt;=260,RIGHT(Q344,LEN(Q344)-SEARCH(" ",Q344,125)),MID(Q344,SEARCH(" ",Q344,130),IF(LEN(Q344)&lt;=265,LEN(Q344),SEARCH(" ",Q344,255)-SEARCH(" ",Q344,130)))))</f>
        <v/>
      </c>
      <c r="E428" s="351"/>
      <c r="F428" s="351"/>
      <c r="G428" s="351"/>
      <c r="H428" s="351"/>
      <c r="I428" s="351"/>
      <c r="J428" s="351"/>
      <c r="K428" s="351"/>
      <c r="L428" s="351"/>
      <c r="M428" s="352"/>
      <c r="O428" s="13"/>
      <c r="P428" s="102" t="s">
        <v>172</v>
      </c>
      <c r="Q428" s="103"/>
      <c r="R428" s="233">
        <f>LEN(Q427)</f>
        <v>0</v>
      </c>
      <c r="S428" s="105"/>
      <c r="T428" s="105"/>
      <c r="U428" s="105"/>
      <c r="V428" s="105"/>
      <c r="W428" s="105"/>
      <c r="X428" s="105"/>
      <c r="Y428" s="14"/>
    </row>
    <row r="429" spans="1:25" ht="14.1" customHeight="1" x14ac:dyDescent="0.3">
      <c r="A429" s="3">
        <v>33</v>
      </c>
      <c r="B429" s="259"/>
      <c r="D429" s="350" t="str">
        <f>IF(LEN(Q344)&lt;=265,"",RIGHT(Q344,LEN(Q344)-SEARCH(" ",Q344,255)))</f>
        <v/>
      </c>
      <c r="E429" s="351"/>
      <c r="F429" s="351"/>
      <c r="G429" s="351"/>
      <c r="H429" s="351"/>
      <c r="I429" s="351"/>
      <c r="J429" s="351"/>
      <c r="K429" s="351"/>
      <c r="L429" s="351"/>
      <c r="M429" s="352"/>
      <c r="O429" s="13"/>
      <c r="P429" s="2" t="s">
        <v>360</v>
      </c>
      <c r="Q429" s="230"/>
      <c r="R429" s="231"/>
      <c r="S429" s="232" t="str">
        <f>IF(AB296="","",AB296)</f>
        <v/>
      </c>
      <c r="T429" s="62"/>
      <c r="U429" s="62"/>
      <c r="V429"/>
      <c r="X429" s="62"/>
      <c r="Y429" s="14"/>
    </row>
    <row r="430" spans="1:25" ht="14.1" customHeight="1" x14ac:dyDescent="0.3">
      <c r="A430" s="3">
        <v>34</v>
      </c>
      <c r="B430" s="259"/>
      <c r="M430" s="260"/>
      <c r="O430" s="13"/>
      <c r="P430" s="102" t="s">
        <v>172</v>
      </c>
      <c r="Q430" s="103"/>
      <c r="R430" s="233">
        <f>LEN(Q429)</f>
        <v>0</v>
      </c>
      <c r="S430" s="105"/>
      <c r="T430" s="105"/>
      <c r="U430" s="105"/>
      <c r="V430" s="105"/>
      <c r="W430" s="105"/>
      <c r="X430" s="105"/>
      <c r="Y430" s="14"/>
    </row>
    <row r="431" spans="1:25" ht="14.1" customHeight="1" thickBot="1" x14ac:dyDescent="0.35">
      <c r="A431" s="3">
        <v>35</v>
      </c>
      <c r="B431" s="259"/>
      <c r="C431" s="285" t="s">
        <v>334</v>
      </c>
      <c r="M431" s="260"/>
      <c r="O431" s="13"/>
      <c r="P431" s="2" t="s">
        <v>360</v>
      </c>
      <c r="Q431" s="230"/>
      <c r="R431" s="231"/>
      <c r="S431" s="232" t="str">
        <f>IF(AB298="","",AB298)</f>
        <v/>
      </c>
      <c r="T431" s="62"/>
      <c r="U431" s="62"/>
      <c r="V431"/>
      <c r="X431" s="62"/>
      <c r="Y431" s="14"/>
    </row>
    <row r="432" spans="1:25" ht="14.1" customHeight="1" x14ac:dyDescent="0.3">
      <c r="A432" s="3">
        <v>36</v>
      </c>
      <c r="B432" s="259"/>
      <c r="D432" s="294"/>
      <c r="E432" s="300" t="str">
        <f>IF(Q348="","",Q348&amp;" "&amp;flocm_in)</f>
        <v/>
      </c>
      <c r="F432" s="300" t="str">
        <f>IF(R348="","",R348&amp;" "&amp;flocm_in)</f>
        <v/>
      </c>
      <c r="G432" s="300" t="str">
        <f>IF(S348="","",S348&amp;" "&amp;flocm_in)</f>
        <v/>
      </c>
      <c r="H432" s="300" t="str">
        <f>IF(T348="","",T348&amp;" "&amp;flocm_in)</f>
        <v/>
      </c>
      <c r="I432" s="295" t="str">
        <f>IF(U348="","",U348&amp;" "&amp;flocm_in)</f>
        <v/>
      </c>
      <c r="M432" s="260"/>
      <c r="O432" s="13"/>
      <c r="P432" s="102" t="s">
        <v>172</v>
      </c>
      <c r="Q432" s="103"/>
      <c r="R432" s="233">
        <f>LEN(Q431)</f>
        <v>0</v>
      </c>
      <c r="S432" s="105"/>
      <c r="T432" s="105"/>
      <c r="U432" s="105"/>
      <c r="V432" s="105"/>
      <c r="W432" s="105"/>
      <c r="X432" s="105"/>
      <c r="Y432" s="14"/>
    </row>
    <row r="433" spans="1:25" ht="14.1" customHeight="1" x14ac:dyDescent="0.3">
      <c r="A433" s="3">
        <v>37</v>
      </c>
      <c r="B433" s="259"/>
      <c r="D433" s="296" t="str">
        <f>P349</f>
        <v>Horizontal</v>
      </c>
      <c r="E433" s="354" t="str">
        <f t="shared" ref="E433:I436" si="100">IF(Q349="","",Q349)</f>
        <v/>
      </c>
      <c r="F433" s="354" t="str">
        <f t="shared" si="100"/>
        <v/>
      </c>
      <c r="G433" s="354" t="str">
        <f t="shared" si="100"/>
        <v/>
      </c>
      <c r="H433" s="354" t="str">
        <f t="shared" si="100"/>
        <v/>
      </c>
      <c r="I433" s="426" t="str">
        <f t="shared" si="100"/>
        <v/>
      </c>
      <c r="J433"/>
      <c r="K433"/>
      <c r="M433" s="260"/>
      <c r="O433" s="13"/>
      <c r="P433" s="2" t="s">
        <v>360</v>
      </c>
      <c r="Q433" s="230"/>
      <c r="R433" s="231"/>
      <c r="S433" s="232" t="str">
        <f>IF(AB300="","",AB300)</f>
        <v/>
      </c>
      <c r="T433" s="62"/>
      <c r="U433" s="62"/>
      <c r="V433"/>
      <c r="X433" s="62"/>
      <c r="Y433" s="14"/>
    </row>
    <row r="434" spans="1:25" ht="14.1" customHeight="1" x14ac:dyDescent="0.3">
      <c r="A434" s="3">
        <v>38</v>
      </c>
      <c r="B434" s="259"/>
      <c r="D434" s="296" t="str">
        <f>P350</f>
        <v>Vertical</v>
      </c>
      <c r="E434" s="354" t="str">
        <f t="shared" si="100"/>
        <v/>
      </c>
      <c r="F434" s="354" t="str">
        <f t="shared" si="100"/>
        <v/>
      </c>
      <c r="G434" s="354" t="str">
        <f t="shared" si="100"/>
        <v/>
      </c>
      <c r="H434" s="354" t="str">
        <f t="shared" si="100"/>
        <v/>
      </c>
      <c r="I434" s="426" t="str">
        <f t="shared" si="100"/>
        <v/>
      </c>
      <c r="J434"/>
      <c r="K434"/>
      <c r="M434" s="260"/>
      <c r="O434" s="13"/>
      <c r="P434" s="102" t="s">
        <v>172</v>
      </c>
      <c r="Q434" s="103"/>
      <c r="R434" s="233">
        <f>LEN(Q433)</f>
        <v>0</v>
      </c>
      <c r="S434" s="105"/>
      <c r="T434" s="105"/>
      <c r="U434" s="105"/>
      <c r="V434" s="105"/>
      <c r="W434" s="105"/>
      <c r="X434" s="105"/>
      <c r="Y434" s="14"/>
    </row>
    <row r="435" spans="1:25" ht="14.1" customHeight="1" x14ac:dyDescent="0.3">
      <c r="A435" s="3">
        <v>39</v>
      </c>
      <c r="B435" s="259"/>
      <c r="D435" s="296" t="str">
        <f>P351</f>
        <v>Diagonal</v>
      </c>
      <c r="E435" s="354" t="str">
        <f t="shared" si="100"/>
        <v/>
      </c>
      <c r="F435" s="354" t="str">
        <f t="shared" si="100"/>
        <v/>
      </c>
      <c r="G435" s="354" t="str">
        <f t="shared" si="100"/>
        <v/>
      </c>
      <c r="H435" s="354" t="str">
        <f t="shared" si="100"/>
        <v/>
      </c>
      <c r="I435" s="426" t="str">
        <f t="shared" si="100"/>
        <v/>
      </c>
      <c r="M435" s="260"/>
      <c r="O435" s="13"/>
      <c r="P435" s="2" t="s">
        <v>360</v>
      </c>
      <c r="Q435" s="230"/>
      <c r="R435" s="231"/>
      <c r="S435" s="232" t="str">
        <f>IF(AB302="","",AB302)</f>
        <v/>
      </c>
      <c r="T435" s="62"/>
      <c r="U435" s="62"/>
      <c r="V435"/>
      <c r="X435" s="62"/>
      <c r="Y435" s="14"/>
    </row>
    <row r="436" spans="1:25" ht="14.1" customHeight="1" thickBot="1" x14ac:dyDescent="0.35">
      <c r="A436" s="3">
        <v>40</v>
      </c>
      <c r="B436" s="259"/>
      <c r="D436" s="298" t="str">
        <f>P352</f>
        <v>Acceptable</v>
      </c>
      <c r="E436" s="302" t="str">
        <f t="shared" si="100"/>
        <v>NA</v>
      </c>
      <c r="F436" s="302" t="str">
        <f t="shared" si="100"/>
        <v>NA</v>
      </c>
      <c r="G436" s="302" t="str">
        <f t="shared" si="100"/>
        <v>NA</v>
      </c>
      <c r="H436" s="302" t="str">
        <f t="shared" si="100"/>
        <v>NA</v>
      </c>
      <c r="I436" s="299" t="str">
        <f t="shared" si="100"/>
        <v>NA</v>
      </c>
      <c r="M436" s="260"/>
      <c r="O436" s="13"/>
      <c r="P436" s="102" t="s">
        <v>172</v>
      </c>
      <c r="Q436" s="103"/>
      <c r="R436" s="233">
        <f>LEN(Q435)</f>
        <v>0</v>
      </c>
      <c r="S436" s="105"/>
      <c r="T436" s="105"/>
      <c r="U436" s="105"/>
      <c r="V436" s="105"/>
      <c r="W436" s="105"/>
      <c r="X436" s="105"/>
      <c r="Y436" s="14"/>
    </row>
    <row r="437" spans="1:25" ht="14.1" customHeight="1" x14ac:dyDescent="0.3">
      <c r="A437" s="3">
        <v>41</v>
      </c>
      <c r="B437" s="259"/>
      <c r="D437" s="24" t="str">
        <f>Q353</f>
        <v xml:space="preserve">Criteria: </v>
      </c>
      <c r="E437" s="17" t="str">
        <f>R353</f>
        <v>Measured field size is at least 85% of nominal field size</v>
      </c>
      <c r="M437" s="260"/>
      <c r="O437" s="13"/>
      <c r="P437" s="2" t="s">
        <v>360</v>
      </c>
      <c r="Q437" s="230"/>
      <c r="R437" s="231"/>
      <c r="S437" s="232" t="str">
        <f>IF(AB304="","",AB304)</f>
        <v/>
      </c>
      <c r="T437" s="62"/>
      <c r="U437" s="62"/>
      <c r="V437"/>
      <c r="X437" s="62"/>
      <c r="Y437" s="14"/>
    </row>
    <row r="438" spans="1:25" ht="14.1" customHeight="1" x14ac:dyDescent="0.3">
      <c r="A438" s="3">
        <v>42</v>
      </c>
      <c r="B438" s="259"/>
      <c r="E438" s="17"/>
      <c r="M438" s="260"/>
      <c r="O438" s="13"/>
      <c r="P438" s="102" t="s">
        <v>172</v>
      </c>
      <c r="Q438" s="103"/>
      <c r="R438" s="233">
        <f>LEN(Q437)</f>
        <v>0</v>
      </c>
      <c r="S438" s="105"/>
      <c r="T438" s="105"/>
      <c r="U438" s="105"/>
      <c r="V438" s="105"/>
      <c r="W438" s="105"/>
      <c r="X438" s="105"/>
      <c r="Y438" s="14"/>
    </row>
    <row r="439" spans="1:25" ht="14.1" customHeight="1" x14ac:dyDescent="0.3">
      <c r="A439" s="3">
        <v>43</v>
      </c>
      <c r="B439" s="259"/>
      <c r="C439" s="285" t="s">
        <v>341</v>
      </c>
      <c r="M439" s="260"/>
      <c r="O439" s="13"/>
      <c r="P439" s="2" t="s">
        <v>360</v>
      </c>
      <c r="Q439" s="230"/>
      <c r="R439" s="231"/>
      <c r="S439" s="232" t="str">
        <f>IF(AB306="","",AB306)</f>
        <v/>
      </c>
      <c r="T439" s="62"/>
      <c r="U439" s="62"/>
      <c r="V439"/>
      <c r="X439" s="62"/>
      <c r="Y439" s="14"/>
    </row>
    <row r="440" spans="1:25" ht="14.1" customHeight="1" x14ac:dyDescent="0.3">
      <c r="A440" s="3">
        <v>44</v>
      </c>
      <c r="B440" s="259"/>
      <c r="C440" s="108" t="str">
        <f>O355</f>
        <v/>
      </c>
      <c r="D440" t="s">
        <v>342</v>
      </c>
      <c r="M440" s="260"/>
      <c r="O440" s="13"/>
      <c r="P440" s="102" t="s">
        <v>172</v>
      </c>
      <c r="Q440" s="103"/>
      <c r="R440" s="233">
        <f>LEN(Q439)</f>
        <v>0</v>
      </c>
      <c r="S440" s="105"/>
      <c r="T440" s="105"/>
      <c r="U440" s="105"/>
      <c r="V440" s="105"/>
      <c r="W440" s="105"/>
      <c r="X440" s="105"/>
      <c r="Y440" s="14"/>
    </row>
    <row r="441" spans="1:25" ht="14.1" customHeight="1" thickBot="1" x14ac:dyDescent="0.35">
      <c r="A441" s="3">
        <v>45</v>
      </c>
      <c r="B441" s="259"/>
      <c r="D441"/>
      <c r="E441" t="str">
        <f t="shared" ref="E441:G442" si="101">P357</f>
        <v>Measured</v>
      </c>
      <c r="F441" t="str">
        <f t="shared" si="101"/>
        <v>Difference</v>
      </c>
      <c r="G441" t="str">
        <f t="shared" si="101"/>
        <v>Sum</v>
      </c>
      <c r="M441" s="260"/>
      <c r="O441" s="13"/>
      <c r="P441" s="2" t="s">
        <v>360</v>
      </c>
      <c r="Q441" s="230"/>
      <c r="R441" s="231"/>
      <c r="S441" s="232" t="str">
        <f>IF(AB308="","",AB308)</f>
        <v/>
      </c>
      <c r="T441" s="62"/>
      <c r="U441" s="62"/>
      <c r="V441"/>
      <c r="X441" s="62"/>
      <c r="Y441" s="14"/>
    </row>
    <row r="442" spans="1:25" ht="14.1" customHeight="1" thickBot="1" x14ac:dyDescent="0.35">
      <c r="A442" s="3">
        <v>46</v>
      </c>
      <c r="B442" s="259"/>
      <c r="D442" s="294" t="str">
        <f>O358</f>
        <v>Top</v>
      </c>
      <c r="E442" s="300" t="str">
        <f t="shared" si="101"/>
        <v/>
      </c>
      <c r="F442" s="508" t="str">
        <f t="shared" si="101"/>
        <v/>
      </c>
      <c r="G442" s="510" t="str">
        <f t="shared" si="101"/>
        <v/>
      </c>
      <c r="H442"/>
      <c r="I442"/>
      <c r="J442" s="17"/>
      <c r="M442" s="260"/>
      <c r="O442" s="13"/>
      <c r="P442" s="102" t="s">
        <v>172</v>
      </c>
      <c r="Q442" s="103"/>
      <c r="R442" s="233">
        <f>LEN(Q441)</f>
        <v>0</v>
      </c>
      <c r="S442" s="105"/>
      <c r="T442" s="105"/>
      <c r="U442" s="105"/>
      <c r="V442" s="105"/>
      <c r="W442" s="105"/>
      <c r="X442" s="105"/>
      <c r="Y442" s="14"/>
    </row>
    <row r="443" spans="1:25" ht="14.1" customHeight="1" x14ac:dyDescent="0.3">
      <c r="A443" s="3">
        <v>47</v>
      </c>
      <c r="B443" s="259"/>
      <c r="D443" s="296" t="str">
        <f>O359</f>
        <v>Bottom</v>
      </c>
      <c r="E443" s="301" t="str">
        <f>P359</f>
        <v/>
      </c>
      <c r="F443" s="509"/>
      <c r="G443" s="511"/>
      <c r="H443"/>
      <c r="I443" s="77" t="str">
        <f>T360</f>
        <v>Acceptable</v>
      </c>
      <c r="J443" s="17"/>
      <c r="M443" s="260"/>
      <c r="O443" s="13"/>
      <c r="P443" s="2" t="s">
        <v>360</v>
      </c>
      <c r="Q443" s="230"/>
      <c r="R443" s="231"/>
      <c r="S443" s="232" t="str">
        <f>IF(AB310="","",AB310)</f>
        <v/>
      </c>
      <c r="T443" s="62"/>
      <c r="U443" s="62"/>
      <c r="V443"/>
      <c r="X443" s="62"/>
      <c r="Y443" s="14"/>
    </row>
    <row r="444" spans="1:25" ht="14.1" customHeight="1" thickBot="1" x14ac:dyDescent="0.35">
      <c r="A444" s="3">
        <v>48</v>
      </c>
      <c r="B444" s="259"/>
      <c r="D444" s="296" t="str">
        <f>O360</f>
        <v>Left</v>
      </c>
      <c r="E444" s="301" t="str">
        <f>P360</f>
        <v/>
      </c>
      <c r="F444" s="509" t="str">
        <f>Q360</f>
        <v/>
      </c>
      <c r="G444" s="511"/>
      <c r="I444" s="86" t="str">
        <f>T361</f>
        <v/>
      </c>
      <c r="M444" s="260"/>
      <c r="O444" s="13"/>
      <c r="P444" s="102" t="s">
        <v>172</v>
      </c>
      <c r="Q444" s="103"/>
      <c r="R444" s="233">
        <f>LEN(Q443)</f>
        <v>0</v>
      </c>
      <c r="S444" s="105"/>
      <c r="T444" s="105"/>
      <c r="U444" s="105"/>
      <c r="V444" s="105"/>
      <c r="W444" s="105"/>
      <c r="X444" s="105"/>
      <c r="Y444" s="14"/>
    </row>
    <row r="445" spans="1:25" ht="14.1" customHeight="1" thickBot="1" x14ac:dyDescent="0.35">
      <c r="A445" s="3">
        <v>49</v>
      </c>
      <c r="B445" s="259"/>
      <c r="D445" s="298" t="str">
        <f>O361</f>
        <v>Right</v>
      </c>
      <c r="E445" s="302" t="str">
        <f>P361</f>
        <v/>
      </c>
      <c r="F445" s="513"/>
      <c r="G445" s="512"/>
      <c r="M445" s="260"/>
      <c r="O445" s="13"/>
      <c r="P445" s="2" t="s">
        <v>360</v>
      </c>
      <c r="Q445" s="230"/>
      <c r="R445" s="231"/>
      <c r="S445" s="232" t="str">
        <f>IF(AB312="","",AB312)</f>
        <v/>
      </c>
      <c r="T445" s="62"/>
      <c r="U445" s="62"/>
      <c r="V445"/>
      <c r="X445" s="62"/>
      <c r="Y445" s="14"/>
    </row>
    <row r="446" spans="1:25" ht="14.1" customHeight="1" x14ac:dyDescent="0.3">
      <c r="A446" s="3">
        <v>50</v>
      </c>
      <c r="B446" s="259"/>
      <c r="D446" s="24" t="str">
        <f>O362</f>
        <v>Criteria:</v>
      </c>
      <c r="E446" s="17" t="str">
        <f>P362</f>
        <v>Difference between x-ray field and visible image area is less than 2% SID</v>
      </c>
      <c r="F446"/>
      <c r="G446"/>
      <c r="H446"/>
      <c r="I446"/>
      <c r="J446"/>
      <c r="K446"/>
      <c r="L446"/>
      <c r="M446" s="269"/>
      <c r="O446" s="13"/>
      <c r="P446" s="102" t="s">
        <v>172</v>
      </c>
      <c r="Q446" s="103"/>
      <c r="R446" s="233">
        <f>LEN(Q445)</f>
        <v>0</v>
      </c>
      <c r="S446" s="105"/>
      <c r="T446" s="105"/>
      <c r="U446" s="105"/>
      <c r="V446" s="105"/>
      <c r="W446" s="105"/>
      <c r="X446" s="105"/>
      <c r="Y446" s="14"/>
    </row>
    <row r="447" spans="1:25" ht="14.1" customHeight="1" x14ac:dyDescent="0.3">
      <c r="A447" s="3">
        <v>51</v>
      </c>
      <c r="B447" s="259"/>
      <c r="E447" s="17" t="str">
        <f>P363</f>
        <v>Sum of length and width differences is less than 4% SID</v>
      </c>
      <c r="F447"/>
      <c r="G447"/>
      <c r="H447"/>
      <c r="I447"/>
      <c r="J447"/>
      <c r="K447"/>
      <c r="L447"/>
      <c r="M447" s="269"/>
      <c r="O447" s="13"/>
      <c r="P447" s="2" t="s">
        <v>360</v>
      </c>
      <c r="Q447" s="230"/>
      <c r="R447" s="231"/>
      <c r="S447" s="232" t="str">
        <f>IF(AB314="","",AB314)</f>
        <v/>
      </c>
      <c r="T447" s="62"/>
      <c r="U447" s="62"/>
      <c r="V447"/>
      <c r="X447" s="62"/>
      <c r="Y447" s="14"/>
    </row>
    <row r="448" spans="1:25" ht="14.1" customHeight="1" x14ac:dyDescent="0.3">
      <c r="A448" s="3">
        <v>52</v>
      </c>
      <c r="B448" s="259"/>
      <c r="C448" s="1" t="str">
        <f>P364</f>
        <v>Comments:</v>
      </c>
      <c r="D448" s="347" t="str">
        <f>IF(Q364="","",IF(LEN(Q364)&lt;=135,Q364,IF(LEN(Q364)&lt;=260,LEFT(Q364,SEARCH(" ",Q364,125)),LEFT(Q364,SEARCH(" ",Q364,130)))))</f>
        <v/>
      </c>
      <c r="E448" s="348"/>
      <c r="F448" s="348"/>
      <c r="G448" s="348"/>
      <c r="H448" s="348"/>
      <c r="I448" s="348"/>
      <c r="J448" s="348"/>
      <c r="K448" s="348"/>
      <c r="L448" s="348"/>
      <c r="M448" s="349"/>
      <c r="O448" s="13"/>
      <c r="P448" s="102" t="s">
        <v>172</v>
      </c>
      <c r="Q448" s="103"/>
      <c r="R448" s="233">
        <f>LEN(Q447)</f>
        <v>0</v>
      </c>
      <c r="S448" s="105"/>
      <c r="T448" s="105"/>
      <c r="U448" s="105"/>
      <c r="V448" s="105"/>
      <c r="W448" s="105"/>
      <c r="X448" s="105"/>
      <c r="Y448" s="14"/>
    </row>
    <row r="449" spans="1:25" ht="14.1" customHeight="1" x14ac:dyDescent="0.3">
      <c r="A449" s="3">
        <v>53</v>
      </c>
      <c r="B449" s="259"/>
      <c r="D449" s="350" t="str">
        <f>IF(LEN(Q364)&lt;=135,"",IF(LEN(Q364)&lt;=260,RIGHT(Q364,LEN(Q364)-SEARCH(" ",Q364,125)),MID(Q364,SEARCH(" ",Q364,130),IF(LEN(Q364)&lt;=265,LEN(Q364),SEARCH(" ",Q364,255)-SEARCH(" ",Q364,130)))))</f>
        <v/>
      </c>
      <c r="E449" s="351"/>
      <c r="F449" s="351"/>
      <c r="G449" s="351"/>
      <c r="H449" s="351"/>
      <c r="I449" s="351"/>
      <c r="J449" s="351"/>
      <c r="K449" s="351"/>
      <c r="L449" s="351"/>
      <c r="M449" s="352"/>
      <c r="O449" s="13"/>
      <c r="P449" s="2" t="s">
        <v>360</v>
      </c>
      <c r="Q449" s="230"/>
      <c r="R449" s="231"/>
      <c r="S449" s="232" t="str">
        <f>IF(AB316="","",AB316)</f>
        <v/>
      </c>
      <c r="T449" s="62"/>
      <c r="U449" s="62"/>
      <c r="V449"/>
      <c r="X449" s="62"/>
      <c r="Y449" s="14"/>
    </row>
    <row r="450" spans="1:25" ht="14.1" customHeight="1" x14ac:dyDescent="0.3">
      <c r="A450" s="3">
        <v>54</v>
      </c>
      <c r="B450" s="259"/>
      <c r="D450" s="350" t="str">
        <f>IF(LEN(Q364)&lt;=265,"",RIGHT(Q364,LEN(Q364)-SEARCH(" ",Q364,255)))</f>
        <v/>
      </c>
      <c r="E450" s="351"/>
      <c r="F450" s="351"/>
      <c r="G450" s="351"/>
      <c r="H450" s="351"/>
      <c r="I450" s="351"/>
      <c r="J450" s="351"/>
      <c r="K450" s="351"/>
      <c r="L450" s="351"/>
      <c r="M450" s="352"/>
      <c r="O450" s="13"/>
      <c r="P450" s="102" t="s">
        <v>172</v>
      </c>
      <c r="Q450" s="105"/>
      <c r="R450" s="233">
        <f>LEN(Q449)</f>
        <v>0</v>
      </c>
      <c r="S450" s="105"/>
      <c r="T450" s="105"/>
      <c r="U450" s="105"/>
      <c r="V450" s="105"/>
      <c r="W450" s="105"/>
      <c r="X450" s="105"/>
      <c r="Y450" s="14"/>
    </row>
    <row r="451" spans="1:25" ht="14.1" customHeight="1" x14ac:dyDescent="0.3">
      <c r="A451" s="3">
        <v>55</v>
      </c>
      <c r="B451" s="259"/>
      <c r="C451"/>
      <c r="D451"/>
      <c r="E451"/>
      <c r="F451"/>
      <c r="G451"/>
      <c r="H451"/>
      <c r="I451"/>
      <c r="J451"/>
      <c r="K451"/>
      <c r="L451"/>
      <c r="M451" s="269"/>
      <c r="O451" s="21"/>
      <c r="P451" s="22"/>
      <c r="Q451" s="22"/>
      <c r="R451" s="22"/>
      <c r="S451" s="22"/>
      <c r="T451" s="22"/>
      <c r="U451" s="22"/>
      <c r="V451" s="22"/>
      <c r="W451" s="22"/>
      <c r="X451" s="22"/>
      <c r="Y451" s="23"/>
    </row>
    <row r="452" spans="1:25" ht="14.1" customHeight="1" x14ac:dyDescent="0.3">
      <c r="A452" s="3">
        <v>56</v>
      </c>
      <c r="B452" s="259"/>
      <c r="M452" s="260"/>
    </row>
    <row r="453" spans="1:25" ht="14.1" customHeight="1" x14ac:dyDescent="0.3">
      <c r="A453" s="3">
        <v>57</v>
      </c>
      <c r="B453" s="259"/>
      <c r="M453" s="260"/>
    </row>
    <row r="454" spans="1:25" ht="14.1" customHeight="1" x14ac:dyDescent="0.3">
      <c r="A454" s="3">
        <v>58</v>
      </c>
      <c r="B454" s="259"/>
      <c r="M454" s="260"/>
    </row>
    <row r="455" spans="1:25" ht="14.1" customHeight="1" x14ac:dyDescent="0.3">
      <c r="A455" s="3">
        <v>59</v>
      </c>
      <c r="B455" s="259"/>
      <c r="M455" s="260"/>
    </row>
    <row r="456" spans="1:25" ht="14.1" customHeight="1" x14ac:dyDescent="0.3">
      <c r="A456" s="3">
        <v>60</v>
      </c>
      <c r="B456" s="259"/>
      <c r="M456" s="260"/>
    </row>
    <row r="457" spans="1:25" ht="14.1" customHeight="1" x14ac:dyDescent="0.3">
      <c r="A457" s="3">
        <v>61</v>
      </c>
      <c r="B457" s="259"/>
      <c r="M457" s="260"/>
    </row>
    <row r="458" spans="1:25" ht="14.1" customHeight="1" x14ac:dyDescent="0.3">
      <c r="A458" s="3">
        <v>62</v>
      </c>
      <c r="B458" s="259"/>
      <c r="M458" s="260"/>
    </row>
    <row r="459" spans="1:25" ht="14.1" customHeight="1" x14ac:dyDescent="0.3">
      <c r="A459" s="3">
        <v>63</v>
      </c>
      <c r="B459" s="259"/>
      <c r="M459" s="260"/>
    </row>
    <row r="460" spans="1:25" ht="14.1" customHeight="1" x14ac:dyDescent="0.3">
      <c r="A460" s="3">
        <v>64</v>
      </c>
      <c r="B460" s="261"/>
      <c r="C460" s="262"/>
      <c r="D460" s="262"/>
      <c r="E460" s="262"/>
      <c r="F460" s="262"/>
      <c r="G460" s="262"/>
      <c r="H460" s="262"/>
      <c r="I460" s="262"/>
      <c r="J460" s="262"/>
      <c r="K460" s="262"/>
      <c r="L460" s="262"/>
      <c r="M460" s="263"/>
    </row>
    <row r="461" spans="1:25" ht="14.1" customHeight="1" x14ac:dyDescent="0.3">
      <c r="A461" s="3">
        <v>65</v>
      </c>
      <c r="C461" s="2" t="s">
        <v>8</v>
      </c>
      <c r="D461" s="437" t="str">
        <f>IF($P$7="","",$P$7)</f>
        <v/>
      </c>
      <c r="L461" s="2" t="s">
        <v>9</v>
      </c>
      <c r="M461" s="62" t="str">
        <f>IF($X$7="","",$X$7)</f>
        <v>Eugene Mah</v>
      </c>
    </row>
    <row r="462" spans="1:25" ht="14.1" customHeight="1" x14ac:dyDescent="0.3">
      <c r="A462" s="3">
        <v>66</v>
      </c>
      <c r="C462" s="2" t="s">
        <v>74</v>
      </c>
      <c r="D462" s="63" t="str">
        <f>IF($R$14="","",$R$14&amp;" Tube "&amp;$W$48)</f>
        <v/>
      </c>
      <c r="L462" s="2" t="s">
        <v>23</v>
      </c>
      <c r="M462" s="64" t="str">
        <f>IF($R$13="","",$R$13)</f>
        <v/>
      </c>
    </row>
    <row r="463" spans="1:25" ht="14.1" customHeight="1" x14ac:dyDescent="0.3">
      <c r="A463" s="3">
        <v>1</v>
      </c>
      <c r="M463" s="65" t="str">
        <f>$H$2</f>
        <v>Medical University of South Carolina</v>
      </c>
    </row>
    <row r="464" spans="1:25" ht="14.1" customHeight="1" x14ac:dyDescent="0.3">
      <c r="A464" s="3">
        <v>2</v>
      </c>
      <c r="H464" s="46" t="s">
        <v>357</v>
      </c>
      <c r="M464" s="24" t="str">
        <f>$H$5</f>
        <v>Fluoroscopy System Compliance Inspection</v>
      </c>
    </row>
    <row r="465" spans="1:13" ht="14.1" customHeight="1" x14ac:dyDescent="0.3">
      <c r="A465" s="3">
        <v>3</v>
      </c>
      <c r="B465" s="256"/>
      <c r="C465" s="257"/>
      <c r="D465" s="257"/>
      <c r="E465" s="257"/>
      <c r="F465" s="257"/>
      <c r="G465" s="257"/>
      <c r="H465" s="257"/>
      <c r="I465" s="257"/>
      <c r="J465" s="257"/>
      <c r="K465" s="257"/>
      <c r="L465" s="257"/>
      <c r="M465" s="258"/>
    </row>
    <row r="466" spans="1:13" ht="14.1" customHeight="1" x14ac:dyDescent="0.3">
      <c r="A466" s="3">
        <v>4</v>
      </c>
      <c r="B466" s="259"/>
      <c r="D466" s="235" t="str">
        <f>IF(Q371="","",IF(LEN(Q371)&lt;=135,Q371,IF(LEN(Q371)&lt;=260,LEFT(Q371,SEARCH(" ",Q371,125)),LEFT(Q371,SEARCH(" ",Q371,130)))))</f>
        <v/>
      </c>
      <c r="E466" s="236"/>
      <c r="F466" s="236"/>
      <c r="G466" s="236"/>
      <c r="H466" s="236"/>
      <c r="I466" s="236"/>
      <c r="J466" s="236"/>
      <c r="K466" s="236"/>
      <c r="L466" s="236"/>
      <c r="M466" s="260"/>
    </row>
    <row r="467" spans="1:13" ht="14.1" customHeight="1" x14ac:dyDescent="0.3">
      <c r="A467" s="3">
        <v>5</v>
      </c>
      <c r="B467" s="259"/>
      <c r="D467" s="237" t="str">
        <f>IF(LEN(Q371)&lt;=135,"",IF(LEN(Q371)&lt;=260,RIGHT(Q371,LEN(Q371)-SEARCH(" ",Q371,125)),MID(Q371,SEARCH(" ",Q371,130),IF(LEN(Q371)&lt;=265,LEN(Q371),SEARCH(" ",Q371,255)-SEARCH(" ",Q371,130)))))</f>
        <v/>
      </c>
      <c r="E467" s="238"/>
      <c r="F467" s="238"/>
      <c r="G467" s="238"/>
      <c r="H467" s="238"/>
      <c r="I467" s="238"/>
      <c r="J467" s="238"/>
      <c r="K467" s="238"/>
      <c r="L467" s="238"/>
      <c r="M467" s="260"/>
    </row>
    <row r="468" spans="1:13" ht="14.1" customHeight="1" x14ac:dyDescent="0.3">
      <c r="A468" s="3">
        <v>6</v>
      </c>
      <c r="B468" s="259"/>
      <c r="D468" s="237" t="str">
        <f>IF(LEN(Q371)&lt;=265,"",RIGHT(Q371,LEN(Q371)-SEARCH(" ",Q371,255)))</f>
        <v/>
      </c>
      <c r="E468" s="238"/>
      <c r="F468" s="238"/>
      <c r="G468" s="238"/>
      <c r="H468" s="238"/>
      <c r="I468" s="238"/>
      <c r="J468" s="238"/>
      <c r="K468" s="238"/>
      <c r="L468" s="238"/>
      <c r="M468" s="260"/>
    </row>
    <row r="469" spans="1:13" ht="14.1" customHeight="1" x14ac:dyDescent="0.3">
      <c r="A469" s="3">
        <v>7</v>
      </c>
      <c r="B469" s="259"/>
      <c r="D469" s="235" t="str">
        <f>IF(Q373="","",IF(LEN(Q373)&lt;=135,Q373,IF(LEN(Q373)&lt;=260,LEFT(Q373,SEARCH(" ",Q373,125)),LEFT(Q373,SEARCH(" ",Q373,130)))))</f>
        <v/>
      </c>
      <c r="E469" s="236"/>
      <c r="F469" s="236"/>
      <c r="G469" s="236"/>
      <c r="H469" s="236"/>
      <c r="I469" s="236"/>
      <c r="J469" s="236"/>
      <c r="K469" s="236"/>
      <c r="L469" s="236"/>
      <c r="M469" s="260"/>
    </row>
    <row r="470" spans="1:13" ht="14.1" customHeight="1" x14ac:dyDescent="0.3">
      <c r="A470" s="3">
        <v>8</v>
      </c>
      <c r="B470" s="259"/>
      <c r="D470" s="237" t="str">
        <f>IF(LEN(Q373)&lt;=135,"",IF(LEN(Q373)&lt;=260,RIGHT(Q373,LEN(Q373)-SEARCH(" ",Q373,125)),MID(Q373,SEARCH(" ",Q373,130),IF(LEN(Q373)&lt;=265,LEN(Q373),SEARCH(" ",Q373,255)-SEARCH(" ",Q373,130)))))</f>
        <v/>
      </c>
      <c r="E470" s="238"/>
      <c r="F470" s="238"/>
      <c r="G470" s="238"/>
      <c r="H470" s="238"/>
      <c r="I470" s="238"/>
      <c r="J470" s="238"/>
      <c r="K470" s="238"/>
      <c r="L470" s="238"/>
      <c r="M470" s="260"/>
    </row>
    <row r="471" spans="1:13" ht="14.1" customHeight="1" x14ac:dyDescent="0.3">
      <c r="A471" s="3">
        <v>9</v>
      </c>
      <c r="B471" s="259"/>
      <c r="D471" s="237" t="str">
        <f>IF(LEN(Q373)&lt;=265,"",RIGHT(Q373,LEN(Q373)-SEARCH(" ",Q373,255)))</f>
        <v/>
      </c>
      <c r="E471" s="238"/>
      <c r="F471" s="238"/>
      <c r="G471" s="238"/>
      <c r="H471" s="238"/>
      <c r="I471" s="238"/>
      <c r="J471" s="238"/>
      <c r="K471" s="238"/>
      <c r="L471" s="238"/>
      <c r="M471" s="260"/>
    </row>
    <row r="472" spans="1:13" ht="14.1" customHeight="1" x14ac:dyDescent="0.3">
      <c r="A472" s="3">
        <v>10</v>
      </c>
      <c r="B472" s="259"/>
      <c r="D472" s="235" t="str">
        <f>IF(Q375="","",IF(LEN(Q375)&lt;=135,Q375,IF(LEN(Q375)&lt;=260,LEFT(Q375,SEARCH(" ",Q375,125)),LEFT(Q375,SEARCH(" ",Q375,130)))))</f>
        <v/>
      </c>
      <c r="E472" s="236"/>
      <c r="F472" s="236"/>
      <c r="G472" s="236"/>
      <c r="H472" s="236"/>
      <c r="I472" s="236"/>
      <c r="J472" s="236"/>
      <c r="K472" s="236"/>
      <c r="L472" s="236"/>
      <c r="M472" s="260"/>
    </row>
    <row r="473" spans="1:13" ht="14.1" customHeight="1" x14ac:dyDescent="0.3">
      <c r="A473" s="3">
        <v>11</v>
      </c>
      <c r="B473" s="259"/>
      <c r="D473" s="237" t="str">
        <f>IF(LEN(Q375)&lt;=135,"",IF(LEN(Q375)&lt;=260,RIGHT(Q375,LEN(Q375)-SEARCH(" ",Q375,125)),MID(Q375,SEARCH(" ",Q375,130),IF(LEN(Q375)&lt;=265,LEN(Q375),SEARCH(" ",Q375,255)-SEARCH(" ",Q375,130)))))</f>
        <v/>
      </c>
      <c r="E473" s="238"/>
      <c r="F473" s="238"/>
      <c r="G473" s="238"/>
      <c r="H473" s="238"/>
      <c r="I473" s="238"/>
      <c r="J473" s="238"/>
      <c r="K473" s="238"/>
      <c r="L473" s="238"/>
      <c r="M473" s="260"/>
    </row>
    <row r="474" spans="1:13" ht="14.1" customHeight="1" x14ac:dyDescent="0.3">
      <c r="A474" s="3">
        <v>12</v>
      </c>
      <c r="B474" s="259"/>
      <c r="D474" s="237" t="str">
        <f>IF(LEN(Q375)&lt;=265,"",RIGHT(Q375,LEN(Q375)-SEARCH(" ",Q375,255)))</f>
        <v/>
      </c>
      <c r="E474" s="238"/>
      <c r="F474" s="238"/>
      <c r="G474" s="238"/>
      <c r="H474" s="238"/>
      <c r="I474" s="238"/>
      <c r="J474" s="238"/>
      <c r="K474" s="238"/>
      <c r="L474" s="238"/>
      <c r="M474" s="260"/>
    </row>
    <row r="475" spans="1:13" ht="14.1" customHeight="1" x14ac:dyDescent="0.3">
      <c r="A475" s="3">
        <v>13</v>
      </c>
      <c r="B475" s="259"/>
      <c r="D475" s="235" t="str">
        <f>IF(Q377="","",IF(LEN(Q377)&lt;=135,Q377,IF(LEN(Q377)&lt;=260,LEFT(Q377,SEARCH(" ",Q377,125)),LEFT(Q377,SEARCH(" ",Q377,130)))))</f>
        <v/>
      </c>
      <c r="E475" s="236"/>
      <c r="F475" s="236"/>
      <c r="G475" s="236"/>
      <c r="H475" s="236"/>
      <c r="I475" s="236"/>
      <c r="J475" s="236"/>
      <c r="K475" s="236"/>
      <c r="L475" s="236"/>
      <c r="M475" s="260"/>
    </row>
    <row r="476" spans="1:13" ht="14.1" customHeight="1" x14ac:dyDescent="0.3">
      <c r="A476" s="3">
        <v>14</v>
      </c>
      <c r="B476" s="259"/>
      <c r="D476" s="237" t="str">
        <f>IF(LEN(Q377)&lt;=135,"",IF(LEN(Q377)&lt;=260,RIGHT(Q377,LEN(Q377)-SEARCH(" ",Q377,125)),MID(Q377,SEARCH(" ",Q377,130),IF(LEN(Q377)&lt;=265,LEN(Q377),SEARCH(" ",Q377,255)-SEARCH(" ",Q377,130)))))</f>
        <v/>
      </c>
      <c r="E476" s="238"/>
      <c r="F476" s="238"/>
      <c r="G476" s="238"/>
      <c r="H476" s="238"/>
      <c r="I476" s="238"/>
      <c r="J476" s="238"/>
      <c r="K476" s="238"/>
      <c r="L476" s="238"/>
      <c r="M476" s="260"/>
    </row>
    <row r="477" spans="1:13" ht="14.1" customHeight="1" x14ac:dyDescent="0.3">
      <c r="A477" s="3">
        <v>15</v>
      </c>
      <c r="B477" s="259"/>
      <c r="D477" s="237" t="str">
        <f>IF(LEN(Q377)&lt;=265,"",RIGHT(Q377,LEN(Q377)-SEARCH(" ",Q377,255)))</f>
        <v/>
      </c>
      <c r="E477" s="238"/>
      <c r="F477" s="238"/>
      <c r="G477" s="238"/>
      <c r="H477" s="238"/>
      <c r="I477" s="238"/>
      <c r="J477" s="238"/>
      <c r="K477" s="238"/>
      <c r="L477" s="238"/>
      <c r="M477" s="260"/>
    </row>
    <row r="478" spans="1:13" ht="14.1" customHeight="1" x14ac:dyDescent="0.3">
      <c r="A478" s="3">
        <v>16</v>
      </c>
      <c r="B478" s="259"/>
      <c r="D478" s="235" t="str">
        <f>IF(Q379="","",IF(LEN(Q379)&lt;=135,Q379,IF(LEN(Q379)&lt;=260,LEFT(Q379,SEARCH(" ",Q379,125)),LEFT(Q379,SEARCH(" ",Q379,130)))))</f>
        <v/>
      </c>
      <c r="E478" s="236"/>
      <c r="F478" s="236"/>
      <c r="G478" s="236"/>
      <c r="H478" s="236"/>
      <c r="I478" s="236"/>
      <c r="J478" s="236"/>
      <c r="K478" s="236"/>
      <c r="L478" s="236"/>
      <c r="M478" s="260"/>
    </row>
    <row r="479" spans="1:13" ht="14.1" customHeight="1" x14ac:dyDescent="0.3">
      <c r="A479" s="3">
        <v>17</v>
      </c>
      <c r="B479" s="259"/>
      <c r="D479" s="237" t="str">
        <f>IF(LEN(Q379)&lt;=135,"",IF(LEN(Q379)&lt;=260,RIGHT(Q379,LEN(Q379)-SEARCH(" ",Q379,125)),MID(Q379,SEARCH(" ",Q379,130),IF(LEN(Q379)&lt;=265,LEN(Q379),SEARCH(" ",Q379,255)-SEARCH(" ",Q379,130)))))</f>
        <v/>
      </c>
      <c r="E479" s="238"/>
      <c r="F479" s="238"/>
      <c r="G479" s="238"/>
      <c r="H479" s="238"/>
      <c r="I479" s="238"/>
      <c r="J479" s="238"/>
      <c r="K479" s="238"/>
      <c r="L479" s="238"/>
      <c r="M479" s="260"/>
    </row>
    <row r="480" spans="1:13" ht="14.1" customHeight="1" x14ac:dyDescent="0.3">
      <c r="A480" s="3">
        <v>18</v>
      </c>
      <c r="B480" s="259"/>
      <c r="D480" s="237" t="str">
        <f>IF(LEN(Q379)&lt;=265,"",RIGHT(Q379,LEN(Q379)-SEARCH(" ",Q379,255)))</f>
        <v/>
      </c>
      <c r="E480" s="238"/>
      <c r="F480" s="238"/>
      <c r="G480" s="238"/>
      <c r="H480" s="238"/>
      <c r="I480" s="238"/>
      <c r="J480" s="238"/>
      <c r="K480" s="238"/>
      <c r="L480" s="238"/>
      <c r="M480" s="260"/>
    </row>
    <row r="481" spans="1:13" ht="14.1" customHeight="1" x14ac:dyDescent="0.3">
      <c r="A481" s="3">
        <v>19</v>
      </c>
      <c r="B481" s="259"/>
      <c r="D481" s="235" t="str">
        <f>IF(Q381="","",IF(LEN(Q381)&lt;=135,Q381,IF(LEN(Q381)&lt;=260,LEFT(Q381,SEARCH(" ",Q381,125)),LEFT(Q381,SEARCH(" ",Q381,130)))))</f>
        <v/>
      </c>
      <c r="E481" s="236"/>
      <c r="F481" s="236"/>
      <c r="G481" s="236"/>
      <c r="H481" s="236"/>
      <c r="I481" s="236"/>
      <c r="J481" s="236"/>
      <c r="K481" s="236"/>
      <c r="L481" s="236"/>
      <c r="M481" s="260"/>
    </row>
    <row r="482" spans="1:13" ht="14.1" customHeight="1" x14ac:dyDescent="0.3">
      <c r="A482" s="3">
        <v>20</v>
      </c>
      <c r="B482" s="259"/>
      <c r="D482" s="237" t="str">
        <f>IF(LEN(Q381)&lt;=135,"",IF(LEN(Q381)&lt;=260,RIGHT(Q381,LEN(Q381)-SEARCH(" ",Q381,125)),MID(Q381,SEARCH(" ",Q381,130),IF(LEN(Q381)&lt;=265,LEN(Q381),SEARCH(" ",Q381,255)-SEARCH(" ",Q381,130)))))</f>
        <v/>
      </c>
      <c r="E482" s="238"/>
      <c r="F482" s="238"/>
      <c r="G482" s="238"/>
      <c r="H482" s="238"/>
      <c r="I482" s="238"/>
      <c r="J482" s="238"/>
      <c r="K482" s="238"/>
      <c r="L482" s="238"/>
      <c r="M482" s="260"/>
    </row>
    <row r="483" spans="1:13" ht="14.1" customHeight="1" x14ac:dyDescent="0.3">
      <c r="A483" s="3">
        <v>21</v>
      </c>
      <c r="B483" s="259"/>
      <c r="D483" s="237" t="str">
        <f>IF(LEN(Q381)&lt;=265,"",RIGHT(Q381,LEN(Q381)-SEARCH(" ",Q381,255)))</f>
        <v/>
      </c>
      <c r="E483" s="238"/>
      <c r="F483" s="238"/>
      <c r="G483" s="238"/>
      <c r="H483" s="238"/>
      <c r="I483" s="238"/>
      <c r="J483" s="238"/>
      <c r="K483" s="238"/>
      <c r="L483" s="238"/>
      <c r="M483" s="260"/>
    </row>
    <row r="484" spans="1:13" ht="14.1" customHeight="1" x14ac:dyDescent="0.3">
      <c r="A484" s="3">
        <v>22</v>
      </c>
      <c r="B484" s="259"/>
      <c r="D484" s="235" t="str">
        <f>IF(Q383="","",IF(LEN(Q383)&lt;=135,Q383,IF(LEN(Q383)&lt;=260,LEFT(Q383,SEARCH(" ",Q383,125)),LEFT(Q383,SEARCH(" ",Q383,130)))))</f>
        <v/>
      </c>
      <c r="E484" s="236"/>
      <c r="F484" s="236"/>
      <c r="G484" s="236"/>
      <c r="H484" s="236"/>
      <c r="I484" s="236"/>
      <c r="J484" s="236"/>
      <c r="K484" s="236"/>
      <c r="L484" s="236"/>
      <c r="M484" s="260"/>
    </row>
    <row r="485" spans="1:13" ht="14.1" customHeight="1" x14ac:dyDescent="0.3">
      <c r="A485" s="3">
        <v>23</v>
      </c>
      <c r="B485" s="259"/>
      <c r="D485" s="237" t="str">
        <f>IF(LEN(Q383)&lt;=135,"",IF(LEN(Q383)&lt;=260,RIGHT(Q383,LEN(Q383)-SEARCH(" ",Q383,125)),MID(Q383,SEARCH(" ",Q383,130),IF(LEN(Q383)&lt;=265,LEN(Q383),SEARCH(" ",Q383,255)-SEARCH(" ",Q383,130)))))</f>
        <v/>
      </c>
      <c r="E485" s="238"/>
      <c r="F485" s="238"/>
      <c r="G485" s="238"/>
      <c r="H485" s="238"/>
      <c r="I485" s="238"/>
      <c r="J485" s="238"/>
      <c r="K485" s="238"/>
      <c r="L485" s="238"/>
      <c r="M485" s="260"/>
    </row>
    <row r="486" spans="1:13" ht="14.1" customHeight="1" x14ac:dyDescent="0.3">
      <c r="A486" s="3">
        <v>24</v>
      </c>
      <c r="B486" s="259"/>
      <c r="D486" s="237" t="str">
        <f>IF(LEN(Q383)&lt;=265,"",RIGHT(Q383,LEN(Q383)-SEARCH(" ",Q383,255)))</f>
        <v/>
      </c>
      <c r="E486" s="238"/>
      <c r="F486" s="238"/>
      <c r="G486" s="238"/>
      <c r="H486" s="238"/>
      <c r="I486" s="238"/>
      <c r="J486" s="238"/>
      <c r="K486" s="238"/>
      <c r="L486" s="238"/>
      <c r="M486" s="260"/>
    </row>
    <row r="487" spans="1:13" ht="14.1" customHeight="1" x14ac:dyDescent="0.3">
      <c r="A487" s="3">
        <v>25</v>
      </c>
      <c r="B487" s="259"/>
      <c r="D487" s="235" t="str">
        <f>IF(Q385="","",IF(LEN(Q385)&lt;=135,Q385,IF(LEN(Q385)&lt;=260,LEFT(Q385,SEARCH(" ",Q385,125)),LEFT(Q385,SEARCH(" ",Q385,130)))))</f>
        <v/>
      </c>
      <c r="E487" s="236"/>
      <c r="F487" s="236"/>
      <c r="G487" s="236"/>
      <c r="H487" s="236"/>
      <c r="I487" s="236"/>
      <c r="J487" s="236"/>
      <c r="K487" s="236"/>
      <c r="L487" s="236"/>
      <c r="M487" s="260"/>
    </row>
    <row r="488" spans="1:13" ht="14.1" customHeight="1" x14ac:dyDescent="0.3">
      <c r="A488" s="3">
        <v>26</v>
      </c>
      <c r="B488" s="259"/>
      <c r="D488" s="237" t="str">
        <f>IF(LEN(Q385)&lt;=135,"",IF(LEN(Q385)&lt;=260,RIGHT(Q385,LEN(Q385)-SEARCH(" ",Q385,125)),MID(Q385,SEARCH(" ",Q385,130),IF(LEN(Q385)&lt;=265,LEN(Q385),SEARCH(" ",Q385,255)-SEARCH(" ",Q385,130)))))</f>
        <v/>
      </c>
      <c r="E488" s="238"/>
      <c r="F488" s="238"/>
      <c r="G488" s="238"/>
      <c r="H488" s="238"/>
      <c r="I488" s="238"/>
      <c r="J488" s="238"/>
      <c r="K488" s="238"/>
      <c r="L488" s="238"/>
      <c r="M488" s="260"/>
    </row>
    <row r="489" spans="1:13" ht="14.1" customHeight="1" x14ac:dyDescent="0.3">
      <c r="A489" s="3">
        <v>27</v>
      </c>
      <c r="B489" s="259"/>
      <c r="D489" s="237" t="str">
        <f>IF(LEN(Q385)&lt;=265,"",RIGHT(Q385,LEN(Q385)-SEARCH(" ",Q385,255)))</f>
        <v/>
      </c>
      <c r="E489" s="238"/>
      <c r="F489" s="238"/>
      <c r="G489" s="238"/>
      <c r="H489" s="238"/>
      <c r="I489" s="238"/>
      <c r="J489" s="238"/>
      <c r="K489" s="238"/>
      <c r="L489" s="238"/>
      <c r="M489" s="260"/>
    </row>
    <row r="490" spans="1:13" ht="14.1" customHeight="1" x14ac:dyDescent="0.3">
      <c r="A490" s="3">
        <v>28</v>
      </c>
      <c r="B490" s="259"/>
      <c r="D490" s="235" t="str">
        <f>IF(Q387="","",IF(LEN(Q387)&lt;=135,Q387,IF(LEN(Q387)&lt;=260,LEFT(Q387,SEARCH(" ",Q387,125)),LEFT(Q387,SEARCH(" ",Q387,130)))))</f>
        <v/>
      </c>
      <c r="E490" s="236"/>
      <c r="F490" s="236"/>
      <c r="G490" s="236"/>
      <c r="H490" s="236"/>
      <c r="I490" s="236"/>
      <c r="J490" s="236"/>
      <c r="K490" s="236"/>
      <c r="L490" s="236"/>
      <c r="M490" s="260"/>
    </row>
    <row r="491" spans="1:13" ht="14.1" customHeight="1" x14ac:dyDescent="0.3">
      <c r="A491" s="3">
        <v>29</v>
      </c>
      <c r="B491" s="259"/>
      <c r="D491" s="237" t="str">
        <f>IF(LEN(Q387)&lt;=135,"",IF(LEN(Q387)&lt;=260,RIGHT(Q387,LEN(Q387)-SEARCH(" ",Q387,125)),MID(Q387,SEARCH(" ",Q387,130),IF(LEN(Q387)&lt;=265,LEN(Q387),SEARCH(" ",Q387,255)-SEARCH(" ",Q387,130)))))</f>
        <v/>
      </c>
      <c r="E491" s="238"/>
      <c r="F491" s="238"/>
      <c r="G491" s="238"/>
      <c r="H491" s="238"/>
      <c r="I491" s="238"/>
      <c r="J491" s="238"/>
      <c r="K491" s="238"/>
      <c r="L491" s="238"/>
      <c r="M491" s="260"/>
    </row>
    <row r="492" spans="1:13" ht="14.1" customHeight="1" x14ac:dyDescent="0.3">
      <c r="A492" s="3">
        <v>30</v>
      </c>
      <c r="B492" s="259"/>
      <c r="D492" s="237" t="str">
        <f>IF(LEN(Q387)&lt;=265,"",RIGHT(Q387,LEN(Q387)-SEARCH(" ",Q387,255)))</f>
        <v/>
      </c>
      <c r="E492" s="238"/>
      <c r="F492" s="238"/>
      <c r="G492" s="238"/>
      <c r="H492" s="238"/>
      <c r="I492" s="238"/>
      <c r="J492" s="238"/>
      <c r="K492" s="238"/>
      <c r="L492" s="238"/>
      <c r="M492" s="260"/>
    </row>
    <row r="493" spans="1:13" ht="14.1" customHeight="1" x14ac:dyDescent="0.3">
      <c r="A493" s="3">
        <v>31</v>
      </c>
      <c r="B493" s="259"/>
      <c r="D493" s="235" t="str">
        <f>IF(Q389="","",IF(LEN(Q389)&lt;=135,Q389,IF(LEN(Q389)&lt;=260,LEFT(Q389,SEARCH(" ",Q389,125)),LEFT(Q389,SEARCH(" ",Q389,130)))))</f>
        <v/>
      </c>
      <c r="E493" s="236"/>
      <c r="F493" s="236"/>
      <c r="G493" s="236"/>
      <c r="H493" s="236"/>
      <c r="I493" s="236"/>
      <c r="J493" s="236"/>
      <c r="K493" s="236"/>
      <c r="L493" s="236"/>
      <c r="M493" s="260"/>
    </row>
    <row r="494" spans="1:13" ht="14.1" customHeight="1" x14ac:dyDescent="0.3">
      <c r="A494" s="3">
        <v>32</v>
      </c>
      <c r="B494" s="259"/>
      <c r="D494" s="237" t="str">
        <f>IF(LEN(Q389)&lt;=135,"",IF(LEN(Q389)&lt;=260,RIGHT(Q389,LEN(Q389)-SEARCH(" ",Q389,125)),MID(Q389,SEARCH(" ",Q389,130),IF(LEN(Q389)&lt;=265,LEN(Q389),SEARCH(" ",Q389,255)-SEARCH(" ",Q389,130)))))</f>
        <v/>
      </c>
      <c r="E494" s="238"/>
      <c r="F494" s="238"/>
      <c r="G494" s="238"/>
      <c r="H494" s="238"/>
      <c r="I494" s="238"/>
      <c r="J494" s="238"/>
      <c r="K494" s="238"/>
      <c r="L494" s="238"/>
      <c r="M494" s="260"/>
    </row>
    <row r="495" spans="1:13" ht="14.1" customHeight="1" x14ac:dyDescent="0.3">
      <c r="A495" s="3">
        <v>33</v>
      </c>
      <c r="B495" s="259"/>
      <c r="D495" s="237" t="str">
        <f>IF(LEN(Q389)&lt;=265,"",RIGHT(Q389,LEN(Q389)-SEARCH(" ",Q389,255)))</f>
        <v/>
      </c>
      <c r="E495" s="238"/>
      <c r="F495" s="238"/>
      <c r="G495" s="238"/>
      <c r="H495" s="238"/>
      <c r="I495" s="238"/>
      <c r="J495" s="238"/>
      <c r="K495" s="238"/>
      <c r="L495" s="238"/>
      <c r="M495" s="260"/>
    </row>
    <row r="496" spans="1:13" ht="14.1" customHeight="1" x14ac:dyDescent="0.3">
      <c r="A496" s="3">
        <v>34</v>
      </c>
      <c r="B496" s="259"/>
      <c r="D496" s="235" t="str">
        <f>IF(Q391="","",IF(LEN(Q391)&lt;=135,Q391,IF(LEN(Q391)&lt;=260,LEFT(Q391,SEARCH(" ",Q391,125)),LEFT(Q391,SEARCH(" ",Q391,130)))))</f>
        <v/>
      </c>
      <c r="E496" s="236"/>
      <c r="F496" s="236"/>
      <c r="G496" s="236"/>
      <c r="H496" s="236"/>
      <c r="I496" s="236"/>
      <c r="J496" s="236"/>
      <c r="K496" s="236"/>
      <c r="L496" s="236"/>
      <c r="M496" s="260"/>
    </row>
    <row r="497" spans="1:13" ht="14.1" customHeight="1" x14ac:dyDescent="0.3">
      <c r="A497" s="3">
        <v>35</v>
      </c>
      <c r="B497" s="259"/>
      <c r="D497" s="237" t="str">
        <f>IF(LEN(Q391)&lt;=135,"",IF(LEN(Q391)&lt;=260,RIGHT(Q391,LEN(Q391)-SEARCH(" ",Q391,125)),MID(Q391,SEARCH(" ",Q391,130),IF(LEN(Q391)&lt;=265,LEN(Q391),SEARCH(" ",Q391,255)-SEARCH(" ",Q391,130)))))</f>
        <v/>
      </c>
      <c r="E497" s="238"/>
      <c r="F497" s="238"/>
      <c r="G497" s="238"/>
      <c r="H497" s="238"/>
      <c r="I497" s="238"/>
      <c r="J497" s="238"/>
      <c r="K497" s="238"/>
      <c r="L497" s="238"/>
      <c r="M497" s="260"/>
    </row>
    <row r="498" spans="1:13" ht="14.1" customHeight="1" x14ac:dyDescent="0.3">
      <c r="A498" s="3">
        <v>36</v>
      </c>
      <c r="B498" s="259"/>
      <c r="D498" s="237" t="str">
        <f>IF(LEN(Q391)&lt;=265,"",RIGHT(Q391,LEN(Q391)-SEARCH(" ",Q391,255)))</f>
        <v/>
      </c>
      <c r="E498" s="238"/>
      <c r="F498" s="238"/>
      <c r="G498" s="238"/>
      <c r="H498" s="238"/>
      <c r="I498" s="238"/>
      <c r="J498" s="238"/>
      <c r="K498" s="238"/>
      <c r="L498" s="238"/>
      <c r="M498" s="260"/>
    </row>
    <row r="499" spans="1:13" ht="14.1" customHeight="1" x14ac:dyDescent="0.3">
      <c r="A499" s="3">
        <v>37</v>
      </c>
      <c r="B499" s="259"/>
      <c r="D499" s="235" t="str">
        <f>IF(Q393="","",IF(LEN(Q393)&lt;=135,Q393,IF(LEN(Q393)&lt;=260,LEFT(Q393,SEARCH(" ",Q393,125)),LEFT(Q393,SEARCH(" ",Q393,130)))))</f>
        <v/>
      </c>
      <c r="E499" s="236"/>
      <c r="F499" s="236"/>
      <c r="G499" s="236"/>
      <c r="H499" s="236"/>
      <c r="I499" s="236"/>
      <c r="J499" s="236"/>
      <c r="K499" s="236"/>
      <c r="L499" s="236"/>
      <c r="M499" s="260"/>
    </row>
    <row r="500" spans="1:13" ht="14.1" customHeight="1" x14ac:dyDescent="0.3">
      <c r="A500" s="3">
        <v>38</v>
      </c>
      <c r="B500" s="259"/>
      <c r="D500" s="237" t="str">
        <f>IF(LEN(Q393)&lt;=135,"",IF(LEN(Q393)&lt;=260,RIGHT(Q393,LEN(Q393)-SEARCH(" ",Q393,125)),MID(Q393,SEARCH(" ",Q393,130),IF(LEN(Q393)&lt;=265,LEN(Q393),SEARCH(" ",Q393,255)-SEARCH(" ",Q393,130)))))</f>
        <v/>
      </c>
      <c r="E500" s="238"/>
      <c r="F500" s="238"/>
      <c r="G500" s="238"/>
      <c r="H500" s="238"/>
      <c r="I500" s="238"/>
      <c r="J500" s="238"/>
      <c r="K500" s="238"/>
      <c r="L500" s="238"/>
      <c r="M500" s="260"/>
    </row>
    <row r="501" spans="1:13" ht="14.1" customHeight="1" x14ac:dyDescent="0.3">
      <c r="A501" s="3">
        <v>39</v>
      </c>
      <c r="B501" s="259"/>
      <c r="D501" s="237" t="str">
        <f>IF(LEN(Q393)&lt;=265,"",RIGHT(Q393,LEN(Q393)-SEARCH(" ",Q393,255)))</f>
        <v/>
      </c>
      <c r="E501" s="238"/>
      <c r="F501" s="238"/>
      <c r="G501" s="238"/>
      <c r="H501" s="238"/>
      <c r="I501" s="238"/>
      <c r="J501" s="238"/>
      <c r="K501" s="238"/>
      <c r="L501" s="238"/>
      <c r="M501" s="260"/>
    </row>
    <row r="502" spans="1:13" ht="14.1" customHeight="1" x14ac:dyDescent="0.3">
      <c r="A502" s="3">
        <v>40</v>
      </c>
      <c r="B502" s="259"/>
      <c r="D502" s="235" t="str">
        <f>IF(Q395="","",IF(LEN(Q395)&lt;=135,Q395,IF(LEN(Q395)&lt;=260,LEFT(Q395,SEARCH(" ",Q395,125)),LEFT(Q395,SEARCH(" ",Q395,130)))))</f>
        <v/>
      </c>
      <c r="E502" s="236"/>
      <c r="F502" s="236"/>
      <c r="G502" s="236"/>
      <c r="H502" s="236"/>
      <c r="I502" s="236"/>
      <c r="J502" s="236"/>
      <c r="K502" s="236"/>
      <c r="L502" s="236"/>
      <c r="M502" s="260"/>
    </row>
    <row r="503" spans="1:13" ht="14.1" customHeight="1" x14ac:dyDescent="0.3">
      <c r="A503" s="3">
        <v>41</v>
      </c>
      <c r="B503" s="259"/>
      <c r="D503" s="237" t="str">
        <f>IF(LEN(Q395)&lt;=135,"",IF(LEN(Q395)&lt;=260,RIGHT(Q395,LEN(Q395)-SEARCH(" ",Q395,125)),MID(Q395,SEARCH(" ",Q395,130),IF(LEN(Q395)&lt;=265,LEN(Q395),SEARCH(" ",Q395,255)-SEARCH(" ",Q395,130)))))</f>
        <v/>
      </c>
      <c r="E503" s="238"/>
      <c r="F503" s="238"/>
      <c r="G503" s="238"/>
      <c r="H503" s="238"/>
      <c r="I503" s="238"/>
      <c r="J503" s="238"/>
      <c r="K503" s="238"/>
      <c r="L503" s="238"/>
      <c r="M503" s="260"/>
    </row>
    <row r="504" spans="1:13" ht="14.1" customHeight="1" x14ac:dyDescent="0.3">
      <c r="A504" s="3">
        <v>42</v>
      </c>
      <c r="B504" s="259"/>
      <c r="D504" s="237" t="str">
        <f>IF(LEN(Q395)&lt;=265,"",RIGHT(Q395,LEN(Q395)-SEARCH(" ",Q395,255)))</f>
        <v/>
      </c>
      <c r="E504" s="238"/>
      <c r="F504" s="238"/>
      <c r="G504" s="238"/>
      <c r="H504" s="238"/>
      <c r="I504" s="238"/>
      <c r="J504" s="238"/>
      <c r="K504" s="238"/>
      <c r="L504" s="238"/>
      <c r="M504" s="260"/>
    </row>
    <row r="505" spans="1:13" ht="14.1" customHeight="1" x14ac:dyDescent="0.3">
      <c r="A505" s="3">
        <v>43</v>
      </c>
      <c r="B505" s="259"/>
      <c r="D505" s="235" t="str">
        <f>IF(Q397="","",IF(LEN(Q397)&lt;=135,Q397,IF(LEN(Q397)&lt;=260,LEFT(Q397,SEARCH(" ",Q397,125)),LEFT(Q397,SEARCH(" ",Q397,130)))))</f>
        <v/>
      </c>
      <c r="E505" s="236"/>
      <c r="F505" s="236"/>
      <c r="G505" s="236"/>
      <c r="H505" s="236"/>
      <c r="I505" s="236"/>
      <c r="J505" s="236"/>
      <c r="K505" s="236"/>
      <c r="L505" s="236"/>
      <c r="M505" s="260"/>
    </row>
    <row r="506" spans="1:13" ht="14.1" customHeight="1" x14ac:dyDescent="0.3">
      <c r="A506" s="3">
        <v>44</v>
      </c>
      <c r="B506" s="259"/>
      <c r="D506" s="237" t="str">
        <f>IF(LEN(Q397)&lt;=135,"",IF(LEN(Q397)&lt;=260,RIGHT(Q397,LEN(Q397)-SEARCH(" ",Q397,125)),MID(Q397,SEARCH(" ",Q397,130),IF(LEN(Q397)&lt;=265,LEN(Q397),SEARCH(" ",Q397,255)-SEARCH(" ",Q397,130)))))</f>
        <v/>
      </c>
      <c r="E506" s="238"/>
      <c r="F506" s="238"/>
      <c r="G506" s="238"/>
      <c r="H506" s="238"/>
      <c r="I506" s="238"/>
      <c r="J506" s="238"/>
      <c r="K506" s="238"/>
      <c r="L506" s="238"/>
      <c r="M506" s="260"/>
    </row>
    <row r="507" spans="1:13" ht="14.1" customHeight="1" x14ac:dyDescent="0.3">
      <c r="A507" s="3">
        <v>45</v>
      </c>
      <c r="B507" s="259"/>
      <c r="D507" s="237" t="str">
        <f>IF(LEN(Q397)&lt;=265,"",RIGHT(Q397,LEN(Q397)-SEARCH(" ",Q397,255)))</f>
        <v/>
      </c>
      <c r="E507" s="238"/>
      <c r="F507" s="238"/>
      <c r="G507" s="238"/>
      <c r="H507" s="238"/>
      <c r="I507" s="238"/>
      <c r="J507" s="238"/>
      <c r="K507" s="238"/>
      <c r="L507" s="238"/>
      <c r="M507" s="260"/>
    </row>
    <row r="508" spans="1:13" ht="14.1" customHeight="1" x14ac:dyDescent="0.3">
      <c r="A508" s="3">
        <v>46</v>
      </c>
      <c r="B508" s="259"/>
      <c r="D508" s="235" t="str">
        <f>IF(Q399="","",IF(LEN(Q399)&lt;=135,Q399,IF(LEN(Q399)&lt;=260,LEFT(Q399,SEARCH(" ",Q399,125)),LEFT(Q399,SEARCH(" ",Q399,130)))))</f>
        <v/>
      </c>
      <c r="E508" s="236"/>
      <c r="F508" s="236"/>
      <c r="G508" s="236"/>
      <c r="H508" s="236"/>
      <c r="I508" s="236"/>
      <c r="J508" s="236"/>
      <c r="K508" s="236"/>
      <c r="L508" s="236"/>
      <c r="M508" s="260"/>
    </row>
    <row r="509" spans="1:13" ht="14.1" customHeight="1" x14ac:dyDescent="0.3">
      <c r="A509" s="3">
        <v>47</v>
      </c>
      <c r="B509" s="259"/>
      <c r="D509" s="237" t="str">
        <f>IF(LEN(Q399)&lt;=135,"",IF(LEN(Q399)&lt;=260,RIGHT(Q399,LEN(Q399)-SEARCH(" ",Q399,125)),MID(Q399,SEARCH(" ",Q399,130),IF(LEN(Q399)&lt;=265,LEN(Q399),SEARCH(" ",Q399,255)-SEARCH(" ",Q399,130)))))</f>
        <v/>
      </c>
      <c r="E509" s="238"/>
      <c r="F509" s="238"/>
      <c r="G509" s="238"/>
      <c r="H509" s="238"/>
      <c r="I509" s="238"/>
      <c r="J509" s="238"/>
      <c r="K509" s="238"/>
      <c r="L509" s="238"/>
      <c r="M509" s="260"/>
    </row>
    <row r="510" spans="1:13" ht="14.1" customHeight="1" x14ac:dyDescent="0.3">
      <c r="A510" s="3">
        <v>48</v>
      </c>
      <c r="B510" s="259"/>
      <c r="D510" s="237" t="str">
        <f>IF(LEN(Q399)&lt;=265,"",RIGHT(Q399,LEN(Q399)-SEARCH(" ",Q399,255)))</f>
        <v/>
      </c>
      <c r="E510" s="238"/>
      <c r="F510" s="238"/>
      <c r="G510" s="238"/>
      <c r="H510" s="238"/>
      <c r="I510" s="238"/>
      <c r="J510" s="238"/>
      <c r="K510" s="238"/>
      <c r="L510" s="238"/>
      <c r="M510" s="260"/>
    </row>
    <row r="511" spans="1:13" ht="14.1" customHeight="1" x14ac:dyDescent="0.3">
      <c r="A511" s="3">
        <v>49</v>
      </c>
      <c r="B511" s="259"/>
      <c r="D511" s="235" t="str">
        <f>IF(Q401="","",IF(LEN(Q401)&lt;=135,Q401,IF(LEN(Q401)&lt;=260,LEFT(Q401,SEARCH(" ",Q401,125)),LEFT(Q401,SEARCH(" ",Q401,130)))))</f>
        <v/>
      </c>
      <c r="E511" s="236"/>
      <c r="F511" s="236"/>
      <c r="G511" s="236"/>
      <c r="H511" s="236"/>
      <c r="I511" s="236"/>
      <c r="J511" s="236"/>
      <c r="K511" s="236"/>
      <c r="L511" s="236"/>
      <c r="M511" s="260"/>
    </row>
    <row r="512" spans="1:13" ht="14.1" customHeight="1" x14ac:dyDescent="0.3">
      <c r="A512" s="3">
        <v>50</v>
      </c>
      <c r="B512" s="259"/>
      <c r="D512" s="237" t="str">
        <f>IF(LEN(Q401)&lt;=135,"",IF(LEN(Q401)&lt;=260,RIGHT(Q401,LEN(Q401)-SEARCH(" ",Q401,125)),MID(Q401,SEARCH(" ",Q401,130),IF(LEN(Q401)&lt;=265,LEN(Q401),SEARCH(" ",Q401,255)-SEARCH(" ",Q401,130)))))</f>
        <v/>
      </c>
      <c r="E512" s="238"/>
      <c r="F512" s="238"/>
      <c r="G512" s="238"/>
      <c r="H512" s="238"/>
      <c r="I512" s="238"/>
      <c r="J512" s="238"/>
      <c r="K512" s="238"/>
      <c r="L512" s="238"/>
      <c r="M512" s="260"/>
    </row>
    <row r="513" spans="1:13" ht="14.1" customHeight="1" x14ac:dyDescent="0.3">
      <c r="A513" s="3">
        <v>51</v>
      </c>
      <c r="B513" s="259"/>
      <c r="D513" s="237" t="str">
        <f>IF(LEN(Q401)&lt;=265,"",RIGHT(Q401,LEN(Q401)-SEARCH(" ",Q401,255)))</f>
        <v/>
      </c>
      <c r="E513" s="238"/>
      <c r="F513" s="238"/>
      <c r="G513" s="238"/>
      <c r="H513" s="238"/>
      <c r="I513" s="238"/>
      <c r="J513" s="238"/>
      <c r="K513" s="238"/>
      <c r="L513" s="238"/>
      <c r="M513" s="260"/>
    </row>
    <row r="514" spans="1:13" ht="14.1" customHeight="1" x14ac:dyDescent="0.3">
      <c r="A514" s="3">
        <v>52</v>
      </c>
      <c r="B514" s="259"/>
      <c r="D514" s="235" t="str">
        <f>IF(Q403="","",IF(LEN(Q403)&lt;=135,Q403,IF(LEN(Q403)&lt;=260,LEFT(Q403,SEARCH(" ",Q403,125)),LEFT(Q403,SEARCH(" ",Q403,130)))))</f>
        <v/>
      </c>
      <c r="E514" s="236"/>
      <c r="F514" s="236"/>
      <c r="G514" s="236"/>
      <c r="H514" s="236"/>
      <c r="I514" s="236"/>
      <c r="J514" s="236"/>
      <c r="K514" s="236"/>
      <c r="L514" s="236"/>
      <c r="M514" s="260"/>
    </row>
    <row r="515" spans="1:13" ht="14.1" customHeight="1" x14ac:dyDescent="0.3">
      <c r="A515" s="3">
        <v>53</v>
      </c>
      <c r="B515" s="259"/>
      <c r="D515" s="237" t="str">
        <f>IF(LEN(Q403)&lt;=135,"",IF(LEN(Q403)&lt;=260,RIGHT(Q403,LEN(Q403)-SEARCH(" ",Q403,125)),MID(Q403,SEARCH(" ",Q403,130),IF(LEN(Q403)&lt;=265,LEN(Q403),SEARCH(" ",Q403,255)-SEARCH(" ",Q403,130)))))</f>
        <v/>
      </c>
      <c r="E515" s="238"/>
      <c r="F515" s="238"/>
      <c r="G515" s="238"/>
      <c r="H515" s="238"/>
      <c r="I515" s="238"/>
      <c r="J515" s="238"/>
      <c r="K515" s="238"/>
      <c r="L515" s="238"/>
      <c r="M515" s="260"/>
    </row>
    <row r="516" spans="1:13" ht="14.1" customHeight="1" x14ac:dyDescent="0.3">
      <c r="A516" s="3">
        <v>54</v>
      </c>
      <c r="B516" s="259"/>
      <c r="D516" s="237" t="str">
        <f>IF(LEN(Q403)&lt;=265,"",RIGHT(Q403,LEN(Q403)-SEARCH(" ",Q403,255)))</f>
        <v/>
      </c>
      <c r="E516" s="238"/>
      <c r="F516" s="238"/>
      <c r="G516" s="238"/>
      <c r="H516" s="238"/>
      <c r="I516" s="238"/>
      <c r="J516" s="238"/>
      <c r="K516" s="238"/>
      <c r="L516" s="238"/>
      <c r="M516" s="260"/>
    </row>
    <row r="517" spans="1:13" ht="14.1" customHeight="1" x14ac:dyDescent="0.3">
      <c r="A517" s="3">
        <v>55</v>
      </c>
      <c r="B517" s="259"/>
      <c r="D517" s="235" t="str">
        <f>IF(Q405="","",IF(LEN(Q405)&lt;=135,Q405,IF(LEN(Q405)&lt;=260,LEFT(Q405,SEARCH(" ",Q405,125)),LEFT(Q405,SEARCH(" ",Q405,130)))))</f>
        <v/>
      </c>
      <c r="E517" s="236"/>
      <c r="F517" s="236"/>
      <c r="G517" s="236"/>
      <c r="H517" s="236"/>
      <c r="I517" s="236"/>
      <c r="J517" s="236"/>
      <c r="K517" s="236"/>
      <c r="L517" s="236"/>
      <c r="M517" s="260"/>
    </row>
    <row r="518" spans="1:13" ht="14.1" customHeight="1" x14ac:dyDescent="0.3">
      <c r="A518" s="3">
        <v>56</v>
      </c>
      <c r="B518" s="259"/>
      <c r="D518" s="237" t="str">
        <f>IF(LEN(Q405)&lt;=135,"",IF(LEN(Q405)&lt;=260,RIGHT(Q405,LEN(Q405)-SEARCH(" ",Q405,125)),MID(Q405,SEARCH(" ",Q405,130),IF(LEN(Q405)&lt;=265,LEN(Q405),SEARCH(" ",Q405,255)-SEARCH(" ",Q405,130)))))</f>
        <v/>
      </c>
      <c r="E518" s="238"/>
      <c r="F518" s="238"/>
      <c r="G518" s="238"/>
      <c r="H518" s="238"/>
      <c r="I518" s="238"/>
      <c r="J518" s="238"/>
      <c r="K518" s="238"/>
      <c r="L518" s="238"/>
      <c r="M518" s="260"/>
    </row>
    <row r="519" spans="1:13" ht="14.1" customHeight="1" x14ac:dyDescent="0.3">
      <c r="A519" s="3">
        <v>57</v>
      </c>
      <c r="B519" s="259"/>
      <c r="D519" s="237" t="str">
        <f>IF(LEN(Q405)&lt;=265,"",RIGHT(Q405,LEN(Q405)-SEARCH(" ",Q405,255)))</f>
        <v/>
      </c>
      <c r="E519" s="238"/>
      <c r="F519" s="238"/>
      <c r="G519" s="238"/>
      <c r="H519" s="238"/>
      <c r="I519" s="238"/>
      <c r="J519" s="238"/>
      <c r="K519" s="238"/>
      <c r="L519" s="238"/>
      <c r="M519" s="260"/>
    </row>
    <row r="520" spans="1:13" ht="14.1" customHeight="1" x14ac:dyDescent="0.3">
      <c r="A520" s="3">
        <v>58</v>
      </c>
      <c r="B520" s="259"/>
      <c r="D520" s="235" t="str">
        <f>IF(Q407="","",IF(LEN(Q407)&lt;=135,Q407,IF(LEN(Q407)&lt;=260,LEFT(Q407,SEARCH(" ",Q407,125)),LEFT(Q407,SEARCH(" ",Q407,130)))))</f>
        <v/>
      </c>
      <c r="E520" s="236"/>
      <c r="F520" s="236"/>
      <c r="G520" s="236"/>
      <c r="H520" s="236"/>
      <c r="I520" s="236"/>
      <c r="J520" s="236"/>
      <c r="K520" s="236"/>
      <c r="L520" s="236"/>
      <c r="M520" s="260"/>
    </row>
    <row r="521" spans="1:13" ht="14.1" customHeight="1" x14ac:dyDescent="0.3">
      <c r="A521" s="3">
        <v>59</v>
      </c>
      <c r="B521" s="259"/>
      <c r="D521" s="237" t="str">
        <f>IF(LEN(Q407)&lt;=135,"",IF(LEN(Q407)&lt;=260,RIGHT(Q407,LEN(Q407)-SEARCH(" ",Q407,125)),MID(Q407,SEARCH(" ",Q407,130),IF(LEN(Q407)&lt;=265,LEN(Q407),SEARCH(" ",Q407,255)-SEARCH(" ",Q407,130)))))</f>
        <v/>
      </c>
      <c r="E521" s="238"/>
      <c r="F521" s="238"/>
      <c r="G521" s="238"/>
      <c r="H521" s="238"/>
      <c r="I521" s="238"/>
      <c r="J521" s="238"/>
      <c r="K521" s="238"/>
      <c r="L521" s="238"/>
      <c r="M521" s="260"/>
    </row>
    <row r="522" spans="1:13" ht="14.1" customHeight="1" x14ac:dyDescent="0.3">
      <c r="A522" s="3">
        <v>60</v>
      </c>
      <c r="B522" s="259"/>
      <c r="D522" s="237" t="str">
        <f>IF(LEN(Q407)&lt;=265,"",RIGHT(Q407,LEN(Q407)-SEARCH(" ",Q407,255)))</f>
        <v/>
      </c>
      <c r="E522" s="238"/>
      <c r="F522" s="238"/>
      <c r="G522" s="238"/>
      <c r="H522" s="238"/>
      <c r="I522" s="238"/>
      <c r="J522" s="238"/>
      <c r="K522" s="238"/>
      <c r="L522" s="238"/>
      <c r="M522" s="260"/>
    </row>
    <row r="523" spans="1:13" ht="14.1" customHeight="1" x14ac:dyDescent="0.3">
      <c r="A523" s="3">
        <v>61</v>
      </c>
      <c r="B523" s="259"/>
      <c r="M523" s="260"/>
    </row>
    <row r="524" spans="1:13" ht="14.1" customHeight="1" x14ac:dyDescent="0.3">
      <c r="A524" s="3">
        <v>62</v>
      </c>
      <c r="B524" s="259"/>
      <c r="M524" s="260"/>
    </row>
    <row r="525" spans="1:13" ht="14.1" customHeight="1" x14ac:dyDescent="0.3">
      <c r="A525" s="3">
        <v>63</v>
      </c>
      <c r="B525" s="259"/>
      <c r="M525" s="260"/>
    </row>
    <row r="526" spans="1:13" ht="14.1" customHeight="1" x14ac:dyDescent="0.3">
      <c r="A526" s="3">
        <v>64</v>
      </c>
      <c r="B526" s="261"/>
      <c r="C526" s="262"/>
      <c r="D526" s="262"/>
      <c r="E526" s="262"/>
      <c r="F526" s="262"/>
      <c r="G526" s="262"/>
      <c r="H526" s="262"/>
      <c r="I526" s="262"/>
      <c r="J526" s="262"/>
      <c r="K526" s="262"/>
      <c r="L526" s="262"/>
      <c r="M526" s="263"/>
    </row>
    <row r="527" spans="1:13" ht="14.1" customHeight="1" x14ac:dyDescent="0.3">
      <c r="A527" s="3">
        <v>65</v>
      </c>
      <c r="C527" s="2" t="s">
        <v>8</v>
      </c>
      <c r="D527" s="437" t="str">
        <f>IF($P$7="","",$P$7)</f>
        <v/>
      </c>
      <c r="L527" s="2" t="s">
        <v>9</v>
      </c>
      <c r="M527" s="62" t="str">
        <f>IF($X$7="","",$X$7)</f>
        <v>Eugene Mah</v>
      </c>
    </row>
    <row r="528" spans="1:13" ht="14.1" customHeight="1" x14ac:dyDescent="0.3">
      <c r="A528" s="3">
        <v>66</v>
      </c>
      <c r="C528" s="2" t="s">
        <v>74</v>
      </c>
      <c r="D528" s="63" t="str">
        <f>IF($R$14="","",$R$14&amp;" Tube "&amp;$W$48)</f>
        <v/>
      </c>
      <c r="L528" s="2" t="s">
        <v>23</v>
      </c>
      <c r="M528" s="64" t="str">
        <f>IF($R$13="","",$R$13)</f>
        <v/>
      </c>
    </row>
    <row r="529" spans="1:13" ht="14.1" customHeight="1" x14ac:dyDescent="0.3">
      <c r="A529" s="3">
        <v>1</v>
      </c>
      <c r="M529" s="65" t="str">
        <f>$H$2</f>
        <v>Medical University of South Carolina</v>
      </c>
    </row>
    <row r="530" spans="1:13" ht="14.1" customHeight="1" x14ac:dyDescent="0.3">
      <c r="A530" s="3">
        <v>2</v>
      </c>
      <c r="H530" s="46" t="s">
        <v>368</v>
      </c>
      <c r="M530" s="24" t="str">
        <f>$H$5</f>
        <v>Fluoroscopy System Compliance Inspection</v>
      </c>
    </row>
    <row r="531" spans="1:13" ht="14.1" customHeight="1" x14ac:dyDescent="0.3">
      <c r="A531" s="3">
        <v>3</v>
      </c>
      <c r="B531" s="256"/>
      <c r="C531" s="257"/>
      <c r="D531" s="257"/>
      <c r="E531" s="257"/>
      <c r="F531" s="257"/>
      <c r="G531" s="257"/>
      <c r="H531" s="257"/>
      <c r="I531" s="257"/>
      <c r="J531" s="257"/>
      <c r="K531" s="257"/>
      <c r="L531" s="257"/>
      <c r="M531" s="258"/>
    </row>
    <row r="532" spans="1:13" ht="14.1" customHeight="1" x14ac:dyDescent="0.3">
      <c r="A532" s="3">
        <v>4</v>
      </c>
      <c r="B532" s="259"/>
      <c r="D532" s="431" t="str">
        <f>IF(Q413="","",IF(LEN(Q413)&lt;=135,Q413,IF(LEN(Q413)&lt;=260,LEFT(Q413,SEARCH(" ",Q413,125)),LEFT(Q413,SEARCH(" ",Q413,130)))))</f>
        <v/>
      </c>
      <c r="E532" s="432"/>
      <c r="F532" s="432"/>
      <c r="G532" s="432"/>
      <c r="H532" s="432"/>
      <c r="I532" s="432"/>
      <c r="J532" s="432"/>
      <c r="K532" s="432"/>
      <c r="L532" s="432"/>
      <c r="M532" s="260"/>
    </row>
    <row r="533" spans="1:13" ht="14.1" customHeight="1" x14ac:dyDescent="0.3">
      <c r="A533" s="3">
        <v>5</v>
      </c>
      <c r="B533" s="259"/>
      <c r="D533" s="433" t="str">
        <f>IF(LEN(Q413)&lt;=135,"",IF(LEN(Q413)&lt;=260,RIGHT(Q413,LEN(Q413)-SEARCH(" ",Q413,125)),MID(Q413,SEARCH(" ",Q413,130),IF(LEN(Q413)&lt;=265,LEN(Q413),SEARCH(" ",Q413,255)-SEARCH(" ",Q413,130)))))</f>
        <v/>
      </c>
      <c r="E533" s="434"/>
      <c r="F533" s="434"/>
      <c r="G533" s="434"/>
      <c r="H533" s="434"/>
      <c r="I533" s="434"/>
      <c r="J533" s="434"/>
      <c r="K533" s="434"/>
      <c r="L533" s="434"/>
      <c r="M533" s="260"/>
    </row>
    <row r="534" spans="1:13" ht="14.1" customHeight="1" x14ac:dyDescent="0.3">
      <c r="A534" s="3">
        <v>6</v>
      </c>
      <c r="B534" s="259"/>
      <c r="D534" s="433" t="str">
        <f>IF(LEN(Q413)&lt;=265,"",RIGHT(Q413,LEN(Q413)-SEARCH(" ",Q413,255)))</f>
        <v/>
      </c>
      <c r="E534" s="434"/>
      <c r="F534" s="434"/>
      <c r="G534" s="434"/>
      <c r="H534" s="434"/>
      <c r="I534" s="434"/>
      <c r="J534" s="434"/>
      <c r="K534" s="434"/>
      <c r="L534" s="434"/>
      <c r="M534" s="260"/>
    </row>
    <row r="535" spans="1:13" ht="14.1" customHeight="1" x14ac:dyDescent="0.3">
      <c r="A535" s="3">
        <v>7</v>
      </c>
      <c r="B535" s="259"/>
      <c r="D535" s="433" t="str">
        <f>IF(Q415="","",IF(LEN(Q415)&lt;=135,Q415,IF(LEN(Q415)&lt;=260,LEFT(Q415,SEARCH(" ",Q415,125)),LEFT(Q415,SEARCH(" ",Q415,130)))))</f>
        <v/>
      </c>
      <c r="E535" s="434"/>
      <c r="F535" s="434"/>
      <c r="G535" s="434"/>
      <c r="H535" s="434"/>
      <c r="I535" s="434"/>
      <c r="J535" s="434"/>
      <c r="K535" s="434"/>
      <c r="L535" s="434"/>
      <c r="M535" s="260"/>
    </row>
    <row r="536" spans="1:13" ht="14.1" customHeight="1" x14ac:dyDescent="0.3">
      <c r="A536" s="3">
        <v>8</v>
      </c>
      <c r="B536" s="259"/>
      <c r="D536" s="433" t="str">
        <f>IF(LEN(Q415)&lt;=135,"",IF(LEN(Q415)&lt;=260,RIGHT(Q415,LEN(Q415)-SEARCH(" ",Q415,125)),MID(Q415,SEARCH(" ",Q415,130),IF(LEN(Q415)&lt;=265,LEN(Q415),SEARCH(" ",Q415,255)-SEARCH(" ",Q415,130)))))</f>
        <v/>
      </c>
      <c r="E536" s="434"/>
      <c r="F536" s="434"/>
      <c r="G536" s="434"/>
      <c r="H536" s="434"/>
      <c r="I536" s="434"/>
      <c r="J536" s="434"/>
      <c r="K536" s="434"/>
      <c r="L536" s="434"/>
      <c r="M536" s="260"/>
    </row>
    <row r="537" spans="1:13" ht="14.1" customHeight="1" x14ac:dyDescent="0.3">
      <c r="A537" s="3">
        <v>9</v>
      </c>
      <c r="B537" s="259"/>
      <c r="D537" s="433" t="str">
        <f>IF(LEN(Q415)&lt;=265,"",RIGHT(Q415,LEN(Q415)-SEARCH(" ",Q415,255)))</f>
        <v/>
      </c>
      <c r="E537" s="434"/>
      <c r="F537" s="434"/>
      <c r="G537" s="434"/>
      <c r="H537" s="434"/>
      <c r="I537" s="434"/>
      <c r="J537" s="434"/>
      <c r="K537" s="434"/>
      <c r="L537" s="434"/>
      <c r="M537" s="260"/>
    </row>
    <row r="538" spans="1:13" ht="14.1" customHeight="1" x14ac:dyDescent="0.3">
      <c r="A538" s="3">
        <v>10</v>
      </c>
      <c r="B538" s="259"/>
      <c r="D538" s="433" t="str">
        <f>IF(Q417="","",IF(LEN(Q417)&lt;=135,Q417,IF(LEN(Q417)&lt;=260,LEFT(Q417,SEARCH(" ",Q417,125)),LEFT(Q417,SEARCH(" ",Q417,130)))))</f>
        <v/>
      </c>
      <c r="E538" s="434"/>
      <c r="F538" s="434"/>
      <c r="G538" s="434"/>
      <c r="H538" s="434"/>
      <c r="I538" s="434"/>
      <c r="J538" s="434"/>
      <c r="K538" s="434"/>
      <c r="L538" s="434"/>
      <c r="M538" s="260"/>
    </row>
    <row r="539" spans="1:13" ht="14.1" customHeight="1" x14ac:dyDescent="0.3">
      <c r="A539" s="3">
        <v>11</v>
      </c>
      <c r="B539" s="259"/>
      <c r="D539" s="433" t="str">
        <f>IF(LEN(Q417)&lt;=135,"",IF(LEN(Q417)&lt;=260,RIGHT(Q417,LEN(Q417)-SEARCH(" ",Q417,125)),MID(Q417,SEARCH(" ",Q417,130),IF(LEN(Q417)&lt;=265,LEN(Q417),SEARCH(" ",Q417,255)-SEARCH(" ",Q417,130)))))</f>
        <v/>
      </c>
      <c r="E539" s="434"/>
      <c r="F539" s="434"/>
      <c r="G539" s="434"/>
      <c r="H539" s="434"/>
      <c r="I539" s="434"/>
      <c r="J539" s="434"/>
      <c r="K539" s="434"/>
      <c r="L539" s="434"/>
      <c r="M539" s="260"/>
    </row>
    <row r="540" spans="1:13" ht="14.1" customHeight="1" x14ac:dyDescent="0.3">
      <c r="A540" s="3">
        <v>12</v>
      </c>
      <c r="B540" s="259"/>
      <c r="D540" s="433" t="str">
        <f>IF(LEN(Q417)&lt;=265,"",RIGHT(Q417,LEN(Q417)-SEARCH(" ",Q417,255)))</f>
        <v/>
      </c>
      <c r="E540" s="434"/>
      <c r="F540" s="434"/>
      <c r="G540" s="434"/>
      <c r="H540" s="434"/>
      <c r="I540" s="434"/>
      <c r="J540" s="434"/>
      <c r="K540" s="434"/>
      <c r="L540" s="434"/>
      <c r="M540" s="260"/>
    </row>
    <row r="541" spans="1:13" ht="14.1" customHeight="1" x14ac:dyDescent="0.3">
      <c r="A541" s="3">
        <v>13</v>
      </c>
      <c r="B541" s="259"/>
      <c r="D541" s="433" t="str">
        <f>IF(Q419="","",IF(LEN(Q419)&lt;=135,Q419,IF(LEN(Q419)&lt;=260,LEFT(Q419,SEARCH(" ",Q419,125)),LEFT(Q419,SEARCH(" ",Q419,130)))))</f>
        <v/>
      </c>
      <c r="E541" s="434"/>
      <c r="F541" s="434"/>
      <c r="G541" s="434"/>
      <c r="H541" s="434"/>
      <c r="I541" s="434"/>
      <c r="J541" s="434"/>
      <c r="K541" s="434"/>
      <c r="L541" s="434"/>
      <c r="M541" s="260"/>
    </row>
    <row r="542" spans="1:13" ht="14.1" customHeight="1" x14ac:dyDescent="0.3">
      <c r="A542" s="3">
        <v>14</v>
      </c>
      <c r="B542" s="259"/>
      <c r="D542" s="433" t="str">
        <f>IF(LEN(Q419)&lt;=135,"",IF(LEN(Q419)&lt;=260,RIGHT(Q419,LEN(Q419)-SEARCH(" ",Q419,125)),MID(Q419,SEARCH(" ",Q419,130),IF(LEN(Q419)&lt;=265,LEN(Q419),SEARCH(" ",Q419,255)-SEARCH(" ",Q419,130)))))</f>
        <v/>
      </c>
      <c r="E542" s="434"/>
      <c r="F542" s="434"/>
      <c r="G542" s="434"/>
      <c r="H542" s="434"/>
      <c r="I542" s="434"/>
      <c r="J542" s="434"/>
      <c r="K542" s="434"/>
      <c r="L542" s="434"/>
      <c r="M542" s="260"/>
    </row>
    <row r="543" spans="1:13" ht="14.1" customHeight="1" x14ac:dyDescent="0.3">
      <c r="A543" s="3">
        <v>15</v>
      </c>
      <c r="B543" s="259"/>
      <c r="D543" s="433" t="str">
        <f>IF(LEN(Q419)&lt;=265,"",RIGHT(Q419,LEN(Q419)-SEARCH(" ",Q419,255)))</f>
        <v/>
      </c>
      <c r="E543" s="434"/>
      <c r="F543" s="434"/>
      <c r="G543" s="434"/>
      <c r="H543" s="434"/>
      <c r="I543" s="434"/>
      <c r="J543" s="434"/>
      <c r="K543" s="434"/>
      <c r="L543" s="434"/>
      <c r="M543" s="260"/>
    </row>
    <row r="544" spans="1:13" ht="14.1" customHeight="1" x14ac:dyDescent="0.3">
      <c r="A544" s="3">
        <v>16</v>
      </c>
      <c r="B544" s="259"/>
      <c r="D544" s="433" t="str">
        <f>IF(Q421="","",IF(LEN(Q421)&lt;=135,Q421,IF(LEN(Q421)&lt;=260,LEFT(Q421,SEARCH(" ",Q421,125)),LEFT(Q421,SEARCH(" ",Q421,130)))))</f>
        <v/>
      </c>
      <c r="E544" s="434"/>
      <c r="F544" s="434"/>
      <c r="G544" s="434"/>
      <c r="H544" s="434"/>
      <c r="I544" s="434"/>
      <c r="J544" s="434"/>
      <c r="K544" s="434"/>
      <c r="L544" s="434"/>
      <c r="M544" s="260"/>
    </row>
    <row r="545" spans="1:13" ht="14.1" customHeight="1" x14ac:dyDescent="0.3">
      <c r="A545" s="3">
        <v>17</v>
      </c>
      <c r="B545" s="259"/>
      <c r="D545" s="433" t="str">
        <f>IF(LEN(Q421)&lt;=135,"",IF(LEN(Q421)&lt;=260,RIGHT(Q421,LEN(Q421)-SEARCH(" ",Q421,125)),MID(Q421,SEARCH(" ",Q421,130),IF(LEN(Q421)&lt;=265,LEN(Q421),SEARCH(" ",Q421,255)-SEARCH(" ",Q421,130)))))</f>
        <v/>
      </c>
      <c r="E545" s="434"/>
      <c r="F545" s="434"/>
      <c r="G545" s="434"/>
      <c r="H545" s="434"/>
      <c r="I545" s="434"/>
      <c r="J545" s="434"/>
      <c r="K545" s="434"/>
      <c r="L545" s="434"/>
      <c r="M545" s="260"/>
    </row>
    <row r="546" spans="1:13" ht="14.1" customHeight="1" x14ac:dyDescent="0.3">
      <c r="A546" s="3">
        <v>18</v>
      </c>
      <c r="B546" s="259"/>
      <c r="D546" s="433" t="str">
        <f>IF(LEN(Q421)&lt;=265,"",RIGHT(Q421,LEN(Q421)-SEARCH(" ",Q421,255)))</f>
        <v/>
      </c>
      <c r="E546" s="434"/>
      <c r="F546" s="434"/>
      <c r="G546" s="434"/>
      <c r="H546" s="434"/>
      <c r="I546" s="434"/>
      <c r="J546" s="434"/>
      <c r="K546" s="434"/>
      <c r="L546" s="434"/>
      <c r="M546" s="260"/>
    </row>
    <row r="547" spans="1:13" ht="14.1" customHeight="1" x14ac:dyDescent="0.3">
      <c r="A547" s="3">
        <v>19</v>
      </c>
      <c r="B547" s="259"/>
      <c r="D547" s="433" t="str">
        <f>IF(Q423="","",IF(LEN(Q423)&lt;=135,Q423,IF(LEN(Q423)&lt;=260,LEFT(Q423,SEARCH(" ",Q423,125)),LEFT(Q423,SEARCH(" ",Q423,130)))))</f>
        <v/>
      </c>
      <c r="E547" s="434"/>
      <c r="F547" s="434"/>
      <c r="G547" s="434"/>
      <c r="H547" s="434"/>
      <c r="I547" s="434"/>
      <c r="J547" s="434"/>
      <c r="K547" s="434"/>
      <c r="L547" s="434"/>
      <c r="M547" s="260"/>
    </row>
    <row r="548" spans="1:13" ht="14.1" customHeight="1" x14ac:dyDescent="0.3">
      <c r="A548" s="3">
        <v>20</v>
      </c>
      <c r="B548" s="259"/>
      <c r="D548" s="433" t="str">
        <f>IF(LEN(Q423)&lt;=135,"",IF(LEN(Q423)&lt;=260,RIGHT(Q423,LEN(Q423)-SEARCH(" ",Q423,125)),MID(Q423,SEARCH(" ",Q423,130),IF(LEN(Q423)&lt;=265,LEN(Q423),SEARCH(" ",Q423,255)-SEARCH(" ",Q423,130)))))</f>
        <v/>
      </c>
      <c r="E548" s="434"/>
      <c r="F548" s="434"/>
      <c r="G548" s="434"/>
      <c r="H548" s="434"/>
      <c r="I548" s="434"/>
      <c r="J548" s="434"/>
      <c r="K548" s="434"/>
      <c r="L548" s="434"/>
      <c r="M548" s="260"/>
    </row>
    <row r="549" spans="1:13" ht="14.1" customHeight="1" x14ac:dyDescent="0.3">
      <c r="A549" s="3">
        <v>21</v>
      </c>
      <c r="B549" s="259"/>
      <c r="D549" s="433" t="str">
        <f>IF(LEN(Q423)&lt;=265,"",RIGHT(Q423,LEN(Q423)-SEARCH(" ",Q423,255)))</f>
        <v/>
      </c>
      <c r="E549" s="434"/>
      <c r="F549" s="434"/>
      <c r="G549" s="434"/>
      <c r="H549" s="434"/>
      <c r="I549" s="434"/>
      <c r="J549" s="434"/>
      <c r="K549" s="434"/>
      <c r="L549" s="434"/>
      <c r="M549" s="260"/>
    </row>
    <row r="550" spans="1:13" ht="14.1" customHeight="1" x14ac:dyDescent="0.3">
      <c r="A550" s="3">
        <v>22</v>
      </c>
      <c r="B550" s="259"/>
      <c r="D550" s="433" t="str">
        <f>IF(Q425="","",IF(LEN(Q425)&lt;=135,Q425,IF(LEN(Q425)&lt;=260,LEFT(Q425,SEARCH(" ",Q425,125)),LEFT(Q425,SEARCH(" ",Q425,130)))))</f>
        <v/>
      </c>
      <c r="E550" s="434"/>
      <c r="F550" s="434"/>
      <c r="G550" s="434"/>
      <c r="H550" s="434"/>
      <c r="I550" s="434"/>
      <c r="J550" s="434"/>
      <c r="K550" s="434"/>
      <c r="L550" s="434"/>
      <c r="M550" s="260"/>
    </row>
    <row r="551" spans="1:13" ht="14.1" customHeight="1" x14ac:dyDescent="0.3">
      <c r="A551" s="3">
        <v>23</v>
      </c>
      <c r="B551" s="259"/>
      <c r="D551" s="433" t="str">
        <f>IF(LEN(Q425)&lt;=135,"",IF(LEN(Q425)&lt;=260,RIGHT(Q425,LEN(Q425)-SEARCH(" ",Q425,125)),MID(Q425,SEARCH(" ",Q425,130),IF(LEN(Q425)&lt;=265,LEN(Q425),SEARCH(" ",Q425,255)-SEARCH(" ",Q425,130)))))</f>
        <v/>
      </c>
      <c r="E551" s="434"/>
      <c r="F551" s="434"/>
      <c r="G551" s="434"/>
      <c r="H551" s="434"/>
      <c r="I551" s="434"/>
      <c r="J551" s="434"/>
      <c r="K551" s="434"/>
      <c r="L551" s="434"/>
      <c r="M551" s="260"/>
    </row>
    <row r="552" spans="1:13" ht="14.1" customHeight="1" x14ac:dyDescent="0.3">
      <c r="A552" s="3">
        <v>24</v>
      </c>
      <c r="B552" s="259"/>
      <c r="D552" s="433" t="str">
        <f>IF(LEN(Q425)&lt;=265,"",RIGHT(Q425,LEN(Q425)-SEARCH(" ",Q425,255)))</f>
        <v/>
      </c>
      <c r="E552" s="434"/>
      <c r="F552" s="434"/>
      <c r="G552" s="434"/>
      <c r="H552" s="434"/>
      <c r="I552" s="434"/>
      <c r="J552" s="434"/>
      <c r="K552" s="434"/>
      <c r="L552" s="434"/>
      <c r="M552" s="260"/>
    </row>
    <row r="553" spans="1:13" ht="14.1" customHeight="1" x14ac:dyDescent="0.3">
      <c r="A553" s="3">
        <v>25</v>
      </c>
      <c r="B553" s="259"/>
      <c r="D553" s="433" t="str">
        <f>IF(Q427="","",IF(LEN(Q427)&lt;=135,Q427,IF(LEN(Q427)&lt;=260,LEFT(Q427,SEARCH(" ",Q427,125)),LEFT(Q427,SEARCH(" ",Q427,130)))))</f>
        <v/>
      </c>
      <c r="E553" s="434"/>
      <c r="F553" s="434"/>
      <c r="G553" s="434"/>
      <c r="H553" s="434"/>
      <c r="I553" s="434"/>
      <c r="J553" s="434"/>
      <c r="K553" s="434"/>
      <c r="L553" s="434"/>
      <c r="M553" s="260"/>
    </row>
    <row r="554" spans="1:13" ht="14.1" customHeight="1" x14ac:dyDescent="0.3">
      <c r="A554" s="3">
        <v>26</v>
      </c>
      <c r="B554" s="259"/>
      <c r="D554" s="433" t="str">
        <f>IF(LEN(Q427)&lt;=135,"",IF(LEN(Q427)&lt;=260,RIGHT(Q427,LEN(Q427)-SEARCH(" ",Q427,125)),MID(Q427,SEARCH(" ",Q427,130),IF(LEN(Q427)&lt;=265,LEN(Q427),SEARCH(" ",Q427,255)-SEARCH(" ",Q427,130)))))</f>
        <v/>
      </c>
      <c r="E554" s="434"/>
      <c r="F554" s="434"/>
      <c r="G554" s="434"/>
      <c r="H554" s="434"/>
      <c r="I554" s="434"/>
      <c r="J554" s="434"/>
      <c r="K554" s="434"/>
      <c r="L554" s="434"/>
      <c r="M554" s="260"/>
    </row>
    <row r="555" spans="1:13" ht="14.1" customHeight="1" x14ac:dyDescent="0.3">
      <c r="A555" s="3">
        <v>27</v>
      </c>
      <c r="B555" s="259"/>
      <c r="D555" s="433" t="str">
        <f>IF(LEN(Q427)&lt;=265,"",RIGHT(Q427,LEN(Q427)-SEARCH(" ",Q427,255)))</f>
        <v/>
      </c>
      <c r="E555" s="434"/>
      <c r="F555" s="434"/>
      <c r="G555" s="434"/>
      <c r="H555" s="434"/>
      <c r="I555" s="434"/>
      <c r="J555" s="434"/>
      <c r="K555" s="434"/>
      <c r="L555" s="434"/>
      <c r="M555" s="260"/>
    </row>
    <row r="556" spans="1:13" ht="14.1" customHeight="1" x14ac:dyDescent="0.3">
      <c r="A556" s="3">
        <v>28</v>
      </c>
      <c r="B556" s="259"/>
      <c r="D556" s="433" t="str">
        <f>IF(Q429="","",IF(LEN(Q429)&lt;=135,Q429,IF(LEN(Q429)&lt;=260,LEFT(Q429,SEARCH(" ",Q429,125)),LEFT(Q429,SEARCH(" ",Q429,130)))))</f>
        <v/>
      </c>
      <c r="E556" s="434"/>
      <c r="F556" s="434"/>
      <c r="G556" s="434"/>
      <c r="H556" s="434"/>
      <c r="I556" s="434"/>
      <c r="J556" s="434"/>
      <c r="K556" s="434"/>
      <c r="L556" s="434"/>
      <c r="M556" s="260"/>
    </row>
    <row r="557" spans="1:13" ht="14.1" customHeight="1" x14ac:dyDescent="0.3">
      <c r="A557" s="3">
        <v>29</v>
      </c>
      <c r="B557" s="259"/>
      <c r="D557" s="433" t="str">
        <f>IF(LEN(Q429)&lt;=135,"",IF(LEN(Q429)&lt;=260,RIGHT(Q429,LEN(Q429)-SEARCH(" ",Q429,125)),MID(Q429,SEARCH(" ",Q429,130),IF(LEN(Q429)&lt;=265,LEN(Q429),SEARCH(" ",Q429,255)-SEARCH(" ",Q429,130)))))</f>
        <v/>
      </c>
      <c r="E557" s="434"/>
      <c r="F557" s="434"/>
      <c r="G557" s="434"/>
      <c r="H557" s="434"/>
      <c r="I557" s="434"/>
      <c r="J557" s="434"/>
      <c r="K557" s="434"/>
      <c r="L557" s="434"/>
      <c r="M557" s="260"/>
    </row>
    <row r="558" spans="1:13" ht="14.1" customHeight="1" x14ac:dyDescent="0.3">
      <c r="A558" s="3">
        <v>30</v>
      </c>
      <c r="B558" s="259"/>
      <c r="D558" s="433" t="str">
        <f>IF(LEN(Q429)&lt;=265,"",RIGHT(Q429,LEN(Q429)-SEARCH(" ",Q429,255)))</f>
        <v/>
      </c>
      <c r="E558" s="434"/>
      <c r="F558" s="434"/>
      <c r="G558" s="434"/>
      <c r="H558" s="434"/>
      <c r="I558" s="434"/>
      <c r="J558" s="434"/>
      <c r="K558" s="434"/>
      <c r="L558" s="434"/>
      <c r="M558" s="260"/>
    </row>
    <row r="559" spans="1:13" ht="14.1" customHeight="1" x14ac:dyDescent="0.3">
      <c r="A559" s="3">
        <v>31</v>
      </c>
      <c r="B559" s="259"/>
      <c r="D559" s="433" t="str">
        <f>IF(Q431="","",IF(LEN(Q431)&lt;=135,Q431,IF(LEN(Q431)&lt;=260,LEFT(Q431,SEARCH(" ",Q431,125)),LEFT(Q431,SEARCH(" ",Q431,130)))))</f>
        <v/>
      </c>
      <c r="E559" s="434"/>
      <c r="F559" s="434"/>
      <c r="G559" s="434"/>
      <c r="H559" s="434"/>
      <c r="I559" s="434"/>
      <c r="J559" s="434"/>
      <c r="K559" s="434"/>
      <c r="L559" s="434"/>
      <c r="M559" s="260"/>
    </row>
    <row r="560" spans="1:13" ht="14.1" customHeight="1" x14ac:dyDescent="0.3">
      <c r="A560" s="3">
        <v>32</v>
      </c>
      <c r="B560" s="259"/>
      <c r="D560" s="433" t="str">
        <f>IF(LEN(Q431)&lt;=135,"",IF(LEN(Q431)&lt;=260,RIGHT(Q431,LEN(Q431)-SEARCH(" ",Q431,125)),MID(Q431,SEARCH(" ",Q431,130),IF(LEN(Q431)&lt;=265,LEN(Q431),SEARCH(" ",Q431,255)-SEARCH(" ",Q431,130)))))</f>
        <v/>
      </c>
      <c r="E560" s="434"/>
      <c r="F560" s="434"/>
      <c r="G560" s="434"/>
      <c r="H560" s="434"/>
      <c r="I560" s="434"/>
      <c r="J560" s="434"/>
      <c r="K560" s="434"/>
      <c r="L560" s="434"/>
      <c r="M560" s="260"/>
    </row>
    <row r="561" spans="1:13" ht="14.1" customHeight="1" x14ac:dyDescent="0.3">
      <c r="A561" s="3">
        <v>33</v>
      </c>
      <c r="B561" s="259"/>
      <c r="D561" s="433" t="str">
        <f>IF(LEN(Q431)&lt;=265,"",RIGHT(Q431,LEN(Q431)-SEARCH(" ",Q431,255)))</f>
        <v/>
      </c>
      <c r="E561" s="434"/>
      <c r="F561" s="434"/>
      <c r="G561" s="434"/>
      <c r="H561" s="434"/>
      <c r="I561" s="434"/>
      <c r="J561" s="434"/>
      <c r="K561" s="434"/>
      <c r="L561" s="434"/>
      <c r="M561" s="260"/>
    </row>
    <row r="562" spans="1:13" ht="14.1" customHeight="1" x14ac:dyDescent="0.3">
      <c r="A562" s="3">
        <v>34</v>
      </c>
      <c r="B562" s="259"/>
      <c r="D562" s="433" t="str">
        <f>IF(Q433="","",IF(LEN(Q433)&lt;=135,Q433,IF(LEN(Q433)&lt;=260,LEFT(Q433,SEARCH(" ",Q433,125)),LEFT(Q433,SEARCH(" ",Q433,130)))))</f>
        <v/>
      </c>
      <c r="E562" s="434"/>
      <c r="F562" s="434"/>
      <c r="G562" s="434"/>
      <c r="H562" s="434"/>
      <c r="I562" s="434"/>
      <c r="J562" s="434"/>
      <c r="K562" s="434"/>
      <c r="L562" s="434"/>
      <c r="M562" s="260"/>
    </row>
    <row r="563" spans="1:13" ht="14.1" customHeight="1" x14ac:dyDescent="0.3">
      <c r="A563" s="3">
        <v>35</v>
      </c>
      <c r="B563" s="259"/>
      <c r="D563" s="433" t="str">
        <f>IF(LEN(Q433)&lt;=135,"",IF(LEN(Q433)&lt;=260,RIGHT(Q433,LEN(Q433)-SEARCH(" ",Q433,125)),MID(Q433,SEARCH(" ",Q433,130),IF(LEN(Q433)&lt;=265,LEN(Q433),SEARCH(" ",Q433,255)-SEARCH(" ",Q433,130)))))</f>
        <v/>
      </c>
      <c r="E563" s="434"/>
      <c r="F563" s="434"/>
      <c r="G563" s="434"/>
      <c r="H563" s="434"/>
      <c r="I563" s="434"/>
      <c r="J563" s="434"/>
      <c r="K563" s="434"/>
      <c r="L563" s="434"/>
      <c r="M563" s="260"/>
    </row>
    <row r="564" spans="1:13" ht="14.1" customHeight="1" x14ac:dyDescent="0.3">
      <c r="A564" s="3">
        <v>36</v>
      </c>
      <c r="B564" s="259"/>
      <c r="D564" s="433" t="str">
        <f>IF(LEN(Q433)&lt;=265,"",RIGHT(Q433,LEN(Q433)-SEARCH(" ",Q433,255)))</f>
        <v/>
      </c>
      <c r="E564" s="434"/>
      <c r="F564" s="434"/>
      <c r="G564" s="434"/>
      <c r="H564" s="434"/>
      <c r="I564" s="434"/>
      <c r="J564" s="434"/>
      <c r="K564" s="434"/>
      <c r="L564" s="434"/>
      <c r="M564" s="260"/>
    </row>
    <row r="565" spans="1:13" ht="14.1" customHeight="1" x14ac:dyDescent="0.3">
      <c r="A565" s="3">
        <v>37</v>
      </c>
      <c r="B565" s="259"/>
      <c r="D565" s="433" t="str">
        <f>IF(Q435="","",IF(LEN(Q435)&lt;=135,Q435,IF(LEN(Q435)&lt;=260,LEFT(Q435,SEARCH(" ",Q435,125)),LEFT(Q435,SEARCH(" ",Q435,130)))))</f>
        <v/>
      </c>
      <c r="E565" s="434"/>
      <c r="F565" s="434"/>
      <c r="G565" s="434"/>
      <c r="H565" s="434"/>
      <c r="I565" s="434"/>
      <c r="J565" s="434"/>
      <c r="K565" s="434"/>
      <c r="L565" s="434"/>
      <c r="M565" s="260"/>
    </row>
    <row r="566" spans="1:13" ht="14.1" customHeight="1" x14ac:dyDescent="0.3">
      <c r="A566" s="3">
        <v>38</v>
      </c>
      <c r="B566" s="259"/>
      <c r="D566" s="433" t="str">
        <f>IF(LEN(Q435)&lt;=135,"",IF(LEN(Q435)&lt;=260,RIGHT(Q435,LEN(Q435)-SEARCH(" ",Q435,125)),MID(Q435,SEARCH(" ",Q435,130),IF(LEN(Q435)&lt;=265,LEN(Q435),SEARCH(" ",Q435,255)-SEARCH(" ",Q435,130)))))</f>
        <v/>
      </c>
      <c r="E566" s="434"/>
      <c r="F566" s="434"/>
      <c r="G566" s="434"/>
      <c r="H566" s="434"/>
      <c r="I566" s="434"/>
      <c r="J566" s="434"/>
      <c r="K566" s="434"/>
      <c r="L566" s="434"/>
      <c r="M566" s="260"/>
    </row>
    <row r="567" spans="1:13" ht="14.1" customHeight="1" x14ac:dyDescent="0.3">
      <c r="A567" s="3">
        <v>39</v>
      </c>
      <c r="B567" s="259"/>
      <c r="D567" s="433" t="str">
        <f>IF(LEN(Q435)&lt;=265,"",RIGHT(Q435,LEN(Q435)-SEARCH(" ",Q435,255)))</f>
        <v/>
      </c>
      <c r="E567" s="434"/>
      <c r="F567" s="434"/>
      <c r="G567" s="434"/>
      <c r="H567" s="434"/>
      <c r="I567" s="434"/>
      <c r="J567" s="434"/>
      <c r="K567" s="434"/>
      <c r="L567" s="434"/>
      <c r="M567" s="260"/>
    </row>
    <row r="568" spans="1:13" ht="14.1" customHeight="1" x14ac:dyDescent="0.3">
      <c r="A568" s="3">
        <v>40</v>
      </c>
      <c r="B568" s="259"/>
      <c r="D568" s="433" t="str">
        <f>IF(Q437="","",IF(LEN(Q437)&lt;=135,Q437,IF(LEN(Q437)&lt;=260,LEFT(Q437,SEARCH(" ",Q437,125)),LEFT(Q437,SEARCH(" ",Q437,130)))))</f>
        <v/>
      </c>
      <c r="E568" s="434"/>
      <c r="F568" s="434"/>
      <c r="G568" s="434"/>
      <c r="H568" s="434"/>
      <c r="I568" s="434"/>
      <c r="J568" s="434"/>
      <c r="K568" s="434"/>
      <c r="L568" s="434"/>
      <c r="M568" s="260"/>
    </row>
    <row r="569" spans="1:13" ht="14.1" customHeight="1" x14ac:dyDescent="0.3">
      <c r="A569" s="3">
        <v>41</v>
      </c>
      <c r="B569" s="259"/>
      <c r="D569" s="433" t="str">
        <f>IF(LEN(Q437)&lt;=135,"",IF(LEN(Q437)&lt;=260,RIGHT(Q437,LEN(Q437)-SEARCH(" ",Q437,125)),MID(Q437,SEARCH(" ",Q437,130),IF(LEN(Q437)&lt;=265,LEN(Q437),SEARCH(" ",Q437,255)-SEARCH(" ",Q437,130)))))</f>
        <v/>
      </c>
      <c r="E569" s="434"/>
      <c r="F569" s="434"/>
      <c r="G569" s="434"/>
      <c r="H569" s="434"/>
      <c r="I569" s="434"/>
      <c r="J569" s="434"/>
      <c r="K569" s="434"/>
      <c r="L569" s="434"/>
      <c r="M569" s="260"/>
    </row>
    <row r="570" spans="1:13" ht="14.1" customHeight="1" x14ac:dyDescent="0.3">
      <c r="A570" s="3">
        <v>42</v>
      </c>
      <c r="B570" s="259"/>
      <c r="D570" s="433" t="str">
        <f>IF(LEN(Q437)&lt;=265,"",RIGHT(Q437,LEN(Q437)-SEARCH(" ",Q437,255)))</f>
        <v/>
      </c>
      <c r="E570" s="434"/>
      <c r="F570" s="434"/>
      <c r="G570" s="434"/>
      <c r="H570" s="434"/>
      <c r="I570" s="434"/>
      <c r="J570" s="434"/>
      <c r="K570" s="434"/>
      <c r="L570" s="434"/>
      <c r="M570" s="260"/>
    </row>
    <row r="571" spans="1:13" ht="14.1" customHeight="1" x14ac:dyDescent="0.3">
      <c r="A571" s="3">
        <v>43</v>
      </c>
      <c r="B571" s="259"/>
      <c r="D571" s="433" t="str">
        <f>IF(Q439="","",IF(LEN(Q439)&lt;=135,Q439,IF(LEN(Q439)&lt;=260,LEFT(Q439,SEARCH(" ",Q439,125)),LEFT(Q439,SEARCH(" ",Q439,130)))))</f>
        <v/>
      </c>
      <c r="E571" s="434"/>
      <c r="F571" s="434"/>
      <c r="G571" s="434"/>
      <c r="H571" s="434"/>
      <c r="I571" s="434"/>
      <c r="J571" s="434"/>
      <c r="K571" s="434"/>
      <c r="L571" s="434"/>
      <c r="M571" s="260"/>
    </row>
    <row r="572" spans="1:13" ht="14.1" customHeight="1" x14ac:dyDescent="0.3">
      <c r="A572" s="3">
        <v>44</v>
      </c>
      <c r="B572" s="259"/>
      <c r="D572" s="433" t="str">
        <f>IF(LEN(Q439)&lt;=135,"",IF(LEN(Q439)&lt;=260,RIGHT(Q439,LEN(Q439)-SEARCH(" ",Q439,125)),MID(Q439,SEARCH(" ",Q439,130),IF(LEN(Q439)&lt;=265,LEN(Q439),SEARCH(" ",Q439,255)-SEARCH(" ",Q439,130)))))</f>
        <v/>
      </c>
      <c r="E572" s="434"/>
      <c r="F572" s="434"/>
      <c r="G572" s="434"/>
      <c r="H572" s="434"/>
      <c r="I572" s="434"/>
      <c r="J572" s="434"/>
      <c r="K572" s="434"/>
      <c r="L572" s="434"/>
      <c r="M572" s="260"/>
    </row>
    <row r="573" spans="1:13" ht="14.1" customHeight="1" x14ac:dyDescent="0.3">
      <c r="A573" s="3">
        <v>45</v>
      </c>
      <c r="B573" s="259"/>
      <c r="D573" s="433" t="str">
        <f>IF(LEN(Q439)&lt;=265,"",RIGHT(Q439,LEN(Q439)-SEARCH(" ",Q439,255)))</f>
        <v/>
      </c>
      <c r="E573" s="434"/>
      <c r="F573" s="434"/>
      <c r="G573" s="434"/>
      <c r="H573" s="434"/>
      <c r="I573" s="434"/>
      <c r="J573" s="434"/>
      <c r="K573" s="434"/>
      <c r="L573" s="434"/>
      <c r="M573" s="260"/>
    </row>
    <row r="574" spans="1:13" ht="14.1" customHeight="1" x14ac:dyDescent="0.3">
      <c r="A574" s="3">
        <v>46</v>
      </c>
      <c r="B574" s="259"/>
      <c r="D574" s="433" t="str">
        <f>IF(Q441="","",IF(LEN(Q441)&lt;=135,Q441,IF(LEN(Q441)&lt;=260,LEFT(Q441,SEARCH(" ",Q441,125)),LEFT(Q441,SEARCH(" ",Q441,130)))))</f>
        <v/>
      </c>
      <c r="E574" s="434"/>
      <c r="F574" s="434"/>
      <c r="G574" s="434"/>
      <c r="H574" s="434"/>
      <c r="I574" s="434"/>
      <c r="J574" s="434"/>
      <c r="K574" s="434"/>
      <c r="L574" s="434"/>
      <c r="M574" s="260"/>
    </row>
    <row r="575" spans="1:13" ht="14.1" customHeight="1" x14ac:dyDescent="0.3">
      <c r="A575" s="3">
        <v>47</v>
      </c>
      <c r="B575" s="259"/>
      <c r="D575" s="433" t="str">
        <f>IF(LEN(Q441)&lt;=135,"",IF(LEN(Q441)&lt;=260,RIGHT(Q441,LEN(Q441)-SEARCH(" ",Q441,125)),MID(Q441,SEARCH(" ",Q441,130),IF(LEN(Q441)&lt;=265,LEN(Q441),SEARCH(" ",Q441,255)-SEARCH(" ",Q441,130)))))</f>
        <v/>
      </c>
      <c r="E575" s="434"/>
      <c r="F575" s="434"/>
      <c r="G575" s="434"/>
      <c r="H575" s="434"/>
      <c r="I575" s="434"/>
      <c r="J575" s="434"/>
      <c r="K575" s="434"/>
      <c r="L575" s="434"/>
      <c r="M575" s="260"/>
    </row>
    <row r="576" spans="1:13" ht="14.1" customHeight="1" x14ac:dyDescent="0.3">
      <c r="A576" s="3">
        <v>48</v>
      </c>
      <c r="B576" s="259"/>
      <c r="D576" s="433" t="str">
        <f>IF(LEN(Q441)&lt;=265,"",RIGHT(Q441,LEN(Q441)-SEARCH(" ",Q441,255)))</f>
        <v/>
      </c>
      <c r="E576" s="434"/>
      <c r="F576" s="434"/>
      <c r="G576" s="434"/>
      <c r="H576" s="434"/>
      <c r="I576" s="434"/>
      <c r="J576" s="434"/>
      <c r="K576" s="434"/>
      <c r="L576" s="434"/>
      <c r="M576" s="260"/>
    </row>
    <row r="577" spans="1:13" ht="14.1" customHeight="1" x14ac:dyDescent="0.3">
      <c r="A577" s="3">
        <v>49</v>
      </c>
      <c r="B577" s="259"/>
      <c r="D577" s="433" t="str">
        <f>IF(Q443="","",IF(LEN(Q443)&lt;=135,Q443,IF(LEN(Q443)&lt;=260,LEFT(Q443,SEARCH(" ",Q443,125)),LEFT(Q443,SEARCH(" ",Q443,130)))))</f>
        <v/>
      </c>
      <c r="E577" s="434"/>
      <c r="F577" s="434"/>
      <c r="G577" s="434"/>
      <c r="H577" s="434"/>
      <c r="I577" s="434"/>
      <c r="J577" s="434"/>
      <c r="K577" s="434"/>
      <c r="L577" s="434"/>
      <c r="M577" s="260"/>
    </row>
    <row r="578" spans="1:13" ht="14.1" customHeight="1" x14ac:dyDescent="0.3">
      <c r="A578" s="3">
        <v>50</v>
      </c>
      <c r="B578" s="259"/>
      <c r="D578" s="433" t="str">
        <f>IF(LEN(Q443)&lt;=135,"",IF(LEN(Q443)&lt;=260,RIGHT(Q443,LEN(Q443)-SEARCH(" ",Q443,125)),MID(Q443,SEARCH(" ",Q443,130),IF(LEN(Q443)&lt;=265,LEN(Q443),SEARCH(" ",Q443,255)-SEARCH(" ",Q443,130)))))</f>
        <v/>
      </c>
      <c r="E578" s="434"/>
      <c r="F578" s="434"/>
      <c r="G578" s="434"/>
      <c r="H578" s="434"/>
      <c r="I578" s="434"/>
      <c r="J578" s="434"/>
      <c r="K578" s="434"/>
      <c r="L578" s="434"/>
      <c r="M578" s="260"/>
    </row>
    <row r="579" spans="1:13" ht="14.1" customHeight="1" x14ac:dyDescent="0.3">
      <c r="A579" s="3">
        <v>51</v>
      </c>
      <c r="B579" s="259"/>
      <c r="D579" s="433" t="str">
        <f>IF(LEN(Q443)&lt;=265,"",RIGHT(Q443,LEN(Q443)-SEARCH(" ",Q443,255)))</f>
        <v/>
      </c>
      <c r="E579" s="434"/>
      <c r="F579" s="434"/>
      <c r="G579" s="434"/>
      <c r="H579" s="434"/>
      <c r="I579" s="434"/>
      <c r="J579" s="434"/>
      <c r="K579" s="434"/>
      <c r="L579" s="434"/>
      <c r="M579" s="260"/>
    </row>
    <row r="580" spans="1:13" ht="14.1" customHeight="1" x14ac:dyDescent="0.3">
      <c r="A580" s="3">
        <v>52</v>
      </c>
      <c r="B580" s="259"/>
      <c r="D580" s="433" t="str">
        <f>IF(Q445="","",IF(LEN(Q445)&lt;=135,Q445,IF(LEN(Q445)&lt;=260,LEFT(Q445,SEARCH(" ",Q445,125)),LEFT(Q445,SEARCH(" ",Q445,130)))))</f>
        <v/>
      </c>
      <c r="E580" s="434"/>
      <c r="F580" s="434"/>
      <c r="G580" s="434"/>
      <c r="H580" s="434"/>
      <c r="I580" s="434"/>
      <c r="J580" s="434"/>
      <c r="K580" s="434"/>
      <c r="L580" s="434"/>
      <c r="M580" s="260"/>
    </row>
    <row r="581" spans="1:13" ht="14.1" customHeight="1" x14ac:dyDescent="0.3">
      <c r="A581" s="3">
        <v>53</v>
      </c>
      <c r="B581" s="259"/>
      <c r="D581" s="433" t="str">
        <f>IF(LEN(Q445)&lt;=135,"",IF(LEN(Q445)&lt;=260,RIGHT(Q445,LEN(Q445)-SEARCH(" ",Q445,125)),MID(Q445,SEARCH(" ",Q445,130),IF(LEN(Q445)&lt;=265,LEN(Q445),SEARCH(" ",Q445,255)-SEARCH(" ",Q445,130)))))</f>
        <v/>
      </c>
      <c r="E581" s="434"/>
      <c r="F581" s="434"/>
      <c r="G581" s="434"/>
      <c r="H581" s="434"/>
      <c r="I581" s="434"/>
      <c r="J581" s="434"/>
      <c r="K581" s="434"/>
      <c r="L581" s="434"/>
      <c r="M581" s="260"/>
    </row>
    <row r="582" spans="1:13" ht="14.1" customHeight="1" x14ac:dyDescent="0.3">
      <c r="A582" s="3">
        <v>54</v>
      </c>
      <c r="B582" s="259"/>
      <c r="D582" s="433" t="str">
        <f>IF(LEN(Q445)&lt;=265,"",RIGHT(Q445,LEN(Q445)-SEARCH(" ",Q445,255)))</f>
        <v/>
      </c>
      <c r="E582" s="434"/>
      <c r="F582" s="434"/>
      <c r="G582" s="434"/>
      <c r="H582" s="434"/>
      <c r="I582" s="434"/>
      <c r="J582" s="434"/>
      <c r="K582" s="434"/>
      <c r="L582" s="434"/>
      <c r="M582" s="260"/>
    </row>
    <row r="583" spans="1:13" ht="14.1" customHeight="1" x14ac:dyDescent="0.3">
      <c r="A583" s="3">
        <v>55</v>
      </c>
      <c r="B583" s="259"/>
      <c r="D583" s="433" t="str">
        <f>IF(Q447="","",IF(LEN(Q447)&lt;=135,Q447,IF(LEN(Q447)&lt;=260,LEFT(Q447,SEARCH(" ",Q447,125)),LEFT(Q447,SEARCH(" ",Q447,130)))))</f>
        <v/>
      </c>
      <c r="E583" s="434"/>
      <c r="F583" s="434"/>
      <c r="G583" s="434"/>
      <c r="H583" s="434"/>
      <c r="I583" s="434"/>
      <c r="J583" s="434"/>
      <c r="K583" s="434"/>
      <c r="L583" s="434"/>
      <c r="M583" s="260"/>
    </row>
    <row r="584" spans="1:13" ht="14.1" customHeight="1" x14ac:dyDescent="0.3">
      <c r="A584" s="3">
        <v>56</v>
      </c>
      <c r="B584" s="259"/>
      <c r="D584" s="433" t="str">
        <f>IF(LEN(Q447)&lt;=135,"",IF(LEN(Q447)&lt;=260,RIGHT(Q447,LEN(Q447)-SEARCH(" ",Q447,125)),MID(Q447,SEARCH(" ",Q447,130),IF(LEN(Q447)&lt;=265,LEN(Q447),SEARCH(" ",Q447,255)-SEARCH(" ",Q447,130)))))</f>
        <v/>
      </c>
      <c r="E584" s="434"/>
      <c r="F584" s="434"/>
      <c r="G584" s="434"/>
      <c r="H584" s="434"/>
      <c r="I584" s="434"/>
      <c r="J584" s="434"/>
      <c r="K584" s="434"/>
      <c r="L584" s="434"/>
      <c r="M584" s="260"/>
    </row>
    <row r="585" spans="1:13" ht="14.1" customHeight="1" x14ac:dyDescent="0.3">
      <c r="A585" s="3">
        <v>57</v>
      </c>
      <c r="B585" s="259"/>
      <c r="D585" s="433" t="str">
        <f>IF(LEN(Q447)&lt;=265,"",RIGHT(Q447,LEN(Q447)-SEARCH(" ",Q447,255)))</f>
        <v/>
      </c>
      <c r="E585" s="434"/>
      <c r="F585" s="434"/>
      <c r="G585" s="434"/>
      <c r="H585" s="434"/>
      <c r="I585" s="434"/>
      <c r="J585" s="434"/>
      <c r="K585" s="434"/>
      <c r="L585" s="434"/>
      <c r="M585" s="260"/>
    </row>
    <row r="586" spans="1:13" ht="14.1" customHeight="1" x14ac:dyDescent="0.3">
      <c r="A586" s="3">
        <v>58</v>
      </c>
      <c r="B586" s="259"/>
      <c r="D586" s="433" t="str">
        <f>IF(Q449="","",IF(LEN(Q449)&lt;=135,Q449,IF(LEN(Q449)&lt;=260,LEFT(Q449,SEARCH(" ",Q449,125)),LEFT(Q449,SEARCH(" ",Q449,130)))))</f>
        <v/>
      </c>
      <c r="E586" s="434"/>
      <c r="F586" s="434"/>
      <c r="G586" s="434"/>
      <c r="H586" s="434"/>
      <c r="I586" s="434"/>
      <c r="J586" s="434"/>
      <c r="K586" s="434"/>
      <c r="L586" s="434"/>
      <c r="M586" s="260"/>
    </row>
    <row r="587" spans="1:13" ht="14.1" customHeight="1" x14ac:dyDescent="0.3">
      <c r="A587" s="3">
        <v>59</v>
      </c>
      <c r="B587" s="259"/>
      <c r="D587" s="433" t="str">
        <f>IF(LEN(Q449)&lt;=135,"",IF(LEN(Q449)&lt;=260,RIGHT(Q449,LEN(Q449)-SEARCH(" ",Q449,125)),MID(Q449,SEARCH(" ",Q449,130),IF(LEN(Q449)&lt;=265,LEN(Q449),SEARCH(" ",Q449,255)-SEARCH(" ",Q449,130)))))</f>
        <v/>
      </c>
      <c r="E587" s="434"/>
      <c r="F587" s="434"/>
      <c r="G587" s="434"/>
      <c r="H587" s="434"/>
      <c r="I587" s="434"/>
      <c r="J587" s="434"/>
      <c r="K587" s="434"/>
      <c r="L587" s="434"/>
      <c r="M587" s="260"/>
    </row>
    <row r="588" spans="1:13" ht="14.1" customHeight="1" x14ac:dyDescent="0.3">
      <c r="A588" s="3">
        <v>60</v>
      </c>
      <c r="B588" s="259"/>
      <c r="D588" s="433" t="str">
        <f>IF(LEN(Q449)&lt;=265,"",RIGHT(Q449,LEN(Q449)-SEARCH(" ",Q449,255)))</f>
        <v/>
      </c>
      <c r="E588" s="434"/>
      <c r="F588" s="434"/>
      <c r="G588" s="434"/>
      <c r="H588" s="434"/>
      <c r="I588" s="434"/>
      <c r="J588" s="434"/>
      <c r="K588" s="434"/>
      <c r="L588" s="434"/>
      <c r="M588" s="260"/>
    </row>
    <row r="589" spans="1:13" ht="14.1" customHeight="1" x14ac:dyDescent="0.3">
      <c r="A589" s="3">
        <v>61</v>
      </c>
      <c r="B589" s="259"/>
      <c r="M589" s="260"/>
    </row>
    <row r="590" spans="1:13" ht="14.1" customHeight="1" x14ac:dyDescent="0.3">
      <c r="A590" s="3">
        <v>62</v>
      </c>
      <c r="B590" s="259"/>
      <c r="M590" s="260"/>
    </row>
    <row r="591" spans="1:13" ht="14.1" customHeight="1" x14ac:dyDescent="0.3">
      <c r="A591" s="3">
        <v>63</v>
      </c>
      <c r="B591" s="259"/>
      <c r="M591" s="260"/>
    </row>
    <row r="592" spans="1:13" ht="14.1" customHeight="1" x14ac:dyDescent="0.3">
      <c r="A592" s="3">
        <v>64</v>
      </c>
      <c r="B592" s="261"/>
      <c r="C592" s="262"/>
      <c r="D592" s="262"/>
      <c r="E592" s="262"/>
      <c r="F592" s="262"/>
      <c r="G592" s="262"/>
      <c r="H592" s="262"/>
      <c r="I592" s="262"/>
      <c r="J592" s="262"/>
      <c r="K592" s="262"/>
      <c r="L592" s="262"/>
      <c r="M592" s="263"/>
    </row>
    <row r="593" spans="1:13" ht="14.1" customHeight="1" x14ac:dyDescent="0.3">
      <c r="A593" s="3">
        <v>65</v>
      </c>
      <c r="C593" s="2" t="s">
        <v>8</v>
      </c>
      <c r="D593" s="437" t="str">
        <f>IF($P$7="","",$P$7)</f>
        <v/>
      </c>
      <c r="L593" s="2" t="s">
        <v>9</v>
      </c>
      <c r="M593" s="62" t="str">
        <f>IF($X$7="","",$X$7)</f>
        <v>Eugene Mah</v>
      </c>
    </row>
    <row r="594" spans="1:13" ht="14.1" customHeight="1" x14ac:dyDescent="0.3">
      <c r="A594" s="3">
        <v>66</v>
      </c>
      <c r="C594" s="2" t="s">
        <v>74</v>
      </c>
      <c r="D594" s="63" t="str">
        <f>IF($R$14="","",$R$14&amp;" Tube "&amp;$W$48)</f>
        <v/>
      </c>
      <c r="L594" s="2" t="s">
        <v>23</v>
      </c>
      <c r="M594" s="64" t="str">
        <f>IF($R$13="","",$R$13)</f>
        <v/>
      </c>
    </row>
    <row r="595" spans="1:13" ht="14.1" customHeight="1" x14ac:dyDescent="0.3">
      <c r="A595" s="3">
        <v>1</v>
      </c>
      <c r="M595" s="65" t="str">
        <f>$H$2</f>
        <v>Medical University of South Carolina</v>
      </c>
    </row>
    <row r="596" spans="1:13" ht="14.1" customHeight="1" x14ac:dyDescent="0.3">
      <c r="A596" s="3">
        <v>2</v>
      </c>
      <c r="H596" s="46" t="s">
        <v>372</v>
      </c>
      <c r="M596" s="24" t="str">
        <f>$H$5</f>
        <v>Fluoroscopy System Compliance Inspection</v>
      </c>
    </row>
    <row r="597" spans="1:13" ht="14.1" customHeight="1" x14ac:dyDescent="0.3">
      <c r="A597" s="3">
        <v>3</v>
      </c>
      <c r="B597" s="256"/>
      <c r="C597" s="257"/>
      <c r="D597" s="257"/>
      <c r="E597" s="257"/>
      <c r="F597" s="257"/>
      <c r="G597" s="257"/>
      <c r="H597" s="257"/>
      <c r="I597" s="257"/>
      <c r="J597" s="257"/>
      <c r="K597" s="257"/>
      <c r="L597" s="257"/>
      <c r="M597" s="258"/>
    </row>
    <row r="598" spans="1:13" ht="14.1" customHeight="1" x14ac:dyDescent="0.3">
      <c r="A598" s="3">
        <v>4</v>
      </c>
      <c r="B598" s="259"/>
      <c r="M598" s="260"/>
    </row>
    <row r="599" spans="1:13" ht="14.1" customHeight="1" x14ac:dyDescent="0.3">
      <c r="A599" s="3">
        <v>5</v>
      </c>
      <c r="B599" s="259"/>
      <c r="M599" s="260"/>
    </row>
    <row r="600" spans="1:13" ht="14.1" customHeight="1" x14ac:dyDescent="0.3">
      <c r="A600" s="3">
        <v>6</v>
      </c>
      <c r="B600" s="259"/>
      <c r="M600" s="260"/>
    </row>
    <row r="601" spans="1:13" ht="14.1" customHeight="1" x14ac:dyDescent="0.3">
      <c r="A601" s="3">
        <v>7</v>
      </c>
      <c r="B601" s="259"/>
      <c r="M601" s="260"/>
    </row>
    <row r="602" spans="1:13" ht="14.1" customHeight="1" x14ac:dyDescent="0.3">
      <c r="A602" s="3">
        <v>8</v>
      </c>
      <c r="B602" s="259"/>
      <c r="M602" s="260"/>
    </row>
    <row r="603" spans="1:13" ht="14.1" customHeight="1" x14ac:dyDescent="0.3">
      <c r="A603" s="3">
        <v>9</v>
      </c>
      <c r="B603" s="259"/>
      <c r="M603" s="260"/>
    </row>
    <row r="604" spans="1:13" ht="14.1" customHeight="1" x14ac:dyDescent="0.3">
      <c r="A604" s="3">
        <v>10</v>
      </c>
      <c r="B604" s="259"/>
      <c r="M604" s="260"/>
    </row>
    <row r="605" spans="1:13" ht="14.1" customHeight="1" x14ac:dyDescent="0.3">
      <c r="A605" s="3">
        <v>11</v>
      </c>
      <c r="B605" s="259"/>
      <c r="M605" s="260"/>
    </row>
    <row r="606" spans="1:13" ht="14.1" customHeight="1" x14ac:dyDescent="0.3">
      <c r="A606" s="3">
        <v>12</v>
      </c>
      <c r="B606" s="259"/>
      <c r="M606" s="260"/>
    </row>
    <row r="607" spans="1:13" ht="14.1" customHeight="1" x14ac:dyDescent="0.3">
      <c r="A607" s="3">
        <v>13</v>
      </c>
      <c r="B607" s="259"/>
      <c r="M607" s="260"/>
    </row>
    <row r="608" spans="1:13" ht="14.1" customHeight="1" x14ac:dyDescent="0.3">
      <c r="A608" s="3">
        <v>14</v>
      </c>
      <c r="B608" s="259"/>
      <c r="M608" s="260"/>
    </row>
    <row r="609" spans="1:13" ht="14.1" customHeight="1" x14ac:dyDescent="0.3">
      <c r="A609" s="3">
        <v>15</v>
      </c>
      <c r="B609" s="259"/>
      <c r="M609" s="260"/>
    </row>
    <row r="610" spans="1:13" ht="14.1" customHeight="1" x14ac:dyDescent="0.3">
      <c r="A610" s="3">
        <v>16</v>
      </c>
      <c r="B610" s="259"/>
      <c r="M610" s="260"/>
    </row>
    <row r="611" spans="1:13" ht="14.1" customHeight="1" x14ac:dyDescent="0.3">
      <c r="A611" s="3">
        <v>17</v>
      </c>
      <c r="B611" s="259"/>
      <c r="M611" s="260"/>
    </row>
    <row r="612" spans="1:13" ht="14.1" customHeight="1" x14ac:dyDescent="0.3">
      <c r="A612" s="3">
        <v>18</v>
      </c>
      <c r="B612" s="259"/>
      <c r="M612" s="260"/>
    </row>
    <row r="613" spans="1:13" ht="14.1" customHeight="1" x14ac:dyDescent="0.3">
      <c r="A613" s="3">
        <v>19</v>
      </c>
      <c r="B613" s="259"/>
      <c r="M613" s="260"/>
    </row>
    <row r="614" spans="1:13" ht="14.1" customHeight="1" x14ac:dyDescent="0.3">
      <c r="A614" s="3">
        <v>20</v>
      </c>
      <c r="B614" s="259"/>
      <c r="M614" s="260"/>
    </row>
    <row r="615" spans="1:13" ht="14.1" customHeight="1" x14ac:dyDescent="0.3">
      <c r="A615" s="3">
        <v>21</v>
      </c>
      <c r="B615" s="259"/>
      <c r="M615" s="260"/>
    </row>
    <row r="616" spans="1:13" ht="14.1" customHeight="1" x14ac:dyDescent="0.3">
      <c r="A616" s="3">
        <v>22</v>
      </c>
      <c r="B616" s="259"/>
      <c r="M616" s="260"/>
    </row>
    <row r="617" spans="1:13" ht="14.1" customHeight="1" x14ac:dyDescent="0.3">
      <c r="A617" s="3">
        <v>23</v>
      </c>
      <c r="B617" s="259"/>
      <c r="M617" s="260"/>
    </row>
    <row r="618" spans="1:13" ht="14.1" customHeight="1" x14ac:dyDescent="0.3">
      <c r="A618" s="3">
        <v>24</v>
      </c>
      <c r="B618" s="259"/>
      <c r="M618" s="260"/>
    </row>
    <row r="619" spans="1:13" ht="14.1" customHeight="1" x14ac:dyDescent="0.3">
      <c r="A619" s="3">
        <v>25</v>
      </c>
      <c r="B619" s="259"/>
      <c r="M619" s="260"/>
    </row>
    <row r="620" spans="1:13" ht="14.1" customHeight="1" x14ac:dyDescent="0.3">
      <c r="A620" s="3">
        <v>26</v>
      </c>
      <c r="B620" s="259"/>
      <c r="M620" s="260"/>
    </row>
    <row r="621" spans="1:13" ht="14.1" customHeight="1" x14ac:dyDescent="0.3">
      <c r="A621" s="3">
        <v>27</v>
      </c>
      <c r="B621" s="259"/>
      <c r="M621" s="260"/>
    </row>
    <row r="622" spans="1:13" ht="14.1" customHeight="1" x14ac:dyDescent="0.3">
      <c r="A622" s="3">
        <v>28</v>
      </c>
      <c r="B622" s="259"/>
      <c r="M622" s="260"/>
    </row>
    <row r="623" spans="1:13" ht="14.1" customHeight="1" x14ac:dyDescent="0.3">
      <c r="A623" s="3">
        <v>29</v>
      </c>
      <c r="B623" s="259"/>
      <c r="M623" s="260"/>
    </row>
    <row r="624" spans="1:13" ht="14.1" customHeight="1" x14ac:dyDescent="0.3">
      <c r="A624" s="3">
        <v>30</v>
      </c>
      <c r="B624" s="259"/>
      <c r="M624" s="260"/>
    </row>
    <row r="625" spans="1:13" ht="14.1" customHeight="1" x14ac:dyDescent="0.3">
      <c r="A625" s="3">
        <v>31</v>
      </c>
      <c r="B625" s="259"/>
      <c r="M625" s="260"/>
    </row>
    <row r="626" spans="1:13" ht="14.1" customHeight="1" x14ac:dyDescent="0.3">
      <c r="A626" s="3">
        <v>32</v>
      </c>
      <c r="B626" s="259"/>
      <c r="M626" s="260"/>
    </row>
    <row r="627" spans="1:13" ht="14.1" customHeight="1" x14ac:dyDescent="0.3">
      <c r="A627" s="3">
        <v>33</v>
      </c>
      <c r="B627" s="259"/>
      <c r="M627" s="260"/>
    </row>
    <row r="628" spans="1:13" ht="14.1" customHeight="1" x14ac:dyDescent="0.3">
      <c r="A628" s="3">
        <v>34</v>
      </c>
      <c r="B628" s="259"/>
      <c r="M628" s="260"/>
    </row>
    <row r="629" spans="1:13" ht="14.1" customHeight="1" x14ac:dyDescent="0.3">
      <c r="A629" s="3">
        <v>35</v>
      </c>
      <c r="B629" s="259"/>
      <c r="M629" s="260"/>
    </row>
    <row r="630" spans="1:13" ht="14.1" customHeight="1" x14ac:dyDescent="0.3">
      <c r="A630" s="3">
        <v>36</v>
      </c>
      <c r="B630" s="259"/>
      <c r="M630" s="260"/>
    </row>
    <row r="631" spans="1:13" ht="14.1" customHeight="1" x14ac:dyDescent="0.3">
      <c r="A631" s="3">
        <v>37</v>
      </c>
      <c r="B631" s="259"/>
      <c r="M631" s="260"/>
    </row>
    <row r="632" spans="1:13" ht="14.1" customHeight="1" x14ac:dyDescent="0.3">
      <c r="A632" s="3">
        <v>38</v>
      </c>
      <c r="B632" s="259"/>
      <c r="M632" s="260"/>
    </row>
    <row r="633" spans="1:13" ht="14.1" customHeight="1" x14ac:dyDescent="0.3">
      <c r="A633" s="3">
        <v>39</v>
      </c>
      <c r="B633" s="259"/>
      <c r="M633" s="260"/>
    </row>
    <row r="634" spans="1:13" ht="14.1" customHeight="1" x14ac:dyDescent="0.3">
      <c r="A634" s="3">
        <v>40</v>
      </c>
      <c r="B634" s="259"/>
      <c r="M634" s="260"/>
    </row>
    <row r="635" spans="1:13" ht="14.1" customHeight="1" x14ac:dyDescent="0.3">
      <c r="A635" s="3">
        <v>41</v>
      </c>
      <c r="B635" s="259"/>
      <c r="M635" s="260"/>
    </row>
    <row r="636" spans="1:13" ht="14.1" customHeight="1" x14ac:dyDescent="0.3">
      <c r="A636" s="3">
        <v>42</v>
      </c>
      <c r="B636" s="259"/>
      <c r="M636" s="260"/>
    </row>
    <row r="637" spans="1:13" ht="14.1" customHeight="1" x14ac:dyDescent="0.3">
      <c r="A637" s="3">
        <v>43</v>
      </c>
      <c r="B637" s="259"/>
      <c r="M637" s="260"/>
    </row>
    <row r="638" spans="1:13" ht="14.1" customHeight="1" x14ac:dyDescent="0.3">
      <c r="A638" s="3">
        <v>44</v>
      </c>
      <c r="B638" s="259"/>
      <c r="M638" s="260"/>
    </row>
    <row r="639" spans="1:13" ht="14.1" customHeight="1" x14ac:dyDescent="0.3">
      <c r="A639" s="3">
        <v>45</v>
      </c>
      <c r="B639" s="259"/>
      <c r="M639" s="260"/>
    </row>
    <row r="640" spans="1:13" ht="14.1" customHeight="1" x14ac:dyDescent="0.3">
      <c r="A640" s="3">
        <v>46</v>
      </c>
      <c r="B640" s="259"/>
      <c r="M640" s="260"/>
    </row>
    <row r="641" spans="1:13" ht="14.1" customHeight="1" x14ac:dyDescent="0.3">
      <c r="A641" s="3">
        <v>47</v>
      </c>
      <c r="B641" s="259"/>
      <c r="M641" s="260"/>
    </row>
    <row r="642" spans="1:13" ht="14.1" customHeight="1" x14ac:dyDescent="0.3">
      <c r="A642" s="3">
        <v>48</v>
      </c>
      <c r="B642" s="259"/>
      <c r="M642" s="260"/>
    </row>
    <row r="643" spans="1:13" ht="14.1" customHeight="1" x14ac:dyDescent="0.3">
      <c r="A643" s="3">
        <v>49</v>
      </c>
      <c r="B643" s="259"/>
      <c r="M643" s="260"/>
    </row>
    <row r="644" spans="1:13" ht="14.1" customHeight="1" x14ac:dyDescent="0.3">
      <c r="A644" s="3">
        <v>50</v>
      </c>
      <c r="B644" s="259"/>
      <c r="M644" s="260"/>
    </row>
    <row r="645" spans="1:13" ht="14.1" customHeight="1" x14ac:dyDescent="0.3">
      <c r="A645" s="3">
        <v>51</v>
      </c>
      <c r="B645" s="259"/>
      <c r="M645" s="260"/>
    </row>
    <row r="646" spans="1:13" ht="14.1" customHeight="1" x14ac:dyDescent="0.3">
      <c r="A646" s="3">
        <v>52</v>
      </c>
      <c r="B646" s="259"/>
      <c r="M646" s="260"/>
    </row>
    <row r="647" spans="1:13" ht="14.1" customHeight="1" x14ac:dyDescent="0.3">
      <c r="A647" s="3">
        <v>53</v>
      </c>
      <c r="B647" s="259"/>
      <c r="M647" s="260"/>
    </row>
    <row r="648" spans="1:13" ht="14.1" customHeight="1" x14ac:dyDescent="0.3">
      <c r="A648" s="3">
        <v>54</v>
      </c>
      <c r="B648" s="259"/>
      <c r="M648" s="260"/>
    </row>
    <row r="649" spans="1:13" ht="14.1" customHeight="1" x14ac:dyDescent="0.3">
      <c r="A649" s="3">
        <v>55</v>
      </c>
      <c r="B649" s="259"/>
      <c r="M649" s="260"/>
    </row>
    <row r="650" spans="1:13" ht="14.1" customHeight="1" x14ac:dyDescent="0.3">
      <c r="A650" s="3">
        <v>56</v>
      </c>
      <c r="B650" s="259"/>
      <c r="M650" s="260"/>
    </row>
    <row r="651" spans="1:13" ht="14.1" customHeight="1" x14ac:dyDescent="0.3">
      <c r="A651" s="3">
        <v>57</v>
      </c>
      <c r="B651" s="259"/>
      <c r="M651" s="260"/>
    </row>
    <row r="652" spans="1:13" ht="14.1" customHeight="1" x14ac:dyDescent="0.3">
      <c r="A652" s="3">
        <v>58</v>
      </c>
      <c r="B652" s="259"/>
      <c r="M652" s="260"/>
    </row>
    <row r="653" spans="1:13" ht="14.1" customHeight="1" x14ac:dyDescent="0.3">
      <c r="A653" s="3">
        <v>59</v>
      </c>
      <c r="B653" s="259"/>
      <c r="M653" s="260"/>
    </row>
    <row r="654" spans="1:13" ht="14.1" customHeight="1" x14ac:dyDescent="0.3">
      <c r="A654" s="3">
        <v>60</v>
      </c>
      <c r="B654" s="259"/>
      <c r="M654" s="260"/>
    </row>
    <row r="655" spans="1:13" ht="14.1" customHeight="1" x14ac:dyDescent="0.3">
      <c r="A655" s="3">
        <v>61</v>
      </c>
      <c r="B655" s="259"/>
      <c r="M655" s="260"/>
    </row>
    <row r="656" spans="1:13" ht="14.1" customHeight="1" x14ac:dyDescent="0.3">
      <c r="A656" s="3">
        <v>62</v>
      </c>
      <c r="B656" s="259"/>
      <c r="M656" s="260"/>
    </row>
    <row r="657" spans="1:13" ht="14.1" customHeight="1" x14ac:dyDescent="0.3">
      <c r="A657" s="3">
        <v>63</v>
      </c>
      <c r="B657" s="259"/>
      <c r="M657" s="260"/>
    </row>
    <row r="658" spans="1:13" ht="14.1" customHeight="1" x14ac:dyDescent="0.3">
      <c r="A658" s="3">
        <v>64</v>
      </c>
      <c r="B658" s="261"/>
      <c r="C658" s="262"/>
      <c r="D658" s="262"/>
      <c r="E658" s="262"/>
      <c r="F658" s="262"/>
      <c r="G658" s="262"/>
      <c r="H658" s="262"/>
      <c r="I658" s="262"/>
      <c r="J658" s="262"/>
      <c r="K658" s="262"/>
      <c r="L658" s="262"/>
      <c r="M658" s="263"/>
    </row>
    <row r="659" spans="1:13" ht="14.1" customHeight="1" x14ac:dyDescent="0.3">
      <c r="A659" s="3">
        <v>65</v>
      </c>
      <c r="C659" s="2" t="s">
        <v>8</v>
      </c>
      <c r="D659" s="437" t="str">
        <f>IF($P$7="","",$P$7)</f>
        <v/>
      </c>
      <c r="L659" s="2" t="s">
        <v>9</v>
      </c>
      <c r="M659" s="62" t="str">
        <f>IF($X$7="","",$X$7)</f>
        <v>Eugene Mah</v>
      </c>
    </row>
    <row r="660" spans="1:13" ht="14.1" customHeight="1" x14ac:dyDescent="0.3">
      <c r="A660" s="3">
        <v>66</v>
      </c>
      <c r="C660" s="2" t="s">
        <v>74</v>
      </c>
      <c r="D660" s="63" t="str">
        <f>IF($R$14="","",$R$14&amp;" Tube "&amp;$W$48)</f>
        <v/>
      </c>
      <c r="L660" s="2" t="s">
        <v>23</v>
      </c>
      <c r="M660" s="64" t="str">
        <f>IF($R$13="","",$R$13)</f>
        <v/>
      </c>
    </row>
    <row r="661" spans="1:13" ht="14.1" customHeight="1" x14ac:dyDescent="0.3">
      <c r="A661" s="3">
        <v>1</v>
      </c>
      <c r="M661" s="65" t="str">
        <f>$H$2</f>
        <v>Medical University of South Carolina</v>
      </c>
    </row>
    <row r="662" spans="1:13" ht="14.1" customHeight="1" x14ac:dyDescent="0.3">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3">
      <c r="A663" s="3">
        <v>3</v>
      </c>
      <c r="B663" s="256"/>
      <c r="C663" s="257"/>
      <c r="D663" s="257"/>
      <c r="E663" s="257"/>
      <c r="F663" s="257"/>
      <c r="G663" s="257"/>
      <c r="H663" s="257"/>
      <c r="I663" s="257"/>
      <c r="J663" s="257"/>
      <c r="K663" s="257"/>
      <c r="L663" s="257"/>
      <c r="M663" s="258"/>
    </row>
    <row r="664" spans="1:13" ht="14.1" customHeight="1" x14ac:dyDescent="0.3">
      <c r="A664" s="3">
        <v>4</v>
      </c>
      <c r="B664" s="259"/>
      <c r="M664" s="260"/>
    </row>
    <row r="665" spans="1:13" ht="14.1" customHeight="1" x14ac:dyDescent="0.3">
      <c r="A665" s="3">
        <v>5</v>
      </c>
      <c r="B665" s="259"/>
      <c r="M665" s="260"/>
    </row>
    <row r="666" spans="1:13" ht="14.1" customHeight="1" x14ac:dyDescent="0.3">
      <c r="A666" s="3">
        <v>6</v>
      </c>
      <c r="B666" s="259"/>
      <c r="M666" s="260"/>
    </row>
    <row r="667" spans="1:13" ht="14.1" customHeight="1" x14ac:dyDescent="0.3">
      <c r="A667" s="3">
        <v>7</v>
      </c>
      <c r="B667" s="259"/>
      <c r="M667" s="260"/>
    </row>
    <row r="668" spans="1:13" ht="14.1" customHeight="1" x14ac:dyDescent="0.3">
      <c r="A668" s="3">
        <v>8</v>
      </c>
      <c r="B668" s="259"/>
      <c r="M668" s="260"/>
    </row>
    <row r="669" spans="1:13" ht="14.1" customHeight="1" x14ac:dyDescent="0.3">
      <c r="A669" s="3">
        <v>9</v>
      </c>
      <c r="B669" s="259"/>
      <c r="M669" s="260"/>
    </row>
    <row r="670" spans="1:13" ht="14.1" customHeight="1" x14ac:dyDescent="0.3">
      <c r="A670" s="3">
        <v>10</v>
      </c>
      <c r="B670" s="259"/>
      <c r="M670" s="260"/>
    </row>
    <row r="671" spans="1:13" ht="14.1" customHeight="1" x14ac:dyDescent="0.3">
      <c r="A671" s="3">
        <v>11</v>
      </c>
      <c r="B671" s="259"/>
      <c r="M671" s="260"/>
    </row>
    <row r="672" spans="1:13" ht="14.1" customHeight="1" x14ac:dyDescent="0.3">
      <c r="A672" s="3">
        <v>12</v>
      </c>
      <c r="B672" s="259"/>
      <c r="M672" s="260"/>
    </row>
    <row r="673" spans="1:13" ht="14.1" customHeight="1" x14ac:dyDescent="0.3">
      <c r="A673" s="3">
        <v>13</v>
      </c>
      <c r="B673" s="259"/>
      <c r="M673" s="260"/>
    </row>
    <row r="674" spans="1:13" ht="14.1" customHeight="1" x14ac:dyDescent="0.3">
      <c r="A674" s="3">
        <v>14</v>
      </c>
      <c r="B674" s="259"/>
      <c r="M674" s="260"/>
    </row>
    <row r="675" spans="1:13" ht="14.1" customHeight="1" x14ac:dyDescent="0.3">
      <c r="A675" s="3">
        <v>15</v>
      </c>
      <c r="B675" s="259"/>
      <c r="M675" s="260"/>
    </row>
    <row r="676" spans="1:13" ht="14.1" customHeight="1" x14ac:dyDescent="0.3">
      <c r="A676" s="3">
        <v>16</v>
      </c>
      <c r="B676" s="259"/>
      <c r="M676" s="260"/>
    </row>
    <row r="677" spans="1:13" ht="14.1" customHeight="1" x14ac:dyDescent="0.3">
      <c r="A677" s="3">
        <v>17</v>
      </c>
      <c r="B677" s="259"/>
      <c r="M677" s="260"/>
    </row>
    <row r="678" spans="1:13" ht="14.1" customHeight="1" x14ac:dyDescent="0.3">
      <c r="A678" s="3">
        <v>18</v>
      </c>
      <c r="B678" s="259"/>
      <c r="M678" s="260"/>
    </row>
    <row r="679" spans="1:13" ht="14.1" customHeight="1" x14ac:dyDescent="0.3">
      <c r="A679" s="3">
        <v>19</v>
      </c>
      <c r="B679" s="259"/>
      <c r="M679" s="260"/>
    </row>
    <row r="680" spans="1:13" ht="14.1" customHeight="1" x14ac:dyDescent="0.3">
      <c r="A680" s="3">
        <v>20</v>
      </c>
      <c r="B680" s="259"/>
      <c r="M680" s="260"/>
    </row>
    <row r="681" spans="1:13" ht="14.1" customHeight="1" x14ac:dyDescent="0.3">
      <c r="A681" s="3">
        <v>21</v>
      </c>
      <c r="B681" s="259"/>
      <c r="M681" s="260"/>
    </row>
    <row r="682" spans="1:13" ht="14.1" customHeight="1" x14ac:dyDescent="0.3">
      <c r="A682" s="3">
        <v>22</v>
      </c>
      <c r="B682" s="259"/>
      <c r="M682" s="260"/>
    </row>
    <row r="683" spans="1:13" ht="14.1" customHeight="1" x14ac:dyDescent="0.3">
      <c r="A683" s="3">
        <v>23</v>
      </c>
      <c r="B683" s="259"/>
      <c r="M683" s="260"/>
    </row>
    <row r="684" spans="1:13" ht="14.1" customHeight="1" x14ac:dyDescent="0.3">
      <c r="A684" s="3">
        <v>24</v>
      </c>
      <c r="B684" s="259"/>
      <c r="M684" s="260"/>
    </row>
    <row r="685" spans="1:13" ht="14.1" customHeight="1" x14ac:dyDescent="0.3">
      <c r="A685" s="3">
        <v>25</v>
      </c>
      <c r="B685" s="259"/>
      <c r="M685" s="260"/>
    </row>
    <row r="686" spans="1:13" ht="14.1" customHeight="1" x14ac:dyDescent="0.3">
      <c r="A686" s="3">
        <v>26</v>
      </c>
      <c r="B686" s="259"/>
      <c r="M686" s="260"/>
    </row>
    <row r="687" spans="1:13" ht="14.1" customHeight="1" x14ac:dyDescent="0.3">
      <c r="A687" s="3">
        <v>27</v>
      </c>
      <c r="B687" s="259"/>
      <c r="M687" s="260"/>
    </row>
    <row r="688" spans="1:13" ht="14.1" customHeight="1" x14ac:dyDescent="0.3">
      <c r="A688" s="3">
        <v>28</v>
      </c>
      <c r="B688" s="259"/>
      <c r="M688" s="260"/>
    </row>
    <row r="689" spans="1:13" ht="14.1" customHeight="1" x14ac:dyDescent="0.3">
      <c r="A689" s="3">
        <v>29</v>
      </c>
      <c r="B689" s="259"/>
      <c r="M689" s="260"/>
    </row>
    <row r="690" spans="1:13" ht="14.1" customHeight="1" x14ac:dyDescent="0.3">
      <c r="A690" s="3">
        <v>30</v>
      </c>
      <c r="B690" s="259"/>
      <c r="M690" s="260"/>
    </row>
    <row r="691" spans="1:13" ht="14.1" customHeight="1" x14ac:dyDescent="0.3">
      <c r="A691" s="3">
        <v>31</v>
      </c>
      <c r="B691" s="259"/>
      <c r="M691" s="260"/>
    </row>
    <row r="692" spans="1:13" ht="14.1" customHeight="1" x14ac:dyDescent="0.3">
      <c r="A692" s="3">
        <v>32</v>
      </c>
      <c r="B692" s="259"/>
      <c r="M692" s="260"/>
    </row>
    <row r="693" spans="1:13" ht="14.1" customHeight="1" x14ac:dyDescent="0.3">
      <c r="A693" s="3">
        <v>33</v>
      </c>
      <c r="B693" s="259"/>
      <c r="M693" s="260"/>
    </row>
    <row r="694" spans="1:13" ht="14.1" customHeight="1" x14ac:dyDescent="0.3">
      <c r="A694" s="3">
        <v>34</v>
      </c>
      <c r="B694" s="259"/>
      <c r="M694" s="260"/>
    </row>
    <row r="695" spans="1:13" ht="14.1" customHeight="1" x14ac:dyDescent="0.3">
      <c r="A695" s="3">
        <v>35</v>
      </c>
      <c r="B695" s="259"/>
      <c r="M695" s="260"/>
    </row>
    <row r="696" spans="1:13" ht="14.1" customHeight="1" x14ac:dyDescent="0.3">
      <c r="A696" s="3">
        <v>36</v>
      </c>
      <c r="B696" s="259"/>
      <c r="M696" s="260"/>
    </row>
    <row r="697" spans="1:13" ht="14.1" customHeight="1" x14ac:dyDescent="0.3">
      <c r="A697" s="3">
        <v>37</v>
      </c>
      <c r="B697" s="259"/>
      <c r="M697" s="260"/>
    </row>
    <row r="698" spans="1:13" ht="14.1" customHeight="1" x14ac:dyDescent="0.3">
      <c r="A698" s="3">
        <v>38</v>
      </c>
      <c r="B698" s="259"/>
      <c r="M698" s="260"/>
    </row>
    <row r="699" spans="1:13" ht="14.1" customHeight="1" x14ac:dyDescent="0.3">
      <c r="A699" s="3">
        <v>39</v>
      </c>
      <c r="B699" s="259"/>
      <c r="M699" s="260"/>
    </row>
    <row r="700" spans="1:13" ht="14.1" customHeight="1" x14ac:dyDescent="0.3">
      <c r="A700" s="3">
        <v>40</v>
      </c>
      <c r="B700" s="259"/>
      <c r="M700" s="260"/>
    </row>
    <row r="701" spans="1:13" ht="14.1" customHeight="1" x14ac:dyDescent="0.3">
      <c r="A701" s="3">
        <v>41</v>
      </c>
      <c r="B701" s="259"/>
      <c r="M701" s="260"/>
    </row>
    <row r="702" spans="1:13" ht="14.1" customHeight="1" x14ac:dyDescent="0.3">
      <c r="A702" s="3">
        <v>42</v>
      </c>
      <c r="B702" s="259"/>
      <c r="M702" s="260"/>
    </row>
    <row r="703" spans="1:13" ht="14.1" customHeight="1" x14ac:dyDescent="0.3">
      <c r="A703" s="3">
        <v>43</v>
      </c>
      <c r="B703" s="259"/>
      <c r="M703" s="260"/>
    </row>
    <row r="704" spans="1:13" ht="14.1" customHeight="1" x14ac:dyDescent="0.3">
      <c r="A704" s="3">
        <v>44</v>
      </c>
      <c r="B704" s="259"/>
      <c r="M704" s="260"/>
    </row>
    <row r="705" spans="1:13" ht="14.1" customHeight="1" x14ac:dyDescent="0.3">
      <c r="A705" s="3">
        <v>45</v>
      </c>
      <c r="B705" s="259"/>
      <c r="M705" s="260"/>
    </row>
    <row r="706" spans="1:13" ht="14.1" customHeight="1" x14ac:dyDescent="0.3">
      <c r="A706" s="3">
        <v>46</v>
      </c>
      <c r="B706" s="259"/>
      <c r="M706" s="260"/>
    </row>
    <row r="707" spans="1:13" ht="14.1" customHeight="1" x14ac:dyDescent="0.3">
      <c r="A707" s="3">
        <v>47</v>
      </c>
      <c r="B707" s="259"/>
      <c r="M707" s="260"/>
    </row>
    <row r="708" spans="1:13" ht="14.1" customHeight="1" x14ac:dyDescent="0.3">
      <c r="A708" s="3">
        <v>48</v>
      </c>
      <c r="B708" s="259"/>
      <c r="M708" s="260"/>
    </row>
    <row r="709" spans="1:13" ht="14.1" customHeight="1" x14ac:dyDescent="0.3">
      <c r="A709" s="3">
        <v>49</v>
      </c>
      <c r="B709" s="259"/>
      <c r="M709" s="260"/>
    </row>
    <row r="710" spans="1:13" ht="14.1" customHeight="1" x14ac:dyDescent="0.3">
      <c r="A710" s="3">
        <v>50</v>
      </c>
      <c r="B710" s="259"/>
      <c r="M710" s="260"/>
    </row>
    <row r="711" spans="1:13" ht="14.1" customHeight="1" x14ac:dyDescent="0.3">
      <c r="A711" s="3">
        <v>51</v>
      </c>
      <c r="B711" s="259"/>
      <c r="M711" s="260"/>
    </row>
    <row r="712" spans="1:13" ht="14.1" customHeight="1" x14ac:dyDescent="0.3">
      <c r="A712" s="3">
        <v>52</v>
      </c>
      <c r="B712" s="259"/>
      <c r="M712" s="260"/>
    </row>
    <row r="713" spans="1:13" ht="14.1" customHeight="1" x14ac:dyDescent="0.3">
      <c r="A713" s="3">
        <v>53</v>
      </c>
      <c r="B713" s="259"/>
      <c r="M713" s="260"/>
    </row>
    <row r="714" spans="1:13" ht="14.1" customHeight="1" x14ac:dyDescent="0.3">
      <c r="A714" s="3">
        <v>54</v>
      </c>
      <c r="B714" s="259"/>
      <c r="M714" s="260"/>
    </row>
    <row r="715" spans="1:13" ht="14.1" customHeight="1" x14ac:dyDescent="0.3">
      <c r="A715" s="3">
        <v>55</v>
      </c>
      <c r="B715" s="259"/>
      <c r="M715" s="260"/>
    </row>
    <row r="716" spans="1:13" ht="14.1" customHeight="1" x14ac:dyDescent="0.3">
      <c r="A716" s="3">
        <v>56</v>
      </c>
      <c r="B716" s="259"/>
      <c r="M716" s="260"/>
    </row>
    <row r="717" spans="1:13" ht="14.1" customHeight="1" x14ac:dyDescent="0.3">
      <c r="A717" s="3">
        <v>57</v>
      </c>
      <c r="B717" s="259"/>
      <c r="M717" s="260"/>
    </row>
    <row r="718" spans="1:13" ht="14.1" customHeight="1" x14ac:dyDescent="0.3">
      <c r="A718" s="3">
        <v>58</v>
      </c>
      <c r="B718" s="259"/>
      <c r="M718" s="260"/>
    </row>
    <row r="719" spans="1:13" ht="14.1" customHeight="1" x14ac:dyDescent="0.3">
      <c r="A719" s="3">
        <v>59</v>
      </c>
      <c r="B719" s="259"/>
      <c r="M719" s="260"/>
    </row>
    <row r="720" spans="1:13" ht="14.1" customHeight="1" x14ac:dyDescent="0.3">
      <c r="A720" s="3">
        <v>60</v>
      </c>
      <c r="B720" s="259"/>
      <c r="M720" s="260"/>
    </row>
    <row r="721" spans="1:13" ht="14.1" customHeight="1" x14ac:dyDescent="0.3">
      <c r="A721" s="3">
        <v>61</v>
      </c>
      <c r="B721" s="259"/>
      <c r="M721" s="260"/>
    </row>
    <row r="722" spans="1:13" ht="14.1" customHeight="1" x14ac:dyDescent="0.3">
      <c r="A722" s="3">
        <v>62</v>
      </c>
      <c r="B722" s="259"/>
      <c r="M722" s="260"/>
    </row>
    <row r="723" spans="1:13" ht="14.1" customHeight="1" x14ac:dyDescent="0.3">
      <c r="A723" s="3">
        <v>63</v>
      </c>
      <c r="B723" s="259"/>
      <c r="M723" s="260"/>
    </row>
    <row r="724" spans="1:13" ht="14.1" customHeight="1" x14ac:dyDescent="0.3">
      <c r="A724" s="3">
        <v>64</v>
      </c>
      <c r="B724" s="261"/>
      <c r="C724" s="262"/>
      <c r="D724" s="262"/>
      <c r="E724" s="262"/>
      <c r="F724" s="262"/>
      <c r="G724" s="262"/>
      <c r="H724" s="262"/>
      <c r="I724" s="262"/>
      <c r="J724" s="262"/>
      <c r="K724" s="262"/>
      <c r="L724" s="262"/>
      <c r="M724" s="263"/>
    </row>
    <row r="725" spans="1:13" ht="14.1" customHeight="1" x14ac:dyDescent="0.3">
      <c r="A725" s="3">
        <v>65</v>
      </c>
      <c r="C725" s="2" t="s">
        <v>8</v>
      </c>
      <c r="D725" s="437" t="str">
        <f>IF($P$7="","",$P$7)</f>
        <v/>
      </c>
      <c r="L725" s="2" t="s">
        <v>9</v>
      </c>
      <c r="M725" s="62" t="str">
        <f>IF($X$7="","",$X$7)</f>
        <v>Eugene Mah</v>
      </c>
    </row>
    <row r="726" spans="1:13" ht="14.1" customHeight="1" x14ac:dyDescent="0.3">
      <c r="A726" s="3">
        <v>66</v>
      </c>
      <c r="C726" s="2" t="s">
        <v>74</v>
      </c>
      <c r="D726" s="63" t="str">
        <f>IF($R$14="","",$R$14&amp;" Tube "&amp;$W$48)</f>
        <v/>
      </c>
      <c r="L726" s="2" t="s">
        <v>23</v>
      </c>
      <c r="M726" s="64" t="str">
        <f>IF($R$13="","",$R$13)</f>
        <v/>
      </c>
    </row>
    <row r="727" spans="1:13" ht="14.1" customHeight="1" x14ac:dyDescent="0.3">
      <c r="A727" s="3">
        <v>1</v>
      </c>
      <c r="M727" s="65" t="str">
        <f>$H$2</f>
        <v>Medical University of South Carolina</v>
      </c>
    </row>
    <row r="728" spans="1:13" ht="14.1" customHeight="1" x14ac:dyDescent="0.3">
      <c r="A728" s="3">
        <v>2</v>
      </c>
      <c r="H728" s="46" t="s">
        <v>373</v>
      </c>
      <c r="M728" s="24" t="str">
        <f>$H$5</f>
        <v>Fluoroscopy System Compliance Inspection</v>
      </c>
    </row>
    <row r="729" spans="1:13" ht="14.1" customHeight="1" x14ac:dyDescent="0.3">
      <c r="A729" s="3">
        <v>3</v>
      </c>
      <c r="B729" s="256"/>
      <c r="C729" s="257"/>
      <c r="D729" s="257"/>
      <c r="E729" s="257"/>
      <c r="F729" s="257"/>
      <c r="G729" s="257"/>
      <c r="H729" s="265"/>
      <c r="I729" s="257"/>
      <c r="J729" s="257"/>
      <c r="K729" s="257"/>
      <c r="L729" s="257"/>
      <c r="M729" s="258"/>
    </row>
    <row r="730" spans="1:13" ht="14.1" customHeight="1" x14ac:dyDescent="0.3">
      <c r="A730" s="3">
        <v>4</v>
      </c>
      <c r="B730" s="259"/>
      <c r="M730" s="260"/>
    </row>
    <row r="731" spans="1:13" ht="14.1" customHeight="1" x14ac:dyDescent="0.3">
      <c r="A731" s="3">
        <v>5</v>
      </c>
      <c r="B731" s="259"/>
      <c r="M731" s="260"/>
    </row>
    <row r="732" spans="1:13" ht="14.1" customHeight="1" x14ac:dyDescent="0.3">
      <c r="A732" s="3">
        <v>6</v>
      </c>
      <c r="B732" s="259"/>
      <c r="M732" s="260"/>
    </row>
    <row r="733" spans="1:13" ht="14.1" customHeight="1" x14ac:dyDescent="0.3">
      <c r="A733" s="3">
        <v>7</v>
      </c>
      <c r="B733" s="259"/>
      <c r="M733" s="260"/>
    </row>
    <row r="734" spans="1:13" ht="14.1" customHeight="1" x14ac:dyDescent="0.3">
      <c r="A734" s="3">
        <v>8</v>
      </c>
      <c r="B734" s="259"/>
      <c r="M734" s="260"/>
    </row>
    <row r="735" spans="1:13" ht="14.1" customHeight="1" x14ac:dyDescent="0.3">
      <c r="A735" s="3">
        <v>9</v>
      </c>
      <c r="B735" s="259"/>
      <c r="M735" s="260"/>
    </row>
    <row r="736" spans="1:13" ht="14.1" customHeight="1" x14ac:dyDescent="0.3">
      <c r="A736" s="3">
        <v>10</v>
      </c>
      <c r="B736" s="259"/>
      <c r="M736" s="260"/>
    </row>
    <row r="737" spans="1:13" ht="14.1" customHeight="1" x14ac:dyDescent="0.3">
      <c r="A737" s="3">
        <v>11</v>
      </c>
      <c r="B737" s="259"/>
      <c r="M737" s="260"/>
    </row>
    <row r="738" spans="1:13" ht="14.1" customHeight="1" x14ac:dyDescent="0.3">
      <c r="A738" s="3">
        <v>12</v>
      </c>
      <c r="B738" s="259"/>
      <c r="M738" s="260"/>
    </row>
    <row r="739" spans="1:13" ht="14.1" customHeight="1" x14ac:dyDescent="0.3">
      <c r="A739" s="3">
        <v>13</v>
      </c>
      <c r="B739" s="259"/>
      <c r="M739" s="260"/>
    </row>
    <row r="740" spans="1:13" ht="14.1" customHeight="1" x14ac:dyDescent="0.3">
      <c r="A740" s="3">
        <v>14</v>
      </c>
      <c r="B740" s="259"/>
      <c r="M740" s="260"/>
    </row>
    <row r="741" spans="1:13" ht="14.1" customHeight="1" x14ac:dyDescent="0.3">
      <c r="A741" s="3">
        <v>15</v>
      </c>
      <c r="B741" s="259"/>
      <c r="M741" s="260"/>
    </row>
    <row r="742" spans="1:13" ht="14.1" customHeight="1" x14ac:dyDescent="0.3">
      <c r="A742" s="3">
        <v>16</v>
      </c>
      <c r="B742" s="259"/>
      <c r="M742" s="260"/>
    </row>
    <row r="743" spans="1:13" ht="14.1" customHeight="1" x14ac:dyDescent="0.3">
      <c r="A743" s="3">
        <v>17</v>
      </c>
      <c r="B743" s="259"/>
      <c r="M743" s="260"/>
    </row>
    <row r="744" spans="1:13" ht="14.1" customHeight="1" x14ac:dyDescent="0.3">
      <c r="A744" s="3">
        <v>18</v>
      </c>
      <c r="B744" s="259"/>
      <c r="M744" s="260"/>
    </row>
    <row r="745" spans="1:13" ht="14.1" customHeight="1" x14ac:dyDescent="0.3">
      <c r="A745" s="3">
        <v>19</v>
      </c>
      <c r="B745" s="259"/>
      <c r="M745" s="260"/>
    </row>
    <row r="746" spans="1:13" ht="14.1" customHeight="1" x14ac:dyDescent="0.3">
      <c r="A746" s="3">
        <v>20</v>
      </c>
      <c r="B746" s="259"/>
      <c r="M746" s="260"/>
    </row>
    <row r="747" spans="1:13" ht="14.1" customHeight="1" x14ac:dyDescent="0.3">
      <c r="A747" s="3">
        <v>21</v>
      </c>
      <c r="B747" s="259"/>
      <c r="M747" s="260"/>
    </row>
    <row r="748" spans="1:13" ht="14.1" customHeight="1" x14ac:dyDescent="0.3">
      <c r="A748" s="3">
        <v>22</v>
      </c>
      <c r="B748" s="259"/>
      <c r="M748" s="260"/>
    </row>
    <row r="749" spans="1:13" ht="14.1" customHeight="1" x14ac:dyDescent="0.3">
      <c r="A749" s="3">
        <v>23</v>
      </c>
      <c r="B749" s="259"/>
      <c r="M749" s="260"/>
    </row>
    <row r="750" spans="1:13" ht="14.1" customHeight="1" x14ac:dyDescent="0.3">
      <c r="A750" s="3">
        <v>24</v>
      </c>
      <c r="B750" s="259"/>
      <c r="M750" s="260"/>
    </row>
    <row r="751" spans="1:13" ht="14.1" customHeight="1" x14ac:dyDescent="0.3">
      <c r="A751" s="3">
        <v>25</v>
      </c>
      <c r="B751" s="259"/>
      <c r="M751" s="260"/>
    </row>
    <row r="752" spans="1:13" ht="14.1" customHeight="1" x14ac:dyDescent="0.3">
      <c r="A752" s="3">
        <v>26</v>
      </c>
      <c r="B752" s="259"/>
      <c r="M752" s="260"/>
    </row>
    <row r="753" spans="1:13" ht="14.1" customHeight="1" x14ac:dyDescent="0.3">
      <c r="A753" s="3">
        <v>27</v>
      </c>
      <c r="B753" s="259"/>
      <c r="M753" s="260"/>
    </row>
    <row r="754" spans="1:13" ht="14.1" customHeight="1" x14ac:dyDescent="0.3">
      <c r="A754" s="3">
        <v>28</v>
      </c>
      <c r="B754" s="259"/>
      <c r="M754" s="260"/>
    </row>
    <row r="755" spans="1:13" ht="14.1" customHeight="1" x14ac:dyDescent="0.3">
      <c r="A755" s="3">
        <v>29</v>
      </c>
      <c r="B755" s="259"/>
      <c r="M755" s="260"/>
    </row>
    <row r="756" spans="1:13" ht="14.1" customHeight="1" x14ac:dyDescent="0.3">
      <c r="A756" s="3">
        <v>30</v>
      </c>
      <c r="B756" s="259"/>
      <c r="M756" s="260"/>
    </row>
    <row r="757" spans="1:13" ht="14.1" customHeight="1" x14ac:dyDescent="0.3">
      <c r="A757" s="3">
        <v>31</v>
      </c>
      <c r="B757" s="259"/>
      <c r="M757" s="260"/>
    </row>
    <row r="758" spans="1:13" ht="14.1" customHeight="1" x14ac:dyDescent="0.3">
      <c r="A758" s="3">
        <v>32</v>
      </c>
      <c r="B758" s="259"/>
      <c r="M758" s="260"/>
    </row>
    <row r="759" spans="1:13" ht="14.1" customHeight="1" x14ac:dyDescent="0.3">
      <c r="A759" s="3">
        <v>33</v>
      </c>
      <c r="B759" s="259"/>
      <c r="M759" s="260"/>
    </row>
    <row r="760" spans="1:13" ht="14.1" customHeight="1" x14ac:dyDescent="0.3">
      <c r="A760" s="3">
        <v>34</v>
      </c>
      <c r="B760" s="259"/>
      <c r="M760" s="260"/>
    </row>
    <row r="761" spans="1:13" ht="14.1" customHeight="1" x14ac:dyDescent="0.3">
      <c r="A761" s="3">
        <v>35</v>
      </c>
      <c r="B761" s="259"/>
      <c r="M761" s="260"/>
    </row>
    <row r="762" spans="1:13" ht="14.1" customHeight="1" x14ac:dyDescent="0.3">
      <c r="A762" s="3">
        <v>36</v>
      </c>
      <c r="B762" s="259"/>
      <c r="M762" s="260"/>
    </row>
    <row r="763" spans="1:13" ht="14.1" customHeight="1" x14ac:dyDescent="0.3">
      <c r="A763" s="3">
        <v>37</v>
      </c>
      <c r="B763" s="259"/>
      <c r="M763" s="260"/>
    </row>
    <row r="764" spans="1:13" ht="14.1" customHeight="1" x14ac:dyDescent="0.3">
      <c r="A764" s="3">
        <v>38</v>
      </c>
      <c r="B764" s="259"/>
      <c r="M764" s="260"/>
    </row>
    <row r="765" spans="1:13" ht="14.1" customHeight="1" x14ac:dyDescent="0.3">
      <c r="A765" s="3">
        <v>39</v>
      </c>
      <c r="B765" s="259"/>
      <c r="M765" s="260"/>
    </row>
    <row r="766" spans="1:13" ht="14.1" customHeight="1" x14ac:dyDescent="0.3">
      <c r="A766" s="3">
        <v>40</v>
      </c>
      <c r="B766" s="259"/>
      <c r="M766" s="260"/>
    </row>
    <row r="767" spans="1:13" ht="14.1" customHeight="1" x14ac:dyDescent="0.3">
      <c r="A767" s="3">
        <v>41</v>
      </c>
      <c r="B767" s="259"/>
      <c r="M767" s="260"/>
    </row>
    <row r="768" spans="1:13" ht="14.1" customHeight="1" x14ac:dyDescent="0.3">
      <c r="A768" s="3">
        <v>42</v>
      </c>
      <c r="B768" s="259"/>
      <c r="M768" s="260"/>
    </row>
    <row r="769" spans="1:13" ht="14.1" customHeight="1" x14ac:dyDescent="0.3">
      <c r="A769" s="3">
        <v>43</v>
      </c>
      <c r="B769" s="259"/>
      <c r="M769" s="260"/>
    </row>
    <row r="770" spans="1:13" ht="14.1" customHeight="1" x14ac:dyDescent="0.3">
      <c r="A770" s="3">
        <v>44</v>
      </c>
      <c r="B770" s="259"/>
      <c r="M770" s="260"/>
    </row>
    <row r="771" spans="1:13" ht="14.1" customHeight="1" x14ac:dyDescent="0.3">
      <c r="A771" s="3">
        <v>45</v>
      </c>
      <c r="B771" s="259"/>
      <c r="M771" s="260"/>
    </row>
    <row r="772" spans="1:13" ht="14.1" customHeight="1" x14ac:dyDescent="0.3">
      <c r="A772" s="3">
        <v>46</v>
      </c>
      <c r="B772" s="259"/>
      <c r="M772" s="260"/>
    </row>
    <row r="773" spans="1:13" ht="14.1" customHeight="1" x14ac:dyDescent="0.3">
      <c r="A773" s="3">
        <v>47</v>
      </c>
      <c r="B773" s="259"/>
      <c r="M773" s="260"/>
    </row>
    <row r="774" spans="1:13" ht="14.1" customHeight="1" x14ac:dyDescent="0.3">
      <c r="A774" s="3">
        <v>48</v>
      </c>
      <c r="B774" s="259"/>
      <c r="M774" s="260"/>
    </row>
    <row r="775" spans="1:13" ht="14.1" customHeight="1" x14ac:dyDescent="0.3">
      <c r="A775" s="3">
        <v>49</v>
      </c>
      <c r="B775" s="259"/>
      <c r="M775" s="260"/>
    </row>
    <row r="776" spans="1:13" ht="14.1" customHeight="1" x14ac:dyDescent="0.3">
      <c r="A776" s="3">
        <v>50</v>
      </c>
      <c r="B776" s="259"/>
      <c r="M776" s="260"/>
    </row>
    <row r="777" spans="1:13" ht="14.1" customHeight="1" x14ac:dyDescent="0.3">
      <c r="A777" s="3">
        <v>51</v>
      </c>
      <c r="B777" s="259"/>
      <c r="M777" s="260"/>
    </row>
    <row r="778" spans="1:13" ht="14.1" customHeight="1" x14ac:dyDescent="0.3">
      <c r="A778" s="3">
        <v>52</v>
      </c>
      <c r="B778" s="259"/>
      <c r="M778" s="260"/>
    </row>
    <row r="779" spans="1:13" ht="14.1" customHeight="1" x14ac:dyDescent="0.3">
      <c r="A779" s="3">
        <v>53</v>
      </c>
      <c r="B779" s="259"/>
      <c r="M779" s="260"/>
    </row>
    <row r="780" spans="1:13" ht="14.1" customHeight="1" x14ac:dyDescent="0.3">
      <c r="A780" s="3">
        <v>54</v>
      </c>
      <c r="B780" s="259"/>
      <c r="M780" s="260"/>
    </row>
    <row r="781" spans="1:13" ht="14.1" customHeight="1" x14ac:dyDescent="0.3">
      <c r="A781" s="3">
        <v>55</v>
      </c>
      <c r="B781" s="259"/>
      <c r="M781" s="260"/>
    </row>
    <row r="782" spans="1:13" ht="14.1" customHeight="1" x14ac:dyDescent="0.3">
      <c r="A782" s="3">
        <v>56</v>
      </c>
      <c r="B782" s="259"/>
      <c r="M782" s="260"/>
    </row>
    <row r="783" spans="1:13" ht="14.1" customHeight="1" x14ac:dyDescent="0.3">
      <c r="A783" s="3">
        <v>57</v>
      </c>
      <c r="B783" s="259"/>
      <c r="M783" s="260"/>
    </row>
    <row r="784" spans="1:13" ht="14.1" customHeight="1" x14ac:dyDescent="0.3">
      <c r="A784" s="3">
        <v>58</v>
      </c>
      <c r="B784" s="259"/>
      <c r="M784" s="260"/>
    </row>
    <row r="785" spans="1:13" ht="14.1" customHeight="1" x14ac:dyDescent="0.3">
      <c r="A785" s="3">
        <v>59</v>
      </c>
      <c r="B785" s="259"/>
      <c r="M785" s="260"/>
    </row>
    <row r="786" spans="1:13" ht="14.1" customHeight="1" x14ac:dyDescent="0.3">
      <c r="A786" s="3">
        <v>60</v>
      </c>
      <c r="B786" s="259"/>
      <c r="M786" s="260"/>
    </row>
    <row r="787" spans="1:13" ht="14.1" customHeight="1" x14ac:dyDescent="0.3">
      <c r="A787" s="3">
        <v>61</v>
      </c>
      <c r="B787" s="259"/>
      <c r="M787" s="260"/>
    </row>
    <row r="788" spans="1:13" ht="14.1" customHeight="1" x14ac:dyDescent="0.3">
      <c r="A788" s="3">
        <v>62</v>
      </c>
      <c r="B788" s="259"/>
      <c r="M788" s="260"/>
    </row>
    <row r="789" spans="1:13" ht="14.1" customHeight="1" x14ac:dyDescent="0.3">
      <c r="A789" s="3">
        <v>63</v>
      </c>
      <c r="B789" s="259"/>
      <c r="M789" s="260"/>
    </row>
    <row r="790" spans="1:13" ht="14.1" customHeight="1" x14ac:dyDescent="0.3">
      <c r="A790" s="3">
        <v>64</v>
      </c>
      <c r="B790" s="261"/>
      <c r="C790" s="262"/>
      <c r="D790" s="262"/>
      <c r="E790" s="262"/>
      <c r="F790" s="262"/>
      <c r="G790" s="262"/>
      <c r="H790" s="262"/>
      <c r="I790" s="262"/>
      <c r="J790" s="262"/>
      <c r="K790" s="262"/>
      <c r="L790" s="262"/>
      <c r="M790" s="263"/>
    </row>
    <row r="791" spans="1:13" ht="14.1" customHeight="1" x14ac:dyDescent="0.3">
      <c r="A791" s="3">
        <v>65</v>
      </c>
      <c r="C791" s="2" t="s">
        <v>8</v>
      </c>
      <c r="D791" s="437" t="str">
        <f>IF($P$7="","",$P$7)</f>
        <v/>
      </c>
      <c r="L791" s="2" t="s">
        <v>9</v>
      </c>
      <c r="M791" s="62" t="str">
        <f>IF($X$7="","",$X$7)</f>
        <v>Eugene Mah</v>
      </c>
    </row>
    <row r="792" spans="1:13" ht="14.1" customHeight="1" x14ac:dyDescent="0.3">
      <c r="A792" s="3">
        <v>66</v>
      </c>
      <c r="C792" s="2" t="s">
        <v>74</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7">
    <mergeCell ref="F10:G10"/>
    <mergeCell ref="K10:L10"/>
    <mergeCell ref="F11:G11"/>
    <mergeCell ref="K11:L11"/>
    <mergeCell ref="F12:G12"/>
    <mergeCell ref="K12:L12"/>
    <mergeCell ref="F13:G13"/>
    <mergeCell ref="K13:L13"/>
    <mergeCell ref="F16:G16"/>
    <mergeCell ref="K16:L16"/>
    <mergeCell ref="F17:G17"/>
    <mergeCell ref="K17:L17"/>
    <mergeCell ref="F18:G18"/>
    <mergeCell ref="K18:L18"/>
    <mergeCell ref="K19:L19"/>
    <mergeCell ref="F21:G21"/>
    <mergeCell ref="F22:G22"/>
    <mergeCell ref="K22:L22"/>
    <mergeCell ref="K23:L23"/>
    <mergeCell ref="F24:G24"/>
    <mergeCell ref="K24:L24"/>
    <mergeCell ref="F25:G25"/>
    <mergeCell ref="F26:G26"/>
    <mergeCell ref="K27:L27"/>
    <mergeCell ref="F28:G28"/>
    <mergeCell ref="K28:L28"/>
    <mergeCell ref="F29:G29"/>
    <mergeCell ref="F30:G30"/>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M204:M205"/>
    <mergeCell ref="G204:G205"/>
    <mergeCell ref="O214:O218"/>
    <mergeCell ref="O219:O223"/>
    <mergeCell ref="O224:O228"/>
    <mergeCell ref="O240:O241"/>
    <mergeCell ref="O242:O243"/>
    <mergeCell ref="Q257:R257"/>
    <mergeCell ref="T257:U257"/>
    <mergeCell ref="E269:G269"/>
    <mergeCell ref="H269:J269"/>
    <mergeCell ref="K269:M269"/>
    <mergeCell ref="V319:W319"/>
    <mergeCell ref="C324:C325"/>
    <mergeCell ref="Q329:U329"/>
    <mergeCell ref="E335:G335"/>
    <mergeCell ref="H335:J335"/>
    <mergeCell ref="K335:M335"/>
    <mergeCell ref="C271:C273"/>
    <mergeCell ref="C274:C276"/>
    <mergeCell ref="O276:O277"/>
    <mergeCell ref="P276:P277"/>
    <mergeCell ref="R276:R277"/>
    <mergeCell ref="S276:S277"/>
    <mergeCell ref="C277:C279"/>
    <mergeCell ref="C280:C282"/>
    <mergeCell ref="C283:C285"/>
    <mergeCell ref="P302:T302"/>
    <mergeCell ref="Q293:U293"/>
    <mergeCell ref="Q358:Q359"/>
    <mergeCell ref="R358:R361"/>
    <mergeCell ref="Q360:Q361"/>
    <mergeCell ref="C366:C370"/>
    <mergeCell ref="C303:C307"/>
    <mergeCell ref="C308:C312"/>
    <mergeCell ref="C313:C317"/>
    <mergeCell ref="D413:H413"/>
    <mergeCell ref="I413:M413"/>
    <mergeCell ref="H399:I399"/>
    <mergeCell ref="J399:K399"/>
    <mergeCell ref="F442:F443"/>
    <mergeCell ref="G442:G445"/>
    <mergeCell ref="F444:F445"/>
    <mergeCell ref="C337:C339"/>
    <mergeCell ref="C340:C342"/>
    <mergeCell ref="C343:C345"/>
    <mergeCell ref="C346:C348"/>
    <mergeCell ref="C349:C351"/>
    <mergeCell ref="E204:E205"/>
    <mergeCell ref="F204:F205"/>
    <mergeCell ref="C371:C375"/>
    <mergeCell ref="C376:C380"/>
    <mergeCell ref="C388:C389"/>
  </mergeCells>
  <conditionalFormatting sqref="E228 J232 G288 J288 M288 L323 I444">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4 J214 M214">
    <cfRule type="cellIs" dxfId="18" priority="25" operator="equal">
      <formula>"NO"</formula>
    </cfRule>
  </conditionalFormatting>
  <conditionalFormatting sqref="H138:H13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90:L110 L113:L118 L121:L126">
    <cfRule type="cellIs" dxfId="14" priority="15" operator="equal">
      <formula>"TBD"</formula>
    </cfRule>
  </conditionalFormatting>
  <conditionalFormatting sqref="M70:M76 M79:M87 M90:M110 M113:M118 M121:M126">
    <cfRule type="cellIs" dxfId="13" priority="16" operator="equal">
      <formula>"NO"</formula>
    </cfRule>
  </conditionalFormatting>
  <conditionalFormatting sqref="P311">
    <cfRule type="cellIs" dxfId="12" priority="10" operator="greaterThan">
      <formula>0.05</formula>
    </cfRule>
  </conditionalFormatting>
  <conditionalFormatting sqref="P312">
    <cfRule type="cellIs" dxfId="11" priority="21" operator="equal">
      <formula>"NO"</formula>
    </cfRule>
  </conditionalFormatting>
  <conditionalFormatting sqref="Q286 T286 W286">
    <cfRule type="cellIs" dxfId="10" priority="27" operator="equal">
      <formula>"NO"</formula>
    </cfRule>
  </conditionalFormatting>
  <conditionalFormatting sqref="Q352:U352">
    <cfRule type="cellIs" dxfId="9" priority="33" operator="equal">
      <formula>"NO"</formula>
    </cfRule>
  </conditionalFormatting>
  <conditionalFormatting sqref="S126 V126 Y126 S158 V158 Y158">
    <cfRule type="cellIs" dxfId="8" priority="42" operator="equal">
      <formula>"NO"</formula>
    </cfRule>
  </conditionalFormatting>
  <conditionalFormatting sqref="S324:T324">
    <cfRule type="cellIs" dxfId="7" priority="35" operator="equal">
      <formula>"NO"</formula>
    </cfRule>
  </conditionalFormatting>
  <conditionalFormatting sqref="T361">
    <cfRule type="cellIs" dxfId="6" priority="31" operator="equal">
      <formula>"NO"</formula>
    </cfRule>
  </conditionalFormatting>
  <conditionalFormatting sqref="V295:V298">
    <cfRule type="cellIs" dxfId="5" priority="13" operator="lessThan">
      <formula>-0.05</formula>
    </cfRule>
    <cfRule type="cellIs" dxfId="4" priority="14" operator="greaterThan">
      <formula>0.05</formula>
    </cfRule>
  </conditionalFormatting>
  <conditionalFormatting sqref="V299">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308">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disablePrompts="1" count="2">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s>
  <sheetFormatPr defaultRowHeight="15.6" x14ac:dyDescent="0.3"/>
  <cols>
    <col min="1" max="2" width="2.3984375" customWidth="1"/>
    <col min="3" max="13" width="10.59765625" customWidth="1"/>
  </cols>
  <sheetData>
    <row r="1" spans="1:13" ht="14.1" customHeight="1" x14ac:dyDescent="0.3">
      <c r="A1" s="3">
        <v>1</v>
      </c>
      <c r="B1" s="1"/>
      <c r="C1" s="1"/>
      <c r="D1" s="1"/>
      <c r="E1" s="1"/>
      <c r="F1" s="1"/>
      <c r="G1" s="1"/>
      <c r="H1" s="1"/>
      <c r="I1" s="1"/>
      <c r="J1" s="1"/>
      <c r="K1" s="1"/>
      <c r="L1" s="1"/>
      <c r="M1" s="65" t="str">
        <f>Fluoro!$H$2</f>
        <v>Medical University of South Carolina</v>
      </c>
    </row>
    <row r="2" spans="1:13" ht="14.1" customHeight="1" x14ac:dyDescent="0.3">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3">
      <c r="A3" s="3">
        <v>3</v>
      </c>
      <c r="B3" s="4"/>
      <c r="C3" s="106" t="str">
        <f>Fluoro!C267</f>
        <v>Patient Entrance Exposure Rate (Pulse Fluoroscopy)</v>
      </c>
      <c r="D3" s="5"/>
      <c r="E3" s="5"/>
      <c r="F3" s="5"/>
      <c r="G3" s="5"/>
      <c r="H3" s="447" t="str">
        <f>Fluoro!H267</f>
        <v>Test equipment:</v>
      </c>
      <c r="I3" s="479" t="str">
        <f>Fluoro!I267</f>
        <v>Piranha 1 CB2-17090320</v>
      </c>
      <c r="J3" s="447" t="str">
        <f>Fluoro!J267</f>
        <v>Calibration date:</v>
      </c>
      <c r="K3" s="480" t="str">
        <f>Fluoro!K267</f>
        <v/>
      </c>
      <c r="L3" s="447" t="str">
        <f>Fluoro!L267</f>
        <v>Calibration due:</v>
      </c>
      <c r="M3" s="481" t="str">
        <f>Fluoro!M267</f>
        <v/>
      </c>
    </row>
    <row r="4" spans="1:13" ht="14.1" customHeight="1" x14ac:dyDescent="0.3">
      <c r="A4" s="3">
        <v>4</v>
      </c>
      <c r="B4" s="10"/>
      <c r="C4" s="168" t="str">
        <f>Fluoro!C268</f>
        <v>Image</v>
      </c>
      <c r="D4" s="168" t="str">
        <f>Fluoro!D268</f>
        <v>Acrylic</v>
      </c>
      <c r="M4" s="41"/>
    </row>
    <row r="5" spans="1:13" ht="14.1" customHeight="1" x14ac:dyDescent="0.3">
      <c r="A5" s="3">
        <v>5</v>
      </c>
      <c r="B5" s="10"/>
      <c r="C5" s="168" t="str">
        <f>Fluoro!C269</f>
        <v>Mode</v>
      </c>
      <c r="D5" s="168" t="str">
        <f>Fluoro!D269</f>
        <v>Attenuator</v>
      </c>
      <c r="E5" s="539" t="str">
        <f>Fluoro!E269</f>
        <v>Auto 1</v>
      </c>
      <c r="F5" s="539">
        <f>Fluoro!F269</f>
        <v>0</v>
      </c>
      <c r="G5" s="539">
        <f>Fluoro!G269</f>
        <v>0</v>
      </c>
      <c r="H5" s="539" t="str">
        <f>Fluoro!H269</f>
        <v/>
      </c>
      <c r="I5" s="539">
        <f>Fluoro!I269</f>
        <v>0</v>
      </c>
      <c r="J5" s="539">
        <f>Fluoro!J269</f>
        <v>0</v>
      </c>
      <c r="K5" s="540" t="str">
        <f>Fluoro!K269</f>
        <v xml:space="preserve">Auto </v>
      </c>
      <c r="L5" s="540">
        <f>Fluoro!L269</f>
        <v>0</v>
      </c>
      <c r="M5" s="540">
        <f>Fluoro!M269</f>
        <v>0</v>
      </c>
    </row>
    <row r="6" spans="1:13" ht="14.1" customHeight="1" x14ac:dyDescent="0.3">
      <c r="A6" s="3">
        <v>6</v>
      </c>
      <c r="B6" s="10"/>
      <c r="C6" s="171" t="str">
        <f>Fluoro!C270</f>
        <v>(cm)</v>
      </c>
      <c r="D6" s="171" t="str">
        <f>Fluoro!D270</f>
        <v>(cm)</v>
      </c>
      <c r="E6" s="172" t="str">
        <f>Fluoro!E270</f>
        <v>kVp</v>
      </c>
      <c r="F6" s="173" t="str">
        <f>Fluoro!F270</f>
        <v>mA</v>
      </c>
      <c r="G6" s="174" t="s">
        <v>374</v>
      </c>
      <c r="H6" s="172" t="str">
        <f>Fluoro!H270</f>
        <v>kVp</v>
      </c>
      <c r="I6" s="173" t="str">
        <f>Fluoro!I270</f>
        <v>mA</v>
      </c>
      <c r="J6" s="174" t="s">
        <v>374</v>
      </c>
      <c r="K6" s="172" t="str">
        <f>Fluoro!K270</f>
        <v>kVp</v>
      </c>
      <c r="L6" s="173" t="str">
        <f>Fluoro!L270</f>
        <v>mA</v>
      </c>
      <c r="M6" s="41" t="s">
        <v>374</v>
      </c>
    </row>
    <row r="7" spans="1:13" ht="14.1" customHeight="1" x14ac:dyDescent="0.3">
      <c r="A7" s="3">
        <v>7</v>
      </c>
      <c r="B7" s="10"/>
      <c r="C7" s="566" t="str">
        <f>Fluoro!C271</f>
        <v xml:space="preserve"> cm</v>
      </c>
      <c r="D7" s="175">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6">
        <f>IF(Fluoro!M271="","",Fluoro!M271*0.1145)</f>
        <v>0</v>
      </c>
    </row>
    <row r="8" spans="1:13" ht="14.1" customHeight="1" x14ac:dyDescent="0.3">
      <c r="A8" s="3">
        <v>8</v>
      </c>
      <c r="B8" s="10"/>
      <c r="C8" s="566">
        <f>Fluoro!C272</f>
        <v>0</v>
      </c>
      <c r="D8" s="168">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7">
        <f>IF(Fluoro!M272="","",Fluoro!M272*0.1145)</f>
        <v>0</v>
      </c>
    </row>
    <row r="9" spans="1:13" ht="14.1" customHeight="1" x14ac:dyDescent="0.3">
      <c r="A9" s="3">
        <v>9</v>
      </c>
      <c r="B9" s="10"/>
      <c r="C9" s="566">
        <f>Fluoro!C273</f>
        <v>0</v>
      </c>
      <c r="D9" s="171">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8">
        <f>IF(Fluoro!M273="","",Fluoro!M273*0.1145)</f>
        <v>0</v>
      </c>
    </row>
    <row r="10" spans="1:13" ht="14.1" customHeight="1" x14ac:dyDescent="0.3">
      <c r="A10" s="3">
        <v>10</v>
      </c>
      <c r="B10" s="10"/>
      <c r="C10" s="566" t="str">
        <f>Fluoro!C274</f>
        <v xml:space="preserve"> cm</v>
      </c>
      <c r="D10" s="175">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6">
        <f>IF(Fluoro!M274="","",Fluoro!M274*0.1145)</f>
        <v>0</v>
      </c>
    </row>
    <row r="11" spans="1:13" ht="14.1" customHeight="1" x14ac:dyDescent="0.3">
      <c r="A11" s="3">
        <v>11</v>
      </c>
      <c r="B11" s="10"/>
      <c r="C11" s="566">
        <f>Fluoro!C275</f>
        <v>0</v>
      </c>
      <c r="D11" s="168">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7">
        <f>IF(Fluoro!M275="","",Fluoro!M275*0.1145)</f>
        <v>0</v>
      </c>
    </row>
    <row r="12" spans="1:13" ht="14.1" customHeight="1" x14ac:dyDescent="0.3">
      <c r="A12" s="3">
        <v>12</v>
      </c>
      <c r="B12" s="10"/>
      <c r="C12" s="566">
        <f>Fluoro!C276</f>
        <v>0</v>
      </c>
      <c r="D12" s="171">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8">
        <f>IF(Fluoro!M276="","",Fluoro!M276*0.1145)</f>
        <v>0</v>
      </c>
    </row>
    <row r="13" spans="1:13" ht="14.1" customHeight="1" x14ac:dyDescent="0.3">
      <c r="A13" s="3">
        <v>13</v>
      </c>
      <c r="B13" s="10"/>
      <c r="C13" s="566" t="str">
        <f>Fluoro!C277</f>
        <v xml:space="preserve"> cm</v>
      </c>
      <c r="D13" s="175">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6">
        <f>IF(Fluoro!M277="","",Fluoro!M277*0.1145)</f>
        <v>0</v>
      </c>
    </row>
    <row r="14" spans="1:13" ht="14.1" customHeight="1" x14ac:dyDescent="0.3">
      <c r="A14" s="3">
        <v>14</v>
      </c>
      <c r="B14" s="10"/>
      <c r="C14" s="566">
        <f>Fluoro!C278</f>
        <v>0</v>
      </c>
      <c r="D14" s="168">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7">
        <f>IF(Fluoro!M278="","",Fluoro!M278*0.1145)</f>
        <v>0</v>
      </c>
    </row>
    <row r="15" spans="1:13" ht="14.1" customHeight="1" x14ac:dyDescent="0.3">
      <c r="A15" s="3">
        <v>15</v>
      </c>
      <c r="B15" s="10"/>
      <c r="C15" s="566">
        <f>Fluoro!C279</f>
        <v>0</v>
      </c>
      <c r="D15" s="171">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8">
        <f>IF(Fluoro!M279="","",Fluoro!M279*0.1145)</f>
        <v>0</v>
      </c>
    </row>
    <row r="16" spans="1:13" ht="14.1" customHeight="1" x14ac:dyDescent="0.3">
      <c r="A16" s="3">
        <v>16</v>
      </c>
      <c r="B16" s="10"/>
      <c r="C16" s="566" t="str">
        <f>Fluoro!C280</f>
        <v xml:space="preserve"> cm</v>
      </c>
      <c r="D16" s="175">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6">
        <f>IF(Fluoro!M280="","",Fluoro!M280*0.1145)</f>
        <v>0</v>
      </c>
    </row>
    <row r="17" spans="1:13" ht="14.1" customHeight="1" x14ac:dyDescent="0.3">
      <c r="A17" s="3">
        <v>17</v>
      </c>
      <c r="B17" s="10"/>
      <c r="C17" s="566">
        <f>Fluoro!C281</f>
        <v>0</v>
      </c>
      <c r="D17" s="168">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7">
        <f>IF(Fluoro!M281="","",Fluoro!M281*0.1145)</f>
        <v>0</v>
      </c>
    </row>
    <row r="18" spans="1:13" ht="14.1" customHeight="1" x14ac:dyDescent="0.3">
      <c r="A18" s="3">
        <v>18</v>
      </c>
      <c r="B18" s="10"/>
      <c r="C18" s="566">
        <f>Fluoro!C282</f>
        <v>0</v>
      </c>
      <c r="D18" s="171">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8">
        <f>IF(Fluoro!M282="","",Fluoro!M282*0.1145)</f>
        <v>0</v>
      </c>
    </row>
    <row r="19" spans="1:13" ht="14.1" customHeight="1" x14ac:dyDescent="0.3">
      <c r="A19" s="3">
        <v>19</v>
      </c>
      <c r="B19" s="10"/>
      <c r="C19" s="566" t="str">
        <f>Fluoro!C283</f>
        <v xml:space="preserve"> cm</v>
      </c>
      <c r="D19" s="175">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6">
        <f>IF(Fluoro!M283="","",Fluoro!M283*0.1145)</f>
        <v>0</v>
      </c>
    </row>
    <row r="20" spans="1:13" ht="14.1" customHeight="1" x14ac:dyDescent="0.3">
      <c r="A20" s="3">
        <v>20</v>
      </c>
      <c r="B20" s="10"/>
      <c r="C20" s="566">
        <f>Fluoro!C284</f>
        <v>0</v>
      </c>
      <c r="D20" s="168">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7">
        <f>IF(Fluoro!M284="","",Fluoro!M284*0.1145)</f>
        <v>0</v>
      </c>
    </row>
    <row r="21" spans="1:13" ht="14.1" customHeight="1" x14ac:dyDescent="0.3">
      <c r="A21" s="3">
        <v>21</v>
      </c>
      <c r="B21" s="10"/>
      <c r="C21" s="566">
        <f>Fluoro!C285</f>
        <v>0</v>
      </c>
      <c r="D21" s="171">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8">
        <f>IF(Fluoro!M285="","",Fluoro!M285*0.1145)</f>
        <v>0</v>
      </c>
    </row>
    <row r="22" spans="1:13" ht="14.1" customHeight="1" x14ac:dyDescent="0.3">
      <c r="A22" s="3">
        <v>22</v>
      </c>
      <c r="B22" s="10"/>
      <c r="D22" s="144" t="str">
        <f>Fluoro!D286</f>
        <v>max</v>
      </c>
      <c r="E22" s="187">
        <f>Fluoro!E286</f>
        <v>0</v>
      </c>
      <c r="F22" s="188">
        <f>Fluoro!F286</f>
        <v>0</v>
      </c>
      <c r="G22" s="189">
        <f>IF(Fluoro!G286="","",Fluoro!G286*0.1145)</f>
        <v>0</v>
      </c>
      <c r="H22" s="187">
        <f>Fluoro!H286</f>
        <v>0</v>
      </c>
      <c r="I22" s="188">
        <f>Fluoro!I286</f>
        <v>0</v>
      </c>
      <c r="J22" s="189">
        <f>IF(Fluoro!J286="","",Fluoro!J286*0.1145)</f>
        <v>0</v>
      </c>
      <c r="K22" s="190">
        <f>Fluoro!K286</f>
        <v>0</v>
      </c>
      <c r="L22" s="191">
        <f>Fluoro!L286</f>
        <v>0</v>
      </c>
      <c r="M22" s="192">
        <f>IF(Fluoro!M286="","",Fluoro!M286*0.1145)</f>
        <v>0</v>
      </c>
    </row>
    <row r="23" spans="1:13" ht="14.1" customHeight="1" x14ac:dyDescent="0.3">
      <c r="A23" s="3">
        <v>23</v>
      </c>
      <c r="B23" s="10"/>
      <c r="C23" s="1"/>
      <c r="D23" s="1"/>
      <c r="E23" s="1"/>
      <c r="F23" s="1"/>
      <c r="G23" s="1"/>
      <c r="H23" s="1"/>
      <c r="I23" s="1"/>
      <c r="J23" s="1"/>
      <c r="K23" s="1"/>
      <c r="L23" s="1"/>
      <c r="M23" s="12"/>
    </row>
    <row r="24" spans="1:13" ht="14.1" customHeight="1" x14ac:dyDescent="0.3">
      <c r="A24" s="3">
        <v>24</v>
      </c>
      <c r="B24" s="10"/>
      <c r="C24" s="1"/>
      <c r="D24" s="97" t="str">
        <f>Fluoro!D288</f>
        <v>*Measured at:</v>
      </c>
      <c r="E24" s="1"/>
      <c r="F24" s="193" t="str">
        <f>Fluoro!F288</f>
        <v>Acceptable:</v>
      </c>
      <c r="G24" s="194" t="str">
        <f>Fluoro!G288</f>
        <v>YES</v>
      </c>
      <c r="H24" s="1"/>
      <c r="I24" s="193" t="str">
        <f>Fluoro!I288</f>
        <v>Acceptable:</v>
      </c>
      <c r="J24" s="194" t="str">
        <f>Fluoro!J288</f>
        <v>YES</v>
      </c>
      <c r="K24" s="1"/>
      <c r="L24" s="193" t="str">
        <f>Fluoro!L288</f>
        <v>Acceptable:</v>
      </c>
      <c r="M24" s="195" t="str">
        <f>Fluoro!M288</f>
        <v>YES</v>
      </c>
    </row>
    <row r="25" spans="1:13" ht="14.1" customHeight="1" x14ac:dyDescent="0.3">
      <c r="A25" s="3">
        <v>25</v>
      </c>
      <c r="B25" s="10"/>
      <c r="C25" s="1"/>
      <c r="D25" s="100" t="str">
        <f>Fluoro!D289</f>
        <v>Undertable fluoroscopy units: 1 cm above table top</v>
      </c>
      <c r="E25" s="1"/>
      <c r="F25" s="1"/>
      <c r="G25" s="1"/>
      <c r="H25" s="1"/>
      <c r="I25" s="1"/>
      <c r="J25" s="1"/>
      <c r="K25" s="1"/>
      <c r="L25" s="1"/>
      <c r="M25" s="12"/>
    </row>
    <row r="26" spans="1:13" ht="14.1" customHeight="1" x14ac:dyDescent="0.3">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3">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3">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3">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3">
      <c r="A30" s="3">
        <v>30</v>
      </c>
      <c r="B30" s="10"/>
      <c r="C30" s="1"/>
      <c r="D30" s="17"/>
      <c r="E30" s="50" t="str">
        <f>Fluoro!E294</f>
        <v>Max Entrance Exposure Rate &lt; = 176 mGy/min (high level)</v>
      </c>
      <c r="F30" s="1"/>
      <c r="G30" s="1"/>
      <c r="H30" s="1"/>
      <c r="I30" s="1"/>
      <c r="J30" s="1"/>
      <c r="K30" s="1"/>
      <c r="L30" s="1"/>
      <c r="M30" s="12"/>
    </row>
    <row r="31" spans="1:13" ht="14.1" customHeight="1" x14ac:dyDescent="0.3">
      <c r="A31" s="3">
        <v>31</v>
      </c>
      <c r="B31" s="10"/>
      <c r="C31" s="1"/>
      <c r="D31" s="1" t="str">
        <f>Fluoro!C295</f>
        <v>Comments:</v>
      </c>
      <c r="E31" s="63" t="str">
        <f>Fluoro!D295</f>
        <v/>
      </c>
      <c r="F31" s="62"/>
      <c r="G31" s="62"/>
      <c r="H31" s="62"/>
      <c r="I31" s="62"/>
      <c r="J31" s="62"/>
      <c r="K31" s="62"/>
      <c r="L31" s="62"/>
      <c r="M31" s="199"/>
    </row>
    <row r="32" spans="1:13" ht="14.1" customHeight="1" x14ac:dyDescent="0.3">
      <c r="A32" s="3">
        <v>32</v>
      </c>
      <c r="B32" s="10"/>
      <c r="C32" s="1"/>
      <c r="D32" s="1"/>
      <c r="E32" s="103" t="str">
        <f>Fluoro!D296</f>
        <v/>
      </c>
      <c r="F32" s="105"/>
      <c r="G32" s="105"/>
      <c r="H32" s="105"/>
      <c r="I32" s="105"/>
      <c r="J32" s="105"/>
      <c r="K32" s="105"/>
      <c r="L32" s="105"/>
      <c r="M32" s="201"/>
    </row>
    <row r="33" spans="1:13" ht="14.1" customHeight="1" x14ac:dyDescent="0.3">
      <c r="A33" s="3">
        <v>33</v>
      </c>
      <c r="B33" s="10"/>
      <c r="C33" s="1"/>
      <c r="D33" s="1"/>
      <c r="E33" s="103" t="str">
        <f>Fluoro!D297</f>
        <v/>
      </c>
      <c r="F33" s="105"/>
      <c r="G33" s="105"/>
      <c r="H33" s="105"/>
      <c r="I33" s="105"/>
      <c r="J33" s="105"/>
      <c r="K33" s="105"/>
      <c r="L33" s="105"/>
      <c r="M33" s="201"/>
    </row>
    <row r="34" spans="1:13" ht="14.1" customHeight="1" thickBot="1" x14ac:dyDescent="0.35">
      <c r="A34" s="3">
        <v>34</v>
      </c>
      <c r="B34" s="203"/>
      <c r="C34" s="22"/>
      <c r="D34" s="22"/>
      <c r="E34" s="22"/>
      <c r="F34" s="22"/>
      <c r="G34" s="22"/>
      <c r="H34" s="22"/>
      <c r="I34" s="22"/>
      <c r="J34" s="22"/>
      <c r="K34" s="22"/>
      <c r="L34" s="22"/>
      <c r="M34" s="478"/>
    </row>
    <row r="35" spans="1:13" ht="14.1" customHeight="1" x14ac:dyDescent="0.3">
      <c r="A35" s="3">
        <v>35</v>
      </c>
      <c r="B35" s="10"/>
      <c r="C35" s="285" t="str">
        <f>Fluoro!C333</f>
        <v>Patient Entrance Exposure Rate – Pulse Fluroscopy</v>
      </c>
      <c r="D35" s="1"/>
      <c r="E35" s="1"/>
      <c r="F35" s="1"/>
      <c r="G35" s="1"/>
      <c r="H35" s="2" t="str">
        <f>Fluoro!H267</f>
        <v>Test equipment:</v>
      </c>
      <c r="I35" s="482" t="str">
        <f>Fluoro!I267</f>
        <v>Piranha 1 CB2-17090320</v>
      </c>
      <c r="J35" s="2" t="str">
        <f>Fluoro!J267</f>
        <v>Calibration date:</v>
      </c>
      <c r="K35" s="483" t="str">
        <f>Fluoro!K267</f>
        <v/>
      </c>
      <c r="L35" s="2" t="str">
        <f>Fluoro!L267</f>
        <v>Calibration due:</v>
      </c>
      <c r="M35" s="484" t="str">
        <f>Fluoro!M267</f>
        <v/>
      </c>
    </row>
    <row r="36" spans="1:13" ht="14.1" customHeight="1" x14ac:dyDescent="0.3">
      <c r="A36" s="3">
        <v>36</v>
      </c>
      <c r="B36" s="10"/>
      <c r="C36" s="168" t="str">
        <f>Fluoro!C334</f>
        <v>Image</v>
      </c>
      <c r="D36" s="168" t="str">
        <f>Fluoro!D334</f>
        <v>Acrylic</v>
      </c>
      <c r="M36" s="41"/>
    </row>
    <row r="37" spans="1:13" ht="14.1" customHeight="1" x14ac:dyDescent="0.3">
      <c r="A37" s="3">
        <v>37</v>
      </c>
      <c r="B37" s="10"/>
      <c r="C37" s="168" t="str">
        <f>Fluoro!C335</f>
        <v>Mode</v>
      </c>
      <c r="D37" s="168" t="str">
        <f>Fluoro!D335</f>
        <v>Attenuator</v>
      </c>
      <c r="E37" s="539" t="str">
        <f>Fluoro!E335</f>
        <v>Auto 1</v>
      </c>
      <c r="F37" s="539">
        <f>Fluoro!F335</f>
        <v>0</v>
      </c>
      <c r="G37" s="539">
        <f>Fluoro!G335</f>
        <v>0</v>
      </c>
      <c r="H37" s="539" t="str">
        <f>Fluoro!H335</f>
        <v/>
      </c>
      <c r="I37" s="539">
        <f>Fluoro!I335</f>
        <v>0</v>
      </c>
      <c r="J37" s="539">
        <f>Fluoro!J335</f>
        <v>0</v>
      </c>
      <c r="K37" s="540" t="str">
        <f>Fluoro!K335</f>
        <v xml:space="preserve">Auto </v>
      </c>
      <c r="L37" s="540">
        <f>Fluoro!L335</f>
        <v>0</v>
      </c>
      <c r="M37" s="540">
        <f>Fluoro!M335</f>
        <v>0</v>
      </c>
    </row>
    <row r="38" spans="1:13" ht="14.1" customHeight="1" thickBot="1" x14ac:dyDescent="0.35">
      <c r="A38" s="3">
        <v>38</v>
      </c>
      <c r="B38" s="10"/>
      <c r="C38" s="168" t="str">
        <f>Fluoro!C336</f>
        <v>(cm)</v>
      </c>
      <c r="D38" s="168" t="str">
        <f>Fluoro!D336</f>
        <v>(cm)</v>
      </c>
      <c r="E38" s="172" t="str">
        <f>Fluoro!E336</f>
        <v>kVp</v>
      </c>
      <c r="F38" s="173" t="str">
        <f>Fluoro!F336</f>
        <v>mA</v>
      </c>
      <c r="G38" s="174" t="s">
        <v>374</v>
      </c>
      <c r="H38" s="172" t="str">
        <f>Fluoro!H336</f>
        <v>kVp</v>
      </c>
      <c r="I38" s="173" t="str">
        <f>Fluoro!I336</f>
        <v>mA</v>
      </c>
      <c r="J38" s="174" t="s">
        <v>374</v>
      </c>
      <c r="K38" s="172" t="str">
        <f>Fluoro!K336</f>
        <v>kVp</v>
      </c>
      <c r="L38" s="173" t="str">
        <f>Fluoro!L336</f>
        <v>mA</v>
      </c>
      <c r="M38" s="41" t="s">
        <v>374</v>
      </c>
    </row>
    <row r="39" spans="1:13" ht="14.1" customHeight="1" thickBot="1" x14ac:dyDescent="0.35">
      <c r="A39" s="3">
        <v>39</v>
      </c>
      <c r="B39" s="10"/>
      <c r="C39" s="566" t="str">
        <f>Fluoro!C337</f>
        <v xml:space="preserve"> cm</v>
      </c>
      <c r="D39" s="175">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6">
        <f>IF(Fluoro!M337="","",Fluoro!M337*0.1145)</f>
        <v>0</v>
      </c>
    </row>
    <row r="40" spans="1:13" ht="14.1" customHeight="1" thickBot="1" x14ac:dyDescent="0.35">
      <c r="A40" s="3">
        <v>40</v>
      </c>
      <c r="B40" s="10"/>
      <c r="C40" s="566">
        <f>Fluoro!C338</f>
        <v>0</v>
      </c>
      <c r="D40" s="168">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7">
        <f>IF(Fluoro!M338="","",Fluoro!M338*0.1145)</f>
        <v>0</v>
      </c>
    </row>
    <row r="41" spans="1:13" ht="14.1" customHeight="1" thickBot="1" x14ac:dyDescent="0.35">
      <c r="A41" s="3">
        <v>41</v>
      </c>
      <c r="B41" s="10"/>
      <c r="C41" s="566">
        <f>Fluoro!C339</f>
        <v>0</v>
      </c>
      <c r="D41" s="171">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8">
        <f>IF(Fluoro!M339="","",Fluoro!M339*0.1145)</f>
        <v>0</v>
      </c>
    </row>
    <row r="42" spans="1:13" ht="14.1" customHeight="1" thickBot="1" x14ac:dyDescent="0.35">
      <c r="A42" s="3">
        <v>42</v>
      </c>
      <c r="B42" s="10"/>
      <c r="C42" s="566" t="str">
        <f>Fluoro!C340</f>
        <v xml:space="preserve"> cm</v>
      </c>
      <c r="D42" s="175">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6">
        <f>IF(Fluoro!M340="","",Fluoro!M340*0.1145)</f>
        <v>0</v>
      </c>
    </row>
    <row r="43" spans="1:13" ht="14.1" customHeight="1" thickBot="1" x14ac:dyDescent="0.35">
      <c r="A43" s="3">
        <v>43</v>
      </c>
      <c r="B43" s="10"/>
      <c r="C43" s="566">
        <f>Fluoro!C341</f>
        <v>0</v>
      </c>
      <c r="D43" s="168">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7">
        <f>IF(Fluoro!M341="","",Fluoro!M341*0.1145)</f>
        <v>0</v>
      </c>
    </row>
    <row r="44" spans="1:13" ht="14.1" customHeight="1" thickBot="1" x14ac:dyDescent="0.35">
      <c r="A44" s="3">
        <v>44</v>
      </c>
      <c r="B44" s="10"/>
      <c r="C44" s="566">
        <f>Fluoro!C342</f>
        <v>0</v>
      </c>
      <c r="D44" s="171">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8">
        <f>IF(Fluoro!M342="","",Fluoro!M342*0.1145)</f>
        <v>0</v>
      </c>
    </row>
    <row r="45" spans="1:13" ht="14.1" customHeight="1" thickBot="1" x14ac:dyDescent="0.35">
      <c r="A45" s="3">
        <v>45</v>
      </c>
      <c r="B45" s="10"/>
      <c r="C45" s="566" t="str">
        <f>Fluoro!C343</f>
        <v xml:space="preserve"> cm</v>
      </c>
      <c r="D45" s="175">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6">
        <f>IF(Fluoro!M343="","",Fluoro!M343*0.1145)</f>
        <v>0</v>
      </c>
    </row>
    <row r="46" spans="1:13" ht="14.1" customHeight="1" thickBot="1" x14ac:dyDescent="0.35">
      <c r="A46" s="3">
        <v>46</v>
      </c>
      <c r="B46" s="10"/>
      <c r="C46" s="566">
        <f>Fluoro!C344</f>
        <v>0</v>
      </c>
      <c r="D46" s="168">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7">
        <f>IF(Fluoro!M344="","",Fluoro!M344*0.1145)</f>
        <v>0</v>
      </c>
    </row>
    <row r="47" spans="1:13" ht="14.1" customHeight="1" thickBot="1" x14ac:dyDescent="0.35">
      <c r="A47" s="3">
        <v>47</v>
      </c>
      <c r="B47" s="10"/>
      <c r="C47" s="566">
        <f>Fluoro!C345</f>
        <v>0</v>
      </c>
      <c r="D47" s="171">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8">
        <f>IF(Fluoro!M345="","",Fluoro!M345*0.1145)</f>
        <v>0</v>
      </c>
    </row>
    <row r="48" spans="1:13" ht="14.1" customHeight="1" thickBot="1" x14ac:dyDescent="0.35">
      <c r="A48" s="3">
        <v>48</v>
      </c>
      <c r="B48" s="10"/>
      <c r="C48" s="566" t="str">
        <f>Fluoro!C346</f>
        <v xml:space="preserve"> cm</v>
      </c>
      <c r="D48" s="175">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6">
        <f>IF(Fluoro!M346="","",Fluoro!M346*0.1145)</f>
        <v>0</v>
      </c>
    </row>
    <row r="49" spans="1:13" ht="14.1" customHeight="1" thickBot="1" x14ac:dyDescent="0.35">
      <c r="A49" s="3">
        <v>49</v>
      </c>
      <c r="B49" s="10"/>
      <c r="C49" s="566">
        <f>Fluoro!C347</f>
        <v>0</v>
      </c>
      <c r="D49" s="168">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7">
        <f>IF(Fluoro!M347="","",Fluoro!M347*0.1145)</f>
        <v>0</v>
      </c>
    </row>
    <row r="50" spans="1:13" ht="14.1" customHeight="1" thickBot="1" x14ac:dyDescent="0.35">
      <c r="A50" s="3">
        <v>50</v>
      </c>
      <c r="B50" s="10"/>
      <c r="C50" s="566">
        <f>Fluoro!C348</f>
        <v>0</v>
      </c>
      <c r="D50" s="171">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8">
        <f>IF(Fluoro!M348="","",Fluoro!M348*0.1145)</f>
        <v>0</v>
      </c>
    </row>
    <row r="51" spans="1:13" ht="14.1" customHeight="1" thickBot="1" x14ac:dyDescent="0.35">
      <c r="A51" s="3">
        <v>51</v>
      </c>
      <c r="B51" s="10"/>
      <c r="C51" s="566" t="str">
        <f>Fluoro!C349</f>
        <v xml:space="preserve"> cm</v>
      </c>
      <c r="D51" s="175">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6">
        <f>IF(Fluoro!M349="","",Fluoro!M349*0.1145)</f>
        <v>0</v>
      </c>
    </row>
    <row r="52" spans="1:13" ht="14.1" customHeight="1" thickBot="1" x14ac:dyDescent="0.35">
      <c r="A52" s="3">
        <v>52</v>
      </c>
      <c r="B52" s="10"/>
      <c r="C52" s="566">
        <f>Fluoro!C350</f>
        <v>0</v>
      </c>
      <c r="D52" s="168">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7">
        <f>IF(Fluoro!M350="","",Fluoro!M350*0.1145)</f>
        <v>0</v>
      </c>
    </row>
    <row r="53" spans="1:13" ht="14.1" customHeight="1" thickBot="1" x14ac:dyDescent="0.35">
      <c r="A53" s="3">
        <v>53</v>
      </c>
      <c r="B53" s="10"/>
      <c r="C53" s="566">
        <f>Fluoro!C351</f>
        <v>0</v>
      </c>
      <c r="D53" s="171">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8">
        <f>IF(Fluoro!M351="","",Fluoro!M351*0.1145)</f>
        <v>0</v>
      </c>
    </row>
    <row r="54" spans="1:13" ht="14.1" customHeight="1" thickBot="1" x14ac:dyDescent="0.35">
      <c r="A54" s="3">
        <v>54</v>
      </c>
      <c r="B54" s="10"/>
      <c r="D54" s="144" t="str">
        <f>Fluoro!D352</f>
        <v>max</v>
      </c>
      <c r="E54" s="187">
        <f>Fluoro!E352</f>
        <v>0</v>
      </c>
      <c r="F54" s="188">
        <f>Fluoro!F352</f>
        <v>0</v>
      </c>
      <c r="G54" s="189">
        <f>IF(Fluoro!G352="","",Fluoro!G352*0.1145)</f>
        <v>0</v>
      </c>
      <c r="H54" s="187">
        <f>Fluoro!H352</f>
        <v>0</v>
      </c>
      <c r="I54" s="188">
        <f>Fluoro!I352</f>
        <v>0</v>
      </c>
      <c r="J54" s="189">
        <f>IF(Fluoro!J352="","",Fluoro!J352*0.1145)</f>
        <v>0</v>
      </c>
      <c r="K54" s="187">
        <f>Fluoro!K352</f>
        <v>0</v>
      </c>
      <c r="L54" s="188">
        <f>Fluoro!L352</f>
        <v>0</v>
      </c>
      <c r="M54" s="224">
        <f>IF(Fluoro!M352="","",Fluoro!M352*0.1145)</f>
        <v>0</v>
      </c>
    </row>
    <row r="55" spans="1:13" ht="14.1" customHeight="1" x14ac:dyDescent="0.3">
      <c r="A55" s="3">
        <v>55</v>
      </c>
      <c r="B55" s="10"/>
      <c r="C55" s="1"/>
      <c r="D55" s="1"/>
      <c r="E55" s="1"/>
      <c r="F55" s="1"/>
      <c r="G55" s="1"/>
      <c r="H55" s="1"/>
      <c r="I55" s="1"/>
      <c r="J55" s="1"/>
      <c r="K55" s="1"/>
      <c r="L55" s="1"/>
      <c r="M55" s="12"/>
    </row>
    <row r="56" spans="1:13" ht="14.1" customHeight="1" x14ac:dyDescent="0.3">
      <c r="A56" s="3">
        <v>56</v>
      </c>
      <c r="B56" s="10"/>
      <c r="C56" s="1"/>
      <c r="D56" s="1" t="str">
        <f>Fluoro!C354</f>
        <v>Comments:</v>
      </c>
      <c r="E56" s="63" t="str">
        <f>Fluoro!D354</f>
        <v/>
      </c>
      <c r="F56" s="62"/>
      <c r="G56" s="62"/>
      <c r="H56" s="62"/>
      <c r="I56" s="62"/>
      <c r="J56" s="62"/>
      <c r="K56" s="62"/>
      <c r="L56" s="62"/>
      <c r="M56" s="199"/>
    </row>
    <row r="57" spans="1:13" ht="14.1" customHeight="1" x14ac:dyDescent="0.3">
      <c r="A57" s="3">
        <v>57</v>
      </c>
      <c r="B57" s="10"/>
      <c r="C57" s="1"/>
      <c r="D57" s="1"/>
      <c r="E57" s="103" t="str">
        <f>Fluoro!D355</f>
        <v/>
      </c>
      <c r="F57" s="105"/>
      <c r="G57" s="105"/>
      <c r="H57" s="105"/>
      <c r="I57" s="105"/>
      <c r="J57" s="105"/>
      <c r="K57" s="105"/>
      <c r="L57" s="105"/>
      <c r="M57" s="201"/>
    </row>
    <row r="58" spans="1:13" ht="14.1" customHeight="1" x14ac:dyDescent="0.3">
      <c r="A58" s="3">
        <v>58</v>
      </c>
      <c r="B58" s="10"/>
      <c r="C58" s="1"/>
      <c r="D58" s="1"/>
      <c r="E58" s="103" t="str">
        <f>Fluoro!D356</f>
        <v/>
      </c>
      <c r="F58" s="105"/>
      <c r="G58" s="105"/>
      <c r="H58" s="105"/>
      <c r="I58" s="105"/>
      <c r="J58" s="105"/>
      <c r="K58" s="105"/>
      <c r="L58" s="105"/>
      <c r="M58" s="201"/>
    </row>
    <row r="59" spans="1:13" ht="14.1" customHeight="1" x14ac:dyDescent="0.3">
      <c r="A59" s="3">
        <v>59</v>
      </c>
      <c r="B59" s="10"/>
      <c r="C59" s="1"/>
      <c r="D59" s="100"/>
      <c r="E59" s="1"/>
      <c r="F59" s="1"/>
      <c r="G59" s="1"/>
      <c r="H59" s="1"/>
      <c r="I59" s="1"/>
      <c r="J59" s="1"/>
      <c r="K59" s="1"/>
      <c r="L59" s="1"/>
      <c r="M59" s="12"/>
    </row>
    <row r="60" spans="1:13" ht="14.1" customHeight="1" x14ac:dyDescent="0.3">
      <c r="A60" s="3">
        <v>60</v>
      </c>
      <c r="B60" s="10"/>
      <c r="C60" s="565"/>
      <c r="M60" s="41"/>
    </row>
    <row r="61" spans="1:13" ht="14.1" customHeight="1" x14ac:dyDescent="0.3">
      <c r="A61" s="3">
        <v>61</v>
      </c>
      <c r="B61" s="10"/>
      <c r="C61" s="565"/>
      <c r="M61" s="41"/>
    </row>
    <row r="62" spans="1:13" ht="14.1" customHeight="1" x14ac:dyDescent="0.3">
      <c r="A62" s="3">
        <v>62</v>
      </c>
      <c r="B62" s="10"/>
      <c r="M62" s="41"/>
    </row>
    <row r="63" spans="1:13" ht="14.1" customHeight="1" x14ac:dyDescent="0.3">
      <c r="A63" s="3">
        <v>63</v>
      </c>
      <c r="B63" s="10"/>
      <c r="M63" s="41"/>
    </row>
    <row r="64" spans="1:13" ht="14.1" customHeight="1" thickBot="1" x14ac:dyDescent="0.35">
      <c r="A64" s="3">
        <v>64</v>
      </c>
      <c r="B64" s="18"/>
      <c r="C64" s="19"/>
      <c r="D64" s="19"/>
      <c r="E64" s="221" t="str">
        <f>Fluoro!E328</f>
        <v/>
      </c>
      <c r="F64" s="19"/>
      <c r="G64" s="19"/>
      <c r="H64" s="19"/>
      <c r="I64" s="19"/>
      <c r="J64" s="19"/>
      <c r="K64" s="19"/>
      <c r="L64" s="19"/>
      <c r="M64" s="20"/>
    </row>
    <row r="65" spans="1:13" ht="14.1" customHeight="1" x14ac:dyDescent="0.3">
      <c r="A65" s="3">
        <v>65</v>
      </c>
      <c r="B65" s="1"/>
      <c r="C65" s="2" t="s">
        <v>8</v>
      </c>
      <c r="D65" s="61" t="str">
        <f>Fluoro!D329</f>
        <v/>
      </c>
      <c r="E65" s="1"/>
      <c r="F65" s="1"/>
      <c r="G65" s="1"/>
      <c r="H65" s="1"/>
      <c r="I65" s="1"/>
      <c r="J65" s="1"/>
      <c r="K65" s="1"/>
      <c r="L65" s="2" t="s">
        <v>9</v>
      </c>
      <c r="M65" s="62" t="str">
        <f>Fluoro!M329</f>
        <v>Eugene Mah</v>
      </c>
    </row>
    <row r="66" spans="1:13" ht="14.1" customHeight="1" x14ac:dyDescent="0.3">
      <c r="A66" s="3">
        <v>66</v>
      </c>
      <c r="B66" s="1"/>
      <c r="C66" s="2" t="s">
        <v>74</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E5:G5"/>
    <mergeCell ref="H5:J5"/>
    <mergeCell ref="K5:M5"/>
    <mergeCell ref="C7:C9"/>
    <mergeCell ref="C10:C12"/>
    <mergeCell ref="E37:G37"/>
    <mergeCell ref="H37:J37"/>
    <mergeCell ref="K37:M37"/>
    <mergeCell ref="C13:C15"/>
    <mergeCell ref="C16:C18"/>
    <mergeCell ref="C19:C21"/>
    <mergeCell ref="C60:C61"/>
    <mergeCell ref="C39:C41"/>
    <mergeCell ref="C42:C44"/>
    <mergeCell ref="C45:C47"/>
    <mergeCell ref="C48:C50"/>
    <mergeCell ref="C51:C53"/>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zoomScaleNormal="100" workbookViewId="0">
      <selection sqref="A1:B1"/>
    </sheetView>
  </sheetViews>
  <sheetFormatPr defaultRowHeight="15.6" x14ac:dyDescent="0.3"/>
  <cols>
    <col min="1" max="28" width="10.59765625" style="1" customWidth="1"/>
  </cols>
  <sheetData>
    <row r="1" spans="1:28" ht="12.75" customHeight="1" x14ac:dyDescent="0.25">
      <c r="A1" s="567" t="s">
        <v>375</v>
      </c>
      <c r="B1" s="567"/>
      <c r="D1" s="1" t="s">
        <v>469</v>
      </c>
      <c r="N1" s="239"/>
      <c r="O1" s="544" t="str">
        <f>Fluoro!O105</f>
        <v>Patient Entrance Exposure Rate (Pulse Fluoroscopy)</v>
      </c>
      <c r="P1" s="544"/>
      <c r="Q1" s="544"/>
      <c r="R1" s="544" t="s">
        <v>376</v>
      </c>
      <c r="S1" s="544"/>
      <c r="T1" s="544"/>
      <c r="V1" s="239"/>
      <c r="W1" s="544" t="str">
        <f>Fluoro!O137</f>
        <v>Patient Entrance Exposure Rate – Pulse Fluroscopy</v>
      </c>
      <c r="X1" s="544"/>
      <c r="Y1" s="544"/>
      <c r="Z1" s="544" t="s">
        <v>376</v>
      </c>
      <c r="AA1" s="544"/>
      <c r="AB1" s="544"/>
    </row>
    <row r="2" spans="1:28" ht="12.75" customHeight="1" x14ac:dyDescent="0.25">
      <c r="A2" s="240">
        <v>1</v>
      </c>
      <c r="B2" s="182" t="s">
        <v>313</v>
      </c>
      <c r="D2" s="1" t="s">
        <v>470</v>
      </c>
      <c r="E2" s="17" t="s">
        <v>472</v>
      </c>
      <c r="N2" s="239"/>
      <c r="O2" s="241" t="s">
        <v>208</v>
      </c>
      <c r="P2" s="241" t="s">
        <v>377</v>
      </c>
      <c r="Q2" s="242" t="s">
        <v>378</v>
      </c>
      <c r="R2" s="241" t="s">
        <v>208</v>
      </c>
      <c r="S2" s="241" t="s">
        <v>377</v>
      </c>
      <c r="T2" s="242" t="s">
        <v>378</v>
      </c>
      <c r="V2" s="239"/>
      <c r="W2" s="241" t="s">
        <v>208</v>
      </c>
      <c r="X2" s="241" t="s">
        <v>377</v>
      </c>
      <c r="Y2" s="242" t="s">
        <v>378</v>
      </c>
      <c r="Z2" s="241" t="s">
        <v>208</v>
      </c>
      <c r="AA2" s="241" t="s">
        <v>377</v>
      </c>
      <c r="AB2" s="242" t="s">
        <v>378</v>
      </c>
    </row>
    <row r="3" spans="1:28" ht="12.75" customHeight="1" x14ac:dyDescent="0.25">
      <c r="A3" s="240">
        <v>2</v>
      </c>
      <c r="B3" s="182" t="s">
        <v>316</v>
      </c>
      <c r="D3" s="1" t="s">
        <v>471</v>
      </c>
      <c r="E3" s="17" t="s">
        <v>473</v>
      </c>
      <c r="N3" s="239"/>
      <c r="O3" s="239">
        <f>IF(Fluoro!Q109="",NA(),Fluoro!Q109)</f>
        <v>0</v>
      </c>
      <c r="P3" s="239" t="e">
        <f>IF(OR(Fluoro!R109="",Fluoro!S109=""),NA(),Fluoro!S109/Fluoro!R109)</f>
        <v>#DIV/0!</v>
      </c>
      <c r="Q3" s="243" t="e">
        <f>NA()</f>
        <v>#N/A</v>
      </c>
      <c r="R3" s="239"/>
      <c r="S3" s="239"/>
      <c r="T3" s="239"/>
      <c r="V3" s="239"/>
      <c r="W3" s="239">
        <f>IF(Fluoro!Q141="",NA(),Fluoro!Q141)</f>
        <v>0</v>
      </c>
      <c r="X3" s="239" t="e">
        <f>IF(OR(Fluoro!R141="",Fluoro!S141=""),NA(),Fluoro!S141/Fluoro!R141)</f>
        <v>#DIV/0!</v>
      </c>
      <c r="Y3" s="243" t="e">
        <f>NA()</f>
        <v>#N/A</v>
      </c>
      <c r="Z3" s="239"/>
      <c r="AA3" s="239"/>
      <c r="AB3" s="239"/>
    </row>
    <row r="4" spans="1:28" ht="12.75" customHeight="1" x14ac:dyDescent="0.25">
      <c r="A4" s="240">
        <v>3</v>
      </c>
      <c r="B4" s="182" t="s">
        <v>317</v>
      </c>
      <c r="N4" s="239"/>
      <c r="O4" s="239">
        <f>IF(Fluoro!Q110="",NA(),Fluoro!Q110)</f>
        <v>0</v>
      </c>
      <c r="P4" s="239" t="e">
        <f>IF(OR(Fluoro!R110="",Fluoro!S110=""),NA(),Fluoro!S110/Fluoro!R110)</f>
        <v>#DIV/0!</v>
      </c>
      <c r="Q4" s="243" t="e">
        <f>NA()</f>
        <v>#N/A</v>
      </c>
      <c r="R4" s="239"/>
      <c r="S4" s="239"/>
      <c r="T4" s="239"/>
      <c r="V4" s="239"/>
      <c r="W4" s="239">
        <f>IF(Fluoro!Q142="",NA(),Fluoro!Q142)</f>
        <v>0</v>
      </c>
      <c r="X4" s="239" t="e">
        <f>IF(OR(Fluoro!R142="",Fluoro!S142=""),NA(),Fluoro!S142/Fluoro!R142)</f>
        <v>#DIV/0!</v>
      </c>
      <c r="Y4" s="243" t="e">
        <f>NA()</f>
        <v>#N/A</v>
      </c>
      <c r="Z4" s="239"/>
      <c r="AA4" s="239"/>
      <c r="AB4" s="239"/>
    </row>
    <row r="5" spans="1:28" ht="12.75" customHeight="1" x14ac:dyDescent="0.25">
      <c r="A5" s="240">
        <v>4</v>
      </c>
      <c r="B5" s="182" t="s">
        <v>318</v>
      </c>
      <c r="N5" s="239"/>
      <c r="O5" s="239">
        <f>IF(Fluoro!Q111="",NA(),Fluoro!Q111)</f>
        <v>0</v>
      </c>
      <c r="P5" s="239" t="e">
        <f>IF(OR(Fluoro!R111="",Fluoro!S111=""),NA(),Fluoro!S111/Fluoro!R111)</f>
        <v>#DIV/0!</v>
      </c>
      <c r="Q5" s="243" t="e">
        <f>NA()</f>
        <v>#N/A</v>
      </c>
      <c r="R5" s="239"/>
      <c r="S5" s="239"/>
      <c r="T5" s="239"/>
      <c r="V5" s="239"/>
      <c r="W5" s="239">
        <f>IF(Fluoro!Q143="",NA(),Fluoro!Q143)</f>
        <v>0</v>
      </c>
      <c r="X5" s="239" t="e">
        <f>IF(OR(Fluoro!R143="",Fluoro!S143=""),NA(),Fluoro!S143/Fluoro!R143)</f>
        <v>#DIV/0!</v>
      </c>
      <c r="Y5" s="243" t="e">
        <f>NA()</f>
        <v>#N/A</v>
      </c>
      <c r="Z5" s="239"/>
      <c r="AA5" s="239"/>
      <c r="AB5" s="239"/>
    </row>
    <row r="6" spans="1:28" ht="12.75" customHeight="1" x14ac:dyDescent="0.25">
      <c r="N6" s="239"/>
      <c r="O6" s="239">
        <f>IF(Fluoro!Q112="",NA(),Fluoro!Q112)</f>
        <v>0</v>
      </c>
      <c r="P6" s="239" t="e">
        <f>IF(OR(Fluoro!R112="",Fluoro!S112=""),NA(),Fluoro!S112/Fluoro!R112)</f>
        <v>#DIV/0!</v>
      </c>
      <c r="Q6" s="243" t="e">
        <f>NA()</f>
        <v>#N/A</v>
      </c>
      <c r="R6" s="239"/>
      <c r="S6" s="239"/>
      <c r="T6" s="239"/>
      <c r="V6" s="239"/>
      <c r="W6" s="239">
        <f>IF(Fluoro!Q144="",NA(),Fluoro!Q144)</f>
        <v>0</v>
      </c>
      <c r="X6" s="239" t="e">
        <f>IF(OR(Fluoro!R144="",Fluoro!S144=""),NA(),Fluoro!S144/Fluoro!R144)</f>
        <v>#DIV/0!</v>
      </c>
      <c r="Y6" s="243" t="e">
        <f>NA()</f>
        <v>#N/A</v>
      </c>
      <c r="Z6" s="239"/>
      <c r="AA6" s="239"/>
      <c r="AB6" s="239"/>
    </row>
    <row r="7" spans="1:28" ht="12.75" customHeight="1" x14ac:dyDescent="0.25">
      <c r="A7" s="567" t="s">
        <v>379</v>
      </c>
      <c r="B7" s="567"/>
      <c r="D7" s="182" t="s">
        <v>380</v>
      </c>
      <c r="E7" s="182"/>
      <c r="F7" s="182">
        <v>65</v>
      </c>
      <c r="G7" s="182">
        <v>70</v>
      </c>
      <c r="H7" s="182">
        <v>75</v>
      </c>
      <c r="I7" s="182">
        <v>80</v>
      </c>
      <c r="J7" s="182" t="s">
        <v>381</v>
      </c>
      <c r="N7" s="239"/>
      <c r="O7" s="239">
        <f>IF(Fluoro!Q113="",NA(),Fluoro!Q113)</f>
        <v>0</v>
      </c>
      <c r="P7" s="239" t="e">
        <f>IF(OR(Fluoro!R113="",Fluoro!S113=""),NA(),Fluoro!S113/Fluoro!R113)</f>
        <v>#DIV/0!</v>
      </c>
      <c r="Q7" s="243" t="e">
        <f>NA()</f>
        <v>#N/A</v>
      </c>
      <c r="R7" s="239"/>
      <c r="S7" s="239"/>
      <c r="T7" s="239"/>
      <c r="V7" s="239"/>
      <c r="W7" s="239">
        <f>IF(Fluoro!Q145="",NA(),Fluoro!Q145)</f>
        <v>0</v>
      </c>
      <c r="X7" s="239" t="e">
        <f>IF(OR(Fluoro!R145="",Fluoro!S145=""),NA(),Fluoro!S145/Fluoro!R145)</f>
        <v>#DIV/0!</v>
      </c>
      <c r="Y7" s="243" t="e">
        <f>NA()</f>
        <v>#N/A</v>
      </c>
      <c r="Z7" s="239"/>
      <c r="AA7" s="239"/>
      <c r="AB7" s="239"/>
    </row>
    <row r="8" spans="1:28" ht="12.75" customHeight="1" x14ac:dyDescent="0.25">
      <c r="A8" s="240">
        <v>1.1000000000000001</v>
      </c>
      <c r="B8" s="182">
        <v>0.5</v>
      </c>
      <c r="D8" s="240">
        <v>1</v>
      </c>
      <c r="E8" s="244">
        <f>HLOOKUP(Fluoro!$V$318,$F$7:$I$26,D8+1)</f>
        <v>0.16700000000000001</v>
      </c>
      <c r="F8" s="244">
        <v>0.188</v>
      </c>
      <c r="G8" s="244">
        <v>0.16700000000000001</v>
      </c>
      <c r="H8" s="244">
        <v>0.14899999999999999</v>
      </c>
      <c r="I8" s="244">
        <v>0.13500000000000001</v>
      </c>
      <c r="J8" s="244">
        <v>0.16</v>
      </c>
      <c r="N8" s="239"/>
      <c r="O8" s="239">
        <f>IF(Fluoro!Q114="",NA(),Fluoro!Q114)</f>
        <v>0</v>
      </c>
      <c r="P8" s="239" t="e">
        <f>IF(OR(Fluoro!R114="",Fluoro!S114=""),NA(),Fluoro!S114/Fluoro!R114)</f>
        <v>#DIV/0!</v>
      </c>
      <c r="Q8" s="243" t="e">
        <f>NA()</f>
        <v>#N/A</v>
      </c>
      <c r="R8" s="239"/>
      <c r="S8" s="239"/>
      <c r="T8" s="239"/>
      <c r="V8" s="239"/>
      <c r="W8" s="239">
        <f>IF(Fluoro!Q146="",NA(),Fluoro!Q146)</f>
        <v>0</v>
      </c>
      <c r="X8" s="239" t="e">
        <f>IF(OR(Fluoro!R146="",Fluoro!S146=""),NA(),Fluoro!S146/Fluoro!R146)</f>
        <v>#DIV/0!</v>
      </c>
      <c r="Y8" s="243" t="e">
        <f>NA()</f>
        <v>#N/A</v>
      </c>
      <c r="Z8" s="239"/>
      <c r="AA8" s="239"/>
      <c r="AB8" s="239"/>
    </row>
    <row r="9" spans="1:28" ht="12.75" customHeight="1" x14ac:dyDescent="0.25">
      <c r="A9" s="240">
        <v>1.2</v>
      </c>
      <c r="B9" s="182">
        <v>0.56000000000000005</v>
      </c>
      <c r="D9" s="240">
        <v>2</v>
      </c>
      <c r="E9" s="244">
        <f>HLOOKUP(Fluoro!$V$318,$F$7:$I$26,D9+1)</f>
        <v>0.14799999999999999</v>
      </c>
      <c r="F9" s="244">
        <v>0.16700000000000001</v>
      </c>
      <c r="G9" s="244">
        <v>0.14799999999999999</v>
      </c>
      <c r="H9" s="244">
        <v>0.13200000000000001</v>
      </c>
      <c r="I9" s="244">
        <v>0.12</v>
      </c>
      <c r="J9" s="244">
        <v>0.14499999999999999</v>
      </c>
      <c r="N9" s="239"/>
      <c r="O9" s="239">
        <f>IF(Fluoro!Q115="",NA(),Fluoro!Q115)</f>
        <v>0</v>
      </c>
      <c r="P9" s="239" t="e">
        <f>IF(OR(Fluoro!R115="",Fluoro!S115=""),NA(),Fluoro!S115/Fluoro!R115)</f>
        <v>#DIV/0!</v>
      </c>
      <c r="Q9" s="243" t="e">
        <f>NA()</f>
        <v>#N/A</v>
      </c>
      <c r="R9" s="239"/>
      <c r="S9" s="239"/>
      <c r="T9" s="239"/>
      <c r="V9" s="239"/>
      <c r="W9" s="239">
        <f>IF(Fluoro!Q147="",NA(),Fluoro!Q147)</f>
        <v>0</v>
      </c>
      <c r="X9" s="239" t="e">
        <f>IF(OR(Fluoro!R147="",Fluoro!S147=""),NA(),Fluoro!S147/Fluoro!R147)</f>
        <v>#DIV/0!</v>
      </c>
      <c r="Y9" s="243" t="e">
        <f>NA()</f>
        <v>#N/A</v>
      </c>
      <c r="Z9" s="239"/>
      <c r="AA9" s="239"/>
      <c r="AB9" s="239"/>
    </row>
    <row r="10" spans="1:28" ht="12.75" customHeight="1" x14ac:dyDescent="0.25">
      <c r="A10" s="240">
        <v>1.3</v>
      </c>
      <c r="B10" s="182">
        <v>0.63</v>
      </c>
      <c r="D10" s="240">
        <v>3</v>
      </c>
      <c r="E10" s="244">
        <f>HLOOKUP(Fluoro!$V$318,$F$7:$I$26,D10+1)</f>
        <v>0.128</v>
      </c>
      <c r="F10" s="244">
        <v>0.14499999999999999</v>
      </c>
      <c r="G10" s="244">
        <v>0.128</v>
      </c>
      <c r="H10" s="244">
        <v>0.114</v>
      </c>
      <c r="I10" s="244">
        <v>0.104</v>
      </c>
      <c r="J10" s="244">
        <v>0.123</v>
      </c>
      <c r="N10" s="239"/>
      <c r="O10" s="239">
        <f>IF(Fluoro!Q116="",NA(),Fluoro!Q116)</f>
        <v>0</v>
      </c>
      <c r="P10" s="239" t="e">
        <f>IF(OR(Fluoro!R116="",Fluoro!S116=""),NA(),Fluoro!S116/Fluoro!R116)</f>
        <v>#DIV/0!</v>
      </c>
      <c r="Q10" s="243" t="e">
        <f>NA()</f>
        <v>#N/A</v>
      </c>
      <c r="R10" s="239"/>
      <c r="S10" s="239"/>
      <c r="T10" s="239"/>
      <c r="V10" s="239"/>
      <c r="W10" s="239">
        <f>IF(Fluoro!Q148="",NA(),Fluoro!Q148)</f>
        <v>0</v>
      </c>
      <c r="X10" s="239" t="e">
        <f>IF(OR(Fluoro!R148="",Fluoro!S148=""),NA(),Fluoro!S148/Fluoro!R148)</f>
        <v>#DIV/0!</v>
      </c>
      <c r="Y10" s="243" t="e">
        <f>NA()</f>
        <v>#N/A</v>
      </c>
      <c r="Z10" s="239"/>
      <c r="AA10" s="239"/>
      <c r="AB10" s="239"/>
    </row>
    <row r="11" spans="1:28" ht="12.75" customHeight="1" x14ac:dyDescent="0.25">
      <c r="A11" s="240">
        <v>2.1</v>
      </c>
      <c r="B11" s="182">
        <v>0.71</v>
      </c>
      <c r="D11" s="240">
        <v>4</v>
      </c>
      <c r="E11" s="244">
        <f>HLOOKUP(Fluoro!$V$318,$F$7:$I$26,D11+1)</f>
        <v>0.109</v>
      </c>
      <c r="F11" s="244">
        <v>0.124</v>
      </c>
      <c r="G11" s="244">
        <v>0.109</v>
      </c>
      <c r="H11" s="244">
        <v>9.7000000000000003E-2</v>
      </c>
      <c r="I11" s="244">
        <v>8.7999999999999995E-2</v>
      </c>
      <c r="J11" s="244">
        <v>0.108</v>
      </c>
      <c r="N11" s="239"/>
      <c r="O11" s="239">
        <f>IF(Fluoro!Q117="",NA(),Fluoro!Q117)</f>
        <v>0</v>
      </c>
      <c r="P11" s="239" t="e">
        <f>IF(OR(Fluoro!R117="",Fluoro!S117=""),NA(),Fluoro!S117/Fluoro!R117)</f>
        <v>#DIV/0!</v>
      </c>
      <c r="Q11" s="243" t="e">
        <f>NA()</f>
        <v>#N/A</v>
      </c>
      <c r="R11" s="239"/>
      <c r="S11" s="239"/>
      <c r="T11" s="239"/>
      <c r="V11" s="239"/>
      <c r="W11" s="239">
        <f>IF(Fluoro!Q149="",NA(),Fluoro!Q149)</f>
        <v>0</v>
      </c>
      <c r="X11" s="239" t="e">
        <f>IF(OR(Fluoro!R149="",Fluoro!S149=""),NA(),Fluoro!S149/Fluoro!R149)</f>
        <v>#DIV/0!</v>
      </c>
      <c r="Y11" s="243" t="e">
        <f>NA()</f>
        <v>#N/A</v>
      </c>
      <c r="Z11" s="239"/>
      <c r="AA11" s="239"/>
      <c r="AB11" s="239"/>
    </row>
    <row r="12" spans="1:28" ht="12.75" customHeight="1" x14ac:dyDescent="0.25">
      <c r="A12" s="240">
        <v>2.2000000000000002</v>
      </c>
      <c r="B12" s="182">
        <v>0.8</v>
      </c>
      <c r="D12" s="240">
        <v>5</v>
      </c>
      <c r="E12" s="244">
        <f>HLOOKUP(Fluoro!$V$318,$F$7:$I$26,D12+1)</f>
        <v>8.7599999999999997E-2</v>
      </c>
      <c r="F12" s="244">
        <v>9.9299999999999999E-2</v>
      </c>
      <c r="G12" s="244">
        <v>8.7599999999999997E-2</v>
      </c>
      <c r="H12" s="244">
        <v>7.8E-2</v>
      </c>
      <c r="I12" s="244">
        <v>7.0499999999999993E-2</v>
      </c>
      <c r="J12" s="244">
        <v>8.5999999999999993E-2</v>
      </c>
      <c r="N12" s="239"/>
      <c r="O12" s="239">
        <f>IF(Fluoro!Q118="",NA(),Fluoro!Q118)</f>
        <v>0</v>
      </c>
      <c r="P12" s="239" t="e">
        <f>IF(OR(Fluoro!R118="",Fluoro!S118=""),NA(),Fluoro!S118/Fluoro!R118)</f>
        <v>#DIV/0!</v>
      </c>
      <c r="Q12" s="243" t="e">
        <f>NA()</f>
        <v>#N/A</v>
      </c>
      <c r="R12" s="239"/>
      <c r="S12" s="239"/>
      <c r="T12" s="239"/>
      <c r="V12" s="239"/>
      <c r="W12" s="239">
        <f>IF(Fluoro!Q150="",NA(),Fluoro!Q150)</f>
        <v>0</v>
      </c>
      <c r="X12" s="239" t="e">
        <f>IF(OR(Fluoro!R150="",Fluoro!S150=""),NA(),Fluoro!S150/Fluoro!R150)</f>
        <v>#DIV/0!</v>
      </c>
      <c r="Y12" s="243" t="e">
        <f>NA()</f>
        <v>#N/A</v>
      </c>
      <c r="Z12" s="239"/>
      <c r="AA12" s="239"/>
      <c r="AB12" s="239"/>
    </row>
    <row r="13" spans="1:28" ht="12.75" customHeight="1" x14ac:dyDescent="0.25">
      <c r="A13" s="240">
        <v>2.2999999999999998</v>
      </c>
      <c r="B13" s="182">
        <v>0.9</v>
      </c>
      <c r="D13" s="240">
        <v>6</v>
      </c>
      <c r="E13" s="244">
        <f>HLOOKUP(Fluoro!$V$318,$F$7:$I$26,D13+1)</f>
        <v>7.4899999999999994E-2</v>
      </c>
      <c r="F13" s="244">
        <v>8.4699999999999998E-2</v>
      </c>
      <c r="G13" s="244">
        <v>7.4899999999999994E-2</v>
      </c>
      <c r="H13" s="244">
        <v>6.7000000000000004E-2</v>
      </c>
      <c r="I13" s="244">
        <v>6.0900000000000003E-2</v>
      </c>
      <c r="J13" s="244">
        <v>7.5999999999999998E-2</v>
      </c>
      <c r="N13" s="239"/>
      <c r="O13" s="239">
        <f>IF(Fluoro!Q119="",NA(),Fluoro!Q119)</f>
        <v>0</v>
      </c>
      <c r="P13" s="239" t="e">
        <f>IF(OR(Fluoro!R119="",Fluoro!S119=""),NA(),Fluoro!S119/Fluoro!R119)</f>
        <v>#DIV/0!</v>
      </c>
      <c r="Q13" s="243" t="e">
        <f>NA()</f>
        <v>#N/A</v>
      </c>
      <c r="R13" s="239"/>
      <c r="S13" s="239"/>
      <c r="T13" s="239"/>
      <c r="V13" s="239"/>
      <c r="W13" s="239">
        <f>IF(Fluoro!Q151="",NA(),Fluoro!Q151)</f>
        <v>0</v>
      </c>
      <c r="X13" s="239" t="e">
        <f>IF(OR(Fluoro!R151="",Fluoro!S151=""),NA(),Fluoro!S151/Fluoro!R151)</f>
        <v>#DIV/0!</v>
      </c>
      <c r="Y13" s="243" t="e">
        <f>NA()</f>
        <v>#N/A</v>
      </c>
      <c r="Z13" s="239"/>
      <c r="AA13" s="239"/>
      <c r="AB13" s="239"/>
    </row>
    <row r="14" spans="1:28" ht="12.75" customHeight="1" x14ac:dyDescent="0.25">
      <c r="A14" s="240">
        <v>3.1</v>
      </c>
      <c r="B14" s="182">
        <v>1</v>
      </c>
      <c r="D14" s="240">
        <v>7</v>
      </c>
      <c r="E14" s="244">
        <f>HLOOKUP(Fluoro!$V$318,$F$7:$I$26,D14+1)</f>
        <v>6.7400000000000002E-2</v>
      </c>
      <c r="F14" s="244">
        <v>7.6600000000000001E-2</v>
      </c>
      <c r="G14" s="244">
        <v>6.7400000000000002E-2</v>
      </c>
      <c r="H14" s="244">
        <v>5.9900000000000002E-2</v>
      </c>
      <c r="I14" s="244">
        <v>5.4199999999999998E-2</v>
      </c>
      <c r="J14" s="244">
        <v>6.6000000000000003E-2</v>
      </c>
      <c r="N14" s="239"/>
      <c r="O14" s="239">
        <f>IF(Fluoro!Q120="",NA(),Fluoro!Q120)</f>
        <v>0</v>
      </c>
      <c r="P14" s="239" t="e">
        <f>IF(OR(Fluoro!R120="",Fluoro!S120=""),NA(),Fluoro!S120/Fluoro!R120)</f>
        <v>#DIV/0!</v>
      </c>
      <c r="Q14" s="243" t="e">
        <f>NA()</f>
        <v>#N/A</v>
      </c>
      <c r="R14" s="239"/>
      <c r="S14" s="239"/>
      <c r="T14" s="239"/>
      <c r="V14" s="239"/>
      <c r="W14" s="239">
        <f>IF(Fluoro!Q152="",NA(),Fluoro!Q152)</f>
        <v>0</v>
      </c>
      <c r="X14" s="239" t="e">
        <f>IF(OR(Fluoro!R152="",Fluoro!S152=""),NA(),Fluoro!S152/Fluoro!R152)</f>
        <v>#DIV/0!</v>
      </c>
      <c r="Y14" s="243" t="e">
        <f>NA()</f>
        <v>#N/A</v>
      </c>
      <c r="Z14" s="239"/>
      <c r="AA14" s="239"/>
      <c r="AB14" s="239"/>
    </row>
    <row r="15" spans="1:28" ht="12.75" customHeight="1" x14ac:dyDescent="0.25">
      <c r="A15" s="240">
        <v>3.2</v>
      </c>
      <c r="B15" s="182">
        <v>1.1200000000000001</v>
      </c>
      <c r="D15" s="240">
        <v>8</v>
      </c>
      <c r="E15" s="244">
        <f>HLOOKUP(Fluoro!$V$318,$F$7:$I$26,D15+1)</f>
        <v>5.2499999999999998E-2</v>
      </c>
      <c r="F15" s="244">
        <v>5.9299999999999999E-2</v>
      </c>
      <c r="G15" s="244">
        <v>5.2499999999999998E-2</v>
      </c>
      <c r="H15" s="244">
        <v>4.7E-2</v>
      </c>
      <c r="I15" s="244">
        <v>4.2700000000000002E-2</v>
      </c>
      <c r="J15" s="244">
        <v>5.5E-2</v>
      </c>
      <c r="N15" s="239"/>
      <c r="O15" s="239">
        <f>IF(Fluoro!Q121="",NA(),Fluoro!Q121)</f>
        <v>0</v>
      </c>
      <c r="P15" s="239" t="e">
        <f>IF(OR(Fluoro!R121="",Fluoro!S121=""),NA(),Fluoro!S121/Fluoro!R121)</f>
        <v>#DIV/0!</v>
      </c>
      <c r="Q15" s="243" t="e">
        <f>NA()</f>
        <v>#N/A</v>
      </c>
      <c r="R15" s="239"/>
      <c r="S15" s="239"/>
      <c r="T15" s="239"/>
      <c r="V15" s="239"/>
      <c r="W15" s="239">
        <f>IF(Fluoro!Q153="",NA(),Fluoro!Q153)</f>
        <v>0</v>
      </c>
      <c r="X15" s="239" t="e">
        <f>IF(OR(Fluoro!R153="",Fluoro!S153=""),NA(),Fluoro!S153/Fluoro!R153)</f>
        <v>#DIV/0!</v>
      </c>
      <c r="Y15" s="243" t="e">
        <f>NA()</f>
        <v>#N/A</v>
      </c>
      <c r="Z15" s="239"/>
      <c r="AA15" s="239"/>
      <c r="AB15" s="239"/>
    </row>
    <row r="16" spans="1:28" ht="12.75" customHeight="1" x14ac:dyDescent="0.25">
      <c r="A16" s="240">
        <v>3.3</v>
      </c>
      <c r="B16" s="182">
        <v>1.25</v>
      </c>
      <c r="D16" s="240">
        <v>9</v>
      </c>
      <c r="E16" s="244">
        <f>HLOOKUP(Fluoro!$V$318,$F$7:$I$26,D16+1)</f>
        <v>4.4999999999999998E-2</v>
      </c>
      <c r="F16" s="244">
        <v>5.1200000000000002E-2</v>
      </c>
      <c r="G16" s="244">
        <v>4.4999999999999998E-2</v>
      </c>
      <c r="H16" s="244">
        <v>3.9899999999999998E-2</v>
      </c>
      <c r="I16" s="244">
        <v>3.5999999999999997E-2</v>
      </c>
      <c r="J16" s="244">
        <v>4.4999999999999998E-2</v>
      </c>
      <c r="N16" s="239"/>
      <c r="O16" s="239">
        <f>IF(Fluoro!Q122="",NA(),Fluoro!Q122)</f>
        <v>0</v>
      </c>
      <c r="P16" s="239" t="e">
        <f>IF(OR(Fluoro!R122="",Fluoro!S122=""),NA(),Fluoro!S122/Fluoro!R122)</f>
        <v>#DIV/0!</v>
      </c>
      <c r="Q16" s="243" t="e">
        <f>NA()</f>
        <v>#N/A</v>
      </c>
      <c r="R16" s="239"/>
      <c r="S16" s="239"/>
      <c r="T16" s="239"/>
      <c r="V16" s="239"/>
      <c r="W16" s="239">
        <f>IF(Fluoro!Q154="",NA(),Fluoro!Q154)</f>
        <v>0</v>
      </c>
      <c r="X16" s="239" t="e">
        <f>IF(OR(Fluoro!R154="",Fluoro!S154=""),NA(),Fluoro!S154/Fluoro!R154)</f>
        <v>#DIV/0!</v>
      </c>
      <c r="Y16" s="243" t="e">
        <f>NA()</f>
        <v>#N/A</v>
      </c>
      <c r="Z16" s="239"/>
      <c r="AA16" s="239"/>
      <c r="AB16" s="239"/>
    </row>
    <row r="17" spans="1:28" ht="12.75" customHeight="1" x14ac:dyDescent="0.25">
      <c r="A17" s="240">
        <v>4.0999999999999996</v>
      </c>
      <c r="B17" s="182">
        <v>1.4</v>
      </c>
      <c r="D17" s="240">
        <v>10</v>
      </c>
      <c r="E17" s="244">
        <f>HLOOKUP(Fluoro!$V$318,$F$7:$I$26,D17+1)</f>
        <v>3.7100000000000001E-2</v>
      </c>
      <c r="F17" s="244">
        <v>0.04</v>
      </c>
      <c r="G17" s="244">
        <v>3.7100000000000001E-2</v>
      </c>
      <c r="H17" s="244">
        <v>3.4700000000000002E-2</v>
      </c>
      <c r="I17" s="244">
        <v>3.2899999999999999E-2</v>
      </c>
      <c r="J17" s="244">
        <v>3.9E-2</v>
      </c>
      <c r="N17" s="239"/>
      <c r="O17" s="239">
        <f>IF(Fluoro!Q123="",NA(),Fluoro!Q123)</f>
        <v>0</v>
      </c>
      <c r="P17" s="239" t="e">
        <f>IF(OR(Fluoro!R123="",Fluoro!S123=""),NA(),Fluoro!S123/Fluoro!R123)</f>
        <v>#DIV/0!</v>
      </c>
      <c r="Q17" s="243" t="e">
        <f>NA()</f>
        <v>#N/A</v>
      </c>
      <c r="R17" s="239"/>
      <c r="S17" s="239"/>
      <c r="T17" s="239"/>
      <c r="V17" s="239"/>
      <c r="W17" s="239">
        <f>IF(Fluoro!Q155="",NA(),Fluoro!Q155)</f>
        <v>0</v>
      </c>
      <c r="X17" s="239" t="e">
        <f>IF(OR(Fluoro!R155="",Fluoro!S155=""),NA(),Fluoro!S155/Fluoro!R155)</f>
        <v>#DIV/0!</v>
      </c>
      <c r="Y17" s="243" t="e">
        <f>NA()</f>
        <v>#N/A</v>
      </c>
      <c r="Z17" s="239"/>
      <c r="AA17" s="239"/>
      <c r="AB17" s="239"/>
    </row>
    <row r="18" spans="1:28" ht="12.75" customHeight="1" x14ac:dyDescent="0.25">
      <c r="A18" s="240">
        <v>4.2</v>
      </c>
      <c r="B18" s="182">
        <v>1.6</v>
      </c>
      <c r="D18" s="240">
        <v>11</v>
      </c>
      <c r="E18" s="244">
        <f>HLOOKUP(Fluoro!$V$318,$F$7:$I$26,D18+1)</f>
        <v>3.2199999999999999E-2</v>
      </c>
      <c r="F18" s="244">
        <v>3.4700000000000002E-2</v>
      </c>
      <c r="G18" s="244">
        <v>3.2199999999999999E-2</v>
      </c>
      <c r="H18" s="244">
        <v>3.0099999999999998E-2</v>
      </c>
      <c r="I18" s="244">
        <v>2.8500000000000001E-2</v>
      </c>
      <c r="J18" s="244">
        <v>3.3000000000000002E-2</v>
      </c>
      <c r="N18" s="245" t="s">
        <v>382</v>
      </c>
      <c r="O18" s="246">
        <f>IF(Fluoro!Q124="",NA(),Fluoro!Q124)</f>
        <v>0</v>
      </c>
      <c r="P18" s="246" t="e">
        <f>IF(OR(Fluoro!R124="",Fluoro!S124=""),NA(),Fluoro!S124/Fluoro!R124)</f>
        <v>#DIV/0!</v>
      </c>
      <c r="Q18" s="247" t="e">
        <f>NA()</f>
        <v>#N/A</v>
      </c>
      <c r="R18" s="239"/>
      <c r="S18" s="239"/>
      <c r="T18" s="239"/>
      <c r="V18" s="245" t="s">
        <v>382</v>
      </c>
      <c r="W18" s="246">
        <f>IF(Fluoro!Q156="",NA(),Fluoro!Q156)</f>
        <v>0</v>
      </c>
      <c r="X18" s="246" t="e">
        <f>IF(OR(Fluoro!R156="",Fluoro!S156=""),NA(),Fluoro!S156/Fluoro!R156)</f>
        <v>#DIV/0!</v>
      </c>
      <c r="Y18" s="247" t="e">
        <f>NA()</f>
        <v>#N/A</v>
      </c>
      <c r="Z18" s="239"/>
      <c r="AA18" s="239"/>
      <c r="AB18" s="239"/>
    </row>
    <row r="19" spans="1:28" ht="12.75" customHeight="1" x14ac:dyDescent="0.25">
      <c r="A19" s="240">
        <v>4.3</v>
      </c>
      <c r="B19" s="182">
        <v>1.8</v>
      </c>
      <c r="D19" s="240">
        <v>12</v>
      </c>
      <c r="E19" s="244">
        <f>HLOOKUP(Fluoro!$V$318,$F$7:$I$26,D19+1)</f>
        <v>2.46E-2</v>
      </c>
      <c r="F19" s="244">
        <v>2.69E-2</v>
      </c>
      <c r="G19" s="244">
        <v>2.46E-2</v>
      </c>
      <c r="H19" s="244">
        <v>2.3300000000000001E-2</v>
      </c>
      <c r="I19" s="244">
        <v>2.1999999999999999E-2</v>
      </c>
      <c r="J19" s="244">
        <v>2.7E-2</v>
      </c>
      <c r="O19" s="239">
        <f>IF(Fluoro!T109="",NA(),Fluoro!T109)</f>
        <v>0</v>
      </c>
      <c r="P19" s="239" t="e">
        <f>IF(OR(Fluoro!U109="",Fluoro!V109=""),NA(),Fluoro!V109/Fluoro!U109)</f>
        <v>#DIV/0!</v>
      </c>
      <c r="Q19" s="243" t="e">
        <f>NA()</f>
        <v>#N/A</v>
      </c>
      <c r="R19" s="239"/>
      <c r="S19" s="239"/>
      <c r="T19" s="239"/>
      <c r="W19" s="239">
        <f>IF(Fluoro!T141="",NA(),Fluoro!T141)</f>
        <v>0</v>
      </c>
      <c r="X19" s="239" t="e">
        <f>IF(OR(Fluoro!U141="",Fluoro!V141=""),NA(),Fluoro!V141/Fluoro!U141)</f>
        <v>#DIV/0!</v>
      </c>
      <c r="Y19" s="243" t="e">
        <f>NA()</f>
        <v>#N/A</v>
      </c>
      <c r="Z19" s="239"/>
      <c r="AA19" s="239"/>
      <c r="AB19" s="239"/>
    </row>
    <row r="20" spans="1:28" ht="12.75" customHeight="1" x14ac:dyDescent="0.25">
      <c r="A20" s="240">
        <v>5.0999999999999996</v>
      </c>
      <c r="B20" s="182">
        <v>2</v>
      </c>
      <c r="D20" s="240">
        <v>13</v>
      </c>
      <c r="E20" s="244">
        <f>HLOOKUP(Fluoro!$V$318,$F$7:$I$26,D20+1)</f>
        <v>2.1499999999999998E-2</v>
      </c>
      <c r="F20" s="244">
        <v>2.3199999999999998E-2</v>
      </c>
      <c r="G20" s="244">
        <v>2.1499999999999998E-2</v>
      </c>
      <c r="H20" s="244">
        <v>2.01E-2</v>
      </c>
      <c r="I20" s="244">
        <v>1.9E-2</v>
      </c>
      <c r="J20" s="244">
        <v>2.3E-2</v>
      </c>
      <c r="O20" s="239">
        <f>IF(Fluoro!T110="",NA(),Fluoro!T110)</f>
        <v>0</v>
      </c>
      <c r="P20" s="239" t="e">
        <f>IF(OR(Fluoro!U110="",Fluoro!V110=""),NA(),Fluoro!V110/Fluoro!U110)</f>
        <v>#DIV/0!</v>
      </c>
      <c r="Q20" s="243" t="e">
        <f>NA()</f>
        <v>#N/A</v>
      </c>
      <c r="R20" s="239"/>
      <c r="S20" s="239"/>
      <c r="T20" s="239"/>
      <c r="W20" s="239">
        <f>IF(Fluoro!T142="",NA(),Fluoro!T142)</f>
        <v>0</v>
      </c>
      <c r="X20" s="239" t="e">
        <f>IF(OR(Fluoro!U142="",Fluoro!V142=""),NA(),Fluoro!V142/Fluoro!U142)</f>
        <v>#DIV/0!</v>
      </c>
      <c r="Y20" s="243" t="e">
        <f>NA()</f>
        <v>#N/A</v>
      </c>
      <c r="Z20" s="239"/>
      <c r="AA20" s="239"/>
      <c r="AB20" s="239"/>
    </row>
    <row r="21" spans="1:28" ht="12.75" customHeight="1" x14ac:dyDescent="0.25">
      <c r="A21" s="240">
        <v>5.2</v>
      </c>
      <c r="B21" s="182">
        <v>2.2400000000000002</v>
      </c>
      <c r="D21" s="240">
        <v>14</v>
      </c>
      <c r="E21" s="244">
        <f>HLOOKUP(Fluoro!$V$318,$F$7:$I$26,D21+1)</f>
        <v>1.72E-2</v>
      </c>
      <c r="F21" s="244">
        <v>1.8599999999999998E-2</v>
      </c>
      <c r="G21" s="244">
        <v>1.72E-2</v>
      </c>
      <c r="H21" s="244">
        <v>1.61E-2</v>
      </c>
      <c r="I21" s="244">
        <v>1.5299999999999999E-2</v>
      </c>
      <c r="J21" s="244">
        <v>1.7999999999999999E-2</v>
      </c>
      <c r="O21" s="239">
        <f>IF(Fluoro!T111="",NA(),Fluoro!T111)</f>
        <v>0</v>
      </c>
      <c r="P21" s="239" t="e">
        <f>IF(OR(Fluoro!U111="",Fluoro!V111=""),NA(),Fluoro!V111/Fluoro!U111)</f>
        <v>#DIV/0!</v>
      </c>
      <c r="Q21" s="243" t="e">
        <f>NA()</f>
        <v>#N/A</v>
      </c>
      <c r="R21" s="239"/>
      <c r="S21" s="239"/>
      <c r="T21" s="239"/>
      <c r="W21" s="239">
        <f>IF(Fluoro!T143="",NA(),Fluoro!T143)</f>
        <v>0</v>
      </c>
      <c r="X21" s="239" t="e">
        <f>IF(OR(Fluoro!U143="",Fluoro!V143=""),NA(),Fluoro!V143/Fluoro!U143)</f>
        <v>#DIV/0!</v>
      </c>
      <c r="Y21" s="243" t="e">
        <f>NA()</f>
        <v>#N/A</v>
      </c>
      <c r="Z21" s="239"/>
      <c r="AA21" s="239"/>
      <c r="AB21" s="239"/>
    </row>
    <row r="22" spans="1:28" ht="12.75" customHeight="1" x14ac:dyDescent="0.25">
      <c r="A22" s="240">
        <v>5.3</v>
      </c>
      <c r="B22" s="182">
        <v>2.5</v>
      </c>
      <c r="D22" s="240">
        <v>15</v>
      </c>
      <c r="E22" s="244">
        <f>HLOOKUP(Fluoro!$V$318,$F$7:$I$26,D22+1)</f>
        <v>1.55E-2</v>
      </c>
      <c r="F22" s="244">
        <v>1.6799999999999999E-2</v>
      </c>
      <c r="G22" s="244">
        <v>1.55E-2</v>
      </c>
      <c r="H22" s="244">
        <v>1.4500000000000001E-2</v>
      </c>
      <c r="I22" s="244">
        <v>1.38E-2</v>
      </c>
      <c r="J22" s="244">
        <v>1.6E-2</v>
      </c>
      <c r="O22" s="239">
        <f>IF(Fluoro!T112="",NA(),Fluoro!T112)</f>
        <v>0</v>
      </c>
      <c r="P22" s="239" t="e">
        <f>IF(OR(Fluoro!U112="",Fluoro!V112=""),NA(),Fluoro!V112/Fluoro!U112)</f>
        <v>#DIV/0!</v>
      </c>
      <c r="Q22" s="243" t="e">
        <f>NA()</f>
        <v>#N/A</v>
      </c>
      <c r="R22" s="239"/>
      <c r="S22" s="239"/>
      <c r="T22" s="239"/>
      <c r="W22" s="239">
        <f>IF(Fluoro!T144="",NA(),Fluoro!T144)</f>
        <v>0</v>
      </c>
      <c r="X22" s="239" t="e">
        <f>IF(OR(Fluoro!U144="",Fluoro!V144=""),NA(),Fluoro!V144/Fluoro!U144)</f>
        <v>#DIV/0!</v>
      </c>
      <c r="Y22" s="243" t="e">
        <f>NA()</f>
        <v>#N/A</v>
      </c>
      <c r="Z22" s="239"/>
      <c r="AA22" s="239"/>
      <c r="AB22" s="239"/>
    </row>
    <row r="23" spans="1:28" ht="12.75" customHeight="1" x14ac:dyDescent="0.25">
      <c r="A23" s="240">
        <v>6.1</v>
      </c>
      <c r="B23" s="182">
        <v>2.8</v>
      </c>
      <c r="D23" s="240">
        <v>16</v>
      </c>
      <c r="E23" s="244">
        <f>HLOOKUP(Fluoro!$V$318,$F$7:$I$26,D23+1)</f>
        <v>1.2999999999999999E-2</v>
      </c>
      <c r="F23" s="244">
        <v>1.4E-2</v>
      </c>
      <c r="G23" s="244">
        <v>1.2999999999999999E-2</v>
      </c>
      <c r="H23" s="244">
        <v>1.2200000000000001E-2</v>
      </c>
      <c r="I23" s="244">
        <v>1.15E-2</v>
      </c>
      <c r="J23" s="244">
        <v>1.2999999999999999E-2</v>
      </c>
      <c r="O23" s="239">
        <f>IF(Fluoro!T113="",NA(),Fluoro!T113)</f>
        <v>0</v>
      </c>
      <c r="P23" s="239" t="e">
        <f>IF(OR(Fluoro!U113="",Fluoro!V113=""),NA(),Fluoro!V113/Fluoro!U113)</f>
        <v>#DIV/0!</v>
      </c>
      <c r="Q23" s="243" t="e">
        <f>NA()</f>
        <v>#N/A</v>
      </c>
      <c r="R23" s="239"/>
      <c r="S23" s="239"/>
      <c r="T23" s="239"/>
      <c r="W23" s="239">
        <f>IF(Fluoro!T145="",NA(),Fluoro!T145)</f>
        <v>0</v>
      </c>
      <c r="X23" s="239" t="e">
        <f>IF(OR(Fluoro!U145="",Fluoro!V145=""),NA(),Fluoro!V145/Fluoro!U145)</f>
        <v>#DIV/0!</v>
      </c>
      <c r="Y23" s="243" t="e">
        <f>NA()</f>
        <v>#N/A</v>
      </c>
      <c r="Z23" s="239"/>
      <c r="AA23" s="239"/>
      <c r="AB23" s="239"/>
    </row>
    <row r="24" spans="1:28" ht="12.75" customHeight="1" x14ac:dyDescent="0.25">
      <c r="A24" s="240">
        <v>6.2</v>
      </c>
      <c r="B24" s="182">
        <v>3.15</v>
      </c>
      <c r="D24" s="240">
        <v>17</v>
      </c>
      <c r="E24" s="244">
        <f>HLOOKUP(Fluoro!$V$318,$F$7:$I$26,D24+1)</f>
        <v>1.0999999999999999E-2</v>
      </c>
      <c r="F24" s="244">
        <v>1.1900000000000001E-2</v>
      </c>
      <c r="G24" s="244">
        <v>1.0999999999999999E-2</v>
      </c>
      <c r="H24" s="244">
        <v>1.03E-2</v>
      </c>
      <c r="I24" s="244">
        <v>9.7000000000000003E-3</v>
      </c>
      <c r="J24" s="244">
        <v>1.0999999999999999E-2</v>
      </c>
      <c r="O24" s="239">
        <f>IF(Fluoro!T114="",NA(),Fluoro!T114)</f>
        <v>0</v>
      </c>
      <c r="P24" s="239" t="e">
        <f>IF(OR(Fluoro!U114="",Fluoro!V114=""),NA(),Fluoro!V114/Fluoro!U114)</f>
        <v>#DIV/0!</v>
      </c>
      <c r="Q24" s="243" t="e">
        <f>NA()</f>
        <v>#N/A</v>
      </c>
      <c r="R24" s="239"/>
      <c r="S24" s="239"/>
      <c r="T24" s="239"/>
      <c r="W24" s="239">
        <f>IF(Fluoro!T146="",NA(),Fluoro!T146)</f>
        <v>0</v>
      </c>
      <c r="X24" s="239" t="e">
        <f>IF(OR(Fluoro!U146="",Fluoro!V146=""),NA(),Fluoro!V146/Fluoro!U146)</f>
        <v>#DIV/0!</v>
      </c>
      <c r="Y24" s="243" t="e">
        <f>NA()</f>
        <v>#N/A</v>
      </c>
      <c r="Z24" s="239"/>
      <c r="AA24" s="239"/>
      <c r="AB24" s="239"/>
    </row>
    <row r="25" spans="1:28" ht="12.75" customHeight="1" x14ac:dyDescent="0.25">
      <c r="A25" s="240">
        <v>6.3</v>
      </c>
      <c r="B25" s="182">
        <v>3.55</v>
      </c>
      <c r="D25" s="240">
        <v>18</v>
      </c>
      <c r="E25" s="244">
        <f>HLOOKUP(Fluoro!$V$318,$F$7:$I$26,D25+1)</f>
        <v>8.6E-3</v>
      </c>
      <c r="F25" s="244">
        <v>9.2999999999999992E-3</v>
      </c>
      <c r="G25" s="244">
        <v>8.6E-3</v>
      </c>
      <c r="H25" s="244">
        <v>8.0999999999999996E-3</v>
      </c>
      <c r="I25" s="244">
        <v>7.7000000000000002E-3</v>
      </c>
      <c r="J25" s="244">
        <v>8.9999999999999993E-3</v>
      </c>
      <c r="O25" s="239">
        <f>IF(Fluoro!T115="",NA(),Fluoro!T115)</f>
        <v>0</v>
      </c>
      <c r="P25" s="239" t="e">
        <f>IF(OR(Fluoro!U115="",Fluoro!V115=""),NA(),Fluoro!V115/Fluoro!U115)</f>
        <v>#DIV/0!</v>
      </c>
      <c r="Q25" s="243" t="e">
        <f>NA()</f>
        <v>#N/A</v>
      </c>
      <c r="R25" s="239"/>
      <c r="S25" s="239"/>
      <c r="T25" s="239"/>
      <c r="W25" s="239">
        <f>IF(Fluoro!T147="",NA(),Fluoro!T147)</f>
        <v>0</v>
      </c>
      <c r="X25" s="239" t="e">
        <f>IF(OR(Fluoro!U147="",Fluoro!V147=""),NA(),Fluoro!V147/Fluoro!U147)</f>
        <v>#DIV/0!</v>
      </c>
      <c r="Y25" s="243" t="e">
        <f>NA()</f>
        <v>#N/A</v>
      </c>
      <c r="Z25" s="239"/>
      <c r="AA25" s="239"/>
      <c r="AB25" s="239"/>
    </row>
    <row r="26" spans="1:28" ht="12.75" customHeight="1" x14ac:dyDescent="0.25">
      <c r="A26" s="240">
        <v>7.1</v>
      </c>
      <c r="B26" s="182">
        <v>4</v>
      </c>
      <c r="D26" s="240">
        <v>19</v>
      </c>
      <c r="E26" s="244">
        <f>HLOOKUP(Fluoro!$V$318,$F$7:$I$26,D26+1)</f>
        <v>6.6E-3</v>
      </c>
      <c r="F26" s="244">
        <v>7.1000000000000004E-3</v>
      </c>
      <c r="G26" s="244">
        <v>6.6E-3</v>
      </c>
      <c r="H26" s="244">
        <v>6.1999999999999998E-3</v>
      </c>
      <c r="I26" s="244">
        <v>5.8999999999999999E-3</v>
      </c>
      <c r="J26" s="244">
        <v>7.0000000000000001E-3</v>
      </c>
      <c r="O26" s="239">
        <f>IF(Fluoro!T116="",NA(),Fluoro!T116)</f>
        <v>0</v>
      </c>
      <c r="P26" s="239" t="e">
        <f>IF(OR(Fluoro!U116="",Fluoro!V116=""),NA(),Fluoro!V116/Fluoro!U116)</f>
        <v>#DIV/0!</v>
      </c>
      <c r="Q26" s="243" t="e">
        <f>NA()</f>
        <v>#N/A</v>
      </c>
      <c r="R26" s="239"/>
      <c r="S26" s="239"/>
      <c r="T26" s="239"/>
      <c r="W26" s="239">
        <f>IF(Fluoro!T148="",NA(),Fluoro!T148)</f>
        <v>0</v>
      </c>
      <c r="X26" s="239" t="e">
        <f>IF(OR(Fluoro!U148="",Fluoro!V148=""),NA(),Fluoro!V148/Fluoro!U148)</f>
        <v>#DIV/0!</v>
      </c>
      <c r="Y26" s="243" t="e">
        <f>NA()</f>
        <v>#N/A</v>
      </c>
      <c r="Z26" s="239"/>
      <c r="AA26" s="239"/>
      <c r="AB26" s="239"/>
    </row>
    <row r="27" spans="1:28" ht="12.75" customHeight="1" x14ac:dyDescent="0.25">
      <c r="A27" s="240">
        <v>7.2</v>
      </c>
      <c r="B27" s="182">
        <v>4.5</v>
      </c>
      <c r="N27" s="239"/>
      <c r="O27" s="239">
        <f>IF(Fluoro!T117="",NA(),Fluoro!T117)</f>
        <v>0</v>
      </c>
      <c r="P27" s="239" t="e">
        <f>IF(OR(Fluoro!U117="",Fluoro!V117=""),NA(),Fluoro!V117/Fluoro!U117)</f>
        <v>#DIV/0!</v>
      </c>
      <c r="Q27" s="243" t="e">
        <f>NA()</f>
        <v>#N/A</v>
      </c>
      <c r="R27" s="239"/>
      <c r="S27" s="239"/>
      <c r="T27" s="239"/>
      <c r="V27" s="239"/>
      <c r="W27" s="239">
        <f>IF(Fluoro!T149="",NA(),Fluoro!T149)</f>
        <v>0</v>
      </c>
      <c r="X27" s="239" t="e">
        <f>IF(OR(Fluoro!U149="",Fluoro!V149=""),NA(),Fluoro!V149/Fluoro!U149)</f>
        <v>#DIV/0!</v>
      </c>
      <c r="Y27" s="243" t="e">
        <f>NA()</f>
        <v>#N/A</v>
      </c>
      <c r="Z27" s="239"/>
      <c r="AA27" s="239"/>
      <c r="AB27" s="239"/>
    </row>
    <row r="28" spans="1:28" ht="12.75" customHeight="1" x14ac:dyDescent="0.25">
      <c r="A28" s="240">
        <v>7.3</v>
      </c>
      <c r="B28" s="182">
        <v>5</v>
      </c>
      <c r="N28" s="239"/>
      <c r="O28" s="239">
        <f>IF(Fluoro!T118="",NA(),Fluoro!T118)</f>
        <v>0</v>
      </c>
      <c r="P28" s="239" t="e">
        <f>IF(OR(Fluoro!U118="",Fluoro!V118=""),NA(),Fluoro!V118/Fluoro!U118)</f>
        <v>#DIV/0!</v>
      </c>
      <c r="Q28" s="243" t="e">
        <f>NA()</f>
        <v>#N/A</v>
      </c>
      <c r="R28" s="239"/>
      <c r="S28" s="239"/>
      <c r="T28" s="239"/>
      <c r="V28" s="239"/>
      <c r="W28" s="239">
        <f>IF(Fluoro!T150="",NA(),Fluoro!T150)</f>
        <v>0</v>
      </c>
      <c r="X28" s="239" t="e">
        <f>IF(OR(Fluoro!U150="",Fluoro!V150=""),NA(),Fluoro!V150/Fluoro!U150)</f>
        <v>#DIV/0!</v>
      </c>
      <c r="Y28" s="243" t="e">
        <f>NA()</f>
        <v>#N/A</v>
      </c>
      <c r="Z28" s="239"/>
      <c r="AA28" s="239"/>
      <c r="AB28" s="239"/>
    </row>
    <row r="29" spans="1:28" ht="12.75" customHeight="1" x14ac:dyDescent="0.25">
      <c r="N29" s="239"/>
      <c r="O29" s="239">
        <f>IF(Fluoro!T119="",NA(),Fluoro!T119)</f>
        <v>0</v>
      </c>
      <c r="P29" s="239" t="e">
        <f>IF(OR(Fluoro!U119="",Fluoro!V119=""),NA(),Fluoro!V119/Fluoro!U119)</f>
        <v>#DIV/0!</v>
      </c>
      <c r="Q29" s="243" t="e">
        <f>NA()</f>
        <v>#N/A</v>
      </c>
      <c r="R29" s="239"/>
      <c r="S29" s="239"/>
      <c r="T29" s="239"/>
      <c r="V29" s="239"/>
      <c r="W29" s="239">
        <f>IF(Fluoro!T151="",NA(),Fluoro!T151)</f>
        <v>0</v>
      </c>
      <c r="X29" s="239" t="e">
        <f>IF(OR(Fluoro!U151="",Fluoro!V151=""),NA(),Fluoro!V151/Fluoro!U151)</f>
        <v>#DIV/0!</v>
      </c>
      <c r="Y29" s="243" t="e">
        <f>NA()</f>
        <v>#N/A</v>
      </c>
      <c r="Z29" s="239"/>
      <c r="AA29" s="239"/>
      <c r="AB29" s="239"/>
    </row>
    <row r="30" spans="1:28" ht="12.75" customHeight="1" x14ac:dyDescent="0.25">
      <c r="A30" s="182" t="s">
        <v>383</v>
      </c>
      <c r="B30" s="182">
        <v>65</v>
      </c>
      <c r="C30" s="182">
        <v>70</v>
      </c>
      <c r="D30" s="182">
        <v>75</v>
      </c>
      <c r="E30" s="182">
        <v>80</v>
      </c>
      <c r="N30" s="239"/>
      <c r="O30" s="239">
        <f>IF(Fluoro!T120="",NA(),Fluoro!T120)</f>
        <v>0</v>
      </c>
      <c r="P30" s="239" t="e">
        <f>IF(OR(Fluoro!U120="",Fluoro!V120=""),NA(),Fluoro!V120/Fluoro!U120)</f>
        <v>#DIV/0!</v>
      </c>
      <c r="Q30" s="243" t="e">
        <f>NA()</f>
        <v>#N/A</v>
      </c>
      <c r="R30" s="239"/>
      <c r="S30" s="239"/>
      <c r="T30" s="239"/>
      <c r="V30" s="239"/>
      <c r="W30" s="239">
        <f>IF(Fluoro!T152="",NA(),Fluoro!T152)</f>
        <v>0</v>
      </c>
      <c r="X30" s="239" t="e">
        <f>IF(OR(Fluoro!U152="",Fluoro!V152=""),NA(),Fluoro!V152/Fluoro!U152)</f>
        <v>#DIV/0!</v>
      </c>
      <c r="Y30" s="243" t="e">
        <f>NA()</f>
        <v>#N/A</v>
      </c>
      <c r="Z30" s="239"/>
      <c r="AA30" s="239"/>
      <c r="AB30" s="239"/>
    </row>
    <row r="31" spans="1:28" ht="12.75" customHeight="1" x14ac:dyDescent="0.25">
      <c r="A31" s="244">
        <v>1.2E-2</v>
      </c>
      <c r="B31" s="244">
        <v>1.1900000000000001E-2</v>
      </c>
      <c r="C31" s="244">
        <v>1.0999999999999999E-2</v>
      </c>
      <c r="D31" s="244">
        <v>1.03E-2</v>
      </c>
      <c r="E31" s="244">
        <v>9.7000000000000003E-3</v>
      </c>
      <c r="J31" s="1" t="s">
        <v>384</v>
      </c>
      <c r="N31" s="239"/>
      <c r="O31" s="239">
        <f>IF(Fluoro!T121="",NA(),Fluoro!T121)</f>
        <v>0</v>
      </c>
      <c r="P31" s="239" t="e">
        <f>IF(OR(Fluoro!U121="",Fluoro!V121=""),NA(),Fluoro!V121/Fluoro!U121)</f>
        <v>#DIV/0!</v>
      </c>
      <c r="Q31" s="243" t="e">
        <f>NA()</f>
        <v>#N/A</v>
      </c>
      <c r="R31" s="239"/>
      <c r="S31" s="239"/>
      <c r="T31" s="239"/>
      <c r="V31" s="239"/>
      <c r="W31" s="239">
        <f>IF(Fluoro!T153="",NA(),Fluoro!T153)</f>
        <v>0</v>
      </c>
      <c r="X31" s="239" t="e">
        <f>IF(OR(Fluoro!U153="",Fluoro!V153=""),NA(),Fluoro!V153/Fluoro!U153)</f>
        <v>#DIV/0!</v>
      </c>
      <c r="Y31" s="243" t="e">
        <f>NA()</f>
        <v>#N/A</v>
      </c>
      <c r="Z31" s="239"/>
      <c r="AA31" s="239"/>
      <c r="AB31" s="239"/>
    </row>
    <row r="32" spans="1:28" ht="12.75" customHeight="1" x14ac:dyDescent="0.25">
      <c r="A32" s="244">
        <v>1.6E-2</v>
      </c>
      <c r="B32" s="244">
        <v>1.6799999999999999E-2</v>
      </c>
      <c r="C32" s="244">
        <v>1.55E-2</v>
      </c>
      <c r="D32" s="244">
        <v>1.4500000000000001E-2</v>
      </c>
      <c r="E32" s="244">
        <v>1.38E-2</v>
      </c>
      <c r="N32" s="239"/>
      <c r="O32" s="239">
        <f>IF(Fluoro!T122="",NA(),Fluoro!T122)</f>
        <v>0</v>
      </c>
      <c r="P32" s="239" t="e">
        <f>IF(OR(Fluoro!U122="",Fluoro!V122=""),NA(),Fluoro!V122/Fluoro!U122)</f>
        <v>#DIV/0!</v>
      </c>
      <c r="Q32" s="243" t="e">
        <f>NA()</f>
        <v>#N/A</v>
      </c>
      <c r="R32" s="239"/>
      <c r="S32" s="239"/>
      <c r="T32" s="239"/>
      <c r="V32" s="239"/>
      <c r="W32" s="239">
        <f>IF(Fluoro!T154="",NA(),Fluoro!T154)</f>
        <v>0</v>
      </c>
      <c r="X32" s="239" t="e">
        <f>IF(OR(Fluoro!U154="",Fluoro!V154=""),NA(),Fluoro!V154/Fluoro!U154)</f>
        <v>#DIV/0!</v>
      </c>
      <c r="Y32" s="243" t="e">
        <f>NA()</f>
        <v>#N/A</v>
      </c>
      <c r="Z32" s="239"/>
      <c r="AA32" s="239"/>
      <c r="AB32" s="239"/>
    </row>
    <row r="33" spans="1:28" ht="12.75" customHeight="1" x14ac:dyDescent="0.25">
      <c r="A33" s="244">
        <v>2.3E-2</v>
      </c>
      <c r="B33" s="244">
        <v>2.3199999999999998E-2</v>
      </c>
      <c r="C33" s="244">
        <v>2.1499999999999998E-2</v>
      </c>
      <c r="D33" s="244">
        <v>2.01E-2</v>
      </c>
      <c r="E33" s="244">
        <v>1.9E-2</v>
      </c>
      <c r="N33" s="239"/>
      <c r="O33" s="239">
        <f>IF(Fluoro!T123="",NA(),Fluoro!T123)</f>
        <v>0</v>
      </c>
      <c r="P33" s="239" t="e">
        <f>IF(OR(Fluoro!U123="",Fluoro!V123=""),NA(),Fluoro!V123/Fluoro!U123)</f>
        <v>#DIV/0!</v>
      </c>
      <c r="Q33" s="243" t="e">
        <f>NA()</f>
        <v>#N/A</v>
      </c>
      <c r="R33" s="239"/>
      <c r="S33" s="239"/>
      <c r="T33" s="239"/>
      <c r="V33" s="239"/>
      <c r="W33" s="239">
        <f>IF(Fluoro!T155="",NA(),Fluoro!T155)</f>
        <v>0</v>
      </c>
      <c r="X33" s="239" t="e">
        <f>IF(OR(Fluoro!U155="",Fluoro!V155=""),NA(),Fluoro!V155/Fluoro!U155)</f>
        <v>#DIV/0!</v>
      </c>
      <c r="Y33" s="243" t="e">
        <f>NA()</f>
        <v>#N/A</v>
      </c>
      <c r="Z33" s="239"/>
      <c r="AA33" s="239"/>
      <c r="AB33" s="239"/>
    </row>
    <row r="34" spans="1:28" ht="12.75" customHeight="1" x14ac:dyDescent="0.25">
      <c r="A34" s="244">
        <v>3.2000000000000001E-2</v>
      </c>
      <c r="B34" s="244">
        <v>3.4700000000000002E-2</v>
      </c>
      <c r="C34" s="244">
        <v>3.2199999999999999E-2</v>
      </c>
      <c r="D34" s="244">
        <v>3.0099999999999998E-2</v>
      </c>
      <c r="E34" s="244">
        <v>2.8500000000000001E-2</v>
      </c>
      <c r="N34" s="245" t="s">
        <v>382</v>
      </c>
      <c r="O34" s="246">
        <f>IF(Fluoro!T124="",NA(),Fluoro!T124)</f>
        <v>0</v>
      </c>
      <c r="P34" s="246" t="e">
        <f>IF(OR(Fluoro!U124="",Fluoro!V124=""),NA(),Fluoro!V124/Fluoro!U124)</f>
        <v>#DIV/0!</v>
      </c>
      <c r="Q34" s="247" t="e">
        <f>NA()</f>
        <v>#N/A</v>
      </c>
      <c r="R34" s="239"/>
      <c r="S34" s="239"/>
      <c r="T34" s="239"/>
      <c r="V34" s="245" t="s">
        <v>382</v>
      </c>
      <c r="W34" s="246">
        <f>IF(Fluoro!T156="",NA(),Fluoro!T156)</f>
        <v>0</v>
      </c>
      <c r="X34" s="246" t="e">
        <f>IF(OR(Fluoro!U156="",Fluoro!V156=""),NA(),Fluoro!V156/Fluoro!U156)</f>
        <v>#DIV/0!</v>
      </c>
      <c r="Y34" s="247" t="e">
        <f>NA()</f>
        <v>#N/A</v>
      </c>
      <c r="Z34" s="239"/>
      <c r="AA34" s="239"/>
      <c r="AB34" s="239"/>
    </row>
    <row r="35" spans="1:28" ht="12.75" customHeight="1" x14ac:dyDescent="0.25">
      <c r="A35" s="244">
        <v>4.4999999999999998E-2</v>
      </c>
      <c r="B35" s="244">
        <v>5.1200000000000002E-2</v>
      </c>
      <c r="C35" s="244">
        <v>4.4999999999999998E-2</v>
      </c>
      <c r="D35" s="244">
        <v>3.9899999999999998E-2</v>
      </c>
      <c r="E35" s="244">
        <v>3.5999999999999997E-2</v>
      </c>
      <c r="O35" s="239">
        <f>IF(Fluoro!W109="",NA(),Fluoro!W109)</f>
        <v>0</v>
      </c>
      <c r="P35" s="239" t="e">
        <f>IF(NOT(Fluoro!$O$102=1),IF(OR(Fluoro!X109="",Fluoro!Y109=""),NA(),Fluoro!Y109/Fluoro!X109),NA())</f>
        <v>#DIV/0!</v>
      </c>
      <c r="Q35" s="243" t="e">
        <f>IF(Fluoro!$O$102=1,IF(OR(Fluoro!X109=0,Fluoro!Y109=0),NA(),Fluoro!Y109/Fluoro!X109),NA())</f>
        <v>#N/A</v>
      </c>
      <c r="R35" s="239"/>
      <c r="S35" s="239"/>
      <c r="T35" s="239"/>
      <c r="W35" s="239">
        <f>IF(Fluoro!W141="",NA(),Fluoro!W141)</f>
        <v>0</v>
      </c>
      <c r="X35" s="239" t="e">
        <f>IF(NOT(Fluoro!$O$102=1),IF(OR(Fluoro!X141="",Fluoro!Y141=""),NA(),Fluoro!Y141/Fluoro!X141),NA())</f>
        <v>#DIV/0!</v>
      </c>
      <c r="Y35" s="243" t="e">
        <f>IF(Fluoro!$O$102=1,IF(OR(Fluoro!X141=0,Fluoro!Y141=0),NA(),Fluoro!Y141/Fluoro!X141),NA())</f>
        <v>#N/A</v>
      </c>
      <c r="Z35" s="239"/>
      <c r="AA35" s="239"/>
      <c r="AB35" s="239"/>
    </row>
    <row r="36" spans="1:28" ht="12.75" customHeight="1" x14ac:dyDescent="0.25">
      <c r="A36" s="244">
        <v>6.6000000000000003E-2</v>
      </c>
      <c r="B36" s="244">
        <v>7.6600000000000001E-2</v>
      </c>
      <c r="C36" s="244">
        <v>6.7400000000000002E-2</v>
      </c>
      <c r="D36" s="244">
        <v>5.9900000000000002E-2</v>
      </c>
      <c r="E36" s="244">
        <v>5.4199999999999998E-2</v>
      </c>
      <c r="O36" s="239">
        <f>IF(Fluoro!W110="",NA(),Fluoro!W110)</f>
        <v>0</v>
      </c>
      <c r="P36" s="239" t="e">
        <f>IF(NOT(Fluoro!$O$102=1),IF(OR(Fluoro!X110="",Fluoro!Y110=""),NA(),Fluoro!Y110/Fluoro!X110),NA())</f>
        <v>#DIV/0!</v>
      </c>
      <c r="Q36" s="243" t="e">
        <f>IF(Fluoro!$O$102=1,IF(OR(Fluoro!X110=0,Fluoro!Y110=0),NA(),Fluoro!Y110/Fluoro!X110),NA())</f>
        <v>#N/A</v>
      </c>
      <c r="R36" s="239"/>
      <c r="S36" s="239"/>
      <c r="T36" s="239"/>
      <c r="W36" s="239">
        <f>IF(Fluoro!W142="",NA(),Fluoro!W142)</f>
        <v>0</v>
      </c>
      <c r="X36" s="239" t="e">
        <f>IF(NOT(Fluoro!$O$102=1),IF(OR(Fluoro!X142="",Fluoro!Y142=""),NA(),Fluoro!Y142/Fluoro!X142),NA())</f>
        <v>#DIV/0!</v>
      </c>
      <c r="Y36" s="243" t="e">
        <f>IF(Fluoro!$O$102=1,IF(OR(Fluoro!X142=0,Fluoro!Y142=0),NA(),Fluoro!Y142/Fluoro!X142),NA())</f>
        <v>#N/A</v>
      </c>
      <c r="Z36" s="239"/>
      <c r="AA36" s="239"/>
      <c r="AB36" s="239"/>
    </row>
    <row r="37" spans="1:28" ht="12.75" customHeight="1" x14ac:dyDescent="0.25">
      <c r="A37" s="244">
        <v>8.5999999999999993E-2</v>
      </c>
      <c r="B37" s="244">
        <v>9.9299999999999999E-2</v>
      </c>
      <c r="C37" s="244">
        <v>8.7599999999999997E-2</v>
      </c>
      <c r="D37" s="244">
        <v>7.8E-2</v>
      </c>
      <c r="E37" s="244">
        <v>7.0499999999999993E-2</v>
      </c>
      <c r="O37" s="239">
        <f>IF(Fluoro!W111="",NA(),Fluoro!W111)</f>
        <v>0</v>
      </c>
      <c r="P37" s="239" t="e">
        <f>IF(NOT(Fluoro!$O$102=1),IF(OR(Fluoro!X111="",Fluoro!Y111=""),NA(),Fluoro!Y111/Fluoro!X111),NA())</f>
        <v>#DIV/0!</v>
      </c>
      <c r="Q37" s="243" t="e">
        <f>IF(Fluoro!$O$102=1,IF(OR(Fluoro!X111=0,Fluoro!Y111=0),NA(),Fluoro!Y111/Fluoro!X111),NA())</f>
        <v>#N/A</v>
      </c>
      <c r="R37" s="239"/>
      <c r="S37" s="239"/>
      <c r="T37" s="239"/>
      <c r="W37" s="239">
        <f>IF(Fluoro!W143="",NA(),Fluoro!W143)</f>
        <v>0</v>
      </c>
      <c r="X37" s="239" t="e">
        <f>IF(NOT(Fluoro!$O$102=1),IF(OR(Fluoro!X143="",Fluoro!Y143=""),NA(),Fluoro!Y143/Fluoro!X143),NA())</f>
        <v>#DIV/0!</v>
      </c>
      <c r="Y37" s="243" t="e">
        <f>IF(Fluoro!$O$102=1,IF(OR(Fluoro!X143=0,Fluoro!Y143=0),NA(),Fluoro!Y143/Fluoro!X143),NA())</f>
        <v>#N/A</v>
      </c>
      <c r="Z37" s="239"/>
      <c r="AA37" s="239"/>
      <c r="AB37" s="239"/>
    </row>
    <row r="38" spans="1:28" ht="12.75" customHeight="1" x14ac:dyDescent="0.25">
      <c r="A38" s="244">
        <v>0.123</v>
      </c>
      <c r="B38" s="244">
        <v>0.14499999999999999</v>
      </c>
      <c r="C38" s="244">
        <v>0.128</v>
      </c>
      <c r="D38" s="244">
        <v>0.114</v>
      </c>
      <c r="E38" s="244">
        <v>0.104</v>
      </c>
      <c r="O38" s="239">
        <f>IF(Fluoro!W112="",NA(),Fluoro!W112)</f>
        <v>0</v>
      </c>
      <c r="P38" s="239" t="e">
        <f>IF(NOT(Fluoro!$O$102=1),IF(OR(Fluoro!X112="",Fluoro!Y112=""),NA(),Fluoro!Y112/Fluoro!X112),NA())</f>
        <v>#DIV/0!</v>
      </c>
      <c r="Q38" s="243" t="e">
        <f>IF(Fluoro!$O$102=1,IF(OR(Fluoro!X112=0,Fluoro!Y112=0),NA(),Fluoro!Y112/Fluoro!X112),NA())</f>
        <v>#N/A</v>
      </c>
      <c r="R38" s="239"/>
      <c r="S38" s="239"/>
      <c r="T38" s="239"/>
      <c r="W38" s="239">
        <f>IF(Fluoro!W144="",NA(),Fluoro!W144)</f>
        <v>0</v>
      </c>
      <c r="X38" s="239" t="e">
        <f>IF(NOT(Fluoro!$O$102=1),IF(OR(Fluoro!X144="",Fluoro!Y144=""),NA(),Fluoro!Y144/Fluoro!X144),NA())</f>
        <v>#DIV/0!</v>
      </c>
      <c r="Y38" s="243" t="e">
        <f>IF(Fluoro!$O$102=1,IF(OR(Fluoro!X144=0,Fluoro!Y144=0),NA(),Fluoro!Y144/Fluoro!X144),NA())</f>
        <v>#N/A</v>
      </c>
      <c r="Z38" s="239"/>
      <c r="AA38" s="239"/>
      <c r="AB38" s="239"/>
    </row>
    <row r="39" spans="1:28" ht="12.75" customHeight="1" x14ac:dyDescent="0.25">
      <c r="A39" s="244">
        <v>0.16</v>
      </c>
      <c r="B39" s="244">
        <v>0.188</v>
      </c>
      <c r="C39" s="244">
        <v>0.16700000000000001</v>
      </c>
      <c r="D39" s="244">
        <v>0.14899999999999999</v>
      </c>
      <c r="E39" s="244">
        <v>0.13500000000000001</v>
      </c>
      <c r="O39" s="239">
        <f>IF(Fluoro!W113="",NA(),Fluoro!W113)</f>
        <v>0</v>
      </c>
      <c r="P39" s="239" t="e">
        <f>IF(NOT(Fluoro!$O$102=1),IF(OR(Fluoro!X113="",Fluoro!Y113=""),NA(),Fluoro!Y113/Fluoro!X113),NA())</f>
        <v>#DIV/0!</v>
      </c>
      <c r="Q39" s="243" t="e">
        <f>IF(Fluoro!$O$102=1,IF(OR(Fluoro!X113=0,Fluoro!Y113=0),NA(),Fluoro!Y113/Fluoro!X113),NA())</f>
        <v>#N/A</v>
      </c>
      <c r="R39" s="239"/>
      <c r="S39" s="239"/>
      <c r="T39" s="239"/>
      <c r="W39" s="239">
        <f>IF(Fluoro!W145="",NA(),Fluoro!W145)</f>
        <v>0</v>
      </c>
      <c r="X39" s="239" t="e">
        <f>IF(NOT(Fluoro!$O$102=1),IF(OR(Fluoro!X145="",Fluoro!Y145=""),NA(),Fluoro!Y145/Fluoro!X145),NA())</f>
        <v>#DIV/0!</v>
      </c>
      <c r="Y39" s="243" t="e">
        <f>IF(Fluoro!$O$102=1,IF(OR(Fluoro!X145=0,Fluoro!Y145=0),NA(),Fluoro!Y145/Fluoro!X145),NA())</f>
        <v>#N/A</v>
      </c>
      <c r="Z39" s="239"/>
      <c r="AA39" s="239"/>
      <c r="AB39" s="239"/>
    </row>
    <row r="40" spans="1:28" ht="12.75" customHeight="1" x14ac:dyDescent="0.25">
      <c r="A40" s="244">
        <v>0.23</v>
      </c>
      <c r="B40" s="244">
        <v>0.26700000000000002</v>
      </c>
      <c r="C40" s="244">
        <v>0.23799999999999999</v>
      </c>
      <c r="D40" s="244">
        <v>0.214</v>
      </c>
      <c r="E40" s="244">
        <v>0.19400000000000001</v>
      </c>
      <c r="O40" s="239">
        <f>IF(Fluoro!W114="",NA(),Fluoro!W114)</f>
        <v>0</v>
      </c>
      <c r="P40" s="239" t="e">
        <f>IF(NOT(Fluoro!$O$102=1),IF(OR(Fluoro!X114="",Fluoro!Y114=""),NA(),Fluoro!Y114/Fluoro!X114),NA())</f>
        <v>#DIV/0!</v>
      </c>
      <c r="Q40" s="243" t="e">
        <f>IF(Fluoro!$O$102=1,IF(OR(Fluoro!X114=0,Fluoro!Y114=0),NA(),Fluoro!Y114/Fluoro!X114),NA())</f>
        <v>#N/A</v>
      </c>
      <c r="R40" s="239"/>
      <c r="S40" s="239"/>
      <c r="T40" s="239"/>
      <c r="W40" s="239">
        <f>IF(Fluoro!W146="",NA(),Fluoro!W146)</f>
        <v>0</v>
      </c>
      <c r="X40" s="239" t="e">
        <f>IF(NOT(Fluoro!$O$102=1),IF(OR(Fluoro!X146="",Fluoro!Y146=""),NA(),Fluoro!Y146/Fluoro!X146),NA())</f>
        <v>#DIV/0!</v>
      </c>
      <c r="Y40" s="243" t="e">
        <f>IF(Fluoro!$O$102=1,IF(OR(Fluoro!X146=0,Fluoro!Y146=0),NA(),Fluoro!Y146/Fluoro!X146),NA())</f>
        <v>#N/A</v>
      </c>
      <c r="Z40" s="239"/>
      <c r="AA40" s="239"/>
      <c r="AB40" s="239"/>
    </row>
    <row r="41" spans="1:28" ht="12.75" customHeight="1" x14ac:dyDescent="0.25">
      <c r="A41" s="244">
        <v>0.35</v>
      </c>
      <c r="B41" s="244">
        <v>0.39900000000000002</v>
      </c>
      <c r="C41" s="244">
        <v>0.36</v>
      </c>
      <c r="D41" s="244">
        <v>0.32700000000000001</v>
      </c>
      <c r="E41" s="244">
        <v>0.29899999999999999</v>
      </c>
      <c r="O41" s="239">
        <f>IF(Fluoro!W115="",NA(),Fluoro!W115)</f>
        <v>0</v>
      </c>
      <c r="P41" s="239" t="e">
        <f>IF(NOT(Fluoro!$O$102=1),IF(OR(Fluoro!X115="",Fluoro!Y115=""),NA(),Fluoro!Y115/Fluoro!X115),NA())</f>
        <v>#DIV/0!</v>
      </c>
      <c r="Q41" s="243" t="e">
        <f>IF(Fluoro!$O$102=1,IF(OR(Fluoro!X115=0,Fluoro!Y115=0),NA(),Fluoro!Y115/Fluoro!X115),NA())</f>
        <v>#N/A</v>
      </c>
      <c r="R41" s="239"/>
      <c r="S41" s="239"/>
      <c r="T41" s="239"/>
      <c r="W41" s="239">
        <f>IF(Fluoro!W147="",NA(),Fluoro!W147)</f>
        <v>0</v>
      </c>
      <c r="X41" s="239" t="e">
        <f>IF(NOT(Fluoro!$O$102=1),IF(OR(Fluoro!X147="",Fluoro!Y147=""),NA(),Fluoro!Y147/Fluoro!X147),NA())</f>
        <v>#DIV/0!</v>
      </c>
      <c r="Y41" s="243" t="e">
        <f>IF(Fluoro!$O$102=1,IF(OR(Fluoro!X147=0,Fluoro!Y147=0),NA(),Fluoro!Y147/Fluoro!X147),NA())</f>
        <v>#N/A</v>
      </c>
      <c r="Z41" s="239"/>
      <c r="AA41" s="239"/>
      <c r="AB41" s="239"/>
    </row>
    <row r="42" spans="1:28" ht="12.75" customHeight="1" x14ac:dyDescent="0.25">
      <c r="A42" s="244">
        <v>0.5</v>
      </c>
      <c r="B42" s="244">
        <v>0.61799999999999999</v>
      </c>
      <c r="C42" s="244">
        <v>0.57299999999999995</v>
      </c>
      <c r="D42" s="244">
        <v>0.53300000000000003</v>
      </c>
      <c r="E42" s="244">
        <v>0.497</v>
      </c>
      <c r="O42" s="239">
        <f>IF(Fluoro!W116="",NA(),Fluoro!W116)</f>
        <v>0</v>
      </c>
      <c r="P42" s="239" t="e">
        <f>IF(NOT(Fluoro!$O$102=1),IF(OR(Fluoro!X116="",Fluoro!Y116=""),NA(),Fluoro!Y116/Fluoro!X116),NA())</f>
        <v>#DIV/0!</v>
      </c>
      <c r="Q42" s="243" t="e">
        <f>IF(Fluoro!$O$102=1,IF(OR(Fluoro!X116=0,Fluoro!Y116=0),NA(),Fluoro!Y116/Fluoro!X116),NA())</f>
        <v>#N/A</v>
      </c>
      <c r="R42" s="239"/>
      <c r="S42" s="239"/>
      <c r="T42" s="239"/>
      <c r="W42" s="239">
        <f>IF(Fluoro!W148="",NA(),Fluoro!W148)</f>
        <v>0</v>
      </c>
      <c r="X42" s="239" t="e">
        <f>IF(NOT(Fluoro!$O$102=1),IF(OR(Fluoro!X148="",Fluoro!Y148=""),NA(),Fluoro!Y148/Fluoro!X148),NA())</f>
        <v>#DIV/0!</v>
      </c>
      <c r="Y42" s="243" t="e">
        <f>IF(Fluoro!$O$102=1,IF(OR(Fluoro!X148=0,Fluoro!Y148=0),NA(),Fluoro!Y148/Fluoro!X148),NA())</f>
        <v>#N/A</v>
      </c>
      <c r="Z42" s="239"/>
      <c r="AA42" s="239"/>
      <c r="AB42" s="239"/>
    </row>
    <row r="43" spans="1:28" ht="12.75" customHeight="1" x14ac:dyDescent="0.25">
      <c r="A43" s="244">
        <v>0.66</v>
      </c>
      <c r="B43" s="244">
        <v>0.76900000000000002</v>
      </c>
      <c r="C43" s="244">
        <v>0.72599999999999998</v>
      </c>
      <c r="D43" s="244">
        <v>0.68600000000000005</v>
      </c>
      <c r="E43" s="244">
        <v>0.64900000000000002</v>
      </c>
      <c r="N43" s="239"/>
      <c r="O43" s="239">
        <f>IF(Fluoro!W117="",NA(),Fluoro!W117)</f>
        <v>0</v>
      </c>
      <c r="P43" s="239" t="e">
        <f>IF(NOT(Fluoro!$O$102=1),IF(OR(Fluoro!X117="",Fluoro!Y117=""),NA(),Fluoro!Y117/Fluoro!X117),NA())</f>
        <v>#DIV/0!</v>
      </c>
      <c r="Q43" s="243" t="e">
        <f>IF(Fluoro!$O$102=1,IF(OR(Fluoro!X117=0,Fluoro!Y117=0),NA(),Fluoro!Y117/Fluoro!X117),NA())</f>
        <v>#N/A</v>
      </c>
      <c r="R43" s="239"/>
      <c r="S43" s="239"/>
      <c r="T43" s="239"/>
      <c r="V43" s="239"/>
      <c r="W43" s="239">
        <f>IF(Fluoro!W149="",NA(),Fluoro!W149)</f>
        <v>0</v>
      </c>
      <c r="X43" s="239" t="e">
        <f>IF(NOT(Fluoro!$O$102=1),IF(OR(Fluoro!X149="",Fluoro!Y149=""),NA(),Fluoro!Y149/Fluoro!X149),NA())</f>
        <v>#DIV/0!</v>
      </c>
      <c r="Y43" s="243" t="e">
        <f>IF(Fluoro!$O$102=1,IF(OR(Fluoro!X149=0,Fluoro!Y149=0),NA(),Fluoro!Y149/Fluoro!X149),NA())</f>
        <v>#N/A</v>
      </c>
      <c r="Z43" s="239"/>
      <c r="AA43" s="239"/>
      <c r="AB43" s="239"/>
    </row>
    <row r="44" spans="1:28" ht="12.75" customHeight="1" x14ac:dyDescent="0.25">
      <c r="A44" s="244">
        <v>0.93</v>
      </c>
      <c r="B44" s="244">
        <v>0.96899999999999997</v>
      </c>
      <c r="C44" s="244">
        <v>0.95399999999999996</v>
      </c>
      <c r="D44" s="244">
        <v>0.93600000000000005</v>
      </c>
      <c r="E44" s="244">
        <v>0.91500000000000004</v>
      </c>
      <c r="N44" s="239"/>
      <c r="O44" s="239">
        <f>IF(Fluoro!W118="",NA(),Fluoro!W118)</f>
        <v>0</v>
      </c>
      <c r="P44" s="239" t="e">
        <f>IF(NOT(Fluoro!$O$102=1),IF(OR(Fluoro!X118="",Fluoro!Y118=""),NA(),Fluoro!Y118/Fluoro!X118),NA())</f>
        <v>#DIV/0!</v>
      </c>
      <c r="Q44" s="243" t="e">
        <f>IF(Fluoro!$O$102=1,IF(OR(Fluoro!X118=0,Fluoro!Y118=0),NA(),Fluoro!Y118/Fluoro!X118),NA())</f>
        <v>#N/A</v>
      </c>
      <c r="R44" s="239"/>
      <c r="S44" s="239"/>
      <c r="T44" s="239"/>
      <c r="V44" s="239"/>
      <c r="W44" s="239">
        <f>IF(Fluoro!W150="",NA(),Fluoro!W150)</f>
        <v>0</v>
      </c>
      <c r="X44" s="239" t="e">
        <f>IF(NOT(Fluoro!$O$102=1),IF(OR(Fluoro!X150="",Fluoro!Y150=""),NA(),Fluoro!Y150/Fluoro!X150),NA())</f>
        <v>#DIV/0!</v>
      </c>
      <c r="Y44" s="243" t="e">
        <f>IF(Fluoro!$O$102=1,IF(OR(Fluoro!X150=0,Fluoro!Y150=0),NA(),Fluoro!Y150/Fluoro!X150),NA())</f>
        <v>#N/A</v>
      </c>
      <c r="Z44" s="239"/>
      <c r="AA44" s="239"/>
      <c r="AB44" s="239"/>
    </row>
    <row r="45" spans="1:28" ht="12.75" customHeight="1" x14ac:dyDescent="0.25">
      <c r="N45" s="239"/>
      <c r="O45" s="239">
        <f>IF(Fluoro!W119="",NA(),Fluoro!W119)</f>
        <v>0</v>
      </c>
      <c r="P45" s="239" t="e">
        <f>IF(NOT(Fluoro!$O$102=1),IF(OR(Fluoro!X119="",Fluoro!Y119=""),NA(),Fluoro!Y119/Fluoro!X119),NA())</f>
        <v>#DIV/0!</v>
      </c>
      <c r="Q45" s="243" t="e">
        <f>IF(Fluoro!$O$102=1,IF(OR(Fluoro!X119=0,Fluoro!Y119=0),NA(),Fluoro!Y119/Fluoro!X119),NA())</f>
        <v>#N/A</v>
      </c>
      <c r="R45" s="239"/>
      <c r="S45" s="239"/>
      <c r="T45" s="239"/>
      <c r="V45" s="239"/>
      <c r="W45" s="239">
        <f>IF(Fluoro!W151="",NA(),Fluoro!W151)</f>
        <v>0</v>
      </c>
      <c r="X45" s="239" t="e">
        <f>IF(NOT(Fluoro!$O$102=1),IF(OR(Fluoro!X151="",Fluoro!Y151=""),NA(),Fluoro!Y151/Fluoro!X151),NA())</f>
        <v>#DIV/0!</v>
      </c>
      <c r="Y45" s="243" t="e">
        <f>IF(Fluoro!$O$102=1,IF(OR(Fluoro!X151=0,Fluoro!Y151=0),NA(),Fluoro!Y151/Fluoro!X151),NA())</f>
        <v>#N/A</v>
      </c>
      <c r="Z45" s="239"/>
      <c r="AA45" s="239"/>
      <c r="AB45" s="239"/>
    </row>
    <row r="46" spans="1:28" ht="12.75" customHeight="1" x14ac:dyDescent="0.25">
      <c r="A46" s="248" t="s">
        <v>319</v>
      </c>
      <c r="B46" s="249" t="s">
        <v>385</v>
      </c>
      <c r="C46" s="182" t="s">
        <v>386</v>
      </c>
      <c r="D46" s="240">
        <v>1</v>
      </c>
      <c r="E46" s="240">
        <v>2</v>
      </c>
      <c r="F46" s="240">
        <v>3</v>
      </c>
      <c r="G46" s="240">
        <v>4</v>
      </c>
      <c r="H46" s="240">
        <v>5</v>
      </c>
      <c r="I46" s="240">
        <v>6</v>
      </c>
      <c r="J46" s="240">
        <v>7</v>
      </c>
      <c r="K46" s="240">
        <v>8</v>
      </c>
      <c r="L46" s="240">
        <v>9</v>
      </c>
      <c r="N46" s="239"/>
      <c r="O46" s="239">
        <f>IF(Fluoro!W120="",NA(),Fluoro!W120)</f>
        <v>0</v>
      </c>
      <c r="P46" s="239" t="e">
        <f>IF(NOT(Fluoro!$O$102=1),IF(OR(Fluoro!X120="",Fluoro!Y120=""),NA(),Fluoro!Y120/Fluoro!X120),NA())</f>
        <v>#DIV/0!</v>
      </c>
      <c r="Q46" s="243" t="e">
        <f>IF(Fluoro!$O$102=1,IF(OR(Fluoro!X120=0,Fluoro!Y120=0),NA(),Fluoro!Y120/Fluoro!X120),NA())</f>
        <v>#N/A</v>
      </c>
      <c r="R46" s="239"/>
      <c r="S46" s="239"/>
      <c r="T46" s="239"/>
      <c r="V46" s="239"/>
      <c r="W46" s="239">
        <f>IF(Fluoro!W152="",NA(),Fluoro!W152)</f>
        <v>0</v>
      </c>
      <c r="X46" s="239" t="e">
        <f>IF(NOT(Fluoro!$O$102=1),IF(OR(Fluoro!X152="",Fluoro!Y152=""),NA(),Fluoro!Y152/Fluoro!X152),NA())</f>
        <v>#DIV/0!</v>
      </c>
      <c r="Y46" s="243" t="e">
        <f>IF(Fluoro!$O$102=1,IF(OR(Fluoro!X152=0,Fluoro!Y152=0),NA(),Fluoro!Y152/Fluoro!X152),NA())</f>
        <v>#N/A</v>
      </c>
      <c r="Z46" s="239"/>
      <c r="AA46" s="239"/>
      <c r="AB46" s="239"/>
    </row>
    <row r="47" spans="1:28" ht="12.75" customHeight="1" x14ac:dyDescent="0.25">
      <c r="A47" s="182" t="s">
        <v>322</v>
      </c>
      <c r="B47" s="249">
        <v>11.1</v>
      </c>
      <c r="C47" s="250">
        <f t="shared" ref="C47:C58" si="0">SQRT(PI()*(B47/2)^2)</f>
        <v>9.8371188725256129</v>
      </c>
      <c r="D47" s="250">
        <v>0.16</v>
      </c>
      <c r="E47" s="250">
        <v>0.123</v>
      </c>
      <c r="F47" s="250">
        <v>8.5999999999999993E-2</v>
      </c>
      <c r="G47" s="250">
        <v>6.6000000000000003E-2</v>
      </c>
      <c r="H47" s="250">
        <v>4.4999999999999998E-2</v>
      </c>
      <c r="I47" s="250">
        <v>3.2000000000000001E-2</v>
      </c>
      <c r="J47" s="250">
        <v>2.3E-2</v>
      </c>
      <c r="K47" s="250">
        <v>1.6E-2</v>
      </c>
      <c r="L47" s="250">
        <v>1.2E-2</v>
      </c>
      <c r="N47" s="239"/>
      <c r="O47" s="239">
        <f>IF(Fluoro!W121="",NA(),Fluoro!W121)</f>
        <v>0</v>
      </c>
      <c r="P47" s="239" t="e">
        <f>IF(NOT(Fluoro!$O$102=1),IF(OR(Fluoro!X121="",Fluoro!Y121=""),NA(),Fluoro!Y121/Fluoro!X121),NA())</f>
        <v>#DIV/0!</v>
      </c>
      <c r="Q47" s="243" t="e">
        <f>IF(Fluoro!$O$102=1,IF(OR(Fluoro!X121=0,Fluoro!Y121=0),NA(),Fluoro!Y121/Fluoro!X121),NA())</f>
        <v>#N/A</v>
      </c>
      <c r="R47" s="239"/>
      <c r="S47" s="239"/>
      <c r="T47" s="239"/>
      <c r="V47" s="239"/>
      <c r="W47" s="239">
        <f>IF(Fluoro!W153="",NA(),Fluoro!W153)</f>
        <v>0</v>
      </c>
      <c r="X47" s="239" t="e">
        <f>IF(NOT(Fluoro!$O$102=1),IF(OR(Fluoro!X153="",Fluoro!Y153=""),NA(),Fluoro!Y153/Fluoro!X153),NA())</f>
        <v>#DIV/0!</v>
      </c>
      <c r="Y47" s="243" t="e">
        <f>IF(Fluoro!$O$102=1,IF(OR(Fluoro!X153=0,Fluoro!Y153=0),NA(),Fluoro!Y153/Fluoro!X153),NA())</f>
        <v>#N/A</v>
      </c>
      <c r="Z47" s="239"/>
      <c r="AA47" s="239"/>
      <c r="AB47" s="239"/>
    </row>
    <row r="48" spans="1:28" ht="12.75" customHeight="1" x14ac:dyDescent="0.25">
      <c r="A48" s="182" t="s">
        <v>323</v>
      </c>
      <c r="B48" s="249">
        <v>7.9</v>
      </c>
      <c r="C48" s="250">
        <f t="shared" si="0"/>
        <v>7.0011927110767882</v>
      </c>
      <c r="D48" s="250">
        <v>0.16</v>
      </c>
      <c r="E48" s="250">
        <v>0.123</v>
      </c>
      <c r="F48" s="250">
        <v>8.5999999999999993E-2</v>
      </c>
      <c r="G48" s="250">
        <v>6.6000000000000003E-2</v>
      </c>
      <c r="H48" s="250">
        <v>4.4999999999999998E-2</v>
      </c>
      <c r="I48" s="250">
        <v>3.2000000000000001E-2</v>
      </c>
      <c r="J48" s="250">
        <v>2.3E-2</v>
      </c>
      <c r="K48" s="250">
        <v>1.6E-2</v>
      </c>
      <c r="L48" s="250">
        <v>1.2E-2</v>
      </c>
      <c r="N48" s="239"/>
      <c r="O48" s="239">
        <f>IF(Fluoro!W122="",NA(),Fluoro!W122)</f>
        <v>0</v>
      </c>
      <c r="P48" s="239" t="e">
        <f>IF(NOT(Fluoro!$O$102=1),IF(OR(Fluoro!X122="",Fluoro!Y122=""),NA(),Fluoro!Y122/Fluoro!X122),NA())</f>
        <v>#DIV/0!</v>
      </c>
      <c r="Q48" s="243" t="e">
        <f>IF(Fluoro!$O$102=1,IF(OR(Fluoro!X122=0,Fluoro!Y122=0),NA(),Fluoro!Y122/Fluoro!X122),NA())</f>
        <v>#N/A</v>
      </c>
      <c r="R48" s="239"/>
      <c r="S48" s="239"/>
      <c r="T48" s="239"/>
      <c r="V48" s="239"/>
      <c r="W48" s="239">
        <f>IF(Fluoro!W154="",NA(),Fluoro!W154)</f>
        <v>0</v>
      </c>
      <c r="X48" s="239" t="e">
        <f>IF(NOT(Fluoro!$O$102=1),IF(OR(Fluoro!X154="",Fluoro!Y154=""),NA(),Fluoro!Y154/Fluoro!X154),NA())</f>
        <v>#DIV/0!</v>
      </c>
      <c r="Y48" s="243" t="e">
        <f>IF(Fluoro!$O$102=1,IF(OR(Fluoro!X154=0,Fluoro!Y154=0),NA(),Fluoro!Y154/Fluoro!X154),NA())</f>
        <v>#N/A</v>
      </c>
      <c r="Z48" s="239"/>
      <c r="AA48" s="239"/>
      <c r="AB48" s="239"/>
    </row>
    <row r="49" spans="1:28" ht="12.75" customHeight="1" x14ac:dyDescent="0.25">
      <c r="A49" s="182" t="s">
        <v>324</v>
      </c>
      <c r="B49" s="249">
        <v>5.6</v>
      </c>
      <c r="C49" s="250">
        <f t="shared" si="0"/>
        <v>4.9628707825354441</v>
      </c>
      <c r="D49" s="250">
        <v>0.16</v>
      </c>
      <c r="E49" s="250">
        <v>0.123</v>
      </c>
      <c r="F49" s="250">
        <v>8.5999999999999993E-2</v>
      </c>
      <c r="G49" s="250">
        <v>6.6000000000000003E-2</v>
      </c>
      <c r="H49" s="250">
        <v>4.4999999999999998E-2</v>
      </c>
      <c r="I49" s="250">
        <v>3.2000000000000001E-2</v>
      </c>
      <c r="J49" s="250">
        <v>2.3E-2</v>
      </c>
      <c r="K49" s="250">
        <v>1.6E-2</v>
      </c>
      <c r="L49" s="250">
        <v>1.2E-2</v>
      </c>
      <c r="N49" s="239"/>
      <c r="O49" s="239">
        <f>IF(Fluoro!W123="",NA(),Fluoro!W123)</f>
        <v>0</v>
      </c>
      <c r="P49" s="239" t="e">
        <f>IF(NOT(Fluoro!$O$102=1),IF(OR(Fluoro!X123="",Fluoro!Y123=""),NA(),Fluoro!Y123/Fluoro!X123),NA())</f>
        <v>#DIV/0!</v>
      </c>
      <c r="Q49" s="243" t="e">
        <f>IF(Fluoro!$O$102=1,IF(OR(Fluoro!X123=0,Fluoro!Y123=0),NA(),Fluoro!Y123/Fluoro!X123),NA())</f>
        <v>#N/A</v>
      </c>
      <c r="R49" s="239"/>
      <c r="S49" s="239"/>
      <c r="T49" s="239"/>
      <c r="V49" s="239"/>
      <c r="W49" s="239">
        <f>IF(Fluoro!W155="",NA(),Fluoro!W155)</f>
        <v>0</v>
      </c>
      <c r="X49" s="239" t="e">
        <f>IF(NOT(Fluoro!$O$102=1),IF(OR(Fluoro!X155="",Fluoro!Y155=""),NA(),Fluoro!Y155/Fluoro!X155),NA())</f>
        <v>#DIV/0!</v>
      </c>
      <c r="Y49" s="243" t="e">
        <f>IF(Fluoro!$O$102=1,IF(OR(Fluoro!X155=0,Fluoro!Y155=0),NA(),Fluoro!Y155/Fluoro!X155),NA())</f>
        <v>#N/A</v>
      </c>
      <c r="Z49" s="239"/>
      <c r="AA49" s="239"/>
      <c r="AB49" s="239"/>
    </row>
    <row r="50" spans="1:28" ht="12.75" customHeight="1" x14ac:dyDescent="0.25">
      <c r="A50" s="182" t="s">
        <v>325</v>
      </c>
      <c r="B50" s="249">
        <v>4</v>
      </c>
      <c r="C50" s="250">
        <f t="shared" si="0"/>
        <v>3.5449077018110318</v>
      </c>
      <c r="D50" s="250">
        <v>0.23</v>
      </c>
      <c r="E50" s="250">
        <v>0.16</v>
      </c>
      <c r="F50" s="250">
        <v>0.123</v>
      </c>
      <c r="G50" s="250">
        <v>8.5999999999999993E-2</v>
      </c>
      <c r="H50" s="250">
        <v>6.6000000000000003E-2</v>
      </c>
      <c r="I50" s="250">
        <v>4.4999999999999998E-2</v>
      </c>
      <c r="J50" s="250">
        <v>3.2000000000000001E-2</v>
      </c>
      <c r="K50" s="250">
        <v>2.3E-2</v>
      </c>
      <c r="L50" s="250">
        <v>1.6E-2</v>
      </c>
      <c r="N50" s="245" t="s">
        <v>382</v>
      </c>
      <c r="O50" s="246">
        <f>IF(Fluoro!W124="",NA(),Fluoro!W124)</f>
        <v>0</v>
      </c>
      <c r="P50" s="246" t="e">
        <f>IF(NOT(Fluoro!$O$102=1),IF(OR(Fluoro!X124="",Fluoro!Y124=""),NA(),Fluoro!Y124/Fluoro!X124),NA())</f>
        <v>#DIV/0!</v>
      </c>
      <c r="Q50" s="247" t="e">
        <f>IF(Fluoro!$O$102=1,IF(OR(Fluoro!X124=0,Fluoro!Y124=0),NA(),Fluoro!Y124/Fluoro!X124),NA())</f>
        <v>#N/A</v>
      </c>
      <c r="R50" s="239"/>
      <c r="S50" s="239"/>
      <c r="T50" s="239"/>
      <c r="V50" s="245" t="s">
        <v>382</v>
      </c>
      <c r="W50" s="246">
        <f>IF(Fluoro!W156="",NA(),Fluoro!W156)</f>
        <v>0</v>
      </c>
      <c r="X50" s="246" t="e">
        <f>IF(NOT(Fluoro!$O$102=1),IF(OR(Fluoro!X156="",Fluoro!Y156=""),NA(),Fluoro!Y156/Fluoro!X156),NA())</f>
        <v>#DIV/0!</v>
      </c>
      <c r="Y50" s="247" t="e">
        <f>IF(Fluoro!$O$102=1,IF(OR(Fluoro!X156=0,Fluoro!Y156=0),NA(),Fluoro!Y156/Fluoro!X156),NA())</f>
        <v>#N/A</v>
      </c>
      <c r="Z50" s="239"/>
      <c r="AA50" s="239"/>
      <c r="AB50" s="239"/>
    </row>
    <row r="51" spans="1:28" ht="12.75" customHeight="1" x14ac:dyDescent="0.3">
      <c r="A51" s="182" t="s">
        <v>326</v>
      </c>
      <c r="B51" s="249">
        <v>2.8</v>
      </c>
      <c r="C51" s="250">
        <f t="shared" si="0"/>
        <v>2.4814353912677221</v>
      </c>
      <c r="D51" s="250">
        <v>0.23</v>
      </c>
      <c r="E51" s="250">
        <v>0.16</v>
      </c>
      <c r="F51" s="250">
        <v>0.123</v>
      </c>
      <c r="G51" s="250">
        <v>8.5999999999999993E-2</v>
      </c>
      <c r="H51" s="250">
        <v>6.6000000000000003E-2</v>
      </c>
      <c r="I51" s="250">
        <v>4.4999999999999998E-2</v>
      </c>
      <c r="J51" s="250">
        <v>3.2000000000000001E-2</v>
      </c>
      <c r="K51" s="250">
        <v>2.3E-2</v>
      </c>
      <c r="L51" s="250">
        <v>1.6E-2</v>
      </c>
    </row>
    <row r="52" spans="1:28" ht="12.75" customHeight="1" x14ac:dyDescent="0.3">
      <c r="A52" s="182" t="s">
        <v>327</v>
      </c>
      <c r="B52" s="249">
        <v>2</v>
      </c>
      <c r="C52" s="250">
        <f t="shared" si="0"/>
        <v>1.7724538509055159</v>
      </c>
      <c r="D52" s="250">
        <v>0.23</v>
      </c>
      <c r="E52" s="250">
        <v>0.16</v>
      </c>
      <c r="F52" s="250">
        <v>0.123</v>
      </c>
      <c r="G52" s="250">
        <v>8.5999999999999993E-2</v>
      </c>
      <c r="H52" s="250">
        <v>6.6000000000000003E-2</v>
      </c>
      <c r="I52" s="250">
        <v>4.4999999999999998E-2</v>
      </c>
      <c r="J52" s="250">
        <v>3.2000000000000001E-2</v>
      </c>
      <c r="K52" s="250">
        <v>2.3E-2</v>
      </c>
      <c r="L52" s="250">
        <v>1.6E-2</v>
      </c>
    </row>
    <row r="53" spans="1:28" ht="12.75" customHeight="1" x14ac:dyDescent="0.3">
      <c r="A53" s="182" t="s">
        <v>328</v>
      </c>
      <c r="B53" s="249">
        <v>1.4</v>
      </c>
      <c r="C53" s="250">
        <f t="shared" si="0"/>
        <v>1.240717695633861</v>
      </c>
      <c r="D53" s="250">
        <v>0.5</v>
      </c>
      <c r="E53" s="250">
        <v>0.35</v>
      </c>
      <c r="F53" s="250">
        <v>0.23</v>
      </c>
      <c r="G53" s="250">
        <v>0.16</v>
      </c>
      <c r="H53" s="250">
        <v>0.123</v>
      </c>
      <c r="I53" s="250">
        <v>8.5999999999999993E-2</v>
      </c>
      <c r="J53" s="250">
        <v>6.6000000000000003E-2</v>
      </c>
      <c r="K53" s="250">
        <v>4.4999999999999998E-2</v>
      </c>
      <c r="L53" s="250">
        <v>3.2000000000000001E-2</v>
      </c>
    </row>
    <row r="54" spans="1:28" ht="12.75" customHeight="1" x14ac:dyDescent="0.3">
      <c r="A54" s="182" t="s">
        <v>329</v>
      </c>
      <c r="B54" s="249">
        <v>1</v>
      </c>
      <c r="C54" s="250">
        <f t="shared" si="0"/>
        <v>0.88622692545275794</v>
      </c>
      <c r="D54" s="250">
        <v>0.5</v>
      </c>
      <c r="E54" s="250">
        <v>0.35</v>
      </c>
      <c r="F54" s="250">
        <v>0.23</v>
      </c>
      <c r="G54" s="250">
        <v>0.16</v>
      </c>
      <c r="H54" s="250">
        <v>0.123</v>
      </c>
      <c r="I54" s="250">
        <v>8.5999999999999993E-2</v>
      </c>
      <c r="J54" s="250">
        <v>6.6000000000000003E-2</v>
      </c>
      <c r="K54" s="250">
        <v>4.4999999999999998E-2</v>
      </c>
      <c r="L54" s="250">
        <v>3.2000000000000001E-2</v>
      </c>
    </row>
    <row r="55" spans="1:28" ht="12.75" customHeight="1" x14ac:dyDescent="0.3">
      <c r="A55" s="182" t="s">
        <v>330</v>
      </c>
      <c r="B55" s="249">
        <v>0.7</v>
      </c>
      <c r="C55" s="250">
        <f t="shared" si="0"/>
        <v>0.62035884781693051</v>
      </c>
      <c r="D55" s="250">
        <v>0.5</v>
      </c>
      <c r="E55" s="250">
        <v>0.35</v>
      </c>
      <c r="F55" s="250">
        <v>0.23</v>
      </c>
      <c r="G55" s="250">
        <v>0.16</v>
      </c>
      <c r="H55" s="250">
        <v>0.123</v>
      </c>
      <c r="I55" s="250">
        <v>8.5999999999999993E-2</v>
      </c>
      <c r="J55" s="250">
        <v>6.6000000000000003E-2</v>
      </c>
      <c r="K55" s="250">
        <v>4.4999999999999998E-2</v>
      </c>
      <c r="L55" s="250">
        <v>3.2000000000000001E-2</v>
      </c>
    </row>
    <row r="56" spans="1:28" ht="12.75" customHeight="1" x14ac:dyDescent="0.3">
      <c r="A56" s="182" t="s">
        <v>331</v>
      </c>
      <c r="B56" s="249">
        <v>0.5</v>
      </c>
      <c r="C56" s="250">
        <f t="shared" si="0"/>
        <v>0.44311346272637897</v>
      </c>
      <c r="D56" s="250">
        <v>0.93</v>
      </c>
      <c r="E56" s="250">
        <v>0.66</v>
      </c>
      <c r="F56" s="250">
        <v>0.5</v>
      </c>
      <c r="G56" s="250">
        <v>0.35</v>
      </c>
      <c r="H56" s="250">
        <v>0.23</v>
      </c>
      <c r="I56" s="250">
        <v>0.16</v>
      </c>
      <c r="J56" s="250">
        <v>0.123</v>
      </c>
      <c r="K56" s="250">
        <v>8.5999999999999993E-2</v>
      </c>
      <c r="L56" s="250">
        <v>6.6000000000000003E-2</v>
      </c>
    </row>
    <row r="57" spans="1:28" ht="12.75" customHeight="1" x14ac:dyDescent="0.3">
      <c r="A57" s="182" t="s">
        <v>332</v>
      </c>
      <c r="B57" s="249">
        <v>0.35</v>
      </c>
      <c r="C57" s="250">
        <f t="shared" si="0"/>
        <v>0.31017942390846526</v>
      </c>
      <c r="D57" s="250">
        <v>0.93</v>
      </c>
      <c r="E57" s="250">
        <v>0.66</v>
      </c>
      <c r="F57" s="250">
        <v>0.5</v>
      </c>
      <c r="G57" s="250">
        <v>0.35</v>
      </c>
      <c r="H57" s="250">
        <v>0.23</v>
      </c>
      <c r="I57" s="250">
        <v>0.16</v>
      </c>
      <c r="J57" s="250">
        <v>0.123</v>
      </c>
      <c r="K57" s="250">
        <v>8.5999999999999993E-2</v>
      </c>
      <c r="L57" s="250">
        <v>6.6000000000000003E-2</v>
      </c>
    </row>
    <row r="58" spans="1:28" ht="12.75" customHeight="1" x14ac:dyDescent="0.3">
      <c r="A58" s="182" t="s">
        <v>333</v>
      </c>
      <c r="B58" s="249">
        <v>0.25</v>
      </c>
      <c r="C58" s="250">
        <f t="shared" si="0"/>
        <v>0.22155673136318949</v>
      </c>
      <c r="D58" s="250">
        <v>0.93</v>
      </c>
      <c r="E58" s="250">
        <v>0.66</v>
      </c>
      <c r="F58" s="250">
        <v>0.5</v>
      </c>
      <c r="G58" s="250">
        <v>0.35</v>
      </c>
      <c r="H58" s="250">
        <v>0.23</v>
      </c>
      <c r="I58" s="250">
        <v>0.16</v>
      </c>
      <c r="J58" s="250">
        <v>0.123</v>
      </c>
      <c r="K58" s="250">
        <v>8.5999999999999993E-2</v>
      </c>
      <c r="L58" s="250">
        <v>6.6000000000000003E-2</v>
      </c>
    </row>
    <row r="60" spans="1:28" ht="12.75" customHeight="1" x14ac:dyDescent="0.3">
      <c r="A60" s="250" t="s">
        <v>387</v>
      </c>
      <c r="B60" s="240">
        <v>0</v>
      </c>
      <c r="C60" s="240">
        <v>1</v>
      </c>
      <c r="D60" s="240">
        <v>1.5</v>
      </c>
      <c r="E60" s="240">
        <v>2</v>
      </c>
      <c r="F60" s="240">
        <v>2.5</v>
      </c>
      <c r="G60" s="240">
        <v>3</v>
      </c>
      <c r="H60" s="240">
        <v>3.5</v>
      </c>
      <c r="I60" s="240">
        <v>4</v>
      </c>
      <c r="J60" s="240">
        <v>4.5</v>
      </c>
      <c r="K60" s="240">
        <v>5</v>
      </c>
      <c r="L60" s="240">
        <v>5.5</v>
      </c>
      <c r="M60" s="240">
        <v>6</v>
      </c>
      <c r="N60" s="240">
        <v>6.5</v>
      </c>
      <c r="O60" s="240">
        <v>7</v>
      </c>
      <c r="P60" s="240">
        <v>7.5</v>
      </c>
      <c r="Q60" s="240">
        <v>8</v>
      </c>
      <c r="R60" s="240">
        <v>8.5</v>
      </c>
      <c r="S60" s="240">
        <v>9</v>
      </c>
    </row>
    <row r="61" spans="1:28" ht="12.75" customHeight="1" x14ac:dyDescent="0.3">
      <c r="A61" s="250" t="s">
        <v>322</v>
      </c>
      <c r="B61" s="250" t="e">
        <f>NA()</f>
        <v>#N/A</v>
      </c>
      <c r="C61" s="250">
        <f>VLOOKUP(D47,TO10kVAdj,MATCH(Fluoro!$V$318,$B$30:$E$30,0)+1)</f>
        <v>0.16700000000000001</v>
      </c>
      <c r="D61" s="250">
        <f t="shared" ref="D61:D72" si="1">(C61+E61)/2</f>
        <v>0.14750000000000002</v>
      </c>
      <c r="E61" s="250">
        <f>VLOOKUP(E47,TO10kVAdj,MATCH(Fluoro!$V$318,$B$30:$E$30,0)+1)</f>
        <v>0.128</v>
      </c>
      <c r="F61" s="250">
        <f t="shared" ref="F61:F72" si="2">(E61+G61)/2</f>
        <v>0.10780000000000001</v>
      </c>
      <c r="G61" s="250">
        <f>VLOOKUP(F47,TO10kVAdj,MATCH(Fluoro!$V$318,$B$30:$E$30,0)+1)</f>
        <v>8.7599999999999997E-2</v>
      </c>
      <c r="H61" s="250">
        <f t="shared" ref="H61:H72" si="3">(G61+I61)/2</f>
        <v>7.7499999999999999E-2</v>
      </c>
      <c r="I61" s="250">
        <f>VLOOKUP(G47,TO10kVAdj,MATCH(Fluoro!$V$318,$B$30:$E$30,0)+1)</f>
        <v>6.7400000000000002E-2</v>
      </c>
      <c r="J61" s="250">
        <f t="shared" ref="J61:J72" si="4">(I61+K61)/2</f>
        <v>5.62E-2</v>
      </c>
      <c r="K61" s="250">
        <f>VLOOKUP(H47,TO10kVAdj,MATCH(Fluoro!$V$318,$B$30:$E$30,0)+1)</f>
        <v>4.4999999999999998E-2</v>
      </c>
      <c r="L61" s="250">
        <f t="shared" ref="L61:L72" si="5">(K61+M61)/2</f>
        <v>3.8599999999999995E-2</v>
      </c>
      <c r="M61" s="250">
        <f>VLOOKUP(I47,TO10kVAdj,MATCH(Fluoro!$V$318,$B$30:$E$30,0)+1)</f>
        <v>3.2199999999999999E-2</v>
      </c>
      <c r="N61" s="250">
        <f t="shared" ref="N61:N72" si="6">(M61+O61)/2</f>
        <v>2.6849999999999999E-2</v>
      </c>
      <c r="O61" s="250">
        <f>VLOOKUP(J47,TO10kVAdj,MATCH(Fluoro!$V$318,$B$30:$E$30,0)+1)</f>
        <v>2.1499999999999998E-2</v>
      </c>
      <c r="P61" s="250">
        <f t="shared" ref="P61:P72" si="7">(O61+Q61)/2</f>
        <v>1.8499999999999999E-2</v>
      </c>
      <c r="Q61" s="250">
        <f>VLOOKUP(K47,TO10kVAdj,MATCH(Fluoro!$V$318,$B$30:$E$30,0)+1)</f>
        <v>1.55E-2</v>
      </c>
      <c r="R61" s="250">
        <f t="shared" ref="R61:R72" si="8">(Q61+S61)/2</f>
        <v>1.325E-2</v>
      </c>
      <c r="S61" s="250">
        <f>VLOOKUP(L47,TO10kVAdj,MATCH(Fluoro!$V$318,$B$30:$E$30,0)+1)</f>
        <v>1.0999999999999999E-2</v>
      </c>
    </row>
    <row r="62" spans="1:28" ht="12.75" customHeight="1" x14ac:dyDescent="0.3">
      <c r="A62" s="250" t="s">
        <v>323</v>
      </c>
      <c r="B62" s="250" t="e">
        <f>NA()</f>
        <v>#N/A</v>
      </c>
      <c r="C62" s="250">
        <f>VLOOKUP(D48,TO10kVAdj,MATCH(Fluoro!$V$318,$B$30:$E$30,0)+1)</f>
        <v>0.16700000000000001</v>
      </c>
      <c r="D62" s="250">
        <f t="shared" si="1"/>
        <v>0.14750000000000002</v>
      </c>
      <c r="E62" s="250">
        <f>VLOOKUP(E48,TO10kVAdj,MATCH(Fluoro!$V$318,$B$30:$E$30,0)+1)</f>
        <v>0.128</v>
      </c>
      <c r="F62" s="250">
        <f t="shared" si="2"/>
        <v>0.10780000000000001</v>
      </c>
      <c r="G62" s="250">
        <f>VLOOKUP(F48,TO10kVAdj,MATCH(Fluoro!$V$318,$B$30:$E$30,0)+1)</f>
        <v>8.7599999999999997E-2</v>
      </c>
      <c r="H62" s="250">
        <f t="shared" si="3"/>
        <v>7.7499999999999999E-2</v>
      </c>
      <c r="I62" s="250">
        <f>VLOOKUP(G48,TO10kVAdj,MATCH(Fluoro!$V$318,$B$30:$E$30,0)+1)</f>
        <v>6.7400000000000002E-2</v>
      </c>
      <c r="J62" s="250">
        <f t="shared" si="4"/>
        <v>5.62E-2</v>
      </c>
      <c r="K62" s="250">
        <f>VLOOKUP(H48,TO10kVAdj,MATCH(Fluoro!$V$318,$B$30:$E$30,0)+1)</f>
        <v>4.4999999999999998E-2</v>
      </c>
      <c r="L62" s="250">
        <f t="shared" si="5"/>
        <v>3.8599999999999995E-2</v>
      </c>
      <c r="M62" s="250">
        <f>VLOOKUP(I48,TO10kVAdj,MATCH(Fluoro!$V$318,$B$30:$E$30,0)+1)</f>
        <v>3.2199999999999999E-2</v>
      </c>
      <c r="N62" s="250">
        <f t="shared" si="6"/>
        <v>2.6849999999999999E-2</v>
      </c>
      <c r="O62" s="250">
        <f>VLOOKUP(J48,TO10kVAdj,MATCH(Fluoro!$V$318,$B$30:$E$30,0)+1)</f>
        <v>2.1499999999999998E-2</v>
      </c>
      <c r="P62" s="250">
        <f t="shared" si="7"/>
        <v>1.8499999999999999E-2</v>
      </c>
      <c r="Q62" s="250">
        <f>VLOOKUP(K48,TO10kVAdj,MATCH(Fluoro!$V$318,$B$30:$E$30,0)+1)</f>
        <v>1.55E-2</v>
      </c>
      <c r="R62" s="250">
        <f t="shared" si="8"/>
        <v>1.325E-2</v>
      </c>
      <c r="S62" s="250">
        <f>VLOOKUP(L48,TO10kVAdj,MATCH(Fluoro!$V$318,$B$30:$E$30,0)+1)</f>
        <v>1.0999999999999999E-2</v>
      </c>
    </row>
    <row r="63" spans="1:28" ht="12.75" customHeight="1" x14ac:dyDescent="0.3">
      <c r="A63" s="250" t="s">
        <v>324</v>
      </c>
      <c r="B63" s="250" t="e">
        <f>NA()</f>
        <v>#N/A</v>
      </c>
      <c r="C63" s="250">
        <f>VLOOKUP(D49,TO10kVAdj,MATCH(Fluoro!$V$318,$B$30:$E$30,0)+1)</f>
        <v>0.16700000000000001</v>
      </c>
      <c r="D63" s="250">
        <f t="shared" si="1"/>
        <v>0.14750000000000002</v>
      </c>
      <c r="E63" s="250">
        <f>VLOOKUP(E49,TO10kVAdj,MATCH(Fluoro!$V$318,$B$30:$E$30,0)+1)</f>
        <v>0.128</v>
      </c>
      <c r="F63" s="250">
        <f t="shared" si="2"/>
        <v>0.10780000000000001</v>
      </c>
      <c r="G63" s="250">
        <f>VLOOKUP(F49,TO10kVAdj,MATCH(Fluoro!$V$318,$B$30:$E$30,0)+1)</f>
        <v>8.7599999999999997E-2</v>
      </c>
      <c r="H63" s="250">
        <f t="shared" si="3"/>
        <v>7.7499999999999999E-2</v>
      </c>
      <c r="I63" s="250">
        <f>VLOOKUP(G49,TO10kVAdj,MATCH(Fluoro!$V$318,$B$30:$E$30,0)+1)</f>
        <v>6.7400000000000002E-2</v>
      </c>
      <c r="J63" s="250">
        <f t="shared" si="4"/>
        <v>5.62E-2</v>
      </c>
      <c r="K63" s="250">
        <f>VLOOKUP(H49,TO10kVAdj,MATCH(Fluoro!$V$318,$B$30:$E$30,0)+1)</f>
        <v>4.4999999999999998E-2</v>
      </c>
      <c r="L63" s="250">
        <f t="shared" si="5"/>
        <v>3.8599999999999995E-2</v>
      </c>
      <c r="M63" s="250">
        <f>VLOOKUP(I49,TO10kVAdj,MATCH(Fluoro!$V$318,$B$30:$E$30,0)+1)</f>
        <v>3.2199999999999999E-2</v>
      </c>
      <c r="N63" s="250">
        <f t="shared" si="6"/>
        <v>2.6849999999999999E-2</v>
      </c>
      <c r="O63" s="250">
        <f>VLOOKUP(J49,TO10kVAdj,MATCH(Fluoro!$V$318,$B$30:$E$30,0)+1)</f>
        <v>2.1499999999999998E-2</v>
      </c>
      <c r="P63" s="250">
        <f t="shared" si="7"/>
        <v>1.8499999999999999E-2</v>
      </c>
      <c r="Q63" s="250">
        <f>VLOOKUP(K49,TO10kVAdj,MATCH(Fluoro!$V$318,$B$30:$E$30,0)+1)</f>
        <v>1.55E-2</v>
      </c>
      <c r="R63" s="250">
        <f t="shared" si="8"/>
        <v>1.325E-2</v>
      </c>
      <c r="S63" s="250">
        <f>VLOOKUP(L49,TO10kVAdj,MATCH(Fluoro!$V$318,$B$30:$E$30,0)+1)</f>
        <v>1.0999999999999999E-2</v>
      </c>
    </row>
    <row r="64" spans="1:28" ht="12.75" customHeight="1" x14ac:dyDescent="0.3">
      <c r="A64" s="250" t="s">
        <v>325</v>
      </c>
      <c r="B64" s="250" t="e">
        <f>NA()</f>
        <v>#N/A</v>
      </c>
      <c r="C64" s="250">
        <f>VLOOKUP(D50,TO10kVAdj,MATCH(Fluoro!$V$318,$B$30:$E$30,0)+1)</f>
        <v>0.23799999999999999</v>
      </c>
      <c r="D64" s="250">
        <f t="shared" si="1"/>
        <v>0.20250000000000001</v>
      </c>
      <c r="E64" s="250">
        <f>VLOOKUP(E50,TO10kVAdj,MATCH(Fluoro!$V$318,$B$30:$E$30,0)+1)</f>
        <v>0.16700000000000001</v>
      </c>
      <c r="F64" s="250">
        <f t="shared" si="2"/>
        <v>0.14750000000000002</v>
      </c>
      <c r="G64" s="250">
        <f>VLOOKUP(F50,TO10kVAdj,MATCH(Fluoro!$V$318,$B$30:$E$30,0)+1)</f>
        <v>0.128</v>
      </c>
      <c r="H64" s="250">
        <f t="shared" si="3"/>
        <v>0.10780000000000001</v>
      </c>
      <c r="I64" s="250">
        <f>VLOOKUP(G50,TO10kVAdj,MATCH(Fluoro!$V$318,$B$30:$E$30,0)+1)</f>
        <v>8.7599999999999997E-2</v>
      </c>
      <c r="J64" s="250">
        <f t="shared" si="4"/>
        <v>7.7499999999999999E-2</v>
      </c>
      <c r="K64" s="250">
        <f>VLOOKUP(H50,TO10kVAdj,MATCH(Fluoro!$V$318,$B$30:$E$30,0)+1)</f>
        <v>6.7400000000000002E-2</v>
      </c>
      <c r="L64" s="250">
        <f t="shared" si="5"/>
        <v>5.62E-2</v>
      </c>
      <c r="M64" s="250">
        <f>VLOOKUP(I50,TO10kVAdj,MATCH(Fluoro!$V$318,$B$30:$E$30,0)+1)</f>
        <v>4.4999999999999998E-2</v>
      </c>
      <c r="N64" s="250">
        <f t="shared" si="6"/>
        <v>3.8599999999999995E-2</v>
      </c>
      <c r="O64" s="250">
        <f>VLOOKUP(J50,TO10kVAdj,MATCH(Fluoro!$V$318,$B$30:$E$30,0)+1)</f>
        <v>3.2199999999999999E-2</v>
      </c>
      <c r="P64" s="250">
        <f t="shared" si="7"/>
        <v>2.6849999999999999E-2</v>
      </c>
      <c r="Q64" s="250">
        <f>VLOOKUP(K50,TO10kVAdj,MATCH(Fluoro!$V$318,$B$30:$E$30,0)+1)</f>
        <v>2.1499999999999998E-2</v>
      </c>
      <c r="R64" s="250">
        <f t="shared" si="8"/>
        <v>1.8499999999999999E-2</v>
      </c>
      <c r="S64" s="250">
        <f>VLOOKUP(L50,TO10kVAdj,MATCH(Fluoro!$V$318,$B$30:$E$30,0)+1)</f>
        <v>1.55E-2</v>
      </c>
    </row>
    <row r="65" spans="1:19" ht="12.75" customHeight="1" x14ac:dyDescent="0.3">
      <c r="A65" s="250" t="s">
        <v>326</v>
      </c>
      <c r="B65" s="250" t="e">
        <f>NA()</f>
        <v>#N/A</v>
      </c>
      <c r="C65" s="250">
        <f>VLOOKUP(D51,TO10kVAdj,MATCH(Fluoro!$V$318,$B$30:$E$30,0)+1)</f>
        <v>0.23799999999999999</v>
      </c>
      <c r="D65" s="250">
        <f t="shared" si="1"/>
        <v>0.20250000000000001</v>
      </c>
      <c r="E65" s="250">
        <f>VLOOKUP(E51,TO10kVAdj,MATCH(Fluoro!$V$318,$B$30:$E$30,0)+1)</f>
        <v>0.16700000000000001</v>
      </c>
      <c r="F65" s="250">
        <f t="shared" si="2"/>
        <v>0.14750000000000002</v>
      </c>
      <c r="G65" s="250">
        <f>VLOOKUP(F51,TO10kVAdj,MATCH(Fluoro!$V$318,$B$30:$E$30,0)+1)</f>
        <v>0.128</v>
      </c>
      <c r="H65" s="250">
        <f t="shared" si="3"/>
        <v>0.10780000000000001</v>
      </c>
      <c r="I65" s="250">
        <f>VLOOKUP(G51,TO10kVAdj,MATCH(Fluoro!$V$318,$B$30:$E$30,0)+1)</f>
        <v>8.7599999999999997E-2</v>
      </c>
      <c r="J65" s="250">
        <f t="shared" si="4"/>
        <v>7.7499999999999999E-2</v>
      </c>
      <c r="K65" s="250">
        <f>VLOOKUP(H51,TO10kVAdj,MATCH(Fluoro!$V$318,$B$30:$E$30,0)+1)</f>
        <v>6.7400000000000002E-2</v>
      </c>
      <c r="L65" s="250">
        <f t="shared" si="5"/>
        <v>5.62E-2</v>
      </c>
      <c r="M65" s="250">
        <f>VLOOKUP(I51,TO10kVAdj,MATCH(Fluoro!$V$318,$B$30:$E$30,0)+1)</f>
        <v>4.4999999999999998E-2</v>
      </c>
      <c r="N65" s="250">
        <f t="shared" si="6"/>
        <v>3.8599999999999995E-2</v>
      </c>
      <c r="O65" s="250">
        <f>VLOOKUP(J51,TO10kVAdj,MATCH(Fluoro!$V$318,$B$30:$E$30,0)+1)</f>
        <v>3.2199999999999999E-2</v>
      </c>
      <c r="P65" s="250">
        <f t="shared" si="7"/>
        <v>2.6849999999999999E-2</v>
      </c>
      <c r="Q65" s="250">
        <f>VLOOKUP(K51,TO10kVAdj,MATCH(Fluoro!$V$318,$B$30:$E$30,0)+1)</f>
        <v>2.1499999999999998E-2</v>
      </c>
      <c r="R65" s="250">
        <f t="shared" si="8"/>
        <v>1.8499999999999999E-2</v>
      </c>
      <c r="S65" s="250">
        <f>VLOOKUP(L51,TO10kVAdj,MATCH(Fluoro!$V$318,$B$30:$E$30,0)+1)</f>
        <v>1.55E-2</v>
      </c>
    </row>
    <row r="66" spans="1:19" ht="12.75" customHeight="1" x14ac:dyDescent="0.3">
      <c r="A66" s="250" t="s">
        <v>327</v>
      </c>
      <c r="B66" s="250" t="e">
        <f>NA()</f>
        <v>#N/A</v>
      </c>
      <c r="C66" s="250">
        <f>VLOOKUP(D52,TO10kVAdj,MATCH(Fluoro!$V$318,$B$30:$E$30,0)+1)</f>
        <v>0.23799999999999999</v>
      </c>
      <c r="D66" s="250">
        <f t="shared" si="1"/>
        <v>0.20250000000000001</v>
      </c>
      <c r="E66" s="250">
        <f>VLOOKUP(E52,TO10kVAdj,MATCH(Fluoro!$V$318,$B$30:$E$30,0)+1)</f>
        <v>0.16700000000000001</v>
      </c>
      <c r="F66" s="250">
        <f t="shared" si="2"/>
        <v>0.14750000000000002</v>
      </c>
      <c r="G66" s="250">
        <f>VLOOKUP(F52,TO10kVAdj,MATCH(Fluoro!$V$318,$B$30:$E$30,0)+1)</f>
        <v>0.128</v>
      </c>
      <c r="H66" s="250">
        <f t="shared" si="3"/>
        <v>0.10780000000000001</v>
      </c>
      <c r="I66" s="250">
        <f>VLOOKUP(G52,TO10kVAdj,MATCH(Fluoro!$V$318,$B$30:$E$30,0)+1)</f>
        <v>8.7599999999999997E-2</v>
      </c>
      <c r="J66" s="250">
        <f t="shared" si="4"/>
        <v>7.7499999999999999E-2</v>
      </c>
      <c r="K66" s="250">
        <f>VLOOKUP(H52,TO10kVAdj,MATCH(Fluoro!$V$318,$B$30:$E$30,0)+1)</f>
        <v>6.7400000000000002E-2</v>
      </c>
      <c r="L66" s="250">
        <f t="shared" si="5"/>
        <v>5.62E-2</v>
      </c>
      <c r="M66" s="250">
        <f>VLOOKUP(I52,TO10kVAdj,MATCH(Fluoro!$V$318,$B$30:$E$30,0)+1)</f>
        <v>4.4999999999999998E-2</v>
      </c>
      <c r="N66" s="250">
        <f t="shared" si="6"/>
        <v>3.8599999999999995E-2</v>
      </c>
      <c r="O66" s="250">
        <f>VLOOKUP(J52,TO10kVAdj,MATCH(Fluoro!$V$318,$B$30:$E$30,0)+1)</f>
        <v>3.2199999999999999E-2</v>
      </c>
      <c r="P66" s="250">
        <f t="shared" si="7"/>
        <v>2.6849999999999999E-2</v>
      </c>
      <c r="Q66" s="250">
        <f>VLOOKUP(K52,TO10kVAdj,MATCH(Fluoro!$V$318,$B$30:$E$30,0)+1)</f>
        <v>2.1499999999999998E-2</v>
      </c>
      <c r="R66" s="250">
        <f t="shared" si="8"/>
        <v>1.8499999999999999E-2</v>
      </c>
      <c r="S66" s="250">
        <f>VLOOKUP(L52,TO10kVAdj,MATCH(Fluoro!$V$318,$B$30:$E$30,0)+1)</f>
        <v>1.55E-2</v>
      </c>
    </row>
    <row r="67" spans="1:19" ht="12.75" customHeight="1" x14ac:dyDescent="0.3">
      <c r="A67" s="250" t="s">
        <v>328</v>
      </c>
      <c r="B67" s="250" t="e">
        <f>NA()</f>
        <v>#N/A</v>
      </c>
      <c r="C67" s="250">
        <f>VLOOKUP(D53,TO10kVAdj,MATCH(Fluoro!$V$318,$B$30:$E$30,0)+1)</f>
        <v>0.57299999999999995</v>
      </c>
      <c r="D67" s="250">
        <f t="shared" si="1"/>
        <v>0.46649999999999997</v>
      </c>
      <c r="E67" s="250">
        <f>VLOOKUP(E53,TO10kVAdj,MATCH(Fluoro!$V$318,$B$30:$E$30,0)+1)</f>
        <v>0.36</v>
      </c>
      <c r="F67" s="250">
        <f t="shared" si="2"/>
        <v>0.29899999999999999</v>
      </c>
      <c r="G67" s="250">
        <f>VLOOKUP(F53,TO10kVAdj,MATCH(Fluoro!$V$318,$B$30:$E$30,0)+1)</f>
        <v>0.23799999999999999</v>
      </c>
      <c r="H67" s="250">
        <f t="shared" si="3"/>
        <v>0.20250000000000001</v>
      </c>
      <c r="I67" s="250">
        <f>VLOOKUP(G53,TO10kVAdj,MATCH(Fluoro!$V$318,$B$30:$E$30,0)+1)</f>
        <v>0.16700000000000001</v>
      </c>
      <c r="J67" s="250">
        <f t="shared" si="4"/>
        <v>0.14750000000000002</v>
      </c>
      <c r="K67" s="250">
        <f>VLOOKUP(H53,TO10kVAdj,MATCH(Fluoro!$V$318,$B$30:$E$30,0)+1)</f>
        <v>0.128</v>
      </c>
      <c r="L67" s="250">
        <f t="shared" si="5"/>
        <v>0.10780000000000001</v>
      </c>
      <c r="M67" s="250">
        <f>VLOOKUP(I53,TO10kVAdj,MATCH(Fluoro!$V$318,$B$30:$E$30,0)+1)</f>
        <v>8.7599999999999997E-2</v>
      </c>
      <c r="N67" s="250">
        <f t="shared" si="6"/>
        <v>7.7499999999999999E-2</v>
      </c>
      <c r="O67" s="250">
        <f>VLOOKUP(J53,TO10kVAdj,MATCH(Fluoro!$V$318,$B$30:$E$30,0)+1)</f>
        <v>6.7400000000000002E-2</v>
      </c>
      <c r="P67" s="250">
        <f t="shared" si="7"/>
        <v>5.62E-2</v>
      </c>
      <c r="Q67" s="250">
        <f>VLOOKUP(K53,TO10kVAdj,MATCH(Fluoro!$V$318,$B$30:$E$30,0)+1)</f>
        <v>4.4999999999999998E-2</v>
      </c>
      <c r="R67" s="250">
        <f t="shared" si="8"/>
        <v>3.8599999999999995E-2</v>
      </c>
      <c r="S67" s="250">
        <f>VLOOKUP(L53,TO10kVAdj,MATCH(Fluoro!$V$318,$B$30:$E$30,0)+1)</f>
        <v>3.2199999999999999E-2</v>
      </c>
    </row>
    <row r="68" spans="1:19" ht="12.75" customHeight="1" x14ac:dyDescent="0.3">
      <c r="A68" s="250" t="s">
        <v>329</v>
      </c>
      <c r="B68" s="250" t="e">
        <f>NA()</f>
        <v>#N/A</v>
      </c>
      <c r="C68" s="250">
        <f>VLOOKUP(D54,TO10kVAdj,MATCH(Fluoro!$V$318,$B$30:$E$30,0)+1)</f>
        <v>0.57299999999999995</v>
      </c>
      <c r="D68" s="250">
        <f t="shared" si="1"/>
        <v>0.46649999999999997</v>
      </c>
      <c r="E68" s="250">
        <f>VLOOKUP(E54,TO10kVAdj,MATCH(Fluoro!$V$318,$B$30:$E$30,0)+1)</f>
        <v>0.36</v>
      </c>
      <c r="F68" s="250">
        <f t="shared" si="2"/>
        <v>0.29899999999999999</v>
      </c>
      <c r="G68" s="250">
        <f>VLOOKUP(F54,TO10kVAdj,MATCH(Fluoro!$V$318,$B$30:$E$30,0)+1)</f>
        <v>0.23799999999999999</v>
      </c>
      <c r="H68" s="250">
        <f t="shared" si="3"/>
        <v>0.20250000000000001</v>
      </c>
      <c r="I68" s="250">
        <f>VLOOKUP(G54,TO10kVAdj,MATCH(Fluoro!$V$318,$B$30:$E$30,0)+1)</f>
        <v>0.16700000000000001</v>
      </c>
      <c r="J68" s="250">
        <f t="shared" si="4"/>
        <v>0.14750000000000002</v>
      </c>
      <c r="K68" s="250">
        <f>VLOOKUP(H54,TO10kVAdj,MATCH(Fluoro!$V$318,$B$30:$E$30,0)+1)</f>
        <v>0.128</v>
      </c>
      <c r="L68" s="250">
        <f t="shared" si="5"/>
        <v>0.10780000000000001</v>
      </c>
      <c r="M68" s="250">
        <f>VLOOKUP(I54,TO10kVAdj,MATCH(Fluoro!$V$318,$B$30:$E$30,0)+1)</f>
        <v>8.7599999999999997E-2</v>
      </c>
      <c r="N68" s="250">
        <f t="shared" si="6"/>
        <v>7.7499999999999999E-2</v>
      </c>
      <c r="O68" s="250">
        <f>VLOOKUP(J54,TO10kVAdj,MATCH(Fluoro!$V$318,$B$30:$E$30,0)+1)</f>
        <v>6.7400000000000002E-2</v>
      </c>
      <c r="P68" s="250">
        <f t="shared" si="7"/>
        <v>5.62E-2</v>
      </c>
      <c r="Q68" s="250">
        <f>VLOOKUP(K54,TO10kVAdj,MATCH(Fluoro!$V$318,$B$30:$E$30,0)+1)</f>
        <v>4.4999999999999998E-2</v>
      </c>
      <c r="R68" s="250">
        <f t="shared" si="8"/>
        <v>3.8599999999999995E-2</v>
      </c>
      <c r="S68" s="250">
        <f>VLOOKUP(L54,TO10kVAdj,MATCH(Fluoro!$V$318,$B$30:$E$30,0)+1)</f>
        <v>3.2199999999999999E-2</v>
      </c>
    </row>
    <row r="69" spans="1:19" ht="12.75" customHeight="1" x14ac:dyDescent="0.3">
      <c r="A69" s="250" t="s">
        <v>330</v>
      </c>
      <c r="B69" s="250" t="e">
        <f>NA()</f>
        <v>#N/A</v>
      </c>
      <c r="C69" s="250">
        <f>VLOOKUP(D55,TO10kVAdj,MATCH(Fluoro!$V$318,$B$30:$E$30,0)+1)</f>
        <v>0.57299999999999995</v>
      </c>
      <c r="D69" s="250">
        <f t="shared" si="1"/>
        <v>0.46649999999999997</v>
      </c>
      <c r="E69" s="250">
        <f>VLOOKUP(E55,TO10kVAdj,MATCH(Fluoro!$V$318,$B$30:$E$30,0)+1)</f>
        <v>0.36</v>
      </c>
      <c r="F69" s="250">
        <f t="shared" si="2"/>
        <v>0.29899999999999999</v>
      </c>
      <c r="G69" s="250">
        <f>VLOOKUP(F55,TO10kVAdj,MATCH(Fluoro!$V$318,$B$30:$E$30,0)+1)</f>
        <v>0.23799999999999999</v>
      </c>
      <c r="H69" s="250">
        <f t="shared" si="3"/>
        <v>0.20250000000000001</v>
      </c>
      <c r="I69" s="250">
        <f>VLOOKUP(G55,TO10kVAdj,MATCH(Fluoro!$V$318,$B$30:$E$30,0)+1)</f>
        <v>0.16700000000000001</v>
      </c>
      <c r="J69" s="250">
        <f t="shared" si="4"/>
        <v>0.14750000000000002</v>
      </c>
      <c r="K69" s="250">
        <f>VLOOKUP(H55,TO10kVAdj,MATCH(Fluoro!$V$318,$B$30:$E$30,0)+1)</f>
        <v>0.128</v>
      </c>
      <c r="L69" s="250">
        <f t="shared" si="5"/>
        <v>0.10780000000000001</v>
      </c>
      <c r="M69" s="250">
        <f>VLOOKUP(I55,TO10kVAdj,MATCH(Fluoro!$V$318,$B$30:$E$30,0)+1)</f>
        <v>8.7599999999999997E-2</v>
      </c>
      <c r="N69" s="250">
        <f t="shared" si="6"/>
        <v>7.7499999999999999E-2</v>
      </c>
      <c r="O69" s="250">
        <f>VLOOKUP(J55,TO10kVAdj,MATCH(Fluoro!$V$318,$B$30:$E$30,0)+1)</f>
        <v>6.7400000000000002E-2</v>
      </c>
      <c r="P69" s="250">
        <f t="shared" si="7"/>
        <v>5.62E-2</v>
      </c>
      <c r="Q69" s="250">
        <f>VLOOKUP(K55,TO10kVAdj,MATCH(Fluoro!$V$318,$B$30:$E$30,0)+1)</f>
        <v>4.4999999999999998E-2</v>
      </c>
      <c r="R69" s="250">
        <f t="shared" si="8"/>
        <v>3.8599999999999995E-2</v>
      </c>
      <c r="S69" s="250">
        <f>VLOOKUP(L55,TO10kVAdj,MATCH(Fluoro!$V$318,$B$30:$E$30,0)+1)</f>
        <v>3.2199999999999999E-2</v>
      </c>
    </row>
    <row r="70" spans="1:19" ht="12.75" customHeight="1" x14ac:dyDescent="0.3">
      <c r="A70" s="250" t="s">
        <v>331</v>
      </c>
      <c r="B70" s="250" t="e">
        <f>NA()</f>
        <v>#N/A</v>
      </c>
      <c r="C70" s="250">
        <f>VLOOKUP(D56,TO10kVAdj,MATCH(Fluoro!$V$318,$B$30:$E$30,0)+1)</f>
        <v>0.95399999999999996</v>
      </c>
      <c r="D70" s="250">
        <f t="shared" si="1"/>
        <v>0.84</v>
      </c>
      <c r="E70" s="250">
        <f>VLOOKUP(E56,TO10kVAdj,MATCH(Fluoro!$V$318,$B$30:$E$30,0)+1)</f>
        <v>0.72599999999999998</v>
      </c>
      <c r="F70" s="250">
        <f t="shared" si="2"/>
        <v>0.64949999999999997</v>
      </c>
      <c r="G70" s="250">
        <f>VLOOKUP(F56,TO10kVAdj,MATCH(Fluoro!$V$318,$B$30:$E$30,0)+1)</f>
        <v>0.57299999999999995</v>
      </c>
      <c r="H70" s="250">
        <f t="shared" si="3"/>
        <v>0.46649999999999997</v>
      </c>
      <c r="I70" s="250">
        <f>VLOOKUP(G56,TO10kVAdj,MATCH(Fluoro!$V$318,$B$30:$E$30,0)+1)</f>
        <v>0.36</v>
      </c>
      <c r="J70" s="250">
        <f t="shared" si="4"/>
        <v>0.29899999999999999</v>
      </c>
      <c r="K70" s="250">
        <f>VLOOKUP(H56,TO10kVAdj,MATCH(Fluoro!$V$318,$B$30:$E$30,0)+1)</f>
        <v>0.23799999999999999</v>
      </c>
      <c r="L70" s="250">
        <f t="shared" si="5"/>
        <v>0.20250000000000001</v>
      </c>
      <c r="M70" s="250">
        <f>VLOOKUP(I56,TO10kVAdj,MATCH(Fluoro!$V$318,$B$30:$E$30,0)+1)</f>
        <v>0.16700000000000001</v>
      </c>
      <c r="N70" s="250">
        <f t="shared" si="6"/>
        <v>0.14750000000000002</v>
      </c>
      <c r="O70" s="250">
        <f>VLOOKUP(J56,TO10kVAdj,MATCH(Fluoro!$V$318,$B$30:$E$30,0)+1)</f>
        <v>0.128</v>
      </c>
      <c r="P70" s="250">
        <f t="shared" si="7"/>
        <v>0.10780000000000001</v>
      </c>
      <c r="Q70" s="250">
        <f>VLOOKUP(K56,TO10kVAdj,MATCH(Fluoro!$V$318,$B$30:$E$30,0)+1)</f>
        <v>8.7599999999999997E-2</v>
      </c>
      <c r="R70" s="250">
        <f t="shared" si="8"/>
        <v>7.7499999999999999E-2</v>
      </c>
      <c r="S70" s="250">
        <f>VLOOKUP(L56,TO10kVAdj,MATCH(Fluoro!$V$318,$B$30:$E$30,0)+1)</f>
        <v>6.7400000000000002E-2</v>
      </c>
    </row>
    <row r="71" spans="1:19" ht="12.75" customHeight="1" x14ac:dyDescent="0.3">
      <c r="A71" s="250" t="s">
        <v>332</v>
      </c>
      <c r="B71" s="250" t="e">
        <f>NA()</f>
        <v>#N/A</v>
      </c>
      <c r="C71" s="250">
        <f>VLOOKUP(D57,TO10kVAdj,MATCH(Fluoro!$V$318,$B$30:$E$30,0)+1)</f>
        <v>0.95399999999999996</v>
      </c>
      <c r="D71" s="250">
        <f t="shared" si="1"/>
        <v>0.84</v>
      </c>
      <c r="E71" s="250">
        <f>VLOOKUP(E57,TO10kVAdj,MATCH(Fluoro!$V$318,$B$30:$E$30,0)+1)</f>
        <v>0.72599999999999998</v>
      </c>
      <c r="F71" s="250">
        <f t="shared" si="2"/>
        <v>0.64949999999999997</v>
      </c>
      <c r="G71" s="250">
        <f>VLOOKUP(F57,TO10kVAdj,MATCH(Fluoro!$V$318,$B$30:$E$30,0)+1)</f>
        <v>0.57299999999999995</v>
      </c>
      <c r="H71" s="250">
        <f t="shared" si="3"/>
        <v>0.46649999999999997</v>
      </c>
      <c r="I71" s="250">
        <f>VLOOKUP(G57,TO10kVAdj,MATCH(Fluoro!$V$318,$B$30:$E$30,0)+1)</f>
        <v>0.36</v>
      </c>
      <c r="J71" s="250">
        <f t="shared" si="4"/>
        <v>0.29899999999999999</v>
      </c>
      <c r="K71" s="250">
        <f>VLOOKUP(H57,TO10kVAdj,MATCH(Fluoro!$V$318,$B$30:$E$30,0)+1)</f>
        <v>0.23799999999999999</v>
      </c>
      <c r="L71" s="250">
        <f t="shared" si="5"/>
        <v>0.20250000000000001</v>
      </c>
      <c r="M71" s="250">
        <f>VLOOKUP(I57,TO10kVAdj,MATCH(Fluoro!$V$318,$B$30:$E$30,0)+1)</f>
        <v>0.16700000000000001</v>
      </c>
      <c r="N71" s="250">
        <f t="shared" si="6"/>
        <v>0.14750000000000002</v>
      </c>
      <c r="O71" s="250">
        <f>VLOOKUP(J57,TO10kVAdj,MATCH(Fluoro!$V$318,$B$30:$E$30,0)+1)</f>
        <v>0.128</v>
      </c>
      <c r="P71" s="250">
        <f t="shared" si="7"/>
        <v>0.10780000000000001</v>
      </c>
      <c r="Q71" s="250">
        <f>VLOOKUP(K57,TO10kVAdj,MATCH(Fluoro!$V$318,$B$30:$E$30,0)+1)</f>
        <v>8.7599999999999997E-2</v>
      </c>
      <c r="R71" s="250">
        <f t="shared" si="8"/>
        <v>7.7499999999999999E-2</v>
      </c>
      <c r="S71" s="250">
        <f>VLOOKUP(L57,TO10kVAdj,MATCH(Fluoro!$V$318,$B$30:$E$30,0)+1)</f>
        <v>6.7400000000000002E-2</v>
      </c>
    </row>
    <row r="72" spans="1:19" ht="12.75" customHeight="1" x14ac:dyDescent="0.3">
      <c r="A72" s="250" t="s">
        <v>333</v>
      </c>
      <c r="B72" s="250" t="e">
        <f>NA()</f>
        <v>#N/A</v>
      </c>
      <c r="C72" s="250">
        <f>VLOOKUP(D58,TO10kVAdj,MATCH(Fluoro!$V$318,$B$30:$E$30,0)+1)</f>
        <v>0.95399999999999996</v>
      </c>
      <c r="D72" s="250">
        <f t="shared" si="1"/>
        <v>0.84</v>
      </c>
      <c r="E72" s="250">
        <f>VLOOKUP(E58,TO10kVAdj,MATCH(Fluoro!$V$318,$B$30:$E$30,0)+1)</f>
        <v>0.72599999999999998</v>
      </c>
      <c r="F72" s="250">
        <f t="shared" si="2"/>
        <v>0.64949999999999997</v>
      </c>
      <c r="G72" s="250">
        <f>VLOOKUP(F58,TO10kVAdj,MATCH(Fluoro!$V$318,$B$30:$E$30,0)+1)</f>
        <v>0.57299999999999995</v>
      </c>
      <c r="H72" s="250">
        <f t="shared" si="3"/>
        <v>0.46649999999999997</v>
      </c>
      <c r="I72" s="250">
        <f>VLOOKUP(G58,TO10kVAdj,MATCH(Fluoro!$V$318,$B$30:$E$30,0)+1)</f>
        <v>0.36</v>
      </c>
      <c r="J72" s="250">
        <f t="shared" si="4"/>
        <v>0.29899999999999999</v>
      </c>
      <c r="K72" s="250">
        <f>VLOOKUP(H58,TO10kVAdj,MATCH(Fluoro!$V$318,$B$30:$E$30,0)+1)</f>
        <v>0.23799999999999999</v>
      </c>
      <c r="L72" s="250">
        <f t="shared" si="5"/>
        <v>0.20250000000000001</v>
      </c>
      <c r="M72" s="250">
        <f>VLOOKUP(I58,TO10kVAdj,MATCH(Fluoro!$V$318,$B$30:$E$30,0)+1)</f>
        <v>0.16700000000000001</v>
      </c>
      <c r="N72" s="250">
        <f t="shared" si="6"/>
        <v>0.14750000000000002</v>
      </c>
      <c r="O72" s="250">
        <f>VLOOKUP(J58,TO10kVAdj,MATCH(Fluoro!$V$318,$B$30:$E$30,0)+1)</f>
        <v>0.128</v>
      </c>
      <c r="P72" s="250">
        <f t="shared" si="7"/>
        <v>0.10780000000000001</v>
      </c>
      <c r="Q72" s="250">
        <f>VLOOKUP(K58,TO10kVAdj,MATCH(Fluoro!$V$318,$B$30:$E$30,0)+1)</f>
        <v>8.7599999999999997E-2</v>
      </c>
      <c r="R72" s="250">
        <f t="shared" si="8"/>
        <v>7.7499999999999999E-2</v>
      </c>
      <c r="S72" s="250">
        <f>VLOOKUP(L58,TO10kVAdj,MATCH(Fluoro!$V$318,$B$30:$E$30,0)+1)</f>
        <v>6.7400000000000002E-2</v>
      </c>
    </row>
    <row r="74" spans="1:19" ht="12.75" customHeight="1" x14ac:dyDescent="0.3">
      <c r="A74" s="1" t="s">
        <v>204</v>
      </c>
    </row>
    <row r="75" spans="1:19" ht="12.75" customHeight="1" x14ac:dyDescent="0.3">
      <c r="B75" s="1" t="s">
        <v>493</v>
      </c>
      <c r="E75" s="544" t="s">
        <v>388</v>
      </c>
      <c r="F75" s="544"/>
      <c r="I75" s="544" t="s">
        <v>389</v>
      </c>
      <c r="J75" s="544"/>
    </row>
    <row r="76" spans="1:19" ht="12.75" customHeight="1" x14ac:dyDescent="0.3">
      <c r="B76" s="1" t="s">
        <v>390</v>
      </c>
      <c r="E76" s="1" t="s">
        <v>134</v>
      </c>
      <c r="F76" s="1" t="s">
        <v>390</v>
      </c>
      <c r="G76" s="1" t="s">
        <v>391</v>
      </c>
      <c r="I76" s="1" t="s">
        <v>209</v>
      </c>
      <c r="J76" s="1" t="s">
        <v>212</v>
      </c>
    </row>
    <row r="77" spans="1:19" ht="12.75" customHeight="1" x14ac:dyDescent="0.3">
      <c r="A77" s="1" t="s">
        <v>148</v>
      </c>
      <c r="B77" s="1" t="s">
        <v>392</v>
      </c>
      <c r="D77" s="1" t="s">
        <v>148</v>
      </c>
      <c r="E77" s="1" t="s">
        <v>392</v>
      </c>
      <c r="F77" s="1" t="s">
        <v>392</v>
      </c>
      <c r="G77" s="1" t="s">
        <v>392</v>
      </c>
      <c r="I77" s="251" t="str">
        <f>IF(Fluoro!$X$174="TBD","TBD",SMALL(Fluoro!$T$174:$T$180,2))</f>
        <v>TBD</v>
      </c>
      <c r="J77" s="1" t="str">
        <f>IF(Fluoro!$X$174="TBD","TBD",IF(I77="",NA(),INDEX(Fluoro!$U$174:$U$180,MATCH(I77,Fluoro!$T$174:$T$180,0))))</f>
        <v>TBD</v>
      </c>
    </row>
    <row r="78" spans="1:19" ht="12.75" customHeight="1" x14ac:dyDescent="0.3">
      <c r="A78" s="1">
        <v>30</v>
      </c>
      <c r="B78" s="251">
        <v>0.3</v>
      </c>
      <c r="D78" s="3">
        <v>60</v>
      </c>
      <c r="E78" s="251">
        <v>2.2000000000000002</v>
      </c>
      <c r="F78" s="251">
        <v>1.5</v>
      </c>
      <c r="G78" s="251" cm="1">
        <f t="array" ref="G78">MAX(TRUNC(TREND($E$78:$E$87,$D$78:$D$87,1.1*D78),1),ROUND(TREND($E$78:$E$85,$D$78:$D$85,1.1*D78),1))</f>
        <v>2.4</v>
      </c>
      <c r="I78" s="251" t="str">
        <f>IF(Fluoro!$X$174="TBD","TBD",SMALL(Fluoro!$T$174:$T$180,3))</f>
        <v>TBD</v>
      </c>
      <c r="J78" s="1" t="str">
        <f>IF(Fluoro!$X$174="TBD","TBD",IF(I78="",NA(),INDEX(Fluoro!$U$174:$U$180,MATCH(I78,Fluoro!$T$174:$T$180,0))))</f>
        <v>TBD</v>
      </c>
    </row>
    <row r="79" spans="1:19" ht="12.75" customHeight="1" x14ac:dyDescent="0.3">
      <c r="A79" s="1">
        <v>40</v>
      </c>
      <c r="B79" s="251">
        <v>0.4</v>
      </c>
      <c r="D79" s="3">
        <v>70</v>
      </c>
      <c r="E79" s="251">
        <v>2.6</v>
      </c>
      <c r="F79" s="251">
        <v>1.8</v>
      </c>
      <c r="G79" s="251" cm="1">
        <f t="array" ref="G79">MAX(TRUNC(TREND($E$78:$E$87,$D$78:$D$87,1.1*D79),1),ROUND(TREND($E$78:$E$85,$D$78:$D$85,1.1*D79),1))</f>
        <v>2.9</v>
      </c>
      <c r="I79" s="251" t="str">
        <f>IF(Fluoro!$X$174="TBD","TBD",SMALL(Fluoro!$T$174:$T$180,4))</f>
        <v>TBD</v>
      </c>
      <c r="J79" s="1" t="str">
        <f>IF(Fluoro!$X$174="TBD","TBD",IF(I79="",NA(),INDEX(Fluoro!$U$174:$U$180,MATCH(I79,Fluoro!$T$174:$T$180,0))))</f>
        <v>TBD</v>
      </c>
    </row>
    <row r="80" spans="1:19" ht="12.75" customHeight="1" x14ac:dyDescent="0.3">
      <c r="A80" s="1">
        <v>50</v>
      </c>
      <c r="B80" s="251">
        <v>0.5</v>
      </c>
      <c r="D80" s="3">
        <v>80</v>
      </c>
      <c r="E80" s="251">
        <v>3</v>
      </c>
      <c r="F80" s="251">
        <v>2.9</v>
      </c>
      <c r="G80" s="251" cm="1">
        <f t="array" ref="G80">MAX(TRUNC(TREND($E$78:$E$87,$D$78:$D$87,1.1*D80),1),ROUND(TREND($E$78:$E$85,$D$78:$D$85,1.1*D80),1))</f>
        <v>3.5</v>
      </c>
      <c r="I80" s="251" t="str">
        <f>IF(Fluoro!$X$174="TBD","TBD",IF(Fluoro!$T$177="",NA(),SMALL(Fluoro!$T$174:$T$180,5)))</f>
        <v>TBD</v>
      </c>
      <c r="J80" s="1" t="str">
        <f>IF(Fluoro!$X$174="TBD","TBD",IF(I80="",NA(),INDEX(Fluoro!$U$174:$U$180,MATCH(I80,Fluoro!$T$174:$T$180,0))))</f>
        <v>TBD</v>
      </c>
    </row>
    <row r="81" spans="1:16" ht="12.75" customHeight="1" x14ac:dyDescent="0.3">
      <c r="A81" s="1">
        <v>51</v>
      </c>
      <c r="B81" s="251">
        <v>1.3</v>
      </c>
      <c r="D81" s="3">
        <v>90</v>
      </c>
      <c r="E81" s="251">
        <v>3.5</v>
      </c>
      <c r="F81" s="251">
        <v>3.2</v>
      </c>
      <c r="G81" s="251" cm="1">
        <f t="array" ref="G81">MAX(TRUNC(TREND($E$78:$E$87,$D$78:$D$87,1.1*D81),1),ROUND(TREND($E$78:$E$85,$D$78:$D$85,1.1*D81),1))</f>
        <v>4</v>
      </c>
      <c r="I81" s="251" t="str">
        <f>IF(Fluoro!$X$174="TBD","TBD",IF(Fluoro!$T$178="",NA(),SMALL(Fluoro!$T$174:$T$180,6)))</f>
        <v>TBD</v>
      </c>
      <c r="J81" s="1" t="str">
        <f>IF(Fluoro!$X$174="TBD","TBD",IF(I81="",NA(),INDEX(Fluoro!$U$174:$U$180,MATCH(I81,Fluoro!$T$174:$T$180,0))))</f>
        <v>TBD</v>
      </c>
    </row>
    <row r="82" spans="1:16" ht="12.75" customHeight="1" x14ac:dyDescent="0.3">
      <c r="A82" s="1">
        <v>60</v>
      </c>
      <c r="B82" s="251">
        <v>1.5</v>
      </c>
      <c r="D82" s="3">
        <v>100</v>
      </c>
      <c r="E82" s="251">
        <v>3.9</v>
      </c>
      <c r="F82" s="251">
        <v>3.6</v>
      </c>
      <c r="G82" s="251" cm="1">
        <f t="array" ref="G82">MAX(TRUNC(TREND($E$78:$E$87,$D$78:$D$87,1.1*D82),1),ROUND(TREND($E$78:$E$85,$D$78:$D$85,1.1*D82),1))</f>
        <v>4.5</v>
      </c>
      <c r="I82" s="251" t="str">
        <f>IF(Fluoro!$X$174="TBD","TBD",IF(Fluoro!$T$179="",NA(),SMALL(Fluoro!$T$174:$T$180,7)))</f>
        <v>TBD</v>
      </c>
      <c r="J82" s="1" t="str">
        <f>IF(Fluoro!$X$174="TBD","TBD",IF(I82="",NA(),INDEX(Fluoro!$U$174:$U$180,MATCH(I82,Fluoro!$T$174:$T$180,0))))</f>
        <v>TBD</v>
      </c>
    </row>
    <row r="83" spans="1:16" ht="12.75" customHeight="1" x14ac:dyDescent="0.3">
      <c r="A83" s="1">
        <v>70</v>
      </c>
      <c r="B83" s="251">
        <v>1.8</v>
      </c>
      <c r="D83" s="3">
        <v>110</v>
      </c>
      <c r="E83" s="251">
        <v>4.3</v>
      </c>
      <c r="F83" s="251">
        <v>3.9</v>
      </c>
      <c r="G83" s="251" cm="1">
        <f t="array" ref="G83">MAX(TRUNC(TREND($E$78:$E$87,$D$78:$D$87,1.1*D83),1),ROUND(TREND($E$78:$E$85,$D$78:$D$85,1.1*D83),1))</f>
        <v>5.0999999999999996</v>
      </c>
    </row>
    <row r="84" spans="1:16" ht="12.75" customHeight="1" x14ac:dyDescent="0.3">
      <c r="A84" s="1">
        <v>71</v>
      </c>
      <c r="B84" s="251">
        <v>2.5</v>
      </c>
      <c r="D84" s="3">
        <v>120</v>
      </c>
      <c r="E84" s="251">
        <v>5.7</v>
      </c>
      <c r="F84" s="251">
        <v>4.3</v>
      </c>
      <c r="G84" s="251" cm="1">
        <f t="array" ref="G84">MAX(TRUNC(TREND($E$78:$E$87,$D$78:$D$87,1.1*D84),1),ROUND(TREND($E$78:$E$85,$D$78:$D$85,1.1*D84),1))</f>
        <v>5.6</v>
      </c>
    </row>
    <row r="85" spans="1:16" ht="12.75" customHeight="1" x14ac:dyDescent="0.3">
      <c r="A85" s="1">
        <v>80</v>
      </c>
      <c r="B85" s="251">
        <v>2.9</v>
      </c>
      <c r="D85" s="3">
        <v>130</v>
      </c>
      <c r="E85" s="251">
        <v>5.2</v>
      </c>
      <c r="F85" s="251">
        <v>4.7</v>
      </c>
      <c r="G85" s="251" cm="1">
        <f t="array" ref="G85">MAX(TRUNC(TREND($E$78:$E$87,$D$78:$D$87,1.1*D85),1),ROUND(TREND($E$78:$E$85,$D$78:$D$85,1.1*D85),1))</f>
        <v>6.1</v>
      </c>
    </row>
    <row r="86" spans="1:16" ht="12.75" customHeight="1" x14ac:dyDescent="0.3">
      <c r="A86" s="1">
        <v>90</v>
      </c>
      <c r="B86" s="251">
        <v>3.2</v>
      </c>
      <c r="D86" s="3">
        <v>140</v>
      </c>
      <c r="E86" s="251">
        <v>5.5</v>
      </c>
      <c r="F86" s="251">
        <v>5</v>
      </c>
      <c r="G86" s="251" cm="1">
        <f t="array" ref="G86">MAX(TRUNC(TREND($E$78:$E$87,$D$78:$D$87,1.1*D86),1),ROUND(TREND($E$78:$E$85,$D$78:$D$85,1.1*D86),1))</f>
        <v>6.7</v>
      </c>
    </row>
    <row r="87" spans="1:16" ht="12.75" customHeight="1" x14ac:dyDescent="0.3">
      <c r="A87" s="1">
        <v>100</v>
      </c>
      <c r="B87" s="251">
        <v>3.6</v>
      </c>
      <c r="D87" s="3">
        <v>150</v>
      </c>
      <c r="E87" s="251">
        <v>5.9</v>
      </c>
      <c r="F87" s="251">
        <v>4.5</v>
      </c>
      <c r="G87" s="251" cm="1">
        <f t="array" ref="G87">MAX(TRUNC(TREND($E$78:$E$87,$D$78:$D$87,1.1*D87),1),ROUND(TREND($E$78:$E$85,$D$78:$D$85,1.1*D87),1))</f>
        <v>7.2</v>
      </c>
    </row>
    <row r="88" spans="1:16" ht="12.75" customHeight="1" x14ac:dyDescent="0.3">
      <c r="A88" s="1">
        <v>110</v>
      </c>
      <c r="B88" s="251">
        <v>3.9</v>
      </c>
    </row>
    <row r="89" spans="1:16" ht="12.75" customHeight="1" x14ac:dyDescent="0.3">
      <c r="A89" s="1">
        <v>120</v>
      </c>
      <c r="B89" s="251">
        <v>4.3</v>
      </c>
    </row>
    <row r="90" spans="1:16" ht="12.75" customHeight="1" x14ac:dyDescent="0.3">
      <c r="A90" s="1">
        <v>130</v>
      </c>
      <c r="B90" s="251">
        <v>4.7</v>
      </c>
    </row>
    <row r="91" spans="1:16" ht="12.75" customHeight="1" x14ac:dyDescent="0.3">
      <c r="A91" s="1">
        <v>140</v>
      </c>
      <c r="B91" s="251">
        <v>5</v>
      </c>
    </row>
    <row r="92" spans="1:16" ht="12.75" customHeight="1" x14ac:dyDescent="0.3">
      <c r="A92" s="1">
        <v>150</v>
      </c>
      <c r="B92" s="251">
        <v>5.4</v>
      </c>
    </row>
    <row r="94" spans="1:16" ht="12.75" customHeight="1" x14ac:dyDescent="0.3">
      <c r="A94" s="17" t="s">
        <v>393</v>
      </c>
    </row>
    <row r="95" spans="1:16" ht="12.75" customHeight="1" x14ac:dyDescent="0.3">
      <c r="A95" s="1" t="str">
        <f>Fluoro!$P$138</f>
        <v>Acrylic</v>
      </c>
      <c r="B95" s="1" t="s">
        <v>150</v>
      </c>
      <c r="C95" s="1" t="s">
        <v>150</v>
      </c>
      <c r="D95" s="1" t="s">
        <v>150</v>
      </c>
      <c r="E95" s="1" t="s">
        <v>150</v>
      </c>
      <c r="F95" s="1" t="s">
        <v>150</v>
      </c>
      <c r="G95" s="1" t="s">
        <v>150</v>
      </c>
      <c r="H95" s="1" t="s">
        <v>150</v>
      </c>
      <c r="I95" s="1" t="s">
        <v>150</v>
      </c>
      <c r="J95" s="1" t="s">
        <v>150</v>
      </c>
      <c r="K95" s="1" t="s">
        <v>150</v>
      </c>
      <c r="L95" s="1" t="s">
        <v>150</v>
      </c>
      <c r="M95" s="1" t="s">
        <v>150</v>
      </c>
      <c r="N95" s="1" t="s">
        <v>150</v>
      </c>
      <c r="O95" s="1" t="s">
        <v>150</v>
      </c>
      <c r="P95" s="1" t="s">
        <v>150</v>
      </c>
    </row>
    <row r="96" spans="1:16" ht="12.75" customHeight="1" x14ac:dyDescent="0.3">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3">
      <c r="A97" s="1" t="str">
        <f>Fluoro!$P$140</f>
        <v>(cm)</v>
      </c>
      <c r="B97" s="226" t="str">
        <f>IF(MAX(Fluoro!$S$109:$S$111)=0,"",Fluoro!$O$109)</f>
        <v/>
      </c>
      <c r="C97" s="1" t="str">
        <f>IF(MAX(Fluoro!$S$112:$S$114)=0,"",Fluoro!$O$112)</f>
        <v/>
      </c>
      <c r="D97" s="1" t="str">
        <f>IF(MAX(Fluoro!$S$115:$S$117)=0,"",Fluoro!$O$115)</f>
        <v/>
      </c>
      <c r="E97" s="1" t="str">
        <f>IF(MAX(Fluoro!$S$118:$S$120)=0,"",Fluoro!$O$118)</f>
        <v/>
      </c>
      <c r="F97" s="1" t="str">
        <f>IF(MAX(Fluoro!$S$121:$S$123)=0,"",Fluoro!$O$121)</f>
        <v/>
      </c>
      <c r="G97" s="226" t="str">
        <f>IF(MAX(Fluoro!$V$109:$V$111)=0,"",Fluoro!$O$109)</f>
        <v/>
      </c>
      <c r="H97" s="1" t="str">
        <f>IF(MAX(Fluoro!$V$112:$V$114)=0,"",Fluoro!$O$112)</f>
        <v/>
      </c>
      <c r="I97" s="1" t="str">
        <f>IF(MAX(Fluoro!$V$115:$V$117)=0,"",Fluoro!$O$115)</f>
        <v/>
      </c>
      <c r="J97" s="1" t="str">
        <f>IF(MAX(Fluoro!$V$118:$V$120)=0,"",Fluoro!$O$118)</f>
        <v/>
      </c>
      <c r="K97" s="1" t="str">
        <f>IF(MAX(Fluoro!$V$121:$V$123)=0,"",Fluoro!$O$121)</f>
        <v/>
      </c>
      <c r="L97" s="226"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3">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3">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3">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3"/>
    <row r="102" spans="1:16" ht="12.75" customHeight="1" x14ac:dyDescent="0.3">
      <c r="A102" s="17" t="s">
        <v>394</v>
      </c>
    </row>
    <row r="103" spans="1:16" ht="12.75" customHeight="1" x14ac:dyDescent="0.3">
      <c r="A103" s="1" t="str">
        <f>Fluoro!$P$138</f>
        <v>Acrylic</v>
      </c>
      <c r="B103" s="1" t="s">
        <v>150</v>
      </c>
      <c r="C103" s="1" t="s">
        <v>150</v>
      </c>
      <c r="D103" s="1" t="s">
        <v>150</v>
      </c>
      <c r="E103" s="1" t="s">
        <v>150</v>
      </c>
      <c r="F103" s="1" t="s">
        <v>150</v>
      </c>
      <c r="G103" s="1" t="s">
        <v>150</v>
      </c>
      <c r="H103" s="1" t="s">
        <v>150</v>
      </c>
      <c r="I103" s="1" t="s">
        <v>150</v>
      </c>
      <c r="J103" s="1" t="s">
        <v>150</v>
      </c>
      <c r="K103" s="1" t="s">
        <v>150</v>
      </c>
      <c r="L103" s="1" t="s">
        <v>150</v>
      </c>
      <c r="M103" s="1" t="s">
        <v>150</v>
      </c>
      <c r="N103" s="1" t="s">
        <v>150</v>
      </c>
      <c r="O103" s="1" t="s">
        <v>150</v>
      </c>
      <c r="P103" s="1" t="s">
        <v>150</v>
      </c>
    </row>
    <row r="104" spans="1:16" ht="12.75" customHeight="1" x14ac:dyDescent="0.3">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3">
      <c r="A105" s="1" t="str">
        <f>Fluoro!$P$140</f>
        <v>(cm)</v>
      </c>
      <c r="B105" s="226" t="str">
        <f>IF(MAX(Fluoro!$S$141:$S$143)=0,"",Fluoro!$O$109)</f>
        <v/>
      </c>
      <c r="C105" s="1" t="str">
        <f>IF(MAX(Fluoro!$S$144:$S$146)=0,"",Fluoro!$O$112)</f>
        <v/>
      </c>
      <c r="D105" s="1" t="str">
        <f>IF(MAX(Fluoro!$S$147:$S$149)=0,"",Fluoro!$O$115)</f>
        <v/>
      </c>
      <c r="E105" s="1" t="str">
        <f>IF(MAX(Fluoro!$S$150:$S$152)=0,"",Fluoro!$O$118)</f>
        <v/>
      </c>
      <c r="F105" s="1" t="str">
        <f>IF(MAX(Fluoro!$S$153:$S$155)=0,"",Fluoro!$O$121)</f>
        <v/>
      </c>
      <c r="G105" s="226" t="str">
        <f>IF(MAX(Fluoro!$V$141:$V$143)=0,"",Fluoro!$O$109)</f>
        <v/>
      </c>
      <c r="H105" s="1" t="str">
        <f>IF(MAX(Fluoro!$V$144:$V$146)=0,"",Fluoro!$O$112)</f>
        <v/>
      </c>
      <c r="I105" s="1" t="str">
        <f>IF(MAX(Fluoro!$V$147:$V$149)=0,"",Fluoro!$O$115)</f>
        <v/>
      </c>
      <c r="J105" s="1" t="str">
        <f>IF(MAX(Fluoro!$V$150:$V$152)=0,"",Fluoro!$O$118)</f>
        <v/>
      </c>
      <c r="K105" s="1" t="str">
        <f>IF(MAX(Fluoro!$V$153:$V$155)=0,"",Fluoro!$O$121)</f>
        <v/>
      </c>
      <c r="L105" s="226"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3">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3">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3">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3"/>
    <row r="110" spans="1:16" ht="12.75" customHeight="1" x14ac:dyDescent="0.3">
      <c r="A110" s="17" t="s">
        <v>395</v>
      </c>
    </row>
    <row r="111" spans="1:16" ht="12.75" customHeight="1" x14ac:dyDescent="0.3">
      <c r="B111" s="1" t="s">
        <v>290</v>
      </c>
    </row>
    <row r="112" spans="1:16" ht="12.75" customHeight="1" x14ac:dyDescent="0.3">
      <c r="A112" s="1" t="s">
        <v>396</v>
      </c>
      <c r="B112" s="1">
        <v>1</v>
      </c>
    </row>
    <row r="113" spans="1:2" ht="12.75" customHeight="1" x14ac:dyDescent="0.3">
      <c r="A113" s="1" t="s">
        <v>397</v>
      </c>
      <c r="B113" s="1">
        <v>10</v>
      </c>
    </row>
    <row r="114" spans="1:2" ht="12.75" customHeight="1" x14ac:dyDescent="0.3">
      <c r="A114" s="1" t="s">
        <v>398</v>
      </c>
      <c r="B114" s="1">
        <v>100</v>
      </c>
    </row>
    <row r="115" spans="1:2" ht="12.75" customHeight="1" x14ac:dyDescent="0.3">
      <c r="A115" s="1" t="s">
        <v>399</v>
      </c>
      <c r="B115" s="1">
        <v>0.01</v>
      </c>
    </row>
    <row r="116" spans="1:2" ht="12.75" customHeight="1" x14ac:dyDescent="0.3">
      <c r="A116" s="1" t="s">
        <v>290</v>
      </c>
      <c r="B116" s="1">
        <v>1</v>
      </c>
    </row>
    <row r="117" spans="1:2" ht="12.75" customHeight="1" x14ac:dyDescent="0.3"/>
    <row r="118" spans="1:2" ht="12.75" customHeight="1" x14ac:dyDescent="0.3"/>
    <row r="119" spans="1:2" ht="12.75" customHeight="1" x14ac:dyDescent="0.3"/>
    <row r="120" spans="1:2" ht="12.75" customHeight="1" x14ac:dyDescent="0.3"/>
    <row r="121" spans="1:2" ht="12.75" customHeight="1" x14ac:dyDescent="0.3"/>
    <row r="122" spans="1:2" ht="12.75" customHeight="1" x14ac:dyDescent="0.3"/>
    <row r="123" spans="1:2" ht="12.75" customHeight="1" x14ac:dyDescent="0.3"/>
    <row r="124" spans="1:2" ht="12.75" customHeight="1" x14ac:dyDescent="0.3"/>
    <row r="125" spans="1:2" ht="12.75" customHeight="1" x14ac:dyDescent="0.3"/>
    <row r="126" spans="1:2" ht="12.75" customHeight="1" x14ac:dyDescent="0.3"/>
    <row r="127" spans="1:2" ht="12.75" customHeight="1" x14ac:dyDescent="0.3"/>
    <row r="128" spans="1:2"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563880</xdr:colOff>
                    <xdr:row>0</xdr:row>
                    <xdr:rowOff>137160</xdr:rowOff>
                  </from>
                  <to>
                    <xdr:col>13</xdr:col>
                    <xdr:colOff>762000</xdr:colOff>
                    <xdr:row>2</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s>
  <sheetFormatPr defaultRowHeight="15.6" x14ac:dyDescent="0.3"/>
  <cols>
    <col min="1" max="1004" width="10.59765625" customWidth="1"/>
  </cols>
  <sheetData>
    <row r="1" spans="1:11" x14ac:dyDescent="0.3">
      <c r="A1" s="75" t="s">
        <v>138</v>
      </c>
      <c r="B1" s="1"/>
      <c r="C1" s="1"/>
      <c r="D1" s="1"/>
      <c r="E1" s="1"/>
      <c r="F1" s="1"/>
      <c r="G1" s="1"/>
      <c r="H1" s="1"/>
      <c r="I1" s="1"/>
      <c r="J1" s="1"/>
      <c r="K1" s="14"/>
    </row>
    <row r="2" spans="1:11" x14ac:dyDescent="0.3">
      <c r="A2" s="76" t="s">
        <v>141</v>
      </c>
      <c r="B2" s="14" t="e">
        <f>IF(#REF!=1,"Acrylic","Aluminum")</f>
        <v>#REF!</v>
      </c>
      <c r="C2" s="44" t="str">
        <f>Fluoro!Q106</f>
        <v/>
      </c>
      <c r="D2" s="45"/>
      <c r="E2" s="14"/>
      <c r="F2" s="44" t="str">
        <f>Fluoro!T106</f>
        <v/>
      </c>
      <c r="G2" s="45"/>
      <c r="H2" s="14"/>
      <c r="I2" s="44" t="str">
        <f>Fluoro!W106</f>
        <v/>
      </c>
      <c r="J2" s="45"/>
      <c r="K2" s="14"/>
    </row>
    <row r="3" spans="1:11" x14ac:dyDescent="0.3">
      <c r="A3" s="76" t="s">
        <v>144</v>
      </c>
      <c r="B3" s="14" t="s">
        <v>145</v>
      </c>
      <c r="C3" s="1"/>
      <c r="D3" s="1"/>
      <c r="E3" s="14"/>
      <c r="F3" s="1"/>
      <c r="G3" s="1"/>
      <c r="H3" s="14"/>
      <c r="I3" s="1"/>
      <c r="J3" s="1"/>
      <c r="K3" s="14"/>
    </row>
    <row r="4" spans="1:11" x14ac:dyDescent="0.3">
      <c r="A4" s="76" t="str">
        <f>IF(Fluoro!O104="","","("&amp;Fluoro!O104&amp;")")</f>
        <v>(cm)</v>
      </c>
      <c r="B4" s="23" t="s">
        <v>147</v>
      </c>
      <c r="C4" s="1" t="s">
        <v>148</v>
      </c>
      <c r="D4" s="1" t="s">
        <v>149</v>
      </c>
      <c r="E4" s="14" t="s">
        <v>400</v>
      </c>
      <c r="F4" s="1" t="s">
        <v>148</v>
      </c>
      <c r="G4" s="1" t="s">
        <v>149</v>
      </c>
      <c r="H4" s="14" t="s">
        <v>400</v>
      </c>
      <c r="I4" s="1" t="s">
        <v>148</v>
      </c>
      <c r="J4" s="1" t="s">
        <v>149</v>
      </c>
      <c r="K4" s="14" t="s">
        <v>400</v>
      </c>
    </row>
    <row r="5" spans="1:11" x14ac:dyDescent="0.3">
      <c r="A5" s="77" t="s">
        <v>152</v>
      </c>
      <c r="B5" s="77">
        <v>10</v>
      </c>
      <c r="C5" s="78"/>
      <c r="D5" s="79"/>
      <c r="E5" s="80"/>
      <c r="F5" s="78"/>
      <c r="G5" s="79"/>
      <c r="H5" s="80"/>
      <c r="I5" s="78"/>
      <c r="J5" s="79"/>
      <c r="K5" s="80"/>
    </row>
    <row r="6" spans="1:11" x14ac:dyDescent="0.3">
      <c r="A6" s="81" t="str">
        <f>Fluoro!O110</f>
        <v/>
      </c>
      <c r="B6" s="76">
        <v>20</v>
      </c>
      <c r="C6" s="82"/>
      <c r="D6" s="83"/>
      <c r="E6" s="84"/>
      <c r="F6" s="82"/>
      <c r="G6" s="83"/>
      <c r="H6" s="84"/>
      <c r="I6" s="82"/>
      <c r="J6" s="83"/>
      <c r="K6" s="84"/>
    </row>
    <row r="7" spans="1:11" x14ac:dyDescent="0.3">
      <c r="A7" s="85"/>
      <c r="B7" s="86">
        <v>30</v>
      </c>
      <c r="C7" s="87"/>
      <c r="D7" s="88"/>
      <c r="E7" s="89"/>
      <c r="F7" s="87"/>
      <c r="G7" s="88"/>
      <c r="H7" s="89"/>
      <c r="I7" s="87"/>
      <c r="J7" s="88"/>
      <c r="K7" s="89"/>
    </row>
    <row r="8" spans="1:11" x14ac:dyDescent="0.3">
      <c r="A8" s="77" t="s">
        <v>155</v>
      </c>
      <c r="B8" s="77">
        <v>10</v>
      </c>
      <c r="C8" s="78"/>
      <c r="D8" s="79"/>
      <c r="E8" s="80"/>
      <c r="F8" s="78"/>
      <c r="G8" s="79"/>
      <c r="H8" s="80"/>
      <c r="I8" s="78"/>
      <c r="J8" s="79"/>
      <c r="K8" s="80"/>
    </row>
    <row r="9" spans="1:11" x14ac:dyDescent="0.3">
      <c r="A9" s="81" t="str">
        <f>Fluoro!O113</f>
        <v/>
      </c>
      <c r="B9" s="76">
        <v>20</v>
      </c>
      <c r="C9" s="82"/>
      <c r="D9" s="83"/>
      <c r="E9" s="84"/>
      <c r="F9" s="82"/>
      <c r="G9" s="83"/>
      <c r="H9" s="84"/>
      <c r="I9" s="82"/>
      <c r="J9" s="83"/>
      <c r="K9" s="84"/>
    </row>
    <row r="10" spans="1:11" x14ac:dyDescent="0.3">
      <c r="A10" s="85"/>
      <c r="B10" s="86">
        <v>30</v>
      </c>
      <c r="C10" s="87"/>
      <c r="D10" s="88"/>
      <c r="E10" s="89"/>
      <c r="F10" s="87"/>
      <c r="G10" s="88"/>
      <c r="H10" s="89"/>
      <c r="I10" s="87"/>
      <c r="J10" s="88"/>
      <c r="K10" s="89"/>
    </row>
    <row r="11" spans="1:11" x14ac:dyDescent="0.3">
      <c r="A11" s="77" t="s">
        <v>156</v>
      </c>
      <c r="B11" s="77">
        <v>10</v>
      </c>
      <c r="C11" s="78"/>
      <c r="D11" s="79"/>
      <c r="E11" s="80"/>
      <c r="F11" s="78"/>
      <c r="G11" s="79"/>
      <c r="H11" s="80"/>
      <c r="I11" s="78"/>
      <c r="J11" s="79"/>
      <c r="K11" s="80"/>
    </row>
    <row r="12" spans="1:11" x14ac:dyDescent="0.3">
      <c r="A12" s="81" t="str">
        <f>Fluoro!O116</f>
        <v/>
      </c>
      <c r="B12" s="76">
        <v>20</v>
      </c>
      <c r="C12" s="82"/>
      <c r="D12" s="83"/>
      <c r="E12" s="84"/>
      <c r="F12" s="82"/>
      <c r="G12" s="83"/>
      <c r="H12" s="84"/>
      <c r="I12" s="82"/>
      <c r="J12" s="83"/>
      <c r="K12" s="84"/>
    </row>
    <row r="13" spans="1:11" x14ac:dyDescent="0.3">
      <c r="A13" s="85"/>
      <c r="B13" s="86">
        <v>30</v>
      </c>
      <c r="C13" s="87"/>
      <c r="D13" s="88"/>
      <c r="E13" s="89"/>
      <c r="F13" s="87"/>
      <c r="G13" s="88"/>
      <c r="H13" s="89"/>
      <c r="I13" s="87"/>
      <c r="J13" s="88"/>
      <c r="K13" s="89"/>
    </row>
    <row r="14" spans="1:11" x14ac:dyDescent="0.3">
      <c r="A14" s="77" t="s">
        <v>157</v>
      </c>
      <c r="B14" s="77">
        <v>10</v>
      </c>
      <c r="C14" s="78"/>
      <c r="D14" s="79"/>
      <c r="E14" s="80"/>
      <c r="F14" s="78"/>
      <c r="G14" s="79"/>
      <c r="H14" s="80"/>
      <c r="I14" s="78"/>
      <c r="J14" s="79"/>
      <c r="K14" s="80"/>
    </row>
    <row r="15" spans="1:11" x14ac:dyDescent="0.3">
      <c r="A15" s="81" t="str">
        <f>Fluoro!O119</f>
        <v/>
      </c>
      <c r="B15" s="76">
        <v>20</v>
      </c>
      <c r="C15" s="82"/>
      <c r="D15" s="83"/>
      <c r="E15" s="84"/>
      <c r="F15" s="82"/>
      <c r="G15" s="83"/>
      <c r="H15" s="84"/>
      <c r="I15" s="82"/>
      <c r="J15" s="83"/>
      <c r="K15" s="84"/>
    </row>
    <row r="16" spans="1:11" x14ac:dyDescent="0.3">
      <c r="A16" s="85"/>
      <c r="B16" s="86">
        <v>30</v>
      </c>
      <c r="C16" s="87"/>
      <c r="D16" s="88"/>
      <c r="E16" s="89"/>
      <c r="F16" s="87"/>
      <c r="G16" s="88"/>
      <c r="H16" s="89"/>
      <c r="I16" s="87"/>
      <c r="J16" s="88"/>
      <c r="K16" s="89"/>
    </row>
    <row r="17" spans="1:11" x14ac:dyDescent="0.3">
      <c r="A17" s="77" t="s">
        <v>158</v>
      </c>
      <c r="B17" s="77">
        <v>10</v>
      </c>
      <c r="C17" s="78"/>
      <c r="D17" s="79"/>
      <c r="E17" s="80"/>
      <c r="F17" s="78"/>
      <c r="G17" s="79"/>
      <c r="H17" s="80"/>
      <c r="I17" s="78"/>
      <c r="J17" s="79"/>
      <c r="K17" s="80"/>
    </row>
    <row r="18" spans="1:11" x14ac:dyDescent="0.3">
      <c r="A18" s="81" t="str">
        <f>Fluoro!O122</f>
        <v/>
      </c>
      <c r="B18" s="76">
        <v>20</v>
      </c>
      <c r="C18" s="82"/>
      <c r="D18" s="83"/>
      <c r="E18" s="84"/>
      <c r="F18" s="82"/>
      <c r="G18" s="83"/>
      <c r="H18" s="84"/>
      <c r="I18" s="82"/>
      <c r="J18" s="83"/>
      <c r="K18" s="84"/>
    </row>
    <row r="19" spans="1:11" x14ac:dyDescent="0.3">
      <c r="A19" s="85"/>
      <c r="B19" s="86">
        <v>30</v>
      </c>
      <c r="C19" s="87"/>
      <c r="D19" s="88"/>
      <c r="E19" s="89"/>
      <c r="F19" s="87"/>
      <c r="G19" s="88"/>
      <c r="H19" s="89"/>
      <c r="I19" s="87"/>
      <c r="J19" s="88"/>
      <c r="K19" s="89"/>
    </row>
    <row r="20" spans="1:11" x14ac:dyDescent="0.3">
      <c r="A20" s="13"/>
      <c r="B20" s="90" t="s">
        <v>159</v>
      </c>
      <c r="C20" s="91"/>
      <c r="D20" s="92"/>
      <c r="E20" s="93"/>
      <c r="F20" s="91"/>
      <c r="G20" s="92"/>
      <c r="H20" s="93"/>
      <c r="I20" s="91"/>
      <c r="J20" s="92"/>
      <c r="K20" s="93"/>
    </row>
    <row r="22" spans="1:11" x14ac:dyDescent="0.3">
      <c r="A22" s="109" t="s">
        <v>401</v>
      </c>
      <c r="B22" s="7"/>
      <c r="C22" s="7"/>
      <c r="D22" s="7"/>
      <c r="E22" s="7"/>
      <c r="F22" s="7"/>
      <c r="G22" s="7"/>
      <c r="H22" s="7"/>
      <c r="I22" s="7"/>
      <c r="J22" s="7"/>
      <c r="K22" s="8"/>
    </row>
    <row r="23" spans="1:11" x14ac:dyDescent="0.3">
      <c r="A23" s="76" t="s">
        <v>141</v>
      </c>
      <c r="B23" s="14" t="e">
        <f>IF(#REF!=1,"Acrylic","Aluminum")</f>
        <v>#REF!</v>
      </c>
      <c r="C23" s="44" t="str">
        <f>Fluoro!Q138</f>
        <v/>
      </c>
      <c r="D23" s="45"/>
      <c r="E23" s="14"/>
      <c r="F23" s="44" t="str">
        <f>Fluoro!T138</f>
        <v/>
      </c>
      <c r="G23" s="45"/>
      <c r="H23" s="14"/>
      <c r="I23" s="44" t="str">
        <f>Fluoro!W138</f>
        <v/>
      </c>
      <c r="J23" s="45"/>
      <c r="K23" s="14"/>
    </row>
    <row r="24" spans="1:11" x14ac:dyDescent="0.3">
      <c r="A24" s="76" t="s">
        <v>144</v>
      </c>
      <c r="B24" s="14" t="s">
        <v>145</v>
      </c>
      <c r="C24" s="1"/>
      <c r="D24" s="1"/>
      <c r="E24" s="14"/>
      <c r="F24" s="1"/>
      <c r="G24" s="1"/>
      <c r="H24" s="14"/>
      <c r="I24" s="1"/>
      <c r="J24" s="1"/>
      <c r="K24" s="14"/>
    </row>
    <row r="25" spans="1:11" x14ac:dyDescent="0.3">
      <c r="A25" s="76" t="str">
        <f>IF(Fluoro!O104="","","("&amp;Fluoro!O104&amp;")")</f>
        <v>(cm)</v>
      </c>
      <c r="B25" s="23" t="s">
        <v>147</v>
      </c>
      <c r="C25" s="1" t="s">
        <v>148</v>
      </c>
      <c r="D25" s="1" t="s">
        <v>149</v>
      </c>
      <c r="E25" s="14" t="s">
        <v>400</v>
      </c>
      <c r="F25" s="1" t="s">
        <v>148</v>
      </c>
      <c r="G25" s="1" t="s">
        <v>149</v>
      </c>
      <c r="H25" s="14" t="s">
        <v>400</v>
      </c>
      <c r="I25" s="1" t="s">
        <v>148</v>
      </c>
      <c r="J25" s="1" t="s">
        <v>149</v>
      </c>
      <c r="K25" s="14" t="s">
        <v>400</v>
      </c>
    </row>
    <row r="26" spans="1:11" x14ac:dyDescent="0.3">
      <c r="A26" s="77" t="s">
        <v>152</v>
      </c>
      <c r="B26" s="77">
        <v>10</v>
      </c>
      <c r="C26" s="78"/>
      <c r="D26" s="79"/>
      <c r="E26" s="80"/>
      <c r="F26" s="78"/>
      <c r="G26" s="79"/>
      <c r="H26" s="80"/>
      <c r="I26" s="78"/>
      <c r="J26" s="79"/>
      <c r="K26" s="80"/>
    </row>
    <row r="27" spans="1:11" x14ac:dyDescent="0.3">
      <c r="A27" s="81" t="str">
        <f>Fluoro!O142</f>
        <v/>
      </c>
      <c r="B27" s="76">
        <v>20</v>
      </c>
      <c r="C27" s="82"/>
      <c r="D27" s="83"/>
      <c r="E27" s="84"/>
      <c r="F27" s="82"/>
      <c r="G27" s="83"/>
      <c r="H27" s="84"/>
      <c r="I27" s="82"/>
      <c r="J27" s="83"/>
      <c r="K27" s="84"/>
    </row>
    <row r="28" spans="1:11" x14ac:dyDescent="0.3">
      <c r="A28" s="85"/>
      <c r="B28" s="86">
        <v>30</v>
      </c>
      <c r="C28" s="87"/>
      <c r="D28" s="88"/>
      <c r="E28" s="89"/>
      <c r="F28" s="87"/>
      <c r="G28" s="88"/>
      <c r="H28" s="89"/>
      <c r="I28" s="87"/>
      <c r="J28" s="88"/>
      <c r="K28" s="89"/>
    </row>
    <row r="29" spans="1:11" x14ac:dyDescent="0.3">
      <c r="A29" s="77" t="s">
        <v>155</v>
      </c>
      <c r="B29" s="77">
        <v>10</v>
      </c>
      <c r="C29" s="78"/>
      <c r="D29" s="79"/>
      <c r="E29" s="80"/>
      <c r="F29" s="78"/>
      <c r="G29" s="79"/>
      <c r="H29" s="80"/>
      <c r="I29" s="78"/>
      <c r="J29" s="79"/>
      <c r="K29" s="80"/>
    </row>
    <row r="30" spans="1:11" x14ac:dyDescent="0.3">
      <c r="A30" s="81" t="str">
        <f>Fluoro!O145</f>
        <v/>
      </c>
      <c r="B30" s="76">
        <v>20</v>
      </c>
      <c r="C30" s="82"/>
      <c r="D30" s="83"/>
      <c r="E30" s="84"/>
      <c r="F30" s="82"/>
      <c r="G30" s="83"/>
      <c r="H30" s="84"/>
      <c r="I30" s="82"/>
      <c r="J30" s="83"/>
      <c r="K30" s="84"/>
    </row>
    <row r="31" spans="1:11" x14ac:dyDescent="0.3">
      <c r="A31" s="85"/>
      <c r="B31" s="86">
        <v>30</v>
      </c>
      <c r="C31" s="87"/>
      <c r="D31" s="88"/>
      <c r="E31" s="89"/>
      <c r="F31" s="87"/>
      <c r="G31" s="88"/>
      <c r="H31" s="89"/>
      <c r="I31" s="87"/>
      <c r="J31" s="88"/>
      <c r="K31" s="89"/>
    </row>
    <row r="32" spans="1:11" x14ac:dyDescent="0.3">
      <c r="A32" s="77" t="s">
        <v>156</v>
      </c>
      <c r="B32" s="77">
        <v>10</v>
      </c>
      <c r="C32" s="78"/>
      <c r="D32" s="79"/>
      <c r="E32" s="80"/>
      <c r="F32" s="78"/>
      <c r="G32" s="79"/>
      <c r="H32" s="80"/>
      <c r="I32" s="78"/>
      <c r="J32" s="79"/>
      <c r="K32" s="80"/>
    </row>
    <row r="33" spans="1:11" x14ac:dyDescent="0.3">
      <c r="A33" s="81" t="str">
        <f>Fluoro!O148</f>
        <v/>
      </c>
      <c r="B33" s="76">
        <v>20</v>
      </c>
      <c r="C33" s="82"/>
      <c r="D33" s="83"/>
      <c r="E33" s="84"/>
      <c r="F33" s="82"/>
      <c r="G33" s="83"/>
      <c r="H33" s="84"/>
      <c r="I33" s="82"/>
      <c r="J33" s="83"/>
      <c r="K33" s="84"/>
    </row>
    <row r="34" spans="1:11" x14ac:dyDescent="0.3">
      <c r="A34" s="85"/>
      <c r="B34" s="86">
        <v>30</v>
      </c>
      <c r="C34" s="87"/>
      <c r="D34" s="88"/>
      <c r="E34" s="89"/>
      <c r="F34" s="87"/>
      <c r="G34" s="88"/>
      <c r="H34" s="89"/>
      <c r="I34" s="87"/>
      <c r="J34" s="88"/>
      <c r="K34" s="89"/>
    </row>
    <row r="35" spans="1:11" x14ac:dyDescent="0.3">
      <c r="A35" s="77" t="s">
        <v>157</v>
      </c>
      <c r="B35" s="77">
        <v>10</v>
      </c>
      <c r="C35" s="78"/>
      <c r="D35" s="79"/>
      <c r="E35" s="80"/>
      <c r="F35" s="78"/>
      <c r="G35" s="79"/>
      <c r="H35" s="80"/>
      <c r="I35" s="78"/>
      <c r="J35" s="79"/>
      <c r="K35" s="80"/>
    </row>
    <row r="36" spans="1:11" x14ac:dyDescent="0.3">
      <c r="A36" s="81" t="str">
        <f>Fluoro!O151</f>
        <v/>
      </c>
      <c r="B36" s="76">
        <v>20</v>
      </c>
      <c r="C36" s="82"/>
      <c r="D36" s="83"/>
      <c r="E36" s="84"/>
      <c r="F36" s="82"/>
      <c r="G36" s="83"/>
      <c r="H36" s="84"/>
      <c r="I36" s="82"/>
      <c r="J36" s="83"/>
      <c r="K36" s="84"/>
    </row>
    <row r="37" spans="1:11" x14ac:dyDescent="0.3">
      <c r="A37" s="85"/>
      <c r="B37" s="86">
        <v>30</v>
      </c>
      <c r="C37" s="87"/>
      <c r="D37" s="88"/>
      <c r="E37" s="89"/>
      <c r="F37" s="87"/>
      <c r="G37" s="88"/>
      <c r="H37" s="89"/>
      <c r="I37" s="87"/>
      <c r="J37" s="88"/>
      <c r="K37" s="89"/>
    </row>
    <row r="38" spans="1:11" x14ac:dyDescent="0.3">
      <c r="A38" s="77" t="s">
        <v>158</v>
      </c>
      <c r="B38" s="77">
        <v>10</v>
      </c>
      <c r="C38" s="78"/>
      <c r="D38" s="79"/>
      <c r="E38" s="80"/>
      <c r="F38" s="78"/>
      <c r="G38" s="79"/>
      <c r="H38" s="80"/>
      <c r="I38" s="78"/>
      <c r="J38" s="79"/>
      <c r="K38" s="80"/>
    </row>
    <row r="39" spans="1:11" x14ac:dyDescent="0.3">
      <c r="A39" s="81" t="str">
        <f>Fluoro!O154</f>
        <v/>
      </c>
      <c r="B39" s="76">
        <v>20</v>
      </c>
      <c r="C39" s="82"/>
      <c r="D39" s="83"/>
      <c r="E39" s="84"/>
      <c r="F39" s="82"/>
      <c r="G39" s="83"/>
      <c r="H39" s="84"/>
      <c r="I39" s="82"/>
      <c r="J39" s="83"/>
      <c r="K39" s="84"/>
    </row>
    <row r="40" spans="1:11" x14ac:dyDescent="0.3">
      <c r="A40" s="85"/>
      <c r="B40" s="86">
        <v>30</v>
      </c>
      <c r="C40" s="87"/>
      <c r="D40" s="88"/>
      <c r="E40" s="89"/>
      <c r="F40" s="87"/>
      <c r="G40" s="88"/>
      <c r="H40" s="89"/>
      <c r="I40" s="87"/>
      <c r="J40" s="88"/>
      <c r="K40" s="89"/>
    </row>
    <row r="41" spans="1:11" x14ac:dyDescent="0.3">
      <c r="A41" s="13"/>
      <c r="B41" s="90" t="s">
        <v>159</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election activeCell="A2" sqref="A2"/>
    </sheetView>
  </sheetViews>
  <sheetFormatPr defaultColWidth="8.69921875" defaultRowHeight="15.6" x14ac:dyDescent="0.3"/>
  <cols>
    <col min="1" max="16384" width="8.69921875" style="495"/>
  </cols>
  <sheetData>
    <row r="1" spans="1:20" x14ac:dyDescent="0.3">
      <c r="A1" s="495" t="s">
        <v>446</v>
      </c>
      <c r="I1" s="495" t="s">
        <v>447</v>
      </c>
    </row>
    <row r="2" spans="1:20" x14ac:dyDescent="0.3">
      <c r="A2" s="496" t="s">
        <v>426</v>
      </c>
      <c r="I2" s="496" t="s">
        <v>426</v>
      </c>
    </row>
    <row r="4" spans="1:20" x14ac:dyDescent="0.3">
      <c r="A4" s="497" t="s">
        <v>427</v>
      </c>
      <c r="B4" s="497" t="s">
        <v>438</v>
      </c>
      <c r="C4" s="497" t="s">
        <v>428</v>
      </c>
      <c r="D4" s="497" t="s">
        <v>429</v>
      </c>
      <c r="E4" s="497" t="s">
        <v>430</v>
      </c>
      <c r="F4" s="497" t="s">
        <v>431</v>
      </c>
      <c r="G4" s="497" t="s">
        <v>432</v>
      </c>
      <c r="I4" s="497" t="s">
        <v>427</v>
      </c>
      <c r="J4" s="497" t="s">
        <v>438</v>
      </c>
      <c r="K4" s="497" t="s">
        <v>428</v>
      </c>
      <c r="L4" s="497" t="s">
        <v>429</v>
      </c>
      <c r="M4" s="497" t="s">
        <v>430</v>
      </c>
      <c r="N4" s="497" t="s">
        <v>431</v>
      </c>
      <c r="O4" s="497" t="s">
        <v>432</v>
      </c>
      <c r="P4" s="497" t="s">
        <v>433</v>
      </c>
      <c r="Q4" s="497" t="s">
        <v>434</v>
      </c>
      <c r="R4" s="497" t="s">
        <v>435</v>
      </c>
      <c r="S4" s="497" t="s">
        <v>436</v>
      </c>
      <c r="T4" s="497" t="s">
        <v>437</v>
      </c>
    </row>
    <row r="5" spans="1:20" x14ac:dyDescent="0.3">
      <c r="A5" s="498">
        <v>60</v>
      </c>
      <c r="B5" s="498">
        <v>5</v>
      </c>
      <c r="C5" s="498"/>
      <c r="D5" s="498"/>
      <c r="E5" s="498"/>
      <c r="F5" s="498"/>
      <c r="G5" s="498"/>
      <c r="I5" s="498">
        <v>60</v>
      </c>
      <c r="J5" s="498">
        <v>5</v>
      </c>
      <c r="K5" s="498"/>
      <c r="L5" s="498"/>
      <c r="M5" s="498"/>
      <c r="N5" s="498"/>
      <c r="O5" s="498"/>
      <c r="P5" s="498">
        <v>15</v>
      </c>
      <c r="Q5" s="498"/>
      <c r="R5" s="498"/>
      <c r="S5" s="498"/>
      <c r="T5" s="498"/>
    </row>
    <row r="6" spans="1:20" x14ac:dyDescent="0.3">
      <c r="A6" s="498">
        <v>80</v>
      </c>
      <c r="B6" s="498">
        <v>5</v>
      </c>
      <c r="C6" s="498"/>
      <c r="D6" s="498"/>
      <c r="E6" s="498"/>
      <c r="F6" s="498"/>
      <c r="G6" s="498"/>
      <c r="I6" s="498">
        <v>80</v>
      </c>
      <c r="J6" s="498">
        <v>5</v>
      </c>
      <c r="K6" s="498"/>
      <c r="L6" s="498"/>
      <c r="M6" s="498"/>
      <c r="N6" s="498"/>
      <c r="O6" s="498"/>
      <c r="P6" s="498">
        <v>15</v>
      </c>
      <c r="Q6" s="498"/>
      <c r="R6" s="498"/>
      <c r="S6" s="498"/>
      <c r="T6" s="498"/>
    </row>
    <row r="7" spans="1:20" x14ac:dyDescent="0.3">
      <c r="A7" s="498">
        <v>80</v>
      </c>
      <c r="B7" s="498">
        <v>5</v>
      </c>
      <c r="C7" s="498"/>
      <c r="D7" s="498"/>
      <c r="E7" s="498"/>
      <c r="F7" s="498"/>
      <c r="G7" s="498"/>
      <c r="I7" s="498">
        <v>80</v>
      </c>
      <c r="J7" s="498">
        <v>5</v>
      </c>
      <c r="K7" s="498"/>
      <c r="L7" s="498"/>
      <c r="M7" s="498"/>
      <c r="N7" s="498"/>
      <c r="O7" s="498"/>
      <c r="P7" s="498">
        <v>15</v>
      </c>
      <c r="Q7" s="498"/>
      <c r="R7" s="498"/>
      <c r="S7" s="498"/>
      <c r="T7" s="498"/>
    </row>
    <row r="8" spans="1:20" x14ac:dyDescent="0.3">
      <c r="A8" s="498">
        <v>80</v>
      </c>
      <c r="B8" s="498">
        <v>5</v>
      </c>
      <c r="C8" s="498"/>
      <c r="D8" s="498"/>
      <c r="E8" s="498"/>
      <c r="F8" s="498"/>
      <c r="G8" s="498"/>
      <c r="I8" s="498">
        <v>80</v>
      </c>
      <c r="J8" s="498">
        <v>5</v>
      </c>
      <c r="K8" s="498"/>
      <c r="L8" s="498"/>
      <c r="M8" s="498"/>
      <c r="N8" s="498"/>
      <c r="O8" s="498"/>
      <c r="P8" s="498">
        <v>15</v>
      </c>
      <c r="Q8" s="498"/>
      <c r="R8" s="498"/>
      <c r="S8" s="498"/>
      <c r="T8" s="498"/>
    </row>
    <row r="9" spans="1:20" x14ac:dyDescent="0.3">
      <c r="A9" s="498">
        <v>80</v>
      </c>
      <c r="B9" s="498">
        <v>5</v>
      </c>
      <c r="C9" s="498"/>
      <c r="D9" s="498"/>
      <c r="E9" s="498"/>
      <c r="F9" s="498"/>
      <c r="G9" s="498"/>
      <c r="I9" s="498">
        <v>80</v>
      </c>
      <c r="J9" s="498">
        <v>5</v>
      </c>
      <c r="K9" s="498"/>
      <c r="L9" s="498"/>
      <c r="M9" s="498"/>
      <c r="N9" s="498"/>
      <c r="O9" s="498"/>
      <c r="P9" s="498">
        <v>15</v>
      </c>
      <c r="Q9" s="498"/>
      <c r="R9" s="498"/>
      <c r="S9" s="498"/>
      <c r="T9" s="498"/>
    </row>
    <row r="10" spans="1:20" x14ac:dyDescent="0.3">
      <c r="A10" s="498">
        <v>80</v>
      </c>
      <c r="B10" s="498">
        <v>5</v>
      </c>
      <c r="C10" s="498"/>
      <c r="D10" s="498"/>
      <c r="E10" s="498"/>
      <c r="F10" s="498"/>
      <c r="G10" s="498"/>
      <c r="I10" s="498">
        <v>80</v>
      </c>
      <c r="J10" s="498">
        <v>5</v>
      </c>
      <c r="K10" s="498"/>
      <c r="L10" s="498"/>
      <c r="M10" s="498"/>
      <c r="N10" s="498"/>
      <c r="O10" s="498"/>
      <c r="P10" s="498">
        <v>15</v>
      </c>
      <c r="Q10" s="498"/>
      <c r="R10" s="498"/>
      <c r="S10" s="498"/>
      <c r="T10" s="498"/>
    </row>
    <row r="11" spans="1:20" x14ac:dyDescent="0.3">
      <c r="A11" s="498">
        <v>100</v>
      </c>
      <c r="B11" s="498">
        <v>5</v>
      </c>
      <c r="C11" s="498"/>
      <c r="D11" s="498"/>
      <c r="E11" s="498"/>
      <c r="F11" s="498"/>
      <c r="G11" s="498"/>
      <c r="I11" s="498">
        <v>100</v>
      </c>
      <c r="J11" s="498">
        <v>5</v>
      </c>
      <c r="K11" s="498"/>
      <c r="L11" s="498"/>
      <c r="M11" s="498"/>
      <c r="N11" s="498"/>
      <c r="O11" s="498"/>
      <c r="P11" s="498">
        <v>15</v>
      </c>
      <c r="Q11" s="498"/>
      <c r="R11" s="498"/>
      <c r="S11" s="498"/>
      <c r="T11" s="498"/>
    </row>
    <row r="12" spans="1:20" x14ac:dyDescent="0.3">
      <c r="A12" s="498">
        <v>120</v>
      </c>
      <c r="B12" s="498">
        <v>5</v>
      </c>
      <c r="C12" s="498"/>
      <c r="D12" s="498"/>
      <c r="E12" s="498"/>
      <c r="F12" s="498"/>
      <c r="G12" s="498"/>
      <c r="I12" s="498">
        <v>120</v>
      </c>
      <c r="J12" s="498">
        <v>5</v>
      </c>
      <c r="K12" s="498"/>
      <c r="L12" s="498"/>
      <c r="M12" s="498"/>
      <c r="N12" s="498"/>
      <c r="O12" s="498"/>
      <c r="P12" s="498">
        <v>15</v>
      </c>
      <c r="Q12" s="498"/>
      <c r="R12" s="498"/>
      <c r="S12" s="498"/>
      <c r="T12" s="498"/>
    </row>
    <row r="13" spans="1:20" x14ac:dyDescent="0.3">
      <c r="A13" s="498">
        <v>80</v>
      </c>
      <c r="B13" s="498">
        <v>1</v>
      </c>
      <c r="C13" s="498"/>
      <c r="D13" s="498"/>
      <c r="E13" s="498"/>
      <c r="F13" s="498"/>
      <c r="G13" s="498"/>
      <c r="I13" s="498">
        <v>80</v>
      </c>
      <c r="J13" s="498">
        <v>5</v>
      </c>
      <c r="K13" s="498"/>
      <c r="L13" s="498"/>
      <c r="M13" s="498"/>
      <c r="N13" s="498"/>
      <c r="O13" s="498"/>
      <c r="P13" s="498">
        <v>7.5</v>
      </c>
      <c r="Q13" s="498"/>
      <c r="R13" s="498"/>
      <c r="S13" s="498"/>
      <c r="T13" s="498"/>
    </row>
    <row r="14" spans="1:20" x14ac:dyDescent="0.3">
      <c r="A14" s="498">
        <v>80</v>
      </c>
      <c r="B14" s="498">
        <v>10</v>
      </c>
      <c r="C14" s="498"/>
      <c r="D14" s="498"/>
      <c r="E14" s="498"/>
      <c r="F14" s="498"/>
      <c r="G14" s="498"/>
      <c r="I14" s="498">
        <v>80</v>
      </c>
      <c r="J14" s="498">
        <v>5</v>
      </c>
      <c r="K14" s="498"/>
      <c r="L14" s="498"/>
      <c r="M14" s="498"/>
      <c r="N14" s="498"/>
      <c r="O14" s="498"/>
      <c r="P14" s="498">
        <v>10</v>
      </c>
      <c r="Q14" s="498"/>
      <c r="R14" s="498"/>
      <c r="S14" s="498"/>
      <c r="T14" s="498"/>
    </row>
    <row r="15" spans="1:20" x14ac:dyDescent="0.3">
      <c r="A15" s="498">
        <v>80</v>
      </c>
      <c r="B15" s="498">
        <v>15</v>
      </c>
      <c r="C15" s="498"/>
      <c r="D15" s="498"/>
      <c r="E15" s="498"/>
      <c r="F15" s="498"/>
      <c r="G15" s="498"/>
      <c r="I15" s="498">
        <v>80</v>
      </c>
      <c r="J15" s="498">
        <v>5</v>
      </c>
      <c r="K15" s="498"/>
      <c r="L15" s="498"/>
      <c r="M15" s="498"/>
      <c r="N15" s="498"/>
      <c r="O15" s="498"/>
      <c r="P15" s="498">
        <v>30</v>
      </c>
      <c r="Q15" s="498"/>
      <c r="R15" s="498"/>
      <c r="S15" s="498"/>
      <c r="T15" s="498"/>
    </row>
    <row r="16" spans="1:20" x14ac:dyDescent="0.3">
      <c r="I16" s="498">
        <v>80</v>
      </c>
      <c r="J16" s="498">
        <v>1</v>
      </c>
      <c r="K16" s="498"/>
      <c r="L16" s="498"/>
      <c r="M16" s="498"/>
      <c r="N16" s="498"/>
      <c r="O16" s="498"/>
      <c r="P16" s="498">
        <v>15</v>
      </c>
      <c r="Q16" s="498"/>
      <c r="R16" s="498"/>
      <c r="S16" s="498"/>
      <c r="T16" s="498"/>
    </row>
    <row r="17" spans="9:20" x14ac:dyDescent="0.3">
      <c r="I17" s="498">
        <v>80</v>
      </c>
      <c r="J17" s="498">
        <v>10</v>
      </c>
      <c r="K17" s="498"/>
      <c r="L17" s="498"/>
      <c r="M17" s="498"/>
      <c r="N17" s="498"/>
      <c r="O17" s="498"/>
      <c r="P17" s="498">
        <v>15</v>
      </c>
      <c r="Q17" s="498"/>
      <c r="R17" s="498"/>
      <c r="S17" s="498"/>
      <c r="T17" s="498"/>
    </row>
    <row r="18" spans="9:20" x14ac:dyDescent="0.3">
      <c r="I18" s="498">
        <v>80</v>
      </c>
      <c r="J18" s="498">
        <v>15</v>
      </c>
      <c r="K18" s="498"/>
      <c r="L18" s="498"/>
      <c r="M18" s="498"/>
      <c r="N18" s="498"/>
      <c r="O18" s="498"/>
      <c r="P18" s="498">
        <v>15</v>
      </c>
      <c r="Q18" s="498"/>
      <c r="R18" s="498"/>
      <c r="S18" s="498"/>
      <c r="T18" s="49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A2" sqref="A2"/>
    </sheetView>
  </sheetViews>
  <sheetFormatPr defaultColWidth="8.69921875" defaultRowHeight="15.6" x14ac:dyDescent="0.3"/>
  <cols>
    <col min="1" max="16384" width="8.69921875" style="495"/>
  </cols>
  <sheetData>
    <row r="1" spans="1:39" x14ac:dyDescent="0.3">
      <c r="A1" s="495" t="s">
        <v>448</v>
      </c>
      <c r="H1" s="498" t="s">
        <v>449</v>
      </c>
      <c r="S1" s="495" t="s">
        <v>450</v>
      </c>
      <c r="AD1" s="495" t="s">
        <v>451</v>
      </c>
    </row>
    <row r="2" spans="1:39" x14ac:dyDescent="0.3">
      <c r="A2" s="496" t="s">
        <v>426</v>
      </c>
      <c r="H2" s="496" t="s">
        <v>426</v>
      </c>
      <c r="S2" s="496" t="s">
        <v>426</v>
      </c>
      <c r="AD2" s="496" t="s">
        <v>426</v>
      </c>
    </row>
    <row r="3" spans="1:39" x14ac:dyDescent="0.3">
      <c r="H3"/>
      <c r="I3"/>
      <c r="J3"/>
      <c r="K3"/>
      <c r="L3"/>
      <c r="M3"/>
      <c r="N3"/>
      <c r="O3"/>
      <c r="P3"/>
      <c r="Q3"/>
    </row>
    <row r="4" spans="1:39" x14ac:dyDescent="0.3">
      <c r="A4" s="497" t="s">
        <v>406</v>
      </c>
      <c r="B4" s="497" t="s">
        <v>452</v>
      </c>
      <c r="C4" s="497" t="s">
        <v>453</v>
      </c>
      <c r="D4" s="497" t="s">
        <v>208</v>
      </c>
      <c r="E4" s="497" t="s">
        <v>149</v>
      </c>
      <c r="F4" s="497" t="s">
        <v>430</v>
      </c>
      <c r="H4" s="497" t="s">
        <v>454</v>
      </c>
      <c r="I4" s="497" t="s">
        <v>455</v>
      </c>
      <c r="J4" s="497" t="s">
        <v>453</v>
      </c>
      <c r="K4" s="497" t="s">
        <v>456</v>
      </c>
      <c r="L4" s="497" t="s">
        <v>208</v>
      </c>
      <c r="M4" s="497" t="s">
        <v>149</v>
      </c>
      <c r="N4" s="497" t="s">
        <v>430</v>
      </c>
      <c r="O4" s="497" t="s">
        <v>435</v>
      </c>
      <c r="P4" s="497" t="s">
        <v>434</v>
      </c>
      <c r="Q4" s="497" t="s">
        <v>437</v>
      </c>
      <c r="S4" s="497" t="s">
        <v>454</v>
      </c>
      <c r="T4" s="497" t="s">
        <v>455</v>
      </c>
      <c r="U4" s="497" t="s">
        <v>453</v>
      </c>
      <c r="V4" s="497" t="s">
        <v>456</v>
      </c>
      <c r="W4" s="497" t="s">
        <v>208</v>
      </c>
      <c r="X4" s="497" t="s">
        <v>149</v>
      </c>
      <c r="Y4" s="497" t="s">
        <v>430</v>
      </c>
      <c r="Z4" s="497" t="s">
        <v>435</v>
      </c>
      <c r="AA4" s="497" t="s">
        <v>434</v>
      </c>
      <c r="AB4" s="497" t="s">
        <v>437</v>
      </c>
      <c r="AD4" s="497" t="s">
        <v>454</v>
      </c>
      <c r="AE4" s="497" t="s">
        <v>455</v>
      </c>
      <c r="AF4" s="497" t="s">
        <v>453</v>
      </c>
      <c r="AG4" s="497" t="s">
        <v>456</v>
      </c>
      <c r="AH4" s="497" t="s">
        <v>208</v>
      </c>
      <c r="AI4" s="497" t="s">
        <v>149</v>
      </c>
      <c r="AJ4" s="497" t="s">
        <v>430</v>
      </c>
      <c r="AK4" s="497" t="s">
        <v>435</v>
      </c>
      <c r="AL4" s="497" t="s">
        <v>434</v>
      </c>
      <c r="AM4" s="497" t="s">
        <v>437</v>
      </c>
    </row>
    <row r="5" spans="1:39" x14ac:dyDescent="0.3">
      <c r="A5" s="498" t="s">
        <v>457</v>
      </c>
      <c r="B5" s="498" t="s">
        <v>152</v>
      </c>
      <c r="C5" s="498">
        <v>10</v>
      </c>
      <c r="D5" s="498"/>
      <c r="E5" s="498"/>
      <c r="F5" s="498"/>
      <c r="H5" s="498" t="s">
        <v>457</v>
      </c>
      <c r="I5" s="498" t="s">
        <v>152</v>
      </c>
      <c r="J5" s="498">
        <v>10</v>
      </c>
      <c r="K5" s="498">
        <v>7.5</v>
      </c>
      <c r="L5" s="498"/>
      <c r="M5" s="498"/>
      <c r="N5" s="498"/>
      <c r="O5" s="498"/>
      <c r="P5" s="498"/>
      <c r="Q5" s="498"/>
      <c r="S5" s="498" t="s">
        <v>457</v>
      </c>
      <c r="T5" s="498" t="s">
        <v>152</v>
      </c>
      <c r="U5" s="498">
        <v>10</v>
      </c>
      <c r="V5" s="498">
        <v>15</v>
      </c>
      <c r="W5" s="498"/>
      <c r="X5" s="498"/>
      <c r="Y5" s="498"/>
      <c r="Z5" s="498"/>
      <c r="AA5" s="498"/>
      <c r="AB5" s="498"/>
      <c r="AD5" s="498" t="s">
        <v>457</v>
      </c>
      <c r="AE5" s="498" t="s">
        <v>152</v>
      </c>
      <c r="AF5" s="498">
        <v>10</v>
      </c>
      <c r="AG5" s="498">
        <v>15</v>
      </c>
      <c r="AH5" s="498"/>
      <c r="AI5" s="498"/>
      <c r="AJ5" s="498"/>
      <c r="AK5" s="498"/>
      <c r="AL5" s="498"/>
      <c r="AM5" s="498"/>
    </row>
    <row r="6" spans="1:39" x14ac:dyDescent="0.3">
      <c r="A6" s="498" t="s">
        <v>457</v>
      </c>
      <c r="B6" s="498" t="s">
        <v>155</v>
      </c>
      <c r="C6" s="498">
        <v>10</v>
      </c>
      <c r="D6" s="498"/>
      <c r="E6" s="498"/>
      <c r="F6" s="498"/>
      <c r="H6" s="498" t="s">
        <v>457</v>
      </c>
      <c r="I6" s="498" t="s">
        <v>155</v>
      </c>
      <c r="J6" s="498">
        <v>10</v>
      </c>
      <c r="K6" s="498">
        <v>7.5</v>
      </c>
      <c r="L6" s="498"/>
      <c r="M6" s="498"/>
      <c r="N6" s="498"/>
      <c r="O6" s="498"/>
      <c r="P6" s="498"/>
      <c r="Q6" s="498"/>
      <c r="S6" s="498" t="s">
        <v>457</v>
      </c>
      <c r="T6" s="498" t="s">
        <v>155</v>
      </c>
      <c r="U6" s="498">
        <v>10</v>
      </c>
      <c r="V6" s="498">
        <v>15</v>
      </c>
      <c r="W6" s="498"/>
      <c r="X6" s="498"/>
      <c r="Y6" s="498"/>
      <c r="Z6" s="498"/>
      <c r="AA6" s="498"/>
      <c r="AB6" s="498"/>
      <c r="AD6" s="498" t="s">
        <v>457</v>
      </c>
      <c r="AE6" s="498" t="s">
        <v>155</v>
      </c>
      <c r="AF6" s="498">
        <v>10</v>
      </c>
      <c r="AG6" s="498">
        <v>15</v>
      </c>
      <c r="AH6" s="498"/>
      <c r="AI6" s="498"/>
      <c r="AJ6" s="498"/>
      <c r="AK6" s="498"/>
      <c r="AL6" s="498"/>
      <c r="AM6" s="498"/>
    </row>
    <row r="7" spans="1:39" x14ac:dyDescent="0.3">
      <c r="A7" s="498" t="s">
        <v>457</v>
      </c>
      <c r="B7" s="498" t="s">
        <v>156</v>
      </c>
      <c r="C7" s="498">
        <v>10</v>
      </c>
      <c r="D7" s="498"/>
      <c r="E7" s="498"/>
      <c r="F7" s="498"/>
      <c r="H7" s="498" t="s">
        <v>457</v>
      </c>
      <c r="I7" s="498" t="s">
        <v>156</v>
      </c>
      <c r="J7" s="498">
        <v>10</v>
      </c>
      <c r="K7" s="498">
        <v>7.5</v>
      </c>
      <c r="L7" s="498"/>
      <c r="M7" s="498"/>
      <c r="N7" s="498"/>
      <c r="O7" s="498"/>
      <c r="P7" s="498"/>
      <c r="Q7" s="498"/>
      <c r="S7" s="498" t="s">
        <v>457</v>
      </c>
      <c r="T7" s="498" t="s">
        <v>156</v>
      </c>
      <c r="U7" s="498">
        <v>10</v>
      </c>
      <c r="V7" s="498">
        <v>15</v>
      </c>
      <c r="W7" s="498"/>
      <c r="X7" s="498"/>
      <c r="Y7" s="498"/>
      <c r="Z7" s="498"/>
      <c r="AA7" s="498"/>
      <c r="AB7" s="498"/>
      <c r="AD7" s="498" t="s">
        <v>457</v>
      </c>
      <c r="AE7" s="498" t="s">
        <v>156</v>
      </c>
      <c r="AF7" s="498">
        <v>10</v>
      </c>
      <c r="AG7" s="498">
        <v>15</v>
      </c>
      <c r="AH7" s="498"/>
      <c r="AI7" s="498"/>
      <c r="AJ7" s="498"/>
      <c r="AK7" s="498"/>
      <c r="AL7" s="498"/>
      <c r="AM7" s="498"/>
    </row>
    <row r="8" spans="1:39" x14ac:dyDescent="0.3">
      <c r="A8" s="498" t="s">
        <v>457</v>
      </c>
      <c r="B8" s="498" t="s">
        <v>157</v>
      </c>
      <c r="C8" s="498">
        <v>10</v>
      </c>
      <c r="D8" s="498"/>
      <c r="E8" s="498"/>
      <c r="F8" s="498"/>
      <c r="H8" s="498" t="s">
        <v>457</v>
      </c>
      <c r="I8" s="498" t="s">
        <v>157</v>
      </c>
      <c r="J8" s="498">
        <v>10</v>
      </c>
      <c r="K8" s="498">
        <v>7.5</v>
      </c>
      <c r="L8" s="498"/>
      <c r="M8" s="498"/>
      <c r="N8" s="498"/>
      <c r="O8" s="498"/>
      <c r="P8" s="498"/>
      <c r="Q8" s="498"/>
      <c r="S8" s="498" t="s">
        <v>457</v>
      </c>
      <c r="T8" s="498" t="s">
        <v>157</v>
      </c>
      <c r="U8" s="498">
        <v>10</v>
      </c>
      <c r="V8" s="498">
        <v>15</v>
      </c>
      <c r="W8" s="498"/>
      <c r="X8" s="498"/>
      <c r="Y8" s="498"/>
      <c r="Z8" s="498"/>
      <c r="AA8" s="498"/>
      <c r="AB8" s="498"/>
      <c r="AD8" s="498" t="s">
        <v>457</v>
      </c>
      <c r="AE8" s="498" t="s">
        <v>157</v>
      </c>
      <c r="AF8" s="498">
        <v>10</v>
      </c>
      <c r="AG8" s="498">
        <v>15</v>
      </c>
      <c r="AH8" s="498"/>
      <c r="AI8" s="498"/>
      <c r="AJ8" s="498"/>
      <c r="AK8" s="498"/>
      <c r="AL8" s="498"/>
      <c r="AM8" s="498"/>
    </row>
    <row r="9" spans="1:39" x14ac:dyDescent="0.3">
      <c r="A9" s="498" t="s">
        <v>457</v>
      </c>
      <c r="B9" s="498" t="s">
        <v>158</v>
      </c>
      <c r="C9" s="498">
        <v>10</v>
      </c>
      <c r="D9" s="498"/>
      <c r="E9" s="498"/>
      <c r="F9" s="498"/>
      <c r="H9" s="498" t="s">
        <v>457</v>
      </c>
      <c r="I9" s="498" t="s">
        <v>158</v>
      </c>
      <c r="J9" s="498">
        <v>10</v>
      </c>
      <c r="K9" s="498">
        <v>7.5</v>
      </c>
      <c r="L9" s="498"/>
      <c r="M9" s="498"/>
      <c r="N9" s="498"/>
      <c r="O9" s="498"/>
      <c r="P9" s="498"/>
      <c r="Q9" s="498"/>
      <c r="S9" s="498" t="s">
        <v>457</v>
      </c>
      <c r="T9" s="498" t="s">
        <v>158</v>
      </c>
      <c r="U9" s="498">
        <v>10</v>
      </c>
      <c r="V9" s="498">
        <v>15</v>
      </c>
      <c r="W9" s="498"/>
      <c r="X9" s="498"/>
      <c r="Y9" s="498"/>
      <c r="Z9" s="498"/>
      <c r="AA9" s="498"/>
      <c r="AB9" s="498"/>
      <c r="AD9" s="498" t="s">
        <v>457</v>
      </c>
      <c r="AE9" s="498" t="s">
        <v>158</v>
      </c>
      <c r="AF9" s="498">
        <v>10</v>
      </c>
      <c r="AG9" s="498">
        <v>15</v>
      </c>
      <c r="AH9" s="498"/>
      <c r="AI9" s="498"/>
      <c r="AJ9" s="498"/>
      <c r="AK9" s="498"/>
      <c r="AL9" s="498"/>
      <c r="AM9" s="498"/>
    </row>
    <row r="10" spans="1:39" x14ac:dyDescent="0.3">
      <c r="A10" s="498" t="s">
        <v>458</v>
      </c>
      <c r="B10" s="498" t="s">
        <v>152</v>
      </c>
      <c r="C10" s="498">
        <v>10</v>
      </c>
      <c r="D10" s="498"/>
      <c r="E10" s="498"/>
      <c r="F10" s="498"/>
      <c r="H10" s="498" t="s">
        <v>458</v>
      </c>
      <c r="I10" s="498" t="s">
        <v>152</v>
      </c>
      <c r="J10" s="498">
        <v>10</v>
      </c>
      <c r="K10" s="498">
        <v>15</v>
      </c>
      <c r="L10" s="498"/>
      <c r="M10" s="498"/>
      <c r="N10" s="498"/>
      <c r="O10" s="498"/>
      <c r="P10" s="498"/>
      <c r="Q10" s="498"/>
      <c r="S10" s="498" t="s">
        <v>458</v>
      </c>
      <c r="T10" s="498" t="s">
        <v>152</v>
      </c>
      <c r="U10" s="498">
        <v>10</v>
      </c>
      <c r="V10" s="498">
        <v>15</v>
      </c>
      <c r="W10" s="498"/>
      <c r="X10" s="498"/>
      <c r="Y10" s="498"/>
      <c r="Z10" s="498"/>
      <c r="AA10" s="498"/>
      <c r="AB10" s="498"/>
      <c r="AD10" s="498" t="s">
        <v>458</v>
      </c>
      <c r="AE10" s="498" t="s">
        <v>152</v>
      </c>
      <c r="AF10" s="498">
        <v>10</v>
      </c>
      <c r="AG10" s="498">
        <v>15</v>
      </c>
      <c r="AH10" s="498"/>
      <c r="AI10" s="498"/>
      <c r="AJ10" s="498"/>
      <c r="AK10" s="498"/>
      <c r="AL10" s="498"/>
      <c r="AM10" s="498"/>
    </row>
    <row r="11" spans="1:39" x14ac:dyDescent="0.3">
      <c r="A11" s="498" t="s">
        <v>458</v>
      </c>
      <c r="B11" s="498" t="s">
        <v>155</v>
      </c>
      <c r="C11" s="498">
        <v>10</v>
      </c>
      <c r="D11" s="498"/>
      <c r="E11" s="498"/>
      <c r="F11" s="498"/>
      <c r="H11" s="498" t="s">
        <v>458</v>
      </c>
      <c r="I11" s="498" t="s">
        <v>155</v>
      </c>
      <c r="J11" s="498">
        <v>10</v>
      </c>
      <c r="K11" s="498">
        <v>15</v>
      </c>
      <c r="L11" s="498"/>
      <c r="M11" s="498"/>
      <c r="N11" s="498"/>
      <c r="O11" s="498"/>
      <c r="P11" s="498"/>
      <c r="Q11" s="498"/>
      <c r="S11" s="498" t="s">
        <v>458</v>
      </c>
      <c r="T11" s="498" t="s">
        <v>155</v>
      </c>
      <c r="U11" s="498">
        <v>10</v>
      </c>
      <c r="V11" s="498">
        <v>15</v>
      </c>
      <c r="W11" s="498"/>
      <c r="X11" s="498"/>
      <c r="Y11" s="498"/>
      <c r="Z11" s="498"/>
      <c r="AA11" s="498"/>
      <c r="AB11" s="498"/>
      <c r="AD11" s="498" t="s">
        <v>458</v>
      </c>
      <c r="AE11" s="498" t="s">
        <v>155</v>
      </c>
      <c r="AF11" s="498">
        <v>10</v>
      </c>
      <c r="AG11" s="498">
        <v>15</v>
      </c>
      <c r="AH11" s="498"/>
      <c r="AI11" s="498"/>
      <c r="AJ11" s="498"/>
      <c r="AK11" s="498"/>
      <c r="AL11" s="498"/>
      <c r="AM11" s="498"/>
    </row>
    <row r="12" spans="1:39" x14ac:dyDescent="0.3">
      <c r="A12" s="498" t="s">
        <v>458</v>
      </c>
      <c r="B12" s="498" t="s">
        <v>156</v>
      </c>
      <c r="C12" s="498">
        <v>10</v>
      </c>
      <c r="D12" s="498"/>
      <c r="E12" s="498"/>
      <c r="F12" s="498"/>
      <c r="H12" s="498" t="s">
        <v>458</v>
      </c>
      <c r="I12" s="498" t="s">
        <v>156</v>
      </c>
      <c r="J12" s="498">
        <v>10</v>
      </c>
      <c r="K12" s="498">
        <v>15</v>
      </c>
      <c r="L12" s="498"/>
      <c r="M12" s="498"/>
      <c r="N12" s="498"/>
      <c r="O12" s="498"/>
      <c r="P12" s="498"/>
      <c r="Q12" s="498"/>
      <c r="S12" s="498" t="s">
        <v>458</v>
      </c>
      <c r="T12" s="498" t="s">
        <v>156</v>
      </c>
      <c r="U12" s="498">
        <v>10</v>
      </c>
      <c r="V12" s="498">
        <v>15</v>
      </c>
      <c r="W12" s="498"/>
      <c r="X12" s="498"/>
      <c r="Y12" s="498"/>
      <c r="Z12" s="498"/>
      <c r="AA12" s="498"/>
      <c r="AB12" s="498"/>
      <c r="AD12" s="498" t="s">
        <v>458</v>
      </c>
      <c r="AE12" s="498" t="s">
        <v>156</v>
      </c>
      <c r="AF12" s="498">
        <v>10</v>
      </c>
      <c r="AG12" s="498">
        <v>15</v>
      </c>
      <c r="AH12" s="498"/>
      <c r="AI12" s="498"/>
      <c r="AJ12" s="498"/>
      <c r="AK12" s="498"/>
      <c r="AL12" s="498"/>
      <c r="AM12" s="498"/>
    </row>
    <row r="13" spans="1:39" x14ac:dyDescent="0.3">
      <c r="A13" s="498" t="s">
        <v>458</v>
      </c>
      <c r="B13" s="498" t="s">
        <v>157</v>
      </c>
      <c r="C13" s="498">
        <v>10</v>
      </c>
      <c r="D13" s="498"/>
      <c r="E13" s="498"/>
      <c r="F13" s="498"/>
      <c r="H13" s="498" t="s">
        <v>458</v>
      </c>
      <c r="I13" s="498" t="s">
        <v>157</v>
      </c>
      <c r="J13" s="498">
        <v>10</v>
      </c>
      <c r="K13" s="498">
        <v>15</v>
      </c>
      <c r="L13" s="498"/>
      <c r="M13" s="498"/>
      <c r="N13" s="498"/>
      <c r="O13" s="498"/>
      <c r="P13" s="498"/>
      <c r="Q13" s="498"/>
      <c r="S13" s="498" t="s">
        <v>458</v>
      </c>
      <c r="T13" s="498" t="s">
        <v>157</v>
      </c>
      <c r="U13" s="498">
        <v>10</v>
      </c>
      <c r="V13" s="498">
        <v>15</v>
      </c>
      <c r="W13" s="498"/>
      <c r="X13" s="498"/>
      <c r="Y13" s="498"/>
      <c r="Z13" s="498"/>
      <c r="AA13" s="498"/>
      <c r="AB13" s="498"/>
      <c r="AD13" s="498" t="s">
        <v>458</v>
      </c>
      <c r="AE13" s="498" t="s">
        <v>157</v>
      </c>
      <c r="AF13" s="498">
        <v>10</v>
      </c>
      <c r="AG13" s="498">
        <v>15</v>
      </c>
      <c r="AH13" s="498"/>
      <c r="AI13" s="498"/>
      <c r="AJ13" s="498"/>
      <c r="AK13" s="498"/>
      <c r="AL13" s="498"/>
      <c r="AM13" s="498"/>
    </row>
    <row r="14" spans="1:39" x14ac:dyDescent="0.3">
      <c r="A14" s="498" t="s">
        <v>458</v>
      </c>
      <c r="B14" s="498" t="s">
        <v>158</v>
      </c>
      <c r="C14" s="498">
        <v>10</v>
      </c>
      <c r="D14" s="498"/>
      <c r="E14" s="498"/>
      <c r="F14" s="498"/>
      <c r="H14" s="498" t="s">
        <v>458</v>
      </c>
      <c r="I14" s="498" t="s">
        <v>158</v>
      </c>
      <c r="J14" s="498">
        <v>10</v>
      </c>
      <c r="K14" s="498">
        <v>15</v>
      </c>
      <c r="L14" s="498"/>
      <c r="M14" s="498"/>
      <c r="N14" s="498"/>
      <c r="O14" s="498"/>
      <c r="P14" s="498"/>
      <c r="Q14" s="498"/>
      <c r="S14" s="498" t="s">
        <v>458</v>
      </c>
      <c r="T14" s="498" t="s">
        <v>158</v>
      </c>
      <c r="U14" s="498">
        <v>10</v>
      </c>
      <c r="V14" s="498">
        <v>15</v>
      </c>
      <c r="W14" s="498"/>
      <c r="X14" s="498"/>
      <c r="Y14" s="498"/>
      <c r="Z14" s="498"/>
      <c r="AA14" s="498"/>
      <c r="AB14" s="498"/>
      <c r="AD14" s="498" t="s">
        <v>458</v>
      </c>
      <c r="AE14" s="498" t="s">
        <v>158</v>
      </c>
      <c r="AF14" s="498">
        <v>10</v>
      </c>
      <c r="AG14" s="498">
        <v>15</v>
      </c>
      <c r="AH14" s="498"/>
      <c r="AI14" s="498"/>
      <c r="AJ14" s="498"/>
      <c r="AK14" s="498"/>
      <c r="AL14" s="498"/>
      <c r="AM14" s="498"/>
    </row>
    <row r="15" spans="1:39" x14ac:dyDescent="0.3">
      <c r="A15" s="498" t="s">
        <v>459</v>
      </c>
      <c r="B15" s="498" t="s">
        <v>152</v>
      </c>
      <c r="C15" s="498">
        <v>10</v>
      </c>
      <c r="D15" s="498"/>
      <c r="E15" s="498"/>
      <c r="F15" s="498"/>
      <c r="H15" s="498" t="s">
        <v>459</v>
      </c>
      <c r="I15" s="498" t="s">
        <v>152</v>
      </c>
      <c r="J15" s="498">
        <v>10</v>
      </c>
      <c r="K15" s="498">
        <v>10</v>
      </c>
      <c r="L15" s="498"/>
      <c r="M15" s="498"/>
      <c r="N15" s="498"/>
      <c r="O15" s="498"/>
      <c r="P15" s="498"/>
      <c r="Q15" s="498"/>
      <c r="S15" s="498" t="s">
        <v>459</v>
      </c>
      <c r="T15" s="498" t="s">
        <v>152</v>
      </c>
      <c r="U15" s="498">
        <v>10</v>
      </c>
      <c r="V15" s="498">
        <v>15</v>
      </c>
      <c r="W15" s="498"/>
      <c r="X15" s="498"/>
      <c r="Y15" s="498"/>
      <c r="Z15" s="498"/>
      <c r="AA15" s="498"/>
      <c r="AB15" s="498"/>
      <c r="AD15" s="498" t="s">
        <v>459</v>
      </c>
      <c r="AE15" s="498" t="s">
        <v>152</v>
      </c>
      <c r="AF15" s="498">
        <v>10</v>
      </c>
      <c r="AG15" s="498">
        <v>15</v>
      </c>
      <c r="AH15" s="498"/>
      <c r="AI15" s="498"/>
      <c r="AJ15" s="498"/>
      <c r="AK15" s="498"/>
      <c r="AL15" s="498"/>
      <c r="AM15" s="498"/>
    </row>
    <row r="16" spans="1:39" x14ac:dyDescent="0.3">
      <c r="A16" s="498" t="s">
        <v>459</v>
      </c>
      <c r="B16" s="498" t="s">
        <v>155</v>
      </c>
      <c r="C16" s="498">
        <v>10</v>
      </c>
      <c r="D16" s="498"/>
      <c r="E16" s="498"/>
      <c r="F16" s="498"/>
      <c r="H16" s="498" t="s">
        <v>459</v>
      </c>
      <c r="I16" s="498" t="s">
        <v>155</v>
      </c>
      <c r="J16" s="498">
        <v>10</v>
      </c>
      <c r="K16" s="498">
        <v>10</v>
      </c>
      <c r="L16" s="498"/>
      <c r="M16" s="498"/>
      <c r="N16" s="498"/>
      <c r="O16" s="498"/>
      <c r="P16" s="498"/>
      <c r="Q16" s="498"/>
      <c r="S16" s="498" t="s">
        <v>459</v>
      </c>
      <c r="T16" s="498" t="s">
        <v>155</v>
      </c>
      <c r="U16" s="498">
        <v>10</v>
      </c>
      <c r="V16" s="498">
        <v>15</v>
      </c>
      <c r="W16" s="498"/>
      <c r="X16" s="498"/>
      <c r="Y16" s="498"/>
      <c r="Z16" s="498"/>
      <c r="AA16" s="498"/>
      <c r="AB16" s="498"/>
      <c r="AD16" s="498" t="s">
        <v>459</v>
      </c>
      <c r="AE16" s="498" t="s">
        <v>155</v>
      </c>
      <c r="AF16" s="498">
        <v>10</v>
      </c>
      <c r="AG16" s="498">
        <v>15</v>
      </c>
      <c r="AH16" s="498"/>
      <c r="AI16" s="498"/>
      <c r="AJ16" s="498"/>
      <c r="AK16" s="498"/>
      <c r="AL16" s="498"/>
      <c r="AM16" s="498"/>
    </row>
    <row r="17" spans="1:39" x14ac:dyDescent="0.3">
      <c r="A17" s="498" t="s">
        <v>459</v>
      </c>
      <c r="B17" s="498" t="s">
        <v>156</v>
      </c>
      <c r="C17" s="498">
        <v>10</v>
      </c>
      <c r="D17" s="498"/>
      <c r="E17" s="498"/>
      <c r="F17" s="498"/>
      <c r="H17" s="498" t="s">
        <v>459</v>
      </c>
      <c r="I17" s="498" t="s">
        <v>156</v>
      </c>
      <c r="J17" s="498">
        <v>10</v>
      </c>
      <c r="K17" s="498">
        <v>10</v>
      </c>
      <c r="L17" s="498"/>
      <c r="M17" s="498"/>
      <c r="N17" s="498"/>
      <c r="O17" s="498"/>
      <c r="P17" s="498"/>
      <c r="Q17" s="498"/>
      <c r="S17" s="498" t="s">
        <v>459</v>
      </c>
      <c r="T17" s="498" t="s">
        <v>156</v>
      </c>
      <c r="U17" s="498">
        <v>10</v>
      </c>
      <c r="V17" s="498">
        <v>15</v>
      </c>
      <c r="W17" s="498"/>
      <c r="X17" s="498"/>
      <c r="Y17" s="498"/>
      <c r="Z17" s="498"/>
      <c r="AA17" s="498"/>
      <c r="AB17" s="498"/>
      <c r="AD17" s="498" t="s">
        <v>459</v>
      </c>
      <c r="AE17" s="498" t="s">
        <v>156</v>
      </c>
      <c r="AF17" s="498">
        <v>10</v>
      </c>
      <c r="AG17" s="498">
        <v>15</v>
      </c>
      <c r="AH17" s="498"/>
      <c r="AI17" s="498"/>
      <c r="AJ17" s="498"/>
      <c r="AK17" s="498"/>
      <c r="AL17" s="498"/>
      <c r="AM17" s="498"/>
    </row>
    <row r="18" spans="1:39" x14ac:dyDescent="0.3">
      <c r="A18" s="498" t="s">
        <v>459</v>
      </c>
      <c r="B18" s="498" t="s">
        <v>157</v>
      </c>
      <c r="C18" s="498">
        <v>10</v>
      </c>
      <c r="D18" s="498"/>
      <c r="E18" s="498"/>
      <c r="F18" s="498"/>
      <c r="H18" s="498" t="s">
        <v>459</v>
      </c>
      <c r="I18" s="498" t="s">
        <v>157</v>
      </c>
      <c r="J18" s="498">
        <v>10</v>
      </c>
      <c r="K18" s="498">
        <v>10</v>
      </c>
      <c r="L18" s="498"/>
      <c r="M18" s="498"/>
      <c r="N18" s="498"/>
      <c r="O18" s="498"/>
      <c r="P18" s="498"/>
      <c r="Q18" s="498"/>
      <c r="S18" s="498" t="s">
        <v>459</v>
      </c>
      <c r="T18" s="498" t="s">
        <v>157</v>
      </c>
      <c r="U18" s="498">
        <v>10</v>
      </c>
      <c r="V18" s="498">
        <v>15</v>
      </c>
      <c r="W18" s="498"/>
      <c r="X18" s="498"/>
      <c r="Y18" s="498"/>
      <c r="Z18" s="498"/>
      <c r="AA18" s="498"/>
      <c r="AB18" s="498"/>
      <c r="AD18" s="498" t="s">
        <v>459</v>
      </c>
      <c r="AE18" s="498" t="s">
        <v>157</v>
      </c>
      <c r="AF18" s="498">
        <v>10</v>
      </c>
      <c r="AG18" s="498">
        <v>15</v>
      </c>
      <c r="AH18" s="498"/>
      <c r="AI18" s="498"/>
      <c r="AJ18" s="498"/>
      <c r="AK18" s="498"/>
      <c r="AL18" s="498"/>
      <c r="AM18" s="498"/>
    </row>
    <row r="19" spans="1:39" x14ac:dyDescent="0.3">
      <c r="A19" s="498" t="s">
        <v>459</v>
      </c>
      <c r="B19" s="498" t="s">
        <v>158</v>
      </c>
      <c r="C19" s="498">
        <v>10</v>
      </c>
      <c r="D19" s="498"/>
      <c r="E19" s="498"/>
      <c r="F19" s="498"/>
      <c r="H19" s="498" t="s">
        <v>459</v>
      </c>
      <c r="I19" s="498" t="s">
        <v>158</v>
      </c>
      <c r="J19" s="498">
        <v>10</v>
      </c>
      <c r="K19" s="498">
        <v>10</v>
      </c>
      <c r="L19" s="498"/>
      <c r="M19" s="498"/>
      <c r="N19" s="498"/>
      <c r="O19" s="498"/>
      <c r="P19" s="498"/>
      <c r="Q19" s="498"/>
      <c r="S19" s="498" t="s">
        <v>459</v>
      </c>
      <c r="T19" s="498" t="s">
        <v>158</v>
      </c>
      <c r="U19" s="498">
        <v>10</v>
      </c>
      <c r="V19" s="498">
        <v>15</v>
      </c>
      <c r="W19" s="498"/>
      <c r="X19" s="498"/>
      <c r="Y19" s="498"/>
      <c r="Z19" s="498"/>
      <c r="AA19" s="498"/>
      <c r="AB19" s="498"/>
      <c r="AD19" s="498" t="s">
        <v>459</v>
      </c>
      <c r="AE19" s="498" t="s">
        <v>158</v>
      </c>
      <c r="AF19" s="498">
        <v>10</v>
      </c>
      <c r="AG19" s="498">
        <v>15</v>
      </c>
      <c r="AH19" s="498"/>
      <c r="AI19" s="498"/>
      <c r="AJ19" s="498"/>
      <c r="AK19" s="498"/>
      <c r="AL19" s="498"/>
      <c r="AM19" s="498"/>
    </row>
    <row r="20" spans="1:39" x14ac:dyDescent="0.3">
      <c r="A20" s="498" t="s">
        <v>457</v>
      </c>
      <c r="B20" s="498" t="s">
        <v>152</v>
      </c>
      <c r="C20" s="498">
        <v>20</v>
      </c>
      <c r="D20" s="498"/>
      <c r="E20" s="498"/>
      <c r="F20" s="498"/>
      <c r="H20" s="498" t="s">
        <v>457</v>
      </c>
      <c r="I20" s="498" t="s">
        <v>152</v>
      </c>
      <c r="J20" s="498">
        <v>20</v>
      </c>
      <c r="K20" s="498">
        <v>7.5</v>
      </c>
      <c r="L20" s="498"/>
      <c r="M20" s="498"/>
      <c r="N20" s="498"/>
      <c r="O20" s="498"/>
      <c r="P20" s="498"/>
      <c r="Q20" s="498"/>
      <c r="S20" s="498" t="s">
        <v>457</v>
      </c>
      <c r="T20" s="498" t="s">
        <v>152</v>
      </c>
      <c r="U20" s="498">
        <v>20</v>
      </c>
      <c r="V20" s="498">
        <v>15</v>
      </c>
      <c r="W20" s="498"/>
      <c r="X20" s="498"/>
      <c r="Y20" s="498"/>
      <c r="Z20" s="498"/>
      <c r="AA20" s="498"/>
      <c r="AB20" s="498"/>
      <c r="AD20" s="498" t="s">
        <v>457</v>
      </c>
      <c r="AE20" s="498" t="s">
        <v>152</v>
      </c>
      <c r="AF20" s="498">
        <v>20</v>
      </c>
      <c r="AG20" s="498">
        <v>15</v>
      </c>
      <c r="AH20" s="498"/>
      <c r="AI20" s="498"/>
      <c r="AJ20" s="498"/>
      <c r="AK20" s="498"/>
      <c r="AL20" s="498"/>
      <c r="AM20" s="498"/>
    </row>
    <row r="21" spans="1:39" x14ac:dyDescent="0.3">
      <c r="A21" s="498" t="s">
        <v>457</v>
      </c>
      <c r="B21" s="498" t="s">
        <v>155</v>
      </c>
      <c r="C21" s="498">
        <v>20</v>
      </c>
      <c r="D21" s="498"/>
      <c r="E21" s="498"/>
      <c r="F21" s="498"/>
      <c r="H21" s="498" t="s">
        <v>457</v>
      </c>
      <c r="I21" s="498" t="s">
        <v>155</v>
      </c>
      <c r="J21" s="498">
        <v>20</v>
      </c>
      <c r="K21" s="498">
        <v>7.5</v>
      </c>
      <c r="L21" s="498"/>
      <c r="M21" s="498"/>
      <c r="N21" s="498"/>
      <c r="O21" s="498"/>
      <c r="P21" s="498"/>
      <c r="Q21" s="498"/>
      <c r="S21" s="498" t="s">
        <v>457</v>
      </c>
      <c r="T21" s="498" t="s">
        <v>155</v>
      </c>
      <c r="U21" s="498">
        <v>20</v>
      </c>
      <c r="V21" s="498">
        <v>15</v>
      </c>
      <c r="W21" s="498"/>
      <c r="X21" s="498"/>
      <c r="Y21" s="498"/>
      <c r="Z21" s="498"/>
      <c r="AA21" s="498"/>
      <c r="AB21" s="498"/>
      <c r="AD21" s="498" t="s">
        <v>457</v>
      </c>
      <c r="AE21" s="498" t="s">
        <v>155</v>
      </c>
      <c r="AF21" s="498">
        <v>20</v>
      </c>
      <c r="AG21" s="498">
        <v>15</v>
      </c>
      <c r="AH21" s="498"/>
      <c r="AI21" s="498"/>
      <c r="AJ21" s="498"/>
      <c r="AK21" s="498"/>
      <c r="AL21" s="498"/>
      <c r="AM21" s="498"/>
    </row>
    <row r="22" spans="1:39" x14ac:dyDescent="0.3">
      <c r="A22" s="498" t="s">
        <v>457</v>
      </c>
      <c r="B22" s="498" t="s">
        <v>156</v>
      </c>
      <c r="C22" s="498">
        <v>20</v>
      </c>
      <c r="D22" s="498"/>
      <c r="E22" s="498"/>
      <c r="F22" s="498"/>
      <c r="H22" s="498" t="s">
        <v>457</v>
      </c>
      <c r="I22" s="498" t="s">
        <v>156</v>
      </c>
      <c r="J22" s="498">
        <v>20</v>
      </c>
      <c r="K22" s="498">
        <v>7.5</v>
      </c>
      <c r="L22" s="498"/>
      <c r="M22" s="498"/>
      <c r="N22" s="498"/>
      <c r="O22" s="498"/>
      <c r="P22" s="498"/>
      <c r="Q22" s="498"/>
      <c r="S22" s="498" t="s">
        <v>457</v>
      </c>
      <c r="T22" s="498" t="s">
        <v>156</v>
      </c>
      <c r="U22" s="498">
        <v>20</v>
      </c>
      <c r="V22" s="498">
        <v>15</v>
      </c>
      <c r="W22" s="498"/>
      <c r="X22" s="498"/>
      <c r="Y22" s="498"/>
      <c r="Z22" s="498"/>
      <c r="AA22" s="498"/>
      <c r="AB22" s="498"/>
      <c r="AD22" s="498" t="s">
        <v>457</v>
      </c>
      <c r="AE22" s="498" t="s">
        <v>156</v>
      </c>
      <c r="AF22" s="498">
        <v>20</v>
      </c>
      <c r="AG22" s="498">
        <v>15</v>
      </c>
      <c r="AH22" s="498"/>
      <c r="AI22" s="498"/>
      <c r="AJ22" s="498"/>
      <c r="AK22" s="498"/>
      <c r="AL22" s="498"/>
      <c r="AM22" s="498"/>
    </row>
    <row r="23" spans="1:39" x14ac:dyDescent="0.3">
      <c r="A23" s="498" t="s">
        <v>457</v>
      </c>
      <c r="B23" s="498" t="s">
        <v>157</v>
      </c>
      <c r="C23" s="498">
        <v>20</v>
      </c>
      <c r="D23" s="498"/>
      <c r="E23" s="498"/>
      <c r="F23" s="498"/>
      <c r="H23" s="498" t="s">
        <v>457</v>
      </c>
      <c r="I23" s="498" t="s">
        <v>157</v>
      </c>
      <c r="J23" s="498">
        <v>20</v>
      </c>
      <c r="K23" s="498">
        <v>7.5</v>
      </c>
      <c r="L23" s="498"/>
      <c r="M23" s="498"/>
      <c r="N23" s="498"/>
      <c r="O23" s="498"/>
      <c r="P23" s="498"/>
      <c r="Q23" s="498"/>
      <c r="S23" s="498" t="s">
        <v>457</v>
      </c>
      <c r="T23" s="498" t="s">
        <v>157</v>
      </c>
      <c r="U23" s="498">
        <v>20</v>
      </c>
      <c r="V23" s="498">
        <v>15</v>
      </c>
      <c r="W23" s="498"/>
      <c r="X23" s="498"/>
      <c r="Y23" s="498"/>
      <c r="Z23" s="498"/>
      <c r="AA23" s="498"/>
      <c r="AB23" s="498"/>
      <c r="AD23" s="498" t="s">
        <v>457</v>
      </c>
      <c r="AE23" s="498" t="s">
        <v>157</v>
      </c>
      <c r="AF23" s="498">
        <v>20</v>
      </c>
      <c r="AG23" s="498">
        <v>15</v>
      </c>
      <c r="AH23" s="498"/>
      <c r="AI23" s="498"/>
      <c r="AJ23" s="498"/>
      <c r="AK23" s="498"/>
      <c r="AL23" s="498"/>
      <c r="AM23" s="498"/>
    </row>
    <row r="24" spans="1:39" x14ac:dyDescent="0.3">
      <c r="A24" s="498" t="s">
        <v>457</v>
      </c>
      <c r="B24" s="498" t="s">
        <v>158</v>
      </c>
      <c r="C24" s="498">
        <v>20</v>
      </c>
      <c r="D24" s="498"/>
      <c r="E24" s="498"/>
      <c r="F24" s="498"/>
      <c r="H24" s="498" t="s">
        <v>457</v>
      </c>
      <c r="I24" s="498" t="s">
        <v>158</v>
      </c>
      <c r="J24" s="498">
        <v>20</v>
      </c>
      <c r="K24" s="498">
        <v>7.5</v>
      </c>
      <c r="L24" s="498"/>
      <c r="M24" s="498"/>
      <c r="N24" s="498"/>
      <c r="O24" s="498"/>
      <c r="P24" s="498"/>
      <c r="Q24" s="498"/>
      <c r="S24" s="498" t="s">
        <v>457</v>
      </c>
      <c r="T24" s="498" t="s">
        <v>158</v>
      </c>
      <c r="U24" s="498">
        <v>20</v>
      </c>
      <c r="V24" s="498">
        <v>15</v>
      </c>
      <c r="W24" s="498"/>
      <c r="X24" s="498"/>
      <c r="Y24" s="498"/>
      <c r="Z24" s="498"/>
      <c r="AA24" s="498"/>
      <c r="AB24" s="498"/>
      <c r="AD24" s="498" t="s">
        <v>457</v>
      </c>
      <c r="AE24" s="498" t="s">
        <v>158</v>
      </c>
      <c r="AF24" s="498">
        <v>20</v>
      </c>
      <c r="AG24" s="498">
        <v>15</v>
      </c>
      <c r="AH24" s="498"/>
      <c r="AI24" s="498"/>
      <c r="AJ24" s="498"/>
      <c r="AK24" s="498"/>
      <c r="AL24" s="498"/>
      <c r="AM24" s="498"/>
    </row>
    <row r="25" spans="1:39" x14ac:dyDescent="0.3">
      <c r="A25" s="498" t="s">
        <v>458</v>
      </c>
      <c r="B25" s="498" t="s">
        <v>152</v>
      </c>
      <c r="C25" s="498">
        <v>20</v>
      </c>
      <c r="D25" s="498"/>
      <c r="E25" s="498"/>
      <c r="F25" s="498"/>
      <c r="H25" s="498" t="s">
        <v>458</v>
      </c>
      <c r="I25" s="498" t="s">
        <v>152</v>
      </c>
      <c r="J25" s="498">
        <v>20</v>
      </c>
      <c r="K25" s="498">
        <v>15</v>
      </c>
      <c r="L25" s="498"/>
      <c r="M25" s="498"/>
      <c r="N25" s="498"/>
      <c r="O25" s="498"/>
      <c r="P25" s="498"/>
      <c r="Q25" s="498"/>
      <c r="S25" s="498" t="s">
        <v>458</v>
      </c>
      <c r="T25" s="498" t="s">
        <v>152</v>
      </c>
      <c r="U25" s="498">
        <v>20</v>
      </c>
      <c r="V25" s="498">
        <v>15</v>
      </c>
      <c r="W25" s="498"/>
      <c r="X25" s="498"/>
      <c r="Y25" s="498"/>
      <c r="Z25" s="498"/>
      <c r="AA25" s="498"/>
      <c r="AB25" s="498"/>
      <c r="AD25" s="498" t="s">
        <v>458</v>
      </c>
      <c r="AE25" s="498" t="s">
        <v>152</v>
      </c>
      <c r="AF25" s="498">
        <v>20</v>
      </c>
      <c r="AG25" s="498">
        <v>15</v>
      </c>
      <c r="AH25" s="498"/>
      <c r="AI25" s="498"/>
      <c r="AJ25" s="498"/>
      <c r="AK25" s="498"/>
      <c r="AL25" s="498"/>
      <c r="AM25" s="498"/>
    </row>
    <row r="26" spans="1:39" x14ac:dyDescent="0.3">
      <c r="A26" s="498" t="s">
        <v>458</v>
      </c>
      <c r="B26" s="498" t="s">
        <v>155</v>
      </c>
      <c r="C26" s="498">
        <v>20</v>
      </c>
      <c r="D26" s="498"/>
      <c r="E26" s="498"/>
      <c r="F26" s="498"/>
      <c r="H26" s="498" t="s">
        <v>458</v>
      </c>
      <c r="I26" s="498" t="s">
        <v>155</v>
      </c>
      <c r="J26" s="498">
        <v>20</v>
      </c>
      <c r="K26" s="498">
        <v>15</v>
      </c>
      <c r="L26" s="498"/>
      <c r="M26" s="498"/>
      <c r="N26" s="498"/>
      <c r="O26" s="498"/>
      <c r="P26" s="498"/>
      <c r="Q26" s="498"/>
      <c r="S26" s="498" t="s">
        <v>458</v>
      </c>
      <c r="T26" s="498" t="s">
        <v>155</v>
      </c>
      <c r="U26" s="498">
        <v>20</v>
      </c>
      <c r="V26" s="498">
        <v>15</v>
      </c>
      <c r="W26" s="498"/>
      <c r="X26" s="498"/>
      <c r="Y26" s="498"/>
      <c r="Z26" s="498"/>
      <c r="AA26" s="498"/>
      <c r="AB26" s="498"/>
      <c r="AD26" s="498" t="s">
        <v>458</v>
      </c>
      <c r="AE26" s="498" t="s">
        <v>155</v>
      </c>
      <c r="AF26" s="498">
        <v>20</v>
      </c>
      <c r="AG26" s="498">
        <v>15</v>
      </c>
      <c r="AH26" s="498"/>
      <c r="AI26" s="498"/>
      <c r="AJ26" s="498"/>
      <c r="AK26" s="498"/>
      <c r="AL26" s="498"/>
      <c r="AM26" s="498"/>
    </row>
    <row r="27" spans="1:39" x14ac:dyDescent="0.3">
      <c r="A27" s="498" t="s">
        <v>458</v>
      </c>
      <c r="B27" s="498" t="s">
        <v>156</v>
      </c>
      <c r="C27" s="498">
        <v>20</v>
      </c>
      <c r="D27" s="498"/>
      <c r="E27" s="498"/>
      <c r="F27" s="498"/>
      <c r="H27" s="498" t="s">
        <v>458</v>
      </c>
      <c r="I27" s="498" t="s">
        <v>156</v>
      </c>
      <c r="J27" s="498">
        <v>20</v>
      </c>
      <c r="K27" s="498">
        <v>15</v>
      </c>
      <c r="L27" s="498"/>
      <c r="M27" s="498"/>
      <c r="N27" s="498"/>
      <c r="O27" s="498"/>
      <c r="P27" s="498"/>
      <c r="Q27" s="498"/>
      <c r="S27" s="498" t="s">
        <v>458</v>
      </c>
      <c r="T27" s="498" t="s">
        <v>156</v>
      </c>
      <c r="U27" s="498">
        <v>20</v>
      </c>
      <c r="V27" s="498">
        <v>15</v>
      </c>
      <c r="W27" s="498"/>
      <c r="X27" s="498"/>
      <c r="Y27" s="498"/>
      <c r="Z27" s="498"/>
      <c r="AA27" s="498"/>
      <c r="AB27" s="498"/>
      <c r="AD27" s="498" t="s">
        <v>458</v>
      </c>
      <c r="AE27" s="498" t="s">
        <v>156</v>
      </c>
      <c r="AF27" s="498">
        <v>20</v>
      </c>
      <c r="AG27" s="498">
        <v>15</v>
      </c>
      <c r="AH27" s="498"/>
      <c r="AI27" s="498"/>
      <c r="AJ27" s="498"/>
      <c r="AK27" s="498"/>
      <c r="AL27" s="498"/>
      <c r="AM27" s="498"/>
    </row>
    <row r="28" spans="1:39" x14ac:dyDescent="0.3">
      <c r="A28" s="498" t="s">
        <v>458</v>
      </c>
      <c r="B28" s="498" t="s">
        <v>157</v>
      </c>
      <c r="C28" s="498">
        <v>20</v>
      </c>
      <c r="D28" s="498"/>
      <c r="E28" s="498"/>
      <c r="F28" s="498"/>
      <c r="H28" s="498" t="s">
        <v>458</v>
      </c>
      <c r="I28" s="498" t="s">
        <v>157</v>
      </c>
      <c r="J28" s="498">
        <v>20</v>
      </c>
      <c r="K28" s="498">
        <v>15</v>
      </c>
      <c r="L28" s="498"/>
      <c r="M28" s="498"/>
      <c r="N28" s="498"/>
      <c r="O28" s="498"/>
      <c r="P28" s="498"/>
      <c r="Q28" s="498"/>
      <c r="S28" s="498" t="s">
        <v>458</v>
      </c>
      <c r="T28" s="498" t="s">
        <v>157</v>
      </c>
      <c r="U28" s="498">
        <v>20</v>
      </c>
      <c r="V28" s="498">
        <v>15</v>
      </c>
      <c r="W28" s="498"/>
      <c r="X28" s="498"/>
      <c r="Y28" s="498"/>
      <c r="Z28" s="498"/>
      <c r="AA28" s="498"/>
      <c r="AB28" s="498"/>
      <c r="AD28" s="498" t="s">
        <v>458</v>
      </c>
      <c r="AE28" s="498" t="s">
        <v>157</v>
      </c>
      <c r="AF28" s="498">
        <v>20</v>
      </c>
      <c r="AG28" s="498">
        <v>15</v>
      </c>
      <c r="AH28" s="498"/>
      <c r="AI28" s="498"/>
      <c r="AJ28" s="498"/>
      <c r="AK28" s="498"/>
      <c r="AL28" s="498"/>
      <c r="AM28" s="498"/>
    </row>
    <row r="29" spans="1:39" x14ac:dyDescent="0.3">
      <c r="A29" s="498" t="s">
        <v>458</v>
      </c>
      <c r="B29" s="498" t="s">
        <v>158</v>
      </c>
      <c r="C29" s="498">
        <v>20</v>
      </c>
      <c r="D29" s="498"/>
      <c r="E29" s="498"/>
      <c r="F29" s="498"/>
      <c r="H29" s="498" t="s">
        <v>458</v>
      </c>
      <c r="I29" s="498" t="s">
        <v>158</v>
      </c>
      <c r="J29" s="498">
        <v>20</v>
      </c>
      <c r="K29" s="498">
        <v>15</v>
      </c>
      <c r="L29" s="498"/>
      <c r="M29" s="498"/>
      <c r="N29" s="498"/>
      <c r="O29" s="498"/>
      <c r="P29" s="498"/>
      <c r="Q29" s="498"/>
      <c r="S29" s="498" t="s">
        <v>458</v>
      </c>
      <c r="T29" s="498" t="s">
        <v>158</v>
      </c>
      <c r="U29" s="498">
        <v>20</v>
      </c>
      <c r="V29" s="498">
        <v>15</v>
      </c>
      <c r="W29" s="498"/>
      <c r="X29" s="498"/>
      <c r="Y29" s="498"/>
      <c r="Z29" s="498"/>
      <c r="AA29" s="498"/>
      <c r="AB29" s="498"/>
      <c r="AD29" s="498" t="s">
        <v>458</v>
      </c>
      <c r="AE29" s="498" t="s">
        <v>158</v>
      </c>
      <c r="AF29" s="498">
        <v>20</v>
      </c>
      <c r="AG29" s="498">
        <v>15</v>
      </c>
      <c r="AH29" s="498"/>
      <c r="AI29" s="498"/>
      <c r="AJ29" s="498"/>
      <c r="AK29" s="498"/>
      <c r="AL29" s="498"/>
      <c r="AM29" s="498"/>
    </row>
    <row r="30" spans="1:39" x14ac:dyDescent="0.3">
      <c r="A30" s="498" t="s">
        <v>459</v>
      </c>
      <c r="B30" s="498" t="s">
        <v>152</v>
      </c>
      <c r="C30" s="498">
        <v>20</v>
      </c>
      <c r="D30" s="498"/>
      <c r="E30" s="498"/>
      <c r="F30" s="498"/>
      <c r="H30" s="498" t="s">
        <v>459</v>
      </c>
      <c r="I30" s="498" t="s">
        <v>152</v>
      </c>
      <c r="J30" s="498">
        <v>20</v>
      </c>
      <c r="K30" s="498">
        <v>10</v>
      </c>
      <c r="L30" s="498"/>
      <c r="M30" s="498"/>
      <c r="N30" s="498"/>
      <c r="O30" s="498"/>
      <c r="P30" s="498"/>
      <c r="Q30" s="498"/>
      <c r="S30" s="498" t="s">
        <v>459</v>
      </c>
      <c r="T30" s="498" t="s">
        <v>152</v>
      </c>
      <c r="U30" s="498">
        <v>20</v>
      </c>
      <c r="V30" s="498">
        <v>15</v>
      </c>
      <c r="W30" s="498"/>
      <c r="X30" s="498"/>
      <c r="Y30" s="498"/>
      <c r="Z30" s="498"/>
      <c r="AA30" s="498"/>
      <c r="AB30" s="498"/>
      <c r="AD30" s="498" t="s">
        <v>459</v>
      </c>
      <c r="AE30" s="498" t="s">
        <v>152</v>
      </c>
      <c r="AF30" s="498">
        <v>20</v>
      </c>
      <c r="AG30" s="498">
        <v>15</v>
      </c>
      <c r="AH30" s="498"/>
      <c r="AI30" s="498"/>
      <c r="AJ30" s="498"/>
      <c r="AK30" s="498"/>
      <c r="AL30" s="498"/>
      <c r="AM30" s="498"/>
    </row>
    <row r="31" spans="1:39" x14ac:dyDescent="0.3">
      <c r="A31" s="498" t="s">
        <v>459</v>
      </c>
      <c r="B31" s="498" t="s">
        <v>155</v>
      </c>
      <c r="C31" s="498">
        <v>20</v>
      </c>
      <c r="D31" s="498"/>
      <c r="E31" s="498"/>
      <c r="F31" s="498"/>
      <c r="H31" s="498" t="s">
        <v>459</v>
      </c>
      <c r="I31" s="498" t="s">
        <v>155</v>
      </c>
      <c r="J31" s="498">
        <v>20</v>
      </c>
      <c r="K31" s="498">
        <v>10</v>
      </c>
      <c r="L31" s="498"/>
      <c r="M31" s="498"/>
      <c r="N31" s="498"/>
      <c r="O31" s="498"/>
      <c r="P31" s="498"/>
      <c r="Q31" s="498"/>
      <c r="S31" s="498" t="s">
        <v>459</v>
      </c>
      <c r="T31" s="498" t="s">
        <v>155</v>
      </c>
      <c r="U31" s="498">
        <v>20</v>
      </c>
      <c r="V31" s="498">
        <v>15</v>
      </c>
      <c r="W31" s="498"/>
      <c r="X31" s="498"/>
      <c r="Y31" s="498"/>
      <c r="Z31" s="498"/>
      <c r="AA31" s="498"/>
      <c r="AB31" s="498"/>
      <c r="AD31" s="498" t="s">
        <v>459</v>
      </c>
      <c r="AE31" s="498" t="s">
        <v>155</v>
      </c>
      <c r="AF31" s="498">
        <v>20</v>
      </c>
      <c r="AG31" s="498">
        <v>15</v>
      </c>
      <c r="AH31" s="498"/>
      <c r="AI31" s="498"/>
      <c r="AJ31" s="498"/>
      <c r="AK31" s="498"/>
      <c r="AL31" s="498"/>
      <c r="AM31" s="498"/>
    </row>
    <row r="32" spans="1:39" x14ac:dyDescent="0.3">
      <c r="A32" s="498" t="s">
        <v>459</v>
      </c>
      <c r="B32" s="498" t="s">
        <v>156</v>
      </c>
      <c r="C32" s="498">
        <v>20</v>
      </c>
      <c r="D32" s="498"/>
      <c r="E32" s="498"/>
      <c r="F32" s="498"/>
      <c r="H32" s="498" t="s">
        <v>459</v>
      </c>
      <c r="I32" s="498" t="s">
        <v>156</v>
      </c>
      <c r="J32" s="498">
        <v>20</v>
      </c>
      <c r="K32" s="498">
        <v>10</v>
      </c>
      <c r="L32" s="498"/>
      <c r="M32" s="498"/>
      <c r="N32" s="498"/>
      <c r="O32" s="498"/>
      <c r="P32" s="498"/>
      <c r="Q32" s="498"/>
      <c r="S32" s="498" t="s">
        <v>459</v>
      </c>
      <c r="T32" s="498" t="s">
        <v>156</v>
      </c>
      <c r="U32" s="498">
        <v>20</v>
      </c>
      <c r="V32" s="498">
        <v>15</v>
      </c>
      <c r="W32" s="498"/>
      <c r="X32" s="498"/>
      <c r="Y32" s="498"/>
      <c r="Z32" s="498"/>
      <c r="AA32" s="498"/>
      <c r="AB32" s="498"/>
      <c r="AD32" s="498" t="s">
        <v>459</v>
      </c>
      <c r="AE32" s="498" t="s">
        <v>156</v>
      </c>
      <c r="AF32" s="498">
        <v>20</v>
      </c>
      <c r="AG32" s="498">
        <v>15</v>
      </c>
      <c r="AH32" s="498"/>
      <c r="AI32" s="498"/>
      <c r="AJ32" s="498"/>
      <c r="AK32" s="498"/>
      <c r="AL32" s="498"/>
      <c r="AM32" s="498"/>
    </row>
    <row r="33" spans="1:39" x14ac:dyDescent="0.3">
      <c r="A33" s="498" t="s">
        <v>459</v>
      </c>
      <c r="B33" s="498" t="s">
        <v>157</v>
      </c>
      <c r="C33" s="498">
        <v>20</v>
      </c>
      <c r="D33" s="498"/>
      <c r="E33" s="498"/>
      <c r="F33" s="498"/>
      <c r="H33" s="498" t="s">
        <v>459</v>
      </c>
      <c r="I33" s="498" t="s">
        <v>157</v>
      </c>
      <c r="J33" s="498">
        <v>20</v>
      </c>
      <c r="K33" s="498">
        <v>10</v>
      </c>
      <c r="L33" s="498"/>
      <c r="M33" s="498"/>
      <c r="N33" s="498"/>
      <c r="O33" s="498"/>
      <c r="P33" s="498"/>
      <c r="Q33" s="498"/>
      <c r="S33" s="498" t="s">
        <v>459</v>
      </c>
      <c r="T33" s="498" t="s">
        <v>157</v>
      </c>
      <c r="U33" s="498">
        <v>20</v>
      </c>
      <c r="V33" s="498">
        <v>15</v>
      </c>
      <c r="W33" s="498"/>
      <c r="X33" s="498"/>
      <c r="Y33" s="498"/>
      <c r="Z33" s="498"/>
      <c r="AA33" s="498"/>
      <c r="AB33" s="498"/>
      <c r="AD33" s="498" t="s">
        <v>459</v>
      </c>
      <c r="AE33" s="498" t="s">
        <v>157</v>
      </c>
      <c r="AF33" s="498">
        <v>20</v>
      </c>
      <c r="AG33" s="498">
        <v>15</v>
      </c>
      <c r="AH33" s="498"/>
      <c r="AI33" s="498"/>
      <c r="AJ33" s="498"/>
      <c r="AK33" s="498"/>
      <c r="AL33" s="498"/>
      <c r="AM33" s="498"/>
    </row>
    <row r="34" spans="1:39" x14ac:dyDescent="0.3">
      <c r="A34" s="498" t="s">
        <v>459</v>
      </c>
      <c r="B34" s="498" t="s">
        <v>158</v>
      </c>
      <c r="C34" s="498">
        <v>20</v>
      </c>
      <c r="D34" s="498"/>
      <c r="E34" s="498"/>
      <c r="F34" s="498"/>
      <c r="H34" s="498" t="s">
        <v>459</v>
      </c>
      <c r="I34" s="498" t="s">
        <v>158</v>
      </c>
      <c r="J34" s="498">
        <v>20</v>
      </c>
      <c r="K34" s="498">
        <v>10</v>
      </c>
      <c r="L34" s="498"/>
      <c r="M34" s="498"/>
      <c r="N34" s="498"/>
      <c r="O34" s="498"/>
      <c r="P34" s="498"/>
      <c r="Q34" s="498"/>
      <c r="S34" s="498" t="s">
        <v>459</v>
      </c>
      <c r="T34" s="498" t="s">
        <v>158</v>
      </c>
      <c r="U34" s="498">
        <v>20</v>
      </c>
      <c r="V34" s="498">
        <v>15</v>
      </c>
      <c r="W34" s="498"/>
      <c r="X34" s="498"/>
      <c r="Y34" s="498"/>
      <c r="Z34" s="498"/>
      <c r="AA34" s="498"/>
      <c r="AB34" s="498"/>
      <c r="AD34" s="498" t="s">
        <v>459</v>
      </c>
      <c r="AE34" s="498" t="s">
        <v>158</v>
      </c>
      <c r="AF34" s="498">
        <v>20</v>
      </c>
      <c r="AG34" s="498">
        <v>15</v>
      </c>
      <c r="AH34" s="498"/>
      <c r="AI34" s="498"/>
      <c r="AJ34" s="498"/>
      <c r="AK34" s="498"/>
      <c r="AL34" s="498"/>
      <c r="AM34" s="498"/>
    </row>
    <row r="35" spans="1:39" x14ac:dyDescent="0.3">
      <c r="A35" s="498" t="s">
        <v>457</v>
      </c>
      <c r="B35" s="498" t="s">
        <v>152</v>
      </c>
      <c r="C35" s="498">
        <v>30</v>
      </c>
      <c r="D35" s="498"/>
      <c r="E35" s="498"/>
      <c r="F35" s="498"/>
      <c r="H35" s="498" t="s">
        <v>457</v>
      </c>
      <c r="I35" s="498" t="s">
        <v>152</v>
      </c>
      <c r="J35" s="498">
        <v>30</v>
      </c>
      <c r="K35" s="498">
        <v>7.5</v>
      </c>
      <c r="L35" s="498"/>
      <c r="M35" s="498"/>
      <c r="N35" s="498"/>
      <c r="O35" s="498"/>
      <c r="P35" s="498"/>
      <c r="Q35" s="498"/>
      <c r="S35" s="498" t="s">
        <v>457</v>
      </c>
      <c r="T35" s="498" t="s">
        <v>152</v>
      </c>
      <c r="U35" s="498">
        <v>30</v>
      </c>
      <c r="V35" s="498">
        <v>15</v>
      </c>
      <c r="W35" s="498"/>
      <c r="X35" s="498"/>
      <c r="Y35" s="498"/>
      <c r="Z35" s="498"/>
      <c r="AA35" s="498"/>
      <c r="AB35" s="498"/>
      <c r="AD35" s="498" t="s">
        <v>457</v>
      </c>
      <c r="AE35" s="498" t="s">
        <v>152</v>
      </c>
      <c r="AF35" s="498">
        <v>30</v>
      </c>
      <c r="AG35" s="498">
        <v>15</v>
      </c>
      <c r="AH35" s="498"/>
      <c r="AI35" s="498"/>
      <c r="AJ35" s="498"/>
      <c r="AK35" s="498"/>
      <c r="AL35" s="498"/>
      <c r="AM35" s="498"/>
    </row>
    <row r="36" spans="1:39" x14ac:dyDescent="0.3">
      <c r="A36" s="498" t="s">
        <v>457</v>
      </c>
      <c r="B36" s="498" t="s">
        <v>155</v>
      </c>
      <c r="C36" s="498">
        <v>30</v>
      </c>
      <c r="D36" s="498"/>
      <c r="E36" s="498"/>
      <c r="F36" s="498"/>
      <c r="H36" s="498" t="s">
        <v>457</v>
      </c>
      <c r="I36" s="498" t="s">
        <v>155</v>
      </c>
      <c r="J36" s="498">
        <v>30</v>
      </c>
      <c r="K36" s="498">
        <v>7.5</v>
      </c>
      <c r="L36" s="498"/>
      <c r="M36" s="498"/>
      <c r="N36" s="498"/>
      <c r="O36" s="498"/>
      <c r="P36" s="498"/>
      <c r="Q36" s="498"/>
      <c r="S36" s="498" t="s">
        <v>457</v>
      </c>
      <c r="T36" s="498" t="s">
        <v>155</v>
      </c>
      <c r="U36" s="498">
        <v>30</v>
      </c>
      <c r="V36" s="498">
        <v>15</v>
      </c>
      <c r="W36" s="498"/>
      <c r="X36" s="498"/>
      <c r="Y36" s="498"/>
      <c r="Z36" s="498"/>
      <c r="AA36" s="498"/>
      <c r="AB36" s="498"/>
      <c r="AD36" s="498" t="s">
        <v>457</v>
      </c>
      <c r="AE36" s="498" t="s">
        <v>155</v>
      </c>
      <c r="AF36" s="498">
        <v>30</v>
      </c>
      <c r="AG36" s="498">
        <v>15</v>
      </c>
      <c r="AH36" s="498"/>
      <c r="AI36" s="498"/>
      <c r="AJ36" s="498"/>
      <c r="AK36" s="498"/>
      <c r="AL36" s="498"/>
      <c r="AM36" s="498"/>
    </row>
    <row r="37" spans="1:39" x14ac:dyDescent="0.3">
      <c r="A37" s="498" t="s">
        <v>457</v>
      </c>
      <c r="B37" s="498" t="s">
        <v>460</v>
      </c>
      <c r="C37" s="498">
        <v>30</v>
      </c>
      <c r="D37" s="498"/>
      <c r="E37" s="498"/>
      <c r="F37" s="498"/>
      <c r="H37" s="498" t="s">
        <v>457</v>
      </c>
      <c r="I37" s="498" t="s">
        <v>156</v>
      </c>
      <c r="J37" s="498">
        <v>30</v>
      </c>
      <c r="K37" s="498">
        <v>7.5</v>
      </c>
      <c r="L37" s="498"/>
      <c r="M37" s="498"/>
      <c r="N37" s="498"/>
      <c r="O37" s="498"/>
      <c r="P37" s="498"/>
      <c r="Q37" s="498"/>
      <c r="S37" s="498" t="s">
        <v>457</v>
      </c>
      <c r="T37" s="498" t="s">
        <v>156</v>
      </c>
      <c r="U37" s="498">
        <v>30</v>
      </c>
      <c r="V37" s="498">
        <v>15</v>
      </c>
      <c r="W37" s="498"/>
      <c r="X37" s="498"/>
      <c r="Y37" s="498"/>
      <c r="Z37" s="498"/>
      <c r="AA37" s="498"/>
      <c r="AB37" s="498"/>
      <c r="AD37" s="498" t="s">
        <v>457</v>
      </c>
      <c r="AE37" s="498" t="s">
        <v>156</v>
      </c>
      <c r="AF37" s="498">
        <v>30</v>
      </c>
      <c r="AG37" s="498">
        <v>15</v>
      </c>
      <c r="AH37" s="498"/>
      <c r="AI37" s="498"/>
      <c r="AJ37" s="498"/>
      <c r="AK37" s="498"/>
      <c r="AL37" s="498"/>
      <c r="AM37" s="498"/>
    </row>
    <row r="38" spans="1:39" x14ac:dyDescent="0.3">
      <c r="A38" s="498" t="s">
        <v>457</v>
      </c>
      <c r="B38" s="498" t="s">
        <v>157</v>
      </c>
      <c r="C38" s="498">
        <v>30</v>
      </c>
      <c r="D38" s="498"/>
      <c r="E38" s="498"/>
      <c r="F38" s="498"/>
      <c r="H38" s="498" t="s">
        <v>457</v>
      </c>
      <c r="I38" s="498" t="s">
        <v>157</v>
      </c>
      <c r="J38" s="498">
        <v>30</v>
      </c>
      <c r="K38" s="498">
        <v>7.5</v>
      </c>
      <c r="L38" s="498"/>
      <c r="M38" s="498"/>
      <c r="N38" s="498"/>
      <c r="O38" s="498"/>
      <c r="P38" s="498"/>
      <c r="Q38" s="498"/>
      <c r="S38" s="498" t="s">
        <v>457</v>
      </c>
      <c r="T38" s="498" t="s">
        <v>157</v>
      </c>
      <c r="U38" s="498">
        <v>30</v>
      </c>
      <c r="V38" s="498">
        <v>15</v>
      </c>
      <c r="W38" s="498"/>
      <c r="X38" s="498"/>
      <c r="Y38" s="498"/>
      <c r="Z38" s="498"/>
      <c r="AA38" s="498"/>
      <c r="AB38" s="498"/>
      <c r="AD38" s="498" t="s">
        <v>457</v>
      </c>
      <c r="AE38" s="498" t="s">
        <v>157</v>
      </c>
      <c r="AF38" s="498">
        <v>30</v>
      </c>
      <c r="AG38" s="498">
        <v>15</v>
      </c>
      <c r="AH38" s="498"/>
      <c r="AI38" s="498"/>
      <c r="AJ38" s="498"/>
      <c r="AK38" s="498"/>
      <c r="AL38" s="498"/>
      <c r="AM38" s="498"/>
    </row>
    <row r="39" spans="1:39" x14ac:dyDescent="0.3">
      <c r="A39" s="498" t="s">
        <v>457</v>
      </c>
      <c r="B39" s="498" t="s">
        <v>158</v>
      </c>
      <c r="C39" s="498">
        <v>30</v>
      </c>
      <c r="D39" s="498"/>
      <c r="E39" s="498"/>
      <c r="F39" s="498"/>
      <c r="H39" s="498" t="s">
        <v>457</v>
      </c>
      <c r="I39" s="498" t="s">
        <v>158</v>
      </c>
      <c r="J39" s="498">
        <v>30</v>
      </c>
      <c r="K39" s="498">
        <v>7.5</v>
      </c>
      <c r="L39" s="498"/>
      <c r="M39" s="498"/>
      <c r="N39" s="498"/>
      <c r="O39" s="498"/>
      <c r="P39" s="498"/>
      <c r="Q39" s="498"/>
      <c r="S39" s="498" t="s">
        <v>457</v>
      </c>
      <c r="T39" s="498" t="s">
        <v>158</v>
      </c>
      <c r="U39" s="498">
        <v>30</v>
      </c>
      <c r="V39" s="498">
        <v>15</v>
      </c>
      <c r="W39" s="498"/>
      <c r="X39" s="498"/>
      <c r="Y39" s="498"/>
      <c r="Z39" s="498"/>
      <c r="AA39" s="498"/>
      <c r="AB39" s="498"/>
      <c r="AD39" s="498" t="s">
        <v>457</v>
      </c>
      <c r="AE39" s="498" t="s">
        <v>158</v>
      </c>
      <c r="AF39" s="498">
        <v>30</v>
      </c>
      <c r="AG39" s="498">
        <v>15</v>
      </c>
      <c r="AH39" s="498"/>
      <c r="AI39" s="498"/>
      <c r="AJ39" s="498"/>
      <c r="AK39" s="498"/>
      <c r="AL39" s="498"/>
      <c r="AM39" s="498"/>
    </row>
    <row r="40" spans="1:39" x14ac:dyDescent="0.3">
      <c r="A40" s="498" t="s">
        <v>458</v>
      </c>
      <c r="B40" s="498" t="s">
        <v>152</v>
      </c>
      <c r="C40" s="498">
        <v>30</v>
      </c>
      <c r="D40" s="498"/>
      <c r="E40" s="498"/>
      <c r="F40" s="498"/>
      <c r="H40" s="498" t="s">
        <v>458</v>
      </c>
      <c r="I40" s="498" t="s">
        <v>152</v>
      </c>
      <c r="J40" s="498">
        <v>30</v>
      </c>
      <c r="K40" s="498">
        <v>15</v>
      </c>
      <c r="L40" s="498"/>
      <c r="M40" s="498"/>
      <c r="N40" s="498"/>
      <c r="O40" s="498"/>
      <c r="P40" s="498"/>
      <c r="Q40" s="498"/>
      <c r="S40" s="498" t="s">
        <v>458</v>
      </c>
      <c r="T40" s="498" t="s">
        <v>152</v>
      </c>
      <c r="U40" s="498">
        <v>30</v>
      </c>
      <c r="V40" s="498">
        <v>15</v>
      </c>
      <c r="W40" s="498"/>
      <c r="X40" s="498"/>
      <c r="Y40" s="498"/>
      <c r="Z40" s="498"/>
      <c r="AA40" s="498"/>
      <c r="AB40" s="498"/>
      <c r="AD40" s="498" t="s">
        <v>458</v>
      </c>
      <c r="AE40" s="498" t="s">
        <v>152</v>
      </c>
      <c r="AF40" s="498">
        <v>30</v>
      </c>
      <c r="AG40" s="498">
        <v>15</v>
      </c>
      <c r="AH40" s="498"/>
      <c r="AI40" s="498"/>
      <c r="AJ40" s="498"/>
      <c r="AK40" s="498"/>
      <c r="AL40" s="498"/>
      <c r="AM40" s="498"/>
    </row>
    <row r="41" spans="1:39" x14ac:dyDescent="0.3">
      <c r="A41" s="498" t="s">
        <v>458</v>
      </c>
      <c r="B41" s="498" t="s">
        <v>155</v>
      </c>
      <c r="C41" s="498">
        <v>30</v>
      </c>
      <c r="D41" s="498"/>
      <c r="E41" s="498"/>
      <c r="F41" s="498"/>
      <c r="H41" s="498" t="s">
        <v>458</v>
      </c>
      <c r="I41" s="498" t="s">
        <v>155</v>
      </c>
      <c r="J41" s="498">
        <v>30</v>
      </c>
      <c r="K41" s="498">
        <v>15</v>
      </c>
      <c r="L41" s="498"/>
      <c r="M41" s="498"/>
      <c r="N41" s="498"/>
      <c r="O41" s="498"/>
      <c r="P41" s="498"/>
      <c r="Q41" s="498"/>
      <c r="S41" s="498" t="s">
        <v>458</v>
      </c>
      <c r="T41" s="498" t="s">
        <v>155</v>
      </c>
      <c r="U41" s="498">
        <v>30</v>
      </c>
      <c r="V41" s="498">
        <v>15</v>
      </c>
      <c r="W41" s="498"/>
      <c r="X41" s="498"/>
      <c r="Y41" s="498"/>
      <c r="Z41" s="498"/>
      <c r="AA41" s="498"/>
      <c r="AB41" s="498"/>
      <c r="AD41" s="498" t="s">
        <v>458</v>
      </c>
      <c r="AE41" s="498" t="s">
        <v>155</v>
      </c>
      <c r="AF41" s="498">
        <v>30</v>
      </c>
      <c r="AG41" s="498">
        <v>15</v>
      </c>
      <c r="AH41" s="498"/>
      <c r="AI41" s="498"/>
      <c r="AJ41" s="498"/>
      <c r="AK41" s="498"/>
      <c r="AL41" s="498"/>
      <c r="AM41" s="498"/>
    </row>
    <row r="42" spans="1:39" x14ac:dyDescent="0.3">
      <c r="A42" s="498" t="s">
        <v>458</v>
      </c>
      <c r="B42" s="498" t="s">
        <v>156</v>
      </c>
      <c r="C42" s="498">
        <v>30</v>
      </c>
      <c r="D42" s="498"/>
      <c r="E42" s="498"/>
      <c r="F42" s="498"/>
      <c r="H42" s="498" t="s">
        <v>458</v>
      </c>
      <c r="I42" s="498" t="s">
        <v>156</v>
      </c>
      <c r="J42" s="498">
        <v>30</v>
      </c>
      <c r="K42" s="498">
        <v>15</v>
      </c>
      <c r="L42" s="498"/>
      <c r="M42" s="498"/>
      <c r="N42" s="498"/>
      <c r="O42" s="498"/>
      <c r="P42" s="498"/>
      <c r="Q42" s="498"/>
      <c r="S42" s="498" t="s">
        <v>458</v>
      </c>
      <c r="T42" s="498" t="s">
        <v>156</v>
      </c>
      <c r="U42" s="498">
        <v>30</v>
      </c>
      <c r="V42" s="498">
        <v>15</v>
      </c>
      <c r="W42" s="498"/>
      <c r="X42" s="498"/>
      <c r="Y42" s="498"/>
      <c r="Z42" s="498"/>
      <c r="AA42" s="498"/>
      <c r="AB42" s="498"/>
      <c r="AD42" s="498" t="s">
        <v>458</v>
      </c>
      <c r="AE42" s="498" t="s">
        <v>156</v>
      </c>
      <c r="AF42" s="498">
        <v>30</v>
      </c>
      <c r="AG42" s="498">
        <v>15</v>
      </c>
      <c r="AH42" s="498"/>
      <c r="AI42" s="498"/>
      <c r="AJ42" s="498"/>
      <c r="AK42" s="498"/>
      <c r="AL42" s="498"/>
      <c r="AM42" s="498"/>
    </row>
    <row r="43" spans="1:39" x14ac:dyDescent="0.3">
      <c r="A43" s="498" t="s">
        <v>458</v>
      </c>
      <c r="B43" s="498" t="s">
        <v>157</v>
      </c>
      <c r="C43" s="498">
        <v>30</v>
      </c>
      <c r="D43" s="498"/>
      <c r="E43" s="498"/>
      <c r="F43" s="498"/>
      <c r="H43" s="498" t="s">
        <v>458</v>
      </c>
      <c r="I43" s="498" t="s">
        <v>157</v>
      </c>
      <c r="J43" s="498">
        <v>30</v>
      </c>
      <c r="K43" s="498">
        <v>15</v>
      </c>
      <c r="L43" s="498"/>
      <c r="M43" s="498"/>
      <c r="N43" s="498"/>
      <c r="O43" s="498"/>
      <c r="P43" s="498"/>
      <c r="Q43" s="498"/>
      <c r="S43" s="498" t="s">
        <v>458</v>
      </c>
      <c r="T43" s="498" t="s">
        <v>157</v>
      </c>
      <c r="U43" s="498">
        <v>30</v>
      </c>
      <c r="V43" s="498">
        <v>15</v>
      </c>
      <c r="W43" s="498"/>
      <c r="X43" s="498"/>
      <c r="Y43" s="498"/>
      <c r="Z43" s="498"/>
      <c r="AA43" s="498"/>
      <c r="AB43" s="498"/>
      <c r="AD43" s="498" t="s">
        <v>458</v>
      </c>
      <c r="AE43" s="498" t="s">
        <v>157</v>
      </c>
      <c r="AF43" s="498">
        <v>30</v>
      </c>
      <c r="AG43" s="498">
        <v>15</v>
      </c>
      <c r="AH43" s="498"/>
      <c r="AI43" s="498"/>
      <c r="AJ43" s="498"/>
      <c r="AK43" s="498"/>
      <c r="AL43" s="498"/>
      <c r="AM43" s="498"/>
    </row>
    <row r="44" spans="1:39" x14ac:dyDescent="0.3">
      <c r="A44" s="498" t="s">
        <v>458</v>
      </c>
      <c r="B44" s="498" t="s">
        <v>158</v>
      </c>
      <c r="C44" s="498">
        <v>30</v>
      </c>
      <c r="D44" s="498"/>
      <c r="E44" s="498"/>
      <c r="F44" s="498"/>
      <c r="H44" s="498" t="s">
        <v>458</v>
      </c>
      <c r="I44" s="498" t="s">
        <v>158</v>
      </c>
      <c r="J44" s="498">
        <v>30</v>
      </c>
      <c r="K44" s="498">
        <v>15</v>
      </c>
      <c r="L44" s="498"/>
      <c r="M44" s="498"/>
      <c r="N44" s="498"/>
      <c r="O44" s="498"/>
      <c r="P44" s="498"/>
      <c r="Q44" s="498"/>
      <c r="S44" s="498" t="s">
        <v>458</v>
      </c>
      <c r="T44" s="498" t="s">
        <v>158</v>
      </c>
      <c r="U44" s="498">
        <v>30</v>
      </c>
      <c r="V44" s="498">
        <v>15</v>
      </c>
      <c r="W44" s="498"/>
      <c r="X44" s="498"/>
      <c r="Y44" s="498"/>
      <c r="Z44" s="498"/>
      <c r="AA44" s="498"/>
      <c r="AB44" s="498"/>
      <c r="AD44" s="498" t="s">
        <v>458</v>
      </c>
      <c r="AE44" s="498" t="s">
        <v>158</v>
      </c>
      <c r="AF44" s="498">
        <v>30</v>
      </c>
      <c r="AG44" s="498">
        <v>15</v>
      </c>
      <c r="AH44" s="498"/>
      <c r="AI44" s="498"/>
      <c r="AJ44" s="498"/>
      <c r="AK44" s="498"/>
      <c r="AL44" s="498"/>
      <c r="AM44" s="498"/>
    </row>
    <row r="45" spans="1:39" x14ac:dyDescent="0.3">
      <c r="A45" s="498" t="s">
        <v>459</v>
      </c>
      <c r="B45" s="498" t="s">
        <v>152</v>
      </c>
      <c r="C45" s="498">
        <v>30</v>
      </c>
      <c r="D45" s="498"/>
      <c r="E45" s="498"/>
      <c r="F45" s="498"/>
      <c r="H45" s="498" t="s">
        <v>459</v>
      </c>
      <c r="I45" s="498" t="s">
        <v>152</v>
      </c>
      <c r="J45" s="498">
        <v>30</v>
      </c>
      <c r="K45" s="498">
        <v>10</v>
      </c>
      <c r="L45" s="498"/>
      <c r="M45" s="498"/>
      <c r="N45" s="498"/>
      <c r="O45" s="498"/>
      <c r="P45" s="498"/>
      <c r="Q45" s="498"/>
      <c r="S45" s="498" t="s">
        <v>459</v>
      </c>
      <c r="T45" s="498" t="s">
        <v>152</v>
      </c>
      <c r="U45" s="498">
        <v>30</v>
      </c>
      <c r="V45" s="498">
        <v>15</v>
      </c>
      <c r="W45" s="498"/>
      <c r="X45" s="498"/>
      <c r="Y45" s="498"/>
      <c r="Z45" s="498"/>
      <c r="AA45" s="498"/>
      <c r="AB45" s="498"/>
      <c r="AD45" s="498" t="s">
        <v>459</v>
      </c>
      <c r="AE45" s="498" t="s">
        <v>152</v>
      </c>
      <c r="AF45" s="498">
        <v>30</v>
      </c>
      <c r="AG45" s="498">
        <v>15</v>
      </c>
      <c r="AH45" s="498"/>
      <c r="AI45" s="498"/>
      <c r="AJ45" s="498"/>
      <c r="AK45" s="498"/>
      <c r="AL45" s="498"/>
      <c r="AM45" s="498"/>
    </row>
    <row r="46" spans="1:39" x14ac:dyDescent="0.3">
      <c r="A46" s="498" t="s">
        <v>459</v>
      </c>
      <c r="B46" s="498" t="s">
        <v>155</v>
      </c>
      <c r="C46" s="498">
        <v>30</v>
      </c>
      <c r="D46" s="498"/>
      <c r="E46" s="498"/>
      <c r="F46" s="498"/>
      <c r="H46" s="498" t="s">
        <v>459</v>
      </c>
      <c r="I46" s="498" t="s">
        <v>155</v>
      </c>
      <c r="J46" s="498">
        <v>30</v>
      </c>
      <c r="K46" s="498">
        <v>10</v>
      </c>
      <c r="L46" s="498"/>
      <c r="M46" s="498"/>
      <c r="N46" s="498"/>
      <c r="O46" s="498"/>
      <c r="P46" s="498"/>
      <c r="Q46" s="498"/>
      <c r="S46" s="498" t="s">
        <v>459</v>
      </c>
      <c r="T46" s="498" t="s">
        <v>155</v>
      </c>
      <c r="U46" s="498">
        <v>30</v>
      </c>
      <c r="V46" s="498">
        <v>15</v>
      </c>
      <c r="W46" s="498"/>
      <c r="X46" s="498"/>
      <c r="Y46" s="498"/>
      <c r="Z46" s="498"/>
      <c r="AA46" s="498"/>
      <c r="AB46" s="498"/>
      <c r="AD46" s="498" t="s">
        <v>459</v>
      </c>
      <c r="AE46" s="498" t="s">
        <v>155</v>
      </c>
      <c r="AF46" s="498">
        <v>30</v>
      </c>
      <c r="AG46" s="498">
        <v>15</v>
      </c>
      <c r="AH46" s="498"/>
      <c r="AI46" s="498"/>
      <c r="AJ46" s="498"/>
      <c r="AK46" s="498"/>
      <c r="AL46" s="498"/>
      <c r="AM46" s="498"/>
    </row>
    <row r="47" spans="1:39" x14ac:dyDescent="0.3">
      <c r="A47" s="498" t="s">
        <v>459</v>
      </c>
      <c r="B47" s="498" t="s">
        <v>156</v>
      </c>
      <c r="C47" s="498">
        <v>30</v>
      </c>
      <c r="D47" s="498"/>
      <c r="E47" s="498"/>
      <c r="F47" s="498"/>
      <c r="H47" s="498" t="s">
        <v>459</v>
      </c>
      <c r="I47" s="498" t="s">
        <v>156</v>
      </c>
      <c r="J47" s="498">
        <v>30</v>
      </c>
      <c r="K47" s="498">
        <v>10</v>
      </c>
      <c r="L47" s="498"/>
      <c r="M47" s="498"/>
      <c r="N47" s="498"/>
      <c r="O47" s="498"/>
      <c r="P47" s="498"/>
      <c r="Q47" s="498"/>
      <c r="S47" s="498" t="s">
        <v>459</v>
      </c>
      <c r="T47" s="498" t="s">
        <v>156</v>
      </c>
      <c r="U47" s="498">
        <v>30</v>
      </c>
      <c r="V47" s="498">
        <v>15</v>
      </c>
      <c r="W47" s="498"/>
      <c r="X47" s="498"/>
      <c r="Y47" s="498"/>
      <c r="Z47" s="498"/>
      <c r="AA47" s="498"/>
      <c r="AB47" s="498"/>
      <c r="AD47" s="498" t="s">
        <v>459</v>
      </c>
      <c r="AE47" s="498" t="s">
        <v>156</v>
      </c>
      <c r="AF47" s="498">
        <v>30</v>
      </c>
      <c r="AG47" s="498">
        <v>15</v>
      </c>
      <c r="AH47" s="498"/>
      <c r="AI47" s="498"/>
      <c r="AJ47" s="498"/>
      <c r="AK47" s="498"/>
      <c r="AL47" s="498"/>
      <c r="AM47" s="498"/>
    </row>
    <row r="48" spans="1:39" x14ac:dyDescent="0.3">
      <c r="A48" s="498" t="s">
        <v>459</v>
      </c>
      <c r="B48" s="498" t="s">
        <v>157</v>
      </c>
      <c r="C48" s="498">
        <v>30</v>
      </c>
      <c r="D48" s="498"/>
      <c r="E48" s="498"/>
      <c r="F48" s="498"/>
      <c r="H48" s="498" t="s">
        <v>459</v>
      </c>
      <c r="I48" s="498" t="s">
        <v>157</v>
      </c>
      <c r="J48" s="498">
        <v>30</v>
      </c>
      <c r="K48" s="498">
        <v>10</v>
      </c>
      <c r="L48" s="498"/>
      <c r="M48" s="498"/>
      <c r="N48" s="498"/>
      <c r="O48" s="498"/>
      <c r="P48" s="498"/>
      <c r="Q48" s="498"/>
      <c r="S48" s="498" t="s">
        <v>459</v>
      </c>
      <c r="T48" s="498" t="s">
        <v>157</v>
      </c>
      <c r="U48" s="498">
        <v>30</v>
      </c>
      <c r="V48" s="498">
        <v>15</v>
      </c>
      <c r="W48" s="498"/>
      <c r="X48" s="498"/>
      <c r="Y48" s="498"/>
      <c r="Z48" s="498"/>
      <c r="AA48" s="498"/>
      <c r="AB48" s="498"/>
      <c r="AD48" s="498" t="s">
        <v>459</v>
      </c>
      <c r="AE48" s="498" t="s">
        <v>157</v>
      </c>
      <c r="AF48" s="498">
        <v>30</v>
      </c>
      <c r="AG48" s="498">
        <v>15</v>
      </c>
      <c r="AH48" s="498"/>
      <c r="AI48" s="498"/>
      <c r="AJ48" s="498"/>
      <c r="AK48" s="498"/>
      <c r="AL48" s="498"/>
      <c r="AM48" s="498"/>
    </row>
    <row r="49" spans="1:39" x14ac:dyDescent="0.3">
      <c r="A49" s="498" t="s">
        <v>459</v>
      </c>
      <c r="B49" s="498" t="s">
        <v>158</v>
      </c>
      <c r="C49" s="498">
        <v>30</v>
      </c>
      <c r="D49" s="498"/>
      <c r="E49" s="498"/>
      <c r="F49" s="498"/>
      <c r="H49" s="498" t="s">
        <v>459</v>
      </c>
      <c r="I49" s="498" t="s">
        <v>158</v>
      </c>
      <c r="J49" s="498">
        <v>30</v>
      </c>
      <c r="K49" s="498">
        <v>10</v>
      </c>
      <c r="L49" s="498"/>
      <c r="M49" s="498"/>
      <c r="N49" s="498"/>
      <c r="O49" s="498"/>
      <c r="P49" s="498"/>
      <c r="Q49" s="498"/>
      <c r="S49" s="498" t="s">
        <v>459</v>
      </c>
      <c r="T49" s="498" t="s">
        <v>158</v>
      </c>
      <c r="U49" s="498">
        <v>30</v>
      </c>
      <c r="V49" s="498">
        <v>15</v>
      </c>
      <c r="W49" s="498"/>
      <c r="X49" s="498"/>
      <c r="Y49" s="498"/>
      <c r="Z49" s="498"/>
      <c r="AA49" s="498"/>
      <c r="AB49" s="498"/>
      <c r="AD49" s="498" t="s">
        <v>459</v>
      </c>
      <c r="AE49" s="498" t="s">
        <v>158</v>
      </c>
      <c r="AF49" s="498">
        <v>30</v>
      </c>
      <c r="AG49" s="498">
        <v>15</v>
      </c>
      <c r="AH49" s="498"/>
      <c r="AI49" s="498"/>
      <c r="AJ49" s="498"/>
      <c r="AK49" s="498"/>
      <c r="AL49" s="498"/>
      <c r="AM49" s="498"/>
    </row>
    <row r="50" spans="1:39" x14ac:dyDescent="0.3">
      <c r="A50" s="498" t="s">
        <v>457</v>
      </c>
      <c r="B50" s="498" t="s">
        <v>152</v>
      </c>
      <c r="C50" s="498" t="s">
        <v>382</v>
      </c>
      <c r="D50" s="498"/>
      <c r="E50" s="498"/>
      <c r="F50" s="498"/>
      <c r="H50" s="498" t="s">
        <v>457</v>
      </c>
      <c r="I50" s="498" t="s">
        <v>152</v>
      </c>
      <c r="J50" s="498" t="s">
        <v>382</v>
      </c>
      <c r="K50" s="498">
        <v>7.5</v>
      </c>
      <c r="L50" s="498"/>
      <c r="M50" s="498"/>
      <c r="N50" s="498"/>
      <c r="O50" s="498"/>
      <c r="P50" s="498"/>
      <c r="Q50" s="498"/>
      <c r="S50" s="498" t="s">
        <v>457</v>
      </c>
      <c r="T50" s="498" t="s">
        <v>152</v>
      </c>
      <c r="U50" s="498" t="s">
        <v>382</v>
      </c>
      <c r="V50" s="498">
        <v>15</v>
      </c>
      <c r="W50" s="498"/>
      <c r="X50" s="498"/>
      <c r="Y50" s="498"/>
      <c r="Z50" s="498"/>
      <c r="AA50" s="498"/>
      <c r="AB50" s="498"/>
    </row>
    <row r="51" spans="1:39" x14ac:dyDescent="0.3">
      <c r="A51" s="498" t="s">
        <v>458</v>
      </c>
      <c r="B51" s="498" t="s">
        <v>152</v>
      </c>
      <c r="C51" s="498" t="s">
        <v>382</v>
      </c>
      <c r="D51" s="498"/>
      <c r="E51" s="498"/>
      <c r="F51" s="498"/>
      <c r="H51" s="498" t="s">
        <v>458</v>
      </c>
      <c r="I51" s="498" t="s">
        <v>152</v>
      </c>
      <c r="J51" s="498" t="s">
        <v>382</v>
      </c>
      <c r="K51" s="498">
        <v>15</v>
      </c>
      <c r="L51" s="498"/>
      <c r="M51" s="498"/>
      <c r="N51" s="498"/>
      <c r="O51" s="498"/>
      <c r="P51" s="498"/>
      <c r="Q51" s="498"/>
      <c r="S51" s="498" t="s">
        <v>458</v>
      </c>
      <c r="T51" s="498" t="s">
        <v>152</v>
      </c>
      <c r="U51" s="498" t="s">
        <v>382</v>
      </c>
      <c r="V51" s="498">
        <v>15</v>
      </c>
      <c r="W51" s="498"/>
      <c r="X51" s="498"/>
      <c r="Y51" s="498"/>
      <c r="Z51" s="498"/>
      <c r="AA51" s="498"/>
      <c r="AB51" s="498"/>
    </row>
    <row r="52" spans="1:39" x14ac:dyDescent="0.3">
      <c r="A52" s="498" t="s">
        <v>459</v>
      </c>
      <c r="B52" s="498" t="s">
        <v>152</v>
      </c>
      <c r="C52" s="498" t="s">
        <v>382</v>
      </c>
      <c r="D52" s="498"/>
      <c r="E52" s="498"/>
      <c r="F52" s="498"/>
      <c r="H52" s="498" t="s">
        <v>459</v>
      </c>
      <c r="I52" s="498" t="s">
        <v>152</v>
      </c>
      <c r="J52" s="498" t="s">
        <v>382</v>
      </c>
      <c r="K52" s="498">
        <v>10</v>
      </c>
      <c r="L52" s="498"/>
      <c r="M52" s="498"/>
      <c r="N52" s="498"/>
      <c r="O52" s="498"/>
      <c r="P52" s="498"/>
      <c r="Q52" s="498"/>
      <c r="S52" s="498" t="s">
        <v>459</v>
      </c>
      <c r="T52" s="498" t="s">
        <v>152</v>
      </c>
      <c r="U52" s="498" t="s">
        <v>382</v>
      </c>
      <c r="V52" s="498">
        <v>15</v>
      </c>
      <c r="W52" s="498"/>
      <c r="X52" s="498"/>
      <c r="Y52" s="498"/>
      <c r="Z52" s="498"/>
      <c r="AA52" s="498"/>
      <c r="AB52" s="49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9"/>
  <sheetViews>
    <sheetView workbookViewId="0">
      <selection sqref="A1:XFD1"/>
    </sheetView>
  </sheetViews>
  <sheetFormatPr defaultColWidth="8.69921875" defaultRowHeight="15.6" x14ac:dyDescent="0.3"/>
  <cols>
    <col min="1" max="16384" width="8.69921875" style="495"/>
  </cols>
  <sheetData>
    <row r="1" spans="1:4" x14ac:dyDescent="0.3">
      <c r="A1" s="496" t="s">
        <v>426</v>
      </c>
    </row>
    <row r="3" spans="1:4" x14ac:dyDescent="0.3">
      <c r="A3" s="497" t="s">
        <v>427</v>
      </c>
      <c r="B3" s="497" t="s">
        <v>438</v>
      </c>
      <c r="C3" s="497" t="s">
        <v>209</v>
      </c>
      <c r="D3" s="497" t="s">
        <v>430</v>
      </c>
    </row>
    <row r="4" spans="1:4" x14ac:dyDescent="0.3">
      <c r="A4" s="498">
        <v>80</v>
      </c>
      <c r="B4" s="498"/>
      <c r="C4" s="498"/>
      <c r="D4" s="498"/>
    </row>
    <row r="5" spans="1:4" x14ac:dyDescent="0.3">
      <c r="A5" s="498">
        <v>80</v>
      </c>
      <c r="B5" s="498"/>
      <c r="C5" s="498"/>
      <c r="D5" s="498"/>
    </row>
    <row r="6" spans="1:4" x14ac:dyDescent="0.3">
      <c r="A6" s="498">
        <v>80</v>
      </c>
      <c r="B6" s="498"/>
      <c r="C6" s="498"/>
      <c r="D6" s="498"/>
    </row>
    <row r="7" spans="1:4" x14ac:dyDescent="0.3">
      <c r="A7" s="498">
        <v>80</v>
      </c>
      <c r="B7" s="498"/>
      <c r="C7" s="498"/>
      <c r="D7" s="498"/>
    </row>
    <row r="8" spans="1:4" x14ac:dyDescent="0.3">
      <c r="A8" s="498">
        <v>80</v>
      </c>
      <c r="B8" s="498"/>
      <c r="C8" s="498"/>
      <c r="D8" s="498"/>
    </row>
    <row r="9" spans="1:4" x14ac:dyDescent="0.3">
      <c r="A9" s="498">
        <v>80</v>
      </c>
      <c r="B9" s="498"/>
      <c r="C9" s="498"/>
      <c r="D9" s="49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M8"/>
  <sheetViews>
    <sheetView workbookViewId="0">
      <selection activeCell="A2" sqref="A2"/>
    </sheetView>
  </sheetViews>
  <sheetFormatPr defaultColWidth="8.69921875" defaultRowHeight="15.6" x14ac:dyDescent="0.3"/>
  <cols>
    <col min="1" max="5" width="8.69921875" style="495"/>
    <col min="12" max="16384" width="8.69921875" style="495"/>
  </cols>
  <sheetData>
    <row r="1" spans="1:13" x14ac:dyDescent="0.3">
      <c r="A1" s="495" t="s">
        <v>461</v>
      </c>
      <c r="F1" s="276" t="s">
        <v>482</v>
      </c>
    </row>
    <row r="2" spans="1:13" x14ac:dyDescent="0.3">
      <c r="A2" s="496" t="s">
        <v>426</v>
      </c>
      <c r="F2" s="46" t="s">
        <v>426</v>
      </c>
    </row>
    <row r="4" spans="1:13" x14ac:dyDescent="0.3">
      <c r="A4" s="497" t="s">
        <v>427</v>
      </c>
      <c r="B4" s="497" t="s">
        <v>438</v>
      </c>
      <c r="C4" s="497" t="s">
        <v>462</v>
      </c>
      <c r="D4" s="497" t="s">
        <v>430</v>
      </c>
      <c r="F4" s="507" t="s">
        <v>427</v>
      </c>
      <c r="G4" s="507" t="s">
        <v>438</v>
      </c>
      <c r="H4" s="507" t="s">
        <v>286</v>
      </c>
      <c r="I4" s="507" t="s">
        <v>287</v>
      </c>
      <c r="J4" s="507" t="s">
        <v>484</v>
      </c>
      <c r="K4" s="507" t="s">
        <v>489</v>
      </c>
      <c r="L4" s="497" t="s">
        <v>483</v>
      </c>
      <c r="M4" s="497" t="s">
        <v>490</v>
      </c>
    </row>
    <row r="5" spans="1:13" x14ac:dyDescent="0.3">
      <c r="A5" s="498">
        <v>60</v>
      </c>
      <c r="B5" s="498"/>
      <c r="C5" s="498"/>
      <c r="D5" s="498"/>
      <c r="F5">
        <v>60</v>
      </c>
      <c r="L5" s="498"/>
      <c r="M5"/>
    </row>
    <row r="6" spans="1:13" x14ac:dyDescent="0.3">
      <c r="A6" s="498">
        <v>80</v>
      </c>
      <c r="B6" s="498"/>
      <c r="C6" s="498"/>
      <c r="D6" s="498"/>
      <c r="F6">
        <v>80</v>
      </c>
      <c r="L6" s="498"/>
      <c r="M6"/>
    </row>
    <row r="7" spans="1:13" x14ac:dyDescent="0.3">
      <c r="A7" s="498">
        <v>100</v>
      </c>
      <c r="B7" s="498"/>
      <c r="C7" s="498"/>
      <c r="D7" s="498"/>
      <c r="F7">
        <v>100</v>
      </c>
      <c r="L7" s="498"/>
      <c r="M7"/>
    </row>
    <row r="8" spans="1:13" x14ac:dyDescent="0.3">
      <c r="A8" s="498">
        <v>120</v>
      </c>
      <c r="B8" s="498"/>
      <c r="C8" s="498"/>
      <c r="D8" s="498"/>
      <c r="F8">
        <v>120</v>
      </c>
      <c r="L8" s="498"/>
      <c r="M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2"/>
  <sheetViews>
    <sheetView workbookViewId="0"/>
  </sheetViews>
  <sheetFormatPr defaultColWidth="8.69921875" defaultRowHeight="15.6" x14ac:dyDescent="0.3"/>
  <cols>
    <col min="1" max="1" width="22.19921875" style="495" customWidth="1"/>
    <col min="2" max="2" width="20.5" style="495" customWidth="1"/>
    <col min="3" max="16384" width="8.69921875" style="495"/>
  </cols>
  <sheetData>
    <row r="1" spans="1:2" x14ac:dyDescent="0.3">
      <c r="A1" s="496" t="s">
        <v>426</v>
      </c>
    </row>
    <row r="3" spans="1:2" x14ac:dyDescent="0.3">
      <c r="A3" s="497" t="s">
        <v>463</v>
      </c>
      <c r="B3" s="497" t="s">
        <v>485</v>
      </c>
    </row>
    <row r="4" spans="1:2" x14ac:dyDescent="0.3">
      <c r="A4" s="498" t="s">
        <v>474</v>
      </c>
      <c r="B4" s="498"/>
    </row>
    <row r="5" spans="1:2" x14ac:dyDescent="0.3">
      <c r="A5" s="498" t="s">
        <v>475</v>
      </c>
      <c r="B5" s="498"/>
    </row>
    <row r="6" spans="1:2" x14ac:dyDescent="0.3">
      <c r="A6" s="498" t="s">
        <v>476</v>
      </c>
      <c r="B6" s="498"/>
    </row>
    <row r="7" spans="1:2" x14ac:dyDescent="0.3">
      <c r="A7" s="498" t="s">
        <v>477</v>
      </c>
      <c r="B7" s="498"/>
    </row>
    <row r="8" spans="1:2" x14ac:dyDescent="0.3">
      <c r="A8" s="498" t="s">
        <v>478</v>
      </c>
      <c r="B8" s="498"/>
    </row>
    <row r="9" spans="1:2" x14ac:dyDescent="0.3">
      <c r="A9" s="498" t="s">
        <v>479</v>
      </c>
      <c r="B9" s="498"/>
    </row>
    <row r="10" spans="1:2" x14ac:dyDescent="0.3">
      <c r="A10" s="498" t="s">
        <v>480</v>
      </c>
      <c r="B10" s="498"/>
    </row>
    <row r="11" spans="1:2" x14ac:dyDescent="0.3">
      <c r="A11" s="498" t="s">
        <v>481</v>
      </c>
      <c r="B11" s="498"/>
    </row>
    <row r="12" spans="1:2" x14ac:dyDescent="0.3">
      <c r="A12" s="498" t="s">
        <v>486</v>
      </c>
      <c r="B12" s="49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workbookViewId="0">
      <selection activeCell="A2" sqref="A2"/>
    </sheetView>
  </sheetViews>
  <sheetFormatPr defaultColWidth="8.69921875" defaultRowHeight="15.6" x14ac:dyDescent="0.3"/>
  <cols>
    <col min="1" max="16384" width="8.69921875" style="495"/>
  </cols>
  <sheetData>
    <row r="1" spans="1:32" x14ac:dyDescent="0.3">
      <c r="A1" s="495" t="s">
        <v>448</v>
      </c>
      <c r="G1" s="495" t="s">
        <v>449</v>
      </c>
      <c r="P1" s="495" t="s">
        <v>450</v>
      </c>
      <c r="Y1" s="495" t="s">
        <v>451</v>
      </c>
    </row>
    <row r="2" spans="1:32" x14ac:dyDescent="0.3">
      <c r="A2" s="496" t="s">
        <v>426</v>
      </c>
      <c r="G2" s="496" t="s">
        <v>426</v>
      </c>
      <c r="P2" s="496" t="s">
        <v>426</v>
      </c>
      <c r="Y2" s="496" t="s">
        <v>426</v>
      </c>
    </row>
    <row r="4" spans="1:32" x14ac:dyDescent="0.3">
      <c r="A4" s="497" t="s">
        <v>406</v>
      </c>
      <c r="B4" s="497" t="s">
        <v>452</v>
      </c>
      <c r="C4" s="497" t="s">
        <v>208</v>
      </c>
      <c r="D4" s="497" t="s">
        <v>149</v>
      </c>
      <c r="E4" s="497" t="s">
        <v>464</v>
      </c>
      <c r="G4" s="497" t="s">
        <v>406</v>
      </c>
      <c r="H4" s="497" t="s">
        <v>452</v>
      </c>
      <c r="I4" s="497" t="s">
        <v>433</v>
      </c>
      <c r="J4" s="497" t="s">
        <v>208</v>
      </c>
      <c r="K4" s="497" t="s">
        <v>149</v>
      </c>
      <c r="L4" s="497" t="s">
        <v>464</v>
      </c>
      <c r="M4" s="497" t="s">
        <v>465</v>
      </c>
      <c r="N4" s="497" t="s">
        <v>434</v>
      </c>
      <c r="P4" s="497" t="s">
        <v>406</v>
      </c>
      <c r="Q4" s="497" t="s">
        <v>452</v>
      </c>
      <c r="R4" s="497" t="s">
        <v>433</v>
      </c>
      <c r="S4" s="497" t="s">
        <v>208</v>
      </c>
      <c r="T4" s="497" t="s">
        <v>149</v>
      </c>
      <c r="U4" s="497" t="s">
        <v>464</v>
      </c>
      <c r="V4" s="497" t="s">
        <v>465</v>
      </c>
      <c r="W4" s="497" t="s">
        <v>434</v>
      </c>
      <c r="Y4" s="497" t="s">
        <v>406</v>
      </c>
      <c r="Z4" s="497" t="s">
        <v>452</v>
      </c>
      <c r="AA4" s="497" t="s">
        <v>433</v>
      </c>
      <c r="AB4" s="497" t="s">
        <v>208</v>
      </c>
      <c r="AC4" s="497" t="s">
        <v>149</v>
      </c>
      <c r="AD4" s="497" t="s">
        <v>464</v>
      </c>
      <c r="AE4" s="497" t="s">
        <v>465</v>
      </c>
      <c r="AF4" s="497" t="s">
        <v>434</v>
      </c>
    </row>
    <row r="5" spans="1:32" x14ac:dyDescent="0.3">
      <c r="A5" s="498" t="s">
        <v>457</v>
      </c>
      <c r="B5" s="498" t="s">
        <v>152</v>
      </c>
      <c r="C5" s="498"/>
      <c r="D5" s="498"/>
      <c r="E5" s="498"/>
      <c r="G5" s="498" t="s">
        <v>457</v>
      </c>
      <c r="H5" s="498" t="s">
        <v>152</v>
      </c>
      <c r="I5" s="498">
        <v>15</v>
      </c>
      <c r="J5" s="498"/>
      <c r="K5" s="498"/>
      <c r="L5" s="498"/>
      <c r="M5" s="498"/>
      <c r="N5" s="498"/>
      <c r="P5" s="498" t="s">
        <v>457</v>
      </c>
      <c r="Q5" s="498" t="s">
        <v>152</v>
      </c>
      <c r="R5" s="498">
        <v>15</v>
      </c>
      <c r="S5" s="498"/>
      <c r="T5" s="498"/>
      <c r="U5" s="498"/>
      <c r="V5" s="498"/>
      <c r="W5" s="498"/>
      <c r="Y5" s="498" t="s">
        <v>457</v>
      </c>
      <c r="Z5" s="498" t="s">
        <v>152</v>
      </c>
      <c r="AA5" s="498">
        <v>15</v>
      </c>
      <c r="AB5" s="498"/>
      <c r="AC5" s="498"/>
      <c r="AD5" s="498"/>
      <c r="AE5" s="498"/>
      <c r="AF5" s="498"/>
    </row>
    <row r="6" spans="1:32" x14ac:dyDescent="0.3">
      <c r="A6" s="498" t="s">
        <v>457</v>
      </c>
      <c r="B6" s="498" t="s">
        <v>155</v>
      </c>
      <c r="C6" s="498"/>
      <c r="D6" s="498"/>
      <c r="E6" s="498"/>
      <c r="G6" s="498" t="s">
        <v>457</v>
      </c>
      <c r="H6" s="498" t="s">
        <v>155</v>
      </c>
      <c r="I6" s="498">
        <v>15</v>
      </c>
      <c r="J6" s="498"/>
      <c r="K6" s="498"/>
      <c r="L6" s="498"/>
      <c r="M6" s="498"/>
      <c r="N6" s="498"/>
      <c r="P6" s="498" t="s">
        <v>457</v>
      </c>
      <c r="Q6" s="498" t="s">
        <v>155</v>
      </c>
      <c r="R6" s="498">
        <v>15</v>
      </c>
      <c r="S6" s="498"/>
      <c r="T6" s="498"/>
      <c r="U6" s="498"/>
      <c r="V6" s="498"/>
      <c r="W6" s="498"/>
      <c r="Y6" s="498" t="s">
        <v>457</v>
      </c>
      <c r="Z6" s="498" t="s">
        <v>155</v>
      </c>
      <c r="AA6" s="498">
        <v>15</v>
      </c>
      <c r="AB6" s="498"/>
      <c r="AC6" s="498"/>
      <c r="AD6" s="498"/>
      <c r="AE6" s="498"/>
      <c r="AF6" s="498"/>
    </row>
    <row r="7" spans="1:32" x14ac:dyDescent="0.3">
      <c r="A7" s="498" t="s">
        <v>457</v>
      </c>
      <c r="B7" s="498" t="s">
        <v>156</v>
      </c>
      <c r="C7" s="498"/>
      <c r="D7" s="498"/>
      <c r="E7" s="498"/>
      <c r="G7" s="498" t="s">
        <v>457</v>
      </c>
      <c r="H7" s="498" t="s">
        <v>156</v>
      </c>
      <c r="I7" s="498">
        <v>15</v>
      </c>
      <c r="J7" s="498"/>
      <c r="K7" s="498"/>
      <c r="L7" s="498"/>
      <c r="M7" s="498"/>
      <c r="N7" s="498"/>
      <c r="P7" s="498" t="s">
        <v>457</v>
      </c>
      <c r="Q7" s="498" t="s">
        <v>156</v>
      </c>
      <c r="R7" s="498">
        <v>15</v>
      </c>
      <c r="S7" s="498"/>
      <c r="T7" s="498"/>
      <c r="U7" s="498"/>
      <c r="V7" s="498"/>
      <c r="W7" s="498"/>
      <c r="Y7" s="498" t="s">
        <v>457</v>
      </c>
      <c r="Z7" s="498" t="s">
        <v>156</v>
      </c>
      <c r="AA7" s="498">
        <v>15</v>
      </c>
      <c r="AB7" s="498"/>
      <c r="AC7" s="498"/>
      <c r="AD7" s="498"/>
      <c r="AE7" s="498"/>
      <c r="AF7" s="498"/>
    </row>
    <row r="8" spans="1:32" x14ac:dyDescent="0.3">
      <c r="A8" s="498" t="s">
        <v>457</v>
      </c>
      <c r="B8" s="498" t="s">
        <v>157</v>
      </c>
      <c r="C8" s="498"/>
      <c r="D8" s="498"/>
      <c r="E8" s="498"/>
      <c r="G8" s="498" t="s">
        <v>457</v>
      </c>
      <c r="H8" s="498" t="s">
        <v>157</v>
      </c>
      <c r="I8" s="498">
        <v>15</v>
      </c>
      <c r="J8" s="498"/>
      <c r="K8" s="498"/>
      <c r="L8" s="498"/>
      <c r="M8" s="498"/>
      <c r="N8" s="498"/>
      <c r="P8" s="498" t="s">
        <v>457</v>
      </c>
      <c r="Q8" s="498" t="s">
        <v>157</v>
      </c>
      <c r="R8" s="498">
        <v>15</v>
      </c>
      <c r="S8" s="498"/>
      <c r="T8" s="498"/>
      <c r="U8" s="498"/>
      <c r="V8" s="498"/>
      <c r="W8" s="498"/>
      <c r="Y8" s="498" t="s">
        <v>457</v>
      </c>
      <c r="Z8" s="498" t="s">
        <v>157</v>
      </c>
      <c r="AA8" s="498">
        <v>15</v>
      </c>
      <c r="AB8" s="498"/>
      <c r="AC8" s="498"/>
      <c r="AD8" s="498"/>
      <c r="AE8" s="498"/>
      <c r="AF8" s="498"/>
    </row>
    <row r="9" spans="1:32" x14ac:dyDescent="0.3">
      <c r="A9" s="498" t="s">
        <v>457</v>
      </c>
      <c r="B9" s="498" t="s">
        <v>158</v>
      </c>
      <c r="C9" s="498"/>
      <c r="D9" s="498"/>
      <c r="E9" s="498"/>
      <c r="G9" s="498" t="s">
        <v>457</v>
      </c>
      <c r="H9" s="498" t="s">
        <v>158</v>
      </c>
      <c r="I9" s="498">
        <v>15</v>
      </c>
      <c r="J9" s="498"/>
      <c r="K9" s="498"/>
      <c r="L9" s="498"/>
      <c r="M9" s="498"/>
      <c r="N9" s="498"/>
      <c r="P9" s="498" t="s">
        <v>457</v>
      </c>
      <c r="Q9" s="498" t="s">
        <v>158</v>
      </c>
      <c r="R9" s="498">
        <v>15</v>
      </c>
      <c r="S9" s="498"/>
      <c r="T9" s="498"/>
      <c r="U9" s="498"/>
      <c r="V9" s="498"/>
      <c r="W9" s="498"/>
      <c r="Y9" s="498" t="s">
        <v>457</v>
      </c>
      <c r="Z9" s="498" t="s">
        <v>158</v>
      </c>
      <c r="AA9" s="498">
        <v>15</v>
      </c>
      <c r="AB9" s="498"/>
      <c r="AC9" s="498"/>
      <c r="AD9" s="498"/>
      <c r="AE9" s="498"/>
      <c r="AF9" s="498"/>
    </row>
    <row r="10" spans="1:32" x14ac:dyDescent="0.3">
      <c r="A10" s="498" t="s">
        <v>458</v>
      </c>
      <c r="B10" s="498" t="s">
        <v>152</v>
      </c>
      <c r="C10" s="498"/>
      <c r="D10" s="498"/>
      <c r="E10" s="498"/>
      <c r="G10" s="498" t="s">
        <v>458</v>
      </c>
      <c r="H10" s="498" t="s">
        <v>152</v>
      </c>
      <c r="I10" s="498">
        <v>15</v>
      </c>
      <c r="J10" s="498"/>
      <c r="K10" s="498"/>
      <c r="L10" s="498"/>
      <c r="M10" s="498"/>
      <c r="N10" s="498"/>
      <c r="P10" s="498" t="s">
        <v>458</v>
      </c>
      <c r="Q10" s="498" t="s">
        <v>152</v>
      </c>
      <c r="R10" s="498">
        <v>15</v>
      </c>
      <c r="S10" s="498"/>
      <c r="T10" s="498"/>
      <c r="U10" s="498"/>
      <c r="V10" s="498"/>
      <c r="W10" s="498"/>
      <c r="Y10" s="498" t="s">
        <v>458</v>
      </c>
      <c r="Z10" s="498" t="s">
        <v>152</v>
      </c>
      <c r="AA10" s="498">
        <v>15</v>
      </c>
      <c r="AB10" s="498"/>
      <c r="AC10" s="498"/>
      <c r="AD10" s="498"/>
      <c r="AE10" s="498"/>
      <c r="AF10" s="498"/>
    </row>
    <row r="11" spans="1:32" x14ac:dyDescent="0.3">
      <c r="A11" s="498" t="s">
        <v>458</v>
      </c>
      <c r="B11" s="498" t="s">
        <v>155</v>
      </c>
      <c r="C11" s="498"/>
      <c r="D11" s="498"/>
      <c r="E11" s="498"/>
      <c r="G11" s="498" t="s">
        <v>458</v>
      </c>
      <c r="H11" s="498" t="s">
        <v>155</v>
      </c>
      <c r="I11" s="498">
        <v>15</v>
      </c>
      <c r="J11" s="498"/>
      <c r="K11" s="498"/>
      <c r="L11" s="498"/>
      <c r="M11" s="498"/>
      <c r="N11" s="498"/>
      <c r="P11" s="498" t="s">
        <v>458</v>
      </c>
      <c r="Q11" s="498" t="s">
        <v>155</v>
      </c>
      <c r="R11" s="498">
        <v>15</v>
      </c>
      <c r="S11" s="498"/>
      <c r="T11" s="498"/>
      <c r="U11" s="498"/>
      <c r="V11" s="498"/>
      <c r="W11" s="498"/>
      <c r="Y11" s="498" t="s">
        <v>458</v>
      </c>
      <c r="Z11" s="498" t="s">
        <v>155</v>
      </c>
      <c r="AA11" s="498">
        <v>15</v>
      </c>
      <c r="AB11" s="498"/>
      <c r="AC11" s="498"/>
      <c r="AD11" s="498"/>
      <c r="AE11" s="498"/>
      <c r="AF11" s="498"/>
    </row>
    <row r="12" spans="1:32" x14ac:dyDescent="0.3">
      <c r="A12" s="498" t="s">
        <v>458</v>
      </c>
      <c r="B12" s="498" t="s">
        <v>156</v>
      </c>
      <c r="C12" s="498"/>
      <c r="D12" s="498"/>
      <c r="E12" s="498"/>
      <c r="G12" s="498" t="s">
        <v>458</v>
      </c>
      <c r="H12" s="498" t="s">
        <v>156</v>
      </c>
      <c r="I12" s="498">
        <v>15</v>
      </c>
      <c r="J12" s="498"/>
      <c r="K12" s="498"/>
      <c r="L12" s="498"/>
      <c r="M12" s="498"/>
      <c r="N12" s="498"/>
      <c r="P12" s="498" t="s">
        <v>458</v>
      </c>
      <c r="Q12" s="498" t="s">
        <v>156</v>
      </c>
      <c r="R12" s="498">
        <v>15</v>
      </c>
      <c r="S12" s="498"/>
      <c r="T12" s="498"/>
      <c r="U12" s="498"/>
      <c r="V12" s="498"/>
      <c r="W12" s="498"/>
      <c r="Y12" s="498" t="s">
        <v>458</v>
      </c>
      <c r="Z12" s="498" t="s">
        <v>156</v>
      </c>
      <c r="AA12" s="498">
        <v>15</v>
      </c>
      <c r="AB12" s="498"/>
      <c r="AC12" s="498"/>
      <c r="AD12" s="498"/>
      <c r="AE12" s="498"/>
      <c r="AF12" s="498"/>
    </row>
    <row r="13" spans="1:32" x14ac:dyDescent="0.3">
      <c r="A13" s="498" t="s">
        <v>458</v>
      </c>
      <c r="B13" s="498" t="s">
        <v>157</v>
      </c>
      <c r="C13" s="498"/>
      <c r="D13" s="498"/>
      <c r="E13" s="498"/>
      <c r="G13" s="498" t="s">
        <v>458</v>
      </c>
      <c r="H13" s="498" t="s">
        <v>157</v>
      </c>
      <c r="I13" s="498">
        <v>15</v>
      </c>
      <c r="J13" s="498"/>
      <c r="K13" s="498"/>
      <c r="L13" s="498"/>
      <c r="M13" s="498"/>
      <c r="N13" s="498"/>
      <c r="P13" s="498" t="s">
        <v>458</v>
      </c>
      <c r="Q13" s="498" t="s">
        <v>157</v>
      </c>
      <c r="R13" s="498">
        <v>15</v>
      </c>
      <c r="S13" s="498"/>
      <c r="T13" s="498"/>
      <c r="U13" s="498"/>
      <c r="V13" s="498"/>
      <c r="W13" s="498"/>
      <c r="Y13" s="498" t="s">
        <v>458</v>
      </c>
      <c r="Z13" s="498" t="s">
        <v>157</v>
      </c>
      <c r="AA13" s="498">
        <v>15</v>
      </c>
      <c r="AB13" s="498"/>
      <c r="AC13" s="498"/>
      <c r="AD13" s="498"/>
      <c r="AE13" s="498"/>
      <c r="AF13" s="498"/>
    </row>
    <row r="14" spans="1:32" x14ac:dyDescent="0.3">
      <c r="A14" s="498" t="s">
        <v>458</v>
      </c>
      <c r="B14" s="498" t="s">
        <v>158</v>
      </c>
      <c r="C14" s="498"/>
      <c r="D14" s="498"/>
      <c r="E14" s="498"/>
      <c r="G14" s="498" t="s">
        <v>458</v>
      </c>
      <c r="H14" s="498" t="s">
        <v>158</v>
      </c>
      <c r="I14" s="498">
        <v>15</v>
      </c>
      <c r="J14" s="498"/>
      <c r="K14" s="498"/>
      <c r="L14" s="498"/>
      <c r="M14" s="498"/>
      <c r="N14" s="498"/>
      <c r="P14" s="498" t="s">
        <v>458</v>
      </c>
      <c r="Q14" s="498" t="s">
        <v>158</v>
      </c>
      <c r="R14" s="498">
        <v>15</v>
      </c>
      <c r="S14" s="498"/>
      <c r="T14" s="498"/>
      <c r="U14" s="498"/>
      <c r="V14" s="498"/>
      <c r="W14" s="498"/>
      <c r="Y14" s="498" t="s">
        <v>458</v>
      </c>
      <c r="Z14" s="498" t="s">
        <v>158</v>
      </c>
      <c r="AA14" s="498">
        <v>15</v>
      </c>
      <c r="AB14" s="498"/>
      <c r="AC14" s="498"/>
      <c r="AD14" s="498"/>
      <c r="AE14" s="498"/>
      <c r="AF14" s="498"/>
    </row>
    <row r="15" spans="1:32" x14ac:dyDescent="0.3">
      <c r="A15" s="498" t="s">
        <v>459</v>
      </c>
      <c r="B15" s="498" t="s">
        <v>152</v>
      </c>
      <c r="C15" s="498"/>
      <c r="D15" s="498"/>
      <c r="E15" s="498"/>
      <c r="G15" s="498" t="s">
        <v>466</v>
      </c>
      <c r="H15" s="498" t="s">
        <v>152</v>
      </c>
      <c r="I15" s="498">
        <v>15</v>
      </c>
      <c r="J15" s="498"/>
      <c r="K15" s="498"/>
      <c r="L15" s="498"/>
      <c r="M15" s="498"/>
      <c r="N15" s="498"/>
      <c r="P15" s="498" t="s">
        <v>466</v>
      </c>
      <c r="Q15" s="498" t="s">
        <v>152</v>
      </c>
      <c r="R15" s="498">
        <v>15</v>
      </c>
      <c r="S15" s="498"/>
      <c r="T15" s="498"/>
      <c r="U15" s="498"/>
      <c r="V15" s="498"/>
      <c r="W15" s="498"/>
      <c r="Y15" s="498" t="s">
        <v>466</v>
      </c>
      <c r="Z15" s="498" t="s">
        <v>152</v>
      </c>
      <c r="AA15" s="498">
        <v>15</v>
      </c>
      <c r="AB15" s="498"/>
      <c r="AC15" s="498"/>
      <c r="AD15" s="498"/>
      <c r="AE15" s="498"/>
      <c r="AF15" s="498"/>
    </row>
    <row r="16" spans="1:32" x14ac:dyDescent="0.3">
      <c r="A16" s="498" t="s">
        <v>459</v>
      </c>
      <c r="B16" s="498" t="s">
        <v>155</v>
      </c>
      <c r="C16" s="498"/>
      <c r="D16" s="498"/>
      <c r="E16" s="498"/>
      <c r="G16" s="498" t="s">
        <v>466</v>
      </c>
      <c r="H16" s="498" t="s">
        <v>155</v>
      </c>
      <c r="I16" s="498">
        <v>15</v>
      </c>
      <c r="J16" s="498"/>
      <c r="K16" s="498"/>
      <c r="L16" s="498"/>
      <c r="M16" s="498"/>
      <c r="N16" s="498"/>
      <c r="P16" s="498" t="s">
        <v>466</v>
      </c>
      <c r="Q16" s="498" t="s">
        <v>155</v>
      </c>
      <c r="R16" s="498">
        <v>15</v>
      </c>
      <c r="S16" s="498"/>
      <c r="T16" s="498"/>
      <c r="U16" s="498"/>
      <c r="V16" s="498"/>
      <c r="W16" s="498"/>
      <c r="Y16" s="498" t="s">
        <v>466</v>
      </c>
      <c r="Z16" s="498" t="s">
        <v>155</v>
      </c>
      <c r="AA16" s="498">
        <v>15</v>
      </c>
      <c r="AB16" s="498"/>
      <c r="AC16" s="498"/>
      <c r="AD16" s="498"/>
      <c r="AE16" s="498"/>
      <c r="AF16" s="498"/>
    </row>
    <row r="17" spans="1:32" x14ac:dyDescent="0.3">
      <c r="A17" s="498" t="s">
        <v>459</v>
      </c>
      <c r="B17" s="498" t="s">
        <v>156</v>
      </c>
      <c r="C17" s="498"/>
      <c r="D17" s="498"/>
      <c r="E17" s="498"/>
      <c r="G17" s="498" t="s">
        <v>466</v>
      </c>
      <c r="H17" s="498" t="s">
        <v>156</v>
      </c>
      <c r="I17" s="498">
        <v>15</v>
      </c>
      <c r="J17" s="498"/>
      <c r="K17" s="498"/>
      <c r="L17" s="498"/>
      <c r="M17" s="498"/>
      <c r="N17" s="498"/>
      <c r="P17" s="498" t="s">
        <v>466</v>
      </c>
      <c r="Q17" s="498" t="s">
        <v>156</v>
      </c>
      <c r="R17" s="498">
        <v>15</v>
      </c>
      <c r="S17" s="498"/>
      <c r="T17" s="498"/>
      <c r="U17" s="498"/>
      <c r="V17" s="498"/>
      <c r="W17" s="498"/>
      <c r="Y17" s="498" t="s">
        <v>466</v>
      </c>
      <c r="Z17" s="498" t="s">
        <v>156</v>
      </c>
      <c r="AA17" s="498">
        <v>15</v>
      </c>
      <c r="AB17" s="498"/>
      <c r="AC17" s="498"/>
      <c r="AD17" s="498"/>
      <c r="AE17" s="498"/>
      <c r="AF17" s="498"/>
    </row>
    <row r="18" spans="1:32" x14ac:dyDescent="0.3">
      <c r="A18" s="498" t="s">
        <v>459</v>
      </c>
      <c r="B18" s="498" t="s">
        <v>157</v>
      </c>
      <c r="C18" s="498"/>
      <c r="D18" s="498"/>
      <c r="E18" s="498"/>
      <c r="G18" s="498" t="s">
        <v>466</v>
      </c>
      <c r="H18" s="498" t="s">
        <v>157</v>
      </c>
      <c r="I18" s="498">
        <v>15</v>
      </c>
      <c r="J18" s="498"/>
      <c r="K18" s="498"/>
      <c r="L18" s="498"/>
      <c r="M18" s="498"/>
      <c r="N18" s="498"/>
      <c r="P18" s="498" t="s">
        <v>466</v>
      </c>
      <c r="Q18" s="498" t="s">
        <v>157</v>
      </c>
      <c r="R18" s="498">
        <v>15</v>
      </c>
      <c r="S18" s="498"/>
      <c r="T18" s="498"/>
      <c r="U18" s="498"/>
      <c r="V18" s="498"/>
      <c r="W18" s="498"/>
      <c r="Y18" s="498" t="s">
        <v>466</v>
      </c>
      <c r="Z18" s="498" t="s">
        <v>157</v>
      </c>
      <c r="AA18" s="498">
        <v>15</v>
      </c>
      <c r="AB18" s="498"/>
      <c r="AC18" s="498"/>
      <c r="AD18" s="498"/>
      <c r="AE18" s="498"/>
      <c r="AF18" s="498"/>
    </row>
    <row r="19" spans="1:32" x14ac:dyDescent="0.3">
      <c r="A19" s="498" t="s">
        <v>459</v>
      </c>
      <c r="B19" s="498" t="s">
        <v>158</v>
      </c>
      <c r="C19" s="498"/>
      <c r="D19" s="498"/>
      <c r="E19" s="498"/>
      <c r="G19" s="498" t="s">
        <v>466</v>
      </c>
      <c r="H19" s="498" t="s">
        <v>158</v>
      </c>
      <c r="I19" s="498">
        <v>15</v>
      </c>
      <c r="J19" s="498"/>
      <c r="K19" s="498"/>
      <c r="L19" s="498"/>
      <c r="M19" s="498"/>
      <c r="N19" s="498"/>
      <c r="P19" s="498" t="s">
        <v>466</v>
      </c>
      <c r="Q19" s="498" t="s">
        <v>158</v>
      </c>
      <c r="R19" s="498">
        <v>15</v>
      </c>
      <c r="S19" s="498"/>
      <c r="T19" s="498"/>
      <c r="U19" s="498"/>
      <c r="V19" s="498"/>
      <c r="W19" s="498"/>
      <c r="Y19" s="498" t="s">
        <v>466</v>
      </c>
      <c r="Z19" s="498" t="s">
        <v>158</v>
      </c>
      <c r="AA19" s="498">
        <v>15</v>
      </c>
      <c r="AB19" s="498"/>
      <c r="AC19" s="498"/>
      <c r="AD19" s="498"/>
      <c r="AE19" s="498"/>
      <c r="AF19" s="49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s>
  <sheetFormatPr defaultRowHeight="15.6" x14ac:dyDescent="0.3"/>
  <cols>
    <col min="1" max="1" width="10.8984375" customWidth="1"/>
    <col min="2" max="3" width="14.3984375" customWidth="1"/>
    <col min="4" max="4" width="14.09765625" customWidth="1"/>
    <col min="5" max="6" width="14" customWidth="1"/>
    <col min="7" max="8" width="13.3984375" customWidth="1"/>
    <col min="9" max="9" width="13.59765625" customWidth="1"/>
    <col min="10" max="11" width="13.3984375" customWidth="1"/>
    <col min="12" max="12" width="13.59765625" customWidth="1"/>
    <col min="13" max="1025" width="10.59765625" customWidth="1"/>
  </cols>
  <sheetData>
    <row r="1" spans="1:11" x14ac:dyDescent="0.3">
      <c r="A1" t="s">
        <v>402</v>
      </c>
      <c r="B1" s="112" t="s">
        <v>403</v>
      </c>
      <c r="C1" s="252"/>
    </row>
    <row r="2" spans="1:11" x14ac:dyDescent="0.3">
      <c r="A2" t="s">
        <v>404</v>
      </c>
      <c r="B2" s="253" t="str">
        <f>Fluoro!F13</f>
        <v/>
      </c>
      <c r="C2" s="254"/>
    </row>
    <row r="3" spans="1:11" x14ac:dyDescent="0.3">
      <c r="A3" t="s">
        <v>134</v>
      </c>
      <c r="B3" s="112">
        <f>Fluoro!D136</f>
        <v>80</v>
      </c>
      <c r="C3" s="112" t="str">
        <f>Fluoro!H138</f>
        <v>TBD</v>
      </c>
    </row>
    <row r="4" spans="1:11" x14ac:dyDescent="0.3">
      <c r="A4" t="s">
        <v>405</v>
      </c>
      <c r="B4" s="112" t="str">
        <f>Fluoro!O110</f>
        <v/>
      </c>
    </row>
    <row r="5" spans="1:11" x14ac:dyDescent="0.3">
      <c r="B5" s="112" t="str">
        <f>Fluoro!O113</f>
        <v/>
      </c>
    </row>
    <row r="6" spans="1:11" x14ac:dyDescent="0.3">
      <c r="B6" s="112" t="str">
        <f>Fluoro!O116</f>
        <v/>
      </c>
    </row>
    <row r="7" spans="1:11" x14ac:dyDescent="0.3">
      <c r="B7" s="112" t="str">
        <f>Fluoro!O119</f>
        <v/>
      </c>
    </row>
    <row r="8" spans="1:11" x14ac:dyDescent="0.3">
      <c r="B8" s="112" t="str">
        <f>Fluoro!O122</f>
        <v/>
      </c>
    </row>
    <row r="9" spans="1:11" x14ac:dyDescent="0.3">
      <c r="A9" t="s">
        <v>406</v>
      </c>
      <c r="B9" s="112" t="str">
        <f>Fluoro!Q107</f>
        <v>Auto 1</v>
      </c>
    </row>
    <row r="10" spans="1:11" x14ac:dyDescent="0.3">
      <c r="B10" s="112" t="str">
        <f>Fluoro!T107</f>
        <v/>
      </c>
    </row>
    <row r="11" spans="1:11" x14ac:dyDescent="0.3">
      <c r="B11" s="112" t="str">
        <f>Fluoro!W107</f>
        <v xml:space="preserve">Auto </v>
      </c>
    </row>
    <row r="12" spans="1:11" x14ac:dyDescent="0.3">
      <c r="A12" t="s">
        <v>407</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3">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3">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3">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3">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3">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3">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3">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3">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3">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3">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3">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3">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3">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3">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3">
      <c r="A27" t="s">
        <v>408</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3">
      <c r="A28" t="s">
        <v>406</v>
      </c>
      <c r="B28" s="112" t="str">
        <f>Fluoro!Q139</f>
        <v>Auto 1</v>
      </c>
    </row>
    <row r="29" spans="1:11" x14ac:dyDescent="0.3">
      <c r="B29" s="112" t="str">
        <f>Fluoro!T139</f>
        <v/>
      </c>
    </row>
    <row r="30" spans="1:11" x14ac:dyDescent="0.3">
      <c r="B30" s="112" t="str">
        <f>Fluoro!W139</f>
        <v xml:space="preserve">Auto </v>
      </c>
    </row>
    <row r="31" spans="1:11" x14ac:dyDescent="0.3">
      <c r="A31" t="s">
        <v>407</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3">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3">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3">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3">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3">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3">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3">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3">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3">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3">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3">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3">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3">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3">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3">
      <c r="A46" t="s">
        <v>408</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3">
      <c r="A47" t="s">
        <v>409</v>
      </c>
      <c r="B47" s="112" t="str">
        <f>B4</f>
        <v/>
      </c>
      <c r="C47" s="112">
        <f>Fluoro!Q190</f>
        <v>0</v>
      </c>
      <c r="D47" s="112">
        <f>Fluoro!R190</f>
        <v>0</v>
      </c>
      <c r="E47" s="112">
        <f>Fluoro!S190</f>
        <v>0</v>
      </c>
      <c r="F47" s="112">
        <f>Fluoro!T190</f>
        <v>0</v>
      </c>
    </row>
    <row r="48" spans="1:11" x14ac:dyDescent="0.3">
      <c r="B48" s="112" t="str">
        <f>B5</f>
        <v/>
      </c>
      <c r="C48" s="112">
        <f>Fluoro!Q191</f>
        <v>0</v>
      </c>
      <c r="D48" s="112">
        <f>Fluoro!R191</f>
        <v>0</v>
      </c>
      <c r="E48" s="112">
        <f>Fluoro!S191</f>
        <v>0</v>
      </c>
      <c r="F48" s="112">
        <f>Fluoro!T191</f>
        <v>0</v>
      </c>
    </row>
    <row r="49" spans="1:6" x14ac:dyDescent="0.3">
      <c r="B49" s="112" t="str">
        <f>B6</f>
        <v/>
      </c>
      <c r="C49" s="112">
        <f>Fluoro!Q192</f>
        <v>0</v>
      </c>
      <c r="D49" s="112">
        <f>Fluoro!R192</f>
        <v>0</v>
      </c>
      <c r="E49" s="112">
        <f>Fluoro!S192</f>
        <v>0</v>
      </c>
      <c r="F49" s="112">
        <f>Fluoro!T192</f>
        <v>0</v>
      </c>
    </row>
    <row r="50" spans="1:6" x14ac:dyDescent="0.3">
      <c r="B50" s="112" t="str">
        <f>B7</f>
        <v/>
      </c>
      <c r="C50" s="112">
        <f>Fluoro!Q193</f>
        <v>0</v>
      </c>
      <c r="D50" s="112">
        <f>Fluoro!R193</f>
        <v>0</v>
      </c>
      <c r="E50" s="112">
        <f>Fluoro!S193</f>
        <v>0</v>
      </c>
      <c r="F50" s="112">
        <f>Fluoro!T193</f>
        <v>0</v>
      </c>
    </row>
    <row r="51" spans="1:6" x14ac:dyDescent="0.3">
      <c r="B51" s="112" t="str">
        <f>B8</f>
        <v/>
      </c>
      <c r="C51" s="112">
        <f>Fluoro!Q194</f>
        <v>0</v>
      </c>
      <c r="D51" s="112">
        <f>Fluoro!R194</f>
        <v>0</v>
      </c>
      <c r="E51" s="112">
        <f>Fluoro!S194</f>
        <v>0</v>
      </c>
      <c r="F51" s="112">
        <f>Fluoro!T194</f>
        <v>0</v>
      </c>
    </row>
    <row r="52" spans="1:6" x14ac:dyDescent="0.3">
      <c r="B52" s="112" t="str">
        <f>B4</f>
        <v/>
      </c>
      <c r="C52" s="112">
        <f>Fluoro!Q195</f>
        <v>0</v>
      </c>
      <c r="D52" s="112">
        <f>Fluoro!R195</f>
        <v>0</v>
      </c>
      <c r="E52" s="112">
        <f>Fluoro!S195</f>
        <v>0</v>
      </c>
      <c r="F52" s="112">
        <f>Fluoro!T195</f>
        <v>0</v>
      </c>
    </row>
    <row r="53" spans="1:6" x14ac:dyDescent="0.3">
      <c r="B53" s="112" t="str">
        <f>B5</f>
        <v/>
      </c>
      <c r="C53" s="112">
        <f>Fluoro!Q196</f>
        <v>0</v>
      </c>
      <c r="D53" s="112">
        <f>Fluoro!R196</f>
        <v>0</v>
      </c>
      <c r="E53" s="112">
        <f>Fluoro!S196</f>
        <v>0</v>
      </c>
      <c r="F53" s="112">
        <f>Fluoro!T196</f>
        <v>0</v>
      </c>
    </row>
    <row r="54" spans="1:6" x14ac:dyDescent="0.3">
      <c r="B54" s="112" t="str">
        <f>B6</f>
        <v/>
      </c>
      <c r="C54" s="112">
        <f>Fluoro!Q197</f>
        <v>0</v>
      </c>
      <c r="D54" s="112">
        <f>Fluoro!R197</f>
        <v>0</v>
      </c>
      <c r="E54" s="112">
        <f>Fluoro!S197</f>
        <v>0</v>
      </c>
      <c r="F54" s="112">
        <f>Fluoro!T197</f>
        <v>0</v>
      </c>
    </row>
    <row r="55" spans="1:6" x14ac:dyDescent="0.3">
      <c r="B55" s="112" t="str">
        <f>B7</f>
        <v/>
      </c>
      <c r="C55" s="112">
        <f>Fluoro!Q198</f>
        <v>0</v>
      </c>
      <c r="D55" s="112">
        <f>Fluoro!R198</f>
        <v>0</v>
      </c>
      <c r="E55" s="112">
        <f>Fluoro!S198</f>
        <v>0</v>
      </c>
      <c r="F55" s="112">
        <f>Fluoro!T198</f>
        <v>0</v>
      </c>
    </row>
    <row r="56" spans="1:6" x14ac:dyDescent="0.3">
      <c r="B56" s="112" t="str">
        <f>B8</f>
        <v/>
      </c>
      <c r="C56" s="112">
        <f>Fluoro!Q199</f>
        <v>0</v>
      </c>
      <c r="D56" s="112">
        <f>Fluoro!R199</f>
        <v>0</v>
      </c>
      <c r="E56" s="112">
        <f>Fluoro!S199</f>
        <v>0</v>
      </c>
      <c r="F56" s="112">
        <f>Fluoro!T199</f>
        <v>0</v>
      </c>
    </row>
    <row r="57" spans="1:6" x14ac:dyDescent="0.3">
      <c r="B57" s="112" t="str">
        <f>B4</f>
        <v/>
      </c>
      <c r="C57" s="112">
        <f>Fluoro!Q200</f>
        <v>0</v>
      </c>
      <c r="D57" s="112">
        <f>Fluoro!R200</f>
        <v>0</v>
      </c>
      <c r="E57" s="112">
        <f>Fluoro!S200</f>
        <v>0</v>
      </c>
      <c r="F57" s="112">
        <f>Fluoro!T200</f>
        <v>0</v>
      </c>
    </row>
    <row r="58" spans="1:6" x14ac:dyDescent="0.3">
      <c r="B58" s="112" t="str">
        <f>B5</f>
        <v/>
      </c>
      <c r="C58" s="112">
        <f>Fluoro!Q201</f>
        <v>0</v>
      </c>
      <c r="D58" s="112">
        <f>Fluoro!R201</f>
        <v>0</v>
      </c>
      <c r="E58" s="112">
        <f>Fluoro!S201</f>
        <v>0</v>
      </c>
      <c r="F58" s="112">
        <f>Fluoro!T201</f>
        <v>0</v>
      </c>
    </row>
    <row r="59" spans="1:6" x14ac:dyDescent="0.3">
      <c r="B59" s="112" t="str">
        <f>B6</f>
        <v/>
      </c>
      <c r="C59" s="112">
        <f>Fluoro!Q202</f>
        <v>0</v>
      </c>
      <c r="D59" s="112">
        <f>Fluoro!R202</f>
        <v>0</v>
      </c>
      <c r="E59" s="112">
        <f>Fluoro!S202</f>
        <v>0</v>
      </c>
      <c r="F59" s="112">
        <f>Fluoro!T202</f>
        <v>0</v>
      </c>
    </row>
    <row r="60" spans="1:6" x14ac:dyDescent="0.3">
      <c r="B60" s="112" t="str">
        <f>B7</f>
        <v/>
      </c>
      <c r="C60" s="112">
        <f>Fluoro!Q203</f>
        <v>0</v>
      </c>
      <c r="D60" s="112">
        <f>Fluoro!R203</f>
        <v>0</v>
      </c>
      <c r="E60" s="112">
        <f>Fluoro!S203</f>
        <v>0</v>
      </c>
      <c r="F60" s="112">
        <f>Fluoro!T203</f>
        <v>0</v>
      </c>
    </row>
    <row r="61" spans="1:6" x14ac:dyDescent="0.3">
      <c r="B61" s="112" t="str">
        <f>B8</f>
        <v/>
      </c>
      <c r="C61" s="112">
        <f>Fluoro!Q204</f>
        <v>0</v>
      </c>
      <c r="D61" s="112">
        <f>Fluoro!R204</f>
        <v>0</v>
      </c>
      <c r="E61" s="112">
        <f>Fluoro!S204</f>
        <v>0</v>
      </c>
      <c r="F61" s="112">
        <f>Fluoro!T204</f>
        <v>0</v>
      </c>
    </row>
    <row r="62" spans="1:6" x14ac:dyDescent="0.3">
      <c r="A62" t="s">
        <v>409</v>
      </c>
      <c r="B62" s="112" t="str">
        <f>B4</f>
        <v/>
      </c>
      <c r="C62" s="112">
        <f>Fluoro!Q214</f>
        <v>0</v>
      </c>
      <c r="D62" s="112">
        <f>Fluoro!R214</f>
        <v>0</v>
      </c>
      <c r="E62" s="112">
        <f>Fluoro!S214</f>
        <v>0</v>
      </c>
      <c r="F62" s="112">
        <f>Fluoro!T214</f>
        <v>0</v>
      </c>
    </row>
    <row r="63" spans="1:6" x14ac:dyDescent="0.3">
      <c r="B63" s="112" t="str">
        <f>B5</f>
        <v/>
      </c>
      <c r="C63" s="112">
        <f>Fluoro!Q215</f>
        <v>0</v>
      </c>
      <c r="D63" s="112">
        <f>Fluoro!R215</f>
        <v>0</v>
      </c>
      <c r="E63" s="112">
        <f>Fluoro!S215</f>
        <v>0</v>
      </c>
      <c r="F63" s="112">
        <f>Fluoro!T215</f>
        <v>0</v>
      </c>
    </row>
    <row r="64" spans="1:6" x14ac:dyDescent="0.3">
      <c r="B64" s="112" t="str">
        <f>B6</f>
        <v/>
      </c>
      <c r="C64" s="112">
        <f>Fluoro!Q216</f>
        <v>0</v>
      </c>
      <c r="D64" s="112">
        <f>Fluoro!R216</f>
        <v>0</v>
      </c>
      <c r="E64" s="112">
        <f>Fluoro!S216</f>
        <v>0</v>
      </c>
      <c r="F64" s="112">
        <f>Fluoro!T216</f>
        <v>0</v>
      </c>
    </row>
    <row r="65" spans="1:6" x14ac:dyDescent="0.3">
      <c r="B65" s="112" t="str">
        <f>B7</f>
        <v/>
      </c>
      <c r="C65" s="112">
        <f>Fluoro!Q217</f>
        <v>0</v>
      </c>
      <c r="D65" s="112">
        <f>Fluoro!R217</f>
        <v>0</v>
      </c>
      <c r="E65" s="112">
        <f>Fluoro!S217</f>
        <v>0</v>
      </c>
      <c r="F65" s="112">
        <f>Fluoro!T217</f>
        <v>0</v>
      </c>
    </row>
    <row r="66" spans="1:6" x14ac:dyDescent="0.3">
      <c r="B66" s="112" t="str">
        <f>B8</f>
        <v/>
      </c>
      <c r="C66" s="112">
        <f>Fluoro!Q218</f>
        <v>0</v>
      </c>
      <c r="D66" s="112">
        <f>Fluoro!R218</f>
        <v>0</v>
      </c>
      <c r="E66" s="112">
        <f>Fluoro!S218</f>
        <v>0</v>
      </c>
      <c r="F66" s="112">
        <f>Fluoro!T218</f>
        <v>0</v>
      </c>
    </row>
    <row r="67" spans="1:6" x14ac:dyDescent="0.3">
      <c r="B67" s="112" t="str">
        <f>B4</f>
        <v/>
      </c>
      <c r="C67" s="112">
        <f>Fluoro!Q219</f>
        <v>0</v>
      </c>
      <c r="D67" s="112">
        <f>Fluoro!R219</f>
        <v>0</v>
      </c>
      <c r="E67" s="112">
        <f>Fluoro!S219</f>
        <v>0</v>
      </c>
      <c r="F67" s="112">
        <f>Fluoro!T219</f>
        <v>0</v>
      </c>
    </row>
    <row r="68" spans="1:6" x14ac:dyDescent="0.3">
      <c r="B68" s="112" t="str">
        <f>B5</f>
        <v/>
      </c>
      <c r="C68" s="112">
        <f>Fluoro!Q220</f>
        <v>0</v>
      </c>
      <c r="D68" s="112">
        <f>Fluoro!R220</f>
        <v>0</v>
      </c>
      <c r="E68" s="112">
        <f>Fluoro!S220</f>
        <v>0</v>
      </c>
      <c r="F68" s="112">
        <f>Fluoro!T220</f>
        <v>0</v>
      </c>
    </row>
    <row r="69" spans="1:6" x14ac:dyDescent="0.3">
      <c r="B69" s="112" t="str">
        <f>B6</f>
        <v/>
      </c>
      <c r="C69" s="112">
        <f>Fluoro!Q221</f>
        <v>0</v>
      </c>
      <c r="D69" s="112">
        <f>Fluoro!R221</f>
        <v>0</v>
      </c>
      <c r="E69" s="112">
        <f>Fluoro!S221</f>
        <v>0</v>
      </c>
      <c r="F69" s="112">
        <f>Fluoro!T221</f>
        <v>0</v>
      </c>
    </row>
    <row r="70" spans="1:6" x14ac:dyDescent="0.3">
      <c r="B70" s="112" t="str">
        <f>B7</f>
        <v/>
      </c>
      <c r="C70" s="112">
        <f>Fluoro!Q222</f>
        <v>0</v>
      </c>
      <c r="D70" s="112">
        <f>Fluoro!R222</f>
        <v>0</v>
      </c>
      <c r="E70" s="112">
        <f>Fluoro!S222</f>
        <v>0</v>
      </c>
      <c r="F70" s="112">
        <f>Fluoro!T222</f>
        <v>0</v>
      </c>
    </row>
    <row r="71" spans="1:6" x14ac:dyDescent="0.3">
      <c r="B71" s="112" t="str">
        <f>B8</f>
        <v/>
      </c>
      <c r="C71" s="112">
        <f>Fluoro!Q223</f>
        <v>0</v>
      </c>
      <c r="D71" s="112">
        <f>Fluoro!R223</f>
        <v>0</v>
      </c>
      <c r="E71" s="112">
        <f>Fluoro!S223</f>
        <v>0</v>
      </c>
      <c r="F71" s="112">
        <f>Fluoro!T223</f>
        <v>0</v>
      </c>
    </row>
    <row r="72" spans="1:6" x14ac:dyDescent="0.3">
      <c r="B72" s="112" t="str">
        <f>B4</f>
        <v/>
      </c>
      <c r="C72" s="112">
        <f>Fluoro!Q224</f>
        <v>0</v>
      </c>
      <c r="D72" s="112">
        <f>Fluoro!R224</f>
        <v>0</v>
      </c>
      <c r="E72" s="112">
        <f>Fluoro!S224</f>
        <v>0</v>
      </c>
      <c r="F72" s="112">
        <f>Fluoro!T224</f>
        <v>0</v>
      </c>
    </row>
    <row r="73" spans="1:6" x14ac:dyDescent="0.3">
      <c r="B73" s="112" t="str">
        <f>B5</f>
        <v/>
      </c>
      <c r="C73" s="112">
        <f>Fluoro!Q225</f>
        <v>0</v>
      </c>
      <c r="D73" s="112">
        <f>Fluoro!R225</f>
        <v>0</v>
      </c>
      <c r="E73" s="112">
        <f>Fluoro!S225</f>
        <v>0</v>
      </c>
      <c r="F73" s="112">
        <f>Fluoro!T225</f>
        <v>0</v>
      </c>
    </row>
    <row r="74" spans="1:6" x14ac:dyDescent="0.3">
      <c r="B74" s="112" t="str">
        <f>B6</f>
        <v/>
      </c>
      <c r="C74" s="112">
        <f>Fluoro!Q226</f>
        <v>0</v>
      </c>
      <c r="D74" s="112">
        <f>Fluoro!R226</f>
        <v>0</v>
      </c>
      <c r="E74" s="112">
        <f>Fluoro!S226</f>
        <v>0</v>
      </c>
      <c r="F74" s="112">
        <f>Fluoro!T226</f>
        <v>0</v>
      </c>
    </row>
    <row r="75" spans="1:6" x14ac:dyDescent="0.3">
      <c r="B75" s="112" t="str">
        <f>B7</f>
        <v/>
      </c>
      <c r="C75" s="112">
        <f>Fluoro!Q227</f>
        <v>0</v>
      </c>
      <c r="D75" s="112">
        <f>Fluoro!R227</f>
        <v>0</v>
      </c>
      <c r="E75" s="112">
        <f>Fluoro!S227</f>
        <v>0</v>
      </c>
      <c r="F75" s="112">
        <f>Fluoro!T227</f>
        <v>0</v>
      </c>
    </row>
    <row r="76" spans="1:6" x14ac:dyDescent="0.3">
      <c r="B76" s="112" t="str">
        <f>B8</f>
        <v/>
      </c>
      <c r="C76" s="112">
        <f>Fluoro!Q228</f>
        <v>0</v>
      </c>
      <c r="D76" s="112">
        <f>Fluoro!R228</f>
        <v>0</v>
      </c>
      <c r="E76" s="112">
        <f>Fluoro!S228</f>
        <v>0</v>
      </c>
      <c r="F76" s="112">
        <f>Fluoro!T228</f>
        <v>0</v>
      </c>
    </row>
    <row r="77" spans="1:6" x14ac:dyDescent="0.3">
      <c r="A77" t="s">
        <v>410</v>
      </c>
      <c r="B77" s="112" t="str">
        <f>B4</f>
        <v/>
      </c>
      <c r="C77" s="112" t="str">
        <f>Fluoro!J401</f>
        <v/>
      </c>
    </row>
    <row r="78" spans="1:6" x14ac:dyDescent="0.3">
      <c r="B78" s="112" t="str">
        <f>B5</f>
        <v/>
      </c>
      <c r="C78" s="112" t="str">
        <f>Fluoro!J402</f>
        <v/>
      </c>
    </row>
    <row r="79" spans="1:6" x14ac:dyDescent="0.3">
      <c r="B79" s="112" t="str">
        <f>B6</f>
        <v/>
      </c>
      <c r="C79" s="112" t="str">
        <f>Fluoro!J403</f>
        <v/>
      </c>
    </row>
    <row r="80" spans="1:6" x14ac:dyDescent="0.3">
      <c r="B80" s="112" t="str">
        <f>B7</f>
        <v/>
      </c>
      <c r="C80" s="112" t="str">
        <f>Fluoro!J404</f>
        <v/>
      </c>
    </row>
    <row r="81" spans="1:14" x14ac:dyDescent="0.3">
      <c r="B81" s="112" t="str">
        <f>B8</f>
        <v/>
      </c>
      <c r="C81" s="112" t="str">
        <f>Fluoro!J405</f>
        <v/>
      </c>
    </row>
    <row r="82" spans="1:14" x14ac:dyDescent="0.3">
      <c r="A82" t="s">
        <v>319</v>
      </c>
      <c r="B82" s="112" t="s">
        <v>405</v>
      </c>
      <c r="C82" s="112" t="s">
        <v>322</v>
      </c>
      <c r="D82" s="112" t="s">
        <v>323</v>
      </c>
      <c r="E82" s="112" t="s">
        <v>324</v>
      </c>
      <c r="F82" s="112" t="s">
        <v>325</v>
      </c>
      <c r="G82" s="112" t="s">
        <v>326</v>
      </c>
      <c r="H82" s="112" t="s">
        <v>327</v>
      </c>
      <c r="I82" s="112" t="s">
        <v>328</v>
      </c>
      <c r="J82" s="112" t="s">
        <v>329</v>
      </c>
      <c r="K82" s="112" t="s">
        <v>330</v>
      </c>
      <c r="L82" s="112" t="s">
        <v>331</v>
      </c>
      <c r="M82" s="112" t="s">
        <v>332</v>
      </c>
      <c r="N82" s="112" t="s">
        <v>333</v>
      </c>
    </row>
    <row r="83" spans="1:14" x14ac:dyDescent="0.3">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3">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3">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3">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3">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3">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3">
      <c r="B89" s="255"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3">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3">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3">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3">
      <c r="A93" t="s">
        <v>411</v>
      </c>
      <c r="B93" s="112" t="str">
        <f>B4</f>
        <v/>
      </c>
      <c r="C93" s="112" t="str">
        <f>Fluoro!H401</f>
        <v/>
      </c>
    </row>
    <row r="94" spans="1:14" x14ac:dyDescent="0.3">
      <c r="B94" s="112" t="str">
        <f>B5</f>
        <v/>
      </c>
      <c r="C94" s="112" t="str">
        <f>Fluoro!H402</f>
        <v/>
      </c>
    </row>
    <row r="95" spans="1:14" x14ac:dyDescent="0.3">
      <c r="B95" s="112" t="str">
        <f>B6</f>
        <v/>
      </c>
      <c r="C95" s="112" t="str">
        <f>Fluoro!H403</f>
        <v/>
      </c>
    </row>
    <row r="96" spans="1:14" x14ac:dyDescent="0.3">
      <c r="B96" s="112" t="str">
        <f>B7</f>
        <v/>
      </c>
      <c r="C96" s="112" t="str">
        <f>Fluoro!H404</f>
        <v/>
      </c>
    </row>
    <row r="97" spans="2:3" x14ac:dyDescent="0.3">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2025-11-13T19:49:52Z</dcterms:modified>
  <dc:language>en-US</dc:language>
</cp:coreProperties>
</file>