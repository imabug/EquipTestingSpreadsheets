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Z:\workspace\EquipTestingSpreadsheets\"/>
    </mc:Choice>
  </mc:AlternateContent>
  <xr:revisionPtr revIDLastSave="0" documentId="13_ncr:1_{FEDD33ED-9927-467A-80F2-DF285FA32E31}" xr6:coauthVersionLast="47" xr6:coauthVersionMax="47" xr10:uidLastSave="{00000000-0000-0000-0000-000000000000}"/>
  <bookViews>
    <workbookView xWindow="-108" yWindow="-108" windowWidth="23256" windowHeight="13176" xr2:uid="{10DA6BB0-06EF-481C-BF37-042B645E0FAF}"/>
  </bookViews>
  <sheets>
    <sheet name="Sheet1" sheetId="1" r:id="rId1"/>
    <sheet name="Frontal Gen" sheetId="2" r:id="rId2"/>
    <sheet name="Lateral Gen" sheetId="4" r:id="rId3"/>
    <sheet name="AEC" sheetId="6" r:id="rId4"/>
    <sheet name="DAP" sheetId="5" r:id="rId5"/>
    <sheet name="Tables" sheetId="3" r:id="rId6"/>
  </sheets>
  <definedNames>
    <definedName name="AEC_KAP">Sheet1!$B$442:$J$490</definedName>
    <definedName name="BLD">Sheet1!$B$295:$J$343</definedName>
    <definedName name="COMPG2">Sheet1!$B$148:$J$196</definedName>
    <definedName name="COMPG3">Sheet1!$B$197:$J$245</definedName>
    <definedName name="EXP">Sheet1!$B$246:$J$294</definedName>
    <definedName name="F_ALUM">Sheet1!$O$401:$O$402</definedName>
    <definedName name="F_ALUM_0">Sheet1!$L$401</definedName>
    <definedName name="F_ALUM_1">Sheet1!$L$402</definedName>
    <definedName name="F_ALUM_2">Sheet1!$L$403</definedName>
    <definedName name="F_ALUM_3">Sheet1!$L$404</definedName>
    <definedName name="F_ALUMHIGH">Sheet1!$O$402</definedName>
    <definedName name="F_ALUMLOW">Sheet1!$O$401</definedName>
    <definedName name="F_DHALF">Sheet1!$N$401:$N$404</definedName>
    <definedName name="F_EXP_0">Sheet1!$M$401</definedName>
    <definedName name="F_EXP_1">Sheet1!$M$402</definedName>
    <definedName name="F_EXP_2">Sheet1!$M$403</definedName>
    <definedName name="F_EXP_3">Sheet1!$M$404</definedName>
    <definedName name="F_HVL">Sheet1!$P$405</definedName>
    <definedName name="F_LNEXP">Sheet1!$P$401:$P$402</definedName>
    <definedName name="FIRST">Sheet1!$B$1:$J$147</definedName>
    <definedName name="FrontalMAS">Sheet1!$O$322</definedName>
    <definedName name="KV_REPRO">Sheet1!$B$344:$J$392</definedName>
    <definedName name="L_ALUM">Sheet1!$T$401:$T$402</definedName>
    <definedName name="L_ALUM_0">Sheet1!$Q$401</definedName>
    <definedName name="L_ALUM_1">Sheet1!$Q$402</definedName>
    <definedName name="L_ALUM_2">Sheet1!$Q$403</definedName>
    <definedName name="L_ALUM_3">Sheet1!$Q$404</definedName>
    <definedName name="L_ALUMHIGH">Sheet1!$T$402</definedName>
    <definedName name="L_ALUMLOW">Sheet1!$T$401</definedName>
    <definedName name="L_DHALF">Sheet1!$S$401:$S$404</definedName>
    <definedName name="L_EXP_0">Sheet1!$R$401</definedName>
    <definedName name="L_EXP_1">Sheet1!$R$402</definedName>
    <definedName name="L_EXP_2">Sheet1!$R$403</definedName>
    <definedName name="L_EXP_3">Sheet1!$R$404</definedName>
    <definedName name="L_HVL">Sheet1!$U$405</definedName>
    <definedName name="L_LNEXP">Sheet1!$U$401:$U$402</definedName>
    <definedName name="LAST">Sheet1!$B$491:$J$539</definedName>
    <definedName name="LateralMAS">Sheet1!$O$327</definedName>
    <definedName name="LIN_HVL">Sheet1!$B$393:$J$441</definedName>
    <definedName name="_xlnm.Print_Area" localSheetId="0">Sheet1!$B$1:$J$539</definedName>
  </definedName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53" i="1" l="1"/>
  <c r="S453" i="1"/>
  <c r="T452" i="1"/>
  <c r="S452" i="1"/>
  <c r="T451" i="1"/>
  <c r="S451" i="1"/>
  <c r="T450" i="1"/>
  <c r="S450" i="1"/>
  <c r="O453" i="1"/>
  <c r="N453" i="1"/>
  <c r="O452" i="1"/>
  <c r="N452" i="1"/>
  <c r="O451" i="1"/>
  <c r="N451" i="1"/>
  <c r="O450" i="1"/>
  <c r="N450" i="1"/>
  <c r="R453" i="1"/>
  <c r="R452" i="1"/>
  <c r="R451" i="1"/>
  <c r="R450" i="1"/>
  <c r="Q453" i="1"/>
  <c r="Q452" i="1"/>
  <c r="Q451" i="1"/>
  <c r="Q450" i="1"/>
  <c r="M453" i="1"/>
  <c r="M452" i="1"/>
  <c r="M451" i="1"/>
  <c r="M450" i="1"/>
  <c r="L453" i="1"/>
  <c r="L452" i="1"/>
  <c r="L451" i="1"/>
  <c r="L450" i="1"/>
  <c r="T439" i="1"/>
  <c r="S439" i="1"/>
  <c r="T438" i="1"/>
  <c r="S438" i="1"/>
  <c r="T437" i="1"/>
  <c r="S437" i="1"/>
  <c r="R439" i="1"/>
  <c r="R438" i="1"/>
  <c r="O439" i="1"/>
  <c r="N439" i="1"/>
  <c r="O438" i="1"/>
  <c r="N438" i="1"/>
  <c r="O437" i="1"/>
  <c r="N437" i="1"/>
  <c r="M439" i="1"/>
  <c r="M438" i="1"/>
  <c r="R437" i="1"/>
  <c r="M437" i="1"/>
  <c r="S431" i="1"/>
  <c r="R431" i="1"/>
  <c r="S430" i="1"/>
  <c r="R430" i="1"/>
  <c r="Q431" i="1"/>
  <c r="Q430" i="1"/>
  <c r="O431" i="1"/>
  <c r="N431" i="1"/>
  <c r="M431" i="1"/>
  <c r="O430" i="1"/>
  <c r="N430" i="1"/>
  <c r="M430" i="1"/>
  <c r="S429" i="1"/>
  <c r="R429" i="1"/>
  <c r="Q429" i="1"/>
  <c r="O429" i="1"/>
  <c r="N429" i="1"/>
  <c r="M429" i="1"/>
  <c r="V503" i="1"/>
  <c r="V483" i="1"/>
  <c r="C456" i="1" l="1"/>
  <c r="G449" i="1"/>
  <c r="D450" i="1"/>
  <c r="D449" i="1"/>
  <c r="D448" i="1"/>
  <c r="H458" i="1"/>
  <c r="I457" i="1"/>
  <c r="H457" i="1"/>
  <c r="I456" i="1"/>
  <c r="G458" i="1"/>
  <c r="G457" i="1"/>
  <c r="E458" i="1"/>
  <c r="D458" i="1"/>
  <c r="E457" i="1"/>
  <c r="D457" i="1"/>
  <c r="E456" i="1"/>
  <c r="D456" i="1"/>
  <c r="C458" i="1"/>
  <c r="C457" i="1"/>
  <c r="I450" i="1"/>
  <c r="F450" i="1"/>
  <c r="E450" i="1"/>
  <c r="F449" i="1"/>
  <c r="E449" i="1"/>
  <c r="I448" i="1"/>
  <c r="H448" i="1"/>
  <c r="F448" i="1"/>
  <c r="E448" i="1"/>
  <c r="U406" i="1" a="1"/>
  <c r="U406" i="1"/>
  <c r="G364" i="1"/>
  <c r="E364" i="1"/>
  <c r="T355" i="1"/>
  <c r="O355" i="1"/>
  <c r="I346" i="1"/>
  <c r="G346" i="1"/>
  <c r="C516" i="1"/>
  <c r="I525" i="1"/>
  <c r="D525" i="1"/>
  <c r="C525" i="1"/>
  <c r="D524" i="1"/>
  <c r="C524" i="1"/>
  <c r="G523" i="1"/>
  <c r="F523" i="1"/>
  <c r="E523" i="1"/>
  <c r="D523" i="1"/>
  <c r="C523" i="1"/>
  <c r="F522" i="1"/>
  <c r="E522" i="1"/>
  <c r="D522" i="1"/>
  <c r="G522" i="1" s="1"/>
  <c r="C522" i="1"/>
  <c r="F521" i="1"/>
  <c r="E521" i="1"/>
  <c r="D521" i="1"/>
  <c r="G521" i="1" s="1"/>
  <c r="C521" i="1"/>
  <c r="G520" i="1"/>
  <c r="F520" i="1"/>
  <c r="E520" i="1"/>
  <c r="D520" i="1"/>
  <c r="C520" i="1"/>
  <c r="G519" i="1"/>
  <c r="F519" i="1"/>
  <c r="E519" i="1"/>
  <c r="D519" i="1"/>
  <c r="C519" i="1"/>
  <c r="F518" i="1"/>
  <c r="E518" i="1"/>
  <c r="D518" i="1"/>
  <c r="G518" i="1" s="1"/>
  <c r="C518" i="1"/>
  <c r="F517" i="1"/>
  <c r="E517" i="1"/>
  <c r="D517" i="1"/>
  <c r="G517" i="1" s="1"/>
  <c r="C517" i="1"/>
  <c r="G516" i="1"/>
  <c r="F516" i="1"/>
  <c r="E516" i="1"/>
  <c r="D516" i="1"/>
  <c r="I508" i="1"/>
  <c r="C500" i="1"/>
  <c r="D500" i="1"/>
  <c r="G500" i="1" s="1"/>
  <c r="E500" i="1"/>
  <c r="F500" i="1"/>
  <c r="C501" i="1"/>
  <c r="D501" i="1"/>
  <c r="G501" i="1" s="1"/>
  <c r="E501" i="1"/>
  <c r="F501" i="1"/>
  <c r="C502" i="1"/>
  <c r="D502" i="1"/>
  <c r="G502" i="1" s="1"/>
  <c r="E502" i="1"/>
  <c r="F502" i="1"/>
  <c r="C503" i="1"/>
  <c r="D503" i="1"/>
  <c r="E503" i="1"/>
  <c r="F503" i="1"/>
  <c r="G503" i="1"/>
  <c r="C504" i="1"/>
  <c r="D504" i="1"/>
  <c r="G504" i="1" s="1"/>
  <c r="E504" i="1"/>
  <c r="F504" i="1"/>
  <c r="C505" i="1"/>
  <c r="D505" i="1"/>
  <c r="G505" i="1" s="1"/>
  <c r="E505" i="1"/>
  <c r="F505" i="1"/>
  <c r="C506" i="1"/>
  <c r="D506" i="1"/>
  <c r="G506" i="1" s="1"/>
  <c r="E506" i="1"/>
  <c r="F506" i="1"/>
  <c r="C507" i="1"/>
  <c r="D507" i="1"/>
  <c r="C508" i="1"/>
  <c r="D508" i="1"/>
  <c r="F499" i="1"/>
  <c r="G499" i="1"/>
  <c r="E499" i="1"/>
  <c r="D499" i="1"/>
  <c r="C499" i="1"/>
  <c r="G488" i="1"/>
  <c r="F488" i="1"/>
  <c r="E488" i="1"/>
  <c r="D488" i="1"/>
  <c r="C488" i="1"/>
  <c r="G487" i="1"/>
  <c r="F487" i="1"/>
  <c r="E487" i="1"/>
  <c r="D487" i="1"/>
  <c r="C487" i="1"/>
  <c r="G486" i="1"/>
  <c r="F486" i="1"/>
  <c r="E486" i="1"/>
  <c r="D486" i="1"/>
  <c r="C486" i="1"/>
  <c r="G485" i="1"/>
  <c r="F485" i="1"/>
  <c r="E485" i="1"/>
  <c r="D485" i="1"/>
  <c r="C485" i="1"/>
  <c r="F484" i="1"/>
  <c r="E484" i="1"/>
  <c r="D484" i="1"/>
  <c r="C484" i="1"/>
  <c r="F483" i="1"/>
  <c r="E483" i="1"/>
  <c r="D483" i="1"/>
  <c r="C483" i="1"/>
  <c r="G482" i="1"/>
  <c r="F482" i="1"/>
  <c r="E482" i="1"/>
  <c r="D482" i="1"/>
  <c r="C482" i="1"/>
  <c r="G481" i="1"/>
  <c r="F481" i="1"/>
  <c r="E481" i="1"/>
  <c r="D481" i="1"/>
  <c r="C481" i="1"/>
  <c r="E480" i="1"/>
  <c r="D480" i="1"/>
  <c r="C470" i="1"/>
  <c r="D470" i="1"/>
  <c r="E470" i="1"/>
  <c r="F470" i="1"/>
  <c r="C471" i="1"/>
  <c r="D471" i="1"/>
  <c r="E471" i="1"/>
  <c r="F471" i="1"/>
  <c r="C472" i="1"/>
  <c r="D472" i="1"/>
  <c r="E472" i="1"/>
  <c r="F472" i="1"/>
  <c r="C473" i="1"/>
  <c r="D473" i="1"/>
  <c r="E473" i="1"/>
  <c r="F473" i="1"/>
  <c r="G473" i="1"/>
  <c r="C474" i="1"/>
  <c r="D474" i="1"/>
  <c r="E474" i="1"/>
  <c r="F474" i="1"/>
  <c r="G474" i="1"/>
  <c r="C475" i="1"/>
  <c r="D475" i="1"/>
  <c r="E475" i="1"/>
  <c r="F475" i="1"/>
  <c r="G475" i="1"/>
  <c r="C476" i="1"/>
  <c r="D476" i="1"/>
  <c r="E476" i="1"/>
  <c r="F476" i="1"/>
  <c r="G476" i="1"/>
  <c r="F469" i="1"/>
  <c r="E469" i="1"/>
  <c r="D469" i="1"/>
  <c r="C469" i="1"/>
  <c r="E468" i="1"/>
  <c r="D468" i="1"/>
  <c r="J463" i="1"/>
  <c r="G463" i="1"/>
  <c r="D463" i="1"/>
  <c r="U457" i="1"/>
  <c r="U456" i="1"/>
  <c r="U455" i="1"/>
  <c r="U454" i="1"/>
  <c r="U453" i="1"/>
  <c r="G484" i="1" s="1"/>
  <c r="U452" i="1"/>
  <c r="G483" i="1" s="1"/>
  <c r="U451" i="1"/>
  <c r="U450" i="1"/>
  <c r="U458" i="1" s="1"/>
  <c r="I482" i="1" s="1"/>
  <c r="P457" i="1"/>
  <c r="P456" i="1"/>
  <c r="P455" i="1"/>
  <c r="P454" i="1"/>
  <c r="I458" i="1"/>
  <c r="H456" i="1"/>
  <c r="G456" i="1"/>
  <c r="H450" i="1"/>
  <c r="I449" i="1"/>
  <c r="H449" i="1"/>
  <c r="G450" i="1"/>
  <c r="G448" i="1"/>
  <c r="C423" i="1"/>
  <c r="G416" i="1"/>
  <c r="I415" i="1"/>
  <c r="E415" i="1"/>
  <c r="R449" i="1"/>
  <c r="M449" i="1"/>
  <c r="J587" i="1" l="1"/>
  <c r="H587" i="1"/>
  <c r="G587" i="1"/>
  <c r="C587" i="1"/>
  <c r="J541" i="1"/>
  <c r="J540" i="1"/>
  <c r="J538" i="1"/>
  <c r="H538" i="1"/>
  <c r="G538" i="1"/>
  <c r="C538" i="1"/>
  <c r="J492" i="1"/>
  <c r="J491" i="1"/>
  <c r="J489" i="1"/>
  <c r="H489" i="1"/>
  <c r="G489" i="1"/>
  <c r="C489" i="1"/>
  <c r="J443" i="1"/>
  <c r="J442" i="1"/>
  <c r="F398" i="1"/>
  <c r="D349" i="1"/>
  <c r="O328" i="1"/>
  <c r="O323" i="1"/>
  <c r="H337" i="1" a="1"/>
  <c r="H337" i="1" s="1"/>
  <c r="H336" i="1"/>
  <c r="H335" i="1"/>
  <c r="D327" i="1"/>
  <c r="E328" i="1"/>
  <c r="E327" i="1"/>
  <c r="D328" i="1"/>
  <c r="E321" i="1"/>
  <c r="D321" i="1"/>
  <c r="E320" i="1"/>
  <c r="D320" i="1"/>
  <c r="I313" i="1"/>
  <c r="D309" i="1"/>
  <c r="D308" i="1"/>
  <c r="E302" i="1"/>
  <c r="E301" i="1"/>
  <c r="D302" i="1"/>
  <c r="D301" i="1"/>
  <c r="B149" i="1"/>
  <c r="P83" i="1"/>
  <c r="P71" i="1"/>
  <c r="P103" i="1"/>
  <c r="P81" i="1"/>
  <c r="P79" i="1"/>
  <c r="P77" i="1"/>
  <c r="P75" i="1"/>
  <c r="P73" i="1"/>
  <c r="P194" i="1"/>
  <c r="P192" i="1"/>
  <c r="P190" i="1"/>
  <c r="P188" i="1"/>
  <c r="P186" i="1"/>
  <c r="P184" i="1"/>
  <c r="P182" i="1"/>
  <c r="P180" i="1"/>
  <c r="P178" i="1"/>
  <c r="P176" i="1"/>
  <c r="P174" i="1"/>
  <c r="P172" i="1"/>
  <c r="P170" i="1"/>
  <c r="P168" i="1"/>
  <c r="P166" i="1"/>
  <c r="P131" i="1"/>
  <c r="P129" i="1"/>
  <c r="P127" i="1"/>
  <c r="P125" i="1"/>
  <c r="P123" i="1"/>
  <c r="P121" i="1"/>
  <c r="P119" i="1"/>
  <c r="P117" i="1"/>
  <c r="P115" i="1"/>
  <c r="P113" i="1"/>
  <c r="P111" i="1"/>
  <c r="P109" i="1"/>
  <c r="P107" i="1"/>
  <c r="P105" i="1"/>
  <c r="M501" i="1"/>
  <c r="M500" i="1"/>
  <c r="M499" i="1"/>
  <c r="M498" i="1"/>
  <c r="M497" i="1"/>
  <c r="M496" i="1"/>
  <c r="M495" i="1"/>
  <c r="M494" i="1"/>
  <c r="M493" i="1"/>
  <c r="L501" i="1"/>
  <c r="U501" i="1" s="1"/>
  <c r="L500" i="1"/>
  <c r="U500" i="1" s="1"/>
  <c r="L499" i="1"/>
  <c r="L498" i="1"/>
  <c r="L497" i="1"/>
  <c r="L496" i="1"/>
  <c r="L495" i="1"/>
  <c r="L494" i="1"/>
  <c r="L493" i="1"/>
  <c r="L492" i="1"/>
  <c r="M481" i="1"/>
  <c r="M472" i="1"/>
  <c r="L481" i="1"/>
  <c r="U481" i="1" s="1"/>
  <c r="L480" i="1"/>
  <c r="U480" i="1" s="1"/>
  <c r="M480" i="1"/>
  <c r="M228" i="1"/>
  <c r="L236" i="1"/>
  <c r="B253" i="1" s="1"/>
  <c r="J440" i="1"/>
  <c r="H440" i="1"/>
  <c r="G440" i="1"/>
  <c r="C440" i="1"/>
  <c r="J394" i="1"/>
  <c r="J393" i="1"/>
  <c r="J391" i="1"/>
  <c r="H391" i="1"/>
  <c r="G391" i="1"/>
  <c r="C391" i="1"/>
  <c r="J345" i="1"/>
  <c r="J344" i="1"/>
  <c r="J342" i="1"/>
  <c r="H342" i="1"/>
  <c r="G342" i="1"/>
  <c r="C342" i="1"/>
  <c r="J296" i="1"/>
  <c r="J295" i="1"/>
  <c r="C241" i="1" l="1"/>
  <c r="C243" i="1"/>
  <c r="C242"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0" i="1"/>
  <c r="C201" i="1"/>
  <c r="C199"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5" i="1"/>
  <c r="C163" i="1"/>
  <c r="C160" i="1"/>
  <c r="C159" i="1"/>
  <c r="C156" i="1"/>
  <c r="C153" i="1"/>
  <c r="C150" i="1"/>
  <c r="C167" i="1"/>
  <c r="C166" i="1"/>
  <c r="C164" i="1"/>
  <c r="C162" i="1"/>
  <c r="C161" i="1"/>
  <c r="C158" i="1"/>
  <c r="C157" i="1"/>
  <c r="C155" i="1"/>
  <c r="C154" i="1"/>
  <c r="C152" i="1"/>
  <c r="C151" i="1"/>
  <c r="C143" i="1"/>
  <c r="C142" i="1"/>
  <c r="C141" i="1"/>
  <c r="C140" i="1"/>
  <c r="C139" i="1"/>
  <c r="C138" i="1"/>
  <c r="C137" i="1"/>
  <c r="C136" i="1"/>
  <c r="C135" i="1"/>
  <c r="C133" i="1"/>
  <c r="C134" i="1"/>
  <c r="C132" i="1"/>
  <c r="C131" i="1"/>
  <c r="C130" i="1"/>
  <c r="C129" i="1"/>
  <c r="C128" i="1"/>
  <c r="C127" i="1"/>
  <c r="C126" i="1"/>
  <c r="C125" i="1"/>
  <c r="C124" i="1"/>
  <c r="C123" i="1"/>
  <c r="C146" i="1"/>
  <c r="G146" i="1"/>
  <c r="H146" i="1"/>
  <c r="J146" i="1"/>
  <c r="J148" i="1"/>
  <c r="J149" i="1"/>
  <c r="J117" i="1" a="1"/>
  <c r="J117" i="1" s="1"/>
  <c r="J118" i="1" a="1"/>
  <c r="J118" i="1" s="1"/>
  <c r="J119" i="1" a="1"/>
  <c r="J119" i="1" s="1"/>
  <c r="J120" i="1" a="1"/>
  <c r="J120" i="1" s="1"/>
  <c r="J121" i="1" a="1"/>
  <c r="J121" i="1" s="1"/>
  <c r="J116" i="1" a="1"/>
  <c r="J116" i="1" s="1"/>
  <c r="J86" i="1"/>
  <c r="J85" i="1" a="1"/>
  <c r="J85" i="1" s="1"/>
  <c r="J106" i="1" a="1"/>
  <c r="J106" i="1" s="1"/>
  <c r="J104" i="1" a="1"/>
  <c r="J104" i="1" s="1"/>
  <c r="J105" i="1" a="1"/>
  <c r="J105" i="1" s="1"/>
  <c r="J107" i="1" a="1"/>
  <c r="J107" i="1" s="1"/>
  <c r="J108" i="1" a="1"/>
  <c r="J108" i="1" s="1"/>
  <c r="J109" i="1" a="1"/>
  <c r="J109" i="1" s="1"/>
  <c r="J110" i="1" a="1"/>
  <c r="J110" i="1" s="1"/>
  <c r="J111" i="1" a="1"/>
  <c r="J111" i="1" s="1"/>
  <c r="J112" i="1" a="1"/>
  <c r="J112" i="1" s="1"/>
  <c r="J60" i="1" a="1"/>
  <c r="J60" i="1" s="1"/>
  <c r="J103" i="1" a="1"/>
  <c r="J103" i="1" s="1"/>
  <c r="J293" i="1"/>
  <c r="H293" i="1"/>
  <c r="G293" i="1"/>
  <c r="C293" i="1"/>
  <c r="J247" i="1"/>
  <c r="J246" i="1"/>
  <c r="J244" i="1"/>
  <c r="H244" i="1"/>
  <c r="G244" i="1"/>
  <c r="C244" i="1"/>
  <c r="J198" i="1"/>
  <c r="J197" i="1"/>
  <c r="J73" i="1" l="1" a="1"/>
  <c r="J73" i="1" s="1"/>
  <c r="J74" i="1" a="1"/>
  <c r="J74" i="1" s="1"/>
  <c r="J75" i="1" a="1"/>
  <c r="J75" i="1" s="1"/>
  <c r="J76" i="1" a="1"/>
  <c r="J76" i="1" s="1"/>
  <c r="J77" i="1" a="1"/>
  <c r="J77" i="1" s="1"/>
  <c r="J78" i="1" a="1"/>
  <c r="J78" i="1" s="1"/>
  <c r="J79" i="1" a="1"/>
  <c r="J79" i="1" s="1"/>
  <c r="J72" i="1" a="1"/>
  <c r="J72" i="1" s="1"/>
  <c r="U284" i="1"/>
  <c r="J64" i="1" a="1"/>
  <c r="J64" i="1" s="1"/>
  <c r="S504" i="1"/>
  <c r="R504" i="1"/>
  <c r="Q504" i="1"/>
  <c r="S484" i="1"/>
  <c r="R484" i="1"/>
  <c r="Q484" i="1"/>
  <c r="U499" i="1"/>
  <c r="U498" i="1"/>
  <c r="U497" i="1"/>
  <c r="U496" i="1"/>
  <c r="U495" i="1"/>
  <c r="U494" i="1"/>
  <c r="M489" i="1"/>
  <c r="M492" i="1"/>
  <c r="P489" i="1"/>
  <c r="AC336" i="1"/>
  <c r="Z350" i="1" s="1"/>
  <c r="AC361" i="1"/>
  <c r="Z375" i="1" s="1"/>
  <c r="L473" i="1"/>
  <c r="U473" i="1" s="1"/>
  <c r="M473" i="1"/>
  <c r="L474" i="1"/>
  <c r="M474" i="1"/>
  <c r="L475" i="1"/>
  <c r="M475" i="1"/>
  <c r="L476" i="1"/>
  <c r="U476" i="1" s="1"/>
  <c r="M476" i="1"/>
  <c r="L477" i="1"/>
  <c r="U477" i="1" s="1"/>
  <c r="M477" i="1"/>
  <c r="L478" i="1"/>
  <c r="U478" i="1" s="1"/>
  <c r="M478" i="1"/>
  <c r="L479" i="1"/>
  <c r="U479" i="1" s="1"/>
  <c r="M479" i="1"/>
  <c r="L472" i="1"/>
  <c r="U472" i="1" s="1"/>
  <c r="P469" i="1"/>
  <c r="M469" i="1"/>
  <c r="AB385" i="1"/>
  <c r="AB362" i="1"/>
  <c r="AB361" i="1"/>
  <c r="AB360" i="1"/>
  <c r="AB337" i="1"/>
  <c r="AB336" i="1"/>
  <c r="AB335" i="1"/>
  <c r="V464" i="1"/>
  <c r="V463" i="1"/>
  <c r="P450" i="1"/>
  <c r="P453" i="1"/>
  <c r="G472" i="1" s="1"/>
  <c r="P452" i="1"/>
  <c r="G471" i="1" s="1"/>
  <c r="P451" i="1"/>
  <c r="G470" i="1" s="1"/>
  <c r="V440" i="1"/>
  <c r="J459" i="1" s="1"/>
  <c r="Q440" i="1"/>
  <c r="F459" i="1" s="1"/>
  <c r="V439" i="1"/>
  <c r="J458" i="1" s="1"/>
  <c r="V438" i="1"/>
  <c r="J457" i="1" s="1"/>
  <c r="V437" i="1"/>
  <c r="J456" i="1" s="1"/>
  <c r="Q439" i="1"/>
  <c r="F458" i="1" s="1"/>
  <c r="Q438" i="1"/>
  <c r="F457" i="1" s="1"/>
  <c r="Q437" i="1"/>
  <c r="F456" i="1" s="1"/>
  <c r="U439" i="1"/>
  <c r="U438" i="1"/>
  <c r="U437" i="1"/>
  <c r="P439" i="1"/>
  <c r="P438" i="1"/>
  <c r="P437" i="1"/>
  <c r="AC333" i="1"/>
  <c r="AB333" i="1" s="1"/>
  <c r="AC332" i="1"/>
  <c r="AB332" i="1" s="1"/>
  <c r="AC331" i="1"/>
  <c r="AB331" i="1" s="1"/>
  <c r="AC330" i="1"/>
  <c r="AB330" i="1" s="1"/>
  <c r="AC329" i="1"/>
  <c r="AB329" i="1" s="1"/>
  <c r="AC328" i="1"/>
  <c r="AB328" i="1" s="1"/>
  <c r="AC327" i="1"/>
  <c r="AB327" i="1" s="1"/>
  <c r="AC326" i="1"/>
  <c r="AB326" i="1" s="1"/>
  <c r="AC325" i="1"/>
  <c r="AB325" i="1" s="1"/>
  <c r="AC323" i="1"/>
  <c r="AB323" i="1" s="1"/>
  <c r="AC322" i="1"/>
  <c r="AB322" i="1" s="1"/>
  <c r="AC321" i="1"/>
  <c r="AB321" i="1" s="1"/>
  <c r="AC320" i="1"/>
  <c r="AB320" i="1" s="1"/>
  <c r="AC319" i="1"/>
  <c r="AC318" i="1"/>
  <c r="AB318" i="1" s="1"/>
  <c r="AC317" i="1"/>
  <c r="AB317" i="1" s="1"/>
  <c r="AC316" i="1"/>
  <c r="AB316" i="1" s="1"/>
  <c r="AC315" i="1"/>
  <c r="AB315" i="1" s="1"/>
  <c r="AB319" i="1"/>
  <c r="T431" i="1"/>
  <c r="T430" i="1"/>
  <c r="T429" i="1"/>
  <c r="P431" i="1"/>
  <c r="P430" i="1"/>
  <c r="P429" i="1"/>
  <c r="AC311" i="1"/>
  <c r="AB311" i="1" s="1"/>
  <c r="AC310" i="1"/>
  <c r="AB310" i="1" s="1"/>
  <c r="AC309" i="1"/>
  <c r="AB309" i="1" s="1"/>
  <c r="AC308" i="1"/>
  <c r="AB308" i="1" s="1"/>
  <c r="AC307" i="1"/>
  <c r="AB307" i="1" s="1"/>
  <c r="AC306" i="1"/>
  <c r="AB306" i="1" s="1"/>
  <c r="AC305" i="1"/>
  <c r="AB305" i="1" s="1"/>
  <c r="AC304" i="1"/>
  <c r="AB304" i="1" s="1"/>
  <c r="AC303" i="1"/>
  <c r="AB303" i="1" s="1"/>
  <c r="AC301" i="1"/>
  <c r="AB301" i="1" s="1"/>
  <c r="AC300" i="1"/>
  <c r="AB300" i="1" s="1"/>
  <c r="AC299" i="1"/>
  <c r="AB299" i="1" s="1"/>
  <c r="AC298" i="1"/>
  <c r="AB298" i="1" s="1"/>
  <c r="AC297" i="1"/>
  <c r="AB297" i="1" s="1"/>
  <c r="AC296" i="1"/>
  <c r="AB296" i="1" s="1"/>
  <c r="AC295" i="1"/>
  <c r="AB295" i="1" s="1"/>
  <c r="AC294" i="1"/>
  <c r="AB294" i="1" s="1"/>
  <c r="AC293" i="1"/>
  <c r="AB293" i="1" s="1"/>
  <c r="AC282" i="1"/>
  <c r="U408" i="1"/>
  <c r="P408" i="1"/>
  <c r="P458" i="1" l="1"/>
  <c r="I470" i="1" s="1"/>
  <c r="G469" i="1"/>
  <c r="J66" i="1"/>
  <c r="I301" i="1"/>
  <c r="J87" i="1"/>
  <c r="J88" i="1"/>
  <c r="N472" i="1"/>
  <c r="T472" i="1" s="1"/>
  <c r="U474" i="1"/>
  <c r="U475" i="1"/>
  <c r="N492" i="1"/>
  <c r="T492" i="1" s="1"/>
  <c r="U493" i="1"/>
  <c r="U492" i="1"/>
  <c r="N473" i="1" l="1"/>
  <c r="T473" i="1" s="1"/>
  <c r="N493" i="1"/>
  <c r="T493" i="1" s="1"/>
  <c r="N474" i="1" l="1"/>
  <c r="T474" i="1" s="1"/>
  <c r="N494" i="1"/>
  <c r="N495" i="1" s="1"/>
  <c r="N496" i="1" s="1"/>
  <c r="N497" i="1" s="1"/>
  <c r="N498" i="1" s="1"/>
  <c r="N499" i="1" s="1"/>
  <c r="N475" i="1"/>
  <c r="T499" i="1" l="1"/>
  <c r="N500" i="1"/>
  <c r="T494" i="1"/>
  <c r="T496" i="1"/>
  <c r="T497" i="1"/>
  <c r="T495" i="1"/>
  <c r="T498" i="1"/>
  <c r="T475" i="1"/>
  <c r="N476" i="1"/>
  <c r="V422" i="1"/>
  <c r="V421" i="1"/>
  <c r="N337" i="1"/>
  <c r="AA285" i="1" l="1"/>
  <c r="D395" i="1"/>
  <c r="D346" i="1"/>
  <c r="T500" i="1"/>
  <c r="N501" i="1"/>
  <c r="T501" i="1" s="1"/>
  <c r="N477" i="1"/>
  <c r="T476" i="1"/>
  <c r="AC285" i="1"/>
  <c r="AB285" i="1" s="1"/>
  <c r="R404" i="1"/>
  <c r="S404" i="1" s="1"/>
  <c r="R403" i="1"/>
  <c r="S403" i="1" s="1"/>
  <c r="R402" i="1"/>
  <c r="S402" i="1" s="1"/>
  <c r="L396" i="1"/>
  <c r="M396" i="1"/>
  <c r="N396" i="1"/>
  <c r="O396" i="1"/>
  <c r="P396" i="1"/>
  <c r="Q396" i="1"/>
  <c r="R396" i="1"/>
  <c r="S396" i="1"/>
  <c r="T396" i="1"/>
  <c r="U396" i="1"/>
  <c r="G421" i="1" s="1"/>
  <c r="L397" i="1"/>
  <c r="M397" i="1"/>
  <c r="N397" i="1"/>
  <c r="O397" i="1"/>
  <c r="P397" i="1"/>
  <c r="D421" i="1" s="1"/>
  <c r="Q397" i="1"/>
  <c r="R397" i="1"/>
  <c r="S397" i="1"/>
  <c r="T397" i="1"/>
  <c r="U397" i="1"/>
  <c r="H421" i="1" s="1"/>
  <c r="T391" i="1"/>
  <c r="U391" i="1"/>
  <c r="H418" i="1" s="1"/>
  <c r="T392" i="1"/>
  <c r="F419" i="1" s="1"/>
  <c r="U392" i="1"/>
  <c r="G419" i="1" s="1"/>
  <c r="T393" i="1"/>
  <c r="U393" i="1"/>
  <c r="H419" i="1" s="1"/>
  <c r="T394" i="1"/>
  <c r="F420" i="1" s="1"/>
  <c r="U394" i="1"/>
  <c r="G420" i="1" s="1"/>
  <c r="T395" i="1"/>
  <c r="U395" i="1"/>
  <c r="H420" i="1" s="1"/>
  <c r="O391" i="1"/>
  <c r="P391" i="1"/>
  <c r="D418" i="1" s="1"/>
  <c r="O392" i="1"/>
  <c r="B419" i="1" s="1"/>
  <c r="P392" i="1"/>
  <c r="O393" i="1"/>
  <c r="P393" i="1"/>
  <c r="D419" i="1" s="1"/>
  <c r="O394" i="1"/>
  <c r="B420" i="1" s="1"/>
  <c r="P394" i="1"/>
  <c r="O395" i="1"/>
  <c r="P395" i="1"/>
  <c r="D420" i="1" s="1"/>
  <c r="U390" i="1"/>
  <c r="T390" i="1"/>
  <c r="P390" i="1"/>
  <c r="O390" i="1"/>
  <c r="P406" i="1" s="1" a="1"/>
  <c r="P406" i="1" s="1"/>
  <c r="Q391" i="1"/>
  <c r="R391" i="1"/>
  <c r="S391" i="1"/>
  <c r="Q392" i="1"/>
  <c r="R392" i="1"/>
  <c r="S392" i="1"/>
  <c r="Q393" i="1"/>
  <c r="R393" i="1"/>
  <c r="S393" i="1"/>
  <c r="Q394" i="1"/>
  <c r="R394" i="1"/>
  <c r="S394" i="1"/>
  <c r="Q395" i="1"/>
  <c r="R395" i="1"/>
  <c r="S395" i="1"/>
  <c r="L391" i="1"/>
  <c r="M391" i="1"/>
  <c r="N391" i="1"/>
  <c r="L392" i="1"/>
  <c r="M392" i="1"/>
  <c r="N392" i="1"/>
  <c r="L393" i="1"/>
  <c r="M393" i="1"/>
  <c r="N393" i="1"/>
  <c r="L394" i="1"/>
  <c r="M394" i="1"/>
  <c r="N394" i="1"/>
  <c r="L395" i="1"/>
  <c r="M395" i="1"/>
  <c r="N395" i="1"/>
  <c r="S390" i="1"/>
  <c r="F418" i="1" s="1"/>
  <c r="R390" i="1"/>
  <c r="Q390" i="1"/>
  <c r="G415" i="1" s="1"/>
  <c r="N390" i="1"/>
  <c r="B418" i="1" s="1"/>
  <c r="M390" i="1"/>
  <c r="C416" i="1" s="1"/>
  <c r="L390" i="1"/>
  <c r="C415" i="1" s="1"/>
  <c r="R389" i="1"/>
  <c r="R376" i="1"/>
  <c r="R361" i="1"/>
  <c r="M389" i="1"/>
  <c r="M376" i="1"/>
  <c r="M361" i="1"/>
  <c r="R343" i="1"/>
  <c r="M343" i="1"/>
  <c r="L379" i="1"/>
  <c r="M379" i="1"/>
  <c r="C405" i="1" s="1"/>
  <c r="N379" i="1"/>
  <c r="O379" i="1"/>
  <c r="E405" i="1" s="1"/>
  <c r="Q379" i="1"/>
  <c r="R379" i="1"/>
  <c r="S379" i="1"/>
  <c r="G405" i="1" s="1"/>
  <c r="T379" i="1"/>
  <c r="H405" i="1" s="1"/>
  <c r="L380" i="1"/>
  <c r="M380" i="1"/>
  <c r="C406" i="1" s="1"/>
  <c r="N380" i="1"/>
  <c r="O380" i="1"/>
  <c r="E406" i="1" s="1"/>
  <c r="Q380" i="1"/>
  <c r="R380" i="1"/>
  <c r="S380" i="1"/>
  <c r="G406" i="1" s="1"/>
  <c r="T380" i="1"/>
  <c r="H406" i="1" s="1"/>
  <c r="L381" i="1"/>
  <c r="M381" i="1"/>
  <c r="C407" i="1" s="1"/>
  <c r="N381" i="1"/>
  <c r="O381" i="1"/>
  <c r="E407" i="1" s="1"/>
  <c r="Q381" i="1"/>
  <c r="R381" i="1"/>
  <c r="S381" i="1"/>
  <c r="G407" i="1" s="1"/>
  <c r="T381" i="1"/>
  <c r="H407" i="1" s="1"/>
  <c r="T378" i="1"/>
  <c r="H404" i="1" s="1"/>
  <c r="S378" i="1"/>
  <c r="R378" i="1"/>
  <c r="Q378" i="1"/>
  <c r="O378" i="1"/>
  <c r="E404" i="1" s="1"/>
  <c r="N378" i="1"/>
  <c r="D404" i="1" s="1"/>
  <c r="M378" i="1"/>
  <c r="C404" i="1" s="1"/>
  <c r="L378" i="1"/>
  <c r="T377" i="1"/>
  <c r="H403" i="1" s="1"/>
  <c r="S377" i="1"/>
  <c r="R377" i="1"/>
  <c r="Q377" i="1"/>
  <c r="O377" i="1"/>
  <c r="E403" i="1" s="1"/>
  <c r="N377" i="1"/>
  <c r="M377" i="1"/>
  <c r="C403" i="1" s="1"/>
  <c r="L377" i="1"/>
  <c r="D398" i="1" s="1"/>
  <c r="L363" i="1"/>
  <c r="M363" i="1"/>
  <c r="N363" i="1"/>
  <c r="D372" i="1" s="1"/>
  <c r="O363" i="1"/>
  <c r="P363" i="1"/>
  <c r="E372" i="1" s="1"/>
  <c r="Q363" i="1"/>
  <c r="R363" i="1"/>
  <c r="S363" i="1"/>
  <c r="F372" i="1" s="1"/>
  <c r="T363" i="1"/>
  <c r="U363" i="1"/>
  <c r="G372" i="1" s="1"/>
  <c r="L364" i="1"/>
  <c r="M364" i="1"/>
  <c r="N364" i="1"/>
  <c r="D373" i="1" s="1"/>
  <c r="O364" i="1"/>
  <c r="P364" i="1"/>
  <c r="E373" i="1" s="1"/>
  <c r="Q364" i="1"/>
  <c r="R364" i="1"/>
  <c r="S364" i="1"/>
  <c r="F373" i="1" s="1"/>
  <c r="T364" i="1"/>
  <c r="U364" i="1"/>
  <c r="G373" i="1" s="1"/>
  <c r="L365" i="1"/>
  <c r="M365" i="1"/>
  <c r="N365" i="1"/>
  <c r="D374" i="1" s="1"/>
  <c r="O365" i="1"/>
  <c r="P365" i="1"/>
  <c r="E374" i="1" s="1"/>
  <c r="Q365" i="1"/>
  <c r="R365" i="1"/>
  <c r="S365" i="1"/>
  <c r="F374" i="1" s="1"/>
  <c r="T365" i="1"/>
  <c r="U365" i="1"/>
  <c r="G374" i="1" s="1"/>
  <c r="L366" i="1"/>
  <c r="M366" i="1"/>
  <c r="N366" i="1"/>
  <c r="D375" i="1" s="1"/>
  <c r="O366" i="1"/>
  <c r="P366" i="1"/>
  <c r="E375" i="1" s="1"/>
  <c r="Q366" i="1"/>
  <c r="R366" i="1"/>
  <c r="S366" i="1"/>
  <c r="F375" i="1" s="1"/>
  <c r="T366" i="1"/>
  <c r="U366" i="1"/>
  <c r="G375" i="1" s="1"/>
  <c r="T362" i="1"/>
  <c r="U362" i="1"/>
  <c r="G371" i="1" s="1"/>
  <c r="S362" i="1"/>
  <c r="F371" i="1" s="1"/>
  <c r="R362" i="1"/>
  <c r="Q362" i="1"/>
  <c r="O362" i="1"/>
  <c r="P362" i="1"/>
  <c r="E371" i="1" s="1"/>
  <c r="N362" i="1"/>
  <c r="D371" i="1" s="1"/>
  <c r="M362" i="1"/>
  <c r="L362" i="1"/>
  <c r="C371" i="1" s="1"/>
  <c r="L353" i="1"/>
  <c r="M353" i="1"/>
  <c r="N353" i="1"/>
  <c r="D363" i="1" s="1"/>
  <c r="E363" i="1" s="1"/>
  <c r="O353" i="1"/>
  <c r="P353" i="1"/>
  <c r="Q353" i="1"/>
  <c r="P521" i="1" s="1"/>
  <c r="R353" i="1"/>
  <c r="S353" i="1"/>
  <c r="F363" i="1" s="1"/>
  <c r="G363" i="1" s="1"/>
  <c r="T353" i="1"/>
  <c r="U353" i="1"/>
  <c r="L349" i="1"/>
  <c r="M349" i="1"/>
  <c r="N349" i="1"/>
  <c r="D359" i="1" s="1"/>
  <c r="E359" i="1" s="1"/>
  <c r="O349" i="1"/>
  <c r="P349" i="1"/>
  <c r="Q349" i="1"/>
  <c r="P517" i="1" s="1"/>
  <c r="R349" i="1"/>
  <c r="S349" i="1"/>
  <c r="F359" i="1" s="1"/>
  <c r="G359" i="1" s="1"/>
  <c r="T349" i="1"/>
  <c r="U349" i="1"/>
  <c r="L350" i="1"/>
  <c r="M350" i="1"/>
  <c r="N350" i="1"/>
  <c r="D360" i="1" s="1"/>
  <c r="E360" i="1" s="1"/>
  <c r="O350" i="1"/>
  <c r="P350" i="1"/>
  <c r="Q350" i="1"/>
  <c r="P518" i="1" s="1"/>
  <c r="R350" i="1"/>
  <c r="S350" i="1"/>
  <c r="F360" i="1" s="1"/>
  <c r="G360" i="1" s="1"/>
  <c r="T350" i="1"/>
  <c r="U350" i="1"/>
  <c r="L351" i="1"/>
  <c r="M351" i="1"/>
  <c r="N351" i="1"/>
  <c r="D361" i="1" s="1"/>
  <c r="E361" i="1" s="1"/>
  <c r="O351" i="1"/>
  <c r="P351" i="1"/>
  <c r="Q351" i="1"/>
  <c r="P519" i="1" s="1"/>
  <c r="R351" i="1"/>
  <c r="S351" i="1"/>
  <c r="F361" i="1" s="1"/>
  <c r="G361" i="1" s="1"/>
  <c r="T351" i="1"/>
  <c r="U351" i="1"/>
  <c r="L352" i="1"/>
  <c r="M352" i="1"/>
  <c r="N352" i="1"/>
  <c r="D362" i="1" s="1"/>
  <c r="E362" i="1" s="1"/>
  <c r="O352" i="1"/>
  <c r="P352" i="1"/>
  <c r="Q352" i="1"/>
  <c r="P520" i="1" s="1"/>
  <c r="R352" i="1"/>
  <c r="S352" i="1"/>
  <c r="F362" i="1" s="1"/>
  <c r="G362" i="1" s="1"/>
  <c r="T352" i="1"/>
  <c r="U352" i="1"/>
  <c r="U348" i="1"/>
  <c r="T348" i="1"/>
  <c r="S348" i="1"/>
  <c r="F358" i="1" s="1"/>
  <c r="G358" i="1" s="1"/>
  <c r="R348" i="1"/>
  <c r="Q348" i="1"/>
  <c r="P516" i="1" s="1"/>
  <c r="P348" i="1"/>
  <c r="O348" i="1"/>
  <c r="N348" i="1"/>
  <c r="D358" i="1" s="1"/>
  <c r="E358" i="1" s="1"/>
  <c r="M348" i="1"/>
  <c r="L348" i="1"/>
  <c r="L345" i="1"/>
  <c r="M345" i="1"/>
  <c r="N345" i="1"/>
  <c r="D355" i="1" s="1"/>
  <c r="E355" i="1" s="1"/>
  <c r="O345" i="1"/>
  <c r="P345" i="1"/>
  <c r="Q345" i="1"/>
  <c r="P513" i="1" s="1"/>
  <c r="R345" i="1"/>
  <c r="S345" i="1"/>
  <c r="F355" i="1" s="1"/>
  <c r="G355" i="1" s="1"/>
  <c r="T345" i="1"/>
  <c r="U345" i="1"/>
  <c r="L346" i="1"/>
  <c r="M346" i="1"/>
  <c r="N346" i="1"/>
  <c r="D356" i="1" s="1"/>
  <c r="E356" i="1" s="1"/>
  <c r="O346" i="1"/>
  <c r="P346" i="1"/>
  <c r="Q346" i="1"/>
  <c r="P514" i="1" s="1"/>
  <c r="R346" i="1"/>
  <c r="S346" i="1"/>
  <c r="F356" i="1" s="1"/>
  <c r="G356" i="1" s="1"/>
  <c r="T346" i="1"/>
  <c r="U346" i="1"/>
  <c r="L347" i="1"/>
  <c r="M347" i="1"/>
  <c r="N347" i="1"/>
  <c r="D357" i="1" s="1"/>
  <c r="E357" i="1" s="1"/>
  <c r="O347" i="1"/>
  <c r="P347" i="1"/>
  <c r="Q347" i="1"/>
  <c r="P515" i="1" s="1"/>
  <c r="R347" i="1"/>
  <c r="S347" i="1"/>
  <c r="F357" i="1" s="1"/>
  <c r="G357" i="1" s="1"/>
  <c r="T347" i="1"/>
  <c r="U347" i="1"/>
  <c r="U344" i="1"/>
  <c r="T344" i="1"/>
  <c r="S344" i="1"/>
  <c r="R344" i="1"/>
  <c r="Q344" i="1"/>
  <c r="P512" i="1" s="1"/>
  <c r="P344" i="1"/>
  <c r="O344" i="1"/>
  <c r="N344" i="1"/>
  <c r="L344" i="1"/>
  <c r="M344" i="1"/>
  <c r="F349" i="1" s="1"/>
  <c r="M514" i="1" l="1"/>
  <c r="C356" i="1"/>
  <c r="F421" i="1"/>
  <c r="L404" i="1"/>
  <c r="M404" i="1" s="1"/>
  <c r="N404" i="1" s="1"/>
  <c r="C421" i="1"/>
  <c r="B421" i="1"/>
  <c r="M519" i="1"/>
  <c r="C361" i="1"/>
  <c r="P472" i="1"/>
  <c r="D354" i="1"/>
  <c r="P492" i="1"/>
  <c r="Q492" i="1" s="1"/>
  <c r="F354" i="1"/>
  <c r="M515" i="1"/>
  <c r="C357" i="1"/>
  <c r="M513" i="1"/>
  <c r="C355" i="1"/>
  <c r="M520" i="1"/>
  <c r="C362" i="1"/>
  <c r="M518" i="1"/>
  <c r="C360" i="1"/>
  <c r="M521" i="1"/>
  <c r="C363" i="1"/>
  <c r="P381" i="1"/>
  <c r="F407" i="1" s="1"/>
  <c r="D407" i="1"/>
  <c r="P380" i="1"/>
  <c r="F406" i="1" s="1"/>
  <c r="D406" i="1"/>
  <c r="P379" i="1"/>
  <c r="F405" i="1" s="1"/>
  <c r="D405" i="1"/>
  <c r="L401" i="1"/>
  <c r="C418" i="1"/>
  <c r="M512" i="1"/>
  <c r="C354" i="1"/>
  <c r="M517" i="1"/>
  <c r="C359" i="1"/>
  <c r="Q401" i="1"/>
  <c r="G418" i="1"/>
  <c r="M516" i="1"/>
  <c r="C358" i="1"/>
  <c r="P377" i="1"/>
  <c r="F403" i="1" s="1"/>
  <c r="D403" i="1"/>
  <c r="U377" i="1"/>
  <c r="I403" i="1" s="1"/>
  <c r="G403" i="1"/>
  <c r="U378" i="1"/>
  <c r="I404" i="1" s="1"/>
  <c r="G404" i="1"/>
  <c r="L403" i="1"/>
  <c r="M403" i="1" s="1"/>
  <c r="N403" i="1" s="1"/>
  <c r="C420" i="1"/>
  <c r="L402" i="1"/>
  <c r="M402" i="1" s="1"/>
  <c r="N402" i="1" s="1"/>
  <c r="C419" i="1"/>
  <c r="Q472" i="1"/>
  <c r="N478" i="1"/>
  <c r="T477" i="1"/>
  <c r="P493" i="1"/>
  <c r="P494" i="1" s="1"/>
  <c r="P495" i="1" s="1"/>
  <c r="P496" i="1" s="1"/>
  <c r="P497" i="1" s="1"/>
  <c r="P498" i="1" s="1"/>
  <c r="P473" i="1"/>
  <c r="P474" i="1" s="1"/>
  <c r="P475" i="1" s="1"/>
  <c r="P476" i="1" s="1"/>
  <c r="P477" i="1" s="1"/>
  <c r="P478" i="1" s="1"/>
  <c r="P479" i="1" s="1"/>
  <c r="P480" i="1" s="1"/>
  <c r="O492" i="1"/>
  <c r="O472" i="1"/>
  <c r="T405" i="1"/>
  <c r="U379" i="1"/>
  <c r="I405" i="1" s="1"/>
  <c r="O405" i="1"/>
  <c r="U381" i="1"/>
  <c r="I407" i="1" s="1"/>
  <c r="U380" i="1"/>
  <c r="I406" i="1" s="1"/>
  <c r="P378" i="1"/>
  <c r="F404" i="1" s="1"/>
  <c r="R401" i="1"/>
  <c r="T402" i="1" s="1"/>
  <c r="U402" i="1" s="1" a="1"/>
  <c r="U402" i="1" s="1"/>
  <c r="S368" i="1"/>
  <c r="F377" i="1" s="1"/>
  <c r="U382" i="1"/>
  <c r="M401" i="1"/>
  <c r="O401" i="1" s="1"/>
  <c r="P382" i="1"/>
  <c r="P368" i="1"/>
  <c r="E377" i="1" s="1"/>
  <c r="O368" i="1"/>
  <c r="S367" i="1"/>
  <c r="F376" i="1" s="1"/>
  <c r="S369" i="1"/>
  <c r="O367" i="1"/>
  <c r="U367" i="1"/>
  <c r="G376" i="1" s="1"/>
  <c r="P367" i="1"/>
  <c r="E376" i="1" s="1"/>
  <c r="U368" i="1"/>
  <c r="G377" i="1" s="1"/>
  <c r="T368" i="1"/>
  <c r="N367" i="1"/>
  <c r="D376" i="1" s="1"/>
  <c r="T367" i="1"/>
  <c r="N368" i="1"/>
  <c r="D377" i="1" s="1"/>
  <c r="AC273" i="1"/>
  <c r="AB273" i="1" s="1"/>
  <c r="U329" i="1"/>
  <c r="J336" i="1" s="1"/>
  <c r="T329" i="1"/>
  <c r="Q329" i="1"/>
  <c r="P329" i="1"/>
  <c r="AC279" i="1"/>
  <c r="AB279" i="1" s="1"/>
  <c r="O329" i="1"/>
  <c r="AC276" i="1"/>
  <c r="AB276" i="1" s="1"/>
  <c r="N329" i="1"/>
  <c r="U324" i="1"/>
  <c r="J335" i="1" s="1"/>
  <c r="T324" i="1"/>
  <c r="Q324" i="1"/>
  <c r="P324" i="1"/>
  <c r="AC270" i="1"/>
  <c r="AB270" i="1" s="1"/>
  <c r="O324" i="1"/>
  <c r="AC267" i="1"/>
  <c r="AB267" i="1" s="1"/>
  <c r="N324" i="1"/>
  <c r="AB282" i="1"/>
  <c r="AB275" i="1"/>
  <c r="AC274" i="1" l="1"/>
  <c r="AB274" i="1" s="1"/>
  <c r="I335" i="1"/>
  <c r="AC283" i="1"/>
  <c r="AB283" i="1" s="1"/>
  <c r="I336" i="1"/>
  <c r="AC272" i="1"/>
  <c r="AB272" i="1" s="1"/>
  <c r="F335" i="1"/>
  <c r="AC281" i="1"/>
  <c r="AB281" i="1" s="1"/>
  <c r="F336" i="1"/>
  <c r="S370" i="1"/>
  <c r="F379" i="1" s="1"/>
  <c r="F378" i="1"/>
  <c r="P383" i="1"/>
  <c r="F408" i="1"/>
  <c r="AC278" i="1"/>
  <c r="AB278" i="1" s="1"/>
  <c r="D336" i="1"/>
  <c r="U383" i="1"/>
  <c r="I409" i="1" s="1"/>
  <c r="I408" i="1"/>
  <c r="G354" i="1"/>
  <c r="E354" i="1"/>
  <c r="AC269" i="1"/>
  <c r="AB269" i="1" s="1"/>
  <c r="D335" i="1"/>
  <c r="AC268" i="1"/>
  <c r="AB268" i="1" s="1"/>
  <c r="C335" i="1"/>
  <c r="AC271" i="1"/>
  <c r="AB271" i="1" s="1"/>
  <c r="E335" i="1"/>
  <c r="AC277" i="1"/>
  <c r="AB277" i="1" s="1"/>
  <c r="C336" i="1"/>
  <c r="AC280" i="1"/>
  <c r="AB280" i="1" s="1"/>
  <c r="E336" i="1"/>
  <c r="O493" i="1"/>
  <c r="Q512" i="1" s="1" a="1"/>
  <c r="Q480" i="1"/>
  <c r="X480" i="1" s="1"/>
  <c r="AC357" i="1"/>
  <c r="AB357" i="1" s="1"/>
  <c r="P481" i="1"/>
  <c r="P499" i="1"/>
  <c r="AC380" i="1"/>
  <c r="AB380" i="1" s="1"/>
  <c r="S262" i="1" a="1"/>
  <c r="S262" i="1" s="1"/>
  <c r="I257" i="1" s="1"/>
  <c r="S267" i="1" a="1"/>
  <c r="S267" i="1" s="1"/>
  <c r="I262" i="1" s="1"/>
  <c r="S258" i="1" a="1"/>
  <c r="S258" i="1" s="1"/>
  <c r="S266" i="1" a="1"/>
  <c r="S266" i="1" s="1"/>
  <c r="I261" i="1" s="1"/>
  <c r="S261" i="1" a="1"/>
  <c r="S261" i="1" s="1"/>
  <c r="I256" i="1" s="1"/>
  <c r="S265" i="1" a="1"/>
  <c r="S265" i="1" s="1"/>
  <c r="I260" i="1" s="1"/>
  <c r="S260" i="1" a="1"/>
  <c r="S260" i="1" s="1"/>
  <c r="I255" i="1" s="1"/>
  <c r="S264" i="1" a="1"/>
  <c r="S264" i="1" s="1"/>
  <c r="I259" i="1" s="1"/>
  <c r="S259" i="1" a="1"/>
  <c r="S259" i="1" s="1"/>
  <c r="I254" i="1" s="1"/>
  <c r="S263" i="1" a="1"/>
  <c r="S263" i="1" s="1"/>
  <c r="I258" i="1" s="1"/>
  <c r="N479" i="1"/>
  <c r="T478" i="1"/>
  <c r="AC338" i="1"/>
  <c r="AB338" i="1" s="1"/>
  <c r="V472" i="1"/>
  <c r="O473" i="1"/>
  <c r="N512" i="1" s="1" a="1"/>
  <c r="AC349" i="1"/>
  <c r="AB349" i="1" s="1"/>
  <c r="Q493" i="1"/>
  <c r="AC375" i="1"/>
  <c r="AB375" i="1" s="1"/>
  <c r="AC376" i="1"/>
  <c r="AB376" i="1" s="1"/>
  <c r="Q494" i="1"/>
  <c r="AC363" i="1"/>
  <c r="AB363" i="1" s="1"/>
  <c r="V492" i="1"/>
  <c r="O494" i="1"/>
  <c r="AC374" i="1"/>
  <c r="AB374" i="1" s="1"/>
  <c r="S401" i="1"/>
  <c r="T401" i="1"/>
  <c r="U369" i="1"/>
  <c r="T369" i="1"/>
  <c r="T370" i="1" s="1"/>
  <c r="O402" i="1"/>
  <c r="P402" i="1" s="1"/>
  <c r="O369" i="1"/>
  <c r="O370" i="1" s="1"/>
  <c r="N401" i="1"/>
  <c r="N369" i="1"/>
  <c r="P369" i="1"/>
  <c r="P401" i="1"/>
  <c r="R329" i="1"/>
  <c r="G336" i="1" s="1"/>
  <c r="R324" i="1"/>
  <c r="G335" i="1" s="1"/>
  <c r="U405" i="1" l="1" a="1"/>
  <c r="U405" i="1" s="1"/>
  <c r="I418" i="1" s="1"/>
  <c r="P405" i="1" a="1"/>
  <c r="P405" i="1" s="1"/>
  <c r="AC364" i="1"/>
  <c r="AB364" i="1" s="1"/>
  <c r="J82" i="1"/>
  <c r="F409" i="1"/>
  <c r="P370" i="1"/>
  <c r="E379" i="1" s="1"/>
  <c r="E378" i="1"/>
  <c r="R492" i="1" a="1"/>
  <c r="V493" i="1"/>
  <c r="U370" i="1"/>
  <c r="G379" i="1" s="1"/>
  <c r="G378" i="1"/>
  <c r="N370" i="1"/>
  <c r="D379" i="1" s="1"/>
  <c r="D378" i="1"/>
  <c r="E418" i="1"/>
  <c r="N512" i="1"/>
  <c r="N517" i="1"/>
  <c r="N520" i="1"/>
  <c r="N515" i="1"/>
  <c r="N516" i="1"/>
  <c r="N518" i="1"/>
  <c r="N513" i="1"/>
  <c r="N514" i="1"/>
  <c r="N519" i="1"/>
  <c r="N521" i="1"/>
  <c r="Q512" i="1"/>
  <c r="Q519" i="1"/>
  <c r="Q513" i="1"/>
  <c r="Q516" i="1"/>
  <c r="Q514" i="1"/>
  <c r="Q515" i="1"/>
  <c r="Q521" i="1"/>
  <c r="Q518" i="1"/>
  <c r="Q517" i="1"/>
  <c r="Q520" i="1"/>
  <c r="U258" i="1"/>
  <c r="U268" i="1" s="1"/>
  <c r="I253" i="1"/>
  <c r="V258" i="1"/>
  <c r="J253" i="1" s="1"/>
  <c r="AC381" i="1"/>
  <c r="AB381" i="1" s="1"/>
  <c r="P500" i="1"/>
  <c r="Q481" i="1"/>
  <c r="X481" i="1" s="1"/>
  <c r="AC358" i="1"/>
  <c r="AB358" i="1" s="1"/>
  <c r="T479" i="1"/>
  <c r="N480" i="1"/>
  <c r="AC377" i="1"/>
  <c r="AB377" i="1" s="1"/>
  <c r="Q495" i="1"/>
  <c r="X493" i="1"/>
  <c r="X492" i="1"/>
  <c r="X494" i="1"/>
  <c r="R472" i="1" a="1"/>
  <c r="V473" i="1"/>
  <c r="AC339" i="1"/>
  <c r="AB339" i="1" s="1"/>
  <c r="O474" i="1"/>
  <c r="AC365" i="1"/>
  <c r="AB365" i="1" s="1"/>
  <c r="V494" i="1"/>
  <c r="O495" i="1"/>
  <c r="R492" i="1"/>
  <c r="S492" i="1" s="1"/>
  <c r="R498" i="1"/>
  <c r="R496" i="1"/>
  <c r="R494" i="1"/>
  <c r="S494" i="1" s="1"/>
  <c r="R495" i="1"/>
  <c r="R499" i="1"/>
  <c r="R497" i="1"/>
  <c r="R493" i="1"/>
  <c r="S493" i="1" s="1"/>
  <c r="X472" i="1"/>
  <c r="Q473" i="1"/>
  <c r="AC350" i="1"/>
  <c r="AB350" i="1" s="1"/>
  <c r="U401" i="1"/>
  <c r="U407" i="1"/>
  <c r="I420" i="1" s="1"/>
  <c r="M311" i="1"/>
  <c r="L311" i="1"/>
  <c r="M310" i="1"/>
  <c r="L310" i="1"/>
  <c r="B320" i="1" s="1"/>
  <c r="B327" i="1" s="1"/>
  <c r="AB259" i="1"/>
  <c r="T302" i="1"/>
  <c r="R303" i="1"/>
  <c r="AC257" i="1" s="1"/>
  <c r="AB257" i="1" s="1"/>
  <c r="P303" i="1"/>
  <c r="N303" i="1"/>
  <c r="R299" i="1"/>
  <c r="R298" i="1"/>
  <c r="L295" i="1"/>
  <c r="AC252" i="1" s="1"/>
  <c r="AB252" i="1" s="1"/>
  <c r="L294" i="1"/>
  <c r="AC251" i="1" s="1"/>
  <c r="AB251" i="1" s="1"/>
  <c r="AC249" i="1"/>
  <c r="AC248" i="1"/>
  <c r="AB248" i="1" s="1"/>
  <c r="AC246" i="1"/>
  <c r="AB246" i="1" s="1"/>
  <c r="AC245" i="1"/>
  <c r="AB245" i="1" s="1"/>
  <c r="Q287" i="1"/>
  <c r="P287" i="1"/>
  <c r="AB249" i="1"/>
  <c r="Q286" i="1"/>
  <c r="P286" i="1"/>
  <c r="S245" i="1"/>
  <c r="S244" i="1"/>
  <c r="S243" i="1"/>
  <c r="S242" i="1"/>
  <c r="S241" i="1"/>
  <c r="S240" i="1"/>
  <c r="S239" i="1"/>
  <c r="S238" i="1"/>
  <c r="S237" i="1"/>
  <c r="S236" i="1"/>
  <c r="T258" i="1" s="1"/>
  <c r="AB232" i="1"/>
  <c r="N237" i="1"/>
  <c r="O237" i="1"/>
  <c r="P237" i="1"/>
  <c r="Q237" i="1"/>
  <c r="U259" i="1"/>
  <c r="R237" i="1"/>
  <c r="N238" i="1"/>
  <c r="O238" i="1"/>
  <c r="P238" i="1"/>
  <c r="Q238" i="1"/>
  <c r="V260" i="1"/>
  <c r="J255" i="1" s="1"/>
  <c r="R238" i="1"/>
  <c r="N239" i="1"/>
  <c r="O239" i="1"/>
  <c r="P239" i="1"/>
  <c r="Q239" i="1"/>
  <c r="V261" i="1"/>
  <c r="J256" i="1" s="1"/>
  <c r="R239" i="1"/>
  <c r="N240" i="1"/>
  <c r="O240" i="1"/>
  <c r="P240" i="1"/>
  <c r="Q240" i="1"/>
  <c r="V262" i="1"/>
  <c r="J257" i="1" s="1"/>
  <c r="R240" i="1"/>
  <c r="N241" i="1"/>
  <c r="O241" i="1"/>
  <c r="P241" i="1"/>
  <c r="Q241" i="1"/>
  <c r="AC238" i="1"/>
  <c r="AB238" i="1" s="1"/>
  <c r="R241" i="1"/>
  <c r="N242" i="1"/>
  <c r="O242" i="1"/>
  <c r="P242" i="1"/>
  <c r="Q242" i="1"/>
  <c r="V264" i="1"/>
  <c r="J259" i="1" s="1"/>
  <c r="R242" i="1"/>
  <c r="N243" i="1"/>
  <c r="O243" i="1"/>
  <c r="P243" i="1"/>
  <c r="Q243" i="1"/>
  <c r="V265" i="1"/>
  <c r="J260" i="1" s="1"/>
  <c r="R243" i="1"/>
  <c r="N244" i="1"/>
  <c r="O244" i="1"/>
  <c r="P244" i="1"/>
  <c r="Q244" i="1"/>
  <c r="V266" i="1"/>
  <c r="J261" i="1" s="1"/>
  <c r="R244" i="1"/>
  <c r="N245" i="1"/>
  <c r="O245" i="1"/>
  <c r="P245" i="1"/>
  <c r="Q245" i="1"/>
  <c r="R245" i="1"/>
  <c r="R236" i="1"/>
  <c r="Q236" i="1"/>
  <c r="P236" i="1"/>
  <c r="O236" i="1"/>
  <c r="N236" i="1"/>
  <c r="M237" i="1"/>
  <c r="M238" i="1"/>
  <c r="C255" i="1" s="1"/>
  <c r="M239" i="1"/>
  <c r="M240" i="1"/>
  <c r="M241" i="1"/>
  <c r="M242" i="1"/>
  <c r="M243" i="1"/>
  <c r="M244" i="1"/>
  <c r="M245" i="1"/>
  <c r="M236" i="1"/>
  <c r="C253" i="1" s="1"/>
  <c r="L237" i="1"/>
  <c r="L238" i="1"/>
  <c r="B255" i="1" s="1"/>
  <c r="L239" i="1"/>
  <c r="B256" i="1" s="1"/>
  <c r="L240" i="1"/>
  <c r="AC160" i="1" s="1"/>
  <c r="AB160" i="1" s="1"/>
  <c r="L241" i="1"/>
  <c r="L242" i="1"/>
  <c r="B259" i="1" s="1"/>
  <c r="L243" i="1"/>
  <c r="B260" i="1" s="1"/>
  <c r="L244" i="1"/>
  <c r="L245" i="1"/>
  <c r="Z233" i="1"/>
  <c r="L230" i="1"/>
  <c r="AC154" i="1" s="1"/>
  <c r="AB154" i="1" s="1"/>
  <c r="L229" i="1"/>
  <c r="AC169" i="1"/>
  <c r="AB169" i="1" s="1"/>
  <c r="AC167" i="1"/>
  <c r="AB167" i="1" s="1"/>
  <c r="AC153" i="1"/>
  <c r="AB153" i="1" s="1"/>
  <c r="AB221" i="1"/>
  <c r="AB210" i="1"/>
  <c r="AB199" i="1"/>
  <c r="AB188" i="1"/>
  <c r="AB177" i="1"/>
  <c r="AB166" i="1"/>
  <c r="AB155" i="1"/>
  <c r="AB151" i="1"/>
  <c r="N289" i="1"/>
  <c r="O290" i="1" s="1"/>
  <c r="J65" i="1" a="1"/>
  <c r="J65" i="1" s="1"/>
  <c r="J54" i="1" a="1"/>
  <c r="J54" i="1" s="1"/>
  <c r="N278" i="1"/>
  <c r="O279" i="1" s="1"/>
  <c r="V271" i="1"/>
  <c r="V270" i="1"/>
  <c r="G31" i="3"/>
  <c r="F31" i="3"/>
  <c r="G30" i="3"/>
  <c r="F30" i="3"/>
  <c r="G29" i="3"/>
  <c r="F29" i="3"/>
  <c r="G28" i="3"/>
  <c r="F28" i="3"/>
  <c r="G27" i="3"/>
  <c r="F27" i="3"/>
  <c r="G26" i="3"/>
  <c r="F26" i="3"/>
  <c r="G25" i="3"/>
  <c r="F25" i="3"/>
  <c r="G24" i="3"/>
  <c r="F24" i="3"/>
  <c r="G23" i="3"/>
  <c r="F23" i="3"/>
  <c r="G22" i="3"/>
  <c r="F22" i="3"/>
  <c r="G21" i="3"/>
  <c r="F21" i="3"/>
  <c r="N247" i="1"/>
  <c r="O248" i="1" s="1"/>
  <c r="AC233" i="1"/>
  <c r="AB233" i="1" s="1"/>
  <c r="L228" i="1"/>
  <c r="V226" i="1"/>
  <c r="V225" i="1"/>
  <c r="AC123" i="1"/>
  <c r="AB123" i="1" s="1"/>
  <c r="AC125" i="1"/>
  <c r="AB125" i="1" s="1"/>
  <c r="AC127" i="1"/>
  <c r="AB127" i="1" s="1"/>
  <c r="AC129" i="1"/>
  <c r="AB129" i="1" s="1"/>
  <c r="AC131" i="1"/>
  <c r="AB131" i="1" s="1"/>
  <c r="AC133" i="1"/>
  <c r="AB133" i="1" s="1"/>
  <c r="AC135" i="1"/>
  <c r="AB135" i="1" s="1"/>
  <c r="AC137" i="1"/>
  <c r="AB137" i="1" s="1"/>
  <c r="AC139" i="1"/>
  <c r="AB139" i="1" s="1"/>
  <c r="AC141" i="1"/>
  <c r="AB141" i="1" s="1"/>
  <c r="AC143" i="1"/>
  <c r="AB143" i="1" s="1"/>
  <c r="AC145" i="1"/>
  <c r="AB145" i="1" s="1"/>
  <c r="AC147" i="1"/>
  <c r="AC149" i="1"/>
  <c r="AB149" i="1" s="1"/>
  <c r="AC121" i="1"/>
  <c r="AB121" i="1" s="1"/>
  <c r="AC93" i="1"/>
  <c r="AB93" i="1" s="1"/>
  <c r="AC95" i="1"/>
  <c r="AB95" i="1" s="1"/>
  <c r="AC97" i="1"/>
  <c r="AB97" i="1" s="1"/>
  <c r="AC99" i="1"/>
  <c r="AB99" i="1" s="1"/>
  <c r="AC101" i="1"/>
  <c r="AB101" i="1" s="1"/>
  <c r="AC103" i="1"/>
  <c r="AB103" i="1" s="1"/>
  <c r="AC105" i="1"/>
  <c r="AB105" i="1" s="1"/>
  <c r="AC107" i="1"/>
  <c r="AB107" i="1" s="1"/>
  <c r="AC109" i="1"/>
  <c r="AB109" i="1" s="1"/>
  <c r="AC111" i="1"/>
  <c r="AB111" i="1" s="1"/>
  <c r="AC113" i="1"/>
  <c r="AB113" i="1" s="1"/>
  <c r="AC115" i="1"/>
  <c r="AB115" i="1" s="1"/>
  <c r="AC117" i="1"/>
  <c r="AB117" i="1" s="1"/>
  <c r="AC119" i="1"/>
  <c r="AB119" i="1" s="1"/>
  <c r="AC91" i="1"/>
  <c r="AB91" i="1" s="1"/>
  <c r="AB148" i="1"/>
  <c r="AB147" i="1"/>
  <c r="AB146" i="1"/>
  <c r="AB144" i="1"/>
  <c r="AB142" i="1"/>
  <c r="AB140" i="1"/>
  <c r="AB138" i="1"/>
  <c r="AB136" i="1"/>
  <c r="AB134" i="1"/>
  <c r="AB132" i="1"/>
  <c r="AB130" i="1"/>
  <c r="AB128" i="1"/>
  <c r="AB126" i="1"/>
  <c r="AB124" i="1"/>
  <c r="AB122" i="1"/>
  <c r="AB120" i="1"/>
  <c r="AB118" i="1"/>
  <c r="AB116" i="1"/>
  <c r="AB114" i="1"/>
  <c r="AB112" i="1"/>
  <c r="AB110" i="1"/>
  <c r="AB108" i="1"/>
  <c r="AB106" i="1"/>
  <c r="AB104" i="1"/>
  <c r="AB102" i="1"/>
  <c r="AB100" i="1"/>
  <c r="AB98" i="1"/>
  <c r="AB96" i="1"/>
  <c r="AB94" i="1"/>
  <c r="AB92" i="1"/>
  <c r="Q164" i="1"/>
  <c r="B198" i="1" s="1"/>
  <c r="AC89" i="1"/>
  <c r="AB89" i="1" s="1"/>
  <c r="AC87" i="1"/>
  <c r="AB87" i="1" s="1"/>
  <c r="AC85" i="1"/>
  <c r="AB85" i="1" s="1"/>
  <c r="AC83" i="1"/>
  <c r="AB83" i="1" s="1"/>
  <c r="AC81" i="1"/>
  <c r="AB81" i="1" s="1"/>
  <c r="AC79" i="1"/>
  <c r="AB79" i="1" s="1"/>
  <c r="AC77" i="1"/>
  <c r="AB77" i="1" s="1"/>
  <c r="AB90" i="1"/>
  <c r="AB88" i="1"/>
  <c r="AB86" i="1"/>
  <c r="AB84" i="1"/>
  <c r="AB82" i="1"/>
  <c r="AB80" i="1"/>
  <c r="AB78" i="1"/>
  <c r="L52" i="1"/>
  <c r="AC75" i="1" s="1"/>
  <c r="AB75" i="1" s="1"/>
  <c r="O195" i="1"/>
  <c r="Q195" i="1"/>
  <c r="O193" i="1"/>
  <c r="Q193" i="1"/>
  <c r="O191" i="1"/>
  <c r="Q191" i="1"/>
  <c r="O189" i="1"/>
  <c r="Q189" i="1"/>
  <c r="O187" i="1"/>
  <c r="Q187" i="1"/>
  <c r="O185" i="1"/>
  <c r="Q185" i="1"/>
  <c r="O183" i="1"/>
  <c r="Q183" i="1"/>
  <c r="O181" i="1"/>
  <c r="Q181" i="1"/>
  <c r="O179" i="1"/>
  <c r="Q179" i="1"/>
  <c r="O177" i="1"/>
  <c r="Q177" i="1"/>
  <c r="O175" i="1"/>
  <c r="Q175" i="1"/>
  <c r="O173" i="1"/>
  <c r="Q173" i="1"/>
  <c r="O171" i="1"/>
  <c r="Q171" i="1"/>
  <c r="O169" i="1"/>
  <c r="Q169" i="1"/>
  <c r="O167" i="1"/>
  <c r="Q167" i="1"/>
  <c r="V163" i="1"/>
  <c r="V162" i="1"/>
  <c r="O132" i="1"/>
  <c r="Q132" i="1"/>
  <c r="O130" i="1"/>
  <c r="Q130" i="1"/>
  <c r="O128" i="1"/>
  <c r="Q128" i="1"/>
  <c r="O126" i="1"/>
  <c r="Q126" i="1"/>
  <c r="O124" i="1"/>
  <c r="Q124" i="1"/>
  <c r="O122" i="1"/>
  <c r="Q122" i="1"/>
  <c r="O120" i="1"/>
  <c r="Q120" i="1"/>
  <c r="O118" i="1"/>
  <c r="Q118" i="1"/>
  <c r="O116" i="1"/>
  <c r="Q116" i="1"/>
  <c r="O114" i="1"/>
  <c r="Q114" i="1"/>
  <c r="O112" i="1"/>
  <c r="Q112" i="1"/>
  <c r="O110" i="1"/>
  <c r="Q110" i="1"/>
  <c r="O108" i="1"/>
  <c r="Q108" i="1"/>
  <c r="O106" i="1"/>
  <c r="Q106" i="1"/>
  <c r="O104" i="1"/>
  <c r="Q104" i="1"/>
  <c r="V100" i="1"/>
  <c r="V99" i="1"/>
  <c r="O84" i="1"/>
  <c r="Q84" i="1"/>
  <c r="O82" i="1"/>
  <c r="Q82" i="1"/>
  <c r="O80" i="1"/>
  <c r="Q80" i="1"/>
  <c r="O78" i="1"/>
  <c r="Q78" i="1"/>
  <c r="O76" i="1"/>
  <c r="Q76" i="1"/>
  <c r="O74" i="1"/>
  <c r="Q74" i="1"/>
  <c r="O72" i="1"/>
  <c r="Q72" i="1"/>
  <c r="J55" i="1" a="1"/>
  <c r="J55" i="1" s="1"/>
  <c r="J56" i="1" a="1"/>
  <c r="J56" i="1" s="1"/>
  <c r="J57" i="1" a="1"/>
  <c r="J57" i="1" s="1"/>
  <c r="J58" i="1" a="1"/>
  <c r="J58" i="1" s="1"/>
  <c r="J59" i="1" a="1"/>
  <c r="J59" i="1" s="1"/>
  <c r="J61" i="1" a="1"/>
  <c r="J61" i="1" s="1"/>
  <c r="I59" i="1"/>
  <c r="I58" i="1"/>
  <c r="J100" i="1"/>
  <c r="J99" i="1"/>
  <c r="J195" i="1"/>
  <c r="H195" i="1"/>
  <c r="G195" i="1"/>
  <c r="C195" i="1"/>
  <c r="J97" i="1"/>
  <c r="H97" i="1"/>
  <c r="G97" i="1"/>
  <c r="C97" i="1"/>
  <c r="J51" i="1"/>
  <c r="J50" i="1"/>
  <c r="V50" i="1"/>
  <c r="V49" i="1"/>
  <c r="N62" i="1"/>
  <c r="N55" i="1"/>
  <c r="N58" i="1"/>
  <c r="C48" i="1"/>
  <c r="J48" i="1"/>
  <c r="H48" i="1"/>
  <c r="G48" i="1"/>
  <c r="J39" i="1"/>
  <c r="Z73" i="1"/>
  <c r="Z72" i="1"/>
  <c r="AB71" i="1"/>
  <c r="Z69" i="1"/>
  <c r="Z68" i="1"/>
  <c r="Z67" i="1"/>
  <c r="AB66" i="1"/>
  <c r="AB65" i="1"/>
  <c r="Z65" i="1"/>
  <c r="Z64" i="1"/>
  <c r="Z63" i="1"/>
  <c r="AB62" i="1"/>
  <c r="Z61" i="1"/>
  <c r="Z60" i="1"/>
  <c r="Z59" i="1"/>
  <c r="AB58" i="1"/>
  <c r="AB57" i="1"/>
  <c r="Z57" i="1"/>
  <c r="Z56" i="1"/>
  <c r="Z55" i="1"/>
  <c r="Z54" i="1"/>
  <c r="AB53" i="1"/>
  <c r="Z53" i="1"/>
  <c r="Z52" i="1"/>
  <c r="Z51" i="1"/>
  <c r="Z50" i="1"/>
  <c r="Z49" i="1"/>
  <c r="Z48" i="1"/>
  <c r="AB47" i="1"/>
  <c r="Z46" i="1"/>
  <c r="Z45" i="1"/>
  <c r="Z44" i="1"/>
  <c r="AB43" i="1"/>
  <c r="Z43" i="1"/>
  <c r="Z42" i="1"/>
  <c r="Z41" i="1"/>
  <c r="Z40" i="1"/>
  <c r="AB39" i="1"/>
  <c r="Z39" i="1"/>
  <c r="Z38" i="1"/>
  <c r="Z37" i="1"/>
  <c r="AB36" i="1"/>
  <c r="AB35" i="1"/>
  <c r="Z35" i="1"/>
  <c r="AB34" i="1"/>
  <c r="Z34" i="1"/>
  <c r="Z33" i="1"/>
  <c r="Z32" i="1"/>
  <c r="Z31" i="1"/>
  <c r="AB30" i="1"/>
  <c r="Z30" i="1"/>
  <c r="Z29" i="1"/>
  <c r="Z28" i="1"/>
  <c r="Z27" i="1"/>
  <c r="AB26" i="1"/>
  <c r="Z26" i="1"/>
  <c r="Z25" i="1"/>
  <c r="Z24" i="1"/>
  <c r="AB23" i="1"/>
  <c r="AB22" i="1"/>
  <c r="Z22" i="1"/>
  <c r="Z21" i="1"/>
  <c r="Z20" i="1"/>
  <c r="Z19" i="1"/>
  <c r="Z18" i="1"/>
  <c r="AB17" i="1"/>
  <c r="AB16" i="1"/>
  <c r="Z16" i="1"/>
  <c r="Z15" i="1"/>
  <c r="Z14" i="1"/>
  <c r="Z13" i="1"/>
  <c r="Z12" i="1"/>
  <c r="Z11" i="1"/>
  <c r="AC10" i="1"/>
  <c r="AB10" i="1" s="1"/>
  <c r="AC9" i="1"/>
  <c r="AB9" i="1" s="1"/>
  <c r="AC8" i="1"/>
  <c r="AB8" i="1" s="1"/>
  <c r="O46" i="1"/>
  <c r="AC46" i="1" s="1"/>
  <c r="AB46" i="1" s="1"/>
  <c r="O45" i="1"/>
  <c r="AC45" i="1" s="1"/>
  <c r="AB45" i="1" s="1"/>
  <c r="O44" i="1"/>
  <c r="AC44" i="1" s="1"/>
  <c r="AB44" i="1" s="1"/>
  <c r="S42" i="1"/>
  <c r="AC73" i="1" s="1"/>
  <c r="AB73" i="1" s="1"/>
  <c r="O42" i="1"/>
  <c r="AC42" i="1" s="1"/>
  <c r="AB42" i="1" s="1"/>
  <c r="S41" i="1"/>
  <c r="AC72" i="1" s="1"/>
  <c r="AB72" i="1" s="1"/>
  <c r="O41" i="1"/>
  <c r="AC41" i="1" s="1"/>
  <c r="AB41" i="1" s="1"/>
  <c r="O40" i="1"/>
  <c r="AC40" i="1" s="1"/>
  <c r="AB40" i="1" s="1"/>
  <c r="S39" i="1"/>
  <c r="AC69" i="1" s="1"/>
  <c r="AB69" i="1" s="1"/>
  <c r="S38" i="1"/>
  <c r="AC68" i="1" s="1"/>
  <c r="AB68" i="1" s="1"/>
  <c r="O38" i="1"/>
  <c r="E38" i="1" s="1"/>
  <c r="S37" i="1"/>
  <c r="I37" i="1" s="1"/>
  <c r="O37" i="1"/>
  <c r="AC37" i="1" s="1"/>
  <c r="AB37" i="1" s="1"/>
  <c r="O33" i="1"/>
  <c r="AC33" i="1" s="1"/>
  <c r="AB33" i="1" s="1"/>
  <c r="O32" i="1"/>
  <c r="AC32" i="1" s="1"/>
  <c r="AB32" i="1" s="1"/>
  <c r="O31" i="1"/>
  <c r="S29" i="1"/>
  <c r="AC64" i="1" s="1"/>
  <c r="AB64" i="1" s="1"/>
  <c r="O29" i="1"/>
  <c r="AC29" i="1" s="1"/>
  <c r="AB29" i="1" s="1"/>
  <c r="S28" i="1"/>
  <c r="AC63" i="1" s="1"/>
  <c r="AB63" i="1" s="1"/>
  <c r="O28" i="1"/>
  <c r="AC28" i="1" s="1"/>
  <c r="AB28" i="1" s="1"/>
  <c r="O27" i="1"/>
  <c r="AC27" i="1" s="1"/>
  <c r="AB27" i="1" s="1"/>
  <c r="S26" i="1"/>
  <c r="AC61" i="1" s="1"/>
  <c r="AB61" i="1" s="1"/>
  <c r="S25" i="1"/>
  <c r="AC60" i="1" s="1"/>
  <c r="AB60" i="1" s="1"/>
  <c r="O25" i="1"/>
  <c r="AC25" i="1" s="1"/>
  <c r="AB25" i="1" s="1"/>
  <c r="S24" i="1"/>
  <c r="AC59" i="1" s="1"/>
  <c r="AB59" i="1" s="1"/>
  <c r="O24" i="1"/>
  <c r="E24" i="1" s="1"/>
  <c r="O21" i="1"/>
  <c r="E21" i="1" s="1"/>
  <c r="S20" i="1"/>
  <c r="AC56" i="1" s="1"/>
  <c r="AB56" i="1" s="1"/>
  <c r="O20" i="1"/>
  <c r="AC20" i="1" s="1"/>
  <c r="AB20" i="1" s="1"/>
  <c r="S19" i="1"/>
  <c r="AC55" i="1" s="1"/>
  <c r="AB55" i="1" s="1"/>
  <c r="O19" i="1"/>
  <c r="AC19" i="1" s="1"/>
  <c r="AB19" i="1" s="1"/>
  <c r="S18" i="1"/>
  <c r="AC54" i="1" s="1"/>
  <c r="AB54" i="1" s="1"/>
  <c r="O18" i="1"/>
  <c r="AC18" i="1" s="1"/>
  <c r="AB18" i="1" s="1"/>
  <c r="S15" i="1"/>
  <c r="AC52" i="1" s="1"/>
  <c r="AB52" i="1" s="1"/>
  <c r="O15" i="1"/>
  <c r="S14" i="1"/>
  <c r="AC51" i="1" s="1"/>
  <c r="AB51" i="1" s="1"/>
  <c r="O14" i="1"/>
  <c r="AC14" i="1" s="1"/>
  <c r="AB14" i="1" s="1"/>
  <c r="S13" i="1"/>
  <c r="AC50" i="1" s="1"/>
  <c r="AB50" i="1" s="1"/>
  <c r="O13" i="1"/>
  <c r="AC13" i="1" s="1"/>
  <c r="AB13" i="1" s="1"/>
  <c r="S12" i="1"/>
  <c r="AC49" i="1" s="1"/>
  <c r="AB49" i="1" s="1"/>
  <c r="O12" i="1"/>
  <c r="AC12" i="1" s="1"/>
  <c r="AB12" i="1" s="1"/>
  <c r="S11" i="1"/>
  <c r="AC48" i="1" s="1"/>
  <c r="AB48" i="1" s="1"/>
  <c r="O11" i="1"/>
  <c r="AC11" i="1" s="1"/>
  <c r="AB11" i="1" s="1"/>
  <c r="U9" i="1"/>
  <c r="N9" i="1"/>
  <c r="Q8" i="1"/>
  <c r="O5" i="1"/>
  <c r="P3" i="1"/>
  <c r="P2" i="1"/>
  <c r="AC289" i="1" l="1"/>
  <c r="AB289" i="1" s="1"/>
  <c r="C588" i="1"/>
  <c r="C539" i="1"/>
  <c r="C490" i="1"/>
  <c r="J81" i="1"/>
  <c r="U310" i="1"/>
  <c r="C320" i="1"/>
  <c r="C327" i="1" s="1"/>
  <c r="T311" i="1"/>
  <c r="B321" i="1"/>
  <c r="B328" i="1" s="1"/>
  <c r="AC255" i="1"/>
  <c r="AB255" i="1" s="1"/>
  <c r="C313" i="1"/>
  <c r="AC263" i="1"/>
  <c r="AB263" i="1" s="1"/>
  <c r="C321" i="1"/>
  <c r="C328" i="1" s="1"/>
  <c r="AC256" i="1"/>
  <c r="AB256" i="1" s="1"/>
  <c r="E313" i="1"/>
  <c r="Z242" i="1"/>
  <c r="B262" i="1"/>
  <c r="Z238" i="1"/>
  <c r="B258" i="1"/>
  <c r="Z234" i="1"/>
  <c r="B254" i="1"/>
  <c r="AC174" i="1"/>
  <c r="AB174" i="1" s="1"/>
  <c r="C260" i="1"/>
  <c r="AC170" i="1"/>
  <c r="AB170" i="1" s="1"/>
  <c r="C256" i="1"/>
  <c r="AC189" i="1"/>
  <c r="AB189" i="1" s="1"/>
  <c r="E253" i="1"/>
  <c r="AC231" i="1"/>
  <c r="AB231" i="1" s="1"/>
  <c r="H262" i="1"/>
  <c r="AC187" i="1"/>
  <c r="AB187" i="1" s="1"/>
  <c r="D262" i="1"/>
  <c r="AC208" i="1"/>
  <c r="AB208" i="1" s="1"/>
  <c r="F261" i="1"/>
  <c r="AC185" i="1"/>
  <c r="AB185" i="1" s="1"/>
  <c r="D260" i="1"/>
  <c r="AC206" i="1"/>
  <c r="AB206" i="1" s="1"/>
  <c r="F259" i="1"/>
  <c r="AC183" i="1"/>
  <c r="AB183" i="1" s="1"/>
  <c r="D258" i="1"/>
  <c r="AC204" i="1"/>
  <c r="AB204" i="1" s="1"/>
  <c r="F257" i="1"/>
  <c r="AC181" i="1"/>
  <c r="AB181" i="1" s="1"/>
  <c r="D256" i="1"/>
  <c r="AC202" i="1"/>
  <c r="AB202" i="1" s="1"/>
  <c r="F255" i="1"/>
  <c r="AC179" i="1"/>
  <c r="AB179" i="1" s="1"/>
  <c r="D254" i="1"/>
  <c r="Z241" i="1"/>
  <c r="B261" i="1"/>
  <c r="Z237" i="1"/>
  <c r="B257" i="1"/>
  <c r="AC173" i="1"/>
  <c r="AB173" i="1" s="1"/>
  <c r="C259" i="1"/>
  <c r="AC200" i="1"/>
  <c r="AB200" i="1" s="1"/>
  <c r="F253" i="1"/>
  <c r="AC220" i="1"/>
  <c r="AB220" i="1" s="1"/>
  <c r="G262" i="1"/>
  <c r="AC230" i="1"/>
  <c r="AB230" i="1" s="1"/>
  <c r="H261" i="1"/>
  <c r="AC197" i="1"/>
  <c r="AB197" i="1" s="1"/>
  <c r="E261" i="1"/>
  <c r="AC218" i="1"/>
  <c r="AB218" i="1" s="1"/>
  <c r="G260" i="1"/>
  <c r="AC228" i="1"/>
  <c r="AB228" i="1" s="1"/>
  <c r="H259" i="1"/>
  <c r="AC195" i="1"/>
  <c r="AB195" i="1" s="1"/>
  <c r="E259" i="1"/>
  <c r="AC216" i="1"/>
  <c r="AB216" i="1" s="1"/>
  <c r="G258" i="1"/>
  <c r="AC226" i="1"/>
  <c r="AB226" i="1" s="1"/>
  <c r="H257" i="1"/>
  <c r="AC193" i="1"/>
  <c r="AB193" i="1" s="1"/>
  <c r="E257" i="1"/>
  <c r="AC214" i="1"/>
  <c r="AB214" i="1" s="1"/>
  <c r="G256" i="1"/>
  <c r="AC224" i="1"/>
  <c r="AB224" i="1" s="1"/>
  <c r="H255" i="1"/>
  <c r="AC191" i="1"/>
  <c r="AB191" i="1" s="1"/>
  <c r="E255" i="1"/>
  <c r="AC212" i="1"/>
  <c r="AB212" i="1" s="1"/>
  <c r="G254" i="1"/>
  <c r="AC176" i="1"/>
  <c r="AB176" i="1" s="1"/>
  <c r="C262" i="1"/>
  <c r="AC172" i="1"/>
  <c r="AB172" i="1" s="1"/>
  <c r="C258" i="1"/>
  <c r="AC168" i="1"/>
  <c r="AB168" i="1" s="1"/>
  <c r="C254" i="1"/>
  <c r="AC211" i="1"/>
  <c r="AB211" i="1" s="1"/>
  <c r="G253" i="1"/>
  <c r="AC209" i="1"/>
  <c r="AB209" i="1" s="1"/>
  <c r="F262" i="1"/>
  <c r="AC186" i="1"/>
  <c r="AB186" i="1" s="1"/>
  <c r="D261" i="1"/>
  <c r="AC207" i="1"/>
  <c r="AB207" i="1" s="1"/>
  <c r="F260" i="1"/>
  <c r="AC184" i="1"/>
  <c r="AB184" i="1" s="1"/>
  <c r="D259" i="1"/>
  <c r="AC205" i="1"/>
  <c r="AB205" i="1" s="1"/>
  <c r="F258" i="1"/>
  <c r="AC182" i="1"/>
  <c r="AB182" i="1" s="1"/>
  <c r="D257" i="1"/>
  <c r="AC203" i="1"/>
  <c r="AB203" i="1" s="1"/>
  <c r="F256" i="1"/>
  <c r="AC180" i="1"/>
  <c r="AB180" i="1" s="1"/>
  <c r="D255" i="1"/>
  <c r="AC201" i="1"/>
  <c r="AB201" i="1" s="1"/>
  <c r="F254" i="1"/>
  <c r="Q500" i="1"/>
  <c r="X500" i="1" s="1"/>
  <c r="AC382" i="1"/>
  <c r="AB382" i="1" s="1"/>
  <c r="P501" i="1"/>
  <c r="AC175" i="1"/>
  <c r="AB175" i="1" s="1"/>
  <c r="C261" i="1"/>
  <c r="AC171" i="1"/>
  <c r="AB171" i="1" s="1"/>
  <c r="C257" i="1"/>
  <c r="AC178" i="1"/>
  <c r="AB178" i="1" s="1"/>
  <c r="D253" i="1"/>
  <c r="AC222" i="1"/>
  <c r="AB222" i="1" s="1"/>
  <c r="H253" i="1"/>
  <c r="AC198" i="1"/>
  <c r="AB198" i="1" s="1"/>
  <c r="E262" i="1"/>
  <c r="AC219" i="1"/>
  <c r="AB219" i="1" s="1"/>
  <c r="G261" i="1"/>
  <c r="AC229" i="1"/>
  <c r="AB229" i="1" s="1"/>
  <c r="H260" i="1"/>
  <c r="AC196" i="1"/>
  <c r="AB196" i="1" s="1"/>
  <c r="E260" i="1"/>
  <c r="AC217" i="1"/>
  <c r="AB217" i="1" s="1"/>
  <c r="G259" i="1"/>
  <c r="AC227" i="1"/>
  <c r="AB227" i="1" s="1"/>
  <c r="H258" i="1"/>
  <c r="AC194" i="1"/>
  <c r="AB194" i="1" s="1"/>
  <c r="E258" i="1"/>
  <c r="AC215" i="1"/>
  <c r="AB215" i="1" s="1"/>
  <c r="G257" i="1"/>
  <c r="AC225" i="1"/>
  <c r="AB225" i="1" s="1"/>
  <c r="H256" i="1"/>
  <c r="AC192" i="1"/>
  <c r="AB192" i="1" s="1"/>
  <c r="E256" i="1"/>
  <c r="AC213" i="1"/>
  <c r="AB213" i="1" s="1"/>
  <c r="G255" i="1"/>
  <c r="AC223" i="1"/>
  <c r="AB223" i="1" s="1"/>
  <c r="H254" i="1"/>
  <c r="AC190" i="1"/>
  <c r="AB190" i="1" s="1"/>
  <c r="E254" i="1"/>
  <c r="T480" i="1"/>
  <c r="N481" i="1"/>
  <c r="T481" i="1" s="1"/>
  <c r="C147" i="1"/>
  <c r="C441" i="1"/>
  <c r="C392" i="1"/>
  <c r="C343" i="1"/>
  <c r="AC162" i="1"/>
  <c r="AB162" i="1" s="1"/>
  <c r="AC157" i="1"/>
  <c r="AB157" i="1" s="1"/>
  <c r="AC15" i="1"/>
  <c r="AB15" i="1" s="1"/>
  <c r="C294" i="1"/>
  <c r="C245" i="1"/>
  <c r="AC161" i="1"/>
  <c r="AB161" i="1" s="1"/>
  <c r="O496" i="1"/>
  <c r="V495" i="1"/>
  <c r="AC366" i="1"/>
  <c r="AB366" i="1" s="1"/>
  <c r="X473" i="1"/>
  <c r="X495" i="1"/>
  <c r="S495" i="1"/>
  <c r="R472" i="1"/>
  <c r="S472" i="1" s="1"/>
  <c r="R473" i="1"/>
  <c r="S473" i="1" s="1"/>
  <c r="R479" i="1"/>
  <c r="R475" i="1"/>
  <c r="R478" i="1"/>
  <c r="R474" i="1"/>
  <c r="R477" i="1"/>
  <c r="R476" i="1"/>
  <c r="Q474" i="1"/>
  <c r="AC351" i="1"/>
  <c r="AB351" i="1" s="1"/>
  <c r="O475" i="1"/>
  <c r="AC340" i="1"/>
  <c r="AB340" i="1" s="1"/>
  <c r="V474" i="1"/>
  <c r="AC378" i="1"/>
  <c r="AB378" i="1" s="1"/>
  <c r="Q496" i="1"/>
  <c r="P407" i="1"/>
  <c r="AC288" i="1"/>
  <c r="AB288" i="1" s="1"/>
  <c r="T303" i="1"/>
  <c r="AC31" i="1"/>
  <c r="AB31" i="1" s="1"/>
  <c r="E20" i="1"/>
  <c r="I20" i="1"/>
  <c r="Q299" i="1"/>
  <c r="Q316" i="1"/>
  <c r="AC156" i="1"/>
  <c r="AB156" i="1" s="1"/>
  <c r="P317" i="1"/>
  <c r="AC165" i="1"/>
  <c r="AB165" i="1" s="1"/>
  <c r="T267" i="1"/>
  <c r="Q317" i="1"/>
  <c r="AC164" i="1"/>
  <c r="AB164" i="1" s="1"/>
  <c r="AC158" i="1"/>
  <c r="AB158" i="1" s="1"/>
  <c r="AC260" i="1"/>
  <c r="AB260" i="1" s="1"/>
  <c r="P316" i="1"/>
  <c r="AC261" i="1"/>
  <c r="AB261" i="1" s="1"/>
  <c r="R310" i="1"/>
  <c r="AC262" i="1"/>
  <c r="AB262" i="1" s="1"/>
  <c r="R311" i="1"/>
  <c r="S310" i="1"/>
  <c r="S311" i="1"/>
  <c r="T310" i="1"/>
  <c r="U311" i="1"/>
  <c r="AC152" i="1"/>
  <c r="AB152" i="1" s="1"/>
  <c r="L252" i="1"/>
  <c r="B263" i="1" s="1"/>
  <c r="E27" i="1"/>
  <c r="E40" i="1"/>
  <c r="AC67" i="1"/>
  <c r="AB67" i="1" s="1"/>
  <c r="Z240" i="1"/>
  <c r="Z236" i="1"/>
  <c r="I13" i="1"/>
  <c r="E45" i="1"/>
  <c r="Z239" i="1"/>
  <c r="Z235" i="1"/>
  <c r="Q298" i="1"/>
  <c r="F308" i="1" s="1"/>
  <c r="AC163" i="1"/>
  <c r="AB163" i="1" s="1"/>
  <c r="AC159" i="1"/>
  <c r="AB159" i="1" s="1"/>
  <c r="V267" i="1"/>
  <c r="J262" i="1" s="1"/>
  <c r="V259" i="1"/>
  <c r="J254" i="1" s="1"/>
  <c r="V263" i="1"/>
  <c r="J258" i="1" s="1"/>
  <c r="AC239" i="1"/>
  <c r="AB239" i="1" s="1"/>
  <c r="AC235" i="1"/>
  <c r="AB235" i="1" s="1"/>
  <c r="AC241" i="1"/>
  <c r="AB241" i="1" s="1"/>
  <c r="AC237" i="1"/>
  <c r="AB237" i="1" s="1"/>
  <c r="AC242" i="1"/>
  <c r="AB242" i="1" s="1"/>
  <c r="AC234" i="1"/>
  <c r="AB234" i="1" s="1"/>
  <c r="AC240" i="1"/>
  <c r="AB240" i="1" s="1"/>
  <c r="AC236" i="1"/>
  <c r="AB236" i="1" s="1"/>
  <c r="T264" i="1"/>
  <c r="T261" i="1"/>
  <c r="T260" i="1"/>
  <c r="T262" i="1"/>
  <c r="U261" i="1"/>
  <c r="U262" i="1"/>
  <c r="U263" i="1"/>
  <c r="T265" i="1"/>
  <c r="T263" i="1"/>
  <c r="T259" i="1"/>
  <c r="T266" i="1"/>
  <c r="E13" i="1"/>
  <c r="E32" i="1"/>
  <c r="I28" i="1"/>
  <c r="C49" i="1"/>
  <c r="E12" i="1"/>
  <c r="I12" i="1"/>
  <c r="E28" i="1"/>
  <c r="E33" i="1"/>
  <c r="E41" i="1"/>
  <c r="E46" i="1"/>
  <c r="I24" i="1"/>
  <c r="I29" i="1"/>
  <c r="AC24" i="1"/>
  <c r="AB24" i="1" s="1"/>
  <c r="AC38" i="1"/>
  <c r="AB38" i="1" s="1"/>
  <c r="E11" i="1"/>
  <c r="I11" i="1"/>
  <c r="E18" i="1"/>
  <c r="E29" i="1"/>
  <c r="E37" i="1"/>
  <c r="E42" i="1"/>
  <c r="I18" i="1"/>
  <c r="I25" i="1"/>
  <c r="C98" i="1"/>
  <c r="C196" i="1"/>
  <c r="E14" i="1"/>
  <c r="I14" i="1"/>
  <c r="E19" i="1"/>
  <c r="E25" i="1"/>
  <c r="E31" i="1"/>
  <c r="E44" i="1"/>
  <c r="I19" i="1"/>
  <c r="I26" i="1"/>
  <c r="N56" i="1"/>
  <c r="N61" i="1"/>
  <c r="I38" i="1"/>
  <c r="I39" i="1"/>
  <c r="I41" i="1"/>
  <c r="I42" i="1"/>
  <c r="AC21" i="1"/>
  <c r="AB21" i="1" s="1"/>
  <c r="J67" i="1" l="1"/>
  <c r="E420" i="1"/>
  <c r="J588" i="1"/>
  <c r="J539" i="1"/>
  <c r="J490" i="1"/>
  <c r="T316" i="1"/>
  <c r="H327" i="1" s="1"/>
  <c r="F327" i="1"/>
  <c r="T317" i="1"/>
  <c r="H328" i="1" s="1"/>
  <c r="F328" i="1"/>
  <c r="U317" i="1"/>
  <c r="I328" i="1" s="1"/>
  <c r="G328" i="1"/>
  <c r="U316" i="1"/>
  <c r="I327" i="1" s="1"/>
  <c r="G327" i="1"/>
  <c r="S317" i="1"/>
  <c r="I321" i="1" s="1"/>
  <c r="G321" i="1"/>
  <c r="R316" i="1"/>
  <c r="H320" i="1" s="1"/>
  <c r="F320" i="1"/>
  <c r="AC254" i="1"/>
  <c r="AB254" i="1" s="1"/>
  <c r="F309" i="1"/>
  <c r="AC258" i="1"/>
  <c r="AB258" i="1" s="1"/>
  <c r="G313" i="1"/>
  <c r="S316" i="1"/>
  <c r="I320" i="1" s="1"/>
  <c r="G320" i="1"/>
  <c r="R317" i="1"/>
  <c r="H321" i="1" s="1"/>
  <c r="F321" i="1"/>
  <c r="AC383" i="1"/>
  <c r="AB383" i="1" s="1"/>
  <c r="Q501" i="1"/>
  <c r="X501" i="1" s="1"/>
  <c r="J147" i="1"/>
  <c r="J441" i="1"/>
  <c r="J392" i="1"/>
  <c r="J343" i="1"/>
  <c r="J113" i="1"/>
  <c r="J294" i="1"/>
  <c r="J245" i="1"/>
  <c r="AC379" i="1"/>
  <c r="AB379" i="1" s="1"/>
  <c r="Q497" i="1"/>
  <c r="X474" i="1"/>
  <c r="S474" i="1"/>
  <c r="X496" i="1"/>
  <c r="S496" i="1"/>
  <c r="AC341" i="1"/>
  <c r="AB341" i="1" s="1"/>
  <c r="V475" i="1"/>
  <c r="O476" i="1"/>
  <c r="Q475" i="1"/>
  <c r="AC352" i="1"/>
  <c r="AB352" i="1" s="1"/>
  <c r="AC367" i="1"/>
  <c r="AB367" i="1" s="1"/>
  <c r="V496" i="1"/>
  <c r="O497" i="1"/>
  <c r="T299" i="1"/>
  <c r="AC253" i="1"/>
  <c r="AB253" i="1" s="1"/>
  <c r="J49" i="1"/>
  <c r="J196" i="1"/>
  <c r="J98" i="1"/>
  <c r="J69" i="1" l="1"/>
  <c r="J68" i="1"/>
  <c r="I308" i="1"/>
  <c r="X475" i="1"/>
  <c r="S475" i="1"/>
  <c r="Q498" i="1"/>
  <c r="Q499" i="1"/>
  <c r="V476" i="1"/>
  <c r="AC342" i="1"/>
  <c r="AB342" i="1" s="1"/>
  <c r="O477" i="1"/>
  <c r="X497" i="1"/>
  <c r="S497" i="1"/>
  <c r="AC368" i="1"/>
  <c r="AB368" i="1" s="1"/>
  <c r="V497" i="1"/>
  <c r="O498" i="1"/>
  <c r="AC369" i="1" s="1"/>
  <c r="AB369" i="1" s="1"/>
  <c r="AC353" i="1"/>
  <c r="AB353" i="1" s="1"/>
  <c r="Q476" i="1"/>
  <c r="X499" i="1" l="1"/>
  <c r="S499" i="1"/>
  <c r="V498" i="1"/>
  <c r="O499" i="1"/>
  <c r="AC354" i="1"/>
  <c r="AB354" i="1" s="1"/>
  <c r="Q477" i="1"/>
  <c r="AC343" i="1"/>
  <c r="AB343" i="1" s="1"/>
  <c r="V477" i="1"/>
  <c r="O478" i="1"/>
  <c r="X498" i="1"/>
  <c r="S498" i="1"/>
  <c r="X476" i="1"/>
  <c r="S476" i="1"/>
  <c r="V499" i="1" l="1"/>
  <c r="AC370" i="1"/>
  <c r="AB370" i="1" s="1"/>
  <c r="O500" i="1"/>
  <c r="X477" i="1"/>
  <c r="S477" i="1"/>
  <c r="AC344" i="1"/>
  <c r="AB344" i="1" s="1"/>
  <c r="V478" i="1"/>
  <c r="O479" i="1"/>
  <c r="O480" i="1" s="1"/>
  <c r="Q478" i="1"/>
  <c r="AC355" i="1"/>
  <c r="AB355" i="1" s="1"/>
  <c r="O501" i="1" l="1"/>
  <c r="AC371" i="1"/>
  <c r="AB371" i="1" s="1"/>
  <c r="R500" i="1" a="1"/>
  <c r="R500" i="1" s="1"/>
  <c r="V500" i="1"/>
  <c r="O481" i="1"/>
  <c r="V480" i="1"/>
  <c r="R480" i="1" a="1"/>
  <c r="R480" i="1" s="1"/>
  <c r="AC346" i="1"/>
  <c r="AB346" i="1" s="1"/>
  <c r="Q479" i="1"/>
  <c r="AC356" i="1"/>
  <c r="AB356" i="1" s="1"/>
  <c r="X478" i="1"/>
  <c r="S478" i="1"/>
  <c r="V479" i="1"/>
  <c r="AC345" i="1"/>
  <c r="AB345" i="1" s="1"/>
  <c r="S500" i="1" l="1"/>
  <c r="F524" i="1" s="1"/>
  <c r="E524" i="1"/>
  <c r="G524" i="1" s="1"/>
  <c r="S480" i="1"/>
  <c r="F507" i="1" s="1"/>
  <c r="E507" i="1"/>
  <c r="G507" i="1" s="1"/>
  <c r="R481" i="1" a="1"/>
  <c r="R481" i="1" s="1"/>
  <c r="AC347" i="1"/>
  <c r="AB347" i="1" s="1"/>
  <c r="V481" i="1"/>
  <c r="AC372" i="1"/>
  <c r="AB372" i="1" s="1"/>
  <c r="R501" i="1" a="1"/>
  <c r="R501" i="1" s="1"/>
  <c r="V501" i="1"/>
  <c r="X479" i="1"/>
  <c r="S479" i="1"/>
  <c r="S501" i="1" l="1"/>
  <c r="E525" i="1"/>
  <c r="G525" i="1" s="1"/>
  <c r="S481" i="1"/>
  <c r="E508" i="1"/>
  <c r="G508" i="1" s="1"/>
  <c r="R503" i="1"/>
  <c r="AC390" i="1" s="1"/>
  <c r="AB390" i="1" s="1"/>
  <c r="S503" i="1"/>
  <c r="AC391" i="1" s="1"/>
  <c r="AB391" i="1" s="1"/>
  <c r="R483" i="1"/>
  <c r="Q483" i="1"/>
  <c r="AC386" i="1" s="1"/>
  <c r="AB386" i="1" s="1"/>
  <c r="AC387" i="1"/>
  <c r="AB387" i="1" s="1"/>
  <c r="Q503" i="1" l="1"/>
  <c r="AC389" i="1" s="1"/>
  <c r="AB389" i="1" s="1"/>
  <c r="F525" i="1"/>
  <c r="S483" i="1"/>
  <c r="AC388" i="1" s="1"/>
  <c r="AB388" i="1" s="1"/>
  <c r="F50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Eugene Mah</author>
  </authors>
  <commentList>
    <comment ref="A9" authorId="0" shapeId="0" xr:uid="{7519768A-93C2-4F8A-A02A-79262BDF0589}">
      <text>
        <r>
          <rPr>
            <b/>
            <sz val="9"/>
            <color indexed="81"/>
            <rFont val="Tahoma"/>
            <family val="2"/>
          </rPr>
          <t>Eugene Mah:</t>
        </r>
        <r>
          <rPr>
            <sz val="9"/>
            <color indexed="81"/>
            <rFont val="Tahoma"/>
            <family val="2"/>
          </rPr>
          <t xml:space="preserve">
Multiply by this number to get µGy·m²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<sst xmlns="http://schemas.openxmlformats.org/spreadsheetml/2006/main" count="1703" uniqueCount="763">
  <si>
    <t>Medical University of South Carolina</t>
  </si>
  <si>
    <t>Charleston, South Carolina</t>
  </si>
  <si>
    <t>EOS Imaging System Compliance Inspection</t>
  </si>
  <si>
    <t>Date:</t>
  </si>
  <si>
    <t>Inspector:</t>
  </si>
  <si>
    <t>Eugene Mah</t>
  </si>
  <si>
    <t>Last Year:</t>
  </si>
  <si>
    <t>System Information</t>
  </si>
  <si>
    <t>Location</t>
  </si>
  <si>
    <t>Input Changes Only</t>
  </si>
  <si>
    <t>Facility:</t>
  </si>
  <si>
    <t>Site Number:</t>
  </si>
  <si>
    <t>Department:</t>
  </si>
  <si>
    <t>Authorized Use:</t>
  </si>
  <si>
    <t>Area/Division:</t>
  </si>
  <si>
    <t>Date of Installation:</t>
  </si>
  <si>
    <t>Survey ID:</t>
  </si>
  <si>
    <t>Number of X-ray Tubes:</t>
  </si>
  <si>
    <t>Room Number:</t>
  </si>
  <si>
    <t>Accession Number:</t>
  </si>
  <si>
    <t>X-Ray Generator</t>
  </si>
  <si>
    <t>Manufacturer:</t>
  </si>
  <si>
    <t>Date of Manufacture:</t>
  </si>
  <si>
    <t>Model:</t>
  </si>
  <si>
    <t>Serial Number:</t>
  </si>
  <si>
    <t>Max. kVp:</t>
  </si>
  <si>
    <t>Max. mA:</t>
  </si>
  <si>
    <t>Software Version:</t>
  </si>
  <si>
    <t>X-Ray Tube 1</t>
  </si>
  <si>
    <t>Focal Spot Sizes (mm)</t>
  </si>
  <si>
    <t>Tube Designation/Use:</t>
  </si>
  <si>
    <t>Large:</t>
  </si>
  <si>
    <t>Small:</t>
  </si>
  <si>
    <t>Micro:</t>
  </si>
  <si>
    <t>Insert Manufacturer:</t>
  </si>
  <si>
    <t>Filtration</t>
  </si>
  <si>
    <t>Insert Model:</t>
  </si>
  <si>
    <t>Inherent:</t>
  </si>
  <si>
    <t>Insert Serial Number:</t>
  </si>
  <si>
    <t>Added:</t>
  </si>
  <si>
    <t>Housing Manufacturer:</t>
  </si>
  <si>
    <t>Housing Model:</t>
  </si>
  <si>
    <t>Housing Serial Number:</t>
  </si>
  <si>
    <t/>
  </si>
  <si>
    <t>X-Ray Tube 2</t>
  </si>
  <si>
    <t>PRINT AREAS</t>
  </si>
  <si>
    <t xml:space="preserve">ALL:  </t>
  </si>
  <si>
    <t xml:space="preserve">REM: </t>
  </si>
  <si>
    <t>(1) Go to last year's spreadsheet (see "**Note", below) and copy from ITS "THIS YEAR" range</t>
  </si>
  <si>
    <t>(2) Come back to this sheet and paste (use paste special, "values") into "LAST YEAR" range</t>
  </si>
  <si>
    <t>LAST</t>
  </si>
  <si>
    <t>Cell AD6</t>
  </si>
  <si>
    <t>THIS</t>
  </si>
  <si>
    <t>Measurement Parameter</t>
  </si>
  <si>
    <t>YEAR</t>
  </si>
  <si>
    <t>(Locked)</t>
  </si>
  <si>
    <t>Print Area:</t>
  </si>
  <si>
    <t>Focal Spot Sizes</t>
  </si>
  <si>
    <t>New install?</t>
  </si>
  <si>
    <t>M52</t>
  </si>
  <si>
    <t>X2</t>
  </si>
  <si>
    <t>N8</t>
  </si>
  <si>
    <t>U8</t>
  </si>
  <si>
    <t>O11</t>
  </si>
  <si>
    <t>O12</t>
  </si>
  <si>
    <t>O13</t>
  </si>
  <si>
    <t>O14</t>
  </si>
  <si>
    <t>O15</t>
  </si>
  <si>
    <t>O18</t>
  </si>
  <si>
    <t>O19</t>
  </si>
  <si>
    <t>O20</t>
  </si>
  <si>
    <t>O21</t>
  </si>
  <si>
    <t>O24</t>
  </si>
  <si>
    <t>O25</t>
  </si>
  <si>
    <t>O27</t>
  </si>
  <si>
    <t>O28</t>
  </si>
  <si>
    <t>O29</t>
  </si>
  <si>
    <t>O31</t>
  </si>
  <si>
    <t>O32</t>
  </si>
  <si>
    <t>O33</t>
  </si>
  <si>
    <t>O37</t>
  </si>
  <si>
    <t>O38</t>
  </si>
  <si>
    <t>O40</t>
  </si>
  <si>
    <t>O41</t>
  </si>
  <si>
    <t>O42</t>
  </si>
  <si>
    <t>O44</t>
  </si>
  <si>
    <t>O45</t>
  </si>
  <si>
    <t>O46</t>
  </si>
  <si>
    <t>S11</t>
  </si>
  <si>
    <t>S12</t>
  </si>
  <si>
    <t>S13</t>
  </si>
  <si>
    <t>S14</t>
  </si>
  <si>
    <t>S15</t>
  </si>
  <si>
    <t>S18</t>
  </si>
  <si>
    <t>S19</t>
  </si>
  <si>
    <t>S20</t>
  </si>
  <si>
    <t>S24</t>
  </si>
  <si>
    <t>S25</t>
  </si>
  <si>
    <t>S26</t>
  </si>
  <si>
    <t>S28</t>
  </si>
  <si>
    <t>S29</t>
  </si>
  <si>
    <t>S37</t>
  </si>
  <si>
    <t>S38</t>
  </si>
  <si>
    <t>S39</t>
  </si>
  <si>
    <t>S41</t>
  </si>
  <si>
    <t>S42</t>
  </si>
  <si>
    <t>Site:</t>
  </si>
  <si>
    <t>X-Ray Tube 2 (Lateral)</t>
  </si>
  <si>
    <t>Enter 1 for YES, 2 for NO, 3 for NA</t>
  </si>
  <si>
    <t>Is this a new installation?</t>
  </si>
  <si>
    <t>Labels, Notices, Postings</t>
  </si>
  <si>
    <t>Pregnancy Warning sign is posted</t>
  </si>
  <si>
    <t>DATE:</t>
  </si>
  <si>
    <t>Technique chart present.</t>
  </si>
  <si>
    <t>Patient exposure/dose measurements posted.</t>
  </si>
  <si>
    <t>Inspection Results</t>
  </si>
  <si>
    <t>Rule Number</t>
  </si>
  <si>
    <t>Compliance</t>
  </si>
  <si>
    <t>SCDES RHB 2.5.1.1</t>
  </si>
  <si>
    <t>SCDES registration sticker is present, clearly visible and legible.</t>
  </si>
  <si>
    <t>SCDES RHB 11.2.3</t>
  </si>
  <si>
    <t>SCDES form SC-RHA-20 "Notice to Employees" posted or referenced.</t>
  </si>
  <si>
    <t>SCDES RHB 4.2.7</t>
  </si>
  <si>
    <t>SCDES RHB 4.3.1</t>
  </si>
  <si>
    <t>Radiation warning label present on the generator control panel.</t>
  </si>
  <si>
    <t>SCDES RHB 4.2.6</t>
  </si>
  <si>
    <t>Technique chart is present and accurate.</t>
  </si>
  <si>
    <t>JCAHO</t>
  </si>
  <si>
    <t>Patient exposure/dose measurements are posted.</t>
  </si>
  <si>
    <t>Operators manuals are available.</t>
  </si>
  <si>
    <t>Monthly radiation monitoring reports are posted.</t>
  </si>
  <si>
    <t>COMMENTS</t>
  </si>
  <si>
    <t>Note:  Type all comments in the shaded cells.</t>
  </si>
  <si>
    <t>Previous Year Comments:</t>
  </si>
  <si>
    <t>Comments:</t>
  </si>
  <si>
    <t>Do NOT exceed 390</t>
  </si>
  <si>
    <t>**The SCDES registration tag was not present on the system or was damaged and should be replaced.  Arrangements must be made with the Radiation Safety Office to obtain the required registration tag.</t>
  </si>
  <si>
    <t>Additional comments:</t>
  </si>
  <si>
    <t>**A technique chart was not posted in the room.  A technique chart reflecting techniques currently used with the CR system must be provided (SCDES RHB 4.2.8).</t>
  </si>
  <si>
    <t>**Patient exposure/dose measurements from the previous report were not posted at the time of inspection.  The exposure measurements provided with this report should be posted near the operator's console.</t>
  </si>
  <si>
    <t>**Tube loading charts for each focal spot were not available at the time of inspection.  These charts should be obtained and posted near the operator's console.</t>
  </si>
  <si>
    <t>**Operator's manuals for the imaging equipment were not available at the time of inspection.  These should be obtained and made available to the operator of the equipment.</t>
  </si>
  <si>
    <t>**Monthly radiation monitoring reports were not available at the time of inspection.  These should be posted in accordance with the requirements of the radiation safety office.</t>
  </si>
  <si>
    <t>**The light field illumination failed to meet the minimum specification of 160 lux. The light source should be adjusted or replaced so as to meet this requirement.</t>
  </si>
  <si>
    <t>DO NOT USE THIS SPACE</t>
  </si>
  <si>
    <t>COMMENTS PAGE 2</t>
  </si>
  <si>
    <t>COMMENT PAGE 1</t>
  </si>
  <si>
    <t>N71</t>
  </si>
  <si>
    <t>N72</t>
  </si>
  <si>
    <t>N73</t>
  </si>
  <si>
    <t>N74</t>
  </si>
  <si>
    <t>N75</t>
  </si>
  <si>
    <t>N76</t>
  </si>
  <si>
    <t>N77</t>
  </si>
  <si>
    <t>COMMENT PAGE 2</t>
  </si>
  <si>
    <t>O237</t>
  </si>
  <si>
    <t>O239</t>
  </si>
  <si>
    <t>O241</t>
  </si>
  <si>
    <t>COMMENT PAGE 3</t>
  </si>
  <si>
    <t>N106</t>
  </si>
  <si>
    <t>N107</t>
  </si>
  <si>
    <t>N108</t>
  </si>
  <si>
    <t>N109</t>
  </si>
  <si>
    <t>N110</t>
  </si>
  <si>
    <t>N111</t>
  </si>
  <si>
    <t>N112</t>
  </si>
  <si>
    <t>N113</t>
  </si>
  <si>
    <t>N114</t>
  </si>
  <si>
    <t>N115</t>
  </si>
  <si>
    <t>N116</t>
  </si>
  <si>
    <t>N117</t>
  </si>
  <si>
    <t>N118</t>
  </si>
  <si>
    <t>N119</t>
  </si>
  <si>
    <t>N120</t>
  </si>
  <si>
    <t>N172</t>
  </si>
  <si>
    <t>N173</t>
  </si>
  <si>
    <t>N174</t>
  </si>
  <si>
    <t>N175</t>
  </si>
  <si>
    <t>N176</t>
  </si>
  <si>
    <t>N177</t>
  </si>
  <si>
    <t>N178</t>
  </si>
  <si>
    <t>N179</t>
  </si>
  <si>
    <t>N180</t>
  </si>
  <si>
    <t>N181</t>
  </si>
  <si>
    <t>N182</t>
  </si>
  <si>
    <t>N183</t>
  </si>
  <si>
    <t>N184</t>
  </si>
  <si>
    <t>N185</t>
  </si>
  <si>
    <t>N186</t>
  </si>
  <si>
    <t>NEW</t>
  </si>
  <si>
    <t>Enter the distance (cm) from the distal side of the patient to the image receptor for typical patient exposure conditions.</t>
  </si>
  <si>
    <t>Typical Large Focus mA (For technique chart)</t>
  </si>
  <si>
    <t>Typical Small Focus mA</t>
  </si>
  <si>
    <t>Exposure/Dose Measurement</t>
  </si>
  <si>
    <t>Patient</t>
  </si>
  <si>
    <t>SID</t>
  </si>
  <si>
    <t>thickness</t>
  </si>
  <si>
    <t>Field size</t>
  </si>
  <si>
    <t>KAP</t>
  </si>
  <si>
    <t>Procedure</t>
  </si>
  <si>
    <t>Grid</t>
  </si>
  <si>
    <t>(in)</t>
  </si>
  <si>
    <t>(cm)</t>
  </si>
  <si>
    <t>kVp</t>
  </si>
  <si>
    <t>(Gy-cm^2)</t>
  </si>
  <si>
    <t>mAs</t>
  </si>
  <si>
    <t>New</t>
  </si>
  <si>
    <t>cm distance between patient and image receptor</t>
  </si>
  <si>
    <t>New Values</t>
  </si>
  <si>
    <t>Percent</t>
  </si>
  <si>
    <t>Change</t>
  </si>
  <si>
    <t>CXR</t>
  </si>
  <si>
    <t>Yes</t>
  </si>
  <si>
    <t>14x17</t>
  </si>
  <si>
    <t>Abdomen AP</t>
  </si>
  <si>
    <t>Ribs</t>
  </si>
  <si>
    <t>C-Spine AP</t>
  </si>
  <si>
    <t>10x12</t>
  </si>
  <si>
    <t>Skull</t>
  </si>
  <si>
    <t>8x10</t>
  </si>
  <si>
    <t>Foot</t>
  </si>
  <si>
    <t>No</t>
  </si>
  <si>
    <t>Knee</t>
  </si>
  <si>
    <t>Pelvis AP</t>
  </si>
  <si>
    <t>Shoulder</t>
  </si>
  <si>
    <t>LS Spine AP</t>
  </si>
  <si>
    <t>ESE Limits - Title B Part IV Appendix D</t>
  </si>
  <si>
    <t>Film speed</t>
  </si>
  <si>
    <t>Thickness</t>
  </si>
  <si>
    <t>200/Dig</t>
  </si>
  <si>
    <t>Projection</t>
  </si>
  <si>
    <t>mR</t>
  </si>
  <si>
    <t>mGy</t>
  </si>
  <si>
    <t>PA Chest - Grid</t>
  </si>
  <si>
    <t>PA Chest - Non grid</t>
  </si>
  <si>
    <t>AP Abdomen</t>
  </si>
  <si>
    <t>AP Lumbar spine</t>
  </si>
  <si>
    <t>AP full spine</t>
  </si>
  <si>
    <t>AP C-spine</t>
  </si>
  <si>
    <t>Lateral skull</t>
  </si>
  <si>
    <t>AP Ret Pyelogram</t>
  </si>
  <si>
    <t>AP T-spine</t>
  </si>
  <si>
    <t>DP Foot</t>
  </si>
  <si>
    <t>Cephalometric</t>
  </si>
  <si>
    <t>RTI Piranha</t>
  </si>
  <si>
    <t>Piranha 1</t>
  </si>
  <si>
    <t>Piranha 1 CB2-17090320</t>
  </si>
  <si>
    <t>Piranha 2</t>
  </si>
  <si>
    <t>Piranha 2 CB2-19020491</t>
  </si>
  <si>
    <t>RTI DAP chamber</t>
  </si>
  <si>
    <t>DAP 1</t>
  </si>
  <si>
    <t>DAP 1 2501554</t>
  </si>
  <si>
    <t>DAP 2</t>
  </si>
  <si>
    <t>DAP 2 2501555</t>
  </si>
  <si>
    <t>KAP Conversion Table</t>
  </si>
  <si>
    <t>µGy·m²</t>
  </si>
  <si>
    <t>mGy·cm²</t>
  </si>
  <si>
    <t>cGy·cm²</t>
  </si>
  <si>
    <t>dGy·cm²</t>
  </si>
  <si>
    <t>Gy·cm²</t>
  </si>
  <si>
    <t>Beam Limiting Device</t>
  </si>
  <si>
    <t>A beam limiting device is provided to restrict the size of the useful beam.</t>
  </si>
  <si>
    <t>Positive means is provided to ensure the minimum filtration is in beam.</t>
  </si>
  <si>
    <t>Measurement Data</t>
  </si>
  <si>
    <t>SCDES RHB 4.7.1.1</t>
  </si>
  <si>
    <t>SCDES RHB 4.3.6</t>
  </si>
  <si>
    <t>SCDES RHB 4.7.14</t>
  </si>
  <si>
    <t>Minimum field size is &lt;= 5cm on each side.</t>
  </si>
  <si>
    <t>SCDES RHB 4.3.5</t>
  </si>
  <si>
    <t>The measured HVL meets SCDES minimum requirements.</t>
  </si>
  <si>
    <t>Minimum</t>
  </si>
  <si>
    <t>Measurements (cm)</t>
  </si>
  <si>
    <t>Field Size</t>
  </si>
  <si>
    <t>Longitudinal</t>
  </si>
  <si>
    <t>Transverse</t>
  </si>
  <si>
    <t>Acceptable:</t>
  </si>
  <si>
    <t>Criteria:</t>
  </si>
  <si>
    <t>Each dimension of the minimum field size at an SID of 100 cm shall be &lt;= 5 cm</t>
  </si>
  <si>
    <t>Frontal Plane:</t>
  </si>
  <si>
    <t>Lateral Plane:</t>
  </si>
  <si>
    <t>Exposure Chart</t>
  </si>
  <si>
    <t>Patient to film distance (cm)</t>
  </si>
  <si>
    <t>LF mA</t>
  </si>
  <si>
    <t>SF mA</t>
  </si>
  <si>
    <t>SID (in.)</t>
  </si>
  <si>
    <t>thickness (cm)</t>
  </si>
  <si>
    <t>Field Size (in.)</t>
  </si>
  <si>
    <t>L228</t>
  </si>
  <si>
    <t>L229</t>
  </si>
  <si>
    <t>L230</t>
  </si>
  <si>
    <t>L236</t>
  </si>
  <si>
    <t>L237</t>
  </si>
  <si>
    <t>L238</t>
  </si>
  <si>
    <t>L239</t>
  </si>
  <si>
    <t>L240</t>
  </si>
  <si>
    <t>L241</t>
  </si>
  <si>
    <t>L242</t>
  </si>
  <si>
    <t>L243</t>
  </si>
  <si>
    <t>L244</t>
  </si>
  <si>
    <t>L245</t>
  </si>
  <si>
    <t>M236</t>
  </si>
  <si>
    <t>M237</t>
  </si>
  <si>
    <t>M238</t>
  </si>
  <si>
    <t>M239</t>
  </si>
  <si>
    <t>M240</t>
  </si>
  <si>
    <t>M241</t>
  </si>
  <si>
    <t>M242</t>
  </si>
  <si>
    <t>M243</t>
  </si>
  <si>
    <t>M244</t>
  </si>
  <si>
    <t>M245</t>
  </si>
  <si>
    <t>N236</t>
  </si>
  <si>
    <t>N237</t>
  </si>
  <si>
    <t>N238</t>
  </si>
  <si>
    <t>N239</t>
  </si>
  <si>
    <t>N240</t>
  </si>
  <si>
    <t>N241</t>
  </si>
  <si>
    <t>N242</t>
  </si>
  <si>
    <t>N243</t>
  </si>
  <si>
    <t>N244</t>
  </si>
  <si>
    <t>N245</t>
  </si>
  <si>
    <t>O236</t>
  </si>
  <si>
    <t>O238</t>
  </si>
  <si>
    <t>O240</t>
  </si>
  <si>
    <t>O242</t>
  </si>
  <si>
    <t>O243</t>
  </si>
  <si>
    <t>O244</t>
  </si>
  <si>
    <t>O245</t>
  </si>
  <si>
    <t>P236</t>
  </si>
  <si>
    <t>P237</t>
  </si>
  <si>
    <t>P238</t>
  </si>
  <si>
    <t>P239</t>
  </si>
  <si>
    <t>P240</t>
  </si>
  <si>
    <t>P241</t>
  </si>
  <si>
    <t>P242</t>
  </si>
  <si>
    <t>P243</t>
  </si>
  <si>
    <t>P244</t>
  </si>
  <si>
    <t>P245</t>
  </si>
  <si>
    <t>Q236</t>
  </si>
  <si>
    <t>Q336</t>
  </si>
  <si>
    <t>Q436</t>
  </si>
  <si>
    <t>Q137</t>
  </si>
  <si>
    <t>Q237</t>
  </si>
  <si>
    <t>Q337</t>
  </si>
  <si>
    <t>Q437</t>
  </si>
  <si>
    <t>Q138</t>
  </si>
  <si>
    <t>Q238</t>
  </si>
  <si>
    <t>Q338</t>
  </si>
  <si>
    <t>V236</t>
  </si>
  <si>
    <t>V237</t>
  </si>
  <si>
    <t>V238</t>
  </si>
  <si>
    <t>V239</t>
  </si>
  <si>
    <t>V240</t>
  </si>
  <si>
    <t>V241</t>
  </si>
  <si>
    <t>V242</t>
  </si>
  <si>
    <t>V243</t>
  </si>
  <si>
    <t>V244</t>
  </si>
  <si>
    <t>V245</t>
  </si>
  <si>
    <t>Patient Entrance Exposure:</t>
  </si>
  <si>
    <t>T236</t>
  </si>
  <si>
    <t>T237</t>
  </si>
  <si>
    <t>T238</t>
  </si>
  <si>
    <t>T239</t>
  </si>
  <si>
    <t>T240</t>
  </si>
  <si>
    <t>T241</t>
  </si>
  <si>
    <t>T242</t>
  </si>
  <si>
    <t>T243</t>
  </si>
  <si>
    <t>T244</t>
  </si>
  <si>
    <t>T245</t>
  </si>
  <si>
    <t>Min. field-Longitudinal</t>
  </si>
  <si>
    <t>Min. field-Transverse</t>
  </si>
  <si>
    <t>Minimum Field Size:</t>
  </si>
  <si>
    <t>Frontal</t>
  </si>
  <si>
    <t>X-Ray Tube 1 (Frontal)</t>
  </si>
  <si>
    <t>Lateral</t>
  </si>
  <si>
    <t>P284</t>
  </si>
  <si>
    <t>Q284</t>
  </si>
  <si>
    <t>P285</t>
  </si>
  <si>
    <t>Q285</t>
  </si>
  <si>
    <t>Source to Table Top (cm)</t>
  </si>
  <si>
    <t>Table top to cassette (cm)</t>
  </si>
  <si>
    <t>L294</t>
  </si>
  <si>
    <t>L295</t>
  </si>
  <si>
    <t>Beam Levelness</t>
  </si>
  <si>
    <t>Measured Separation</t>
  </si>
  <si>
    <t>Error</t>
  </si>
  <si>
    <t>Lower</t>
  </si>
  <si>
    <t>Of Steel Balls (mm)</t>
  </si>
  <si>
    <t>(Degrees)</t>
  </si>
  <si>
    <t>Upper</t>
  </si>
  <si>
    <t>IMPORTANT!! Select below if radiation field is</t>
  </si>
  <si>
    <t>centered to upper or lower bead of the test object.</t>
  </si>
  <si>
    <t>Frontal:</t>
  </si>
  <si>
    <t>Lateral:</t>
  </si>
  <si>
    <t>Frontal Alignment Error (Degrees):</t>
  </si>
  <si>
    <t>Lateral Alignment Error (Degrees):</t>
  </si>
  <si>
    <t>Q298</t>
  </si>
  <si>
    <t>Q299</t>
  </si>
  <si>
    <t>Beam Levelness:</t>
  </si>
  <si>
    <t>Technique:</t>
  </si>
  <si>
    <t>kVp:</t>
  </si>
  <si>
    <t>mA:</t>
  </si>
  <si>
    <t>time:</t>
  </si>
  <si>
    <t>mAs:</t>
  </si>
  <si>
    <t>New:</t>
  </si>
  <si>
    <t>X-ray beam is level to within 0.5 degrees</t>
  </si>
  <si>
    <t>mA</t>
  </si>
  <si>
    <t>Time</t>
  </si>
  <si>
    <t>New mAs value</t>
  </si>
  <si>
    <t>N303</t>
  </si>
  <si>
    <t>P303</t>
  </si>
  <si>
    <t>R303</t>
  </si>
  <si>
    <t>T303</t>
  </si>
  <si>
    <t>Radiation field size</t>
  </si>
  <si>
    <t>Indicated Field Size @SID</t>
  </si>
  <si>
    <t>Error (% SID)</t>
  </si>
  <si>
    <t>Indicated field size</t>
  </si>
  <si>
    <t>Transverse 1</t>
  </si>
  <si>
    <t>Longitudinal 1</t>
  </si>
  <si>
    <t>Transverse 2</t>
  </si>
  <si>
    <t>Longitudinal 2</t>
  </si>
  <si>
    <t>L310</t>
  </si>
  <si>
    <t>M310</t>
  </si>
  <si>
    <t>L311</t>
  </si>
  <si>
    <t>M311</t>
  </si>
  <si>
    <t>Meas Radiation (Frontal)</t>
  </si>
  <si>
    <t>Meas Radiation (Lateral)</t>
  </si>
  <si>
    <t>Acceptable</t>
  </si>
  <si>
    <t>X-ray Tube</t>
  </si>
  <si>
    <t>1 Year</t>
  </si>
  <si>
    <t>2 Year</t>
  </si>
  <si>
    <t>Focal Spot Resolution</t>
  </si>
  <si>
    <t>Measured</t>
  </si>
  <si>
    <t>Previous</t>
  </si>
  <si>
    <t>Resolution</t>
  </si>
  <si>
    <t>SID*</t>
  </si>
  <si>
    <t>Magnification</t>
  </si>
  <si>
    <t>(lp/mm)</t>
  </si>
  <si>
    <t>New Values:</t>
  </si>
  <si>
    <t>Focal spot resolution is within acceptable parameters</t>
  </si>
  <si>
    <t>No significant change in resolution since previous measurement.</t>
  </si>
  <si>
    <t>Spatial Resolution</t>
  </si>
  <si>
    <t>mA/mAs</t>
  </si>
  <si>
    <t>OFD</t>
  </si>
  <si>
    <t>Last year Lrg FS resolution</t>
  </si>
  <si>
    <t>Previous 1 yr Lrg FS resolution</t>
  </si>
  <si>
    <t>Last year Sm FS resolution</t>
  </si>
  <si>
    <t>Previous 1 yr Sm FS resolution</t>
  </si>
  <si>
    <t>Frontal tube</t>
  </si>
  <si>
    <t>Lateral tube</t>
  </si>
  <si>
    <t>Indicated field size (cm)</t>
  </si>
  <si>
    <t>Frontal plane</t>
  </si>
  <si>
    <t>Lateral plane</t>
  </si>
  <si>
    <t>Test Equipment Used:</t>
  </si>
  <si>
    <t>Calibration Date:</t>
  </si>
  <si>
    <t>Calibration Due:</t>
  </si>
  <si>
    <t>* SID = Source to Image (detector) Distance.</t>
  </si>
  <si>
    <t>** ODD = Object (resolution pattern) to Detector Distance.</t>
  </si>
  <si>
    <t>ODD**</t>
  </si>
  <si>
    <t xml:space="preserve">(cm) Table top to detector </t>
  </si>
  <si>
    <t xml:space="preserve">(cm) Source to panel </t>
  </si>
  <si>
    <t>Measurements</t>
  </si>
  <si>
    <t>Set kV_x000D_(kV)</t>
  </si>
  <si>
    <t>Set mA_x000D_(mA)</t>
  </si>
  <si>
    <t>Set mAs_x000D_(mAs)</t>
  </si>
  <si>
    <t>Added Filt</t>
  </si>
  <si>
    <t>Focal spot</t>
  </si>
  <si>
    <t>Tube voltage_x000D_(kV)</t>
  </si>
  <si>
    <t>Exposure time_x000D_(s)</t>
  </si>
  <si>
    <t>Exposure_x000D_(mGy)</t>
  </si>
  <si>
    <t>Exposure rate_x000D_(mGy/s)</t>
  </si>
  <si>
    <t>Total filtr._x000D_(mm Al)</t>
  </si>
  <si>
    <t>HVL_x000D_(mm Al)</t>
  </si>
  <si>
    <t>Exposure (norm)_x000D_(mGy)</t>
  </si>
  <si>
    <t>Exposure rate (norm)_x000D_(mGy/s)</t>
  </si>
  <si>
    <t>Large</t>
  </si>
  <si>
    <t>Focal spot:</t>
  </si>
  <si>
    <t>SDD* (cm):</t>
  </si>
  <si>
    <t>kV</t>
  </si>
  <si>
    <t>Measured values</t>
  </si>
  <si>
    <t>kV (avg)</t>
  </si>
  <si>
    <t>time(SEC)</t>
  </si>
  <si>
    <t>kV Accuracy and Output</t>
  </si>
  <si>
    <t>Frontal Tube</t>
  </si>
  <si>
    <t>Lateral Tube</t>
  </si>
  <si>
    <t>Set values</t>
  </si>
  <si>
    <t>*SDD=Source to detector distance</t>
  </si>
  <si>
    <t>kV, Exposure, Timer Reproducibility</t>
  </si>
  <si>
    <t>Mean:</t>
  </si>
  <si>
    <t>SD</t>
  </si>
  <si>
    <t>Coeff of Var:</t>
  </si>
  <si>
    <t>kVp accurate to within 5% of indicated.</t>
  </si>
  <si>
    <t>Coefficient of variation (std dev./mean) &lt;= 5%.</t>
  </si>
  <si>
    <t>Radiation Output Linearity</t>
  </si>
  <si>
    <t>Coeff of Linearity:</t>
  </si>
  <si>
    <t>Coefficient of linearity &lt;= 10%.</t>
  </si>
  <si>
    <t>Half Value Layer Measurement</t>
  </si>
  <si>
    <t>mm Al</t>
  </si>
  <si>
    <t>Data Processing:</t>
  </si>
  <si>
    <t>mm Al.</t>
  </si>
  <si>
    <t>Avg. Exp.</t>
  </si>
  <si>
    <t>DATA (1/2)</t>
  </si>
  <si>
    <t>Data Al</t>
  </si>
  <si>
    <t>ln(Exp)</t>
  </si>
  <si>
    <r>
      <rPr>
        <sz val="10"/>
        <rFont val="Symbol"/>
        <family val="1"/>
        <charset val="2"/>
      </rPr>
      <t>m</t>
    </r>
    <r>
      <rPr>
        <sz val="10"/>
        <rFont val="Times New Roman"/>
        <family val="1"/>
      </rPr>
      <t>Gy/mA</t>
    </r>
  </si>
  <si>
    <t>HVL</t>
  </si>
  <si>
    <t>(mm Al)</t>
  </si>
  <si>
    <t>RAD / DENTAL UNITS (SCDES CRITERIA)</t>
  </si>
  <si>
    <t>Min HVL:</t>
  </si>
  <si>
    <t>Test Equipment Utilized:</t>
  </si>
  <si>
    <t>N337</t>
  </si>
  <si>
    <t>mGy/mAs</t>
  </si>
  <si>
    <t>N1411</t>
  </si>
  <si>
    <t>Technique overload circuits function to block excessive technique</t>
  </si>
  <si>
    <t>Anode heat calculator/indicator is functioning properly</t>
  </si>
  <si>
    <t>Indicator of the individual x-ray tube selected present and operational</t>
  </si>
  <si>
    <t>Visible "beam on" indicator present and operational</t>
  </si>
  <si>
    <t>Audible exposure end indicator present and operational</t>
  </si>
  <si>
    <t>Exposure delay time is not excessive.</t>
  </si>
  <si>
    <t>Means provided to indicate technique factors prior to exposure.</t>
  </si>
  <si>
    <t>All technique indicators functional and are free of excessive wear.</t>
  </si>
  <si>
    <t>Automatic Exposure Control</t>
  </si>
  <si>
    <r>
      <rPr>
        <sz val="10"/>
        <color theme="1"/>
        <rFont val="Symbol"/>
        <family val="1"/>
        <charset val="2"/>
      </rPr>
      <t>m</t>
    </r>
    <r>
      <rPr>
        <sz val="10"/>
        <color theme="1"/>
        <rFont val="Times New Roman"/>
        <family val="2"/>
      </rPr>
      <t>Gy</t>
    </r>
  </si>
  <si>
    <t>Half Value Layer</t>
  </si>
  <si>
    <t>Frontal plane:</t>
  </si>
  <si>
    <t>Lateral plane:</t>
  </si>
  <si>
    <t>Previous:</t>
  </si>
  <si>
    <t>10 cm</t>
  </si>
  <si>
    <t>20 cm</t>
  </si>
  <si>
    <t>30 cm</t>
  </si>
  <si>
    <t>P405</t>
  </si>
  <si>
    <t>U405</t>
  </si>
  <si>
    <t>O323</t>
  </si>
  <si>
    <t>N324</t>
  </si>
  <si>
    <t>O324</t>
  </si>
  <si>
    <t>P324</t>
  </si>
  <si>
    <t>Q324</t>
  </si>
  <si>
    <t>R324</t>
  </si>
  <si>
    <t>T324</t>
  </si>
  <si>
    <t>U324</t>
  </si>
  <si>
    <t>O328</t>
  </si>
  <si>
    <t>N329</t>
  </si>
  <si>
    <t>O329</t>
  </si>
  <si>
    <t>P329</t>
  </si>
  <si>
    <t>Q329</t>
  </si>
  <si>
    <t>R329</t>
  </si>
  <si>
    <t>T329</t>
  </si>
  <si>
    <t>U329</t>
  </si>
  <si>
    <t>Thickness Tracking</t>
  </si>
  <si>
    <t>Reproducibility</t>
  </si>
  <si>
    <t>AEC Thickness Tracking</t>
  </si>
  <si>
    <t>AEC Reproducibility</t>
  </si>
  <si>
    <t>Deviation</t>
  </si>
  <si>
    <t>from mean</t>
  </si>
  <si>
    <t>Exposure deviation is less than 11% from the mean value</t>
  </si>
  <si>
    <t>Indicated</t>
  </si>
  <si>
    <t>% diff</t>
  </si>
  <si>
    <t>Measured KAP should be within +/-15% of the indicated value</t>
  </si>
  <si>
    <t>Output - Frontal Plane</t>
  </si>
  <si>
    <t>Current</t>
  </si>
  <si>
    <t>Previous* Measurements</t>
  </si>
  <si>
    <t>Current Meas.</t>
  </si>
  <si>
    <t>@ Current</t>
  </si>
  <si>
    <t>meas. kVp</t>
  </si>
  <si>
    <t>@SDD</t>
  </si>
  <si>
    <t>@40"</t>
  </si>
  <si>
    <t>mGy/mAs Output</t>
  </si>
  <si>
    <r>
      <rPr>
        <sz val="9"/>
        <rFont val="Symbol"/>
        <family val="1"/>
        <charset val="2"/>
      </rPr>
      <t>m</t>
    </r>
    <r>
      <rPr>
        <sz val="9"/>
        <rFont val="Times New Roman"/>
        <family val="1"/>
      </rPr>
      <t>Gy/mA</t>
    </r>
  </si>
  <si>
    <t>SDD (cm):</t>
  </si>
  <si>
    <t>SDD(cm)</t>
  </si>
  <si>
    <t>O472</t>
  </si>
  <si>
    <t>O473</t>
  </si>
  <si>
    <t>O474</t>
  </si>
  <si>
    <t>O475</t>
  </si>
  <si>
    <t>O476</t>
  </si>
  <si>
    <t>O477</t>
  </si>
  <si>
    <t>O478</t>
  </si>
  <si>
    <t>O479</t>
  </si>
  <si>
    <t>P472</t>
  </si>
  <si>
    <t>P473</t>
  </si>
  <si>
    <t>P474</t>
  </si>
  <si>
    <t>P475</t>
  </si>
  <si>
    <t>P476</t>
  </si>
  <si>
    <t>P477</t>
  </si>
  <si>
    <t>P478</t>
  </si>
  <si>
    <t>P479</t>
  </si>
  <si>
    <t>Frontal Plane Output</t>
  </si>
  <si>
    <t>Lateral Plane Output</t>
  </si>
  <si>
    <t>@100 cm</t>
  </si>
  <si>
    <t>(Using</t>
  </si>
  <si>
    <t>Recorded</t>
  </si>
  <si>
    <t>Adjusted to</t>
  </si>
  <si>
    <t>kVp)</t>
  </si>
  <si>
    <t>LN(kVp)</t>
  </si>
  <si>
    <t>Using</t>
  </si>
  <si>
    <t>Output - Lateral Plane</t>
  </si>
  <si>
    <t>O487</t>
  </si>
  <si>
    <t>O488</t>
  </si>
  <si>
    <t>O489</t>
  </si>
  <si>
    <t>O490</t>
  </si>
  <si>
    <t>O491</t>
  </si>
  <si>
    <t>O492</t>
  </si>
  <si>
    <t>P487</t>
  </si>
  <si>
    <t>P488</t>
  </si>
  <si>
    <t>P489</t>
  </si>
  <si>
    <t>P490</t>
  </si>
  <si>
    <t>P491</t>
  </si>
  <si>
    <t>P492</t>
  </si>
  <si>
    <t>*From previous compliance report</t>
  </si>
  <si>
    <t>Max</t>
  </si>
  <si>
    <t>Median</t>
  </si>
  <si>
    <t>Min.</t>
  </si>
  <si>
    <t>Q481</t>
  </si>
  <si>
    <t>R481</t>
  </si>
  <si>
    <t>Frontal Plane Max.</t>
  </si>
  <si>
    <t>Frontal Plane Median</t>
  </si>
  <si>
    <t>Frontal Plane Min</t>
  </si>
  <si>
    <t>S481</t>
  </si>
  <si>
    <t>Lateral Plane Max.</t>
  </si>
  <si>
    <t>Lateral Plane Median</t>
  </si>
  <si>
    <t>Lateral Plane Min</t>
  </si>
  <si>
    <t>Q499</t>
  </si>
  <si>
    <t>R499</t>
  </si>
  <si>
    <t>S499</t>
  </si>
  <si>
    <t>The x-ray output @100 cm is within +/-25% from previous measurements.</t>
  </si>
  <si>
    <r>
      <rPr>
        <sz val="8"/>
        <rFont val="Symbol"/>
        <family val="1"/>
        <charset val="2"/>
      </rPr>
      <t>m</t>
    </r>
    <r>
      <rPr>
        <sz val="8"/>
        <rFont val="Times New Roman"/>
        <family val="1"/>
      </rPr>
      <t>Gy/mA</t>
    </r>
  </si>
  <si>
    <t>100 cm SID)</t>
  </si>
  <si>
    <r>
      <t>LN(</t>
    </r>
    <r>
      <rPr>
        <sz val="8"/>
        <rFont val="Symbol"/>
        <family val="1"/>
        <charset val="2"/>
      </rPr>
      <t>m</t>
    </r>
    <r>
      <rPr>
        <sz val="8"/>
        <rFont val="Times New Roman"/>
        <family val="1"/>
      </rPr>
      <t>Gy/mAs)</t>
    </r>
  </si>
  <si>
    <t>Continuous pressure on exposure switch required to make an exposure with selected tube</t>
  </si>
  <si>
    <t>Exposure switch for selected tube is secured at a safe location</t>
  </si>
  <si>
    <t>Operator has full visibility of the exposure factors and patient</t>
  </si>
  <si>
    <t>Radiation warning light at room entrance is functional with selected tube</t>
  </si>
  <si>
    <t>Lead apron available</t>
  </si>
  <si>
    <t>Lead gloves available.</t>
  </si>
  <si>
    <t>A properly designed and installed apron rack is present.</t>
  </si>
  <si>
    <t>Documentation of annual protective apparel integrity inspection is available.</t>
  </si>
  <si>
    <t>Patient restraint devices available.</t>
  </si>
  <si>
    <t>Gonadal shielding is present and functional.</t>
  </si>
  <si>
    <t>Radiation Safety</t>
  </si>
  <si>
    <t>Physical Inspection</t>
  </si>
  <si>
    <t>System clean and free of debris.</t>
  </si>
  <si>
    <t>All cables free from excessive wear or restraints.</t>
  </si>
  <si>
    <t>System free of missing or damaged components.</t>
  </si>
  <si>
    <t>Table movements and locks acceptable</t>
  </si>
  <si>
    <t>Tube crane movements and locks acceptable.</t>
  </si>
  <si>
    <t>All other movements and locks functional.</t>
  </si>
  <si>
    <t>X-ray beam is level</t>
  </si>
  <si>
    <t>The indicated field size is accurate to within 2% of the SID.</t>
  </si>
  <si>
    <t>Generator</t>
  </si>
  <si>
    <t>SCDES RHB 4.3.9.1</t>
  </si>
  <si>
    <t>SCDES RHB 4.3.7</t>
  </si>
  <si>
    <t>SCDES RHB 4.3.9.3</t>
  </si>
  <si>
    <t>SCDES RHB 4.7.4.2.3</t>
  </si>
  <si>
    <t>SCDES RHB 4.7.6</t>
  </si>
  <si>
    <t>SCDES RHB 4.7.5</t>
  </si>
  <si>
    <t>kVp and exposure reproducibility coeff. of var. &lt; 5%.</t>
  </si>
  <si>
    <t>SCDES RHB 4.7.7</t>
  </si>
  <si>
    <t>Exposure coefficient of linearity &lt; 10%.</t>
  </si>
  <si>
    <t>SCDES RHB 4.7.1.5</t>
  </si>
  <si>
    <t>SCDES RHB 4.7.4.2.1</t>
  </si>
  <si>
    <t>Continuous pressure on exposure switch required to make an exposure.</t>
  </si>
  <si>
    <t>SCDES RHB 4.7.4.2.2</t>
  </si>
  <si>
    <t>SCDES RHB 4.7.4.2.4</t>
  </si>
  <si>
    <t>Operator has full visibility of the exposure factors and patient.</t>
  </si>
  <si>
    <t>SCDES RHB 4.2.12.7</t>
  </si>
  <si>
    <t>Lead aprons available.</t>
  </si>
  <si>
    <t>SCDES RHB 4.2.8</t>
  </si>
  <si>
    <t>SCDES RHB 4.2.13.2</t>
  </si>
  <si>
    <t>Entrance skin exposures are within limits</t>
  </si>
  <si>
    <t>ESE Limits Acceptable</t>
  </si>
  <si>
    <t>AEC reproducibility deviation is less than 10% from the mean</t>
  </si>
  <si>
    <t>Kerma Area Product</t>
  </si>
  <si>
    <t>Kerma area product accuracy is within +/-15%</t>
  </si>
  <si>
    <t>Platform movements and locks acceptable</t>
  </si>
  <si>
    <t>Percent Change</t>
  </si>
  <si>
    <t>ESE within limits</t>
  </si>
  <si>
    <t>O480</t>
  </si>
  <si>
    <t>O481</t>
  </si>
  <si>
    <t>P480</t>
  </si>
  <si>
    <t>P481</t>
  </si>
  <si>
    <t>O493</t>
  </si>
  <si>
    <t>O494</t>
  </si>
  <si>
    <t>P493</t>
  </si>
  <si>
    <t>P494</t>
  </si>
  <si>
    <t>O495</t>
  </si>
  <si>
    <t>O496</t>
  </si>
  <si>
    <t>P495</t>
  </si>
  <si>
    <t>P496</t>
  </si>
  <si>
    <t>Entrance air kerma (mGy)</t>
  </si>
  <si>
    <t>M429</t>
  </si>
  <si>
    <t>N429</t>
  </si>
  <si>
    <t>O429</t>
  </si>
  <si>
    <t>M430</t>
  </si>
  <si>
    <t>N430</t>
  </si>
  <si>
    <t>O430</t>
  </si>
  <si>
    <t>M431</t>
  </si>
  <si>
    <t>N431</t>
  </si>
  <si>
    <t>O431</t>
  </si>
  <si>
    <t>Q429</t>
  </si>
  <si>
    <t>R429</t>
  </si>
  <si>
    <t>S429</t>
  </si>
  <si>
    <t>Q430</t>
  </si>
  <si>
    <t>R430</t>
  </si>
  <si>
    <t>S430</t>
  </si>
  <si>
    <t>Q431</t>
  </si>
  <si>
    <t>R431</t>
  </si>
  <si>
    <t>S431</t>
  </si>
  <si>
    <t>M437</t>
  </si>
  <si>
    <t>N437</t>
  </si>
  <si>
    <t>O437</t>
  </si>
  <si>
    <t>M438</t>
  </si>
  <si>
    <t>N438</t>
  </si>
  <si>
    <t>O438</t>
  </si>
  <si>
    <t>M439</t>
  </si>
  <si>
    <t>N439</t>
  </si>
  <si>
    <t>O439</t>
  </si>
  <si>
    <t>R437</t>
  </si>
  <si>
    <t>S437</t>
  </si>
  <si>
    <t>T437</t>
  </si>
  <si>
    <t>S438</t>
  </si>
  <si>
    <t>R438</t>
  </si>
  <si>
    <t>T438</t>
  </si>
  <si>
    <t>R439</t>
  </si>
  <si>
    <t>S439</t>
  </si>
  <si>
    <t>T439</t>
  </si>
  <si>
    <t>M340</t>
  </si>
  <si>
    <t>Minimum Field Size</t>
  </si>
  <si>
    <t>SID:</t>
  </si>
  <si>
    <t>The indicated field length/width are accurate to within 2% of the SID.</t>
  </si>
  <si>
    <t>X-ray field length/width are congruent within 2% SID.</t>
  </si>
  <si>
    <t>* SID = Source to Image (film) Distance.</t>
  </si>
  <si>
    <t>** OFD = Object (resolution pattern) to Film Distance.</t>
  </si>
  <si>
    <t>GENERATOR PERFORMANCE</t>
  </si>
  <si>
    <t>Cal Date:</t>
  </si>
  <si>
    <t>Cal Due:</t>
  </si>
  <si>
    <t>kVp Accuracy</t>
  </si>
  <si>
    <t>SDD:</t>
  </si>
  <si>
    <t>time (sec)</t>
  </si>
  <si>
    <t>Indicated kV</t>
  </si>
  <si>
    <t>Measured kV</t>
  </si>
  <si>
    <t>% error</t>
  </si>
  <si>
    <t>kVp and Exposure Reproducibility</t>
  </si>
  <si>
    <t>kV:</t>
  </si>
  <si>
    <t>Al (mm)</t>
  </si>
  <si>
    <t>Kerma Area Product Accuracy</t>
  </si>
  <si>
    <t>DAP Chamber:</t>
  </si>
  <si>
    <t>Calibration date:</t>
  </si>
  <si>
    <t>Calibration due:</t>
  </si>
  <si>
    <t>Huttner Grating</t>
  </si>
  <si>
    <t>Exposure time_x000D_(ms)</t>
  </si>
  <si>
    <t xml:space="preserve"> Chamber:</t>
  </si>
  <si>
    <t>Measured Radiation</t>
  </si>
  <si>
    <t>Thickness (cm)</t>
  </si>
  <si>
    <t>Exposure rate_x000D_(mGy/min)</t>
  </si>
  <si>
    <t>Plane</t>
  </si>
  <si>
    <t>Set time_x000D_(s)</t>
  </si>
  <si>
    <t>KAP exposure_x000D_(µGym²)</t>
  </si>
  <si>
    <t>KAP exposure rate_x000D_(mGycm²/s)</t>
  </si>
  <si>
    <t>Indicated KAP</t>
  </si>
  <si>
    <t>KAP % diff</t>
  </si>
  <si>
    <t>Revision 001-20260415  (Has 48 data records)</t>
  </si>
  <si>
    <t>FIRST,EXP,BLD,KV_REPRO,LIN_HVL,AEC_KAP,LAST</t>
  </si>
  <si>
    <t>FIRST,COMPG2,COMPG3,EXP,BLD,KV_REPRO,LIN_HVL,AEC_KAP,LAST</t>
  </si>
  <si>
    <t>The x-ray output @100 cm within +/-25% from previous measurements.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</si>
</sst>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mmm\-d\-yy"/>
    <numFmt numFmtId="165" formatCode="[$-409]d\-mmm\-yyyy;@"/>
    <numFmt numFmtId="166" formatCode="#"/>
    <numFmt numFmtId="167" formatCode="[$-409]mmm/yy;@"/>
    <numFmt numFmtId="168" formatCode="0.0#"/>
    <numFmt numFmtId="169" formatCode="mmm\-yyyy"/>
    <numFmt numFmtId="170" formatCode="#.0"/>
    <numFmt numFmtId="171" formatCode="0.000#"/>
    <numFmt numFmtId="172" formatCode="#,##0.0#"/>
    <numFmt numFmtId="173" formatCode="0.0"/>
    <numFmt numFmtId="174" formatCode="0.0%"/>
    <numFmt numFmtId="175" formatCode="#.##"/>
    <numFmt numFmtId="176" formatCode="#.0#"/>
    <numFmt numFmtId="177" formatCode="0.000"/>
    <numFmt numFmtId="178" formatCode="#.00"/>
    <numFmt numFmtId="179" formatCode="##0.0%"/>
    <numFmt numFmtId="180" formatCode="0.0000"/>
    <numFmt numFmtId="181" formatCode="#.#"/>
  </numFmts>
  <fonts count="53">
    <font>
      <sz val="11"/>
      <color theme="1"/>
      <name val="Times New Roman"/>
      <family val="2"/>
    </font>
    <font>
      <sz val="11"/>
      <color theme="1"/>
      <name val="Times New Roman"/>
      <family val="2"/>
    </font>
    <font>
      <sz val="10"/>
      <name val="Times New Roman"/>
      <family val="1"/>
    </font>
    <font>
      <sz val="8"/>
      <name val="Times New Roman"/>
      <family val="1"/>
    </font>
    <font>
      <sz val="9"/>
      <name val="Times New Roman"/>
      <family val="1"/>
    </font>
    <font>
      <b/>
      <i/>
      <sz val="14"/>
      <name val="Monotype Corsiva"/>
      <family val="4"/>
    </font>
    <font>
      <b/>
      <sz val="14"/>
      <name val="Times New Roman"/>
      <family val="1"/>
    </font>
    <font>
      <b/>
      <sz val="14"/>
      <color theme="1"/>
      <name val="Times New Roman"/>
      <family val="1"/>
    </font>
    <font>
      <b/>
      <sz val="10"/>
      <name val="Times New Roman"/>
      <family val="1"/>
    </font>
    <font>
      <sz val="8"/>
      <color indexed="10"/>
      <name val="Times New Roman"/>
      <family val="1"/>
    </font>
    <font>
      <b/>
      <i/>
      <sz val="16"/>
      <name val="Monotype Corsiva"/>
      <family val="4"/>
    </font>
    <font>
      <b/>
      <u/>
      <sz val="10"/>
      <name val="Times New Roman"/>
      <family val="1"/>
    </font>
    <font>
      <sz val="10"/>
      <color indexed="10"/>
      <name val="Times New Roman"/>
      <family val="1"/>
    </font>
    <font>
      <sz val="11"/>
      <color indexed="10"/>
      <name val="Times New Roman"/>
      <family val="1"/>
    </font>
    <font>
      <sz val="10"/>
      <name val="TimesNewRomanPS"/>
      <family val="1"/>
    </font>
    <font>
      <b/>
      <sz val="10"/>
      <color indexed="10"/>
      <name val="Times New Roman"/>
      <family val="1"/>
    </font>
    <font>
      <b/>
      <sz val="10"/>
      <color indexed="39"/>
      <name val="Times New Roman"/>
      <family val="1"/>
    </font>
    <font>
      <sz val="8"/>
      <name val="Times New Roman"/>
      <family val="2"/>
    </font>
    <font>
      <u/>
      <sz val="9"/>
      <name val="Times New Roman"/>
      <family val="1"/>
    </font>
    <font>
      <u/>
      <sz val="10"/>
      <name val="Times New Roman"/>
      <family val="1"/>
    </font>
    <font>
      <b/>
      <sz val="12"/>
      <name val="Times New Roman"/>
      <family val="1"/>
    </font>
    <font>
      <b/>
      <sz val="10"/>
      <color indexed="12"/>
      <name val="Times New Roman"/>
      <family val="1"/>
    </font>
    <font>
      <sz val="10"/>
      <color indexed="12"/>
      <name val="Times New Roman"/>
      <family val="1"/>
    </font>
    <font>
      <sz val="10"/>
      <color indexed="53"/>
      <name val="Times New Roman"/>
      <family val="1"/>
    </font>
    <font>
      <b/>
      <sz val="10"/>
      <color indexed="53"/>
      <name val="Times New Roman"/>
      <family val="1"/>
    </font>
    <font>
      <b/>
      <sz val="8"/>
      <color indexed="53"/>
      <name val="Times New Roman"/>
      <family val="1"/>
    </font>
    <font>
      <sz val="8"/>
      <color indexed="61"/>
      <name val="Times New Roman"/>
      <family val="1"/>
    </font>
    <font>
      <b/>
      <sz val="8"/>
      <name val="Times New Roman"/>
      <family val="1"/>
    </font>
    <font>
      <sz val="12"/>
      <name val="Times New Roman"/>
      <family val="1"/>
    </font>
    <font>
      <b/>
      <sz val="9"/>
      <color indexed="81"/>
      <name val="Tahoma"/>
      <family val="2"/>
    </font>
    <font>
      <sz val="9"/>
      <color indexed="81"/>
      <name val="Tahoma"/>
      <family val="2"/>
    </font>
    <font>
      <sz val="10"/>
      <color theme="1"/>
      <name val="Times New Roman"/>
      <family val="1"/>
    </font>
    <font>
      <b/>
      <sz val="10"/>
      <color theme="1"/>
      <name val="Times New Roman"/>
      <family val="1"/>
    </font>
    <font>
      <sz val="10"/>
      <color theme="1"/>
      <name val="Times New Roman"/>
      <family val="2"/>
    </font>
    <font>
      <b/>
      <u/>
      <sz val="10"/>
      <color theme="1"/>
      <name val="Times New Roman"/>
      <family val="1"/>
    </font>
    <font>
      <b/>
      <u/>
      <sz val="12"/>
      <name val="Times New Roman"/>
      <family val="1"/>
    </font>
    <font>
      <b/>
      <sz val="9"/>
      <name val="Times New Roman"/>
      <family val="1"/>
    </font>
    <font>
      <sz val="10"/>
      <color rgb="FF000000"/>
      <name val="Times New Roman"/>
      <family val="1"/>
    </font>
    <font>
      <b/>
      <sz val="11"/>
      <color theme="1"/>
      <name val="Times New Roman"/>
      <family val="1"/>
    </font>
    <font>
      <b/>
      <sz val="11"/>
      <color rgb="FFFFFFFF"/>
      <name val="Times New Roman"/>
      <family val="1"/>
    </font>
    <font>
      <sz val="11"/>
      <color theme="1"/>
      <name val="Times New Roman"/>
      <family val="1"/>
    </font>
    <font>
      <sz val="10"/>
      <name val="Symbol"/>
      <family val="1"/>
      <charset val="2"/>
    </font>
    <font>
      <sz val="10"/>
      <name val="Times New Roman"/>
      <family val="1"/>
      <charset val="2"/>
    </font>
    <font>
      <sz val="12"/>
      <color theme="1"/>
      <name val="Times New Roman"/>
      <family val="1"/>
    </font>
    <font>
      <b/>
      <sz val="11"/>
      <name val="Times New Roman"/>
      <family val="1"/>
    </font>
    <font>
      <sz val="10"/>
      <color theme="1"/>
      <name val="Symbol"/>
      <family val="1"/>
      <charset val="2"/>
    </font>
    <font>
      <sz val="10"/>
      <color theme="1"/>
      <name val="Times New Roman"/>
      <family val="1"/>
      <charset val="2"/>
    </font>
    <font>
      <sz val="9"/>
      <name val="Symbol"/>
      <family val="1"/>
      <charset val="2"/>
    </font>
    <font>
      <sz val="9"/>
      <name val="Times New Roman"/>
      <family val="1"/>
      <charset val="2"/>
    </font>
    <font>
      <b/>
      <sz val="9"/>
      <color indexed="60"/>
      <name val="Times New Roman"/>
      <family val="1"/>
    </font>
    <font>
      <sz val="10"/>
      <color indexed="60"/>
      <name val="Times New Roman"/>
      <family val="1"/>
    </font>
    <font>
      <sz val="8"/>
      <name val="Times New Roman"/>
      <family val="1"/>
      <charset val="2"/>
    </font>
    <font>
      <sz val="8"/>
      <name val="Symbol"/>
      <family val="1"/>
      <charset val="2"/>
    </font>
  </fonts>
  <fills count="16">
    <fill>
      <patternFill patternType="none"/>
    </fill>
    <fill>
      <patternFill patternType="gray125"/>
    </fill>
    <fill>
      <patternFill patternType="solid">
        <fgColor indexed="44"/>
        <bgColor indexed="64"/>
      </patternFill>
    </fill>
    <fill>
      <patternFill patternType="solid">
        <fgColor indexed="44"/>
        <bgColor indexed="9"/>
      </patternFill>
    </fill>
    <fill>
      <patternFill patternType="solid">
        <fgColor indexed="44"/>
        <bgColor indexed="26"/>
      </patternFill>
    </fill>
    <fill>
      <patternFill patternType="mediumGray">
        <fgColor indexed="9"/>
        <bgColor indexed="45"/>
      </patternFill>
    </fill>
    <fill>
      <patternFill patternType="mediumGray">
        <fgColor indexed="26"/>
        <bgColor indexed="26"/>
      </patternFill>
    </fill>
    <fill>
      <patternFill patternType="mediumGray">
        <fgColor indexed="9"/>
        <bgColor indexed="22"/>
      </patternFill>
    </fill>
    <fill>
      <patternFill patternType="solid">
        <fgColor indexed="31"/>
        <bgColor indexed="64"/>
      </patternFill>
    </fill>
    <fill>
      <patternFill patternType="mediumGray">
        <fgColor indexed="9"/>
        <bgColor indexed="13"/>
      </patternFill>
    </fill>
    <fill>
      <patternFill patternType="mediumGray"/>
    </fill>
    <fill>
      <patternFill patternType="solid">
        <fgColor indexed="15"/>
        <bgColor indexed="64"/>
      </patternFill>
    </fill>
    <fill>
      <patternFill patternType="solid">
        <fgColor indexed="10"/>
        <bgColor indexed="64"/>
      </patternFill>
    </fill>
    <fill>
      <patternFill patternType="mediumGray">
        <fgColor indexed="9"/>
        <bgColor indexed="41"/>
      </patternFill>
    </fill>
    <fill>
      <patternFill patternType="mediumGray">
        <fgColor indexed="9"/>
        <bgColor indexed="27"/>
      </patternFill>
    </fill>
    <fill>
      <patternFill patternType="solid">
        <fgColor rgb="FF000000"/>
        <bgColor indexed="64"/>
      </patternFill>
    </fill>
  </fills>
  <borders count="124">
    <border>
      <left/>
      <right/>
      <top/>
      <bottom/>
      <diagonal/>
    </border>
    <border>
      <left style="thick">
        <color indexed="64"/>
      </left>
      <right/>
      <top style="thick">
        <color indexed="64"/>
      </top>
      <bottom/>
      <diagonal/>
    </border>
    <border>
      <left/>
      <right/>
      <top style="thick">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ck">
        <color indexed="64"/>
      </right>
      <top style="thick">
        <color indexed="64"/>
      </top>
      <bottom/>
      <diagonal/>
    </border>
    <border>
      <left/>
      <right style="thick">
        <color indexed="64"/>
      </right>
      <top/>
      <bottom/>
      <diagonal/>
    </border>
    <border>
      <left/>
      <right style="thick">
        <color indexed="64"/>
      </right>
      <top/>
      <bottom style="thick">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thin">
        <color indexed="64"/>
      </left>
      <right style="thin">
        <color indexed="64"/>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right style="double">
        <color indexed="64"/>
      </right>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bottom style="thin">
        <color indexed="64"/>
      </bottom>
      <diagonal/>
    </border>
    <border>
      <left/>
      <right style="double">
        <color indexed="64"/>
      </right>
      <top style="thin">
        <color indexed="64"/>
      </top>
      <bottom style="thin">
        <color indexed="64"/>
      </bottom>
      <diagonal/>
    </border>
    <border>
      <left style="double">
        <color indexed="64"/>
      </left>
      <right/>
      <top style="double">
        <color indexed="64"/>
      </top>
      <bottom style="thin">
        <color indexed="64"/>
      </bottom>
      <diagonal/>
    </border>
    <border>
      <left style="thick">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thin">
        <color indexed="64"/>
      </left>
      <right/>
      <top/>
      <bottom style="thin">
        <color indexed="64"/>
      </bottom>
      <diagonal/>
    </border>
    <border>
      <left style="double">
        <color indexed="64"/>
      </left>
      <right style="thin">
        <color indexed="64"/>
      </right>
      <top style="thin">
        <color indexed="64"/>
      </top>
      <bottom style="thin">
        <color indexed="64"/>
      </bottom>
      <diagonal/>
    </border>
    <border>
      <left/>
      <right style="double">
        <color indexed="64"/>
      </right>
      <top/>
      <bottom style="hair">
        <color indexed="64"/>
      </bottom>
      <diagonal/>
    </border>
    <border>
      <left/>
      <right style="thin">
        <color indexed="64"/>
      </right>
      <top/>
      <bottom/>
      <diagonal/>
    </border>
    <border>
      <left style="medium">
        <color indexed="64"/>
      </left>
      <right style="medium">
        <color indexed="64"/>
      </right>
      <top style="medium">
        <color indexed="64"/>
      </top>
      <bottom/>
      <diagonal/>
    </border>
    <border>
      <left style="thin">
        <color indexed="64"/>
      </left>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indexed="64"/>
      </left>
      <right style="thin">
        <color indexed="64"/>
      </right>
      <top/>
      <bottom style="medium">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double">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style="double">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double">
        <color indexed="64"/>
      </right>
      <top/>
      <bottom/>
      <diagonal/>
    </border>
    <border>
      <left style="thin">
        <color indexed="64"/>
      </left>
      <right/>
      <top/>
      <bottom style="medium">
        <color indexed="64"/>
      </bottom>
      <diagonal/>
    </border>
    <border>
      <left style="thin">
        <color indexed="64"/>
      </left>
      <right style="double">
        <color indexed="64"/>
      </right>
      <top style="thin">
        <color indexed="64"/>
      </top>
      <bottom style="thin">
        <color indexed="64"/>
      </bottom>
      <diagonal/>
    </border>
    <border>
      <left style="double">
        <color indexed="64"/>
      </left>
      <right/>
      <top/>
      <bottom style="medium">
        <color indexed="64"/>
      </bottom>
      <diagonal/>
    </border>
    <border>
      <left/>
      <right style="medium">
        <color auto="1"/>
      </right>
      <top/>
      <bottom style="thin">
        <color auto="1"/>
      </bottom>
      <diagonal/>
    </border>
    <border>
      <left style="thin">
        <color auto="1"/>
      </left>
      <right style="medium">
        <color auto="1"/>
      </right>
      <top style="thin">
        <color auto="1"/>
      </top>
      <bottom style="thin">
        <color auto="1"/>
      </bottom>
      <diagonal/>
    </border>
    <border>
      <left style="double">
        <color auto="1"/>
      </left>
      <right style="thin">
        <color auto="1"/>
      </right>
      <top style="thin">
        <color auto="1"/>
      </top>
      <bottom style="medium">
        <color auto="1"/>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style="medium">
        <color auto="1"/>
      </left>
      <right/>
      <top style="thin">
        <color indexed="64"/>
      </top>
      <bottom/>
      <diagonal/>
    </border>
    <border>
      <left/>
      <right style="medium">
        <color auto="1"/>
      </right>
      <top style="thin">
        <color indexed="64"/>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double">
        <color auto="1"/>
      </left>
      <right style="thin">
        <color auto="1"/>
      </right>
      <top style="medium">
        <color auto="1"/>
      </top>
      <bottom style="thin">
        <color auto="1"/>
      </bottom>
      <diagonal/>
    </border>
    <border>
      <left/>
      <right style="thin">
        <color indexed="64"/>
      </right>
      <top style="medium">
        <color indexed="64"/>
      </top>
      <bottom style="thin">
        <color indexed="64"/>
      </bottom>
      <diagonal/>
    </border>
    <border>
      <left style="medium">
        <color indexed="64"/>
      </left>
      <right/>
      <top style="thin">
        <color indexed="64"/>
      </top>
      <bottom style="thin">
        <color auto="1"/>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auto="1"/>
      </right>
      <top style="thin">
        <color auto="1"/>
      </top>
      <bottom/>
      <diagonal/>
    </border>
    <border>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style="double">
        <color indexed="64"/>
      </left>
      <right/>
      <top style="medium">
        <color indexed="64"/>
      </top>
      <bottom style="thin">
        <color indexed="64"/>
      </bottom>
      <diagonal/>
    </border>
    <border>
      <left style="thin">
        <color indexed="64"/>
      </left>
      <right/>
      <top style="medium">
        <color indexed="64"/>
      </top>
      <bottom/>
      <diagonal/>
    </border>
    <border>
      <left/>
      <right style="double">
        <color indexed="64"/>
      </right>
      <top/>
      <bottom style="medium">
        <color indexed="64"/>
      </bottom>
      <diagonal/>
    </border>
    <border>
      <left style="thin">
        <color indexed="64"/>
      </left>
      <right style="medium">
        <color indexed="64"/>
      </right>
      <top/>
      <bottom/>
      <diagonal/>
    </border>
    <border>
      <left style="thin">
        <color auto="1"/>
      </left>
      <right style="double">
        <color indexed="64"/>
      </right>
      <top style="medium">
        <color auto="1"/>
      </top>
      <bottom style="thin">
        <color auto="1"/>
      </bottom>
      <diagonal/>
    </border>
    <border>
      <left style="thin">
        <color indexed="64"/>
      </left>
      <right style="double">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bottom style="hair">
        <color indexed="64"/>
      </bottom>
      <diagonal/>
    </border>
    <border>
      <left/>
      <right/>
      <top style="double">
        <color indexed="64"/>
      </top>
      <bottom style="hair">
        <color indexed="64"/>
      </bottom>
      <diagonal/>
    </border>
    <border>
      <left/>
      <right style="double">
        <color indexed="64"/>
      </right>
      <top style="double">
        <color indexed="64"/>
      </top>
      <bottom style="hair">
        <color indexed="64"/>
      </bottom>
      <diagonal/>
    </border>
    <border>
      <left style="medium">
        <color indexed="64"/>
      </left>
      <right style="thin">
        <color indexed="64"/>
      </right>
      <top/>
      <bottom/>
      <diagonal/>
    </border>
    <border>
      <left style="double">
        <color auto="1"/>
      </left>
      <right style="thin">
        <color auto="1"/>
      </right>
      <top style="thin">
        <color auto="1"/>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indexed="64"/>
      </left>
      <right style="double">
        <color indexed="64"/>
      </right>
      <top style="medium">
        <color indexed="64"/>
      </top>
      <bottom style="medium">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s>
  <cellStyleXfs count="6">
    <xf numFmtId="0" fontId="0" fillId="0" borderId="0"/>
    <xf numFmtId="9" fontId="1" fillId="0" borderId="0" applyFont="0" applyFill="0" applyBorder="0" applyAlignment="0" applyProtection="0"/>
    <xf numFmtId="1" fontId="2" fillId="9" borderId="19">
      <alignment horizontal="left" vertical="center"/>
      <protection locked="0"/>
    </xf>
    <xf numFmtId="2" fontId="28" fillId="0" borderId="0">
      <alignment horizontal="center"/>
    </xf>
    <xf numFmtId="2" fontId="28" fillId="0" borderId="0">
      <alignment horizontal="center" vertical="center"/>
    </xf>
    <xf numFmtId="1" fontId="11" fillId="0" borderId="0">
      <alignment horizontal="left" vertical="center"/>
    </xf>
  </cellStyleXfs>
  <cellXfs count="843">
    <xf numFmtId="0" fontId="0" fillId="0" borderId="0" xfId="0"/>
    <xf numFmtId="1" fontId="2" fillId="0" borderId="0" xfId="0" applyNumberFormat="1" applyFont="1" applyAlignment="1">
      <alignment horizontal="center"/>
    </xf>
    <xf numFmtId="0" fontId="0" fillId="0" borderId="0" xfId="0" applyAlignment="1">
      <alignment horizontal="center" vertical="center"/>
    </xf>
    <xf numFmtId="0" fontId="0" fillId="0" borderId="2" xfId="0" applyBorder="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0" fillId="0" borderId="5" xfId="0" applyBorder="1" applyAlignment="1">
      <alignment horizontal="center" vertical="center"/>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7" fillId="0" borderId="0" xfId="0" applyFont="1" applyAlignment="1">
      <alignment horizontal="center" vertical="center"/>
    </xf>
    <xf numFmtId="0" fontId="0" fillId="0" borderId="12" xfId="0" applyBorder="1"/>
    <xf numFmtId="0" fontId="0" fillId="0" borderId="13" xfId="0" applyBorder="1"/>
    <xf numFmtId="0" fontId="0" fillId="0" borderId="14" xfId="0" applyBorder="1"/>
    <xf numFmtId="0" fontId="8" fillId="0" borderId="1" xfId="0" applyFont="1" applyBorder="1" applyAlignment="1">
      <alignment horizontal="left" vertical="center"/>
    </xf>
    <xf numFmtId="0" fontId="9" fillId="0" borderId="2" xfId="0" applyFont="1" applyBorder="1" applyAlignment="1">
      <alignment horizontal="left" vertical="center"/>
    </xf>
    <xf numFmtId="0" fontId="9" fillId="0" borderId="15" xfId="0" applyFont="1" applyBorder="1" applyAlignment="1">
      <alignment horizontal="left" vertical="center"/>
    </xf>
    <xf numFmtId="0" fontId="4" fillId="0" borderId="3" xfId="0" applyFont="1" applyBorder="1" applyAlignment="1">
      <alignment horizontal="center" vertical="center"/>
    </xf>
    <xf numFmtId="0" fontId="10" fillId="0" borderId="0" xfId="0" applyFont="1" applyAlignment="1">
      <alignment horizontal="center" vertical="center"/>
    </xf>
    <xf numFmtId="0" fontId="3" fillId="0" borderId="0" xfId="0" applyFont="1" applyAlignment="1">
      <alignment horizontal="center" vertical="center"/>
    </xf>
    <xf numFmtId="0" fontId="9" fillId="0" borderId="0" xfId="0" applyFont="1" applyAlignment="1">
      <alignment horizontal="left" vertical="center"/>
    </xf>
    <xf numFmtId="0" fontId="9" fillId="0" borderId="16" xfId="0" applyFont="1" applyBorder="1" applyAlignment="1">
      <alignment horizontal="left" vertical="center"/>
    </xf>
    <xf numFmtId="0" fontId="4" fillId="0" borderId="4" xfId="0" applyFont="1" applyBorder="1" applyAlignment="1">
      <alignment horizontal="center" vertical="center"/>
    </xf>
    <xf numFmtId="0" fontId="9" fillId="0" borderId="5" xfId="0" applyFont="1" applyBorder="1" applyAlignment="1">
      <alignment horizontal="left" vertical="center"/>
    </xf>
    <xf numFmtId="0" fontId="9" fillId="0" borderId="17" xfId="0" applyFont="1" applyBorder="1" applyAlignment="1">
      <alignment horizontal="left" vertical="center"/>
    </xf>
    <xf numFmtId="0" fontId="4" fillId="0" borderId="0" xfId="0" applyFont="1" applyAlignment="1">
      <alignment horizontal="right" vertical="center"/>
    </xf>
    <xf numFmtId="165" fontId="2" fillId="4" borderId="19" xfId="0" applyNumberFormat="1" applyFont="1" applyFill="1" applyBorder="1" applyAlignment="1" applyProtection="1">
      <alignment horizontal="left" vertical="center"/>
      <protection locked="0"/>
    </xf>
    <xf numFmtId="0" fontId="4" fillId="4" borderId="19" xfId="0" applyFont="1" applyFill="1" applyBorder="1" applyAlignment="1" applyProtection="1">
      <alignment horizontal="left" vertical="center"/>
      <protection locked="0"/>
    </xf>
    <xf numFmtId="0" fontId="2" fillId="5" borderId="18" xfId="0" applyFont="1" applyFill="1" applyBorder="1" applyAlignment="1">
      <alignment horizontal="right" vertical="center"/>
    </xf>
    <xf numFmtId="165" fontId="2" fillId="5" borderId="18" xfId="0" applyNumberFormat="1" applyFont="1" applyFill="1" applyBorder="1" applyAlignment="1">
      <alignment horizontal="left" vertical="center"/>
    </xf>
    <xf numFmtId="0" fontId="2" fillId="5" borderId="0" xfId="0" applyFont="1" applyFill="1" applyAlignment="1">
      <alignment horizontal="right" vertical="center"/>
    </xf>
    <xf numFmtId="166" fontId="2" fillId="5" borderId="0" xfId="0" applyNumberFormat="1" applyFont="1" applyFill="1" applyAlignment="1">
      <alignment horizontal="left" vertical="center"/>
    </xf>
    <xf numFmtId="0" fontId="2" fillId="0" borderId="20" xfId="0" applyFont="1" applyBorder="1" applyAlignment="1">
      <alignment horizontal="center" vertical="center"/>
    </xf>
    <xf numFmtId="0" fontId="8" fillId="0" borderId="21" xfId="0" applyFont="1" applyBorder="1" applyAlignment="1">
      <alignment horizontal="right" vertical="center"/>
    </xf>
    <xf numFmtId="0" fontId="2" fillId="0" borderId="21" xfId="0" applyFont="1" applyBorder="1" applyAlignment="1">
      <alignment horizontal="center" vertical="center"/>
    </xf>
    <xf numFmtId="0" fontId="8" fillId="2" borderId="22" xfId="0" applyFont="1" applyFill="1" applyBorder="1" applyAlignment="1">
      <alignment horizontal="left" vertical="center"/>
    </xf>
    <xf numFmtId="0" fontId="2" fillId="2" borderId="23" xfId="0" applyFont="1" applyFill="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166" fontId="2" fillId="5" borderId="18" xfId="0" applyNumberFormat="1" applyFont="1" applyFill="1" applyBorder="1" applyAlignment="1">
      <alignment horizontal="left" vertical="center"/>
    </xf>
    <xf numFmtId="166" fontId="2" fillId="4" borderId="19" xfId="0" quotePrefix="1" applyNumberFormat="1" applyFont="1" applyFill="1" applyBorder="1" applyAlignment="1" applyProtection="1">
      <alignment horizontal="left" vertical="center"/>
      <protection locked="0"/>
    </xf>
    <xf numFmtId="0" fontId="2" fillId="0" borderId="0" xfId="0" applyFont="1" applyAlignment="1">
      <alignment horizontal="left" vertical="center"/>
    </xf>
    <xf numFmtId="166" fontId="2" fillId="2" borderId="19" xfId="0" quotePrefix="1" applyNumberFormat="1" applyFont="1" applyFill="1" applyBorder="1" applyAlignment="1" applyProtection="1">
      <alignment horizontal="left" vertical="center"/>
      <protection locked="0"/>
    </xf>
    <xf numFmtId="0" fontId="2" fillId="0" borderId="26" xfId="0" applyFont="1" applyBorder="1" applyAlignment="1">
      <alignment horizontal="center" vertical="center"/>
    </xf>
    <xf numFmtId="166" fontId="2" fillId="2" borderId="27" xfId="0" quotePrefix="1" applyNumberFormat="1" applyFont="1" applyFill="1" applyBorder="1" applyAlignment="1" applyProtection="1">
      <alignment horizontal="left" vertical="center"/>
      <protection locked="0"/>
    </xf>
    <xf numFmtId="166" fontId="2" fillId="2" borderId="27" xfId="0" applyNumberFormat="1" applyFont="1" applyFill="1" applyBorder="1" applyAlignment="1" applyProtection="1">
      <alignment horizontal="left" vertical="center"/>
      <protection locked="0"/>
    </xf>
    <xf numFmtId="167" fontId="2" fillId="5" borderId="18" xfId="0" applyNumberFormat="1" applyFont="1" applyFill="1" applyBorder="1" applyAlignment="1">
      <alignment horizontal="left" vertical="center"/>
    </xf>
    <xf numFmtId="166" fontId="2" fillId="5" borderId="18" xfId="0" applyNumberFormat="1" applyFont="1" applyFill="1" applyBorder="1" applyAlignment="1">
      <alignment horizontal="center" vertical="center"/>
    </xf>
    <xf numFmtId="166" fontId="2" fillId="2" borderId="27" xfId="0" quotePrefix="1" applyNumberFormat="1" applyFont="1" applyFill="1" applyBorder="1" applyAlignment="1" applyProtection="1">
      <alignment horizontal="center" vertical="center"/>
      <protection locked="0"/>
    </xf>
    <xf numFmtId="0" fontId="8" fillId="0" borderId="0" xfId="0" applyFont="1" applyAlignment="1">
      <alignment horizontal="left" vertical="center"/>
    </xf>
    <xf numFmtId="0" fontId="8" fillId="0" borderId="0" xfId="0" applyFont="1" applyAlignment="1">
      <alignment horizontal="center" vertical="center"/>
    </xf>
    <xf numFmtId="166" fontId="2" fillId="2" borderId="19" xfId="0" applyNumberFormat="1" applyFont="1" applyFill="1" applyBorder="1" applyAlignment="1" applyProtection="1">
      <alignment horizontal="left" vertical="center"/>
      <protection locked="0"/>
    </xf>
    <xf numFmtId="0" fontId="2" fillId="5" borderId="18" xfId="0" applyFont="1" applyFill="1" applyBorder="1" applyAlignment="1">
      <alignment horizontal="left" vertical="center"/>
    </xf>
    <xf numFmtId="0" fontId="2" fillId="2" borderId="27" xfId="0" applyFont="1" applyFill="1" applyBorder="1" applyAlignment="1" applyProtection="1">
      <alignment horizontal="left" vertical="center"/>
      <protection locked="0"/>
    </xf>
    <xf numFmtId="14" fontId="2" fillId="0" borderId="0" xfId="0" applyNumberFormat="1" applyFont="1" applyAlignment="1">
      <alignment horizontal="left" vertical="center"/>
    </xf>
    <xf numFmtId="168" fontId="2" fillId="5" borderId="18" xfId="0" applyNumberFormat="1" applyFont="1" applyFill="1" applyBorder="1" applyAlignment="1">
      <alignment horizontal="center" vertical="center"/>
    </xf>
    <xf numFmtId="168" fontId="2" fillId="2" borderId="19" xfId="0" quotePrefix="1" applyNumberFormat="1" applyFont="1" applyFill="1" applyBorder="1" applyAlignment="1" applyProtection="1">
      <alignment horizontal="center" vertical="center"/>
      <protection locked="0"/>
    </xf>
    <xf numFmtId="168" fontId="2" fillId="2" borderId="27" xfId="0" quotePrefix="1" applyNumberFormat="1" applyFont="1" applyFill="1" applyBorder="1" applyAlignment="1" applyProtection="1">
      <alignment horizontal="center" vertical="center"/>
      <protection locked="0"/>
    </xf>
    <xf numFmtId="168" fontId="2" fillId="5" borderId="18" xfId="0" applyNumberFormat="1" applyFont="1" applyFill="1" applyBorder="1" applyAlignment="1">
      <alignment horizontal="left" vertical="center"/>
    </xf>
    <xf numFmtId="0" fontId="11" fillId="0" borderId="0" xfId="0" applyFont="1" applyAlignment="1">
      <alignment horizontal="center" vertical="center"/>
    </xf>
    <xf numFmtId="0" fontId="2" fillId="0" borderId="0" xfId="0" applyFont="1" applyAlignment="1">
      <alignment horizontal="centerContinuous" vertical="center"/>
    </xf>
    <xf numFmtId="0" fontId="2" fillId="0" borderId="28" xfId="0" applyFont="1" applyBorder="1" applyAlignment="1">
      <alignment horizontal="center" vertical="center"/>
    </xf>
    <xf numFmtId="0" fontId="11" fillId="0" borderId="29" xfId="0" applyFont="1" applyBorder="1" applyAlignment="1">
      <alignment horizontal="left" vertical="center"/>
    </xf>
    <xf numFmtId="0" fontId="2" fillId="0" borderId="29" xfId="0" applyFont="1" applyBorder="1" applyAlignment="1">
      <alignment horizontal="center" vertical="center"/>
    </xf>
    <xf numFmtId="0" fontId="11" fillId="0" borderId="29" xfId="0" applyFont="1" applyBorder="1" applyAlignment="1">
      <alignment horizontal="center" vertical="center"/>
    </xf>
    <xf numFmtId="0" fontId="2" fillId="0" borderId="29" xfId="0" applyFont="1" applyBorder="1" applyAlignment="1">
      <alignment horizontal="left" vertical="center"/>
    </xf>
    <xf numFmtId="0" fontId="2" fillId="0" borderId="30" xfId="0" applyFont="1" applyBorder="1" applyAlignment="1">
      <alignment horizontal="center" vertical="center"/>
    </xf>
    <xf numFmtId="0" fontId="11" fillId="0" borderId="0" xfId="0" applyFont="1" applyAlignment="1">
      <alignment horizontal="left" vertical="center"/>
    </xf>
    <xf numFmtId="49" fontId="2" fillId="6" borderId="18" xfId="0" applyNumberFormat="1" applyFont="1" applyFill="1" applyBorder="1" applyAlignment="1" applyProtection="1">
      <alignment horizontal="left" vertical="center"/>
      <protection locked="0"/>
    </xf>
    <xf numFmtId="0" fontId="12" fillId="0" borderId="0" xfId="0" applyFont="1" applyAlignment="1">
      <alignment horizontal="right" vertical="center"/>
    </xf>
    <xf numFmtId="0" fontId="13" fillId="0" borderId="0" xfId="0" applyFont="1" applyAlignment="1">
      <alignment horizontal="left" vertical="center"/>
    </xf>
    <xf numFmtId="0" fontId="14" fillId="0" borderId="0" xfId="0" applyFont="1" applyAlignment="1">
      <alignment horizontal="center" vertical="center"/>
    </xf>
    <xf numFmtId="0" fontId="15" fillId="0" borderId="0" xfId="0" applyFont="1" applyAlignment="1">
      <alignment horizontal="center" vertical="center"/>
    </xf>
    <xf numFmtId="0" fontId="16" fillId="0" borderId="0" xfId="0" applyFont="1" applyAlignment="1">
      <alignment horizontal="right" vertical="center"/>
    </xf>
    <xf numFmtId="0" fontId="8" fillId="0" borderId="0" xfId="0" applyFont="1" applyAlignment="1">
      <alignment horizontal="right" vertical="center"/>
    </xf>
    <xf numFmtId="0" fontId="15" fillId="0" borderId="13" xfId="0" applyFont="1" applyBorder="1" applyAlignment="1">
      <alignment horizontal="center" vertical="center"/>
    </xf>
    <xf numFmtId="0" fontId="8" fillId="0" borderId="13" xfId="0" applyFont="1" applyBorder="1" applyAlignment="1">
      <alignment horizontal="center" vertical="center"/>
    </xf>
    <xf numFmtId="0" fontId="12" fillId="0" borderId="0" xfId="0" applyFont="1" applyAlignment="1">
      <alignment horizontal="center" vertical="center"/>
    </xf>
    <xf numFmtId="49" fontId="2" fillId="7" borderId="18" xfId="0" applyNumberFormat="1" applyFont="1" applyFill="1" applyBorder="1" applyAlignment="1">
      <alignment horizontal="center" vertical="center"/>
    </xf>
    <xf numFmtId="169" fontId="2" fillId="5" borderId="18" xfId="0" applyNumberFormat="1" applyFont="1" applyFill="1" applyBorder="1" applyAlignment="1">
      <alignment horizontal="left" vertical="center"/>
    </xf>
    <xf numFmtId="0" fontId="2" fillId="5" borderId="18" xfId="0" applyFont="1" applyFill="1" applyBorder="1" applyAlignment="1">
      <alignment horizontal="center" vertical="center"/>
    </xf>
    <xf numFmtId="0" fontId="0" fillId="0" borderId="21" xfId="0" applyBorder="1" applyAlignment="1">
      <alignment horizontal="center" vertical="center"/>
    </xf>
    <xf numFmtId="0" fontId="2" fillId="0" borderId="18" xfId="0" applyFont="1" applyBorder="1" applyAlignment="1">
      <alignment horizontal="center" vertical="center"/>
    </xf>
    <xf numFmtId="0" fontId="2" fillId="0" borderId="18" xfId="0" applyFont="1" applyBorder="1" applyAlignment="1">
      <alignment horizontal="left" vertical="center"/>
    </xf>
    <xf numFmtId="0" fontId="2" fillId="0" borderId="26" xfId="0" applyFont="1" applyBorder="1" applyAlignment="1">
      <alignment horizontal="left"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0" fillId="0" borderId="32" xfId="0" applyBorder="1" applyAlignment="1">
      <alignment horizontal="center" vertical="center"/>
    </xf>
    <xf numFmtId="0" fontId="2" fillId="0" borderId="32" xfId="0" applyFont="1" applyBorder="1" applyAlignment="1">
      <alignment horizontal="left" vertical="center"/>
    </xf>
    <xf numFmtId="0" fontId="2" fillId="0" borderId="33" xfId="0" applyFont="1" applyBorder="1" applyAlignment="1">
      <alignment horizontal="left" vertical="center"/>
    </xf>
    <xf numFmtId="0" fontId="2" fillId="0" borderId="32" xfId="0" applyFont="1" applyBorder="1" applyAlignment="1">
      <alignment horizontal="right" vertical="center"/>
    </xf>
    <xf numFmtId="0" fontId="2" fillId="0" borderId="33" xfId="0" applyFont="1" applyBorder="1" applyAlignment="1">
      <alignment horizontal="center" vertical="center"/>
    </xf>
    <xf numFmtId="0" fontId="0" fillId="0" borderId="26" xfId="0" applyBorder="1" applyAlignment="1">
      <alignment horizontal="center" vertical="center"/>
    </xf>
    <xf numFmtId="0" fontId="0" fillId="0" borderId="29" xfId="0" applyBorder="1" applyAlignment="1">
      <alignment horizontal="center" vertical="center"/>
    </xf>
    <xf numFmtId="0" fontId="3" fillId="0" borderId="0" xfId="0" applyFont="1" applyAlignment="1">
      <alignment horizontal="right" vertical="center"/>
    </xf>
    <xf numFmtId="165" fontId="3" fillId="0" borderId="18" xfId="0" applyNumberFormat="1" applyFont="1" applyBorder="1" applyAlignment="1">
      <alignment horizontal="left" vertical="center"/>
    </xf>
    <xf numFmtId="14" fontId="3" fillId="0" borderId="18" xfId="0" applyNumberFormat="1" applyFont="1" applyBorder="1" applyAlignment="1">
      <alignment horizontal="left" vertical="center"/>
    </xf>
    <xf numFmtId="1" fontId="3" fillId="0" borderId="18" xfId="0" applyNumberFormat="1" applyFont="1" applyBorder="1" applyAlignment="1">
      <alignment horizontal="left" vertical="center"/>
    </xf>
    <xf numFmtId="0" fontId="3" fillId="0" borderId="18" xfId="0" applyFont="1" applyBorder="1" applyAlignment="1">
      <alignment horizontal="center" vertical="center"/>
    </xf>
    <xf numFmtId="0" fontId="2" fillId="0" borderId="34" xfId="0" applyFont="1" applyBorder="1" applyAlignment="1">
      <alignment horizontal="center" vertical="center"/>
    </xf>
    <xf numFmtId="14" fontId="2" fillId="0" borderId="26" xfId="0" applyNumberFormat="1" applyFont="1" applyBorder="1" applyAlignment="1">
      <alignment horizontal="center" vertical="center"/>
    </xf>
    <xf numFmtId="0" fontId="8" fillId="0" borderId="0" xfId="0" applyFont="1" applyAlignment="1">
      <alignment horizontal="center"/>
    </xf>
    <xf numFmtId="0" fontId="0" fillId="0" borderId="26" xfId="0" applyBorder="1" applyAlignment="1">
      <alignment horizontal="centerContinuous"/>
    </xf>
    <xf numFmtId="0" fontId="0" fillId="0" borderId="33" xfId="0" applyBorder="1" applyAlignment="1">
      <alignment horizontal="center" vertical="center"/>
    </xf>
    <xf numFmtId="0" fontId="18" fillId="0" borderId="0" xfId="0" applyFont="1" applyAlignment="1">
      <alignment horizontal="center" vertical="center"/>
    </xf>
    <xf numFmtId="0" fontId="8" fillId="0" borderId="20" xfId="0" applyFont="1" applyBorder="1" applyAlignment="1">
      <alignment horizontal="left" vertical="center"/>
    </xf>
    <xf numFmtId="166" fontId="8" fillId="5" borderId="35" xfId="0" applyNumberFormat="1" applyFont="1" applyFill="1" applyBorder="1" applyAlignment="1">
      <alignment horizontal="center" vertical="center"/>
    </xf>
    <xf numFmtId="1" fontId="2" fillId="2" borderId="19" xfId="0" applyNumberFormat="1" applyFont="1" applyFill="1" applyBorder="1" applyAlignment="1" applyProtection="1">
      <alignment horizontal="center" vertical="center"/>
      <protection locked="0"/>
    </xf>
    <xf numFmtId="0" fontId="0" fillId="0" borderId="25" xfId="0" applyBorder="1" applyAlignment="1">
      <alignment horizontal="center" vertical="center"/>
    </xf>
    <xf numFmtId="1" fontId="2" fillId="6" borderId="38" xfId="0" applyNumberFormat="1" applyFont="1" applyFill="1" applyBorder="1" applyAlignment="1" applyProtection="1">
      <alignment horizontal="center" vertical="center"/>
      <protection locked="0"/>
    </xf>
    <xf numFmtId="1" fontId="2" fillId="0" borderId="26" xfId="0" applyNumberFormat="1" applyFont="1" applyBorder="1" applyAlignment="1">
      <alignment horizontal="center" vertical="center"/>
    </xf>
    <xf numFmtId="165" fontId="4" fillId="6" borderId="18" xfId="0" applyNumberFormat="1" applyFont="1" applyFill="1" applyBorder="1" applyAlignment="1" applyProtection="1">
      <alignment horizontal="left" vertical="center"/>
      <protection locked="0"/>
    </xf>
    <xf numFmtId="1" fontId="2" fillId="0" borderId="30" xfId="0" applyNumberFormat="1" applyFont="1" applyBorder="1" applyAlignment="1">
      <alignment horizontal="center" vertical="center"/>
    </xf>
    <xf numFmtId="0" fontId="10" fillId="0" borderId="0" xfId="0" applyFont="1" applyAlignment="1">
      <alignment horizontal="right" vertical="center"/>
    </xf>
    <xf numFmtId="0" fontId="8" fillId="0" borderId="25" xfId="0" applyFont="1" applyBorder="1" applyAlignment="1">
      <alignment horizontal="centerContinuous" vertical="center"/>
    </xf>
    <xf numFmtId="0" fontId="2" fillId="0" borderId="25" xfId="0" applyFont="1" applyBorder="1" applyAlignment="1">
      <alignment horizontal="centerContinuous" vertical="center"/>
    </xf>
    <xf numFmtId="165" fontId="2" fillId="0" borderId="18" xfId="0" applyNumberFormat="1" applyFont="1" applyBorder="1" applyAlignment="1">
      <alignment horizontal="center" vertical="center"/>
    </xf>
    <xf numFmtId="0" fontId="20" fillId="0" borderId="0" xfId="0" applyFont="1" applyAlignment="1">
      <alignment horizontal="center" vertical="center"/>
    </xf>
    <xf numFmtId="0" fontId="0" fillId="0" borderId="20" xfId="0" applyBorder="1" applyAlignment="1">
      <alignment horizontal="center" vertical="center"/>
    </xf>
    <xf numFmtId="0" fontId="3" fillId="0" borderId="21" xfId="0" applyFont="1" applyBorder="1" applyAlignment="1">
      <alignment horizontal="left" vertical="center"/>
    </xf>
    <xf numFmtId="0" fontId="21" fillId="0" borderId="21" xfId="0" applyFont="1" applyBorder="1" applyAlignment="1">
      <alignment horizontal="left" vertical="center"/>
    </xf>
    <xf numFmtId="0" fontId="0" fillId="0" borderId="24" xfId="0" applyBorder="1" applyAlignment="1">
      <alignment horizontal="center" vertical="center"/>
    </xf>
    <xf numFmtId="0" fontId="0" fillId="0" borderId="25" xfId="0" applyBorder="1" applyAlignment="1">
      <alignment horizontal="left" vertical="center"/>
    </xf>
    <xf numFmtId="166" fontId="2" fillId="6" borderId="19" xfId="2" applyNumberFormat="1" applyFill="1">
      <alignment horizontal="left" vertical="center"/>
      <protection locked="0"/>
    </xf>
    <xf numFmtId="0" fontId="3" fillId="0" borderId="18" xfId="0" applyFont="1" applyBorder="1" applyAlignment="1">
      <alignment horizontal="left" vertical="center"/>
    </xf>
    <xf numFmtId="0" fontId="22" fillId="0" borderId="41" xfId="0" applyFont="1" applyBorder="1" applyAlignment="1">
      <alignment horizontal="left" vertical="center"/>
    </xf>
    <xf numFmtId="0" fontId="2" fillId="0" borderId="25" xfId="0" applyFont="1" applyBorder="1" applyAlignment="1">
      <alignment horizontal="left" vertical="center"/>
    </xf>
    <xf numFmtId="0" fontId="23" fillId="0" borderId="0" xfId="0" applyFont="1" applyAlignment="1">
      <alignment horizontal="right" vertical="center"/>
    </xf>
    <xf numFmtId="166" fontId="24" fillId="0" borderId="18" xfId="0" applyNumberFormat="1" applyFont="1" applyBorder="1" applyAlignment="1">
      <alignment horizontal="center" vertical="center"/>
    </xf>
    <xf numFmtId="166" fontId="25" fillId="0" borderId="18" xfId="0" applyNumberFormat="1" applyFont="1" applyBorder="1" applyAlignment="1">
      <alignment horizontal="center" vertical="center"/>
    </xf>
    <xf numFmtId="166" fontId="25" fillId="0" borderId="42" xfId="0" applyNumberFormat="1" applyFont="1" applyBorder="1" applyAlignment="1">
      <alignment horizontal="center" vertical="center"/>
    </xf>
    <xf numFmtId="166" fontId="25" fillId="0" borderId="36" xfId="0" applyNumberFormat="1" applyFont="1" applyBorder="1" applyAlignment="1">
      <alignment horizontal="center" vertical="center"/>
    </xf>
    <xf numFmtId="0" fontId="26" fillId="0" borderId="18" xfId="0" applyFont="1" applyBorder="1" applyAlignment="1">
      <alignment horizontal="left" vertical="center"/>
    </xf>
    <xf numFmtId="0" fontId="4" fillId="0" borderId="25" xfId="0" applyFont="1" applyBorder="1" applyAlignment="1">
      <alignment horizontal="left" vertical="center"/>
    </xf>
    <xf numFmtId="166" fontId="0" fillId="0" borderId="0" xfId="0" applyNumberFormat="1" applyAlignment="1">
      <alignment horizontal="center" vertical="center"/>
    </xf>
    <xf numFmtId="166" fontId="3" fillId="10" borderId="32" xfId="0" applyNumberFormat="1" applyFont="1" applyFill="1" applyBorder="1" applyAlignment="1">
      <alignment horizontal="left" vertical="center"/>
    </xf>
    <xf numFmtId="0" fontId="3" fillId="10" borderId="32" xfId="0" applyFont="1" applyFill="1" applyBorder="1" applyAlignment="1">
      <alignment horizontal="left" vertical="center"/>
    </xf>
    <xf numFmtId="0" fontId="2" fillId="10" borderId="32" xfId="0" applyFont="1" applyFill="1" applyBorder="1" applyAlignment="1">
      <alignment horizontal="left" vertical="center"/>
    </xf>
    <xf numFmtId="166" fontId="3" fillId="10" borderId="0" xfId="0" applyNumberFormat="1" applyFont="1" applyFill="1" applyAlignment="1">
      <alignment horizontal="left" vertical="center"/>
    </xf>
    <xf numFmtId="0" fontId="3" fillId="10" borderId="0" xfId="0" applyFont="1" applyFill="1" applyAlignment="1">
      <alignment horizontal="left" vertical="center"/>
    </xf>
    <xf numFmtId="0" fontId="2" fillId="10" borderId="0" xfId="0" applyFont="1" applyFill="1" applyAlignment="1">
      <alignment horizontal="center" vertical="center"/>
    </xf>
    <xf numFmtId="0" fontId="27" fillId="0" borderId="0" xfId="0" applyFont="1" applyAlignment="1">
      <alignment horizontal="left" vertical="center"/>
    </xf>
    <xf numFmtId="166" fontId="3" fillId="10" borderId="18" xfId="0" applyNumberFormat="1" applyFont="1" applyFill="1" applyBorder="1" applyAlignment="1">
      <alignment horizontal="left" vertical="center"/>
    </xf>
    <xf numFmtId="0" fontId="3" fillId="10" borderId="18" xfId="0" applyFont="1" applyFill="1" applyBorder="1" applyAlignment="1">
      <alignment horizontal="left" vertical="center"/>
    </xf>
    <xf numFmtId="0" fontId="2" fillId="10" borderId="18" xfId="0" applyFont="1" applyFill="1" applyBorder="1" applyAlignment="1">
      <alignment horizontal="center" vertical="center"/>
    </xf>
    <xf numFmtId="0" fontId="2" fillId="0" borderId="28" xfId="0" applyFont="1" applyBorder="1" applyAlignment="1">
      <alignment horizontal="left" vertical="center"/>
    </xf>
    <xf numFmtId="166" fontId="2" fillId="0" borderId="29" xfId="0" applyNumberFormat="1" applyFont="1" applyBorder="1" applyAlignment="1">
      <alignment horizontal="center" vertical="center"/>
    </xf>
    <xf numFmtId="0" fontId="3" fillId="0" borderId="29" xfId="0" applyFont="1" applyBorder="1" applyAlignment="1">
      <alignment horizontal="left" vertical="center"/>
    </xf>
    <xf numFmtId="0" fontId="3" fillId="0" borderId="0" xfId="0" applyFont="1" applyAlignment="1">
      <alignment horizontal="left" vertical="center"/>
    </xf>
    <xf numFmtId="166" fontId="4" fillId="0" borderId="0" xfId="0" applyNumberFormat="1" applyFont="1" applyAlignment="1">
      <alignment horizontal="center" vertical="center"/>
    </xf>
    <xf numFmtId="166" fontId="0" fillId="0" borderId="21" xfId="0" applyNumberFormat="1" applyBorder="1" applyAlignment="1">
      <alignment horizontal="center" vertical="center"/>
    </xf>
    <xf numFmtId="0" fontId="4" fillId="0" borderId="25" xfId="0" applyFont="1" applyBorder="1" applyAlignment="1">
      <alignment horizontal="right" vertical="center"/>
    </xf>
    <xf numFmtId="0" fontId="2" fillId="7" borderId="18" xfId="0" applyFont="1" applyFill="1" applyBorder="1" applyAlignment="1">
      <alignment horizontal="center" vertical="center"/>
    </xf>
    <xf numFmtId="166" fontId="2" fillId="5" borderId="18" xfId="2" applyNumberFormat="1" applyFill="1" applyBorder="1" applyProtection="1">
      <alignment horizontal="left" vertical="center"/>
    </xf>
    <xf numFmtId="49" fontId="2" fillId="0" borderId="0" xfId="0" applyNumberFormat="1" applyFont="1" applyAlignment="1">
      <alignment horizontal="center" vertical="center"/>
    </xf>
    <xf numFmtId="0" fontId="8" fillId="2" borderId="19" xfId="0" applyFont="1" applyFill="1" applyBorder="1" applyAlignment="1">
      <alignment horizontal="center" vertical="center"/>
    </xf>
    <xf numFmtId="0" fontId="8" fillId="5" borderId="40" xfId="0" applyFont="1" applyFill="1" applyBorder="1" applyAlignment="1">
      <alignment horizontal="center" vertical="center"/>
    </xf>
    <xf numFmtId="0" fontId="4" fillId="0" borderId="21" xfId="0" applyFont="1" applyBorder="1" applyAlignment="1">
      <alignment horizontal="left" vertical="center"/>
    </xf>
    <xf numFmtId="0" fontId="4" fillId="0" borderId="21" xfId="0" applyFont="1" applyBorder="1" applyAlignment="1">
      <alignment horizontal="center" vertical="center"/>
    </xf>
    <xf numFmtId="0" fontId="4" fillId="0" borderId="24" xfId="0" applyFont="1" applyBorder="1" applyAlignment="1">
      <alignment horizontal="center" vertical="center"/>
    </xf>
    <xf numFmtId="1" fontId="8" fillId="5" borderId="38" xfId="0" applyNumberFormat="1" applyFont="1" applyFill="1" applyBorder="1" applyAlignment="1">
      <alignment horizontal="center" vertical="center"/>
    </xf>
    <xf numFmtId="1" fontId="2" fillId="4" borderId="19" xfId="0" applyNumberFormat="1" applyFont="1" applyFill="1" applyBorder="1" applyAlignment="1" applyProtection="1">
      <alignment horizontal="center" vertical="center"/>
      <protection locked="0"/>
    </xf>
    <xf numFmtId="0" fontId="4" fillId="0" borderId="26" xfId="0" applyFont="1" applyBorder="1" applyAlignment="1">
      <alignment horizontal="center" vertical="center"/>
    </xf>
    <xf numFmtId="0" fontId="6" fillId="0" borderId="25" xfId="0" applyFont="1" applyBorder="1" applyAlignment="1">
      <alignment horizontal="center" vertical="center"/>
    </xf>
    <xf numFmtId="0" fontId="2" fillId="0" borderId="21" xfId="0" applyFont="1" applyBorder="1" applyAlignment="1">
      <alignment horizontal="right" vertical="center"/>
    </xf>
    <xf numFmtId="0" fontId="2" fillId="0" borderId="45" xfId="0" applyFont="1" applyBorder="1" applyAlignment="1">
      <alignment horizontal="center" vertical="center"/>
    </xf>
    <xf numFmtId="0" fontId="2" fillId="0" borderId="47" xfId="0" applyFont="1" applyBorder="1" applyAlignment="1">
      <alignment horizontal="center" vertical="center"/>
    </xf>
    <xf numFmtId="0" fontId="2" fillId="0" borderId="48" xfId="0" applyFont="1" applyBorder="1" applyAlignment="1">
      <alignment horizontal="center" vertical="center"/>
    </xf>
    <xf numFmtId="0" fontId="2" fillId="0" borderId="27" xfId="0" applyFont="1" applyBorder="1" applyAlignment="1">
      <alignment horizontal="center" vertical="center"/>
    </xf>
    <xf numFmtId="166" fontId="2" fillId="5" borderId="50" xfId="0" applyNumberFormat="1" applyFont="1" applyFill="1" applyBorder="1" applyAlignment="1">
      <alignment horizontal="center" vertical="center"/>
    </xf>
    <xf numFmtId="166" fontId="2" fillId="5" borderId="19" xfId="0" applyNumberFormat="1" applyFont="1" applyFill="1" applyBorder="1" applyAlignment="1">
      <alignment horizontal="center" vertical="center"/>
    </xf>
    <xf numFmtId="170" fontId="2" fillId="5" borderId="19" xfId="0" applyNumberFormat="1" applyFont="1" applyFill="1" applyBorder="1" applyAlignment="1">
      <alignment horizontal="center" vertical="center"/>
    </xf>
    <xf numFmtId="166" fontId="2" fillId="0" borderId="0" xfId="0" applyNumberFormat="1" applyFont="1" applyAlignment="1">
      <alignment horizontal="right" vertical="center"/>
    </xf>
    <xf numFmtId="166" fontId="8" fillId="5" borderId="37" xfId="0" applyNumberFormat="1" applyFont="1" applyFill="1" applyBorder="1" applyAlignment="1">
      <alignment horizontal="left" vertical="center"/>
    </xf>
    <xf numFmtId="1" fontId="23" fillId="0" borderId="36" xfId="0" applyNumberFormat="1" applyFont="1" applyBorder="1" applyAlignment="1">
      <alignment horizontal="center" vertical="center"/>
    </xf>
    <xf numFmtId="0" fontId="8" fillId="0" borderId="52" xfId="0" applyFont="1" applyBorder="1" applyAlignment="1">
      <alignment horizontal="right" vertical="center"/>
    </xf>
    <xf numFmtId="168" fontId="2" fillId="4" borderId="27" xfId="0" applyNumberFormat="1" applyFont="1" applyFill="1" applyBorder="1" applyAlignment="1" applyProtection="1">
      <alignment horizontal="left" vertical="center"/>
      <protection locked="0"/>
    </xf>
    <xf numFmtId="0" fontId="0" fillId="0" borderId="30" xfId="0" applyBorder="1" applyAlignment="1">
      <alignment horizontal="center" vertical="center"/>
    </xf>
    <xf numFmtId="0" fontId="4" fillId="0" borderId="0" xfId="0" applyFont="1" applyAlignment="1">
      <alignment horizontal="left" vertical="center"/>
    </xf>
    <xf numFmtId="0" fontId="2" fillId="0" borderId="54" xfId="0" applyFont="1" applyBorder="1" applyAlignment="1">
      <alignment horizontal="center" vertical="center"/>
    </xf>
    <xf numFmtId="166" fontId="2" fillId="4" borderId="50" xfId="2" applyNumberFormat="1" applyFill="1" applyBorder="1" applyAlignment="1">
      <alignment horizontal="center" vertical="center"/>
      <protection locked="0"/>
    </xf>
    <xf numFmtId="166" fontId="2" fillId="4" borderId="19" xfId="2" applyNumberFormat="1" applyFill="1" applyAlignment="1">
      <alignment horizontal="center" vertical="center"/>
      <protection locked="0"/>
    </xf>
    <xf numFmtId="0" fontId="2" fillId="0" borderId="19" xfId="0" applyFont="1" applyBorder="1" applyAlignment="1">
      <alignment horizontal="center" vertical="center"/>
    </xf>
    <xf numFmtId="166" fontId="2" fillId="4" borderId="58" xfId="2" applyNumberFormat="1" applyFill="1" applyBorder="1" applyAlignment="1">
      <alignment horizontal="center" vertical="center"/>
      <protection locked="0"/>
    </xf>
    <xf numFmtId="166" fontId="2" fillId="4" borderId="59" xfId="2" applyNumberFormat="1" applyFill="1" applyBorder="1" applyAlignment="1">
      <alignment horizontal="center" vertical="center"/>
      <protection locked="0"/>
    </xf>
    <xf numFmtId="173" fontId="2" fillId="4" borderId="59" xfId="2" applyNumberFormat="1" applyFill="1" applyBorder="1" applyAlignment="1">
      <alignment horizontal="center" vertical="center"/>
      <protection locked="0"/>
    </xf>
    <xf numFmtId="2" fontId="2" fillId="4" borderId="59" xfId="2" applyNumberFormat="1" applyFill="1" applyBorder="1" applyAlignment="1">
      <alignment horizontal="center" vertical="center"/>
      <protection locked="0"/>
    </xf>
    <xf numFmtId="0" fontId="2" fillId="0" borderId="60" xfId="0" applyFont="1" applyBorder="1" applyAlignment="1">
      <alignment horizontal="center" vertical="center"/>
    </xf>
    <xf numFmtId="0" fontId="2" fillId="0" borderId="6" xfId="0" applyFont="1" applyBorder="1" applyAlignment="1">
      <alignment horizontal="center" vertical="center"/>
    </xf>
    <xf numFmtId="0" fontId="2" fillId="0" borderId="34" xfId="0" applyFont="1" applyBorder="1" applyAlignment="1">
      <alignment horizontal="left" vertical="center"/>
    </xf>
    <xf numFmtId="0" fontId="2" fillId="0" borderId="54" xfId="0" applyFont="1" applyBorder="1" applyAlignment="1">
      <alignment horizontal="centerContinuous" vertical="center"/>
    </xf>
    <xf numFmtId="0" fontId="2" fillId="0" borderId="52" xfId="0" applyFont="1" applyBorder="1" applyAlignment="1">
      <alignment horizontal="centerContinuous" vertical="center"/>
    </xf>
    <xf numFmtId="0" fontId="4" fillId="0" borderId="61" xfId="0" applyFont="1" applyBorder="1" applyAlignment="1">
      <alignment horizontal="center" vertical="center"/>
    </xf>
    <xf numFmtId="168" fontId="2" fillId="6" borderId="27" xfId="0" applyNumberFormat="1" applyFont="1" applyFill="1" applyBorder="1" applyAlignment="1" applyProtection="1">
      <alignment horizontal="center" vertical="center"/>
      <protection locked="0"/>
    </xf>
    <xf numFmtId="0" fontId="4" fillId="11" borderId="62" xfId="0" applyFont="1" applyFill="1" applyBorder="1" applyAlignment="1">
      <alignment horizontal="right" vertical="center"/>
    </xf>
    <xf numFmtId="0" fontId="2" fillId="11" borderId="63" xfId="0" applyFont="1" applyFill="1" applyBorder="1" applyAlignment="1">
      <alignment horizontal="center" vertical="center"/>
    </xf>
    <xf numFmtId="0" fontId="8" fillId="5" borderId="19" xfId="0" applyFont="1" applyFill="1" applyBorder="1" applyAlignment="1">
      <alignment horizontal="right" vertical="center"/>
    </xf>
    <xf numFmtId="168" fontId="8" fillId="5" borderId="19" xfId="0" applyNumberFormat="1" applyFont="1" applyFill="1" applyBorder="1" applyAlignment="1">
      <alignment horizontal="center" vertical="center"/>
    </xf>
    <xf numFmtId="0" fontId="2" fillId="0" borderId="25" xfId="0" applyFont="1" applyBorder="1" applyAlignment="1">
      <alignment horizontal="right" vertical="center"/>
    </xf>
    <xf numFmtId="0" fontId="0" fillId="0" borderId="0" xfId="0" applyAlignment="1">
      <alignment horizontal="right"/>
    </xf>
    <xf numFmtId="173" fontId="2" fillId="7" borderId="18" xfId="0" applyNumberFormat="1" applyFont="1" applyFill="1" applyBorder="1" applyAlignment="1">
      <alignment horizontal="center" vertical="center"/>
    </xf>
    <xf numFmtId="166" fontId="2" fillId="7" borderId="18" xfId="0" applyNumberFormat="1" applyFont="1" applyFill="1" applyBorder="1" applyAlignment="1">
      <alignment horizontal="center" vertical="center"/>
    </xf>
    <xf numFmtId="175" fontId="2" fillId="7" borderId="18" xfId="0" applyNumberFormat="1" applyFont="1" applyFill="1" applyBorder="1" applyAlignment="1">
      <alignment horizontal="center" vertical="center"/>
    </xf>
    <xf numFmtId="2" fontId="2" fillId="5" borderId="18" xfId="1" applyNumberFormat="1" applyFont="1" applyFill="1" applyBorder="1" applyAlignment="1" applyProtection="1">
      <alignment horizontal="center" vertical="center"/>
    </xf>
    <xf numFmtId="2" fontId="2" fillId="5" borderId="36" xfId="1" applyNumberFormat="1" applyFont="1" applyFill="1" applyBorder="1" applyAlignment="1" applyProtection="1">
      <alignment horizontal="center" vertical="center"/>
    </xf>
    <xf numFmtId="173" fontId="2" fillId="5" borderId="18" xfId="0" applyNumberFormat="1" applyFont="1" applyFill="1" applyBorder="1" applyAlignment="1">
      <alignment horizontal="center" vertical="center"/>
    </xf>
    <xf numFmtId="168" fontId="2" fillId="7" borderId="18" xfId="0" applyNumberFormat="1" applyFont="1" applyFill="1" applyBorder="1" applyAlignment="1">
      <alignment horizontal="center" vertical="center"/>
    </xf>
    <xf numFmtId="0" fontId="32" fillId="0" borderId="0" xfId="0" applyFont="1" applyAlignment="1">
      <alignment horizontal="right"/>
    </xf>
    <xf numFmtId="0" fontId="2" fillId="5" borderId="19" xfId="0" applyFont="1" applyFill="1" applyBorder="1" applyAlignment="1">
      <alignment horizontal="right" vertical="center"/>
    </xf>
    <xf numFmtId="0" fontId="33" fillId="0" borderId="0" xfId="0" applyFont="1" applyAlignment="1">
      <alignment horizontal="right"/>
    </xf>
    <xf numFmtId="1" fontId="11" fillId="0" borderId="25" xfId="5" applyBorder="1">
      <alignment horizontal="left" vertical="center"/>
    </xf>
    <xf numFmtId="168" fontId="8" fillId="5" borderId="64" xfId="0" applyNumberFormat="1" applyFont="1" applyFill="1" applyBorder="1" applyAlignment="1">
      <alignment horizontal="center" vertical="center"/>
    </xf>
    <xf numFmtId="176" fontId="2" fillId="3" borderId="60" xfId="0" applyNumberFormat="1" applyFont="1" applyFill="1" applyBorder="1" applyAlignment="1" applyProtection="1">
      <alignment horizontal="center" vertical="center"/>
      <protection locked="0"/>
    </xf>
    <xf numFmtId="168" fontId="8" fillId="5" borderId="38" xfId="0" applyNumberFormat="1" applyFont="1" applyFill="1" applyBorder="1" applyAlignment="1">
      <alignment horizontal="center" vertical="center"/>
    </xf>
    <xf numFmtId="176" fontId="2" fillId="3" borderId="27" xfId="0" applyNumberFormat="1" applyFont="1" applyFill="1" applyBorder="1" applyAlignment="1" applyProtection="1">
      <alignment horizontal="center" vertical="center"/>
      <protection locked="0"/>
    </xf>
    <xf numFmtId="2" fontId="0" fillId="0" borderId="0" xfId="0" applyNumberFormat="1"/>
    <xf numFmtId="0" fontId="8" fillId="5" borderId="66" xfId="0" applyFont="1" applyFill="1" applyBorder="1" applyAlignment="1">
      <alignment horizontal="right" vertical="center"/>
    </xf>
    <xf numFmtId="166" fontId="2" fillId="8" borderId="67" xfId="0" applyNumberFormat="1" applyFont="1" applyFill="1" applyBorder="1" applyAlignment="1">
      <alignment horizontal="center" vertical="center"/>
    </xf>
    <xf numFmtId="166" fontId="2" fillId="8" borderId="68" xfId="0" applyNumberFormat="1" applyFont="1" applyFill="1" applyBorder="1" applyAlignment="1">
      <alignment horizontal="center" vertical="center"/>
    </xf>
    <xf numFmtId="2" fontId="2" fillId="5" borderId="18" xfId="1" applyNumberFormat="1" applyFont="1" applyFill="1" applyBorder="1" applyAlignment="1" applyProtection="1">
      <alignment horizontal="left" vertical="center"/>
    </xf>
    <xf numFmtId="0" fontId="4" fillId="11" borderId="69" xfId="0" applyFont="1" applyFill="1" applyBorder="1" applyAlignment="1">
      <alignment horizontal="right" vertical="center"/>
    </xf>
    <xf numFmtId="0" fontId="8" fillId="5" borderId="65" xfId="0" applyFont="1" applyFill="1" applyBorder="1" applyAlignment="1">
      <alignment horizontal="right" vertical="center"/>
    </xf>
    <xf numFmtId="177" fontId="2" fillId="13" borderId="19" xfId="0" applyNumberFormat="1" applyFont="1" applyFill="1" applyBorder="1" applyAlignment="1">
      <alignment horizontal="center" vertical="center"/>
    </xf>
    <xf numFmtId="178" fontId="8" fillId="5" borderId="19" xfId="0" applyNumberFormat="1" applyFont="1" applyFill="1" applyBorder="1" applyAlignment="1">
      <alignment horizontal="center" vertical="center"/>
    </xf>
    <xf numFmtId="173" fontId="8" fillId="5" borderId="19" xfId="0" applyNumberFormat="1" applyFont="1" applyFill="1" applyBorder="1" applyAlignment="1">
      <alignment horizontal="center" vertical="center"/>
    </xf>
    <xf numFmtId="1" fontId="8" fillId="5" borderId="18" xfId="0" applyNumberFormat="1" applyFont="1" applyFill="1" applyBorder="1" applyAlignment="1">
      <alignment horizontal="center" vertical="center"/>
    </xf>
    <xf numFmtId="171" fontId="8" fillId="5" borderId="36" xfId="0" applyNumberFormat="1" applyFont="1" applyFill="1" applyBorder="1" applyAlignment="1">
      <alignment horizontal="center" vertical="center"/>
    </xf>
    <xf numFmtId="173" fontId="2" fillId="13" borderId="18" xfId="0" applyNumberFormat="1" applyFont="1" applyFill="1" applyBorder="1" applyAlignment="1">
      <alignment horizontal="center" vertical="center"/>
    </xf>
    <xf numFmtId="166" fontId="2" fillId="3" borderId="19" xfId="0" applyNumberFormat="1" applyFont="1" applyFill="1" applyBorder="1" applyAlignment="1" applyProtection="1">
      <alignment horizontal="center" vertical="center"/>
      <protection locked="0"/>
    </xf>
    <xf numFmtId="171" fontId="2" fillId="3" borderId="19" xfId="0" applyNumberFormat="1" applyFont="1" applyFill="1" applyBorder="1" applyAlignment="1" applyProtection="1">
      <alignment horizontal="center" vertical="center"/>
      <protection locked="0"/>
    </xf>
    <xf numFmtId="173" fontId="2" fillId="4" borderId="37" xfId="0" applyNumberFormat="1" applyFont="1" applyFill="1" applyBorder="1" applyAlignment="1" applyProtection="1">
      <alignment horizontal="center" vertical="center"/>
      <protection locked="0"/>
    </xf>
    <xf numFmtId="177" fontId="2" fillId="5" borderId="18" xfId="0" applyNumberFormat="1" applyFont="1" applyFill="1" applyBorder="1" applyAlignment="1">
      <alignment horizontal="center" vertical="center"/>
    </xf>
    <xf numFmtId="171" fontId="2" fillId="7" borderId="18" xfId="0" applyNumberFormat="1" applyFont="1" applyFill="1" applyBorder="1" applyAlignment="1">
      <alignment horizontal="center" vertical="center"/>
    </xf>
    <xf numFmtId="0" fontId="3" fillId="0" borderId="64" xfId="0" applyFont="1" applyBorder="1" applyAlignment="1">
      <alignment horizontal="center" vertical="center"/>
    </xf>
    <xf numFmtId="0" fontId="3" fillId="0" borderId="70" xfId="0" applyFont="1" applyBorder="1" applyAlignment="1">
      <alignment horizontal="center" vertical="center"/>
    </xf>
    <xf numFmtId="0" fontId="3" fillId="0" borderId="71" xfId="0" applyFont="1" applyBorder="1" applyAlignment="1">
      <alignment horizontal="center" vertical="center"/>
    </xf>
    <xf numFmtId="0" fontId="3" fillId="0" borderId="61" xfId="0" applyFont="1" applyBorder="1" applyAlignment="1">
      <alignment horizontal="center" vertical="center"/>
    </xf>
    <xf numFmtId="0" fontId="3" fillId="0" borderId="72" xfId="0" applyFont="1" applyBorder="1" applyAlignment="1">
      <alignment horizontal="center" vertical="center"/>
    </xf>
    <xf numFmtId="175" fontId="8" fillId="5" borderId="48" xfId="0" applyNumberFormat="1" applyFont="1" applyFill="1" applyBorder="1" applyAlignment="1">
      <alignment horizontal="center" vertical="center"/>
    </xf>
    <xf numFmtId="175" fontId="8" fillId="5" borderId="73" xfId="0" applyNumberFormat="1" applyFont="1" applyFill="1" applyBorder="1" applyAlignment="1">
      <alignment horizontal="center" vertical="center"/>
    </xf>
    <xf numFmtId="168" fontId="2" fillId="6" borderId="74" xfId="0" applyNumberFormat="1" applyFont="1" applyFill="1" applyBorder="1" applyAlignment="1" applyProtection="1">
      <alignment horizontal="center" vertical="center"/>
      <protection locked="0"/>
    </xf>
    <xf numFmtId="168" fontId="2" fillId="6" borderId="73" xfId="0" applyNumberFormat="1" applyFont="1" applyFill="1" applyBorder="1" applyAlignment="1" applyProtection="1">
      <alignment horizontal="center" vertical="center"/>
      <protection locked="0"/>
    </xf>
    <xf numFmtId="0" fontId="3" fillId="0" borderId="60" xfId="0" applyFont="1" applyBorder="1" applyAlignment="1">
      <alignment horizontal="center" vertical="center"/>
    </xf>
    <xf numFmtId="0" fontId="4" fillId="0" borderId="25" xfId="0" applyFont="1" applyBorder="1" applyAlignment="1">
      <alignment horizontal="center" vertical="center"/>
    </xf>
    <xf numFmtId="0" fontId="4" fillId="0" borderId="54" xfId="0" applyFont="1" applyBorder="1" applyAlignment="1">
      <alignment horizontal="center" vertical="center"/>
    </xf>
    <xf numFmtId="0" fontId="28" fillId="0" borderId="62" xfId="0" applyFont="1" applyBorder="1" applyAlignment="1">
      <alignment horizontal="center" vertical="center"/>
    </xf>
    <xf numFmtId="168" fontId="2" fillId="0" borderId="74" xfId="0" applyNumberFormat="1" applyFont="1" applyBorder="1" applyAlignment="1">
      <alignment horizontal="center" vertical="center"/>
    </xf>
    <xf numFmtId="168" fontId="2" fillId="0" borderId="73" xfId="0" applyNumberFormat="1" applyFont="1" applyBorder="1" applyAlignment="1">
      <alignment horizontal="center" vertical="center"/>
    </xf>
    <xf numFmtId="168" fontId="2" fillId="0" borderId="77" xfId="0" applyNumberFormat="1" applyFont="1" applyBorder="1" applyAlignment="1">
      <alignment horizontal="center" vertical="center"/>
    </xf>
    <xf numFmtId="168" fontId="2" fillId="0" borderId="78" xfId="0" applyNumberFormat="1" applyFont="1" applyBorder="1" applyAlignment="1">
      <alignment horizontal="center" vertical="center"/>
    </xf>
    <xf numFmtId="0" fontId="0" fillId="0" borderId="69" xfId="0" applyBorder="1" applyAlignment="1">
      <alignment horizontal="center" vertical="center"/>
    </xf>
    <xf numFmtId="0" fontId="36" fillId="5" borderId="27" xfId="0" applyFont="1" applyFill="1" applyBorder="1" applyAlignment="1">
      <alignment horizontal="center" vertical="center"/>
    </xf>
    <xf numFmtId="0" fontId="4" fillId="0" borderId="61" xfId="0" applyFont="1" applyBorder="1" applyAlignment="1">
      <alignment horizontal="left" vertical="center"/>
    </xf>
    <xf numFmtId="0" fontId="4" fillId="0" borderId="80" xfId="0" applyFont="1" applyBorder="1" applyAlignment="1">
      <alignment horizontal="center" vertical="center"/>
    </xf>
    <xf numFmtId="0" fontId="4" fillId="2" borderId="35" xfId="0" applyFont="1" applyFill="1" applyBorder="1" applyAlignment="1">
      <alignment horizontal="center" vertical="center"/>
    </xf>
    <xf numFmtId="0" fontId="8" fillId="2" borderId="37" xfId="0" applyFont="1" applyFill="1" applyBorder="1" applyAlignment="1">
      <alignment horizontal="right" vertical="center"/>
    </xf>
    <xf numFmtId="0" fontId="8" fillId="0" borderId="25" xfId="0" applyFont="1" applyBorder="1" applyAlignment="1">
      <alignment horizontal="left" vertical="center"/>
    </xf>
    <xf numFmtId="1" fontId="2" fillId="7" borderId="18" xfId="0" applyNumberFormat="1" applyFont="1" applyFill="1" applyBorder="1" applyAlignment="1">
      <alignment horizontal="center" vertical="center"/>
    </xf>
    <xf numFmtId="0" fontId="36" fillId="0" borderId="25" xfId="0" applyFont="1" applyBorder="1" applyAlignment="1">
      <alignment horizontal="left" vertical="center"/>
    </xf>
    <xf numFmtId="1" fontId="2" fillId="4" borderId="37" xfId="2" applyFill="1" applyBorder="1">
      <alignment horizontal="left" vertical="center"/>
      <protection locked="0"/>
    </xf>
    <xf numFmtId="1" fontId="4" fillId="5" borderId="27" xfId="0" applyNumberFormat="1" applyFont="1" applyFill="1" applyBorder="1" applyAlignment="1">
      <alignment horizontal="center" vertical="center"/>
    </xf>
    <xf numFmtId="165" fontId="2" fillId="4" borderId="18" xfId="2" applyNumberFormat="1" applyFill="1" applyBorder="1" applyAlignment="1">
      <alignment horizontal="center" vertical="center"/>
      <protection locked="0"/>
    </xf>
    <xf numFmtId="165" fontId="2" fillId="4" borderId="36" xfId="2" applyNumberFormat="1" applyFill="1" applyBorder="1" applyAlignment="1">
      <alignment horizontal="center" vertical="center"/>
      <protection locked="0"/>
    </xf>
    <xf numFmtId="169" fontId="2" fillId="2" borderId="27" xfId="0" quotePrefix="1" applyNumberFormat="1" applyFont="1" applyFill="1" applyBorder="1" applyAlignment="1" applyProtection="1">
      <alignment horizontal="left" vertical="center"/>
      <protection locked="0"/>
    </xf>
    <xf numFmtId="169" fontId="2" fillId="2" borderId="19" xfId="0" quotePrefix="1" applyNumberFormat="1" applyFont="1" applyFill="1" applyBorder="1" applyAlignment="1" applyProtection="1">
      <alignment horizontal="left" vertical="center"/>
      <protection locked="0"/>
    </xf>
    <xf numFmtId="0" fontId="38" fillId="0" borderId="0" xfId="0" applyFont="1"/>
    <xf numFmtId="0" fontId="39" fillId="15" borderId="0" xfId="0" applyFont="1" applyFill="1"/>
    <xf numFmtId="0" fontId="40" fillId="0" borderId="0" xfId="0" applyFont="1"/>
    <xf numFmtId="173" fontId="40" fillId="0" borderId="0" xfId="0" applyNumberFormat="1" applyFont="1"/>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2" fillId="0" borderId="52" xfId="0" applyFont="1" applyBorder="1" applyAlignment="1">
      <alignment horizontal="center" vertical="center"/>
    </xf>
    <xf numFmtId="0" fontId="2" fillId="0" borderId="80" xfId="0" applyFont="1" applyBorder="1" applyAlignment="1">
      <alignment horizontal="center" vertical="center"/>
    </xf>
    <xf numFmtId="0" fontId="2" fillId="0" borderId="85" xfId="0" applyFont="1" applyBorder="1" applyAlignment="1">
      <alignment horizontal="center" vertical="center"/>
    </xf>
    <xf numFmtId="0" fontId="2" fillId="0" borderId="78" xfId="0" applyFont="1" applyBorder="1" applyAlignment="1">
      <alignment horizontal="center" vertical="center"/>
    </xf>
    <xf numFmtId="0" fontId="2" fillId="0" borderId="86" xfId="0" applyFont="1" applyBorder="1" applyAlignment="1">
      <alignment horizontal="center" vertical="center"/>
    </xf>
    <xf numFmtId="0" fontId="2" fillId="0" borderId="12" xfId="0" applyFont="1" applyBorder="1" applyAlignment="1">
      <alignment horizontal="center" vertical="center"/>
    </xf>
    <xf numFmtId="0" fontId="2" fillId="0" borderId="70" xfId="0" applyFont="1" applyBorder="1" applyAlignment="1">
      <alignment horizontal="center" vertical="center"/>
    </xf>
    <xf numFmtId="0" fontId="0" fillId="0" borderId="91" xfId="0" applyBorder="1" applyAlignment="1">
      <alignment horizontal="center" vertical="center"/>
    </xf>
    <xf numFmtId="0" fontId="0" fillId="0" borderId="75" xfId="0" applyBorder="1" applyAlignment="1">
      <alignment horizontal="center" vertical="center"/>
    </xf>
    <xf numFmtId="0" fontId="0" fillId="0" borderId="19" xfId="0" applyBorder="1" applyAlignment="1">
      <alignment horizontal="center" vertical="center"/>
    </xf>
    <xf numFmtId="0" fontId="0" fillId="0" borderId="93" xfId="0" applyBorder="1" applyAlignment="1">
      <alignment horizontal="center" vertical="center"/>
    </xf>
    <xf numFmtId="0" fontId="0" fillId="0" borderId="50" xfId="0" applyBorder="1" applyAlignment="1">
      <alignment horizontal="center" vertical="center"/>
    </xf>
    <xf numFmtId="0" fontId="0" fillId="0" borderId="85" xfId="0" applyBorder="1" applyAlignment="1">
      <alignment horizontal="center" vertical="center"/>
    </xf>
    <xf numFmtId="0" fontId="0" fillId="0" borderId="60" xfId="0" applyBorder="1" applyAlignment="1">
      <alignment horizontal="center" vertical="center"/>
    </xf>
    <xf numFmtId="0" fontId="0" fillId="0" borderId="77" xfId="0" applyBorder="1" applyAlignment="1">
      <alignment horizontal="center" vertical="center"/>
    </xf>
    <xf numFmtId="2" fontId="0" fillId="0" borderId="19" xfId="0" applyNumberFormat="1" applyBorder="1" applyAlignment="1">
      <alignment horizontal="center" vertical="center"/>
    </xf>
    <xf numFmtId="2" fontId="0" fillId="0" borderId="84" xfId="0" applyNumberFormat="1" applyBorder="1" applyAlignment="1">
      <alignment horizontal="center" vertical="center"/>
    </xf>
    <xf numFmtId="2" fontId="0" fillId="0" borderId="78" xfId="0" applyNumberFormat="1" applyBorder="1" applyAlignment="1">
      <alignment horizontal="center" vertical="center"/>
    </xf>
    <xf numFmtId="2" fontId="0" fillId="0" borderId="91" xfId="0" applyNumberFormat="1" applyBorder="1" applyAlignment="1">
      <alignment horizontal="center" vertical="center"/>
    </xf>
    <xf numFmtId="2" fontId="0" fillId="0" borderId="92" xfId="0" applyNumberFormat="1" applyBorder="1" applyAlignment="1">
      <alignment horizontal="center" vertical="center"/>
    </xf>
    <xf numFmtId="2" fontId="0" fillId="0" borderId="93" xfId="0" applyNumberFormat="1" applyBorder="1" applyAlignment="1">
      <alignment horizontal="center" vertical="center"/>
    </xf>
    <xf numFmtId="2" fontId="0" fillId="0" borderId="77" xfId="0" applyNumberFormat="1" applyBorder="1" applyAlignment="1">
      <alignment horizontal="center" vertical="center"/>
    </xf>
    <xf numFmtId="1" fontId="2" fillId="6" borderId="18" xfId="0" applyNumberFormat="1" applyFont="1" applyFill="1" applyBorder="1" applyAlignment="1" applyProtection="1">
      <alignment horizontal="center" vertical="center"/>
      <protection locked="0"/>
    </xf>
    <xf numFmtId="0" fontId="0" fillId="0" borderId="94" xfId="0" applyBorder="1" applyAlignment="1">
      <alignment horizontal="center" vertical="center"/>
    </xf>
    <xf numFmtId="0" fontId="4" fillId="11" borderId="62" xfId="0" applyFont="1" applyFill="1" applyBorder="1" applyAlignment="1">
      <alignment horizontal="center" vertical="center"/>
    </xf>
    <xf numFmtId="0" fontId="33" fillId="0" borderId="0" xfId="0" applyFont="1" applyAlignment="1">
      <alignment horizontal="right" vertical="center"/>
    </xf>
    <xf numFmtId="0" fontId="4" fillId="11" borderId="6" xfId="0" applyFont="1" applyFill="1" applyBorder="1" applyAlignment="1">
      <alignment horizontal="center" vertical="center"/>
    </xf>
    <xf numFmtId="1" fontId="33" fillId="0" borderId="48" xfId="0" applyNumberFormat="1" applyFont="1" applyBorder="1" applyAlignment="1">
      <alignment horizontal="center" vertical="center"/>
    </xf>
    <xf numFmtId="1" fontId="33" fillId="0" borderId="73" xfId="0" applyNumberFormat="1" applyFont="1" applyBorder="1" applyAlignment="1">
      <alignment horizontal="center" vertical="center"/>
    </xf>
    <xf numFmtId="2" fontId="33" fillId="0" borderId="88" xfId="0" applyNumberFormat="1" applyFont="1" applyBorder="1" applyAlignment="1">
      <alignment horizontal="center" vertical="center"/>
    </xf>
    <xf numFmtId="2" fontId="33" fillId="0" borderId="27" xfId="0" applyNumberFormat="1" applyFont="1" applyBorder="1" applyAlignment="1">
      <alignment horizontal="center" vertical="center"/>
    </xf>
    <xf numFmtId="2" fontId="33" fillId="0" borderId="73" xfId="0" applyNumberFormat="1" applyFont="1" applyBorder="1" applyAlignment="1">
      <alignment horizontal="center" vertical="center"/>
    </xf>
    <xf numFmtId="0" fontId="33" fillId="0" borderId="91" xfId="0" applyFont="1" applyBorder="1" applyAlignment="1">
      <alignment horizontal="center" vertical="center"/>
    </xf>
    <xf numFmtId="0" fontId="33" fillId="0" borderId="92" xfId="0" applyFont="1" applyBorder="1" applyAlignment="1">
      <alignment horizontal="center" vertical="center"/>
    </xf>
    <xf numFmtId="2" fontId="33" fillId="0" borderId="75" xfId="0" applyNumberFormat="1" applyFont="1" applyBorder="1" applyAlignment="1">
      <alignment horizontal="center" vertical="center"/>
    </xf>
    <xf numFmtId="2" fontId="33" fillId="0" borderId="92" xfId="0" applyNumberFormat="1" applyFont="1" applyBorder="1" applyAlignment="1">
      <alignment horizontal="center" vertical="center"/>
    </xf>
    <xf numFmtId="1" fontId="33" fillId="0" borderId="50" xfId="0" applyNumberFormat="1" applyFont="1" applyBorder="1" applyAlignment="1">
      <alignment horizontal="center" vertical="center"/>
    </xf>
    <xf numFmtId="1" fontId="33" fillId="0" borderId="84" xfId="0" applyNumberFormat="1" applyFont="1" applyBorder="1" applyAlignment="1">
      <alignment horizontal="center" vertical="center"/>
    </xf>
    <xf numFmtId="2" fontId="33" fillId="0" borderId="19" xfId="0" applyNumberFormat="1" applyFont="1" applyBorder="1" applyAlignment="1">
      <alignment horizontal="center" vertical="center"/>
    </xf>
    <xf numFmtId="2" fontId="33" fillId="0" borderId="84" xfId="0" applyNumberFormat="1" applyFont="1" applyBorder="1" applyAlignment="1">
      <alignment horizontal="center" vertical="center"/>
    </xf>
    <xf numFmtId="0" fontId="33" fillId="0" borderId="93" xfId="0" applyFont="1" applyBorder="1" applyAlignment="1">
      <alignment horizontal="center" vertical="center"/>
    </xf>
    <xf numFmtId="0" fontId="33" fillId="0" borderId="84" xfId="0" applyFont="1" applyBorder="1" applyAlignment="1">
      <alignment horizontal="center" vertical="center"/>
    </xf>
    <xf numFmtId="0" fontId="33" fillId="0" borderId="50" xfId="0" applyFont="1" applyBorder="1" applyAlignment="1">
      <alignment horizontal="center" vertical="center"/>
    </xf>
    <xf numFmtId="2" fontId="33" fillId="0" borderId="37" xfId="0" applyNumberFormat="1" applyFont="1" applyBorder="1" applyAlignment="1">
      <alignment horizontal="center" vertical="center"/>
    </xf>
    <xf numFmtId="0" fontId="33" fillId="0" borderId="85" xfId="0" applyFont="1" applyBorder="1" applyAlignment="1">
      <alignment horizontal="center" vertical="center"/>
    </xf>
    <xf numFmtId="0" fontId="33" fillId="0" borderId="78" xfId="0" applyFont="1" applyBorder="1" applyAlignment="1">
      <alignment horizontal="center" vertical="center"/>
    </xf>
    <xf numFmtId="2" fontId="33" fillId="0" borderId="60" xfId="0" applyNumberFormat="1" applyFont="1" applyBorder="1" applyAlignment="1">
      <alignment horizontal="center" vertical="center"/>
    </xf>
    <xf numFmtId="2" fontId="33" fillId="0" borderId="78" xfId="0" applyNumberFormat="1" applyFont="1" applyBorder="1" applyAlignment="1">
      <alignment horizontal="center" vertical="center"/>
    </xf>
    <xf numFmtId="0" fontId="33" fillId="0" borderId="77" xfId="0" applyFont="1" applyBorder="1" applyAlignment="1">
      <alignment horizontal="center" vertical="center"/>
    </xf>
    <xf numFmtId="0" fontId="33" fillId="0" borderId="94" xfId="0" applyFont="1" applyBorder="1" applyAlignment="1">
      <alignment horizontal="center" vertical="center"/>
    </xf>
    <xf numFmtId="2" fontId="33" fillId="0" borderId="95" xfId="0" applyNumberFormat="1" applyFont="1" applyBorder="1" applyAlignment="1">
      <alignment horizontal="center" vertical="center"/>
    </xf>
    <xf numFmtId="0" fontId="33" fillId="0" borderId="95" xfId="0" applyFont="1" applyBorder="1" applyAlignment="1">
      <alignment horizontal="center" vertical="center"/>
    </xf>
    <xf numFmtId="0" fontId="33" fillId="0" borderId="37" xfId="0" applyFont="1" applyBorder="1" applyAlignment="1">
      <alignment horizontal="center" vertical="center"/>
    </xf>
    <xf numFmtId="2" fontId="33" fillId="0" borderId="86" xfId="0" applyNumberFormat="1" applyFont="1" applyBorder="1" applyAlignment="1">
      <alignment horizontal="center" vertical="center"/>
    </xf>
    <xf numFmtId="0" fontId="33" fillId="0" borderId="86" xfId="0" applyFont="1" applyBorder="1" applyAlignment="1">
      <alignment horizontal="center" vertical="center"/>
    </xf>
    <xf numFmtId="0" fontId="33" fillId="0" borderId="97" xfId="0" applyFont="1" applyBorder="1" applyAlignment="1">
      <alignment horizontal="center" vertical="center"/>
    </xf>
    <xf numFmtId="0" fontId="33" fillId="0" borderId="66" xfId="0" applyFont="1" applyBorder="1" applyAlignment="1">
      <alignment horizontal="center" vertical="center"/>
    </xf>
    <xf numFmtId="0" fontId="33" fillId="0" borderId="98" xfId="0" applyFont="1" applyBorder="1" applyAlignment="1">
      <alignment horizontal="center" vertical="center"/>
    </xf>
    <xf numFmtId="2" fontId="33" fillId="0" borderId="91" xfId="0" applyNumberFormat="1" applyFont="1" applyBorder="1" applyAlignment="1">
      <alignment horizontal="center" vertical="center"/>
    </xf>
    <xf numFmtId="2" fontId="33" fillId="0" borderId="93" xfId="0" applyNumberFormat="1" applyFont="1" applyBorder="1" applyAlignment="1">
      <alignment horizontal="center" vertical="center"/>
    </xf>
    <xf numFmtId="2" fontId="33" fillId="0" borderId="77" xfId="0" applyNumberFormat="1" applyFont="1" applyBorder="1" applyAlignment="1">
      <alignment horizontal="center" vertical="center"/>
    </xf>
    <xf numFmtId="2" fontId="33" fillId="0" borderId="6" xfId="0" applyNumberFormat="1" applyFont="1" applyBorder="1" applyAlignment="1">
      <alignment horizontal="center" vertical="center"/>
    </xf>
    <xf numFmtId="0" fontId="4" fillId="0" borderId="82" xfId="0" applyFont="1" applyBorder="1" applyAlignment="1">
      <alignment horizontal="center" vertical="center"/>
    </xf>
    <xf numFmtId="0" fontId="4" fillId="0" borderId="13" xfId="0" applyFont="1" applyBorder="1" applyAlignment="1">
      <alignment horizontal="center" vertical="center"/>
    </xf>
    <xf numFmtId="0" fontId="4" fillId="0" borderId="78" xfId="0" applyFont="1" applyBorder="1" applyAlignment="1">
      <alignment horizontal="center" vertical="center"/>
    </xf>
    <xf numFmtId="0" fontId="4" fillId="0" borderId="12" xfId="0" applyFont="1" applyBorder="1" applyAlignment="1">
      <alignment horizontal="center" vertical="center"/>
    </xf>
    <xf numFmtId="0" fontId="4" fillId="0" borderId="70" xfId="0" applyFont="1" applyBorder="1" applyAlignment="1">
      <alignment horizontal="center" vertical="center"/>
    </xf>
    <xf numFmtId="0" fontId="4" fillId="0" borderId="85" xfId="0" applyFont="1" applyBorder="1" applyAlignment="1">
      <alignment horizontal="center" vertical="center"/>
    </xf>
    <xf numFmtId="0" fontId="4" fillId="0" borderId="86" xfId="0" applyFont="1" applyBorder="1" applyAlignment="1">
      <alignment horizontal="center" vertical="center"/>
    </xf>
    <xf numFmtId="173" fontId="0" fillId="0" borderId="97" xfId="0" applyNumberFormat="1" applyBorder="1" applyAlignment="1">
      <alignment horizontal="center" vertical="center"/>
    </xf>
    <xf numFmtId="173" fontId="0" fillId="0" borderId="66" xfId="0" applyNumberFormat="1" applyBorder="1" applyAlignment="1">
      <alignment horizontal="center" vertical="center"/>
    </xf>
    <xf numFmtId="173" fontId="0" fillId="0" borderId="98" xfId="0" applyNumberFormat="1" applyBorder="1" applyAlignment="1">
      <alignment horizontal="center" vertical="center"/>
    </xf>
    <xf numFmtId="0" fontId="18" fillId="0" borderId="25" xfId="0" applyFont="1" applyBorder="1" applyAlignment="1">
      <alignment horizontal="left" vertical="center"/>
    </xf>
    <xf numFmtId="173" fontId="33" fillId="0" borderId="94" xfId="0" applyNumberFormat="1" applyFont="1" applyBorder="1" applyAlignment="1">
      <alignment horizontal="center" vertical="center"/>
    </xf>
    <xf numFmtId="173" fontId="0" fillId="0" borderId="50" xfId="0" applyNumberFormat="1" applyBorder="1" applyAlignment="1">
      <alignment horizontal="center" vertical="center"/>
    </xf>
    <xf numFmtId="0" fontId="0" fillId="0" borderId="49" xfId="0" applyBorder="1" applyAlignment="1">
      <alignment horizontal="center" vertical="center"/>
    </xf>
    <xf numFmtId="0" fontId="0" fillId="0" borderId="66" xfId="0" applyBorder="1" applyAlignment="1">
      <alignment horizontal="center" vertical="center"/>
    </xf>
    <xf numFmtId="173" fontId="33" fillId="0" borderId="91" xfId="0" applyNumberFormat="1" applyFont="1" applyBorder="1" applyAlignment="1">
      <alignment horizontal="center" vertical="center"/>
    </xf>
    <xf numFmtId="0" fontId="4" fillId="0" borderId="14" xfId="0" applyFont="1" applyBorder="1" applyAlignment="1">
      <alignment horizontal="center" vertical="center"/>
    </xf>
    <xf numFmtId="173" fontId="33" fillId="0" borderId="93" xfId="0" applyNumberFormat="1" applyFont="1" applyBorder="1" applyAlignment="1">
      <alignment horizontal="center" vertical="center"/>
    </xf>
    <xf numFmtId="0" fontId="33" fillId="0" borderId="83" xfId="0" applyFont="1" applyBorder="1"/>
    <xf numFmtId="0" fontId="33" fillId="0" borderId="57" xfId="0" applyFont="1" applyBorder="1"/>
    <xf numFmtId="2" fontId="0" fillId="0" borderId="6" xfId="0" applyNumberFormat="1" applyBorder="1" applyAlignment="1">
      <alignment horizontal="center" vertical="center"/>
    </xf>
    <xf numFmtId="180" fontId="33" fillId="0" borderId="93" xfId="0" applyNumberFormat="1" applyFont="1" applyBorder="1" applyAlignment="1">
      <alignment horizontal="center" vertical="center"/>
    </xf>
    <xf numFmtId="180" fontId="33" fillId="0" borderId="19" xfId="0" applyNumberFormat="1" applyFont="1" applyBorder="1" applyAlignment="1">
      <alignment horizontal="center" vertical="center"/>
    </xf>
    <xf numFmtId="180" fontId="33" fillId="0" borderId="84" xfId="0" applyNumberFormat="1" applyFont="1" applyBorder="1" applyAlignment="1">
      <alignment horizontal="center" vertical="center"/>
    </xf>
    <xf numFmtId="10" fontId="33" fillId="0" borderId="77" xfId="1" applyNumberFormat="1" applyFont="1" applyBorder="1" applyAlignment="1">
      <alignment horizontal="center" vertical="center"/>
    </xf>
    <xf numFmtId="10" fontId="33" fillId="0" borderId="60" xfId="1" applyNumberFormat="1" applyFont="1" applyBorder="1" applyAlignment="1">
      <alignment horizontal="center" vertical="center"/>
    </xf>
    <xf numFmtId="0" fontId="42" fillId="0" borderId="78" xfId="0" applyFont="1" applyBorder="1" applyAlignment="1">
      <alignment horizontal="center" vertical="center"/>
    </xf>
    <xf numFmtId="2" fontId="28" fillId="0" borderId="0" xfId="4" applyAlignment="1">
      <alignment vertical="center"/>
    </xf>
    <xf numFmtId="2" fontId="28" fillId="0" borderId="0" xfId="4">
      <alignment horizontal="center" vertical="center"/>
    </xf>
    <xf numFmtId="0" fontId="28" fillId="0" borderId="0" xfId="4" applyNumberFormat="1" applyAlignment="1">
      <alignment vertical="center"/>
    </xf>
    <xf numFmtId="0" fontId="28" fillId="0" borderId="0" xfId="0" applyFont="1" applyAlignment="1">
      <alignment vertical="center"/>
    </xf>
    <xf numFmtId="0" fontId="28" fillId="0" borderId="0" xfId="0" applyFont="1" applyAlignment="1">
      <alignment horizontal="center" vertical="center"/>
    </xf>
    <xf numFmtId="0" fontId="43" fillId="0" borderId="0" xfId="0" applyFont="1" applyAlignment="1">
      <alignment horizontal="center" vertical="center"/>
    </xf>
    <xf numFmtId="2" fontId="28" fillId="0" borderId="0" xfId="4" applyAlignment="1">
      <alignment horizontal="left" vertical="center"/>
    </xf>
    <xf numFmtId="2" fontId="28" fillId="0" borderId="88" xfId="4" applyBorder="1">
      <alignment horizontal="center" vertical="center"/>
    </xf>
    <xf numFmtId="2" fontId="28" fillId="0" borderId="27" xfId="4" applyBorder="1">
      <alignment horizontal="center" vertical="center"/>
    </xf>
    <xf numFmtId="2" fontId="28" fillId="0" borderId="37" xfId="4" applyBorder="1">
      <alignment horizontal="center" vertical="center"/>
    </xf>
    <xf numFmtId="2" fontId="28" fillId="0" borderId="19" xfId="4" applyBorder="1">
      <alignment horizontal="center" vertical="center"/>
    </xf>
    <xf numFmtId="2" fontId="28" fillId="0" borderId="99" xfId="4" applyBorder="1">
      <alignment horizontal="center" vertical="center"/>
    </xf>
    <xf numFmtId="2" fontId="28" fillId="0" borderId="46" xfId="4" applyBorder="1">
      <alignment horizontal="center" vertical="center"/>
    </xf>
    <xf numFmtId="2" fontId="28" fillId="0" borderId="95" xfId="4" applyBorder="1">
      <alignment horizontal="center" vertical="center"/>
    </xf>
    <xf numFmtId="2" fontId="28" fillId="0" borderId="75" xfId="4" applyBorder="1">
      <alignment horizontal="center" vertical="center"/>
    </xf>
    <xf numFmtId="2" fontId="28" fillId="0" borderId="86" xfId="4" applyBorder="1">
      <alignment horizontal="center" vertical="center"/>
    </xf>
    <xf numFmtId="2" fontId="28" fillId="0" borderId="60" xfId="4" applyBorder="1">
      <alignment horizontal="center" vertical="center"/>
    </xf>
    <xf numFmtId="2" fontId="28" fillId="0" borderId="66" xfId="4" applyBorder="1">
      <alignment horizontal="center" vertical="center"/>
    </xf>
    <xf numFmtId="1" fontId="2" fillId="5" borderId="18" xfId="0" applyNumberFormat="1" applyFont="1" applyFill="1" applyBorder="1" applyAlignment="1">
      <alignment horizontal="left" vertical="center"/>
    </xf>
    <xf numFmtId="0" fontId="3" fillId="0" borderId="100" xfId="0" applyFont="1" applyBorder="1" applyAlignment="1">
      <alignment horizontal="center" vertical="center"/>
    </xf>
    <xf numFmtId="179" fontId="2" fillId="0" borderId="91" xfId="0" applyNumberFormat="1" applyFont="1" applyBorder="1" applyAlignment="1">
      <alignment horizontal="center" vertical="center"/>
    </xf>
    <xf numFmtId="179" fontId="2" fillId="0" borderId="92" xfId="0" applyNumberFormat="1" applyFont="1" applyBorder="1" applyAlignment="1">
      <alignment horizontal="center" vertical="center"/>
    </xf>
    <xf numFmtId="179" fontId="2" fillId="0" borderId="77" xfId="0" applyNumberFormat="1" applyFont="1" applyBorder="1" applyAlignment="1">
      <alignment horizontal="center" vertical="center"/>
    </xf>
    <xf numFmtId="179" fontId="2" fillId="0" borderId="78" xfId="0" applyNumberFormat="1" applyFont="1" applyBorder="1" applyAlignment="1">
      <alignment horizontal="center" vertical="center"/>
    </xf>
    <xf numFmtId="179" fontId="2" fillId="0" borderId="95" xfId="0" applyNumberFormat="1" applyFont="1" applyBorder="1" applyAlignment="1">
      <alignment horizontal="center" vertical="center"/>
    </xf>
    <xf numFmtId="179" fontId="2" fillId="0" borderId="86" xfId="0" applyNumberFormat="1" applyFont="1" applyBorder="1" applyAlignment="1">
      <alignment horizontal="center" vertical="center"/>
    </xf>
    <xf numFmtId="0" fontId="0" fillId="0" borderId="63" xfId="0" applyBorder="1" applyAlignment="1">
      <alignment horizontal="center" vertical="center"/>
    </xf>
    <xf numFmtId="0" fontId="2" fillId="11" borderId="6" xfId="0" applyFont="1" applyFill="1" applyBorder="1" applyAlignment="1">
      <alignment horizontal="center" vertical="center"/>
    </xf>
    <xf numFmtId="0" fontId="8" fillId="2" borderId="38" xfId="0" applyFont="1" applyFill="1" applyBorder="1" applyAlignment="1">
      <alignment horizontal="centerContinuous" vertical="center"/>
    </xf>
    <xf numFmtId="0" fontId="0" fillId="2" borderId="88" xfId="0" applyFill="1" applyBorder="1" applyAlignment="1">
      <alignment horizontal="centerContinuous"/>
    </xf>
    <xf numFmtId="175" fontId="8" fillId="5" borderId="85" xfId="0" applyNumberFormat="1" applyFont="1" applyFill="1" applyBorder="1" applyAlignment="1">
      <alignment horizontal="center" vertical="center"/>
    </xf>
    <xf numFmtId="175" fontId="8" fillId="5" borderId="78" xfId="0" applyNumberFormat="1" applyFont="1" applyFill="1" applyBorder="1" applyAlignment="1">
      <alignment horizontal="center" vertical="center"/>
    </xf>
    <xf numFmtId="168" fontId="2" fillId="6" borderId="77" xfId="0" applyNumberFormat="1" applyFont="1" applyFill="1" applyBorder="1" applyAlignment="1" applyProtection="1">
      <alignment horizontal="center" vertical="center"/>
      <protection locked="0"/>
    </xf>
    <xf numFmtId="168" fontId="2" fillId="6" borderId="78" xfId="0" applyNumberFormat="1" applyFont="1" applyFill="1" applyBorder="1" applyAlignment="1" applyProtection="1">
      <alignment horizontal="center" vertical="center"/>
      <protection locked="0"/>
    </xf>
    <xf numFmtId="175" fontId="2" fillId="4" borderId="102" xfId="0" applyNumberFormat="1" applyFont="1" applyFill="1" applyBorder="1" applyAlignment="1" applyProtection="1">
      <alignment horizontal="center" vertical="center"/>
      <protection locked="0"/>
    </xf>
    <xf numFmtId="175" fontId="2" fillId="4" borderId="92" xfId="0" applyNumberFormat="1" applyFont="1" applyFill="1" applyBorder="1" applyAlignment="1" applyProtection="1">
      <alignment horizontal="center" vertical="center"/>
      <protection locked="0"/>
    </xf>
    <xf numFmtId="175" fontId="2" fillId="4" borderId="82" xfId="0" applyNumberFormat="1" applyFont="1" applyFill="1" applyBorder="1" applyAlignment="1" applyProtection="1">
      <alignment horizontal="center" vertical="center"/>
      <protection locked="0"/>
    </xf>
    <xf numFmtId="175" fontId="2" fillId="4" borderId="78" xfId="0" applyNumberFormat="1" applyFont="1" applyFill="1" applyBorder="1" applyAlignment="1" applyProtection="1">
      <alignment horizontal="center" vertical="center"/>
      <protection locked="0"/>
    </xf>
    <xf numFmtId="0" fontId="0" fillId="0" borderId="0" xfId="0" applyAlignment="1">
      <alignment horizontal="center"/>
    </xf>
    <xf numFmtId="14" fontId="2" fillId="7" borderId="18" xfId="0" applyNumberFormat="1" applyFont="1" applyFill="1" applyBorder="1" applyAlignment="1">
      <alignment horizontal="center" vertical="center"/>
    </xf>
    <xf numFmtId="165" fontId="2" fillId="7" borderId="18" xfId="0" applyNumberFormat="1" applyFont="1" applyFill="1" applyBorder="1" applyAlignment="1">
      <alignment horizontal="center" vertical="center"/>
    </xf>
    <xf numFmtId="167" fontId="2" fillId="7" borderId="18" xfId="0" applyNumberFormat="1" applyFont="1" applyFill="1" applyBorder="1" applyAlignment="1">
      <alignment horizontal="center" vertical="center"/>
    </xf>
    <xf numFmtId="169" fontId="2" fillId="7" borderId="18" xfId="0" applyNumberFormat="1" applyFont="1" applyFill="1" applyBorder="1" applyAlignment="1">
      <alignment horizontal="center" vertical="center"/>
    </xf>
    <xf numFmtId="166" fontId="2" fillId="0" borderId="0" xfId="0" applyNumberFormat="1" applyFont="1" applyAlignment="1">
      <alignment horizontal="center" vertical="center"/>
    </xf>
    <xf numFmtId="170" fontId="2" fillId="7" borderId="18" xfId="0" applyNumberFormat="1" applyFont="1" applyFill="1" applyBorder="1" applyAlignment="1">
      <alignment horizontal="center" vertical="center"/>
    </xf>
    <xf numFmtId="177" fontId="2" fillId="7" borderId="18" xfId="0" applyNumberFormat="1" applyFont="1" applyFill="1" applyBorder="1" applyAlignment="1">
      <alignment horizontal="center" vertical="center"/>
    </xf>
    <xf numFmtId="181" fontId="2" fillId="7" borderId="18" xfId="0" applyNumberFormat="1" applyFont="1" applyFill="1" applyBorder="1" applyAlignment="1">
      <alignment horizontal="center" vertical="center"/>
    </xf>
    <xf numFmtId="0" fontId="35" fillId="0" borderId="0" xfId="0" applyFont="1" applyAlignment="1">
      <alignment horizontal="center" vertical="center"/>
    </xf>
    <xf numFmtId="0" fontId="4" fillId="0" borderId="0" xfId="0" applyFont="1" applyAlignment="1">
      <alignment horizontal="centerContinuous" vertical="center"/>
    </xf>
    <xf numFmtId="0" fontId="36" fillId="0" borderId="0" xfId="0" applyFont="1" applyAlignment="1">
      <alignment horizontal="center" vertical="center"/>
    </xf>
    <xf numFmtId="0" fontId="2" fillId="4" borderId="19" xfId="2" applyNumberFormat="1" applyFill="1" applyAlignment="1">
      <alignment horizontal="center" vertical="center"/>
      <protection locked="0"/>
    </xf>
    <xf numFmtId="0" fontId="32" fillId="0" borderId="25" xfId="0" applyFont="1" applyBorder="1" applyAlignment="1">
      <alignment horizontal="left"/>
    </xf>
    <xf numFmtId="0" fontId="37" fillId="0" borderId="0" xfId="0" applyFont="1" applyAlignment="1">
      <alignment horizontal="right" vertical="center"/>
    </xf>
    <xf numFmtId="0" fontId="0" fillId="0" borderId="26" xfId="0" applyBorder="1"/>
    <xf numFmtId="0" fontId="0" fillId="0" borderId="25" xfId="0" applyBorder="1"/>
    <xf numFmtId="0" fontId="8" fillId="0" borderId="25" xfId="0" applyFont="1" applyBorder="1" applyAlignment="1">
      <alignment horizontal="right" vertical="center"/>
    </xf>
    <xf numFmtId="0" fontId="34" fillId="0" borderId="25" xfId="0" applyFont="1" applyBorder="1"/>
    <xf numFmtId="0" fontId="33" fillId="0" borderId="0" xfId="0" applyFont="1" applyAlignment="1">
      <alignment horizontal="center" vertical="center"/>
    </xf>
    <xf numFmtId="0" fontId="0" fillId="0" borderId="28" xfId="0" applyBorder="1"/>
    <xf numFmtId="0" fontId="0" fillId="0" borderId="29" xfId="0" applyBorder="1"/>
    <xf numFmtId="0" fontId="0" fillId="0" borderId="30" xfId="0" applyBorder="1"/>
    <xf numFmtId="0" fontId="0" fillId="0" borderId="82" xfId="0" applyBorder="1" applyAlignment="1">
      <alignment horizontal="center" vertical="center"/>
    </xf>
    <xf numFmtId="0" fontId="0" fillId="0" borderId="13" xfId="0" applyBorder="1" applyAlignment="1">
      <alignment horizontal="center" vertical="center"/>
    </xf>
    <xf numFmtId="0" fontId="8" fillId="0" borderId="13" xfId="0" applyFont="1" applyBorder="1" applyAlignment="1">
      <alignment horizontal="right" vertical="center"/>
    </xf>
    <xf numFmtId="0" fontId="8" fillId="0" borderId="13" xfId="0" applyFont="1" applyBorder="1" applyAlignment="1">
      <alignment horizontal="left" vertical="center"/>
    </xf>
    <xf numFmtId="0" fontId="0" fillId="0" borderId="104" xfId="0" applyBorder="1" applyAlignment="1">
      <alignment horizontal="center" vertical="center"/>
    </xf>
    <xf numFmtId="0" fontId="8" fillId="0" borderId="82" xfId="0" applyFont="1" applyBorder="1" applyAlignment="1">
      <alignment horizontal="right" vertical="center"/>
    </xf>
    <xf numFmtId="0" fontId="0" fillId="0" borderId="104" xfId="0" applyBorder="1"/>
    <xf numFmtId="1" fontId="11" fillId="0" borderId="0" xfId="5">
      <alignment horizontal="left" vertical="center"/>
    </xf>
    <xf numFmtId="0" fontId="31" fillId="0" borderId="0" xfId="0" applyFont="1" applyAlignment="1">
      <alignment horizontal="right"/>
    </xf>
    <xf numFmtId="0" fontId="15" fillId="0" borderId="0" xfId="0" applyFont="1" applyAlignment="1">
      <alignment horizontal="left" vertical="center"/>
    </xf>
    <xf numFmtId="166" fontId="15" fillId="0" borderId="0" xfId="0" applyNumberFormat="1" applyFont="1" applyAlignment="1">
      <alignment horizontal="left" vertical="center"/>
    </xf>
    <xf numFmtId="166" fontId="2" fillId="12" borderId="0" xfId="0" applyNumberFormat="1" applyFont="1" applyFill="1" applyAlignment="1" applyProtection="1">
      <alignment horizontal="center" vertical="center"/>
      <protection locked="0"/>
    </xf>
    <xf numFmtId="10" fontId="2" fillId="0" borderId="0" xfId="0" applyNumberFormat="1" applyFont="1" applyAlignment="1">
      <alignment horizontal="center" vertical="center"/>
    </xf>
    <xf numFmtId="0" fontId="44" fillId="0" borderId="21" xfId="0" applyFont="1" applyBorder="1" applyAlignment="1">
      <alignment horizontal="center" vertical="center"/>
    </xf>
    <xf numFmtId="0" fontId="33" fillId="0" borderId="11" xfId="0" applyFont="1" applyBorder="1" applyAlignment="1">
      <alignment horizontal="center" vertical="center"/>
    </xf>
    <xf numFmtId="0" fontId="33" fillId="0" borderId="13" xfId="0" applyFont="1" applyBorder="1" applyAlignment="1">
      <alignment horizontal="center" vertical="center"/>
    </xf>
    <xf numFmtId="0" fontId="46" fillId="0" borderId="13" xfId="0" applyFont="1" applyBorder="1" applyAlignment="1">
      <alignment horizontal="center" vertical="center"/>
    </xf>
    <xf numFmtId="0" fontId="46" fillId="0" borderId="14" xfId="0" applyFont="1" applyBorder="1" applyAlignment="1">
      <alignment horizontal="center" vertical="center"/>
    </xf>
    <xf numFmtId="0" fontId="33" fillId="0" borderId="12" xfId="0" applyFont="1" applyBorder="1" applyAlignment="1">
      <alignment horizontal="center" vertical="center"/>
    </xf>
    <xf numFmtId="0" fontId="32" fillId="0" borderId="0" xfId="0" applyFont="1" applyAlignment="1">
      <alignment horizontal="right" vertical="center"/>
    </xf>
    <xf numFmtId="0" fontId="0" fillId="0" borderId="0" xfId="0" applyAlignment="1">
      <alignment horizontal="right" vertical="center"/>
    </xf>
    <xf numFmtId="0" fontId="31" fillId="0" borderId="0" xfId="0" applyFont="1" applyAlignment="1">
      <alignment horizontal="center"/>
    </xf>
    <xf numFmtId="0" fontId="31" fillId="0" borderId="0" xfId="0" applyFont="1" applyAlignment="1">
      <alignment horizontal="right" vertical="center"/>
    </xf>
    <xf numFmtId="0" fontId="46" fillId="0" borderId="0" xfId="0" applyFont="1" applyAlignment="1">
      <alignment horizontal="right" vertical="center"/>
    </xf>
    <xf numFmtId="0" fontId="46" fillId="0" borderId="0" xfId="0" applyFont="1" applyAlignment="1">
      <alignment horizontal="center" vertical="center"/>
    </xf>
    <xf numFmtId="165" fontId="2" fillId="6" borderId="18" xfId="0" applyNumberFormat="1" applyFont="1" applyFill="1" applyBorder="1" applyAlignment="1" applyProtection="1">
      <alignment horizontal="center" vertical="center"/>
      <protection locked="0"/>
    </xf>
    <xf numFmtId="0" fontId="0" fillId="0" borderId="105" xfId="0" applyBorder="1" applyAlignment="1">
      <alignment horizontal="center" vertical="center"/>
    </xf>
    <xf numFmtId="0" fontId="34" fillId="0" borderId="25" xfId="0" applyFont="1" applyBorder="1" applyAlignment="1">
      <alignment horizontal="left" vertical="center"/>
    </xf>
    <xf numFmtId="0" fontId="33" fillId="0" borderId="25" xfId="0" applyFont="1" applyBorder="1" applyAlignment="1">
      <alignment horizontal="center" vertical="center"/>
    </xf>
    <xf numFmtId="0" fontId="33" fillId="0" borderId="26" xfId="0" applyFont="1" applyBorder="1" applyAlignment="1">
      <alignment horizontal="center" vertical="center"/>
    </xf>
    <xf numFmtId="0" fontId="44" fillId="0" borderId="0" xfId="0" applyFont="1" applyAlignment="1">
      <alignment horizontal="center" vertical="center"/>
    </xf>
    <xf numFmtId="0" fontId="3" fillId="0" borderId="45" xfId="0" applyFont="1" applyBorder="1" applyAlignment="1">
      <alignment horizontal="center" vertical="center"/>
    </xf>
    <xf numFmtId="0" fontId="0" fillId="0" borderId="11" xfId="0" applyBorder="1" applyAlignment="1">
      <alignment horizontal="centerContinuous"/>
    </xf>
    <xf numFmtId="0" fontId="2" fillId="0" borderId="10" xfId="0" applyFont="1" applyBorder="1" applyAlignment="1">
      <alignment horizontal="centerContinuous" vertical="center"/>
    </xf>
    <xf numFmtId="0" fontId="4" fillId="0" borderId="45" xfId="0" applyFont="1" applyBorder="1" applyAlignment="1">
      <alignment horizontal="center" vertical="center"/>
    </xf>
    <xf numFmtId="168" fontId="2" fillId="0" borderId="18" xfId="0" applyNumberFormat="1" applyFont="1" applyBorder="1" applyAlignment="1">
      <alignment horizontal="center" vertical="center"/>
    </xf>
    <xf numFmtId="0" fontId="4" fillId="0" borderId="45" xfId="0" quotePrefix="1" applyFont="1" applyBorder="1" applyAlignment="1">
      <alignment horizontal="center" vertical="center"/>
    </xf>
    <xf numFmtId="0" fontId="3" fillId="0" borderId="45" xfId="0" quotePrefix="1" applyFont="1" applyBorder="1" applyAlignment="1">
      <alignment horizontal="center" vertical="center"/>
    </xf>
    <xf numFmtId="0" fontId="4" fillId="0" borderId="64" xfId="0" applyFont="1" applyBorder="1" applyAlignment="1">
      <alignment horizontal="center" vertical="center"/>
    </xf>
    <xf numFmtId="0" fontId="4" fillId="0" borderId="61" xfId="0" quotePrefix="1" applyFont="1" applyBorder="1" applyAlignment="1">
      <alignment horizontal="center" vertical="center"/>
    </xf>
    <xf numFmtId="0" fontId="4" fillId="0" borderId="70" xfId="0" quotePrefix="1" applyFont="1" applyBorder="1" applyAlignment="1">
      <alignment horizontal="center" vertical="center"/>
    </xf>
    <xf numFmtId="10" fontId="2" fillId="5" borderId="18" xfId="0" applyNumberFormat="1" applyFont="1" applyFill="1" applyBorder="1" applyAlignment="1">
      <alignment horizontal="center" vertical="center"/>
    </xf>
    <xf numFmtId="174" fontId="2" fillId="7" borderId="18" xfId="1" applyNumberFormat="1" applyFont="1" applyFill="1" applyBorder="1" applyAlignment="1" applyProtection="1">
      <alignment horizontal="center" vertical="center"/>
    </xf>
    <xf numFmtId="0" fontId="48" fillId="0" borderId="52" xfId="0" applyFont="1" applyBorder="1" applyAlignment="1">
      <alignment horizontal="center" vertical="center"/>
    </xf>
    <xf numFmtId="0" fontId="3" fillId="0" borderId="26" xfId="0" applyFont="1" applyBorder="1" applyAlignment="1">
      <alignment horizontal="center" vertical="center"/>
    </xf>
    <xf numFmtId="0" fontId="3" fillId="0" borderId="79" xfId="0" applyFont="1" applyBorder="1" applyAlignment="1">
      <alignment horizontal="center" vertical="center"/>
    </xf>
    <xf numFmtId="180" fontId="2" fillId="13" borderId="27" xfId="0" applyNumberFormat="1" applyFont="1" applyFill="1" applyBorder="1" applyAlignment="1">
      <alignment horizontal="center" vertical="center"/>
    </xf>
    <xf numFmtId="180" fontId="2" fillId="13" borderId="19" xfId="0" applyNumberFormat="1" applyFont="1" applyFill="1" applyBorder="1" applyAlignment="1">
      <alignment horizontal="center" vertical="center"/>
    </xf>
    <xf numFmtId="171" fontId="2" fillId="13" borderId="81" xfId="0" applyNumberFormat="1" applyFont="1" applyFill="1" applyBorder="1" applyAlignment="1">
      <alignment horizontal="center" vertical="center"/>
    </xf>
    <xf numFmtId="0" fontId="3" fillId="0" borderId="46" xfId="0" applyFont="1" applyBorder="1" applyAlignment="1">
      <alignment horizontal="center" vertical="center"/>
    </xf>
    <xf numFmtId="179" fontId="50" fillId="0" borderId="12" xfId="0" applyNumberFormat="1" applyFont="1" applyBorder="1" applyAlignment="1">
      <alignment horizontal="center" vertical="center"/>
    </xf>
    <xf numFmtId="179" fontId="50" fillId="0" borderId="80" xfId="0" applyNumberFormat="1" applyFont="1" applyBorder="1" applyAlignment="1">
      <alignment horizontal="center" vertical="center"/>
    </xf>
    <xf numFmtId="179" fontId="50" fillId="0" borderId="70" xfId="0" applyNumberFormat="1" applyFont="1" applyBorder="1" applyAlignment="1">
      <alignment horizontal="center" vertical="center"/>
    </xf>
    <xf numFmtId="0" fontId="36" fillId="0" borderId="62" xfId="0" applyFont="1" applyBorder="1" applyAlignment="1">
      <alignment horizontal="center" vertical="center"/>
    </xf>
    <xf numFmtId="174" fontId="2" fillId="5" borderId="69" xfId="0" applyNumberFormat="1" applyFont="1" applyFill="1" applyBorder="1" applyAlignment="1">
      <alignment horizontal="center" vertical="center"/>
    </xf>
    <xf numFmtId="174" fontId="2" fillId="5" borderId="109" xfId="0" applyNumberFormat="1" applyFont="1" applyFill="1" applyBorder="1" applyAlignment="1">
      <alignment horizontal="center" vertical="center"/>
    </xf>
    <xf numFmtId="174" fontId="2" fillId="5" borderId="101" xfId="0" applyNumberFormat="1" applyFont="1" applyFill="1" applyBorder="1" applyAlignment="1">
      <alignment horizontal="center" vertical="center"/>
    </xf>
    <xf numFmtId="0" fontId="49" fillId="0" borderId="10" xfId="0" applyFont="1" applyBorder="1" applyAlignment="1">
      <alignment horizontal="center" vertical="center"/>
    </xf>
    <xf numFmtId="0" fontId="49" fillId="0" borderId="54" xfId="0" applyFont="1" applyBorder="1" applyAlignment="1">
      <alignment horizontal="center" vertical="center"/>
    </xf>
    <xf numFmtId="0" fontId="49" fillId="0" borderId="105" xfId="0" applyFont="1" applyBorder="1" applyAlignment="1">
      <alignment horizontal="center" vertical="center"/>
    </xf>
    <xf numFmtId="180" fontId="2" fillId="13" borderId="75" xfId="0" applyNumberFormat="1" applyFont="1" applyFill="1" applyBorder="1" applyAlignment="1">
      <alignment horizontal="center" vertical="center"/>
    </xf>
    <xf numFmtId="171" fontId="2" fillId="13" borderId="106" xfId="0" applyNumberFormat="1" applyFont="1" applyFill="1" applyBorder="1" applyAlignment="1">
      <alignment horizontal="center" vertical="center"/>
    </xf>
    <xf numFmtId="180" fontId="2" fillId="13" borderId="60" xfId="0" applyNumberFormat="1" applyFont="1" applyFill="1" applyBorder="1" applyAlignment="1">
      <alignment horizontal="center" vertical="center"/>
    </xf>
    <xf numFmtId="171" fontId="2" fillId="13" borderId="107" xfId="0" applyNumberFormat="1" applyFont="1" applyFill="1" applyBorder="1" applyAlignment="1">
      <alignment horizontal="center" vertical="center"/>
    </xf>
    <xf numFmtId="0" fontId="48" fillId="0" borderId="45" xfId="0" applyFont="1" applyBorder="1" applyAlignment="1">
      <alignment horizontal="center" vertical="center"/>
    </xf>
    <xf numFmtId="0" fontId="51" fillId="0" borderId="45" xfId="0" applyFont="1" applyBorder="1" applyAlignment="1">
      <alignment horizontal="center" vertical="center"/>
    </xf>
    <xf numFmtId="0" fontId="3" fillId="0" borderId="10" xfId="0" applyFont="1" applyBorder="1" applyAlignment="1">
      <alignment horizontal="center" vertical="center"/>
    </xf>
    <xf numFmtId="0" fontId="3" fillId="0" borderId="52" xfId="0" applyFont="1" applyBorder="1" applyAlignment="1">
      <alignment horizontal="center" vertical="center"/>
    </xf>
    <xf numFmtId="0" fontId="33" fillId="0" borderId="92" xfId="0" applyFont="1" applyBorder="1" applyAlignment="1">
      <alignment horizontal="center"/>
    </xf>
    <xf numFmtId="0" fontId="8" fillId="0" borderId="26" xfId="0" applyFont="1" applyBorder="1" applyAlignment="1">
      <alignment horizontal="center" vertical="center"/>
    </xf>
    <xf numFmtId="0" fontId="19" fillId="0" borderId="26" xfId="0" applyFont="1" applyBorder="1" applyAlignment="1">
      <alignment horizontal="center" vertical="center"/>
    </xf>
    <xf numFmtId="17" fontId="2" fillId="0" borderId="0" xfId="0" applyNumberFormat="1" applyFont="1" applyAlignment="1">
      <alignment horizontal="right" vertical="center"/>
    </xf>
    <xf numFmtId="14" fontId="2" fillId="0" borderId="0" xfId="0" applyNumberFormat="1" applyFont="1" applyAlignment="1">
      <alignment horizontal="right" vertical="center"/>
    </xf>
    <xf numFmtId="0" fontId="2" fillId="0" borderId="0" xfId="0" applyFont="1" applyAlignment="1">
      <alignment horizontal="centerContinuous"/>
    </xf>
    <xf numFmtId="0" fontId="0" fillId="0" borderId="0" xfId="0" applyAlignment="1">
      <alignment horizontal="centerContinuous"/>
    </xf>
    <xf numFmtId="0" fontId="0" fillId="0" borderId="20" xfId="0" applyBorder="1"/>
    <xf numFmtId="0" fontId="0" fillId="0" borderId="21" xfId="0" applyBorder="1"/>
    <xf numFmtId="0" fontId="0" fillId="0" borderId="24" xfId="0" applyBorder="1"/>
    <xf numFmtId="1" fontId="19" fillId="0" borderId="26" xfId="0" applyNumberFormat="1" applyFont="1" applyBorder="1" applyAlignment="1">
      <alignment horizontal="center" vertical="center"/>
    </xf>
    <xf numFmtId="0" fontId="33" fillId="0" borderId="0" xfId="0" applyFont="1"/>
    <xf numFmtId="0" fontId="0" fillId="0" borderId="0" xfId="0" applyAlignment="1">
      <alignment horizontal="centerContinuous" vertical="center"/>
    </xf>
    <xf numFmtId="0" fontId="3" fillId="0" borderId="111" xfId="0" applyFont="1" applyBorder="1" applyAlignment="1">
      <alignment vertical="center"/>
    </xf>
    <xf numFmtId="0" fontId="2" fillId="0" borderId="111" xfId="0" applyFont="1" applyBorder="1" applyAlignment="1">
      <alignment horizontal="center" vertical="center"/>
    </xf>
    <xf numFmtId="1" fontId="2" fillId="0" borderId="25" xfId="0" applyNumberFormat="1" applyFont="1" applyBorder="1" applyAlignment="1">
      <alignment horizontal="right" vertical="center"/>
    </xf>
    <xf numFmtId="1" fontId="2" fillId="0" borderId="25" xfId="0" applyNumberFormat="1" applyFont="1" applyBorder="1" applyAlignment="1">
      <alignment horizontal="center" vertical="center"/>
    </xf>
    <xf numFmtId="0" fontId="3" fillId="0" borderId="0" xfId="0" applyFont="1" applyAlignment="1">
      <alignment vertical="center"/>
    </xf>
    <xf numFmtId="0" fontId="3" fillId="0" borderId="29" xfId="0" applyFont="1" applyBorder="1" applyAlignment="1">
      <alignment vertical="center"/>
    </xf>
    <xf numFmtId="0" fontId="2" fillId="0" borderId="51" xfId="0" applyFont="1" applyBorder="1" applyAlignment="1">
      <alignment horizontal="center" vertical="center"/>
    </xf>
    <xf numFmtId="0" fontId="0" fillId="0" borderId="111" xfId="0" applyBorder="1" applyAlignment="1">
      <alignment horizontal="center" vertical="center"/>
    </xf>
    <xf numFmtId="0" fontId="2" fillId="0" borderId="20" xfId="0" applyFont="1" applyBorder="1" applyAlignment="1">
      <alignment horizontal="right" vertical="center"/>
    </xf>
    <xf numFmtId="0" fontId="3" fillId="0" borderId="112" xfId="0" applyFont="1" applyBorder="1" applyAlignment="1">
      <alignment vertical="center"/>
    </xf>
    <xf numFmtId="0" fontId="0" fillId="0" borderId="112" xfId="0" applyBorder="1" applyAlignment="1">
      <alignment horizontal="center" vertical="center"/>
    </xf>
    <xf numFmtId="0" fontId="0" fillId="0" borderId="113" xfId="0" applyBorder="1" applyAlignment="1">
      <alignment horizontal="center" vertical="center"/>
    </xf>
    <xf numFmtId="0" fontId="0" fillId="0" borderId="51" xfId="0" applyBorder="1" applyAlignment="1">
      <alignment horizontal="center" vertical="center"/>
    </xf>
    <xf numFmtId="0" fontId="0" fillId="0" borderId="28" xfId="0" applyBorder="1" applyAlignment="1">
      <alignment horizontal="center" vertical="center"/>
    </xf>
    <xf numFmtId="0" fontId="2" fillId="0" borderId="10" xfId="0" applyFont="1" applyBorder="1" applyAlignment="1">
      <alignment horizontal="center" vertical="center"/>
    </xf>
    <xf numFmtId="0" fontId="33" fillId="0" borderId="10" xfId="0" applyFont="1" applyBorder="1" applyAlignment="1">
      <alignment horizontal="center" vertical="center"/>
    </xf>
    <xf numFmtId="0" fontId="2" fillId="0" borderId="38" xfId="0" applyFont="1" applyBorder="1" applyAlignment="1">
      <alignment horizontal="center"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173" fontId="2" fillId="0" borderId="36" xfId="0" applyNumberFormat="1" applyFont="1" applyBorder="1" applyAlignment="1">
      <alignment horizontal="center" vertical="center"/>
    </xf>
    <xf numFmtId="1" fontId="2" fillId="0" borderId="36" xfId="0" applyNumberFormat="1" applyFont="1" applyBorder="1" applyAlignment="1">
      <alignment horizontal="center" vertical="center"/>
    </xf>
    <xf numFmtId="176" fontId="2" fillId="4" borderId="43" xfId="0" applyNumberFormat="1" applyFont="1" applyFill="1" applyBorder="1" applyAlignment="1" applyProtection="1">
      <alignment horizontal="center" vertical="center"/>
      <protection locked="0"/>
    </xf>
    <xf numFmtId="0" fontId="2" fillId="5" borderId="19" xfId="0" applyFont="1" applyFill="1" applyBorder="1" applyAlignment="1">
      <alignment horizontal="center" vertical="center"/>
    </xf>
    <xf numFmtId="0" fontId="0" fillId="0" borderId="79" xfId="0" applyBorder="1"/>
    <xf numFmtId="172" fontId="2" fillId="0" borderId="66" xfId="0" applyNumberFormat="1" applyFont="1" applyBorder="1" applyAlignment="1">
      <alignment horizontal="center" vertical="center"/>
    </xf>
    <xf numFmtId="0" fontId="8" fillId="5" borderId="19" xfId="0" applyFont="1" applyFill="1" applyBorder="1" applyAlignment="1">
      <alignment horizontal="center" vertical="center"/>
    </xf>
    <xf numFmtId="174" fontId="2" fillId="0" borderId="55" xfId="1" applyNumberFormat="1" applyFont="1" applyFill="1" applyBorder="1" applyAlignment="1">
      <alignment horizontal="center" vertical="center"/>
    </xf>
    <xf numFmtId="174" fontId="2" fillId="0" borderId="56" xfId="1" applyNumberFormat="1" applyFont="1" applyFill="1" applyBorder="1" applyAlignment="1">
      <alignment horizontal="center" vertical="center"/>
    </xf>
    <xf numFmtId="0" fontId="0" fillId="0" borderId="18" xfId="0" applyBorder="1"/>
    <xf numFmtId="0" fontId="0" fillId="0" borderId="36" xfId="0" applyBorder="1"/>
    <xf numFmtId="0" fontId="0" fillId="0" borderId="32" xfId="0" applyBorder="1"/>
    <xf numFmtId="0" fontId="0" fillId="0" borderId="34" xfId="0" applyBorder="1"/>
    <xf numFmtId="0" fontId="0" fillId="0" borderId="39" xfId="0" applyBorder="1"/>
    <xf numFmtId="0" fontId="0" fillId="0" borderId="33" xfId="0" applyBorder="1"/>
    <xf numFmtId="0" fontId="33" fillId="0" borderId="31" xfId="0" applyFont="1" applyBorder="1" applyAlignment="1">
      <alignment horizontal="left"/>
    </xf>
    <xf numFmtId="1" fontId="0" fillId="0" borderId="75" xfId="0" applyNumberFormat="1" applyBorder="1" applyAlignment="1">
      <alignment horizontal="center" vertical="center"/>
    </xf>
    <xf numFmtId="1" fontId="0" fillId="0" borderId="19" xfId="0" applyNumberFormat="1" applyBorder="1" applyAlignment="1">
      <alignment horizontal="center" vertical="center"/>
    </xf>
    <xf numFmtId="0" fontId="32" fillId="0" borderId="0" xfId="0" applyFont="1" applyAlignment="1">
      <alignment horizontal="left" vertical="center"/>
    </xf>
    <xf numFmtId="0" fontId="31" fillId="0" borderId="0" xfId="0" applyFont="1" applyAlignment="1">
      <alignment horizontal="center" vertical="center"/>
    </xf>
    <xf numFmtId="2" fontId="2" fillId="7" borderId="18" xfId="0" applyNumberFormat="1" applyFont="1" applyFill="1" applyBorder="1" applyAlignment="1">
      <alignment horizontal="center" vertical="center"/>
    </xf>
    <xf numFmtId="2" fontId="2" fillId="5" borderId="18" xfId="0" applyNumberFormat="1" applyFont="1" applyFill="1" applyBorder="1" applyAlignment="1">
      <alignment horizontal="center" vertical="center"/>
    </xf>
    <xf numFmtId="0" fontId="20" fillId="0" borderId="0" xfId="0" applyFont="1" applyAlignment="1">
      <alignment horizontal="left" vertical="center"/>
    </xf>
    <xf numFmtId="0" fontId="33" fillId="0" borderId="19" xfId="0" applyFont="1" applyBorder="1"/>
    <xf numFmtId="0" fontId="4" fillId="0" borderId="62" xfId="0" applyFont="1" applyBorder="1" applyAlignment="1">
      <alignment horizontal="right" vertical="center"/>
    </xf>
    <xf numFmtId="0" fontId="2" fillId="0" borderId="63" xfId="0" applyFont="1" applyBorder="1" applyAlignment="1">
      <alignment horizontal="center" vertical="center"/>
    </xf>
    <xf numFmtId="173" fontId="2" fillId="0" borderId="19" xfId="0" applyNumberFormat="1" applyFont="1" applyBorder="1" applyAlignment="1">
      <alignment horizontal="center" vertical="center"/>
    </xf>
    <xf numFmtId="0" fontId="33" fillId="0" borderId="60" xfId="0" applyFont="1" applyBorder="1" applyAlignment="1">
      <alignment horizontal="center" vertical="center"/>
    </xf>
    <xf numFmtId="0" fontId="33" fillId="0" borderId="75" xfId="0" applyFont="1" applyBorder="1" applyAlignment="1">
      <alignment horizontal="center" vertical="center"/>
    </xf>
    <xf numFmtId="0" fontId="32" fillId="0" borderId="25" xfId="0" applyFont="1" applyBorder="1"/>
    <xf numFmtId="0" fontId="0" fillId="0" borderId="78" xfId="0" applyBorder="1"/>
    <xf numFmtId="0" fontId="33" fillId="0" borderId="91" xfId="0" applyFont="1" applyBorder="1" applyAlignment="1">
      <alignment horizontal="center"/>
    </xf>
    <xf numFmtId="0" fontId="33" fillId="0" borderId="77" xfId="0" applyFont="1" applyBorder="1" applyAlignment="1">
      <alignment horizontal="center"/>
    </xf>
    <xf numFmtId="0" fontId="33" fillId="0" borderId="78" xfId="0" applyFont="1" applyBorder="1" applyAlignment="1">
      <alignment horizontal="center"/>
    </xf>
    <xf numFmtId="0" fontId="20" fillId="0" borderId="25" xfId="0" applyFont="1" applyBorder="1" applyAlignment="1">
      <alignment horizontal="center" vertical="center"/>
    </xf>
    <xf numFmtId="0" fontId="4" fillId="0" borderId="32" xfId="0" applyFont="1" applyBorder="1" applyAlignment="1">
      <alignment horizontal="center" vertical="center"/>
    </xf>
    <xf numFmtId="0" fontId="33" fillId="0" borderId="106" xfId="0" applyFont="1" applyBorder="1" applyAlignment="1">
      <alignment horizontal="center" vertical="center"/>
    </xf>
    <xf numFmtId="0" fontId="33" fillId="0" borderId="107" xfId="0" applyFont="1" applyBorder="1" applyAlignment="1">
      <alignment horizontal="center" vertical="center"/>
    </xf>
    <xf numFmtId="0" fontId="33" fillId="0" borderId="21" xfId="0" applyFont="1" applyBorder="1" applyAlignment="1">
      <alignment horizontal="right" vertical="center"/>
    </xf>
    <xf numFmtId="165" fontId="33" fillId="0" borderId="21" xfId="0" applyNumberFormat="1" applyFont="1" applyBorder="1" applyAlignment="1">
      <alignment horizontal="right" vertical="center"/>
    </xf>
    <xf numFmtId="0" fontId="33" fillId="0" borderId="18" xfId="0" applyFont="1" applyBorder="1" applyAlignment="1">
      <alignment horizontal="center" vertical="center"/>
    </xf>
    <xf numFmtId="1" fontId="33" fillId="0" borderId="18" xfId="0" applyNumberFormat="1" applyFont="1" applyBorder="1" applyAlignment="1">
      <alignment horizontal="center" vertical="center"/>
    </xf>
    <xf numFmtId="0" fontId="33" fillId="0" borderId="11" xfId="0" applyFont="1" applyBorder="1" applyAlignment="1">
      <alignment horizontal="center" vertical="center" wrapText="1"/>
    </xf>
    <xf numFmtId="1" fontId="33" fillId="0" borderId="118" xfId="0" applyNumberFormat="1" applyFont="1" applyBorder="1" applyAlignment="1">
      <alignment horizontal="center" vertical="center"/>
    </xf>
    <xf numFmtId="174" fontId="33" fillId="0" borderId="92" xfId="1" applyNumberFormat="1" applyFont="1" applyBorder="1" applyAlignment="1">
      <alignment horizontal="center" vertical="center"/>
    </xf>
    <xf numFmtId="1" fontId="33" fillId="0" borderId="119" xfId="0" applyNumberFormat="1" applyFont="1" applyBorder="1" applyAlignment="1">
      <alignment horizontal="center" vertical="center"/>
    </xf>
    <xf numFmtId="174" fontId="33" fillId="0" borderId="84" xfId="1" applyNumberFormat="1" applyFont="1" applyBorder="1" applyAlignment="1">
      <alignment horizontal="center" vertical="center"/>
    </xf>
    <xf numFmtId="1" fontId="33" fillId="0" borderId="120" xfId="0" applyNumberFormat="1" applyFont="1" applyBorder="1" applyAlignment="1">
      <alignment horizontal="center" vertical="center"/>
    </xf>
    <xf numFmtId="174" fontId="33" fillId="0" borderId="78" xfId="1" applyNumberFormat="1" applyFont="1" applyBorder="1" applyAlignment="1">
      <alignment horizontal="center" vertical="center"/>
    </xf>
    <xf numFmtId="0" fontId="33" fillId="0" borderId="10" xfId="0" applyFont="1" applyBorder="1" applyAlignment="1">
      <alignment horizontal="center" vertical="center" wrapText="1"/>
    </xf>
    <xf numFmtId="0" fontId="0" fillId="0" borderId="84" xfId="0" applyBorder="1"/>
    <xf numFmtId="0" fontId="33" fillId="0" borderId="14" xfId="0" applyFont="1" applyBorder="1" applyAlignment="1">
      <alignment horizontal="center" vertical="center" wrapText="1"/>
    </xf>
    <xf numFmtId="0" fontId="33" fillId="0" borderId="13" xfId="0" applyFont="1" applyBorder="1" applyAlignment="1">
      <alignment horizontal="center" vertical="center" wrapText="1"/>
    </xf>
    <xf numFmtId="0" fontId="33" fillId="0" borderId="71" xfId="0" applyFont="1" applyBorder="1" applyAlignment="1">
      <alignment horizontal="center" vertical="center"/>
    </xf>
    <xf numFmtId="0" fontId="33" fillId="0" borderId="70" xfId="0" applyFont="1" applyBorder="1" applyAlignment="1">
      <alignment horizontal="center" vertical="center"/>
    </xf>
    <xf numFmtId="0" fontId="33" fillId="0" borderId="100" xfId="0" applyFont="1" applyBorder="1" applyAlignment="1">
      <alignment horizontal="center" vertical="center"/>
    </xf>
    <xf numFmtId="0" fontId="2" fillId="0" borderId="44" xfId="0" applyFont="1" applyBorder="1" applyAlignment="1">
      <alignment horizontal="left" vertical="center"/>
    </xf>
    <xf numFmtId="0" fontId="0" fillId="0" borderId="6" xfId="0" applyBorder="1" applyAlignment="1">
      <alignment horizontal="center" vertical="center"/>
    </xf>
    <xf numFmtId="0" fontId="33" fillId="0" borderId="14" xfId="0" applyFont="1" applyBorder="1" applyAlignment="1">
      <alignment horizontal="center" vertical="center"/>
    </xf>
    <xf numFmtId="0" fontId="2" fillId="0" borderId="77" xfId="0" applyFont="1" applyBorder="1" applyAlignment="1">
      <alignment horizontal="center" vertical="center"/>
    </xf>
    <xf numFmtId="0" fontId="33" fillId="0" borderId="118" xfId="0" applyFont="1" applyBorder="1" applyAlignment="1">
      <alignment horizontal="center" vertical="center"/>
    </xf>
    <xf numFmtId="0" fontId="33" fillId="0" borderId="119" xfId="0" applyFont="1" applyBorder="1" applyAlignment="1">
      <alignment horizontal="center" vertical="center"/>
    </xf>
    <xf numFmtId="0" fontId="33" fillId="0" borderId="120" xfId="0" applyFont="1" applyBorder="1" applyAlignment="1">
      <alignment horizontal="center" vertical="center"/>
    </xf>
    <xf numFmtId="0" fontId="2" fillId="0" borderId="105" xfId="0" applyFont="1" applyBorder="1" applyAlignment="1">
      <alignment horizontal="center" vertical="center"/>
    </xf>
    <xf numFmtId="0" fontId="2" fillId="0" borderId="114" xfId="0" applyFont="1" applyBorder="1" applyAlignment="1">
      <alignment horizontal="center" vertical="center"/>
    </xf>
    <xf numFmtId="0" fontId="2" fillId="0" borderId="0" xfId="0" applyFont="1" applyAlignment="1">
      <alignment vertical="center"/>
    </xf>
    <xf numFmtId="0" fontId="3" fillId="0" borderId="25" xfId="0" applyFont="1" applyBorder="1" applyAlignment="1">
      <alignment horizontal="right" vertical="center"/>
    </xf>
    <xf numFmtId="0" fontId="19" fillId="0" borderId="0" xfId="0" applyFont="1" applyAlignment="1">
      <alignment horizontal="left" vertical="center"/>
    </xf>
    <xf numFmtId="2" fontId="2" fillId="0" borderId="0" xfId="3" applyFont="1" applyAlignment="1">
      <alignment horizontal="left" vertical="center"/>
    </xf>
    <xf numFmtId="164" fontId="3" fillId="0" borderId="18" xfId="0" applyNumberFormat="1" applyFont="1" applyBorder="1" applyAlignment="1">
      <alignment horizontal="left" vertical="center"/>
    </xf>
    <xf numFmtId="173" fontId="2" fillId="4" borderId="19" xfId="2" applyNumberFormat="1" applyFill="1" applyAlignment="1">
      <alignment horizontal="center" vertical="center"/>
      <protection locked="0"/>
    </xf>
    <xf numFmtId="2" fontId="2" fillId="4" borderId="19" xfId="2" applyNumberFormat="1" applyFill="1" applyAlignment="1">
      <alignment horizontal="center" vertical="center"/>
      <protection locked="0"/>
    </xf>
    <xf numFmtId="0" fontId="2" fillId="0" borderId="39" xfId="0" applyFont="1" applyBorder="1" applyAlignment="1">
      <alignment horizontal="center" vertical="center"/>
    </xf>
    <xf numFmtId="0" fontId="8" fillId="2" borderId="49" xfId="0" applyFont="1" applyFill="1" applyBorder="1" applyAlignment="1">
      <alignment horizontal="center" vertical="center"/>
    </xf>
    <xf numFmtId="0" fontId="8" fillId="2" borderId="88" xfId="0" applyFont="1" applyFill="1" applyBorder="1" applyAlignment="1">
      <alignment horizontal="center" vertical="center"/>
    </xf>
    <xf numFmtId="0" fontId="2" fillId="0" borderId="56" xfId="0" applyFont="1"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horizontal="center" vertical="center"/>
    </xf>
    <xf numFmtId="0" fontId="2" fillId="11" borderId="76" xfId="0" applyFont="1" applyFill="1" applyBorder="1" applyAlignment="1">
      <alignment horizontal="center" vertical="center"/>
    </xf>
    <xf numFmtId="0" fontId="33" fillId="0" borderId="25" xfId="0" applyFont="1" applyBorder="1" applyAlignment="1">
      <alignment horizontal="right" vertical="center"/>
    </xf>
    <xf numFmtId="173" fontId="0" fillId="0" borderId="48" xfId="0" applyNumberFormat="1" applyBorder="1" applyAlignment="1">
      <alignment horizontal="center" vertical="center"/>
    </xf>
    <xf numFmtId="1" fontId="33" fillId="0" borderId="83" xfId="0" applyNumberFormat="1" applyFont="1" applyBorder="1" applyAlignment="1">
      <alignment horizontal="center" vertical="center"/>
    </xf>
    <xf numFmtId="0" fontId="33" fillId="0" borderId="10" xfId="0" applyFont="1" applyBorder="1" applyAlignment="1">
      <alignment horizontal="right" vertical="center"/>
    </xf>
    <xf numFmtId="173" fontId="0" fillId="0" borderId="74" xfId="0" applyNumberFormat="1" applyBorder="1" applyAlignment="1">
      <alignment horizontal="center" vertical="center"/>
    </xf>
    <xf numFmtId="0" fontId="33" fillId="0" borderId="6" xfId="0" applyFont="1" applyBorder="1" applyAlignment="1">
      <alignment horizontal="center" vertical="center"/>
    </xf>
    <xf numFmtId="0" fontId="33" fillId="0" borderId="11" xfId="0" applyFont="1" applyBorder="1" applyAlignment="1">
      <alignment horizontal="right" vertical="center"/>
    </xf>
    <xf numFmtId="0" fontId="32" fillId="0" borderId="0" xfId="0" applyFont="1"/>
    <xf numFmtId="0" fontId="33" fillId="0" borderId="37" xfId="0" applyFont="1" applyBorder="1"/>
    <xf numFmtId="0" fontId="33" fillId="0" borderId="84" xfId="0" applyFont="1" applyBorder="1"/>
    <xf numFmtId="0" fontId="33" fillId="0" borderId="86" xfId="0" applyFont="1" applyBorder="1"/>
    <xf numFmtId="0" fontId="33" fillId="0" borderId="60" xfId="0" applyFont="1" applyBorder="1"/>
    <xf numFmtId="0" fontId="33" fillId="0" borderId="116" xfId="0" applyFont="1" applyBorder="1"/>
    <xf numFmtId="0" fontId="33" fillId="0" borderId="27" xfId="0" applyFont="1" applyBorder="1" applyAlignment="1">
      <alignment horizontal="center" vertical="center"/>
    </xf>
    <xf numFmtId="0" fontId="33" fillId="0" borderId="73" xfId="0" applyFont="1" applyBorder="1" applyAlignment="1">
      <alignment horizontal="center" vertical="center"/>
    </xf>
    <xf numFmtId="0" fontId="33" fillId="0" borderId="74" xfId="0" applyFont="1" applyBorder="1" applyAlignment="1">
      <alignment horizontal="center" vertical="center"/>
    </xf>
    <xf numFmtId="0" fontId="33" fillId="0" borderId="19" xfId="0" applyFont="1" applyBorder="1" applyAlignment="1">
      <alignment horizontal="center" vertical="center"/>
    </xf>
    <xf numFmtId="0" fontId="38" fillId="0" borderId="0" xfId="0" applyFont="1" applyAlignment="1">
      <alignment vertical="center"/>
    </xf>
    <xf numFmtId="0" fontId="38" fillId="0" borderId="52" xfId="0" applyFont="1" applyBorder="1" applyAlignment="1">
      <alignment vertical="center"/>
    </xf>
    <xf numFmtId="0" fontId="46" fillId="0" borderId="52" xfId="0" applyFont="1" applyBorder="1" applyAlignment="1">
      <alignment horizontal="center" vertical="center"/>
    </xf>
    <xf numFmtId="174" fontId="33" fillId="0" borderId="92" xfId="1" applyNumberFormat="1" applyFont="1" applyBorder="1"/>
    <xf numFmtId="174" fontId="33" fillId="0" borderId="106" xfId="1" applyNumberFormat="1" applyFont="1" applyBorder="1"/>
    <xf numFmtId="0" fontId="0" fillId="0" borderId="81" xfId="0" applyBorder="1"/>
    <xf numFmtId="0" fontId="0" fillId="0" borderId="107" xfId="0" applyBorder="1"/>
    <xf numFmtId="0" fontId="33" fillId="0" borderId="121" xfId="0" applyFont="1" applyBorder="1" applyAlignment="1">
      <alignment horizontal="center" vertical="center"/>
    </xf>
    <xf numFmtId="0" fontId="33" fillId="0" borderId="0" xfId="0" applyFont="1" applyAlignment="1">
      <alignment horizontal="left" vertical="center"/>
    </xf>
    <xf numFmtId="1" fontId="33" fillId="0" borderId="18" xfId="0" applyNumberFormat="1" applyFont="1" applyBorder="1"/>
    <xf numFmtId="165" fontId="33" fillId="0" borderId="18" xfId="0" applyNumberFormat="1" applyFont="1" applyBorder="1" applyAlignment="1">
      <alignment shrinkToFit="1"/>
    </xf>
    <xf numFmtId="165" fontId="33" fillId="0" borderId="34" xfId="0" applyNumberFormat="1" applyFont="1" applyBorder="1" applyAlignment="1">
      <alignment shrinkToFit="1"/>
    </xf>
    <xf numFmtId="174" fontId="33" fillId="0" borderId="92" xfId="0" applyNumberFormat="1" applyFont="1" applyBorder="1"/>
    <xf numFmtId="174" fontId="33" fillId="0" borderId="84" xfId="0" applyNumberFormat="1" applyFont="1" applyBorder="1"/>
    <xf numFmtId="174" fontId="33" fillId="0" borderId="78" xfId="0" applyNumberFormat="1" applyFont="1" applyBorder="1"/>
    <xf numFmtId="174" fontId="33" fillId="0" borderId="123" xfId="0" applyNumberFormat="1" applyFont="1" applyBorder="1"/>
    <xf numFmtId="0" fontId="42" fillId="0" borderId="52" xfId="0" applyFont="1" applyBorder="1" applyAlignment="1">
      <alignment horizontal="center" vertical="center"/>
    </xf>
    <xf numFmtId="0" fontId="2" fillId="0" borderId="45" xfId="0" quotePrefix="1" applyFont="1" applyBorder="1" applyAlignment="1">
      <alignment horizontal="center" vertical="center"/>
    </xf>
    <xf numFmtId="0" fontId="2" fillId="0" borderId="61" xfId="0" quotePrefix="1" applyFont="1" applyBorder="1" applyAlignment="1">
      <alignment horizontal="center" vertical="center"/>
    </xf>
    <xf numFmtId="0" fontId="42" fillId="0" borderId="45" xfId="0" applyFont="1" applyBorder="1" applyAlignment="1">
      <alignment horizontal="center" vertical="center"/>
    </xf>
    <xf numFmtId="1" fontId="11" fillId="0" borderId="20" xfId="5" applyBorder="1">
      <alignment horizontal="left" vertical="center"/>
    </xf>
    <xf numFmtId="0" fontId="33" fillId="0" borderId="62" xfId="0" applyFont="1" applyBorder="1" applyAlignment="1">
      <alignment horizontal="center" vertical="center"/>
    </xf>
    <xf numFmtId="0" fontId="33" fillId="0" borderId="63" xfId="0" applyFont="1" applyBorder="1" applyAlignment="1">
      <alignment horizontal="center" vertical="center"/>
    </xf>
    <xf numFmtId="1" fontId="2" fillId="5" borderId="27" xfId="0" applyNumberFormat="1" applyFont="1" applyFill="1" applyBorder="1" applyAlignment="1">
      <alignment horizontal="center" vertical="center"/>
    </xf>
    <xf numFmtId="0" fontId="2" fillId="5" borderId="27" xfId="0" applyFont="1" applyFill="1" applyBorder="1" applyAlignment="1">
      <alignment horizontal="center" vertical="center"/>
    </xf>
    <xf numFmtId="171" fontId="2" fillId="14" borderId="27" xfId="0" applyNumberFormat="1" applyFont="1" applyFill="1" applyBorder="1" applyAlignment="1">
      <alignment horizontal="center" vertical="center"/>
    </xf>
    <xf numFmtId="168" fontId="2" fillId="6" borderId="19" xfId="0" applyNumberFormat="1" applyFont="1" applyFill="1" applyBorder="1" applyAlignment="1" applyProtection="1">
      <alignment horizontal="center" vertical="center"/>
      <protection locked="0"/>
    </xf>
    <xf numFmtId="168" fontId="8" fillId="5" borderId="66" xfId="0" applyNumberFormat="1" applyFont="1" applyFill="1" applyBorder="1" applyAlignment="1">
      <alignment horizontal="center" vertical="center"/>
    </xf>
    <xf numFmtId="1" fontId="2" fillId="5" borderId="27" xfId="0" applyNumberFormat="1" applyFont="1" applyFill="1" applyBorder="1" applyAlignment="1">
      <alignment horizontal="left" vertical="center"/>
    </xf>
    <xf numFmtId="0" fontId="2" fillId="0" borderId="115" xfId="0" applyFont="1" applyBorder="1" applyAlignment="1">
      <alignment horizontal="center" vertical="center"/>
    </xf>
    <xf numFmtId="0" fontId="2" fillId="0" borderId="116" xfId="0" applyFont="1" applyBorder="1" applyAlignment="1">
      <alignment horizontal="center" vertical="center"/>
    </xf>
    <xf numFmtId="0" fontId="2" fillId="0" borderId="117" xfId="0" applyFont="1" applyBorder="1" applyAlignment="1">
      <alignment horizontal="center" vertical="center"/>
    </xf>
    <xf numFmtId="0" fontId="2" fillId="0" borderId="71" xfId="0" applyFont="1" applyBorder="1" applyAlignment="1">
      <alignment horizontal="center" vertical="center"/>
    </xf>
    <xf numFmtId="165" fontId="33" fillId="0" borderId="44" xfId="0" applyNumberFormat="1" applyFont="1" applyBorder="1" applyAlignment="1">
      <alignment horizontal="left" shrinkToFit="1"/>
    </xf>
    <xf numFmtId="165" fontId="33" fillId="0" borderId="44" xfId="0" applyNumberFormat="1" applyFont="1" applyBorder="1" applyAlignment="1">
      <alignment horizontal="left" vertical="center" shrinkToFit="1"/>
    </xf>
    <xf numFmtId="0" fontId="2" fillId="0" borderId="64" xfId="0" applyFont="1" applyBorder="1" applyAlignment="1">
      <alignment horizontal="center" vertical="center"/>
    </xf>
    <xf numFmtId="0" fontId="2" fillId="0" borderId="100" xfId="0" applyFont="1" applyBorder="1" applyAlignment="1">
      <alignment horizontal="center" vertical="center"/>
    </xf>
    <xf numFmtId="0" fontId="2" fillId="0" borderId="61" xfId="0" applyFont="1" applyBorder="1" applyAlignment="1">
      <alignment horizontal="center" vertical="center"/>
    </xf>
    <xf numFmtId="2" fontId="0" fillId="0" borderId="95" xfId="0" applyNumberFormat="1" applyBorder="1" applyAlignment="1">
      <alignment horizontal="center" vertical="center"/>
    </xf>
    <xf numFmtId="2" fontId="0" fillId="0" borderId="37" xfId="0" applyNumberFormat="1" applyBorder="1" applyAlignment="1">
      <alignment horizontal="center" vertical="center"/>
    </xf>
    <xf numFmtId="2" fontId="0" fillId="0" borderId="117" xfId="0" applyNumberFormat="1" applyBorder="1" applyAlignment="1">
      <alignment horizontal="center" vertical="center"/>
    </xf>
    <xf numFmtId="2" fontId="0" fillId="0" borderId="116" xfId="0" applyNumberFormat="1" applyBorder="1" applyAlignment="1">
      <alignment horizontal="center" vertical="center"/>
    </xf>
    <xf numFmtId="2" fontId="0" fillId="0" borderId="99" xfId="0" applyNumberFormat="1" applyBorder="1" applyAlignment="1">
      <alignment horizontal="center" vertical="center"/>
    </xf>
    <xf numFmtId="174" fontId="33" fillId="0" borderId="95" xfId="1" applyNumberFormat="1" applyFont="1" applyBorder="1" applyAlignment="1">
      <alignment horizontal="center" vertical="center"/>
    </xf>
    <xf numFmtId="174" fontId="33" fillId="0" borderId="91" xfId="1" applyNumberFormat="1" applyFont="1" applyBorder="1" applyAlignment="1">
      <alignment horizontal="center" vertical="center"/>
    </xf>
    <xf numFmtId="0" fontId="2" fillId="11" borderId="62" xfId="0" applyFont="1" applyFill="1" applyBorder="1" applyAlignment="1">
      <alignment horizontal="right" vertical="center"/>
    </xf>
    <xf numFmtId="173" fontId="0" fillId="0" borderId="85" xfId="0" applyNumberFormat="1" applyBorder="1" applyAlignment="1">
      <alignment horizontal="center" vertical="center"/>
    </xf>
    <xf numFmtId="173" fontId="0" fillId="0" borderId="93" xfId="0" applyNumberFormat="1" applyBorder="1" applyAlignment="1">
      <alignment horizontal="center" vertical="center"/>
    </xf>
    <xf numFmtId="173" fontId="0" fillId="0" borderId="77" xfId="0" applyNumberFormat="1" applyBorder="1" applyAlignment="1">
      <alignment horizontal="center" vertical="center"/>
    </xf>
    <xf numFmtId="2" fontId="0" fillId="0" borderId="27" xfId="0" applyNumberFormat="1" applyBorder="1" applyAlignment="1">
      <alignment horizontal="center" vertical="center"/>
    </xf>
    <xf numFmtId="2" fontId="0" fillId="0" borderId="49" xfId="0" applyNumberFormat="1" applyBorder="1" applyAlignment="1">
      <alignment horizontal="center" vertical="center"/>
    </xf>
    <xf numFmtId="2" fontId="0" fillId="0" borderId="60" xfId="0" applyNumberFormat="1" applyBorder="1" applyAlignment="1">
      <alignment horizontal="center" vertical="center"/>
    </xf>
    <xf numFmtId="166" fontId="2" fillId="0" borderId="75" xfId="2" applyNumberFormat="1" applyFill="1" applyBorder="1" applyAlignment="1">
      <alignment horizontal="center" vertical="center"/>
      <protection locked="0"/>
    </xf>
    <xf numFmtId="166" fontId="2" fillId="0" borderId="19" xfId="2" applyNumberFormat="1" applyFill="1" applyAlignment="1">
      <alignment horizontal="center" vertical="center"/>
      <protection locked="0"/>
    </xf>
    <xf numFmtId="166" fontId="2" fillId="0" borderId="60" xfId="2" applyNumberFormat="1" applyFill="1" applyBorder="1" applyAlignment="1">
      <alignment horizontal="center" vertical="center"/>
      <protection locked="0"/>
    </xf>
    <xf numFmtId="166" fontId="2" fillId="0" borderId="91" xfId="2" applyNumberFormat="1" applyFill="1" applyBorder="1" applyAlignment="1">
      <alignment horizontal="center" vertical="center"/>
      <protection locked="0"/>
    </xf>
    <xf numFmtId="166" fontId="2" fillId="0" borderId="93" xfId="2" applyNumberFormat="1" applyFill="1" applyBorder="1" applyAlignment="1">
      <alignment horizontal="center" vertical="center"/>
      <protection locked="0"/>
    </xf>
    <xf numFmtId="166" fontId="2" fillId="0" borderId="77" xfId="2" applyNumberFormat="1" applyFill="1" applyBorder="1" applyAlignment="1">
      <alignment horizontal="center" vertical="center"/>
      <protection locked="0"/>
    </xf>
    <xf numFmtId="166" fontId="2" fillId="0" borderId="37" xfId="2" applyNumberFormat="1" applyFill="1" applyBorder="1" applyAlignment="1">
      <alignment horizontal="center" vertical="center"/>
      <protection locked="0"/>
    </xf>
    <xf numFmtId="166" fontId="2" fillId="0" borderId="86" xfId="2" applyNumberFormat="1" applyFill="1" applyBorder="1" applyAlignment="1">
      <alignment horizontal="center" vertical="center"/>
      <protection locked="0"/>
    </xf>
    <xf numFmtId="1" fontId="2" fillId="6" borderId="18" xfId="0" applyNumberFormat="1" applyFont="1" applyFill="1" applyBorder="1" applyAlignment="1" applyProtection="1">
      <alignment vertical="center"/>
      <protection locked="0"/>
    </xf>
    <xf numFmtId="2" fontId="0" fillId="0" borderId="75" xfId="0" applyNumberFormat="1" applyBorder="1" applyAlignment="1">
      <alignment horizontal="center" vertical="center"/>
    </xf>
    <xf numFmtId="2" fontId="8" fillId="5" borderId="66" xfId="0" applyNumberFormat="1" applyFont="1" applyFill="1" applyBorder="1" applyAlignment="1">
      <alignment horizontal="center" vertical="center"/>
    </xf>
    <xf numFmtId="2" fontId="8" fillId="5" borderId="98" xfId="0" applyNumberFormat="1" applyFont="1" applyFill="1" applyBorder="1" applyAlignment="1">
      <alignment horizontal="center" vertical="center"/>
    </xf>
    <xf numFmtId="2" fontId="8" fillId="5" borderId="97" xfId="0" applyNumberFormat="1" applyFont="1" applyFill="1" applyBorder="1" applyAlignment="1">
      <alignment horizontal="center" vertical="center"/>
    </xf>
    <xf numFmtId="2" fontId="8" fillId="5" borderId="92" xfId="0" applyNumberFormat="1" applyFont="1" applyFill="1" applyBorder="1" applyAlignment="1">
      <alignment horizontal="center" vertical="center"/>
    </xf>
    <xf numFmtId="2" fontId="8" fillId="5" borderId="84" xfId="0" applyNumberFormat="1" applyFont="1" applyFill="1" applyBorder="1" applyAlignment="1">
      <alignment horizontal="center" vertical="center"/>
    </xf>
    <xf numFmtId="2" fontId="8" fillId="5" borderId="78" xfId="0" applyNumberFormat="1" applyFont="1" applyFill="1" applyBorder="1" applyAlignment="1">
      <alignment horizontal="center" vertical="center"/>
    </xf>
    <xf numFmtId="174" fontId="33" fillId="0" borderId="92" xfId="0" applyNumberFormat="1" applyFont="1" applyBorder="1" applyAlignment="1">
      <alignment horizontal="center" vertical="center"/>
    </xf>
    <xf numFmtId="174" fontId="33" fillId="0" borderId="84" xfId="0" applyNumberFormat="1" applyFont="1" applyBorder="1" applyAlignment="1">
      <alignment horizontal="center" vertical="center"/>
    </xf>
    <xf numFmtId="174" fontId="33" fillId="0" borderId="78" xfId="0" applyNumberFormat="1" applyFont="1" applyBorder="1" applyAlignment="1">
      <alignment horizontal="center" vertical="center"/>
    </xf>
    <xf numFmtId="174" fontId="33" fillId="0" borderId="106" xfId="0" applyNumberFormat="1" applyFont="1" applyBorder="1" applyAlignment="1">
      <alignment horizontal="center" vertical="center"/>
    </xf>
    <xf numFmtId="174" fontId="33" fillId="0" borderId="81" xfId="0" applyNumberFormat="1" applyFont="1" applyBorder="1" applyAlignment="1">
      <alignment horizontal="center" vertical="center"/>
    </xf>
    <xf numFmtId="174" fontId="33" fillId="0" borderId="107" xfId="0" applyNumberFormat="1" applyFont="1" applyBorder="1" applyAlignment="1">
      <alignment horizontal="center" vertical="center"/>
    </xf>
    <xf numFmtId="174" fontId="33" fillId="0" borderId="75" xfId="1" applyNumberFormat="1" applyFont="1" applyBorder="1" applyAlignment="1">
      <alignment horizontal="center" vertical="center"/>
    </xf>
    <xf numFmtId="174" fontId="33" fillId="0" borderId="19" xfId="1" applyNumberFormat="1" applyFont="1" applyBorder="1" applyAlignment="1">
      <alignment horizontal="center" vertical="center"/>
    </xf>
    <xf numFmtId="174" fontId="33" fillId="0" borderId="60" xfId="1" applyNumberFormat="1" applyFont="1" applyBorder="1" applyAlignment="1">
      <alignment horizontal="center" vertical="center"/>
    </xf>
    <xf numFmtId="2" fontId="8" fillId="5" borderId="94" xfId="0" applyNumberFormat="1" applyFont="1" applyFill="1" applyBorder="1" applyAlignment="1">
      <alignment horizontal="center" vertical="center"/>
    </xf>
    <xf numFmtId="2" fontId="8" fillId="5" borderId="75" xfId="0" applyNumberFormat="1" applyFont="1" applyFill="1" applyBorder="1" applyAlignment="1">
      <alignment horizontal="center" vertical="center"/>
    </xf>
    <xf numFmtId="2" fontId="2" fillId="13" borderId="92" xfId="0" applyNumberFormat="1" applyFont="1" applyFill="1" applyBorder="1" applyAlignment="1">
      <alignment horizontal="center" vertical="center"/>
    </xf>
    <xf numFmtId="2" fontId="2" fillId="13" borderId="108" xfId="0" applyNumberFormat="1" applyFont="1" applyFill="1" applyBorder="1" applyAlignment="1">
      <alignment horizontal="center" vertical="center"/>
    </xf>
    <xf numFmtId="2" fontId="2" fillId="13" borderId="75" xfId="0" applyNumberFormat="1" applyFont="1" applyFill="1" applyBorder="1" applyAlignment="1">
      <alignment horizontal="center" vertical="center"/>
    </xf>
    <xf numFmtId="2" fontId="8" fillId="5" borderId="48" xfId="0" applyNumberFormat="1" applyFont="1" applyFill="1" applyBorder="1" applyAlignment="1">
      <alignment horizontal="center" vertical="center"/>
    </xf>
    <xf numFmtId="2" fontId="8" fillId="5" borderId="27" xfId="0" applyNumberFormat="1" applyFont="1" applyFill="1" applyBorder="1" applyAlignment="1">
      <alignment horizontal="center" vertical="center"/>
    </xf>
    <xf numFmtId="2" fontId="2" fillId="13" borderId="84" xfId="0" applyNumberFormat="1" applyFont="1" applyFill="1" applyBorder="1" applyAlignment="1">
      <alignment horizontal="center" vertical="center"/>
    </xf>
    <xf numFmtId="2" fontId="2" fillId="13" borderId="96" xfId="0" applyNumberFormat="1" applyFont="1" applyFill="1" applyBorder="1" applyAlignment="1">
      <alignment horizontal="center" vertical="center"/>
    </xf>
    <xf numFmtId="2" fontId="2" fillId="13" borderId="19" xfId="0" applyNumberFormat="1" applyFont="1" applyFill="1" applyBorder="1" applyAlignment="1">
      <alignment horizontal="center" vertical="center"/>
    </xf>
    <xf numFmtId="2" fontId="2" fillId="13" borderId="27" xfId="0" applyNumberFormat="1" applyFont="1" applyFill="1" applyBorder="1" applyAlignment="1">
      <alignment horizontal="center" vertical="center"/>
    </xf>
    <xf numFmtId="2" fontId="8" fillId="5" borderId="50" xfId="0" applyNumberFormat="1" applyFont="1" applyFill="1" applyBorder="1" applyAlignment="1">
      <alignment horizontal="center" vertical="center"/>
    </xf>
    <xf numFmtId="2" fontId="8" fillId="5" borderId="19" xfId="0" applyNumberFormat="1" applyFont="1" applyFill="1" applyBorder="1" applyAlignment="1">
      <alignment horizontal="center" vertical="center"/>
    </xf>
    <xf numFmtId="2" fontId="8" fillId="5" borderId="85" xfId="0" applyNumberFormat="1" applyFont="1" applyFill="1" applyBorder="1" applyAlignment="1">
      <alignment horizontal="center" vertical="center"/>
    </xf>
    <xf numFmtId="2" fontId="8" fillId="5" borderId="60" xfId="0" applyNumberFormat="1" applyFont="1" applyFill="1" applyBorder="1" applyAlignment="1">
      <alignment horizontal="center" vertical="center"/>
    </xf>
    <xf numFmtId="2" fontId="2" fillId="13" borderId="78" xfId="0" applyNumberFormat="1" applyFont="1" applyFill="1" applyBorder="1" applyAlignment="1">
      <alignment horizontal="center" vertical="center"/>
    </xf>
    <xf numFmtId="2" fontId="2" fillId="13" borderId="110" xfId="0" applyNumberFormat="1" applyFont="1" applyFill="1" applyBorder="1" applyAlignment="1">
      <alignment horizontal="center" vertical="center"/>
    </xf>
    <xf numFmtId="2" fontId="2" fillId="13" borderId="60" xfId="0" applyNumberFormat="1" applyFont="1" applyFill="1" applyBorder="1" applyAlignment="1">
      <alignment horizontal="center" vertical="center"/>
    </xf>
    <xf numFmtId="174" fontId="2" fillId="13" borderId="75" xfId="0" applyNumberFormat="1" applyFont="1" applyFill="1" applyBorder="1" applyAlignment="1">
      <alignment horizontal="center" vertical="center"/>
    </xf>
    <xf numFmtId="174" fontId="2" fillId="13" borderId="27" xfId="0" applyNumberFormat="1" applyFont="1" applyFill="1" applyBorder="1" applyAlignment="1">
      <alignment horizontal="center" vertical="center"/>
    </xf>
    <xf numFmtId="174" fontId="2" fillId="13" borderId="19" xfId="0" applyNumberFormat="1" applyFont="1" applyFill="1" applyBorder="1" applyAlignment="1">
      <alignment horizontal="center" vertical="center"/>
    </xf>
    <xf numFmtId="174" fontId="2" fillId="13" borderId="60" xfId="0" applyNumberFormat="1" applyFont="1" applyFill="1" applyBorder="1" applyAlignment="1">
      <alignment horizontal="center" vertical="center"/>
    </xf>
    <xf numFmtId="2" fontId="33" fillId="0" borderId="122" xfId="0" applyNumberFormat="1" applyFont="1" applyBorder="1" applyAlignment="1">
      <alignment horizontal="center" vertical="center"/>
    </xf>
    <xf numFmtId="2" fontId="33" fillId="0" borderId="59" xfId="0" applyNumberFormat="1" applyFont="1" applyBorder="1" applyAlignment="1">
      <alignment horizontal="center" vertical="center"/>
    </xf>
    <xf numFmtId="2" fontId="2" fillId="0" borderId="50" xfId="0" applyNumberFormat="1" applyFont="1" applyBorder="1" applyAlignment="1" applyProtection="1">
      <alignment horizontal="center" vertical="center"/>
      <protection locked="0"/>
    </xf>
    <xf numFmtId="2" fontId="2" fillId="0" borderId="19" xfId="0" applyNumberFormat="1" applyFont="1" applyBorder="1" applyAlignment="1" applyProtection="1">
      <alignment horizontal="center" vertical="center"/>
      <protection locked="0"/>
    </xf>
    <xf numFmtId="2" fontId="2" fillId="6" borderId="50" xfId="0" applyNumberFormat="1" applyFont="1" applyFill="1" applyBorder="1" applyAlignment="1" applyProtection="1">
      <alignment horizontal="center" vertical="center"/>
      <protection locked="0"/>
    </xf>
    <xf numFmtId="2" fontId="2" fillId="6" borderId="19" xfId="0" applyNumberFormat="1" applyFont="1" applyFill="1" applyBorder="1" applyAlignment="1" applyProtection="1">
      <alignment horizontal="center" vertical="center"/>
      <protection locked="0"/>
    </xf>
    <xf numFmtId="2" fontId="2" fillId="6" borderId="85" xfId="0" applyNumberFormat="1" applyFont="1" applyFill="1" applyBorder="1" applyAlignment="1" applyProtection="1">
      <alignment horizontal="center" vertical="center"/>
      <protection locked="0"/>
    </xf>
    <xf numFmtId="2" fontId="2" fillId="6" borderId="60" xfId="0" applyNumberFormat="1" applyFont="1" applyFill="1" applyBorder="1" applyAlignment="1" applyProtection="1">
      <alignment horizontal="center" vertical="center"/>
      <protection locked="0"/>
    </xf>
    <xf numFmtId="2" fontId="2" fillId="0" borderId="60" xfId="0" applyNumberFormat="1" applyFont="1" applyBorder="1" applyAlignment="1" applyProtection="1">
      <alignment horizontal="center" vertical="center"/>
      <protection locked="0"/>
    </xf>
    <xf numFmtId="2" fontId="2" fillId="0" borderId="93" xfId="0" applyNumberFormat="1" applyFont="1" applyBorder="1" applyAlignment="1" applyProtection="1">
      <alignment horizontal="center" vertical="center"/>
      <protection locked="0"/>
    </xf>
    <xf numFmtId="2" fontId="2" fillId="6" borderId="93" xfId="0" applyNumberFormat="1" applyFont="1" applyFill="1" applyBorder="1" applyAlignment="1" applyProtection="1">
      <alignment horizontal="center" vertical="center"/>
      <protection locked="0"/>
    </xf>
    <xf numFmtId="2" fontId="2" fillId="6" borderId="77" xfId="0" applyNumberFormat="1" applyFont="1" applyFill="1" applyBorder="1" applyAlignment="1" applyProtection="1">
      <alignment horizontal="center" vertical="center"/>
      <protection locked="0"/>
    </xf>
    <xf numFmtId="174" fontId="0" fillId="0" borderId="84" xfId="1" applyNumberFormat="1" applyFont="1" applyBorder="1" applyAlignment="1">
      <alignment horizontal="center" vertical="center"/>
    </xf>
    <xf numFmtId="174" fontId="0" fillId="0" borderId="78" xfId="1" applyNumberFormat="1" applyFont="1" applyBorder="1" applyAlignment="1">
      <alignment horizontal="center" vertical="center"/>
    </xf>
    <xf numFmtId="169" fontId="2" fillId="0" borderId="18" xfId="0" applyNumberFormat="1" applyFont="1" applyBorder="1" applyAlignment="1">
      <alignment horizontal="left" vertical="center"/>
    </xf>
    <xf numFmtId="0" fontId="6" fillId="0" borderId="29" xfId="0" applyFont="1" applyBorder="1" applyAlignment="1">
      <alignment horizontal="left" vertical="center"/>
    </xf>
    <xf numFmtId="0" fontId="33" fillId="0" borderId="11" xfId="0" applyFont="1" applyBorder="1" applyAlignment="1">
      <alignment horizontal="center" vertical="center" wrapText="1"/>
    </xf>
    <xf numFmtId="0" fontId="33" fillId="0" borderId="10" xfId="0" applyFont="1" applyBorder="1" applyAlignment="1">
      <alignment horizontal="center" vertical="center" wrapText="1"/>
    </xf>
    <xf numFmtId="0" fontId="32" fillId="0" borderId="10" xfId="0" applyFont="1" applyBorder="1" applyAlignment="1">
      <alignment horizontal="center"/>
    </xf>
    <xf numFmtId="0" fontId="32" fillId="0" borderId="11" xfId="0" applyFont="1" applyBorder="1" applyAlignment="1">
      <alignment horizontal="center"/>
    </xf>
    <xf numFmtId="0" fontId="4" fillId="0" borderId="38" xfId="0" applyFont="1" applyBorder="1" applyAlignment="1">
      <alignment horizontal="center" vertical="center"/>
    </xf>
    <xf numFmtId="0" fontId="4" fillId="0" borderId="83" xfId="0" applyFont="1" applyBorder="1" applyAlignment="1">
      <alignment horizontal="center" vertical="center"/>
    </xf>
    <xf numFmtId="0" fontId="4" fillId="0" borderId="87" xfId="0" applyFont="1" applyBorder="1" applyAlignment="1">
      <alignment horizontal="center" vertical="center"/>
    </xf>
    <xf numFmtId="0" fontId="33" fillId="0" borderId="0" xfId="0" applyFont="1" applyAlignment="1">
      <alignment horizontal="center" vertical="center" wrapText="1"/>
    </xf>
    <xf numFmtId="0" fontId="2" fillId="0" borderId="74" xfId="0" applyFont="1" applyBorder="1" applyAlignment="1">
      <alignment horizontal="center" vertical="center"/>
    </xf>
    <xf numFmtId="0" fontId="2" fillId="0" borderId="73" xfId="0" applyFont="1" applyBorder="1" applyAlignment="1">
      <alignment horizontal="center" vertical="center"/>
    </xf>
    <xf numFmtId="0" fontId="33" fillId="0" borderId="10" xfId="0" applyFont="1" applyBorder="1" applyAlignment="1">
      <alignment horizontal="center" vertical="center"/>
    </xf>
    <xf numFmtId="0" fontId="33" fillId="0" borderId="11" xfId="0" applyFont="1" applyBorder="1" applyAlignment="1">
      <alignment horizontal="center" vertical="center"/>
    </xf>
    <xf numFmtId="0" fontId="2" fillId="0" borderId="47" xfId="0" applyFont="1" applyBorder="1" applyAlignment="1">
      <alignment horizontal="center" vertical="center"/>
    </xf>
    <xf numFmtId="0" fontId="2" fillId="0" borderId="105" xfId="0" applyFont="1" applyBorder="1" applyAlignment="1">
      <alignment horizontal="center" vertical="center"/>
    </xf>
    <xf numFmtId="0" fontId="2" fillId="0" borderId="114" xfId="0" applyFont="1" applyBorder="1" applyAlignment="1">
      <alignment horizontal="center" vertical="center"/>
    </xf>
    <xf numFmtId="0" fontId="4" fillId="0" borderId="114" xfId="0" applyFont="1" applyBorder="1" applyAlignment="1">
      <alignment horizontal="center" vertical="center"/>
    </xf>
    <xf numFmtId="0" fontId="4" fillId="0" borderId="105" xfId="0" applyFont="1"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2" fillId="0" borderId="54" xfId="0" applyFont="1" applyBorder="1" applyAlignment="1">
      <alignment horizontal="center" vertical="center"/>
    </xf>
    <xf numFmtId="0" fontId="2" fillId="0" borderId="52" xfId="0" applyFont="1" applyBorder="1" applyAlignment="1">
      <alignment horizontal="center" vertical="center"/>
    </xf>
    <xf numFmtId="0" fontId="0" fillId="0" borderId="19" xfId="0" applyBorder="1" applyAlignment="1">
      <alignment horizontal="center" vertical="center"/>
    </xf>
    <xf numFmtId="0" fontId="4" fillId="0" borderId="54" xfId="0" applyFont="1" applyBorder="1" applyAlignment="1">
      <alignment horizontal="center" vertical="center"/>
    </xf>
    <xf numFmtId="0" fontId="4" fillId="0" borderId="0" xfId="0" applyFont="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3" fillId="0" borderId="25" xfId="0" applyFont="1" applyBorder="1" applyAlignment="1">
      <alignment horizontal="center" vertical="center"/>
    </xf>
    <xf numFmtId="0" fontId="3" fillId="0" borderId="11" xfId="0" applyFont="1" applyBorder="1" applyAlignment="1">
      <alignment horizontal="center" vertical="center"/>
    </xf>
    <xf numFmtId="0" fontId="4" fillId="0" borderId="25"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2" fillId="6" borderId="49" xfId="0" applyFont="1" applyFill="1" applyBorder="1" applyAlignment="1" applyProtection="1">
      <alignment horizontal="center" vertical="center"/>
      <protection locked="0"/>
    </xf>
    <xf numFmtId="0" fontId="2" fillId="6" borderId="88" xfId="0" applyFont="1" applyFill="1" applyBorder="1" applyAlignment="1" applyProtection="1">
      <alignment horizontal="center" vertical="center"/>
      <protection locked="0"/>
    </xf>
    <xf numFmtId="0" fontId="32" fillId="0" borderId="0" xfId="0" applyFont="1" applyAlignment="1">
      <alignment horizontal="center" vertical="center"/>
    </xf>
    <xf numFmtId="0" fontId="32" fillId="0" borderId="11" xfId="0" applyFont="1" applyBorder="1" applyAlignment="1">
      <alignment horizontal="center" vertical="center"/>
    </xf>
    <xf numFmtId="0" fontId="32" fillId="0" borderId="26" xfId="0" applyFont="1" applyBorder="1" applyAlignment="1">
      <alignment horizontal="center" vertical="center"/>
    </xf>
    <xf numFmtId="0" fontId="32" fillId="0" borderId="25" xfId="0" applyFont="1" applyBorder="1" applyAlignment="1">
      <alignment horizontal="center" vertical="center"/>
    </xf>
    <xf numFmtId="0" fontId="32" fillId="0" borderId="10" xfId="0" applyFont="1" applyBorder="1" applyAlignment="1">
      <alignment horizontal="center" vertical="center"/>
    </xf>
    <xf numFmtId="0" fontId="2" fillId="0" borderId="0" xfId="0" applyFont="1" applyAlignment="1">
      <alignment horizontal="center" vertical="center" wrapText="1"/>
    </xf>
    <xf numFmtId="0" fontId="2" fillId="0" borderId="18" xfId="0" applyFont="1" applyBorder="1" applyAlignment="1">
      <alignment horizontal="center" vertical="center" wrapText="1"/>
    </xf>
    <xf numFmtId="0" fontId="2" fillId="5" borderId="19" xfId="0" applyFont="1" applyFill="1" applyBorder="1" applyAlignment="1">
      <alignment horizontal="center" vertical="center" wrapText="1"/>
    </xf>
    <xf numFmtId="0" fontId="2" fillId="0" borderId="54"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53" xfId="0" applyFont="1" applyBorder="1" applyAlignment="1">
      <alignment horizontal="center" vertical="center" wrapText="1"/>
    </xf>
    <xf numFmtId="0" fontId="2" fillId="0" borderId="56" xfId="0" applyFont="1" applyBorder="1" applyAlignment="1">
      <alignment horizontal="center" vertical="center" wrapText="1"/>
    </xf>
    <xf numFmtId="0" fontId="2" fillId="0" borderId="96" xfId="0" applyFont="1" applyBorder="1" applyAlignment="1">
      <alignment horizontal="center" vertical="center"/>
    </xf>
    <xf numFmtId="0" fontId="0" fillId="0" borderId="36" xfId="0" applyBorder="1" applyAlignment="1">
      <alignment horizontal="center" vertical="center"/>
    </xf>
    <xf numFmtId="0" fontId="0" fillId="0" borderId="57" xfId="0" applyBorder="1" applyAlignment="1">
      <alignment horizontal="center" vertical="center"/>
    </xf>
    <xf numFmtId="0" fontId="38" fillId="0" borderId="87" xfId="0" applyFont="1" applyBorder="1" applyAlignment="1">
      <alignment horizontal="center" vertical="center"/>
    </xf>
    <xf numFmtId="0" fontId="38" fillId="0" borderId="18" xfId="0" applyFont="1" applyBorder="1" applyAlignment="1">
      <alignment horizontal="center" vertical="center"/>
    </xf>
    <xf numFmtId="0" fontId="38" fillId="0" borderId="83" xfId="0" applyFont="1" applyBorder="1" applyAlignment="1">
      <alignment horizontal="center" vertical="center"/>
    </xf>
    <xf numFmtId="0" fontId="3" fillId="0" borderId="10" xfId="0" applyFont="1" applyBorder="1" applyAlignment="1">
      <alignment horizontal="center" vertical="center"/>
    </xf>
    <xf numFmtId="0" fontId="3" fillId="0" borderId="52" xfId="0" applyFont="1" applyBorder="1" applyAlignment="1">
      <alignment horizontal="center" vertical="center"/>
    </xf>
    <xf numFmtId="173" fontId="2" fillId="6" borderId="19" xfId="0" applyNumberFormat="1" applyFont="1" applyFill="1" applyBorder="1" applyAlignment="1" applyProtection="1">
      <alignment horizontal="center" vertical="center"/>
      <protection locked="0"/>
    </xf>
    <xf numFmtId="0" fontId="33" fillId="0" borderId="0" xfId="0" applyFont="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03" xfId="0" applyFont="1" applyBorder="1" applyAlignment="1">
      <alignment horizontal="center" vertical="center"/>
    </xf>
    <xf numFmtId="0" fontId="2" fillId="0" borderId="37" xfId="0" applyFont="1" applyBorder="1" applyAlignment="1">
      <alignment horizontal="center" vertical="center"/>
    </xf>
    <xf numFmtId="0" fontId="2" fillId="0" borderId="19" xfId="0" applyFont="1" applyBorder="1" applyAlignment="1">
      <alignment horizontal="center" vertical="center"/>
    </xf>
    <xf numFmtId="0" fontId="2" fillId="0" borderId="84" xfId="0" applyFont="1" applyBorder="1" applyAlignment="1">
      <alignment horizontal="center" vertical="center"/>
    </xf>
    <xf numFmtId="0" fontId="32" fillId="0" borderId="48" xfId="0" applyFont="1" applyBorder="1" applyAlignment="1">
      <alignment horizontal="center"/>
    </xf>
    <xf numFmtId="0" fontId="32" fillId="0" borderId="27" xfId="0" applyFont="1" applyBorder="1" applyAlignment="1">
      <alignment horizontal="center"/>
    </xf>
    <xf numFmtId="0" fontId="32" fillId="0" borderId="73" xfId="0" applyFont="1" applyBorder="1" applyAlignment="1">
      <alignment horizontal="center"/>
    </xf>
    <xf numFmtId="0" fontId="32" fillId="0" borderId="87" xfId="0" applyFont="1" applyBorder="1" applyAlignment="1">
      <alignment horizontal="center"/>
    </xf>
    <xf numFmtId="0" fontId="32" fillId="0" borderId="18" xfId="0" applyFont="1" applyBorder="1" applyAlignment="1">
      <alignment horizontal="center"/>
    </xf>
    <xf numFmtId="0" fontId="2" fillId="0" borderId="89" xfId="0" applyFont="1" applyBorder="1" applyAlignment="1">
      <alignment horizontal="center" vertical="center"/>
    </xf>
    <xf numFmtId="0" fontId="2" fillId="0" borderId="32" xfId="0" applyFont="1" applyBorder="1" applyAlignment="1">
      <alignment horizontal="center" vertical="center"/>
    </xf>
    <xf numFmtId="0" fontId="2" fillId="0" borderId="90" xfId="0" applyFont="1" applyBorder="1" applyAlignment="1">
      <alignment horizontal="center" vertical="center"/>
    </xf>
    <xf numFmtId="0" fontId="31" fillId="0" borderId="50" xfId="0" applyFont="1" applyBorder="1" applyAlignment="1">
      <alignment horizontal="center"/>
    </xf>
    <xf numFmtId="0" fontId="31" fillId="0" borderId="84" xfId="0" applyFont="1" applyBorder="1" applyAlignment="1">
      <alignment horizontal="center"/>
    </xf>
    <xf numFmtId="0" fontId="31" fillId="0" borderId="89" xfId="0" applyFont="1" applyBorder="1" applyAlignment="1">
      <alignment horizontal="center"/>
    </xf>
    <xf numFmtId="0" fontId="31" fillId="0" borderId="90" xfId="0" applyFont="1" applyBorder="1" applyAlignment="1">
      <alignment horizontal="center"/>
    </xf>
    <xf numFmtId="0" fontId="4" fillId="0" borderId="7" xfId="0" applyFont="1" applyBorder="1" applyAlignment="1">
      <alignment horizontal="center" vertical="center"/>
    </xf>
    <xf numFmtId="0" fontId="31" fillId="0" borderId="31" xfId="0" applyFont="1" applyBorder="1" applyAlignment="1">
      <alignment horizontal="center"/>
    </xf>
    <xf numFmtId="0" fontId="0" fillId="0" borderId="32" xfId="0" applyBorder="1" applyAlignment="1">
      <alignment horizontal="center" vertical="center"/>
    </xf>
    <xf numFmtId="0" fontId="0" fillId="0" borderId="90" xfId="0" applyBorder="1" applyAlignment="1">
      <alignment horizontal="center" vertical="center"/>
    </xf>
    <xf numFmtId="0" fontId="0" fillId="0" borderId="18" xfId="0" applyBorder="1" applyAlignment="1">
      <alignment horizontal="center"/>
    </xf>
    <xf numFmtId="0" fontId="0" fillId="0" borderId="83" xfId="0" applyBorder="1" applyAlignment="1">
      <alignment horizontal="center"/>
    </xf>
    <xf numFmtId="0" fontId="0" fillId="0" borderId="90" xfId="0" applyBorder="1" applyAlignment="1">
      <alignment horizontal="center"/>
    </xf>
    <xf numFmtId="0" fontId="2" fillId="0" borderId="117" xfId="0" applyFont="1" applyBorder="1" applyAlignment="1">
      <alignment horizontal="center" vertical="center"/>
    </xf>
    <xf numFmtId="0" fontId="0" fillId="0" borderId="46" xfId="0" applyBorder="1" applyAlignment="1">
      <alignment horizontal="center" vertical="center"/>
    </xf>
    <xf numFmtId="0" fontId="0" fillId="0" borderId="116" xfId="0" applyBorder="1" applyAlignment="1">
      <alignment horizontal="center" vertical="center"/>
    </xf>
    <xf numFmtId="0" fontId="33" fillId="0" borderId="7" xfId="0" applyFont="1" applyBorder="1" applyAlignment="1">
      <alignment horizontal="center"/>
    </xf>
    <xf numFmtId="0" fontId="33" fillId="0" borderId="9" xfId="0" applyFont="1" applyBorder="1" applyAlignment="1">
      <alignment horizontal="center"/>
    </xf>
    <xf numFmtId="0" fontId="32" fillId="0" borderId="38" xfId="0" applyFont="1" applyBorder="1" applyAlignment="1">
      <alignment horizontal="center"/>
    </xf>
    <xf numFmtId="0" fontId="32" fillId="0" borderId="83" xfId="0" applyFont="1" applyBorder="1" applyAlignment="1">
      <alignment horizontal="center"/>
    </xf>
    <xf numFmtId="0" fontId="33" fillId="0" borderId="94" xfId="0" applyFont="1" applyBorder="1" applyAlignment="1">
      <alignment horizontal="center"/>
    </xf>
    <xf numFmtId="0" fontId="33" fillId="0" borderId="75" xfId="0" applyFont="1" applyBorder="1" applyAlignment="1">
      <alignment horizontal="center"/>
    </xf>
    <xf numFmtId="0" fontId="33" fillId="0" borderId="92" xfId="0" applyFont="1" applyBorder="1" applyAlignment="1">
      <alignment horizontal="center"/>
    </xf>
    <xf numFmtId="0" fontId="33" fillId="0" borderId="95" xfId="0" applyFont="1" applyBorder="1" applyAlignment="1">
      <alignment horizontal="center"/>
    </xf>
    <xf numFmtId="0" fontId="31" fillId="0" borderId="35" xfId="0" applyFont="1" applyBorder="1" applyAlignment="1">
      <alignment horizontal="center"/>
    </xf>
    <xf numFmtId="0" fontId="31" fillId="0" borderId="57" xfId="0" applyFont="1" applyBorder="1" applyAlignment="1">
      <alignment horizontal="center"/>
    </xf>
    <xf numFmtId="0" fontId="31" fillId="0" borderId="96" xfId="0" applyFont="1" applyBorder="1" applyAlignment="1">
      <alignment horizontal="center"/>
    </xf>
    <xf numFmtId="0" fontId="0" fillId="0" borderId="57" xfId="0" applyBorder="1" applyAlignment="1">
      <alignment horizontal="center"/>
    </xf>
    <xf numFmtId="0" fontId="2" fillId="0" borderId="93" xfId="0" applyFont="1" applyBorder="1" applyAlignment="1">
      <alignment horizontal="center" vertical="center"/>
    </xf>
    <xf numFmtId="0" fontId="0" fillId="0" borderId="84" xfId="0" applyBorder="1" applyAlignment="1">
      <alignment horizontal="center" vertical="center"/>
    </xf>
    <xf numFmtId="0" fontId="2" fillId="0" borderId="54" xfId="0" applyFont="1" applyBorder="1" applyAlignment="1" applyProtection="1">
      <alignment horizontal="center" vertical="center"/>
      <protection locked="0"/>
    </xf>
    <xf numFmtId="0" fontId="2" fillId="0" borderId="52" xfId="0" applyFont="1" applyBorder="1" applyAlignment="1" applyProtection="1">
      <alignment horizontal="center" vertical="center"/>
      <protection locked="0"/>
    </xf>
    <xf numFmtId="0" fontId="38" fillId="0" borderId="0" xfId="0" applyFont="1" applyAlignment="1">
      <alignment horizontal="center" vertical="center"/>
    </xf>
    <xf numFmtId="0" fontId="38" fillId="0" borderId="11" xfId="0" applyFont="1" applyBorder="1" applyAlignment="1">
      <alignment horizontal="center" vertical="center"/>
    </xf>
    <xf numFmtId="0" fontId="38" fillId="0" borderId="10" xfId="0" applyFont="1" applyBorder="1" applyAlignment="1">
      <alignment horizontal="center" vertical="center"/>
    </xf>
    <xf numFmtId="0" fontId="38" fillId="0" borderId="26" xfId="0" applyFont="1" applyBorder="1" applyAlignment="1">
      <alignment horizontal="center" vertical="center"/>
    </xf>
    <xf numFmtId="2" fontId="28" fillId="0" borderId="0" xfId="4">
      <alignment horizontal="center" vertical="center"/>
    </xf>
    <xf numFmtId="0" fontId="28" fillId="0" borderId="0" xfId="0" applyFont="1" applyAlignment="1">
      <alignment vertical="center"/>
    </xf>
    <xf numFmtId="0" fontId="28" fillId="0" borderId="0" xfId="0" applyFont="1" applyAlignment="1">
      <alignment horizontal="center" vertical="center"/>
    </xf>
  </cellXfs>
  <cellStyles count="6">
    <cellStyle name="COMMENT" xfId="2" xr:uid="{7FD0A5F4-9DF8-43C3-A711-6DFA9BECE33C}"/>
    <cellStyle name="Normal" xfId="0" builtinId="0"/>
    <cellStyle name="Normal 2" xfId="4" xr:uid="{819F0F48-0966-4C84-B40E-6ECA3B069555}"/>
    <cellStyle name="Normal_GEN_FORM" xfId="3" xr:uid="{9D76CD42-7252-4674-9464-CF81E9C78DDB}"/>
    <cellStyle name="Percent" xfId="1" builtinId="5"/>
    <cellStyle name="SUBTITLE" xfId="5" xr:uid="{2E87C00A-7329-41C3-86FE-9CB78134F844}"/>
  </cellStyles>
  <dxfs count="119">
    <dxf>
      <fill>
        <patternFill patternType="mediumGray">
          <fgColor indexed="29"/>
          <bgColor indexed="10"/>
        </patternFill>
      </fill>
    </dxf>
    <dxf>
      <fill>
        <patternFill patternType="mediumGray">
          <fgColor indexed="42"/>
          <bgColor indexed="11"/>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29"/>
          <bgColor indexed="10"/>
        </patternFill>
      </fill>
    </dxf>
    <dxf>
      <fill>
        <patternFill patternType="mediumGray">
          <fgColor indexed="42"/>
          <bgColor indexed="1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mediumGray">
          <fgColor indexed="29"/>
          <bgColor indexed="10"/>
        </patternFill>
      </fill>
    </dxf>
    <dxf>
      <fill>
        <patternFill patternType="mediumGray">
          <fgColor indexed="42"/>
          <bgColor indexed="11"/>
        </patternFill>
      </fill>
    </dxf>
    <dxf>
      <font>
        <color rgb="FF9C0006"/>
      </font>
      <fill>
        <patternFill>
          <bgColor rgb="FFFFC7CE"/>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42"/>
          <bgColor indexed="11"/>
        </patternFill>
      </fill>
    </dxf>
    <dxf>
      <font>
        <color rgb="FF9C0006"/>
      </font>
      <fill>
        <patternFill>
          <bgColor rgb="FFFFC7CE"/>
        </patternFill>
      </fill>
    </dxf>
    <dxf>
      <font>
        <color rgb="FF006100"/>
      </font>
      <fill>
        <patternFill>
          <bgColor rgb="FFC6EFCE"/>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29"/>
          <bgColor indexed="1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29"/>
          <bgColor indexed="10"/>
        </patternFill>
      </fill>
    </dxf>
    <dxf>
      <font>
        <condense val="0"/>
        <extend val="0"/>
        <color auto="1"/>
      </font>
      <fill>
        <patternFill patternType="mediumGray">
          <fgColor indexed="42"/>
          <bgColor indexed="11"/>
        </patternFill>
      </fill>
    </dxf>
    <dxf>
      <fill>
        <patternFill patternType="mediumGray">
          <fgColor indexed="29"/>
          <bgColor indexed="10"/>
        </patternFill>
      </fill>
    </dxf>
    <dxf>
      <font>
        <condense val="0"/>
        <extend val="0"/>
        <color auto="1"/>
      </font>
      <fill>
        <patternFill patternType="mediumGray">
          <fgColor indexed="42"/>
          <bgColor indexed="11"/>
        </patternFill>
      </fill>
    </dxf>
    <dxf>
      <font>
        <color rgb="FF9C0006"/>
      </font>
      <fill>
        <patternFill>
          <bgColor rgb="FFFFC7CE"/>
        </patternFill>
      </fill>
    </dxf>
    <dxf>
      <fill>
        <patternFill patternType="mediumGray">
          <fgColor indexed="29"/>
          <bgColor indexed="10"/>
        </patternFill>
      </fill>
    </dxf>
    <dxf>
      <fill>
        <patternFill patternType="mediumGray">
          <fgColor indexed="42"/>
          <bgColor indexed="1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mediumGray">
          <fgColor indexed="42"/>
          <bgColor indexed="11"/>
        </patternFill>
      </fill>
    </dxf>
    <dxf>
      <fill>
        <patternFill patternType="mediumGray">
          <fgColor indexed="29"/>
          <bgColor indexed="10"/>
        </patternFill>
      </fill>
    </dxf>
    <dxf>
      <font>
        <color rgb="FF9C0006"/>
      </font>
      <fill>
        <patternFill>
          <bgColor rgb="FFFFC7CE"/>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29"/>
          <bgColor indexed="10"/>
        </patternFill>
      </fill>
    </dxf>
    <dxf>
      <font>
        <color rgb="FF9C0006"/>
      </font>
      <fill>
        <patternFill>
          <bgColor rgb="FFFFC7CE"/>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29"/>
          <bgColor indexed="10"/>
        </patternFill>
      </fill>
    </dxf>
    <dxf>
      <font>
        <color rgb="FF9C0006"/>
      </font>
      <fill>
        <patternFill>
          <bgColor rgb="FFFFC7CE"/>
        </patternFill>
      </fill>
    </dxf>
    <dxf>
      <font>
        <strike val="0"/>
        <u/>
        <color rgb="FF9C6500"/>
      </font>
      <fill>
        <patternFill>
          <bgColor rgb="FFFFEB9C"/>
        </patternFill>
      </fill>
    </dxf>
    <dxf>
      <font>
        <strike val="0"/>
        <u/>
      </font>
      <fill>
        <patternFill>
          <bgColor rgb="FFFFC7CE"/>
        </patternFill>
      </fill>
    </dxf>
    <dxf>
      <font>
        <strike val="0"/>
        <u/>
        <color rgb="FF9C6500"/>
      </font>
      <fill>
        <patternFill>
          <bgColor rgb="FFFFEB9C"/>
        </patternFill>
      </fill>
    </dxf>
    <dxf>
      <font>
        <strike val="0"/>
        <u/>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mediumGray">
          <fgColor indexed="29"/>
          <bgColor indexed="10"/>
        </patternFill>
      </fill>
    </dxf>
    <dxf>
      <fill>
        <patternFill patternType="mediumGray">
          <fgColor indexed="42"/>
          <bgColor indexed="1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mediumGray">
          <fgColor indexed="29"/>
          <bgColor indexed="10"/>
        </patternFill>
      </fill>
    </dxf>
    <dxf>
      <fill>
        <patternFill patternType="mediumGray">
          <fgColor indexed="42"/>
          <bgColor indexed="11"/>
        </patternFill>
      </fill>
    </dxf>
  </dxfs>
  <tableStyles count="0" defaultTableStyle="TableStyleMedium2" defaultPivotStyle="PivotStyleLight16"/>
  <colors>
    <mruColors>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Radiation Output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Sheet1!$L$466</c:f>
              <c:strCache>
                <c:ptCount val="1"/>
                <c:pt idx="0">
                  <c:v>Output - Frontal Plane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Sheet1!$M$512:$M$521</c:f>
              <c:numCache>
                <c:formatCode>0</c:formatCode>
                <c:ptCount val="10"/>
                <c:pt idx="0">
                  <c:v>50</c:v>
                </c:pt>
                <c:pt idx="1">
                  <c:v>60</c:v>
                </c:pt>
                <c:pt idx="2">
                  <c:v>70</c:v>
                </c:pt>
                <c:pt idx="3">
                  <c:v>80</c:v>
                </c:pt>
                <c:pt idx="4">
                  <c:v>90</c:v>
                </c:pt>
                <c:pt idx="5">
                  <c:v>100</c:v>
                </c:pt>
                <c:pt idx="6">
                  <c:v>110</c:v>
                </c:pt>
                <c:pt idx="7">
                  <c:v>120</c:v>
                </c:pt>
                <c:pt idx="8">
                  <c:v>130</c:v>
                </c:pt>
                <c:pt idx="9">
                  <c:v>140</c:v>
                </c:pt>
              </c:numCache>
            </c:numRef>
          </c:xVal>
          <c:yVal>
            <c:numRef>
              <c:f>Sheet1!$N$512:$N$521</c:f>
              <c:numCache>
                <c:formatCode>0.00</c:formatCode>
                <c:ptCount val="10"/>
                <c:pt idx="0">
                  <c:v>0</c:v>
                </c:pt>
                <c:pt idx="1">
                  <c:v>0</c:v>
                </c:pt>
                <c:pt idx="2">
                  <c:v>0</c:v>
                </c:pt>
                <c:pt idx="3">
                  <c:v>0</c:v>
                </c:pt>
                <c:pt idx="4">
                  <c:v>0</c:v>
                </c:pt>
                <c:pt idx="5">
                  <c:v>0</c:v>
                </c:pt>
                <c:pt idx="6">
                  <c:v>0</c:v>
                </c:pt>
                <c:pt idx="7">
                  <c:v>0</c:v>
                </c:pt>
                <c:pt idx="8">
                  <c:v>0</c:v>
                </c:pt>
                <c:pt idx="9">
                  <c:v>0</c:v>
                </c:pt>
              </c:numCache>
            </c:numRef>
          </c:yVal>
          <c:smooth val="1"/>
          <c:extLst>
            <c:ext xmlns:c16="http://schemas.microsoft.com/office/drawing/2014/chart" uri="{C3380CC4-5D6E-409C-BE32-E72D297353CC}">
              <c16:uniqueId val="{00000001-C5D4-4C84-8C0A-94EFCB7FC2E6}"/>
            </c:ext>
          </c:extLst>
        </c:ser>
        <c:ser>
          <c:idx val="1"/>
          <c:order val="1"/>
          <c:tx>
            <c:strRef>
              <c:f>Sheet1!$L$486</c:f>
              <c:strCache>
                <c:ptCount val="1"/>
                <c:pt idx="0">
                  <c:v>Output - Lateral Plane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Sheet1!$P$512:$P$521</c:f>
              <c:numCache>
                <c:formatCode>General</c:formatCode>
                <c:ptCount val="10"/>
                <c:pt idx="0">
                  <c:v>50</c:v>
                </c:pt>
                <c:pt idx="1">
                  <c:v>60</c:v>
                </c:pt>
                <c:pt idx="2">
                  <c:v>70</c:v>
                </c:pt>
                <c:pt idx="3">
                  <c:v>80</c:v>
                </c:pt>
                <c:pt idx="4">
                  <c:v>90</c:v>
                </c:pt>
                <c:pt idx="5">
                  <c:v>100</c:v>
                </c:pt>
                <c:pt idx="6">
                  <c:v>110</c:v>
                </c:pt>
                <c:pt idx="7">
                  <c:v>120</c:v>
                </c:pt>
                <c:pt idx="8">
                  <c:v>130</c:v>
                </c:pt>
                <c:pt idx="9">
                  <c:v>140</c:v>
                </c:pt>
              </c:numCache>
            </c:numRef>
          </c:xVal>
          <c:yVal>
            <c:numRef>
              <c:f>Sheet1!$Q$512:$Q$521</c:f>
              <c:numCache>
                <c:formatCode>0.00</c:formatCode>
                <c:ptCount val="10"/>
                <c:pt idx="0">
                  <c:v>0</c:v>
                </c:pt>
                <c:pt idx="1">
                  <c:v>0</c:v>
                </c:pt>
                <c:pt idx="2">
                  <c:v>0</c:v>
                </c:pt>
                <c:pt idx="3">
                  <c:v>0</c:v>
                </c:pt>
                <c:pt idx="4">
                  <c:v>0</c:v>
                </c:pt>
                <c:pt idx="5">
                  <c:v>0</c:v>
                </c:pt>
                <c:pt idx="6">
                  <c:v>0</c:v>
                </c:pt>
                <c:pt idx="7">
                  <c:v>0</c:v>
                </c:pt>
                <c:pt idx="8">
                  <c:v>0</c:v>
                </c:pt>
                <c:pt idx="9">
                  <c:v>0</c:v>
                </c:pt>
              </c:numCache>
            </c:numRef>
          </c:yVal>
          <c:smooth val="1"/>
          <c:extLst>
            <c:ext xmlns:c16="http://schemas.microsoft.com/office/drawing/2014/chart" uri="{C3380CC4-5D6E-409C-BE32-E72D297353CC}">
              <c16:uniqueId val="{00000002-C5D4-4C84-8C0A-94EFCB7FC2E6}"/>
            </c:ext>
          </c:extLst>
        </c:ser>
        <c:dLbls>
          <c:showLegendKey val="0"/>
          <c:showVal val="0"/>
          <c:showCatName val="0"/>
          <c:showSerName val="0"/>
          <c:showPercent val="0"/>
          <c:showBubbleSize val="0"/>
        </c:dLbls>
        <c:axId val="863442719"/>
        <c:axId val="863443199"/>
      </c:scatterChart>
      <c:valAx>
        <c:axId val="863442719"/>
        <c:scaling>
          <c:orientation val="minMax"/>
          <c:max val="140"/>
          <c:min val="5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kVp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443199"/>
        <c:crosses val="autoZero"/>
        <c:crossBetween val="midCat"/>
      </c:valAx>
      <c:valAx>
        <c:axId val="86344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uGy/mA @ 100 cm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442719"/>
        <c:crosses val="autoZero"/>
        <c:crossBetween val="midCat"/>
      </c:valAx>
      <c:spPr>
        <a:noFill/>
        <a:ln>
          <a:noFill/>
        </a:ln>
        <a:effectLst/>
      </c:spPr>
    </c:plotArea>
    <c:legend>
      <c:legendPos val="tr"/>
      <c:layout>
        <c:manualLayout>
          <c:xMode val="edge"/>
          <c:yMode val="edge"/>
          <c:x val="0.1080426969915424"/>
          <c:y val="0.10892370800881934"/>
          <c:w val="0.22882228646838504"/>
          <c:h val="9.1856113775845447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275271</xdr:colOff>
      <xdr:row>264</xdr:row>
      <xdr:rowOff>84772</xdr:rowOff>
    </xdr:from>
    <xdr:to>
      <xdr:col>9</xdr:col>
      <xdr:colOff>666749</xdr:colOff>
      <xdr:row>291</xdr:row>
      <xdr:rowOff>19050</xdr:rowOff>
    </xdr:to>
    <xdr:graphicFrame macro="">
      <xdr:nvGraphicFramePr>
        <xdr:cNvPr id="3" name="Chart 2">
          <a:extLst>
            <a:ext uri="{FF2B5EF4-FFF2-40B4-BE49-F238E27FC236}">
              <a16:creationId xmlns:a16="http://schemas.microsoft.com/office/drawing/2014/main" id="{F4B460AA-A29F-9517-A1E7-C201848D9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E5FE9-0025-4DFC-B881-643D4027A156}">
  <dimension ref="A1:AD588"/>
  <sheetViews>
    <sheetView tabSelected="1" topLeftCell="A514" workbookViewId="0">
      <selection activeCell="M344" sqref="M344"/>
    </sheetView>
  </sheetViews>
  <sheetFormatPr defaultRowHeight="13.95" customHeight="1"/>
  <cols>
    <col min="1" max="1" width="4" style="2" customWidth="1"/>
    <col min="2" max="10" width="9.6640625" customWidth="1"/>
    <col min="11" max="11" width="1.6640625" customWidth="1"/>
    <col min="12" max="22" width="9.6640625" customWidth="1"/>
    <col min="23" max="23" width="1.6640625" customWidth="1"/>
    <col min="29" max="29" width="8.88671875" style="403"/>
    <col min="30" max="30" width="8.88671875" style="422"/>
  </cols>
  <sheetData>
    <row r="1" spans="1:30" ht="13.95" customHeight="1" thickTop="1">
      <c r="A1" s="1">
        <v>1</v>
      </c>
      <c r="B1" s="8"/>
      <c r="C1" s="9"/>
      <c r="D1" s="9"/>
      <c r="E1" s="9"/>
      <c r="F1" s="9"/>
      <c r="G1" s="9"/>
      <c r="H1" s="9"/>
      <c r="I1" s="9"/>
      <c r="J1" s="10"/>
      <c r="L1" s="17" t="s">
        <v>759</v>
      </c>
      <c r="M1" s="3"/>
      <c r="N1" s="3"/>
      <c r="O1" s="3"/>
      <c r="P1" s="3"/>
      <c r="Q1" s="3"/>
      <c r="R1" s="3"/>
      <c r="T1" s="18"/>
      <c r="U1" s="18"/>
      <c r="V1" s="19"/>
      <c r="X1" s="72" t="s">
        <v>45</v>
      </c>
      <c r="Y1" s="2"/>
    </row>
    <row r="2" spans="1:30" ht="13.95" customHeight="1">
      <c r="A2" s="1">
        <v>2</v>
      </c>
      <c r="B2" s="11"/>
      <c r="F2" s="5" t="s">
        <v>0</v>
      </c>
      <c r="J2" s="12"/>
      <c r="L2" s="20"/>
      <c r="M2" s="4"/>
      <c r="N2" s="4"/>
      <c r="O2" s="4"/>
      <c r="P2" s="21" t="str">
        <f>$F$2</f>
        <v>Medical University of South Carolina</v>
      </c>
      <c r="Q2" s="2"/>
      <c r="R2" s="4"/>
      <c r="T2" s="22"/>
      <c r="U2" s="23"/>
      <c r="V2" s="24"/>
      <c r="X2" s="73" t="s">
        <v>760</v>
      </c>
      <c r="Y2" s="2"/>
    </row>
    <row r="3" spans="1:30" ht="13.95" customHeight="1">
      <c r="A3" s="1">
        <v>3</v>
      </c>
      <c r="B3" s="11"/>
      <c r="F3" s="5" t="s">
        <v>1</v>
      </c>
      <c r="J3" s="12"/>
      <c r="L3" s="20"/>
      <c r="M3" s="4"/>
      <c r="N3" s="4"/>
      <c r="O3" s="4"/>
      <c r="P3" s="5" t="str">
        <f>$F$3</f>
        <v>Charleston, South Carolina</v>
      </c>
      <c r="Q3" s="2"/>
      <c r="R3" s="4"/>
      <c r="T3" s="22"/>
      <c r="U3" s="23"/>
      <c r="V3" s="24"/>
      <c r="X3" s="28" t="s">
        <v>46</v>
      </c>
      <c r="Y3" s="46" t="s">
        <v>761</v>
      </c>
    </row>
    <row r="4" spans="1:30" ht="13.95" customHeight="1">
      <c r="A4" s="1">
        <v>4</v>
      </c>
      <c r="B4" s="11"/>
      <c r="F4" s="2"/>
      <c r="J4" s="12"/>
      <c r="L4" s="20"/>
      <c r="M4" s="2"/>
      <c r="N4" s="2"/>
      <c r="O4" s="2"/>
      <c r="P4" s="2"/>
      <c r="Q4" s="2"/>
      <c r="R4" s="2"/>
      <c r="T4" s="22"/>
      <c r="U4" s="23"/>
      <c r="V4" s="24"/>
      <c r="Z4" s="74" t="s">
        <v>47</v>
      </c>
      <c r="AA4" s="75" t="s">
        <v>48</v>
      </c>
      <c r="AB4" s="42"/>
      <c r="AC4" s="42"/>
      <c r="AD4" s="76"/>
    </row>
    <row r="5" spans="1:30" ht="13.95" customHeight="1">
      <c r="A5" s="1">
        <v>5</v>
      </c>
      <c r="B5" s="11"/>
      <c r="F5" s="13" t="s">
        <v>2</v>
      </c>
      <c r="J5" s="12"/>
      <c r="L5" s="20"/>
      <c r="M5" s="2"/>
      <c r="N5" s="2"/>
      <c r="O5" s="6" t="str">
        <f>$F$5</f>
        <v>EOS Imaging System Compliance Inspection</v>
      </c>
      <c r="P5" s="2"/>
      <c r="Q5" s="2"/>
      <c r="R5" s="2"/>
      <c r="T5" s="22"/>
      <c r="U5" s="23"/>
      <c r="V5" s="24"/>
      <c r="Z5" s="2"/>
      <c r="AA5" s="75" t="s">
        <v>49</v>
      </c>
      <c r="AB5" s="2"/>
      <c r="AC5" s="2"/>
      <c r="AD5" s="76"/>
    </row>
    <row r="6" spans="1:30" ht="13.95" customHeight="1" thickBot="1">
      <c r="A6" s="1">
        <v>6</v>
      </c>
      <c r="B6" s="14"/>
      <c r="C6" s="15"/>
      <c r="D6" s="15"/>
      <c r="E6" s="15"/>
      <c r="F6" s="15"/>
      <c r="G6" s="15"/>
      <c r="H6" s="15"/>
      <c r="I6" s="15"/>
      <c r="J6" s="16"/>
      <c r="L6" s="25"/>
      <c r="M6" s="7"/>
      <c r="N6" s="7"/>
      <c r="O6" s="7"/>
      <c r="P6" s="7"/>
      <c r="Q6" s="7"/>
      <c r="R6" s="7"/>
      <c r="S6" s="26"/>
      <c r="T6" s="26"/>
      <c r="U6" s="26"/>
      <c r="V6" s="27"/>
      <c r="Z6" s="2"/>
      <c r="AA6" s="77" t="s">
        <v>50</v>
      </c>
      <c r="AB6" s="78" t="s">
        <v>51</v>
      </c>
      <c r="AC6" s="55" t="s">
        <v>52</v>
      </c>
      <c r="AD6" s="76"/>
    </row>
    <row r="7" spans="1:30" ht="13.95" customHeight="1" thickBot="1">
      <c r="A7" s="1">
        <v>7</v>
      </c>
      <c r="L7" s="4"/>
      <c r="M7" s="2"/>
      <c r="N7" s="2"/>
      <c r="O7" s="2"/>
      <c r="P7" s="2"/>
      <c r="Q7" s="2"/>
      <c r="R7" s="2"/>
      <c r="S7" s="28"/>
      <c r="T7" s="4"/>
      <c r="U7" s="4"/>
      <c r="V7" s="4"/>
      <c r="Z7" s="79" t="s">
        <v>53</v>
      </c>
      <c r="AA7" s="80" t="s">
        <v>54</v>
      </c>
      <c r="AB7" s="2"/>
      <c r="AC7" s="81" t="s">
        <v>54</v>
      </c>
      <c r="AD7" s="76" t="s">
        <v>55</v>
      </c>
    </row>
    <row r="8" spans="1:30" ht="13.95" customHeight="1">
      <c r="A8" s="1">
        <v>8</v>
      </c>
      <c r="F8" s="6" t="s">
        <v>7</v>
      </c>
      <c r="L8" s="4"/>
      <c r="M8" s="28" t="s">
        <v>3</v>
      </c>
      <c r="N8" s="29"/>
      <c r="O8" s="2"/>
      <c r="P8" s="2"/>
      <c r="Q8" s="6" t="str">
        <f>$F$8</f>
        <v>System Information</v>
      </c>
      <c r="R8" s="2"/>
      <c r="S8" s="2"/>
      <c r="T8" s="28" t="s">
        <v>4</v>
      </c>
      <c r="U8" s="30" t="s">
        <v>5</v>
      </c>
      <c r="V8" s="4"/>
      <c r="Z8" s="43" t="s">
        <v>56</v>
      </c>
      <c r="AA8" s="57"/>
      <c r="AB8" s="82" t="str">
        <f>IF(AND(OR(AA8="",AA8=0),OR(AC8="",AC8=0)),"",IF(AA8&lt;&gt;AC8,"Change",""))</f>
        <v>Change</v>
      </c>
      <c r="AC8" s="404" t="str">
        <f>IF(X2="","",X2)</f>
        <v>FIRST,EXP,BLD,KV_REPRO,LIN_HVL,AEC_KAP,LAST</v>
      </c>
      <c r="AD8" s="76" t="s">
        <v>60</v>
      </c>
    </row>
    <row r="9" spans="1:30" ht="13.95" customHeight="1" thickBot="1">
      <c r="A9" s="1">
        <v>9</v>
      </c>
      <c r="L9" s="4"/>
      <c r="M9" s="31" t="s">
        <v>6</v>
      </c>
      <c r="N9" s="32" t="str">
        <f>IF(OR(AA9=0,AA9=""),"",AA9)</f>
        <v/>
      </c>
      <c r="O9" s="4"/>
      <c r="P9" s="4"/>
      <c r="Q9" s="4"/>
      <c r="R9" s="4"/>
      <c r="S9" s="4"/>
      <c r="T9" s="33" t="s">
        <v>6</v>
      </c>
      <c r="U9" s="34" t="str">
        <f>IF(OR(AA10=0,AA10=""),"",AA10)</f>
        <v/>
      </c>
      <c r="V9" s="4"/>
      <c r="Z9" s="43" t="s">
        <v>3</v>
      </c>
      <c r="AA9" s="32"/>
      <c r="AB9" s="82" t="str">
        <f t="shared" ref="AB9:AB65" si="0">IF(AND(OR(AA9="",AA9=0),OR(AC9="",AC9=0)),"",IF(AA9&lt;&gt;AC9,"Change",""))</f>
        <v/>
      </c>
      <c r="AC9" s="405" t="str">
        <f>IF(N8="","",N8)</f>
        <v/>
      </c>
      <c r="AD9" s="76" t="s">
        <v>61</v>
      </c>
    </row>
    <row r="10" spans="1:30" ht="13.95" customHeight="1" thickTop="1">
      <c r="A10" s="1">
        <v>10</v>
      </c>
      <c r="B10" s="35"/>
      <c r="C10" s="36" t="s">
        <v>8</v>
      </c>
      <c r="D10" s="86"/>
      <c r="E10" s="86"/>
      <c r="F10" s="86"/>
      <c r="G10" s="86"/>
      <c r="H10" s="37"/>
      <c r="I10" s="37"/>
      <c r="J10" s="40"/>
      <c r="L10" s="35"/>
      <c r="M10" s="36" t="s">
        <v>8</v>
      </c>
      <c r="N10" s="37"/>
      <c r="O10" s="37"/>
      <c r="P10" s="38" t="s">
        <v>9</v>
      </c>
      <c r="Q10" s="39"/>
      <c r="R10" s="37"/>
      <c r="S10" s="37"/>
      <c r="T10" s="38" t="s">
        <v>9</v>
      </c>
      <c r="U10" s="39"/>
      <c r="V10" s="40"/>
      <c r="Z10" s="43" t="s">
        <v>4</v>
      </c>
      <c r="AA10" s="57"/>
      <c r="AB10" s="82" t="str">
        <f t="shared" si="0"/>
        <v>Change</v>
      </c>
      <c r="AC10" s="404" t="str">
        <f>IF(U8="","",U8)</f>
        <v>Eugene Mah</v>
      </c>
      <c r="AD10" s="76" t="s">
        <v>62</v>
      </c>
    </row>
    <row r="11" spans="1:30" ht="13.95" customHeight="1">
      <c r="A11" s="1">
        <v>11</v>
      </c>
      <c r="B11" s="41"/>
      <c r="C11" s="2"/>
      <c r="D11" s="43" t="s">
        <v>10</v>
      </c>
      <c r="E11" s="88" t="str">
        <f>IF(O11="","",O11)</f>
        <v/>
      </c>
      <c r="F11" s="87"/>
      <c r="G11" s="42"/>
      <c r="H11" s="43" t="s">
        <v>106</v>
      </c>
      <c r="I11" s="88" t="str">
        <f>IF(S11="","",S11)</f>
        <v/>
      </c>
      <c r="J11" s="97"/>
      <c r="L11" s="41"/>
      <c r="M11" s="42"/>
      <c r="N11" s="43" t="s">
        <v>10</v>
      </c>
      <c r="O11" s="44" t="str">
        <f>IF(P11&lt;&gt;"",P11,IF(OR(AA11=0,AA11=""),"",AA11))</f>
        <v/>
      </c>
      <c r="P11" s="45"/>
      <c r="Q11" s="46"/>
      <c r="R11" s="43" t="s">
        <v>11</v>
      </c>
      <c r="S11" s="44" t="str">
        <f>IF(T11&lt;&gt;"",T11,IF(OR(AA48=0,AA48=""),"",AA48))</f>
        <v/>
      </c>
      <c r="T11" s="47"/>
      <c r="U11" s="46"/>
      <c r="V11" s="48"/>
      <c r="Z11" s="43" t="str">
        <f>IF(N11="","",N11)</f>
        <v>Facility:</v>
      </c>
      <c r="AA11" s="57"/>
      <c r="AB11" s="82" t="str">
        <f t="shared" si="0"/>
        <v/>
      </c>
      <c r="AC11" s="83" t="str">
        <f t="shared" ref="AC11:AC25" si="1">IF(O11="","",O11)</f>
        <v/>
      </c>
      <c r="AD11" s="76" t="s">
        <v>63</v>
      </c>
    </row>
    <row r="12" spans="1:30" ht="13.95" customHeight="1">
      <c r="A12" s="1">
        <v>12</v>
      </c>
      <c r="B12" s="41"/>
      <c r="C12" s="2"/>
      <c r="D12" s="43" t="s">
        <v>12</v>
      </c>
      <c r="E12" s="88" t="str">
        <f t="shared" ref="E12:E14" si="2">IF(O12="","",O12)</f>
        <v/>
      </c>
      <c r="F12" s="87"/>
      <c r="G12" s="2"/>
      <c r="H12" s="43" t="s">
        <v>13</v>
      </c>
      <c r="I12" s="88" t="str">
        <f t="shared" ref="I12:I14" si="3">IF(S12="","",S12)</f>
        <v/>
      </c>
      <c r="J12" s="104"/>
      <c r="L12" s="41"/>
      <c r="M12" s="42"/>
      <c r="N12" s="43" t="s">
        <v>12</v>
      </c>
      <c r="O12" s="44" t="str">
        <f>IF(P12&lt;&gt;"",P12,IF(OR(AA12=0,AA12=""),"",AA12))</f>
        <v/>
      </c>
      <c r="P12" s="49"/>
      <c r="Q12" s="42"/>
      <c r="R12" s="43" t="s">
        <v>13</v>
      </c>
      <c r="S12" s="44" t="str">
        <f>IF(T12&lt;&gt;"",T12,IF(OR(AA49=0,AA49=""),"",AA49))</f>
        <v/>
      </c>
      <c r="T12" s="50"/>
      <c r="U12" s="42"/>
      <c r="V12" s="48"/>
      <c r="Z12" s="43" t="str">
        <f t="shared" ref="Z12:Z43" si="4">IF(N12="","",N12)</f>
        <v>Department:</v>
      </c>
      <c r="AA12" s="57"/>
      <c r="AB12" s="82" t="str">
        <f t="shared" si="0"/>
        <v/>
      </c>
      <c r="AC12" s="83" t="str">
        <f t="shared" si="1"/>
        <v/>
      </c>
      <c r="AD12" s="76" t="s">
        <v>64</v>
      </c>
    </row>
    <row r="13" spans="1:30" ht="13.95" customHeight="1">
      <c r="A13" s="1">
        <v>13</v>
      </c>
      <c r="B13" s="41"/>
      <c r="C13" s="2"/>
      <c r="D13" s="43" t="s">
        <v>14</v>
      </c>
      <c r="E13" s="88" t="str">
        <f t="shared" si="2"/>
        <v/>
      </c>
      <c r="F13" s="87"/>
      <c r="G13" s="42"/>
      <c r="H13" s="43" t="s">
        <v>15</v>
      </c>
      <c r="I13" s="88" t="str">
        <f t="shared" si="3"/>
        <v/>
      </c>
      <c r="J13" s="48"/>
      <c r="L13" s="41"/>
      <c r="M13" s="42"/>
      <c r="N13" s="43" t="s">
        <v>14</v>
      </c>
      <c r="O13" s="44" t="str">
        <f>IF(P13&lt;&gt;"",P13,IF(OR(AA13=0,AA13=""),"",AA13))</f>
        <v/>
      </c>
      <c r="P13" s="50"/>
      <c r="Q13" s="42"/>
      <c r="R13" s="43" t="s">
        <v>15</v>
      </c>
      <c r="S13" s="84" t="str">
        <f>IF(T13&lt;&gt;"",T13,IF(OR(AA50=0,AA50=""),"",AA50))</f>
        <v/>
      </c>
      <c r="T13" s="268"/>
      <c r="U13" s="42"/>
      <c r="V13" s="48"/>
      <c r="Z13" s="43" t="str">
        <f t="shared" si="4"/>
        <v>Area/Division:</v>
      </c>
      <c r="AA13" s="57"/>
      <c r="AB13" s="82" t="str">
        <f t="shared" si="0"/>
        <v/>
      </c>
      <c r="AC13" s="83" t="str">
        <f t="shared" si="1"/>
        <v/>
      </c>
      <c r="AD13" s="76" t="s">
        <v>65</v>
      </c>
    </row>
    <row r="14" spans="1:30" ht="13.95" customHeight="1">
      <c r="A14" s="1">
        <v>14</v>
      </c>
      <c r="B14" s="41"/>
      <c r="C14" s="42"/>
      <c r="D14" s="43" t="s">
        <v>16</v>
      </c>
      <c r="E14" s="87" t="str">
        <f t="shared" si="2"/>
        <v/>
      </c>
      <c r="F14" s="2"/>
      <c r="G14" s="2"/>
      <c r="H14" s="43" t="s">
        <v>17</v>
      </c>
      <c r="I14" s="87">
        <f t="shared" si="3"/>
        <v>2</v>
      </c>
      <c r="J14" s="48"/>
      <c r="L14" s="41"/>
      <c r="M14" s="42"/>
      <c r="N14" s="43" t="s">
        <v>16</v>
      </c>
      <c r="O14" s="44" t="str">
        <f>IF(P14&lt;&gt;"",P14,IF(OR(AA14=0,AA14=""),"",AA14))</f>
        <v/>
      </c>
      <c r="P14" s="49"/>
      <c r="Q14" s="42"/>
      <c r="R14" s="43" t="s">
        <v>17</v>
      </c>
      <c r="S14" s="52">
        <f>IF(T14&lt;&gt;"",T14,IF(OR(AA51=0,AA51=""),"",AA51))</f>
        <v>2</v>
      </c>
      <c r="T14" s="53">
        <v>2</v>
      </c>
      <c r="U14" s="42"/>
      <c r="V14" s="48"/>
      <c r="Z14" s="43" t="str">
        <f t="shared" si="4"/>
        <v>Survey ID:</v>
      </c>
      <c r="AA14" s="57"/>
      <c r="AB14" s="82" t="str">
        <f t="shared" si="0"/>
        <v/>
      </c>
      <c r="AC14" s="83" t="str">
        <f t="shared" si="1"/>
        <v/>
      </c>
      <c r="AD14" s="76" t="s">
        <v>66</v>
      </c>
    </row>
    <row r="15" spans="1:30" ht="13.95" customHeight="1">
      <c r="A15" s="1">
        <v>15</v>
      </c>
      <c r="B15" s="41"/>
      <c r="C15" s="42"/>
      <c r="D15" s="43"/>
      <c r="E15" s="46"/>
      <c r="F15" s="42"/>
      <c r="G15" s="2"/>
      <c r="H15" s="2"/>
      <c r="I15" s="2"/>
      <c r="J15" s="48"/>
      <c r="L15" s="41"/>
      <c r="M15" s="42"/>
      <c r="N15" s="43" t="s">
        <v>18</v>
      </c>
      <c r="O15" s="44" t="str">
        <f>IF(P15&lt;&gt;"",P15,IF(OR(AA15=0,AA15=""),"",AA15))</f>
        <v/>
      </c>
      <c r="P15" s="50"/>
      <c r="Q15" s="42"/>
      <c r="R15" s="43" t="s">
        <v>19</v>
      </c>
      <c r="S15" s="52" t="str">
        <f>IF(T15&lt;&gt;"",T15,IF(OR(AA52=0,AA52=""),"",AA52))</f>
        <v/>
      </c>
      <c r="T15" s="53"/>
      <c r="U15" s="46"/>
      <c r="V15" s="48"/>
      <c r="Z15" s="43" t="str">
        <f t="shared" si="4"/>
        <v>Room Number:</v>
      </c>
      <c r="AA15" s="57"/>
      <c r="AB15" s="82" t="str">
        <f t="shared" si="0"/>
        <v/>
      </c>
      <c r="AC15" s="83" t="str">
        <f t="shared" si="1"/>
        <v/>
      </c>
      <c r="AD15" s="76" t="s">
        <v>67</v>
      </c>
    </row>
    <row r="16" spans="1:30" ht="13.95" customHeight="1">
      <c r="A16" s="1">
        <v>16</v>
      </c>
      <c r="B16" s="90"/>
      <c r="C16" s="91"/>
      <c r="D16" s="92"/>
      <c r="E16" s="92"/>
      <c r="F16" s="92"/>
      <c r="G16" s="92"/>
      <c r="H16" s="91"/>
      <c r="I16" s="93"/>
      <c r="J16" s="94"/>
      <c r="L16" s="41"/>
      <c r="M16" s="42"/>
      <c r="N16" s="42"/>
      <c r="O16" s="42"/>
      <c r="P16" s="42"/>
      <c r="Q16" s="42"/>
      <c r="R16" s="42"/>
      <c r="S16" s="42"/>
      <c r="T16" s="42"/>
      <c r="U16" s="42"/>
      <c r="V16" s="48"/>
      <c r="Z16" s="43" t="str">
        <f t="shared" si="4"/>
        <v/>
      </c>
      <c r="AA16" s="43"/>
      <c r="AB16" s="82" t="str">
        <f t="shared" si="0"/>
        <v/>
      </c>
      <c r="AC16" s="42"/>
      <c r="AD16" s="76"/>
    </row>
    <row r="17" spans="1:30" ht="13.95" customHeight="1">
      <c r="A17" s="1">
        <v>17</v>
      </c>
      <c r="B17" s="41"/>
      <c r="C17" s="54" t="s">
        <v>20</v>
      </c>
      <c r="D17" s="55"/>
      <c r="E17" s="2"/>
      <c r="F17" s="2"/>
      <c r="G17" s="2"/>
      <c r="H17" s="42"/>
      <c r="I17" s="43"/>
      <c r="J17" s="89"/>
      <c r="L17" s="41"/>
      <c r="M17" s="54" t="s">
        <v>20</v>
      </c>
      <c r="N17" s="55"/>
      <c r="O17" s="42"/>
      <c r="P17" s="42"/>
      <c r="Q17" s="42"/>
      <c r="R17" s="42"/>
      <c r="S17" s="42"/>
      <c r="T17" s="42"/>
      <c r="U17" s="42"/>
      <c r="V17" s="48"/>
      <c r="Z17" s="79" t="s">
        <v>20</v>
      </c>
      <c r="AA17" s="43"/>
      <c r="AB17" s="82" t="str">
        <f t="shared" si="0"/>
        <v/>
      </c>
      <c r="AC17" s="42"/>
      <c r="AD17" s="76"/>
    </row>
    <row r="18" spans="1:30" ht="13.95" customHeight="1">
      <c r="A18" s="1">
        <v>18</v>
      </c>
      <c r="B18" s="41"/>
      <c r="C18" s="42"/>
      <c r="D18" s="43" t="s">
        <v>21</v>
      </c>
      <c r="E18" s="88" t="str">
        <f t="shared" ref="E18:E21" si="5">IF(O18="","",O18)</f>
        <v/>
      </c>
      <c r="F18" s="42"/>
      <c r="G18" s="2"/>
      <c r="H18" s="43" t="s">
        <v>22</v>
      </c>
      <c r="I18" s="735" t="str">
        <f>IF(S18="","",S18)</f>
        <v/>
      </c>
      <c r="J18" s="89"/>
      <c r="L18" s="41"/>
      <c r="M18" s="42"/>
      <c r="N18" s="43" t="s">
        <v>21</v>
      </c>
      <c r="O18" s="44" t="str">
        <f>IF(P18&lt;&gt;"",P18,IF(OR(AA18=0,AA18=""),"",AA18))</f>
        <v/>
      </c>
      <c r="P18" s="56"/>
      <c r="Q18" s="42"/>
      <c r="R18" s="43" t="s">
        <v>22</v>
      </c>
      <c r="S18" s="84" t="str">
        <f>IF(T18&lt;&gt;"",T18,IF(OR(AA54=0,AA54=""),"",AA54))</f>
        <v/>
      </c>
      <c r="T18" s="269"/>
      <c r="U18" s="42"/>
      <c r="V18" s="48"/>
      <c r="Z18" s="43" t="str">
        <f t="shared" si="4"/>
        <v>Manufacturer:</v>
      </c>
      <c r="AA18" s="57"/>
      <c r="AB18" s="82" t="str">
        <f t="shared" si="0"/>
        <v/>
      </c>
      <c r="AC18" s="83" t="str">
        <f t="shared" si="1"/>
        <v/>
      </c>
      <c r="AD18" s="76" t="s">
        <v>68</v>
      </c>
    </row>
    <row r="19" spans="1:30" ht="13.95" customHeight="1">
      <c r="A19" s="1">
        <v>19</v>
      </c>
      <c r="B19" s="41"/>
      <c r="C19" s="42"/>
      <c r="D19" s="43" t="s">
        <v>23</v>
      </c>
      <c r="E19" s="88" t="str">
        <f t="shared" si="5"/>
        <v/>
      </c>
      <c r="F19" s="42"/>
      <c r="G19" s="2"/>
      <c r="H19" s="43" t="s">
        <v>24</v>
      </c>
      <c r="I19" s="88" t="str">
        <f t="shared" ref="I19:I20" si="6">IF(S19="","",S19)</f>
        <v/>
      </c>
      <c r="J19" s="105"/>
      <c r="L19" s="41"/>
      <c r="M19" s="42"/>
      <c r="N19" s="43" t="s">
        <v>23</v>
      </c>
      <c r="O19" s="44" t="str">
        <f>IF(P19&lt;&gt;"",P19,IF(OR(AA19=0,AA19=""),"",AA19))</f>
        <v/>
      </c>
      <c r="P19" s="50"/>
      <c r="Q19" s="42"/>
      <c r="R19" s="43" t="s">
        <v>24</v>
      </c>
      <c r="S19" s="57" t="str">
        <f>IF(T19&lt;&gt;"",T19,IF(OR(AA55=0,AA55=""),"",AA55))</f>
        <v/>
      </c>
      <c r="T19" s="58"/>
      <c r="U19" s="42"/>
      <c r="V19" s="48"/>
      <c r="Z19" s="43" t="str">
        <f t="shared" si="4"/>
        <v>Model:</v>
      </c>
      <c r="AA19" s="57"/>
      <c r="AB19" s="82" t="str">
        <f t="shared" si="0"/>
        <v/>
      </c>
      <c r="AC19" s="83" t="str">
        <f t="shared" si="1"/>
        <v/>
      </c>
      <c r="AD19" s="76" t="s">
        <v>69</v>
      </c>
    </row>
    <row r="20" spans="1:30" ht="13.95" customHeight="1">
      <c r="A20" s="1">
        <v>20</v>
      </c>
      <c r="B20" s="41"/>
      <c r="C20" s="42"/>
      <c r="D20" s="43" t="s">
        <v>25</v>
      </c>
      <c r="E20" s="87" t="str">
        <f t="shared" si="5"/>
        <v/>
      </c>
      <c r="F20" s="42"/>
      <c r="G20" s="42"/>
      <c r="H20" s="43" t="s">
        <v>26</v>
      </c>
      <c r="I20" s="87" t="str">
        <f t="shared" si="6"/>
        <v/>
      </c>
      <c r="J20" s="48"/>
      <c r="L20" s="41"/>
      <c r="M20" s="42"/>
      <c r="N20" s="43" t="s">
        <v>25</v>
      </c>
      <c r="O20" s="52" t="str">
        <f>IF(P20&lt;&gt;"",P20,IF(OR(AA20=0,AA20=""),"",AA20))</f>
        <v/>
      </c>
      <c r="P20" s="53"/>
      <c r="Q20" s="42"/>
      <c r="R20" s="43" t="s">
        <v>26</v>
      </c>
      <c r="S20" s="52" t="str">
        <f>IF(T20&lt;&gt;"",T20,IF(OR(AA56=0,AA56=""),"",AA56))</f>
        <v/>
      </c>
      <c r="T20" s="53"/>
      <c r="U20" s="2"/>
      <c r="V20" s="48"/>
      <c r="Z20" s="43" t="str">
        <f t="shared" si="4"/>
        <v>Max. kVp:</v>
      </c>
      <c r="AA20" s="57"/>
      <c r="AB20" s="82" t="str">
        <f t="shared" si="0"/>
        <v/>
      </c>
      <c r="AC20" s="83" t="str">
        <f t="shared" si="1"/>
        <v/>
      </c>
      <c r="AD20" s="76" t="s">
        <v>70</v>
      </c>
    </row>
    <row r="21" spans="1:30" ht="13.95" customHeight="1">
      <c r="A21" s="1">
        <v>21</v>
      </c>
      <c r="B21" s="41"/>
      <c r="C21" s="42"/>
      <c r="D21" s="43" t="s">
        <v>27</v>
      </c>
      <c r="E21" s="88" t="str">
        <f t="shared" si="5"/>
        <v/>
      </c>
      <c r="F21" s="42"/>
      <c r="G21" s="42"/>
      <c r="H21" s="42"/>
      <c r="I21" s="42"/>
      <c r="J21" s="89"/>
      <c r="L21" s="41"/>
      <c r="M21" s="42"/>
      <c r="N21" s="43" t="s">
        <v>27</v>
      </c>
      <c r="O21" s="52" t="str">
        <f>IF(P21&lt;&gt;"",P21,IF(OR(AA21=0,AA21=""),"",AA21))</f>
        <v/>
      </c>
      <c r="P21" s="53"/>
      <c r="Q21" s="42"/>
      <c r="R21" s="42"/>
      <c r="S21" s="43"/>
      <c r="T21" s="59"/>
      <c r="U21" s="42"/>
      <c r="V21" s="48"/>
      <c r="Z21" s="43" t="str">
        <f t="shared" si="4"/>
        <v>Software Version:</v>
      </c>
      <c r="AA21" s="57"/>
      <c r="AB21" s="82" t="str">
        <f t="shared" si="0"/>
        <v/>
      </c>
      <c r="AC21" s="83" t="str">
        <f t="shared" si="1"/>
        <v/>
      </c>
      <c r="AD21" s="76" t="s">
        <v>71</v>
      </c>
    </row>
    <row r="22" spans="1:30" ht="13.95" customHeight="1">
      <c r="A22" s="1">
        <v>22</v>
      </c>
      <c r="B22" s="90"/>
      <c r="C22" s="92"/>
      <c r="D22" s="95"/>
      <c r="E22" s="91"/>
      <c r="F22" s="91"/>
      <c r="G22" s="91"/>
      <c r="H22" s="91"/>
      <c r="I22" s="93"/>
      <c r="J22" s="96"/>
      <c r="L22" s="41"/>
      <c r="M22" s="42"/>
      <c r="N22" s="43"/>
      <c r="O22" s="42"/>
      <c r="P22" s="42"/>
      <c r="Q22" s="42"/>
      <c r="R22" s="42"/>
      <c r="S22" s="46"/>
      <c r="T22" s="46"/>
      <c r="U22" s="42"/>
      <c r="V22" s="48"/>
      <c r="Z22" s="43" t="str">
        <f t="shared" si="4"/>
        <v/>
      </c>
      <c r="AA22" s="43"/>
      <c r="AB22" s="82" t="str">
        <f t="shared" si="0"/>
        <v/>
      </c>
      <c r="AC22" s="42"/>
      <c r="AD22" s="76"/>
    </row>
    <row r="23" spans="1:30" ht="13.95" customHeight="1">
      <c r="A23" s="1">
        <v>23</v>
      </c>
      <c r="B23" s="41"/>
      <c r="C23" s="54" t="s">
        <v>372</v>
      </c>
      <c r="D23" s="55"/>
      <c r="E23" s="42"/>
      <c r="F23" s="42"/>
      <c r="G23" s="2"/>
      <c r="H23" s="46"/>
      <c r="I23" s="55" t="s">
        <v>57</v>
      </c>
      <c r="J23" s="89"/>
      <c r="L23" s="41"/>
      <c r="M23" s="54" t="s">
        <v>372</v>
      </c>
      <c r="N23" s="42"/>
      <c r="O23" s="42"/>
      <c r="P23" s="42"/>
      <c r="Q23" s="42"/>
      <c r="R23" s="42"/>
      <c r="S23" s="55" t="s">
        <v>29</v>
      </c>
      <c r="T23" s="46"/>
      <c r="U23" s="42"/>
      <c r="V23" s="48"/>
      <c r="Z23" s="79" t="s">
        <v>28</v>
      </c>
      <c r="AA23" s="43"/>
      <c r="AB23" s="82" t="str">
        <f t="shared" si="0"/>
        <v/>
      </c>
      <c r="AC23" s="42"/>
      <c r="AD23" s="76"/>
    </row>
    <row r="24" spans="1:30" ht="13.95" customHeight="1">
      <c r="A24" s="1">
        <v>24</v>
      </c>
      <c r="B24" s="41"/>
      <c r="C24" s="42"/>
      <c r="D24" s="43" t="s">
        <v>30</v>
      </c>
      <c r="E24" s="88" t="str">
        <f t="shared" ref="E24:E25" si="7">IF(O24="","",O24)</f>
        <v/>
      </c>
      <c r="F24" s="42"/>
      <c r="G24" s="2"/>
      <c r="H24" s="43" t="s">
        <v>31</v>
      </c>
      <c r="I24" s="87" t="str">
        <f t="shared" ref="I24:I26" si="8">IF(S24="","",S24)</f>
        <v/>
      </c>
      <c r="J24" s="89"/>
      <c r="L24" s="41"/>
      <c r="M24" s="42"/>
      <c r="N24" s="43" t="s">
        <v>30</v>
      </c>
      <c r="O24" s="44" t="str">
        <f>IF(P24&lt;&gt;"",P24,IF(OR(AA24=0,AA24=""),"",AA24))</f>
        <v/>
      </c>
      <c r="P24" s="56"/>
      <c r="Q24" s="42"/>
      <c r="R24" s="43" t="s">
        <v>31</v>
      </c>
      <c r="S24" s="60" t="str">
        <f>IF(T24&lt;&gt;"",T24,IF(OR(AA59=0,AA59=""),"",AA59))</f>
        <v/>
      </c>
      <c r="T24" s="61"/>
      <c r="U24" s="42"/>
      <c r="V24" s="48"/>
      <c r="Z24" s="43" t="str">
        <f t="shared" si="4"/>
        <v>Tube Designation/Use:</v>
      </c>
      <c r="AA24" s="57"/>
      <c r="AB24" s="82" t="str">
        <f t="shared" si="0"/>
        <v/>
      </c>
      <c r="AC24" s="83" t="str">
        <f t="shared" si="1"/>
        <v/>
      </c>
      <c r="AD24" s="76" t="s">
        <v>72</v>
      </c>
    </row>
    <row r="25" spans="1:30" ht="13.95" customHeight="1">
      <c r="A25" s="1">
        <v>25</v>
      </c>
      <c r="B25" s="41"/>
      <c r="C25" s="42"/>
      <c r="D25" s="43" t="s">
        <v>22</v>
      </c>
      <c r="E25" s="735" t="str">
        <f t="shared" si="7"/>
        <v/>
      </c>
      <c r="F25" s="42"/>
      <c r="G25" s="2"/>
      <c r="H25" s="43" t="s">
        <v>32</v>
      </c>
      <c r="I25" s="87" t="str">
        <f t="shared" si="8"/>
        <v/>
      </c>
      <c r="J25" s="89"/>
      <c r="L25" s="41"/>
      <c r="M25" s="42"/>
      <c r="N25" s="43" t="s">
        <v>22</v>
      </c>
      <c r="O25" s="51" t="str">
        <f>IF(P25&lt;&gt;"",P25,IF(OR(AA25=0,AA25=""),"",AA25))</f>
        <v/>
      </c>
      <c r="P25" s="268"/>
      <c r="Q25" s="42"/>
      <c r="R25" s="43" t="s">
        <v>32</v>
      </c>
      <c r="S25" s="60" t="str">
        <f>IF(T25&lt;&gt;"",T25,IF(OR(AA60=0,AA60=""),"",AA60))</f>
        <v/>
      </c>
      <c r="T25" s="62"/>
      <c r="U25" s="42"/>
      <c r="V25" s="48"/>
      <c r="Z25" s="43" t="str">
        <f t="shared" si="4"/>
        <v>Date of Manufacture:</v>
      </c>
      <c r="AA25" s="84"/>
      <c r="AB25" s="82" t="str">
        <f t="shared" si="0"/>
        <v/>
      </c>
      <c r="AC25" s="406" t="str">
        <f t="shared" si="1"/>
        <v/>
      </c>
      <c r="AD25" s="76" t="s">
        <v>73</v>
      </c>
    </row>
    <row r="26" spans="1:30" ht="13.95" customHeight="1">
      <c r="A26" s="1">
        <v>26</v>
      </c>
      <c r="B26" s="41"/>
      <c r="C26" s="42"/>
      <c r="D26" s="43"/>
      <c r="E26" s="2"/>
      <c r="F26" s="2"/>
      <c r="G26" s="2"/>
      <c r="H26" s="43" t="s">
        <v>33</v>
      </c>
      <c r="I26" s="87" t="str">
        <f t="shared" si="8"/>
        <v/>
      </c>
      <c r="J26" s="89"/>
      <c r="L26" s="41"/>
      <c r="M26" s="42"/>
      <c r="N26" s="43"/>
      <c r="O26" s="42"/>
      <c r="P26" s="42"/>
      <c r="Q26" s="42"/>
      <c r="R26" s="43" t="s">
        <v>33</v>
      </c>
      <c r="S26" s="60" t="str">
        <f>IF(T26&lt;&gt;"",T26,IF(OR(AA61=0,AA61=""),"",AA61))</f>
        <v/>
      </c>
      <c r="T26" s="62"/>
      <c r="U26" s="42"/>
      <c r="V26" s="48"/>
      <c r="Z26" s="43" t="str">
        <f t="shared" si="4"/>
        <v/>
      </c>
      <c r="AA26" s="43"/>
      <c r="AB26" s="82" t="str">
        <f t="shared" si="0"/>
        <v/>
      </c>
      <c r="AC26" s="42"/>
      <c r="AD26" s="76"/>
    </row>
    <row r="27" spans="1:30" ht="13.95" customHeight="1">
      <c r="A27" s="1">
        <v>27</v>
      </c>
      <c r="B27" s="41"/>
      <c r="C27" s="42"/>
      <c r="D27" s="43" t="s">
        <v>34</v>
      </c>
      <c r="E27" s="88" t="str">
        <f t="shared" ref="E27:E29" si="9">IF(O27="","",O27)</f>
        <v/>
      </c>
      <c r="F27" s="42"/>
      <c r="G27" s="2"/>
      <c r="H27" s="2"/>
      <c r="I27" s="55" t="s">
        <v>35</v>
      </c>
      <c r="J27" s="97"/>
      <c r="L27" s="41"/>
      <c r="M27" s="42"/>
      <c r="N27" s="43" t="s">
        <v>34</v>
      </c>
      <c r="O27" s="44" t="str">
        <f>IF(P27&lt;&gt;"",P27,IF(OR(AA27=0,AA27=""),"",AA27))</f>
        <v/>
      </c>
      <c r="P27" s="56"/>
      <c r="Q27" s="42"/>
      <c r="R27" s="42"/>
      <c r="S27" s="55" t="s">
        <v>35</v>
      </c>
      <c r="T27" s="46"/>
      <c r="U27" s="42"/>
      <c r="V27" s="48"/>
      <c r="Z27" s="43" t="str">
        <f t="shared" si="4"/>
        <v>Insert Manufacturer:</v>
      </c>
      <c r="AA27" s="57"/>
      <c r="AB27" s="82" t="str">
        <f t="shared" si="0"/>
        <v/>
      </c>
      <c r="AC27" s="83" t="str">
        <f t="shared" ref="AC27:AC42" si="10">IF(O27="","",O27)</f>
        <v/>
      </c>
      <c r="AD27" s="76" t="s">
        <v>74</v>
      </c>
    </row>
    <row r="28" spans="1:30" ht="13.95" customHeight="1">
      <c r="A28" s="1">
        <v>28</v>
      </c>
      <c r="B28" s="41"/>
      <c r="C28" s="43"/>
      <c r="D28" s="43" t="s">
        <v>36</v>
      </c>
      <c r="E28" s="88" t="str">
        <f t="shared" si="9"/>
        <v/>
      </c>
      <c r="F28" s="42"/>
      <c r="G28" s="42"/>
      <c r="H28" s="43" t="s">
        <v>37</v>
      </c>
      <c r="I28" s="87" t="str">
        <f t="shared" ref="I28:I29" si="11">IF(S28="","",S28)</f>
        <v/>
      </c>
      <c r="J28" s="97"/>
      <c r="L28" s="41"/>
      <c r="M28" s="43"/>
      <c r="N28" s="43" t="s">
        <v>36</v>
      </c>
      <c r="O28" s="44" t="str">
        <f>IF(P28&lt;&gt;"",P28,IF(OR(AA28=0,AA28=""),"",AA28))</f>
        <v/>
      </c>
      <c r="P28" s="49"/>
      <c r="Q28" s="42"/>
      <c r="R28" s="43" t="s">
        <v>37</v>
      </c>
      <c r="S28" s="63" t="str">
        <f>IF(T28&lt;&gt;"",T28,IF(OR(AA63=0,AA63=""),"",AA63))</f>
        <v/>
      </c>
      <c r="T28" s="56"/>
      <c r="U28" s="46"/>
      <c r="V28" s="48"/>
      <c r="Z28" s="43" t="str">
        <f t="shared" si="4"/>
        <v>Insert Model:</v>
      </c>
      <c r="AA28" s="57"/>
      <c r="AB28" s="82" t="str">
        <f t="shared" si="0"/>
        <v/>
      </c>
      <c r="AC28" s="83" t="str">
        <f t="shared" si="10"/>
        <v/>
      </c>
      <c r="AD28" s="76" t="s">
        <v>75</v>
      </c>
    </row>
    <row r="29" spans="1:30" ht="13.95" customHeight="1">
      <c r="A29" s="1">
        <v>29</v>
      </c>
      <c r="B29" s="41"/>
      <c r="C29" s="42"/>
      <c r="D29" s="43" t="s">
        <v>38</v>
      </c>
      <c r="E29" s="88" t="str">
        <f t="shared" si="9"/>
        <v/>
      </c>
      <c r="F29" s="42"/>
      <c r="G29" s="42"/>
      <c r="H29" s="43" t="s">
        <v>39</v>
      </c>
      <c r="I29" s="87" t="str">
        <f t="shared" si="11"/>
        <v/>
      </c>
      <c r="J29" s="89"/>
      <c r="L29" s="41"/>
      <c r="M29" s="42"/>
      <c r="N29" s="43" t="s">
        <v>38</v>
      </c>
      <c r="O29" s="44" t="str">
        <f>IF(P29&lt;&gt;"",P29,IF(OR(AA29=0,AA29=""),"",AA29))</f>
        <v/>
      </c>
      <c r="P29" s="50"/>
      <c r="Q29" s="42"/>
      <c r="R29" s="43" t="s">
        <v>39</v>
      </c>
      <c r="S29" s="63" t="str">
        <f>IF(T29&lt;&gt;"",T29,IF(OR(AA64=0,AA64=""),"",AA64))</f>
        <v/>
      </c>
      <c r="T29" s="49"/>
      <c r="U29" s="46"/>
      <c r="V29" s="48"/>
      <c r="Z29" s="43" t="str">
        <f t="shared" si="4"/>
        <v>Insert Serial Number:</v>
      </c>
      <c r="AA29" s="57"/>
      <c r="AB29" s="82" t="str">
        <f t="shared" si="0"/>
        <v/>
      </c>
      <c r="AC29" s="83" t="str">
        <f t="shared" si="10"/>
        <v/>
      </c>
      <c r="AD29" s="76" t="s">
        <v>76</v>
      </c>
    </row>
    <row r="30" spans="1:30" ht="13.95" customHeight="1">
      <c r="A30" s="1">
        <v>30</v>
      </c>
      <c r="B30" s="41"/>
      <c r="C30" s="2"/>
      <c r="D30" s="42"/>
      <c r="E30" s="42"/>
      <c r="F30" s="42"/>
      <c r="G30" s="64"/>
      <c r="H30" s="42"/>
      <c r="I30" s="46"/>
      <c r="J30" s="89"/>
      <c r="L30" s="41"/>
      <c r="M30" s="42"/>
      <c r="N30" s="42"/>
      <c r="O30" s="42"/>
      <c r="P30" s="42"/>
      <c r="Q30" s="42"/>
      <c r="R30" s="43"/>
      <c r="S30" s="42"/>
      <c r="T30" s="42"/>
      <c r="U30" s="42"/>
      <c r="V30" s="48"/>
      <c r="Z30" s="43" t="str">
        <f t="shared" si="4"/>
        <v/>
      </c>
      <c r="AA30" s="43"/>
      <c r="AB30" s="82" t="str">
        <f t="shared" si="0"/>
        <v/>
      </c>
      <c r="AC30" s="42"/>
      <c r="AD30" s="76"/>
    </row>
    <row r="31" spans="1:30" ht="13.95" customHeight="1">
      <c r="A31" s="1">
        <v>31</v>
      </c>
      <c r="B31" s="41"/>
      <c r="C31" s="43"/>
      <c r="D31" s="43" t="s">
        <v>40</v>
      </c>
      <c r="E31" s="88" t="str">
        <f t="shared" ref="E31:E33" si="12">IF(O31="","",O31)</f>
        <v/>
      </c>
      <c r="F31" s="42"/>
      <c r="G31" s="2"/>
      <c r="H31" s="2"/>
      <c r="I31" s="106"/>
      <c r="J31" s="107"/>
      <c r="L31" s="41"/>
      <c r="M31" s="43"/>
      <c r="N31" s="43" t="s">
        <v>40</v>
      </c>
      <c r="O31" s="44" t="str">
        <f>IF(P31&lt;&gt;"",P31,IF(OR(AA31=0,AA31=""),"",AA31))</f>
        <v/>
      </c>
      <c r="P31" s="56"/>
      <c r="Q31" s="64"/>
      <c r="U31" s="46"/>
      <c r="V31" s="48"/>
      <c r="Z31" s="43" t="str">
        <f t="shared" si="4"/>
        <v>Housing Manufacturer:</v>
      </c>
      <c r="AA31" s="57"/>
      <c r="AB31" s="82" t="str">
        <f t="shared" si="0"/>
        <v/>
      </c>
      <c r="AC31" s="83" t="str">
        <f t="shared" si="10"/>
        <v/>
      </c>
      <c r="AD31" s="76" t="s">
        <v>77</v>
      </c>
    </row>
    <row r="32" spans="1:30" ht="13.95" customHeight="1">
      <c r="A32" s="1">
        <v>32</v>
      </c>
      <c r="B32" s="41"/>
      <c r="C32" s="42"/>
      <c r="D32" s="43" t="s">
        <v>41</v>
      </c>
      <c r="E32" s="88" t="str">
        <f t="shared" si="12"/>
        <v/>
      </c>
      <c r="F32" s="42"/>
      <c r="G32" s="2"/>
      <c r="H32" s="43"/>
      <c r="I32" s="59"/>
      <c r="J32" s="48"/>
      <c r="L32" s="41"/>
      <c r="M32" s="42"/>
      <c r="N32" s="43" t="s">
        <v>41</v>
      </c>
      <c r="O32" s="44" t="str">
        <f>IF(P32&lt;&gt;"",P32,IF(OR(AA32=0,AA32=""),"",AA32))</f>
        <v/>
      </c>
      <c r="P32" s="49"/>
      <c r="Q32" s="42"/>
      <c r="U32" s="2"/>
      <c r="V32" s="48"/>
      <c r="Z32" s="43" t="str">
        <f t="shared" si="4"/>
        <v>Housing Model:</v>
      </c>
      <c r="AA32" s="57"/>
      <c r="AB32" s="82" t="str">
        <f t="shared" si="0"/>
        <v/>
      </c>
      <c r="AC32" s="83" t="str">
        <f t="shared" si="10"/>
        <v/>
      </c>
      <c r="AD32" s="76" t="s">
        <v>78</v>
      </c>
    </row>
    <row r="33" spans="1:30" ht="13.95" customHeight="1">
      <c r="A33" s="1">
        <v>33</v>
      </c>
      <c r="B33" s="41"/>
      <c r="C33" s="42"/>
      <c r="D33" s="43" t="s">
        <v>42</v>
      </c>
      <c r="E33" s="88" t="str">
        <f t="shared" si="12"/>
        <v/>
      </c>
      <c r="F33" s="42"/>
      <c r="G33" s="2"/>
      <c r="H33" s="43"/>
      <c r="I33" s="59"/>
      <c r="J33" s="48"/>
      <c r="L33" s="41"/>
      <c r="M33" s="42"/>
      <c r="N33" s="43" t="s">
        <v>42</v>
      </c>
      <c r="O33" s="44" t="str">
        <f>IF(P33&lt;&gt;"",P33,IF(OR(AA33=0,AA33=""),"",AA33))</f>
        <v/>
      </c>
      <c r="P33" s="50"/>
      <c r="Q33" s="42"/>
      <c r="U33" s="2"/>
      <c r="V33" s="48"/>
      <c r="Z33" s="43" t="str">
        <f t="shared" si="4"/>
        <v>Housing Serial Number:</v>
      </c>
      <c r="AA33" s="57"/>
      <c r="AB33" s="82" t="str">
        <f t="shared" si="0"/>
        <v/>
      </c>
      <c r="AC33" s="83" t="str">
        <f t="shared" si="10"/>
        <v/>
      </c>
      <c r="AD33" s="76" t="s">
        <v>79</v>
      </c>
    </row>
    <row r="34" spans="1:30" ht="13.95" customHeight="1">
      <c r="A34" s="1">
        <v>34</v>
      </c>
      <c r="B34" s="41"/>
      <c r="C34" s="42"/>
      <c r="D34" s="43"/>
      <c r="E34" s="43"/>
      <c r="F34" s="42"/>
      <c r="G34" s="42"/>
      <c r="H34" s="43"/>
      <c r="I34" s="42"/>
      <c r="J34" s="97"/>
      <c r="L34" s="41"/>
      <c r="M34" s="42"/>
      <c r="N34" s="43"/>
      <c r="O34" s="42"/>
      <c r="P34" s="42"/>
      <c r="Q34" s="42"/>
      <c r="R34" s="42"/>
      <c r="S34" s="42" t="s">
        <v>43</v>
      </c>
      <c r="T34" s="42"/>
      <c r="U34" s="42"/>
      <c r="V34" s="48"/>
      <c r="Z34" s="43" t="str">
        <f t="shared" si="4"/>
        <v/>
      </c>
      <c r="AA34" s="43"/>
      <c r="AB34" s="82" t="str">
        <f t="shared" si="0"/>
        <v/>
      </c>
      <c r="AC34" s="42"/>
      <c r="AD34" s="76"/>
    </row>
    <row r="35" spans="1:30" ht="13.95" customHeight="1">
      <c r="A35" s="1">
        <v>35</v>
      </c>
      <c r="B35" s="90"/>
      <c r="C35" s="92"/>
      <c r="D35" s="95"/>
      <c r="E35" s="92"/>
      <c r="F35" s="92"/>
      <c r="G35" s="92"/>
      <c r="H35" s="91"/>
      <c r="I35" s="92"/>
      <c r="J35" s="108"/>
      <c r="L35" s="41"/>
      <c r="M35" s="42"/>
      <c r="N35" s="43"/>
      <c r="O35" s="42"/>
      <c r="P35" s="42"/>
      <c r="Q35" s="42"/>
      <c r="R35" s="43"/>
      <c r="S35" s="42" t="s">
        <v>43</v>
      </c>
      <c r="T35" s="42"/>
      <c r="U35" s="42"/>
      <c r="V35" s="48"/>
      <c r="Z35" s="43" t="str">
        <f t="shared" si="4"/>
        <v/>
      </c>
      <c r="AA35" s="43"/>
      <c r="AB35" s="82" t="str">
        <f t="shared" si="0"/>
        <v/>
      </c>
      <c r="AC35" s="42"/>
      <c r="AD35" s="76"/>
    </row>
    <row r="36" spans="1:30" ht="13.95" customHeight="1">
      <c r="A36" s="1">
        <v>36</v>
      </c>
      <c r="B36" s="41"/>
      <c r="C36" s="54" t="s">
        <v>107</v>
      </c>
      <c r="D36" s="43"/>
      <c r="E36" s="2"/>
      <c r="F36" s="2"/>
      <c r="G36" s="2"/>
      <c r="H36" s="46"/>
      <c r="I36" s="55" t="s">
        <v>57</v>
      </c>
      <c r="J36" s="48"/>
      <c r="L36" s="41"/>
      <c r="M36" s="54" t="s">
        <v>107</v>
      </c>
      <c r="N36" s="43"/>
      <c r="O36" s="42"/>
      <c r="P36" s="42"/>
      <c r="Q36" s="42"/>
      <c r="R36" s="46"/>
      <c r="S36" s="55" t="s">
        <v>29</v>
      </c>
      <c r="T36" s="42"/>
      <c r="U36" s="46"/>
      <c r="V36" s="48"/>
      <c r="Z36" s="79" t="s">
        <v>44</v>
      </c>
      <c r="AA36" s="43"/>
      <c r="AB36" s="82" t="str">
        <f t="shared" si="0"/>
        <v/>
      </c>
      <c r="AC36" s="42"/>
      <c r="AD36" s="76"/>
    </row>
    <row r="37" spans="1:30" ht="13.95" customHeight="1">
      <c r="A37" s="1">
        <v>37</v>
      </c>
      <c r="B37" s="41"/>
      <c r="C37" s="43"/>
      <c r="D37" s="43" t="s">
        <v>30</v>
      </c>
      <c r="E37" s="88" t="str">
        <f t="shared" ref="E37:E38" si="13">IF(O37="","",O37)</f>
        <v/>
      </c>
      <c r="F37" s="42"/>
      <c r="G37" s="2"/>
      <c r="H37" s="43" t="s">
        <v>31</v>
      </c>
      <c r="I37" s="87" t="str">
        <f t="shared" ref="I37:I39" si="14">IF(S37="","",S37)</f>
        <v/>
      </c>
      <c r="J37" s="89"/>
      <c r="L37" s="41"/>
      <c r="M37" s="43"/>
      <c r="N37" s="43" t="s">
        <v>30</v>
      </c>
      <c r="O37" s="44" t="str">
        <f>IF(P37&lt;&gt;"",P37,IF(OR(AA37=0,AA37=""),"",AA37))</f>
        <v/>
      </c>
      <c r="P37" s="47"/>
      <c r="Q37" s="42"/>
      <c r="R37" s="43" t="s">
        <v>31</v>
      </c>
      <c r="S37" s="60" t="str">
        <f>IF(T37&lt;&gt;"",T37,IF(OR(AA67=0,AA67=""),"",AA67))</f>
        <v/>
      </c>
      <c r="T37" s="61"/>
      <c r="U37" s="46"/>
      <c r="V37" s="48"/>
      <c r="Z37" s="43" t="str">
        <f t="shared" si="4"/>
        <v>Tube Designation/Use:</v>
      </c>
      <c r="AA37" s="57"/>
      <c r="AB37" s="82" t="str">
        <f t="shared" si="0"/>
        <v/>
      </c>
      <c r="AC37" s="83" t="str">
        <f t="shared" si="10"/>
        <v/>
      </c>
      <c r="AD37" s="76" t="s">
        <v>80</v>
      </c>
    </row>
    <row r="38" spans="1:30" ht="13.95" customHeight="1">
      <c r="A38" s="1">
        <v>38</v>
      </c>
      <c r="B38" s="41"/>
      <c r="C38" s="43"/>
      <c r="D38" s="43" t="s">
        <v>22</v>
      </c>
      <c r="E38" s="735" t="str">
        <f t="shared" si="13"/>
        <v/>
      </c>
      <c r="F38" s="42"/>
      <c r="G38" s="2"/>
      <c r="H38" s="43" t="s">
        <v>32</v>
      </c>
      <c r="I38" s="87" t="str">
        <f t="shared" si="14"/>
        <v/>
      </c>
      <c r="J38" s="89"/>
      <c r="L38" s="41"/>
      <c r="M38" s="43"/>
      <c r="N38" s="43" t="s">
        <v>22</v>
      </c>
      <c r="O38" s="51" t="str">
        <f>IF(P38&lt;&gt;"",P38,IF(OR(AA38=0,AA38=""),"",AA38))</f>
        <v/>
      </c>
      <c r="P38" s="268"/>
      <c r="Q38" s="42"/>
      <c r="R38" s="43" t="s">
        <v>32</v>
      </c>
      <c r="S38" s="60" t="str">
        <f>IF(T38&lt;&gt;"",T38,IF(OR(AA68=0,AA68=""),"",AA68))</f>
        <v/>
      </c>
      <c r="T38" s="62"/>
      <c r="U38" s="46"/>
      <c r="V38" s="48"/>
      <c r="Z38" s="43" t="str">
        <f t="shared" si="4"/>
        <v>Date of Manufacture:</v>
      </c>
      <c r="AA38" s="84"/>
      <c r="AB38" s="82" t="str">
        <f t="shared" si="0"/>
        <v/>
      </c>
      <c r="AC38" s="406" t="str">
        <f t="shared" si="10"/>
        <v/>
      </c>
      <c r="AD38" s="76" t="s">
        <v>81</v>
      </c>
    </row>
    <row r="39" spans="1:30" ht="13.95" customHeight="1">
      <c r="A39" s="1">
        <v>39</v>
      </c>
      <c r="B39" s="41"/>
      <c r="C39" s="43"/>
      <c r="D39" s="43"/>
      <c r="E39" s="2"/>
      <c r="F39" s="2"/>
      <c r="G39" s="2"/>
      <c r="H39" s="43" t="s">
        <v>33</v>
      </c>
      <c r="I39" s="87" t="str">
        <f t="shared" si="14"/>
        <v/>
      </c>
      <c r="J39" s="89" t="str">
        <f>IF(T39="","",U39)</f>
        <v/>
      </c>
      <c r="L39" s="41"/>
      <c r="M39" s="43"/>
      <c r="N39" s="43"/>
      <c r="O39" s="42"/>
      <c r="P39" s="42"/>
      <c r="Q39" s="42"/>
      <c r="R39" s="43" t="s">
        <v>33</v>
      </c>
      <c r="S39" s="60" t="str">
        <f>IF(T39&lt;&gt;"",T39,IF(OR(AA69=0,AA69=""),"",AA69))</f>
        <v/>
      </c>
      <c r="T39" s="62"/>
      <c r="U39" s="42"/>
      <c r="V39" s="48"/>
      <c r="Z39" s="43" t="str">
        <f t="shared" si="4"/>
        <v/>
      </c>
      <c r="AA39" s="43"/>
      <c r="AB39" s="82" t="str">
        <f t="shared" si="0"/>
        <v/>
      </c>
      <c r="AC39" s="42"/>
      <c r="AD39" s="76"/>
    </row>
    <row r="40" spans="1:30" ht="13.95" customHeight="1">
      <c r="A40" s="1">
        <v>40</v>
      </c>
      <c r="B40" s="41"/>
      <c r="C40" s="43"/>
      <c r="D40" s="43" t="s">
        <v>34</v>
      </c>
      <c r="E40" s="88" t="str">
        <f t="shared" ref="E40:E42" si="15">IF(O40="","",O40)</f>
        <v/>
      </c>
      <c r="F40" s="42"/>
      <c r="G40" s="2"/>
      <c r="H40" s="2"/>
      <c r="I40" s="55" t="s">
        <v>35</v>
      </c>
      <c r="J40" s="48"/>
      <c r="L40" s="41"/>
      <c r="M40" s="43"/>
      <c r="N40" s="43" t="s">
        <v>34</v>
      </c>
      <c r="O40" s="44" t="str">
        <f>IF(P40&lt;&gt;"",P40,IF(OR(AA40=0,AA40=""),"",AA40))</f>
        <v/>
      </c>
      <c r="P40" s="47"/>
      <c r="Q40" s="42"/>
      <c r="R40" s="42"/>
      <c r="S40" s="55" t="s">
        <v>35</v>
      </c>
      <c r="T40" s="42"/>
      <c r="U40" s="42"/>
      <c r="V40" s="48"/>
      <c r="Z40" s="43" t="str">
        <f t="shared" si="4"/>
        <v>Insert Manufacturer:</v>
      </c>
      <c r="AA40" s="57"/>
      <c r="AB40" s="82" t="str">
        <f t="shared" si="0"/>
        <v/>
      </c>
      <c r="AC40" s="83" t="str">
        <f t="shared" si="10"/>
        <v/>
      </c>
      <c r="AD40" s="76" t="s">
        <v>82</v>
      </c>
    </row>
    <row r="41" spans="1:30" ht="13.95" customHeight="1">
      <c r="A41" s="1">
        <v>41</v>
      </c>
      <c r="B41" s="41"/>
      <c r="C41" s="43"/>
      <c r="D41" s="43" t="s">
        <v>36</v>
      </c>
      <c r="E41" s="88" t="str">
        <f t="shared" si="15"/>
        <v/>
      </c>
      <c r="F41" s="42"/>
      <c r="G41" s="2"/>
      <c r="H41" s="43" t="s">
        <v>37</v>
      </c>
      <c r="I41" s="87" t="str">
        <f t="shared" ref="I41:I42" si="16">IF(S41="","",S41)</f>
        <v/>
      </c>
      <c r="J41" s="48"/>
      <c r="L41" s="41"/>
      <c r="M41" s="43"/>
      <c r="N41" s="43" t="s">
        <v>36</v>
      </c>
      <c r="O41" s="44" t="str">
        <f>IF(P41&lt;&gt;"",P41,IF(OR(AA41=0,AA41=""),"",AA41))</f>
        <v/>
      </c>
      <c r="P41" s="49"/>
      <c r="Q41" s="42"/>
      <c r="R41" s="43" t="s">
        <v>37</v>
      </c>
      <c r="S41" s="60" t="str">
        <f>IF(T41&lt;&gt;"",T41,IF(OR(AA72=0,AA72=""),"",AA72))</f>
        <v/>
      </c>
      <c r="T41" s="47"/>
      <c r="U41" s="46"/>
      <c r="V41" s="48"/>
      <c r="Z41" s="43" t="str">
        <f t="shared" si="4"/>
        <v>Insert Model:</v>
      </c>
      <c r="AA41" s="57"/>
      <c r="AB41" s="82" t="str">
        <f t="shared" si="0"/>
        <v/>
      </c>
      <c r="AC41" s="83" t="str">
        <f t="shared" si="10"/>
        <v/>
      </c>
      <c r="AD41" s="76" t="s">
        <v>83</v>
      </c>
    </row>
    <row r="42" spans="1:30" ht="13.95" customHeight="1">
      <c r="A42" s="1">
        <v>42</v>
      </c>
      <c r="B42" s="41"/>
      <c r="C42" s="43"/>
      <c r="D42" s="43" t="s">
        <v>38</v>
      </c>
      <c r="E42" s="88" t="str">
        <f t="shared" si="15"/>
        <v/>
      </c>
      <c r="F42" s="42"/>
      <c r="G42" s="42"/>
      <c r="H42" s="43" t="s">
        <v>39</v>
      </c>
      <c r="I42" s="87" t="str">
        <f t="shared" si="16"/>
        <v/>
      </c>
      <c r="J42" s="97"/>
      <c r="L42" s="41"/>
      <c r="M42" s="43"/>
      <c r="N42" s="43" t="s">
        <v>38</v>
      </c>
      <c r="O42" s="44" t="str">
        <f>IF(P42&lt;&gt;"",P42,IF(OR(AA42=0,AA42=""),"",AA42))</f>
        <v/>
      </c>
      <c r="P42" s="49"/>
      <c r="Q42" s="42"/>
      <c r="R42" s="43" t="s">
        <v>39</v>
      </c>
      <c r="S42" s="60" t="str">
        <f>IF(T42&lt;&gt;"",T42,IF(OR(AA73=0,AA73=""),"",AA73))</f>
        <v/>
      </c>
      <c r="T42" s="49"/>
      <c r="U42" s="46"/>
      <c r="V42" s="48"/>
      <c r="Z42" s="43" t="str">
        <f t="shared" si="4"/>
        <v>Insert Serial Number:</v>
      </c>
      <c r="AA42" s="57"/>
      <c r="AB42" s="82" t="str">
        <f t="shared" si="0"/>
        <v/>
      </c>
      <c r="AC42" s="83" t="str">
        <f t="shared" si="10"/>
        <v/>
      </c>
      <c r="AD42" s="76" t="s">
        <v>84</v>
      </c>
    </row>
    <row r="43" spans="1:30" ht="13.95" customHeight="1">
      <c r="A43" s="1">
        <v>43</v>
      </c>
      <c r="B43" s="41"/>
      <c r="C43" s="43"/>
      <c r="D43" s="43"/>
      <c r="E43" s="42"/>
      <c r="F43" s="42"/>
      <c r="G43" s="42"/>
      <c r="H43" s="42"/>
      <c r="I43" s="42"/>
      <c r="J43" s="97"/>
      <c r="L43" s="41"/>
      <c r="M43" s="43"/>
      <c r="N43" s="43"/>
      <c r="O43" s="42"/>
      <c r="P43" s="42"/>
      <c r="Q43" s="42"/>
      <c r="R43" s="42"/>
      <c r="S43" s="42"/>
      <c r="T43" s="42"/>
      <c r="U43" s="46"/>
      <c r="V43" s="48"/>
      <c r="Z43" s="43" t="str">
        <f t="shared" si="4"/>
        <v/>
      </c>
      <c r="AA43" s="43"/>
      <c r="AB43" s="82" t="str">
        <f t="shared" si="0"/>
        <v/>
      </c>
      <c r="AC43" s="42"/>
      <c r="AD43" s="76"/>
    </row>
    <row r="44" spans="1:30" ht="13.95" customHeight="1">
      <c r="A44" s="1">
        <v>44</v>
      </c>
      <c r="B44" s="41"/>
      <c r="C44" s="43"/>
      <c r="D44" s="43" t="s">
        <v>40</v>
      </c>
      <c r="E44" s="88" t="str">
        <f t="shared" ref="E44:E46" si="17">IF(O44="","",O44)</f>
        <v/>
      </c>
      <c r="F44" s="42"/>
      <c r="G44" s="2"/>
      <c r="H44" s="2"/>
      <c r="I44" s="106"/>
      <c r="J44" s="107"/>
      <c r="L44" s="41"/>
      <c r="M44" s="43"/>
      <c r="N44" s="43" t="s">
        <v>40</v>
      </c>
      <c r="O44" s="44" t="str">
        <f>IF(P44&lt;&gt;"",P44,IF(OR(AA44=0,AA44=""),"",AA44))</f>
        <v/>
      </c>
      <c r="P44" s="47"/>
      <c r="Q44" s="42"/>
      <c r="U44" s="42"/>
      <c r="V44" s="48"/>
      <c r="Z44" s="43" t="str">
        <f>IF(N44="","",N44)</f>
        <v>Housing Manufacturer:</v>
      </c>
      <c r="AA44" s="57"/>
      <c r="AB44" s="82" t="str">
        <f t="shared" si="0"/>
        <v/>
      </c>
      <c r="AC44" s="83" t="str">
        <f>IF(O44="","",O44)</f>
        <v/>
      </c>
      <c r="AD44" s="76" t="s">
        <v>85</v>
      </c>
    </row>
    <row r="45" spans="1:30" ht="13.95" customHeight="1">
      <c r="A45" s="1">
        <v>45</v>
      </c>
      <c r="B45" s="41"/>
      <c r="C45" s="43"/>
      <c r="D45" s="43" t="s">
        <v>41</v>
      </c>
      <c r="E45" s="88" t="str">
        <f t="shared" si="17"/>
        <v/>
      </c>
      <c r="F45" s="42"/>
      <c r="G45" s="2"/>
      <c r="H45" s="43"/>
      <c r="I45" s="59"/>
      <c r="J45" s="105"/>
      <c r="L45" s="41"/>
      <c r="M45" s="43"/>
      <c r="N45" s="43" t="s">
        <v>41</v>
      </c>
      <c r="O45" s="44" t="str">
        <f>IF(P45&lt;&gt;"",P45,IF(OR(AA45=0,AA45=""),"",AA45))</f>
        <v/>
      </c>
      <c r="P45" s="49"/>
      <c r="Q45" s="42"/>
      <c r="U45" s="42"/>
      <c r="V45" s="48"/>
      <c r="Z45" s="43" t="str">
        <f>IF(N45="","",N45)</f>
        <v>Housing Model:</v>
      </c>
      <c r="AA45" s="57"/>
      <c r="AB45" s="82" t="str">
        <f t="shared" si="0"/>
        <v/>
      </c>
      <c r="AC45" s="83" t="str">
        <f>IF(O45="","",O45)</f>
        <v/>
      </c>
      <c r="AD45" s="76" t="s">
        <v>86</v>
      </c>
    </row>
    <row r="46" spans="1:30" ht="13.95" customHeight="1">
      <c r="A46" s="1">
        <v>46</v>
      </c>
      <c r="B46" s="41"/>
      <c r="C46" s="43"/>
      <c r="D46" s="43" t="s">
        <v>42</v>
      </c>
      <c r="E46" s="88" t="str">
        <f t="shared" si="17"/>
        <v/>
      </c>
      <c r="F46" s="42"/>
      <c r="G46" s="2"/>
      <c r="H46" s="43"/>
      <c r="I46" s="59"/>
      <c r="J46" s="105"/>
      <c r="L46" s="41"/>
      <c r="M46" s="43"/>
      <c r="N46" s="43" t="s">
        <v>42</v>
      </c>
      <c r="O46" s="44" t="str">
        <f>IF(P46&lt;&gt;"",P46,IF(OR(AA46=0,AA46=""),"",AA46))</f>
        <v/>
      </c>
      <c r="P46" s="49"/>
      <c r="Q46" s="42"/>
      <c r="U46" s="42"/>
      <c r="V46" s="48"/>
      <c r="Z46" s="43" t="str">
        <f>IF(N46="","",N46)</f>
        <v>Housing Serial Number:</v>
      </c>
      <c r="AA46" s="57"/>
      <c r="AB46" s="82" t="str">
        <f t="shared" si="0"/>
        <v/>
      </c>
      <c r="AC46" s="83" t="str">
        <f>IF(O46="","",O46)</f>
        <v/>
      </c>
      <c r="AD46" s="76" t="s">
        <v>87</v>
      </c>
    </row>
    <row r="47" spans="1:30" ht="13.95" customHeight="1" thickBot="1">
      <c r="A47" s="1">
        <v>47</v>
      </c>
      <c r="B47" s="66"/>
      <c r="C47" s="98"/>
      <c r="D47" s="98"/>
      <c r="E47" s="98"/>
      <c r="F47" s="98"/>
      <c r="G47" s="98"/>
      <c r="H47" s="98"/>
      <c r="I47" s="98"/>
      <c r="J47" s="71"/>
      <c r="L47" s="66"/>
      <c r="M47" s="67"/>
      <c r="N47" s="68"/>
      <c r="O47" s="68"/>
      <c r="P47" s="68"/>
      <c r="Q47" s="69"/>
      <c r="R47" s="68"/>
      <c r="S47" s="70"/>
      <c r="T47" s="70"/>
      <c r="U47" s="70"/>
      <c r="V47" s="71"/>
      <c r="Z47" s="43"/>
      <c r="AA47" s="43"/>
      <c r="AB47" s="82" t="str">
        <f t="shared" si="0"/>
        <v/>
      </c>
      <c r="AC47" s="82"/>
      <c r="AD47" s="76"/>
    </row>
    <row r="48" spans="1:30" ht="13.95" customHeight="1" thickTop="1">
      <c r="A48" s="1">
        <v>48</v>
      </c>
      <c r="B48" s="99" t="s">
        <v>3</v>
      </c>
      <c r="C48" s="100" t="str">
        <f>IF($N$8="","",$N$8)</f>
        <v/>
      </c>
      <c r="D48" s="2"/>
      <c r="E48" s="2"/>
      <c r="F48" s="2"/>
      <c r="G48" s="2" t="str">
        <f>""</f>
        <v/>
      </c>
      <c r="H48" s="2" t="str">
        <f>""</f>
        <v/>
      </c>
      <c r="I48" s="99" t="s">
        <v>4</v>
      </c>
      <c r="J48" s="101" t="str">
        <f>IF($U$8="","",$U$8)</f>
        <v>Eugene Mah</v>
      </c>
      <c r="Z48" s="43" t="str">
        <f>IF(R11="","",R11)</f>
        <v>Site Number:</v>
      </c>
      <c r="AA48" s="57"/>
      <c r="AB48" s="82" t="str">
        <f t="shared" si="0"/>
        <v/>
      </c>
      <c r="AC48" s="83" t="str">
        <f>IF(S11="","",S11)</f>
        <v/>
      </c>
      <c r="AD48" s="76" t="s">
        <v>88</v>
      </c>
    </row>
    <row r="49" spans="1:30" ht="13.95" customHeight="1">
      <c r="A49" s="1">
        <v>49</v>
      </c>
      <c r="B49" s="99" t="s">
        <v>18</v>
      </c>
      <c r="C49" s="102" t="str">
        <f>IF($O$15="","",$O$15)</f>
        <v/>
      </c>
      <c r="D49" s="2"/>
      <c r="E49" s="2"/>
      <c r="F49" s="2"/>
      <c r="G49" s="2"/>
      <c r="H49" s="2"/>
      <c r="I49" s="99" t="s">
        <v>16</v>
      </c>
      <c r="J49" s="103" t="str">
        <f>IF($E$14="","",$E$14)</f>
        <v/>
      </c>
      <c r="L49" s="42"/>
      <c r="M49" s="2"/>
      <c r="N49" s="2"/>
      <c r="O49" s="2"/>
      <c r="P49" s="2"/>
      <c r="Q49" s="6" t="s">
        <v>115</v>
      </c>
      <c r="R49" s="2"/>
      <c r="S49" s="2"/>
      <c r="T49" s="2"/>
      <c r="U49" s="2"/>
      <c r="V49" s="118" t="str">
        <f>$F$2</f>
        <v>Medical University of South Carolina</v>
      </c>
      <c r="Z49" s="43" t="str">
        <f t="shared" ref="Z49:Z53" si="18">IF(R12="","",R12)</f>
        <v>Authorized Use:</v>
      </c>
      <c r="AA49" s="57"/>
      <c r="AB49" s="82" t="str">
        <f t="shared" si="0"/>
        <v/>
      </c>
      <c r="AC49" s="83" t="str">
        <f>IF(S12="","",S12)</f>
        <v/>
      </c>
      <c r="AD49" s="76" t="s">
        <v>89</v>
      </c>
    </row>
    <row r="50" spans="1:30" ht="13.95" customHeight="1" thickBot="1">
      <c r="A50" s="1">
        <v>1</v>
      </c>
      <c r="J50" s="118" t="str">
        <f>$F$2</f>
        <v>Medical University of South Carolina</v>
      </c>
      <c r="L50" s="2"/>
      <c r="M50" s="109"/>
      <c r="N50" s="109"/>
      <c r="O50" s="4"/>
      <c r="P50" s="2"/>
      <c r="Q50" s="2"/>
      <c r="R50" s="2"/>
      <c r="S50" s="2"/>
      <c r="T50" s="2"/>
      <c r="U50" s="2"/>
      <c r="V50" s="79" t="str">
        <f>$F$5</f>
        <v>EOS Imaging System Compliance Inspection</v>
      </c>
      <c r="Z50" s="43" t="str">
        <f t="shared" si="18"/>
        <v>Date of Installation:</v>
      </c>
      <c r="AA50" s="84"/>
      <c r="AB50" s="82" t="str">
        <f t="shared" si="0"/>
        <v/>
      </c>
      <c r="AC50" s="407" t="str">
        <f>IF(S13="","",S13)</f>
        <v/>
      </c>
      <c r="AD50" s="76" t="s">
        <v>90</v>
      </c>
    </row>
    <row r="51" spans="1:30" ht="13.95" customHeight="1" thickTop="1" thickBot="1">
      <c r="A51" s="1">
        <v>2</v>
      </c>
      <c r="J51" s="79" t="str">
        <f>$F$5</f>
        <v>EOS Imaging System Compliance Inspection</v>
      </c>
      <c r="L51" s="110" t="s">
        <v>108</v>
      </c>
      <c r="M51" s="37"/>
      <c r="N51" s="37"/>
      <c r="O51" s="37"/>
      <c r="P51" s="37"/>
      <c r="Q51" s="37"/>
      <c r="R51" s="37"/>
      <c r="S51" s="37"/>
      <c r="T51" s="37"/>
      <c r="U51" s="37"/>
      <c r="V51" s="40"/>
      <c r="Z51" s="43" t="str">
        <f>IF(R14="","",R14)</f>
        <v>Number of X-ray Tubes:</v>
      </c>
      <c r="AA51" s="85"/>
      <c r="AB51" s="82" t="str">
        <f t="shared" si="0"/>
        <v>Change</v>
      </c>
      <c r="AC51" s="83">
        <f>IF(S14="","",S14)</f>
        <v>2</v>
      </c>
      <c r="AD51" s="76" t="s">
        <v>91</v>
      </c>
    </row>
    <row r="52" spans="1:30" ht="13.95" customHeight="1" thickTop="1">
      <c r="A52" s="1">
        <v>3</v>
      </c>
      <c r="B52" s="35"/>
      <c r="C52" s="37"/>
      <c r="D52" s="37"/>
      <c r="E52" s="37"/>
      <c r="F52" s="37"/>
      <c r="G52" s="37"/>
      <c r="H52" s="37"/>
      <c r="I52" s="37"/>
      <c r="J52" s="40"/>
      <c r="L52" s="111">
        <f>IF(M52&lt;&gt;"",M52,IF(OR(AA75=0,AA75=""),"",AA75))</f>
        <v>2</v>
      </c>
      <c r="M52" s="112">
        <v>2</v>
      </c>
      <c r="N52" s="591" t="s">
        <v>109</v>
      </c>
      <c r="O52" s="42"/>
      <c r="P52" s="2"/>
      <c r="U52" s="42"/>
      <c r="V52" s="48"/>
      <c r="Z52" s="43" t="str">
        <f t="shared" si="18"/>
        <v>Accession Number:</v>
      </c>
      <c r="AA52" s="85"/>
      <c r="AB52" s="82" t="str">
        <f t="shared" si="0"/>
        <v/>
      </c>
      <c r="AC52" s="83" t="str">
        <f>IF(S15="","",S15)</f>
        <v/>
      </c>
      <c r="AD52" s="76" t="s">
        <v>92</v>
      </c>
    </row>
    <row r="53" spans="1:30" ht="13.95" customHeight="1">
      <c r="A53" s="1">
        <v>4</v>
      </c>
      <c r="B53" s="119" t="s">
        <v>116</v>
      </c>
      <c r="C53" s="65"/>
      <c r="D53" s="42"/>
      <c r="E53" s="42"/>
      <c r="F53" s="55" t="s">
        <v>110</v>
      </c>
      <c r="G53" s="42"/>
      <c r="H53" s="42"/>
      <c r="I53" s="42"/>
      <c r="J53" s="495" t="s">
        <v>117</v>
      </c>
      <c r="L53" s="419"/>
      <c r="N53" s="46"/>
      <c r="O53" s="2"/>
      <c r="P53" s="2"/>
      <c r="Q53" s="2"/>
      <c r="R53" s="2"/>
      <c r="S53" s="2"/>
      <c r="T53" s="2"/>
      <c r="U53" s="2"/>
      <c r="V53" s="97"/>
      <c r="Z53" s="43" t="str">
        <f t="shared" si="18"/>
        <v/>
      </c>
      <c r="AA53" s="42"/>
      <c r="AB53" s="82" t="str">
        <f t="shared" si="0"/>
        <v/>
      </c>
      <c r="AC53" s="42"/>
      <c r="AD53" s="76"/>
    </row>
    <row r="54" spans="1:30" ht="13.95" customHeight="1">
      <c r="A54" s="1">
        <v>5</v>
      </c>
      <c r="B54" s="120" t="s">
        <v>118</v>
      </c>
      <c r="C54" s="65"/>
      <c r="D54" s="46" t="s">
        <v>119</v>
      </c>
      <c r="E54" s="42"/>
      <c r="F54" s="42"/>
      <c r="G54" s="42"/>
      <c r="H54" s="42"/>
      <c r="I54" s="42"/>
      <c r="J54" s="496" t="str" cm="1">
        <f t="array" ref="J54">_xlfn.SWITCH(L55,0,"",1,"YES",2,"NO",3,"NA")</f>
        <v/>
      </c>
      <c r="L54" s="113"/>
      <c r="M54" s="2"/>
      <c r="N54" s="2"/>
      <c r="O54" s="2"/>
      <c r="P54" s="55" t="s">
        <v>110</v>
      </c>
      <c r="Q54" s="2"/>
      <c r="R54" s="2"/>
      <c r="U54" s="54"/>
      <c r="V54" s="97"/>
      <c r="Z54" s="43" t="str">
        <f>IF(R18="","",R18)</f>
        <v>Date of Manufacture:</v>
      </c>
      <c r="AA54" s="84"/>
      <c r="AB54" s="82" t="str">
        <f t="shared" si="0"/>
        <v/>
      </c>
      <c r="AC54" s="407" t="str">
        <f>IF(S18="","",S18)</f>
        <v/>
      </c>
      <c r="AD54" s="76" t="s">
        <v>93</v>
      </c>
    </row>
    <row r="55" spans="1:30" ht="13.95" customHeight="1">
      <c r="A55" s="1">
        <v>6</v>
      </c>
      <c r="B55" s="120" t="s">
        <v>120</v>
      </c>
      <c r="C55" s="65"/>
      <c r="D55" s="46" t="s">
        <v>121</v>
      </c>
      <c r="E55" s="42"/>
      <c r="F55" s="42"/>
      <c r="G55" s="42"/>
      <c r="H55" s="42"/>
      <c r="I55" s="42"/>
      <c r="J55" s="496" t="str" cm="1">
        <f t="array" ref="J55">_xlfn.SWITCH(L56,0,"",1,"YES",2,"NO",3,"NA")</f>
        <v/>
      </c>
      <c r="L55" s="114"/>
      <c r="M55" s="46"/>
      <c r="N55" s="46" t="str">
        <f>IF(L53=1,"","SCDES registration sticker is present, clearly visible and legible.")</f>
        <v>SCDES registration sticker is present, clearly visible and legible.</v>
      </c>
      <c r="O55" s="42"/>
      <c r="P55" s="42"/>
      <c r="Q55" s="42"/>
      <c r="R55" s="42"/>
      <c r="S55" s="42"/>
      <c r="T55" s="2"/>
      <c r="U55" s="54"/>
      <c r="V55" s="48"/>
      <c r="Z55" s="43" t="str">
        <f>IF(R19="","",R19)</f>
        <v>Serial Number:</v>
      </c>
      <c r="AA55" s="85"/>
      <c r="AB55" s="82" t="str">
        <f t="shared" si="0"/>
        <v/>
      </c>
      <c r="AC55" s="83" t="str">
        <f>IF(S19="","",S19)</f>
        <v/>
      </c>
      <c r="AD55" s="76" t="s">
        <v>94</v>
      </c>
    </row>
    <row r="56" spans="1:30" ht="13.95" customHeight="1">
      <c r="A56" s="1">
        <v>7</v>
      </c>
      <c r="B56" s="120" t="s">
        <v>122</v>
      </c>
      <c r="C56" s="65"/>
      <c r="D56" s="46" t="s">
        <v>111</v>
      </c>
      <c r="E56" s="42"/>
      <c r="F56" s="42"/>
      <c r="G56" s="42"/>
      <c r="H56" s="42"/>
      <c r="I56" s="42"/>
      <c r="J56" s="496" t="str" cm="1">
        <f t="array" ref="J56">_xlfn.SWITCH(L57,0,"",1,"YES",2,"NO",3,"NA")</f>
        <v/>
      </c>
      <c r="L56" s="114"/>
      <c r="M56" s="46"/>
      <c r="N56" s="46" t="str">
        <f>IF(L53=1,"","SCDES form SC-RHA-20 ""Notice to Employees"" posted or referenced.")</f>
        <v>SCDES form SC-RHA-20 "Notice to Employees" posted or referenced.</v>
      </c>
      <c r="O56" s="42"/>
      <c r="P56" s="42"/>
      <c r="Q56" s="42"/>
      <c r="R56" s="42"/>
      <c r="S56" s="42"/>
      <c r="T56" s="2"/>
      <c r="U56" s="54"/>
      <c r="V56" s="48"/>
      <c r="Z56" s="43" t="str">
        <f>IF(R20="","",R20)</f>
        <v>Max. mA:</v>
      </c>
      <c r="AA56" s="85"/>
      <c r="AB56" s="82" t="str">
        <f t="shared" si="0"/>
        <v/>
      </c>
      <c r="AC56" s="83" t="str">
        <f>IF(S20="","",S20)</f>
        <v/>
      </c>
      <c r="AD56" s="76" t="s">
        <v>95</v>
      </c>
    </row>
    <row r="57" spans="1:30" ht="13.95" customHeight="1">
      <c r="A57" s="1">
        <v>8</v>
      </c>
      <c r="B57" s="120" t="s">
        <v>123</v>
      </c>
      <c r="C57" s="65"/>
      <c r="D57" s="46" t="s">
        <v>124</v>
      </c>
      <c r="E57" s="42"/>
      <c r="F57" s="42"/>
      <c r="G57" s="42"/>
      <c r="H57" s="42"/>
      <c r="I57" s="42"/>
      <c r="J57" s="496" t="str" cm="1">
        <f t="array" ref="J57">_xlfn.SWITCH(L58,0,"",1,"YES",2,"NO",3,"NA")</f>
        <v/>
      </c>
      <c r="L57" s="114"/>
      <c r="M57" s="42"/>
      <c r="N57" s="46" t="s">
        <v>111</v>
      </c>
      <c r="O57" s="42"/>
      <c r="P57" s="42"/>
      <c r="Q57" s="42"/>
      <c r="R57" s="42"/>
      <c r="S57" s="42"/>
      <c r="V57" s="48"/>
      <c r="Z57" s="43" t="str">
        <f>IF(R21="","",R21)</f>
        <v/>
      </c>
      <c r="AA57" s="42"/>
      <c r="AB57" s="82" t="str">
        <f t="shared" si="0"/>
        <v/>
      </c>
      <c r="AC57" s="42"/>
      <c r="AD57" s="76"/>
    </row>
    <row r="58" spans="1:30" ht="13.95" customHeight="1">
      <c r="A58" s="1">
        <v>9</v>
      </c>
      <c r="B58" s="120" t="s">
        <v>125</v>
      </c>
      <c r="C58" s="65"/>
      <c r="D58" s="46" t="s">
        <v>126</v>
      </c>
      <c r="E58" s="42"/>
      <c r="F58" s="42"/>
      <c r="G58" s="42"/>
      <c r="H58" s="497" t="s">
        <v>112</v>
      </c>
      <c r="I58" s="121" t="str">
        <f>IF(N59="","",N59)</f>
        <v/>
      </c>
      <c r="J58" s="496" t="str" cm="1">
        <f t="array" ref="J58">_xlfn.SWITCH(L59,0,"",1,"YES",2,"NO",3,"NA")</f>
        <v/>
      </c>
      <c r="L58" s="114"/>
      <c r="M58" s="46"/>
      <c r="N58" s="46" t="str">
        <f>IF(L53=1,"","Radiation warning label present on the generator control panel.")</f>
        <v>Radiation warning label present on the generator control panel.</v>
      </c>
      <c r="O58" s="42"/>
      <c r="P58" s="42"/>
      <c r="Q58" s="42"/>
      <c r="R58" s="42"/>
      <c r="S58" s="42"/>
      <c r="V58" s="48"/>
      <c r="Z58" s="79" t="s">
        <v>57</v>
      </c>
      <c r="AA58" s="42"/>
      <c r="AB58" s="82" t="str">
        <f t="shared" si="0"/>
        <v/>
      </c>
      <c r="AC58" s="55"/>
      <c r="AD58" s="76"/>
    </row>
    <row r="59" spans="1:30" ht="13.95" customHeight="1">
      <c r="A59" s="1">
        <v>10</v>
      </c>
      <c r="B59" s="120" t="s">
        <v>127</v>
      </c>
      <c r="C59" s="65"/>
      <c r="D59" s="46" t="s">
        <v>128</v>
      </c>
      <c r="E59" s="42"/>
      <c r="F59" s="42"/>
      <c r="G59" s="42"/>
      <c r="H59" s="498" t="s">
        <v>112</v>
      </c>
      <c r="I59" s="121" t="str">
        <f>IF(N60="","",N60)</f>
        <v/>
      </c>
      <c r="J59" s="496" t="str" cm="1">
        <f t="array" ref="J59">_xlfn.SWITCH(L60,0,"",1,"YES",2,"NO",3,"NA")</f>
        <v/>
      </c>
      <c r="L59" s="114"/>
      <c r="M59" s="43" t="s">
        <v>112</v>
      </c>
      <c r="N59" s="116"/>
      <c r="O59" s="46" t="s">
        <v>113</v>
      </c>
      <c r="P59" s="42"/>
      <c r="Q59" s="42"/>
      <c r="R59" s="42"/>
      <c r="S59" s="42"/>
      <c r="V59" s="115"/>
      <c r="Z59" s="43" t="str">
        <f>IF(R24="","",R24)</f>
        <v>Large:</v>
      </c>
      <c r="AA59" s="85"/>
      <c r="AB59" s="82" t="str">
        <f t="shared" si="0"/>
        <v/>
      </c>
      <c r="AC59" s="83" t="str">
        <f>IF(S24="","",S24)</f>
        <v/>
      </c>
      <c r="AD59" s="76" t="s">
        <v>96</v>
      </c>
    </row>
    <row r="60" spans="1:30" ht="13.95" customHeight="1">
      <c r="A60" s="1">
        <v>11</v>
      </c>
      <c r="B60" s="120"/>
      <c r="C60" s="65"/>
      <c r="D60" s="46" t="s">
        <v>129</v>
      </c>
      <c r="E60" s="42"/>
      <c r="F60" s="42"/>
      <c r="G60" s="42"/>
      <c r="H60" s="42"/>
      <c r="I60" s="42"/>
      <c r="J60" s="496" t="str" cm="1">
        <f t="array" ref="J60">_xlfn.SWITCH(L61,0,"",1,"YES",2,"NO",3,"NA")</f>
        <v/>
      </c>
      <c r="L60" s="114"/>
      <c r="M60" s="43" t="s">
        <v>112</v>
      </c>
      <c r="N60" s="116"/>
      <c r="O60" s="46" t="s">
        <v>114</v>
      </c>
      <c r="P60" s="42"/>
      <c r="Q60" s="42"/>
      <c r="R60" s="42"/>
      <c r="S60" s="42"/>
      <c r="V60" s="115"/>
      <c r="Z60" s="43" t="str">
        <f>IF(R25="","",R25)</f>
        <v>Small:</v>
      </c>
      <c r="AA60" s="85"/>
      <c r="AB60" s="82" t="str">
        <f t="shared" si="0"/>
        <v/>
      </c>
      <c r="AC60" s="83" t="str">
        <f>IF(S25="","",S25)</f>
        <v/>
      </c>
      <c r="AD60" s="76" t="s">
        <v>97</v>
      </c>
    </row>
    <row r="61" spans="1:30" ht="13.95" customHeight="1">
      <c r="A61" s="1">
        <v>12</v>
      </c>
      <c r="B61" s="120"/>
      <c r="C61" s="65"/>
      <c r="D61" s="46" t="s">
        <v>130</v>
      </c>
      <c r="E61" s="42"/>
      <c r="F61" s="42"/>
      <c r="G61" s="42"/>
      <c r="H61" s="42"/>
      <c r="I61" s="42"/>
      <c r="J61" s="496" t="str" cm="1">
        <f t="array" ref="J61">_xlfn.SWITCH(L62,0,"",1,"YES",2,"NO",3,"NA")</f>
        <v/>
      </c>
      <c r="L61" s="114"/>
      <c r="M61" s="46"/>
      <c r="N61" s="46" t="str">
        <f>IF(L53=1,"","Operators manuals are available.")</f>
        <v>Operators manuals are available.</v>
      </c>
      <c r="O61" s="42"/>
      <c r="P61" s="42"/>
      <c r="Q61" s="42"/>
      <c r="R61" s="42"/>
      <c r="S61" s="42"/>
      <c r="V61" s="115"/>
      <c r="Z61" s="43" t="str">
        <f>IF(R26="","",R26)</f>
        <v>Micro:</v>
      </c>
      <c r="AA61" s="85"/>
      <c r="AB61" s="82" t="str">
        <f t="shared" si="0"/>
        <v/>
      </c>
      <c r="AC61" s="83" t="str">
        <f>IF(S26="","",S26)</f>
        <v/>
      </c>
      <c r="AD61" s="76" t="s">
        <v>98</v>
      </c>
    </row>
    <row r="62" spans="1:30" ht="13.95" customHeight="1">
      <c r="A62" s="1">
        <v>13</v>
      </c>
      <c r="B62" s="419"/>
      <c r="J62" s="418"/>
      <c r="L62" s="114"/>
      <c r="M62" s="42"/>
      <c r="N62" s="46" t="str">
        <f>IF(L53=1,"","Monthly radiation monitoring reports are posted.")</f>
        <v>Monthly radiation monitoring reports are posted.</v>
      </c>
      <c r="O62" s="42"/>
      <c r="P62" s="42"/>
      <c r="Q62" s="42"/>
      <c r="R62" s="42"/>
      <c r="S62" s="42"/>
      <c r="V62" s="115"/>
      <c r="Z62" s="79" t="s">
        <v>35</v>
      </c>
      <c r="AA62" s="42"/>
      <c r="AB62" s="82" t="str">
        <f t="shared" si="0"/>
        <v/>
      </c>
      <c r="AC62" s="55"/>
      <c r="AD62" s="76"/>
    </row>
    <row r="63" spans="1:30" ht="13.95" customHeight="1">
      <c r="A63" s="1">
        <v>14</v>
      </c>
      <c r="B63" s="419"/>
      <c r="F63" s="55" t="s">
        <v>260</v>
      </c>
      <c r="J63" s="418"/>
      <c r="L63" s="419"/>
      <c r="V63" s="418"/>
      <c r="Z63" s="43" t="str">
        <f>IF(R28="","",R28)</f>
        <v>Inherent:</v>
      </c>
      <c r="AA63" s="85"/>
      <c r="AB63" s="82" t="str">
        <f t="shared" si="0"/>
        <v/>
      </c>
      <c r="AC63" s="83" t="str">
        <f>IF(S28="","",S28)</f>
        <v/>
      </c>
      <c r="AD63" s="76" t="s">
        <v>99</v>
      </c>
    </row>
    <row r="64" spans="1:30" ht="13.95" customHeight="1">
      <c r="A64" s="1">
        <v>15</v>
      </c>
      <c r="B64" s="120" t="s">
        <v>264</v>
      </c>
      <c r="C64" s="499"/>
      <c r="D64" s="46" t="s">
        <v>261</v>
      </c>
      <c r="E64" s="2"/>
      <c r="F64" s="2"/>
      <c r="G64" s="2"/>
      <c r="H64" s="2"/>
      <c r="I64" s="2"/>
      <c r="J64" s="496" t="str" cm="1">
        <f t="array" ref="J64">_xlfn.SWITCH(L275,0,"",1,"YES",2,"NO",3,"NA")</f>
        <v/>
      </c>
      <c r="L64" s="419"/>
      <c r="V64" s="418"/>
      <c r="Z64" s="43" t="str">
        <f>IF(R29="","",R29)</f>
        <v>Added:</v>
      </c>
      <c r="AA64" s="85"/>
      <c r="AB64" s="82" t="str">
        <f t="shared" si="0"/>
        <v/>
      </c>
      <c r="AC64" s="83" t="str">
        <f>IF(S29="","",S29)</f>
        <v/>
      </c>
      <c r="AD64" s="76" t="s">
        <v>100</v>
      </c>
    </row>
    <row r="65" spans="1:30" ht="13.95" customHeight="1">
      <c r="A65" s="1">
        <v>16</v>
      </c>
      <c r="B65" s="120" t="s">
        <v>265</v>
      </c>
      <c r="C65" s="499"/>
      <c r="D65" s="46" t="s">
        <v>262</v>
      </c>
      <c r="E65" s="46"/>
      <c r="F65" s="46"/>
      <c r="G65" s="46"/>
      <c r="H65" s="46"/>
      <c r="I65" s="46"/>
      <c r="J65" s="496" t="str" cm="1">
        <f t="array" ref="J65">_xlfn.SWITCH(L276,0,"",1,"YES",2,"NO",3,"NA")</f>
        <v/>
      </c>
      <c r="L65" s="419"/>
      <c r="O65" s="42"/>
      <c r="P65" s="42"/>
      <c r="Q65" s="42"/>
      <c r="R65" s="42"/>
      <c r="S65" s="42"/>
      <c r="V65" s="115"/>
      <c r="Z65" s="43" t="str">
        <f>IF(R30="","",R30)</f>
        <v/>
      </c>
      <c r="AA65" s="42"/>
      <c r="AB65" s="82" t="str">
        <f t="shared" si="0"/>
        <v/>
      </c>
      <c r="AC65" s="42"/>
      <c r="AD65" s="76"/>
    </row>
    <row r="66" spans="1:30" ht="13.95" customHeight="1" thickBot="1">
      <c r="A66" s="1">
        <v>17</v>
      </c>
      <c r="B66" s="120" t="s">
        <v>266</v>
      </c>
      <c r="C66" s="499"/>
      <c r="D66" s="46" t="s">
        <v>267</v>
      </c>
      <c r="E66" s="42"/>
      <c r="F66" s="42"/>
      <c r="G66" s="42"/>
      <c r="H66" s="42"/>
      <c r="I66" s="42"/>
      <c r="J66" s="496" t="str">
        <f>IF(U284="","",U284)</f>
        <v>TBD</v>
      </c>
      <c r="L66" s="66"/>
      <c r="M66" s="98"/>
      <c r="N66" s="98"/>
      <c r="O66" s="98"/>
      <c r="P66" s="98"/>
      <c r="Q66" s="98"/>
      <c r="R66" s="98"/>
      <c r="S66" s="98"/>
      <c r="T66" s="424"/>
      <c r="U66" s="424"/>
      <c r="V66" s="117"/>
      <c r="Z66" s="79" t="s">
        <v>57</v>
      </c>
      <c r="AA66" s="42"/>
      <c r="AB66" s="82" t="str">
        <f>IF(AND(OR(AA66="",AA66=0),OR(AC66="",AC66=0)),"",IF(AA66&lt;&gt;AC66,"Change",""))</f>
        <v/>
      </c>
      <c r="AC66" s="55"/>
      <c r="AD66" s="76"/>
    </row>
    <row r="67" spans="1:30" ht="13.95" customHeight="1" thickTop="1">
      <c r="A67" s="1">
        <v>18</v>
      </c>
      <c r="B67" s="120" t="s">
        <v>268</v>
      </c>
      <c r="C67" s="499"/>
      <c r="D67" s="46" t="s">
        <v>269</v>
      </c>
      <c r="E67" s="42"/>
      <c r="F67" s="42"/>
      <c r="G67" s="42"/>
      <c r="H67" s="42"/>
      <c r="I67" s="42"/>
      <c r="J67" s="496" t="str">
        <f>IF(OR(P407="TBD",U407="TBD"),"TBD",IF(OR(P407="NO",U407="NO"),"NO","YES"))</f>
        <v>TBD</v>
      </c>
      <c r="L67" s="2"/>
      <c r="M67" s="2"/>
      <c r="N67" s="2"/>
      <c r="O67" s="2"/>
      <c r="P67" s="2"/>
      <c r="Q67" s="2"/>
      <c r="R67" s="2"/>
      <c r="S67" s="2"/>
      <c r="V67" s="2"/>
      <c r="Z67" s="43" t="str">
        <f>IF(R37="","",R37)</f>
        <v>Large:</v>
      </c>
      <c r="AA67" s="85"/>
      <c r="AB67" s="82" t="str">
        <f>IF(AND(OR(AA67="",AA67=0),OR(AC67="",AC67=0)),"",IF(AA67&lt;&gt;AC67,"Change",""))</f>
        <v/>
      </c>
      <c r="AC67" s="83" t="str">
        <f>IF(S37="","",S37)</f>
        <v/>
      </c>
      <c r="AD67" s="76" t="s">
        <v>101</v>
      </c>
    </row>
    <row r="68" spans="1:30" ht="13.95" customHeight="1">
      <c r="A68" s="1">
        <v>19</v>
      </c>
      <c r="B68" s="419"/>
      <c r="D68" s="46" t="s">
        <v>645</v>
      </c>
      <c r="E68" s="42"/>
      <c r="F68" s="42"/>
      <c r="G68" s="42"/>
      <c r="H68" s="42"/>
      <c r="I68" s="42"/>
      <c r="J68" s="496" t="str">
        <f>IF(T299="","",T299)</f>
        <v>TBD</v>
      </c>
      <c r="L68" s="2"/>
      <c r="M68" s="2"/>
      <c r="N68" s="2"/>
      <c r="O68" s="2"/>
      <c r="P68" s="2"/>
      <c r="Q68" s="122" t="s">
        <v>131</v>
      </c>
      <c r="R68" s="2"/>
      <c r="S68" s="2"/>
      <c r="T68" s="2"/>
      <c r="U68" s="2"/>
      <c r="V68" s="2"/>
      <c r="Z68" s="43" t="str">
        <f>IF(R38="","",R38)</f>
        <v>Small:</v>
      </c>
      <c r="AA68" s="85"/>
      <c r="AB68" s="82" t="str">
        <f>IF(AND(OR(AA68="",AA68=0),OR(AC68="",AC68=0)),"",IF(AA68&lt;&gt;AC68,"Change",""))</f>
        <v/>
      </c>
      <c r="AC68" s="83" t="str">
        <f>IF(S38="","",S38)</f>
        <v/>
      </c>
      <c r="AD68" s="76" t="s">
        <v>102</v>
      </c>
    </row>
    <row r="69" spans="1:30" ht="13.95" customHeight="1" thickBot="1">
      <c r="A69" s="1">
        <v>20</v>
      </c>
      <c r="B69" s="120" t="s">
        <v>657</v>
      </c>
      <c r="C69" s="499"/>
      <c r="D69" s="46" t="s">
        <v>646</v>
      </c>
      <c r="J69" s="97" t="str">
        <f>IF(OR(R316="NO",S316="NO",R317="NO",S317="NO"),"NO",IF(OR(R316="NA",S316="NA",R317="NA",S317="NA"),"NA","YES"))</f>
        <v>NA</v>
      </c>
      <c r="L69" s="2"/>
      <c r="M69" s="70" t="s">
        <v>132</v>
      </c>
      <c r="N69" s="2"/>
      <c r="O69" s="2"/>
      <c r="P69" s="2"/>
      <c r="Q69" s="2"/>
      <c r="R69" s="2"/>
      <c r="S69" s="2"/>
      <c r="T69" s="2"/>
      <c r="U69" s="2"/>
      <c r="V69" s="2"/>
      <c r="Z69" s="43" t="str">
        <f>IF(R39="","",R39)</f>
        <v>Micro:</v>
      </c>
      <c r="AA69" s="85"/>
      <c r="AB69" s="82" t="str">
        <f>IF(AND(OR(AA69="",AA69=0),OR(AC69="",AC69=0)),"",IF(AA69&lt;&gt;AC69,"Change",""))</f>
        <v/>
      </c>
      <c r="AC69" s="83" t="str">
        <f>IF(S39="","",S39)</f>
        <v/>
      </c>
      <c r="AD69" s="76" t="s">
        <v>103</v>
      </c>
    </row>
    <row r="70" spans="1:30" ht="13.95" customHeight="1" thickTop="1">
      <c r="A70" s="1">
        <v>21</v>
      </c>
      <c r="B70" s="419"/>
      <c r="J70" s="418"/>
      <c r="L70" s="123"/>
      <c r="M70" s="86"/>
      <c r="N70" s="86"/>
      <c r="O70" s="124"/>
      <c r="P70" s="125" t="s">
        <v>133</v>
      </c>
      <c r="Q70" s="86"/>
      <c r="R70" s="86"/>
      <c r="S70" s="86"/>
      <c r="T70" s="86"/>
      <c r="U70" s="86"/>
      <c r="V70" s="126"/>
      <c r="Z70" s="2"/>
      <c r="AA70" s="2"/>
      <c r="AB70" s="2"/>
      <c r="AC70" s="2"/>
      <c r="AD70" s="76"/>
    </row>
    <row r="71" spans="1:30" ht="13.95" customHeight="1">
      <c r="A71" s="1">
        <v>22</v>
      </c>
      <c r="B71" s="419"/>
      <c r="F71" s="55" t="s">
        <v>647</v>
      </c>
      <c r="J71" s="418"/>
      <c r="L71" s="127"/>
      <c r="M71" s="43" t="s">
        <v>134</v>
      </c>
      <c r="N71" s="128"/>
      <c r="O71" s="129"/>
      <c r="P71" s="130" t="str">
        <f>IF(OR(AA77=0,AA77=""),"",AA77)</f>
        <v/>
      </c>
      <c r="Q71" s="87"/>
      <c r="R71" s="87"/>
      <c r="S71" s="87"/>
      <c r="T71" s="87"/>
      <c r="U71" s="87"/>
      <c r="V71" s="48"/>
      <c r="Z71" s="79" t="s">
        <v>35</v>
      </c>
      <c r="AA71" s="42"/>
      <c r="AB71" s="82" t="str">
        <f>IF(AND(OR(AA71="",AA71=0),OR(AC71="",AC71=0)),"",IF(AA71&lt;&gt;AC71,"Change",""))</f>
        <v/>
      </c>
      <c r="AC71" s="55"/>
      <c r="AD71" s="76"/>
    </row>
    <row r="72" spans="1:30" ht="13.95" customHeight="1">
      <c r="A72" s="1">
        <v>23</v>
      </c>
      <c r="B72" s="120" t="s">
        <v>648</v>
      </c>
      <c r="C72" s="65"/>
      <c r="D72" s="46" t="s">
        <v>518</v>
      </c>
      <c r="J72" s="496" t="str" cm="1">
        <f t="array" ref="J72">_xlfn.SWITCH(L411,0,"",1,"YES",2,"NO",3,"NA")</f>
        <v/>
      </c>
      <c r="L72" s="131"/>
      <c r="M72" s="132" t="s">
        <v>135</v>
      </c>
      <c r="N72" s="133"/>
      <c r="O72" s="134">
        <f>LEN(N71)</f>
        <v>0</v>
      </c>
      <c r="P72" s="135"/>
      <c r="Q72" s="136">
        <f>LEN(P71)</f>
        <v>0</v>
      </c>
      <c r="R72" s="137" t="s">
        <v>136</v>
      </c>
      <c r="S72" s="88"/>
      <c r="T72" s="88"/>
      <c r="U72" s="88"/>
      <c r="V72" s="89"/>
      <c r="Z72" s="43" t="str">
        <f>IF(R41="","",R41)</f>
        <v>Inherent:</v>
      </c>
      <c r="AA72" s="85"/>
      <c r="AB72" s="82" t="str">
        <f>IF(AND(OR(AA72="",AA72=0),OR(AC72="",AC72=0)),"",IF(AA72&lt;&gt;AC72,"Change",""))</f>
        <v/>
      </c>
      <c r="AC72" s="83" t="str">
        <f>IF(S41="","",S41)</f>
        <v/>
      </c>
      <c r="AD72" s="76" t="s">
        <v>104</v>
      </c>
    </row>
    <row r="73" spans="1:30" ht="13.95" customHeight="1">
      <c r="A73" s="1">
        <v>24</v>
      </c>
      <c r="B73" s="120"/>
      <c r="C73" s="500"/>
      <c r="D73" s="46" t="s">
        <v>519</v>
      </c>
      <c r="J73" s="496" t="str" cm="1">
        <f t="array" ref="J73">_xlfn.SWITCH(L412,0,"",1,"YES",2,"NO",3,"NA")</f>
        <v/>
      </c>
      <c r="L73" s="131"/>
      <c r="M73" s="43" t="s">
        <v>137</v>
      </c>
      <c r="N73" s="128"/>
      <c r="O73" s="129"/>
      <c r="P73" s="130" t="str">
        <f>IF(OR(AA79=0,AA79=""),"",AA79)</f>
        <v/>
      </c>
      <c r="Q73" s="87"/>
      <c r="R73" s="87"/>
      <c r="S73" s="87"/>
      <c r="T73" s="87"/>
      <c r="U73" s="87"/>
      <c r="V73" s="48"/>
      <c r="Z73" s="43" t="str">
        <f>IF(R42="","",R42)</f>
        <v>Added:</v>
      </c>
      <c r="AA73" s="85"/>
      <c r="AB73" s="82" t="str">
        <f>IF(AND(OR(AA73="",AA73=0),OR(AC73="",AC73=0)),"",IF(AA73&lt;&gt;AC73,"Change",""))</f>
        <v/>
      </c>
      <c r="AC73" s="83" t="str">
        <f>IF(S42="","",S42)</f>
        <v/>
      </c>
      <c r="AD73" s="76" t="s">
        <v>105</v>
      </c>
    </row>
    <row r="74" spans="1:30" ht="13.95" customHeight="1">
      <c r="A74" s="1">
        <v>25</v>
      </c>
      <c r="B74" s="120"/>
      <c r="C74" s="500"/>
      <c r="D74" s="46" t="s">
        <v>512</v>
      </c>
      <c r="J74" s="496" t="str" cm="1">
        <f t="array" ref="J74">_xlfn.SWITCH(L413,0,"",1,"YES",2,"NO",3,"NA")</f>
        <v/>
      </c>
      <c r="L74" s="131"/>
      <c r="M74" s="132" t="s">
        <v>135</v>
      </c>
      <c r="N74" s="133"/>
      <c r="O74" s="134">
        <f>LEN(N73)</f>
        <v>0</v>
      </c>
      <c r="P74" s="135"/>
      <c r="Q74" s="136">
        <f>LEN(P73)</f>
        <v>0</v>
      </c>
      <c r="R74" s="137" t="s">
        <v>138</v>
      </c>
      <c r="S74" s="87"/>
      <c r="T74" s="87"/>
      <c r="U74" s="87"/>
      <c r="V74" s="48"/>
    </row>
    <row r="75" spans="1:30" ht="13.95" customHeight="1">
      <c r="A75" s="1">
        <v>26</v>
      </c>
      <c r="B75" s="120"/>
      <c r="C75" s="500"/>
      <c r="D75" s="46" t="s">
        <v>513</v>
      </c>
      <c r="J75" s="496" t="str" cm="1">
        <f t="array" ref="J75">_xlfn.SWITCH(L414,0,"",1,"YES",2,"NO",3,"NA")</f>
        <v/>
      </c>
      <c r="L75" s="138"/>
      <c r="M75" s="43" t="s">
        <v>137</v>
      </c>
      <c r="N75" s="128"/>
      <c r="O75" s="129"/>
      <c r="P75" s="130" t="str">
        <f>IF(OR(AA81=0,AA81=""),"",AA81)</f>
        <v/>
      </c>
      <c r="Q75" s="88"/>
      <c r="R75" s="88"/>
      <c r="S75" s="88"/>
      <c r="T75" s="88"/>
      <c r="U75" s="88"/>
      <c r="V75" s="89"/>
      <c r="Z75" s="43" t="s">
        <v>58</v>
      </c>
      <c r="AA75" s="85"/>
      <c r="AB75" s="82" t="str">
        <f>IF(AND(OR(AA75="",AA75=0),OR(AC75="",AC75=0)),"",IF(AA75&lt;&gt;AC75,"Change",""))</f>
        <v>Change</v>
      </c>
      <c r="AC75" s="157">
        <f>IF(L52="","",L52)</f>
        <v>2</v>
      </c>
      <c r="AD75" s="76" t="s">
        <v>59</v>
      </c>
    </row>
    <row r="76" spans="1:30" ht="13.95" customHeight="1">
      <c r="A76" s="1">
        <v>27</v>
      </c>
      <c r="B76" s="120" t="s">
        <v>649</v>
      </c>
      <c r="C76" s="500"/>
      <c r="D76" s="46" t="s">
        <v>514</v>
      </c>
      <c r="J76" s="496" t="str" cm="1">
        <f t="array" ref="J76">_xlfn.SWITCH(L415,0,"",1,"YES",2,"NO",3,"NA")</f>
        <v/>
      </c>
      <c r="L76" s="131"/>
      <c r="M76" s="132" t="s">
        <v>135</v>
      </c>
      <c r="N76" s="133"/>
      <c r="O76" s="134">
        <f>LEN(N75)</f>
        <v>0</v>
      </c>
      <c r="P76" s="135"/>
      <c r="Q76" s="136">
        <f>LEN(P75)</f>
        <v>0</v>
      </c>
      <c r="R76" s="137" t="s">
        <v>139</v>
      </c>
      <c r="S76" s="87"/>
      <c r="T76" s="87"/>
      <c r="U76" s="87"/>
      <c r="V76" s="48"/>
    </row>
    <row r="77" spans="1:30" ht="13.95" customHeight="1">
      <c r="A77" s="1">
        <v>28</v>
      </c>
      <c r="B77" s="120" t="s">
        <v>650</v>
      </c>
      <c r="C77" s="500"/>
      <c r="D77" s="46" t="s">
        <v>515</v>
      </c>
      <c r="J77" s="496" t="str" cm="1">
        <f t="array" ref="J77">_xlfn.SWITCH(L416,0,"",1,"YES",2,"NO",3,"NA")</f>
        <v/>
      </c>
      <c r="L77" s="131"/>
      <c r="M77" s="43" t="s">
        <v>137</v>
      </c>
      <c r="N77" s="128"/>
      <c r="O77" s="129"/>
      <c r="P77" s="130" t="str">
        <f>IF(OR(AA83=0,AA83=""),"",AA83)</f>
        <v/>
      </c>
      <c r="Q77" s="87"/>
      <c r="R77" s="87"/>
      <c r="S77" s="87"/>
      <c r="T77" s="87"/>
      <c r="U77" s="87"/>
      <c r="V77" s="48"/>
      <c r="Z77" s="79" t="s">
        <v>146</v>
      </c>
      <c r="AA77" s="158"/>
      <c r="AB77" s="82" t="str">
        <f t="shared" ref="AB77:AB90" si="19">IF(AND(OR(AA77="",AA77=0),OR(AC77="",AC77=0)),"",IF(AA77&lt;&gt;AC77,"Change",""))</f>
        <v/>
      </c>
      <c r="AC77" s="206">
        <f>N71</f>
        <v>0</v>
      </c>
      <c r="AD77" s="159" t="s">
        <v>147</v>
      </c>
    </row>
    <row r="78" spans="1:30" ht="13.95" customHeight="1">
      <c r="A78" s="1">
        <v>29</v>
      </c>
      <c r="B78" s="120" t="s">
        <v>651</v>
      </c>
      <c r="C78" s="500"/>
      <c r="D78" s="46" t="s">
        <v>516</v>
      </c>
      <c r="J78" s="496" t="str" cm="1">
        <f t="array" ref="J78">_xlfn.SWITCH(L417,0,"",1,"YES",2,"NO",3,"NA")</f>
        <v/>
      </c>
      <c r="L78" s="138"/>
      <c r="M78" s="132" t="s">
        <v>135</v>
      </c>
      <c r="N78" s="133"/>
      <c r="O78" s="134">
        <f>LEN(N77)</f>
        <v>0</v>
      </c>
      <c r="P78" s="135"/>
      <c r="Q78" s="136">
        <f>LEN(P77)</f>
        <v>0</v>
      </c>
      <c r="R78" s="137" t="s">
        <v>140</v>
      </c>
      <c r="S78" s="88"/>
      <c r="T78" s="88"/>
      <c r="U78" s="88"/>
      <c r="V78" s="89"/>
      <c r="Z78" s="42"/>
      <c r="AA78" s="42"/>
      <c r="AB78" s="82" t="str">
        <f t="shared" si="19"/>
        <v/>
      </c>
      <c r="AC78" s="408"/>
      <c r="AD78" s="159"/>
    </row>
    <row r="79" spans="1:30" ht="13.95" customHeight="1">
      <c r="A79" s="1">
        <v>30</v>
      </c>
      <c r="B79" s="120"/>
      <c r="C79" s="500"/>
      <c r="D79" s="46" t="s">
        <v>517</v>
      </c>
      <c r="J79" s="496" t="str" cm="1">
        <f t="array" ref="J79">_xlfn.SWITCH(L418,0,"",1,"YES",2,"NO",3,"NA")</f>
        <v/>
      </c>
      <c r="L79" s="131"/>
      <c r="M79" s="43" t="s">
        <v>137</v>
      </c>
      <c r="N79" s="128"/>
      <c r="O79" s="129"/>
      <c r="P79" s="130" t="str">
        <f>IF(OR(AA85=0,AA85=""),"",AA85)</f>
        <v/>
      </c>
      <c r="Q79" s="87"/>
      <c r="R79" s="87"/>
      <c r="S79" s="87"/>
      <c r="T79" s="87"/>
      <c r="U79" s="87"/>
      <c r="V79" s="48"/>
      <c r="Z79" s="42"/>
      <c r="AA79" s="158"/>
      <c r="AB79" s="82" t="str">
        <f t="shared" si="19"/>
        <v/>
      </c>
      <c r="AC79" s="206">
        <f>N73</f>
        <v>0</v>
      </c>
      <c r="AD79" s="159" t="s">
        <v>148</v>
      </c>
    </row>
    <row r="80" spans="1:30" ht="13.95" customHeight="1">
      <c r="A80" s="1">
        <v>31</v>
      </c>
      <c r="B80" s="120" t="s">
        <v>652</v>
      </c>
      <c r="C80" s="499"/>
      <c r="D80" s="46" t="s">
        <v>490</v>
      </c>
      <c r="J80" s="496"/>
      <c r="L80" s="131"/>
      <c r="M80" s="132" t="s">
        <v>135</v>
      </c>
      <c r="N80" s="133"/>
      <c r="O80" s="134">
        <f>LEN(N79)</f>
        <v>0</v>
      </c>
      <c r="P80" s="135"/>
      <c r="Q80" s="136">
        <f>LEN(P79)</f>
        <v>0</v>
      </c>
      <c r="R80" s="137" t="s">
        <v>141</v>
      </c>
      <c r="S80" s="87"/>
      <c r="T80" s="87"/>
      <c r="U80" s="87"/>
      <c r="V80" s="48"/>
      <c r="Z80" s="42"/>
      <c r="AA80" s="42"/>
      <c r="AB80" s="82" t="str">
        <f t="shared" si="19"/>
        <v/>
      </c>
      <c r="AC80" s="408"/>
      <c r="AD80" s="159"/>
    </row>
    <row r="81" spans="1:30" ht="13.95" customHeight="1">
      <c r="A81" s="1">
        <v>32</v>
      </c>
      <c r="B81" s="120" t="s">
        <v>653</v>
      </c>
      <c r="C81" s="499"/>
      <c r="D81" s="46" t="s">
        <v>654</v>
      </c>
      <c r="J81" s="496" t="str">
        <f>IF(OR(N370="NO",P370="NO",S370="NO",U370="NO"),"NO",IF(OR(N370="NA",P370="NA",S370="NA",U370="NA"),"NA","YES"))</f>
        <v>NA</v>
      </c>
      <c r="L81" s="138"/>
      <c r="M81" s="43" t="s">
        <v>137</v>
      </c>
      <c r="N81" s="128"/>
      <c r="O81" s="129"/>
      <c r="P81" s="130" t="str">
        <f>IF(OR(AA87=0,AA87=""),"",AA87)</f>
        <v/>
      </c>
      <c r="Q81" s="88"/>
      <c r="R81" s="88"/>
      <c r="S81" s="88"/>
      <c r="T81" s="88"/>
      <c r="U81" s="88"/>
      <c r="V81" s="89"/>
      <c r="Z81" s="42"/>
      <c r="AA81" s="158"/>
      <c r="AB81" s="82" t="str">
        <f t="shared" si="19"/>
        <v/>
      </c>
      <c r="AC81" s="206">
        <f>N75</f>
        <v>0</v>
      </c>
      <c r="AD81" s="159" t="s">
        <v>149</v>
      </c>
    </row>
    <row r="82" spans="1:30" ht="13.95" customHeight="1">
      <c r="A82" s="1">
        <v>33</v>
      </c>
      <c r="B82" s="120" t="s">
        <v>655</v>
      </c>
      <c r="C82" s="499"/>
      <c r="D82" s="46" t="s">
        <v>656</v>
      </c>
      <c r="E82" s="42"/>
      <c r="F82" s="42"/>
      <c r="G82" s="42"/>
      <c r="H82" s="42"/>
      <c r="I82" s="42"/>
      <c r="J82" s="504" t="str">
        <f>IF(OR(P383="NA",U383="NA"),"NA",IF(OR(P383="NO",U383="NO"),"NO","YES"))</f>
        <v>NA</v>
      </c>
      <c r="L82" s="131"/>
      <c r="M82" s="132" t="s">
        <v>135</v>
      </c>
      <c r="N82" s="133"/>
      <c r="O82" s="134">
        <f>LEN(N81)</f>
        <v>0</v>
      </c>
      <c r="P82" s="135"/>
      <c r="Q82" s="136">
        <f>LEN(P81)</f>
        <v>0</v>
      </c>
      <c r="R82" s="137" t="s">
        <v>142</v>
      </c>
      <c r="S82" s="87"/>
      <c r="T82" s="87"/>
      <c r="U82" s="87"/>
      <c r="V82" s="48"/>
      <c r="Z82" s="42"/>
      <c r="AA82" s="42"/>
      <c r="AB82" s="82" t="str">
        <f t="shared" si="19"/>
        <v/>
      </c>
      <c r="AC82" s="408"/>
      <c r="AD82" s="159"/>
    </row>
    <row r="83" spans="1:30" ht="13.95" customHeight="1">
      <c r="A83" s="1">
        <v>34</v>
      </c>
      <c r="B83" s="419"/>
      <c r="J83" s="418"/>
      <c r="L83" s="131"/>
      <c r="M83" s="43" t="s">
        <v>137</v>
      </c>
      <c r="N83" s="128"/>
      <c r="O83" s="129"/>
      <c r="P83" s="130" t="str">
        <f>IF(OR(AA89=0,AA89=""),"",AA89)</f>
        <v/>
      </c>
      <c r="Q83" s="87"/>
      <c r="R83" s="87"/>
      <c r="S83" s="87"/>
      <c r="T83" s="87"/>
      <c r="U83" s="87"/>
      <c r="V83" s="48"/>
      <c r="Z83" s="42"/>
      <c r="AA83" s="158"/>
      <c r="AB83" s="82" t="str">
        <f t="shared" si="19"/>
        <v/>
      </c>
      <c r="AC83" s="206">
        <f>N77</f>
        <v>0</v>
      </c>
      <c r="AD83" s="159" t="s">
        <v>150</v>
      </c>
    </row>
    <row r="84" spans="1:30" ht="13.95" customHeight="1">
      <c r="A84" s="1">
        <v>35</v>
      </c>
      <c r="B84" s="419"/>
      <c r="F84" s="55" t="s">
        <v>427</v>
      </c>
      <c r="J84" s="418"/>
      <c r="L84" s="138"/>
      <c r="M84" s="132" t="s">
        <v>135</v>
      </c>
      <c r="N84" s="133"/>
      <c r="O84" s="134">
        <f>LEN(N83)</f>
        <v>0</v>
      </c>
      <c r="P84" s="135"/>
      <c r="Q84" s="136">
        <f>LEN(P83)</f>
        <v>0</v>
      </c>
      <c r="R84" s="137" t="s">
        <v>143</v>
      </c>
      <c r="S84" s="88"/>
      <c r="T84" s="88"/>
      <c r="U84" s="88"/>
      <c r="V84" s="89"/>
      <c r="Z84" s="42"/>
      <c r="AA84" s="42"/>
      <c r="AB84" s="82" t="str">
        <f t="shared" si="19"/>
        <v/>
      </c>
      <c r="AC84" s="408"/>
      <c r="AD84" s="159"/>
    </row>
    <row r="85" spans="1:30" ht="13.95" customHeight="1">
      <c r="A85" s="1">
        <v>36</v>
      </c>
      <c r="B85" s="419"/>
      <c r="D85" s="46" t="s">
        <v>438</v>
      </c>
      <c r="E85" s="2"/>
      <c r="F85" s="2"/>
      <c r="G85" s="2"/>
      <c r="H85" s="2"/>
      <c r="I85" s="2"/>
      <c r="J85" s="496" t="str" cm="1">
        <f t="array" ref="J85">_xlfn.SWITCH(L334,0,"",1,"YES",2,"NO",3,"NA")</f>
        <v>NA</v>
      </c>
      <c r="L85" s="419"/>
      <c r="V85" s="48"/>
      <c r="Z85" s="42"/>
      <c r="AA85" s="158"/>
      <c r="AB85" s="82" t="str">
        <f t="shared" si="19"/>
        <v/>
      </c>
      <c r="AC85" s="206">
        <f>N79</f>
        <v>0</v>
      </c>
      <c r="AD85" s="159" t="s">
        <v>151</v>
      </c>
    </row>
    <row r="86" spans="1:30" ht="13.95" customHeight="1">
      <c r="A86" s="1">
        <v>37</v>
      </c>
      <c r="B86" s="419"/>
      <c r="D86" s="46" t="s">
        <v>762</v>
      </c>
      <c r="E86" s="42"/>
      <c r="F86" s="42"/>
      <c r="G86" s="42"/>
      <c r="H86" s="42"/>
      <c r="I86" s="42"/>
      <c r="J86" s="496" t="str">
        <f>IF(OR(V483="NO",V503="NO"),"NO",IF(AND(V483="NA",V503="NA"),"NA",IF(OR(V483="YES",V503="YES"),"YES","TBD")))</f>
        <v>NA</v>
      </c>
      <c r="L86" s="419"/>
      <c r="M86" s="140"/>
      <c r="N86" s="140"/>
      <c r="O86" s="141"/>
      <c r="P86" s="142"/>
      <c r="Q86" s="142"/>
      <c r="R86" s="142"/>
      <c r="S86" s="142"/>
      <c r="T86" s="142"/>
      <c r="U86" s="142"/>
      <c r="V86" s="48"/>
      <c r="Z86" s="42"/>
      <c r="AA86" s="42"/>
      <c r="AB86" s="82" t="str">
        <f t="shared" si="19"/>
        <v/>
      </c>
      <c r="AC86" s="408"/>
      <c r="AD86" s="159"/>
    </row>
    <row r="87" spans="1:30" ht="13.95" customHeight="1">
      <c r="A87" s="1">
        <v>38</v>
      </c>
      <c r="B87" s="419"/>
      <c r="D87" s="46" t="s">
        <v>671</v>
      </c>
      <c r="E87" s="42"/>
      <c r="F87" s="42"/>
      <c r="G87" s="42"/>
      <c r="H87" s="42"/>
      <c r="I87" s="42"/>
      <c r="J87" s="496" t="str">
        <f>IF(OR(P458="NO",U458="NO"),"NO",IF(AND(P458="NA",U458="NA"),"NA",IF(OR(P458="YES",U458="YES"),"YES","TBD")))</f>
        <v>TBD</v>
      </c>
      <c r="L87" s="419"/>
      <c r="M87" s="143"/>
      <c r="N87" s="143"/>
      <c r="O87" s="144"/>
      <c r="P87" s="145"/>
      <c r="Q87" s="145"/>
      <c r="R87" s="145"/>
      <c r="S87" s="145"/>
      <c r="T87" s="145"/>
      <c r="U87" s="145"/>
      <c r="V87" s="89"/>
      <c r="Z87" s="42"/>
      <c r="AA87" s="158"/>
      <c r="AB87" s="82" t="str">
        <f t="shared" si="19"/>
        <v/>
      </c>
      <c r="AC87" s="206">
        <f>N81</f>
        <v>0</v>
      </c>
      <c r="AD87" s="159" t="s">
        <v>152</v>
      </c>
    </row>
    <row r="88" spans="1:30" ht="13.95" customHeight="1">
      <c r="A88" s="1">
        <v>39</v>
      </c>
      <c r="B88" s="419"/>
      <c r="D88" s="505" t="s">
        <v>669</v>
      </c>
      <c r="J88" s="496" t="str">
        <f>IF(OR(Q440="TBD",V440="TBD"),"TBD",IF(OR(O440="NO",V440="NO"),"NO","YES"))</f>
        <v>TBD</v>
      </c>
      <c r="L88" s="419"/>
      <c r="M88" s="143"/>
      <c r="N88" s="143"/>
      <c r="O88" s="144"/>
      <c r="P88" s="145"/>
      <c r="Q88" s="145"/>
      <c r="R88" s="145"/>
      <c r="S88" s="145"/>
      <c r="T88" s="145"/>
      <c r="U88" s="145"/>
      <c r="V88" s="48"/>
      <c r="Z88" s="42"/>
      <c r="AA88" s="42"/>
      <c r="AB88" s="82" t="str">
        <f t="shared" si="19"/>
        <v/>
      </c>
      <c r="AC88" s="408"/>
      <c r="AD88" s="159"/>
    </row>
    <row r="89" spans="1:30" ht="13.95" customHeight="1">
      <c r="A89" s="1">
        <v>40</v>
      </c>
      <c r="B89" s="419"/>
      <c r="F89" s="55"/>
      <c r="J89" s="418"/>
      <c r="L89" s="131"/>
      <c r="M89" s="143"/>
      <c r="N89" s="143"/>
      <c r="O89" s="144"/>
      <c r="P89" s="145"/>
      <c r="Q89" s="145"/>
      <c r="R89" s="145"/>
      <c r="S89" s="145"/>
      <c r="T89" s="145"/>
      <c r="U89" s="145"/>
      <c r="V89" s="48"/>
      <c r="Z89" s="42"/>
      <c r="AA89" s="158"/>
      <c r="AB89" s="82" t="str">
        <f t="shared" si="19"/>
        <v/>
      </c>
      <c r="AC89" s="206">
        <f>N83</f>
        <v>0</v>
      </c>
      <c r="AD89" s="159" t="s">
        <v>153</v>
      </c>
    </row>
    <row r="90" spans="1:30" ht="13.95" customHeight="1">
      <c r="A90" s="1">
        <v>41</v>
      </c>
      <c r="B90" s="419"/>
      <c r="J90" s="418"/>
      <c r="L90" s="138"/>
      <c r="M90" s="143"/>
      <c r="N90" s="143"/>
      <c r="O90" s="144"/>
      <c r="P90" s="145"/>
      <c r="Q90" s="145"/>
      <c r="R90" s="145"/>
      <c r="S90" s="145"/>
      <c r="T90" s="145"/>
      <c r="U90" s="145"/>
      <c r="V90" s="89"/>
      <c r="Z90" s="42"/>
      <c r="AA90" s="42"/>
      <c r="AB90" s="82" t="str">
        <f t="shared" si="19"/>
        <v/>
      </c>
      <c r="AC90" s="408"/>
      <c r="AD90" s="159"/>
    </row>
    <row r="91" spans="1:30" ht="13.95" customHeight="1">
      <c r="A91" s="1">
        <v>42</v>
      </c>
      <c r="B91" s="419"/>
      <c r="J91" s="418"/>
      <c r="L91" s="131"/>
      <c r="M91" s="143"/>
      <c r="N91" s="143"/>
      <c r="O91" s="144"/>
      <c r="P91" s="146" t="s">
        <v>144</v>
      </c>
      <c r="Q91" s="46"/>
      <c r="R91" s="46"/>
      <c r="S91" s="145"/>
      <c r="T91" s="145"/>
      <c r="U91" s="145"/>
      <c r="V91" s="48"/>
      <c r="Z91" s="79" t="s">
        <v>154</v>
      </c>
      <c r="AA91" s="57"/>
      <c r="AB91" s="82" t="str">
        <f t="shared" ref="AB91:AB122" si="20">IF(AND(OR(AA91="",AA91=0),OR(AC91="",AC91=0)),"",IF(AA91&lt;&gt;AC91,"Change",""))</f>
        <v/>
      </c>
      <c r="AC91" s="206">
        <f>N103</f>
        <v>0</v>
      </c>
      <c r="AD91" s="159" t="s">
        <v>159</v>
      </c>
    </row>
    <row r="92" spans="1:30" ht="13.95" customHeight="1">
      <c r="A92" s="1">
        <v>43</v>
      </c>
      <c r="B92" s="419"/>
      <c r="J92" s="418"/>
      <c r="L92" s="131"/>
      <c r="M92" s="143"/>
      <c r="N92" s="143"/>
      <c r="O92" s="144"/>
      <c r="P92" s="145"/>
      <c r="Q92" s="145"/>
      <c r="R92" s="145"/>
      <c r="S92" s="145"/>
      <c r="T92" s="145"/>
      <c r="U92" s="145"/>
      <c r="V92" s="48"/>
      <c r="Z92" s="42"/>
      <c r="AA92" s="43"/>
      <c r="AB92" s="82" t="str">
        <f t="shared" si="20"/>
        <v/>
      </c>
      <c r="AC92" s="408"/>
      <c r="AD92" s="159"/>
    </row>
    <row r="93" spans="1:30" ht="13.95" customHeight="1">
      <c r="A93" s="1">
        <v>44</v>
      </c>
      <c r="B93" s="419"/>
      <c r="J93" s="418"/>
      <c r="L93" s="138"/>
      <c r="M93" s="143"/>
      <c r="N93" s="143"/>
      <c r="O93" s="144"/>
      <c r="P93" s="145"/>
      <c r="Q93" s="145"/>
      <c r="R93" s="145"/>
      <c r="S93" s="145"/>
      <c r="T93" s="145"/>
      <c r="U93" s="145"/>
      <c r="V93" s="89"/>
      <c r="Z93" s="42"/>
      <c r="AA93" s="57"/>
      <c r="AB93" s="82" t="str">
        <f t="shared" si="20"/>
        <v/>
      </c>
      <c r="AC93" s="206">
        <f>N105</f>
        <v>0</v>
      </c>
      <c r="AD93" s="159" t="s">
        <v>160</v>
      </c>
    </row>
    <row r="94" spans="1:30" ht="13.95" customHeight="1">
      <c r="A94" s="1">
        <v>45</v>
      </c>
      <c r="B94" s="419"/>
      <c r="J94" s="418"/>
      <c r="L94" s="131"/>
      <c r="M94" s="143"/>
      <c r="N94" s="143"/>
      <c r="O94" s="144"/>
      <c r="P94" s="145"/>
      <c r="Q94" s="144"/>
      <c r="R94" s="145"/>
      <c r="S94" s="144"/>
      <c r="T94" s="145"/>
      <c r="U94" s="145"/>
      <c r="V94" s="48"/>
      <c r="Z94" s="42"/>
      <c r="AA94" s="43"/>
      <c r="AB94" s="82" t="str">
        <f t="shared" si="20"/>
        <v/>
      </c>
      <c r="AC94" s="408"/>
      <c r="AD94" s="159"/>
    </row>
    <row r="95" spans="1:30" ht="13.95" customHeight="1">
      <c r="A95" s="1">
        <v>46</v>
      </c>
      <c r="B95" s="419"/>
      <c r="J95" s="418"/>
      <c r="L95" s="131"/>
      <c r="M95" s="143"/>
      <c r="N95" s="143"/>
      <c r="O95" s="144"/>
      <c r="P95" s="145"/>
      <c r="Q95" s="144"/>
      <c r="R95" s="145"/>
      <c r="S95" s="144"/>
      <c r="T95" s="145"/>
      <c r="U95" s="145"/>
      <c r="V95" s="48"/>
      <c r="Z95" s="42"/>
      <c r="AA95" s="57"/>
      <c r="AB95" s="82" t="str">
        <f t="shared" si="20"/>
        <v/>
      </c>
      <c r="AC95" s="206">
        <f>N107</f>
        <v>0</v>
      </c>
      <c r="AD95" s="159" t="s">
        <v>161</v>
      </c>
    </row>
    <row r="96" spans="1:30" ht="13.95" customHeight="1" thickBot="1">
      <c r="A96" s="1">
        <v>47</v>
      </c>
      <c r="B96" s="423"/>
      <c r="C96" s="424"/>
      <c r="D96" s="424"/>
      <c r="E96" s="424"/>
      <c r="F96" s="424"/>
      <c r="G96" s="424"/>
      <c r="H96" s="424"/>
      <c r="I96" s="424"/>
      <c r="J96" s="425"/>
      <c r="L96" s="138"/>
      <c r="M96" s="147"/>
      <c r="N96" s="147"/>
      <c r="O96" s="148"/>
      <c r="P96" s="149"/>
      <c r="Q96" s="148"/>
      <c r="R96" s="149"/>
      <c r="S96" s="148"/>
      <c r="T96" s="149"/>
      <c r="U96" s="149"/>
      <c r="V96" s="89"/>
      <c r="Z96" s="42"/>
      <c r="AA96" s="43"/>
      <c r="AB96" s="82" t="str">
        <f t="shared" si="20"/>
        <v/>
      </c>
      <c r="AC96" s="408"/>
      <c r="AD96" s="159"/>
    </row>
    <row r="97" spans="1:30" ht="13.95" customHeight="1" thickTop="1" thickBot="1">
      <c r="A97" s="1">
        <v>48</v>
      </c>
      <c r="B97" s="99" t="s">
        <v>3</v>
      </c>
      <c r="C97" s="100" t="str">
        <f>IF($N$8="","",$N$8)</f>
        <v/>
      </c>
      <c r="D97" s="2"/>
      <c r="E97" s="2"/>
      <c r="F97" s="2"/>
      <c r="G97" s="2" t="str">
        <f>""</f>
        <v/>
      </c>
      <c r="H97" s="2" t="str">
        <f>""</f>
        <v/>
      </c>
      <c r="I97" s="99" t="s">
        <v>4</v>
      </c>
      <c r="J97" s="101" t="str">
        <f>IF($U$8="","",$U$8)</f>
        <v>Eugene Mah</v>
      </c>
      <c r="L97" s="150"/>
      <c r="M97" s="68"/>
      <c r="N97" s="151"/>
      <c r="O97" s="152"/>
      <c r="P97" s="68"/>
      <c r="Q97" s="68"/>
      <c r="R97" s="68"/>
      <c r="S97" s="68"/>
      <c r="T97" s="68"/>
      <c r="U97" s="68"/>
      <c r="V97" s="71"/>
      <c r="Z97" s="42"/>
      <c r="AA97" s="57"/>
      <c r="AB97" s="82" t="str">
        <f t="shared" si="20"/>
        <v/>
      </c>
      <c r="AC97" s="206">
        <f>N109</f>
        <v>0</v>
      </c>
      <c r="AD97" s="159" t="s">
        <v>162</v>
      </c>
    </row>
    <row r="98" spans="1:30" ht="13.95" customHeight="1" thickTop="1">
      <c r="A98" s="1">
        <v>49</v>
      </c>
      <c r="B98" s="99" t="s">
        <v>18</v>
      </c>
      <c r="C98" s="102" t="str">
        <f>IF($O$15="","",$O$15)</f>
        <v/>
      </c>
      <c r="D98" s="2"/>
      <c r="E98" s="2"/>
      <c r="F98" s="2"/>
      <c r="G98" s="2"/>
      <c r="H98" s="2"/>
      <c r="I98" s="99" t="s">
        <v>16</v>
      </c>
      <c r="J98" s="103" t="str">
        <f>IF($E$14="","",$E$14)</f>
        <v/>
      </c>
      <c r="L98" s="2"/>
      <c r="M98" s="2"/>
      <c r="N98" s="139"/>
      <c r="O98" s="153"/>
      <c r="P98" s="2"/>
      <c r="Q98" s="2"/>
      <c r="R98" s="2"/>
      <c r="S98" s="2"/>
      <c r="T98" s="2"/>
      <c r="U98" s="2"/>
      <c r="V98" s="2"/>
      <c r="Z98" s="42"/>
      <c r="AA98" s="43"/>
      <c r="AB98" s="82" t="str">
        <f t="shared" si="20"/>
        <v/>
      </c>
      <c r="AC98" s="408"/>
      <c r="AD98" s="159"/>
    </row>
    <row r="99" spans="1:30" ht="13.95" customHeight="1">
      <c r="A99" s="1">
        <v>1</v>
      </c>
      <c r="J99" s="118" t="str">
        <f>$F$2</f>
        <v>Medical University of South Carolina</v>
      </c>
      <c r="L99" s="4"/>
      <c r="M99" s="4"/>
      <c r="N99" s="154"/>
      <c r="O99" s="153"/>
      <c r="P99" s="4"/>
      <c r="Q99" s="4"/>
      <c r="R99" s="4"/>
      <c r="S99" s="4"/>
      <c r="T99" s="4"/>
      <c r="U99" s="4"/>
      <c r="V99" s="118" t="str">
        <f>$F$2</f>
        <v>Medical University of South Carolina</v>
      </c>
      <c r="Z99" s="42"/>
      <c r="AA99" s="57"/>
      <c r="AB99" s="82" t="str">
        <f t="shared" si="20"/>
        <v/>
      </c>
      <c r="AC99" s="206">
        <f>N111</f>
        <v>0</v>
      </c>
      <c r="AD99" s="159" t="s">
        <v>163</v>
      </c>
    </row>
    <row r="100" spans="1:30" ht="13.95" customHeight="1" thickBot="1">
      <c r="A100" s="1">
        <v>2</v>
      </c>
      <c r="J100" s="79" t="str">
        <f>$F$5</f>
        <v>EOS Imaging System Compliance Inspection</v>
      </c>
      <c r="L100" s="4"/>
      <c r="M100" s="4"/>
      <c r="N100" s="154"/>
      <c r="O100" s="153"/>
      <c r="P100" s="4"/>
      <c r="Q100" s="4"/>
      <c r="R100" s="4"/>
      <c r="S100" s="4"/>
      <c r="T100" s="4"/>
      <c r="U100" s="4"/>
      <c r="V100" s="79" t="str">
        <f>$F$5</f>
        <v>EOS Imaging System Compliance Inspection</v>
      </c>
      <c r="Z100" s="42"/>
      <c r="AA100" s="43"/>
      <c r="AB100" s="82" t="str">
        <f t="shared" si="20"/>
        <v/>
      </c>
      <c r="AC100" s="408"/>
      <c r="AD100" s="159"/>
    </row>
    <row r="101" spans="1:30" ht="13.95" customHeight="1" thickTop="1" thickBot="1">
      <c r="A101" s="1">
        <v>3</v>
      </c>
      <c r="B101" s="501"/>
      <c r="C101" s="502"/>
      <c r="D101" s="502"/>
      <c r="E101" s="502"/>
      <c r="F101" s="502"/>
      <c r="G101" s="502"/>
      <c r="H101" s="502"/>
      <c r="I101" s="502"/>
      <c r="J101" s="503"/>
      <c r="L101" s="2"/>
      <c r="M101" s="2"/>
      <c r="N101" s="139"/>
      <c r="O101" s="153"/>
      <c r="P101" s="2"/>
      <c r="Q101" s="122" t="s">
        <v>145</v>
      </c>
      <c r="R101" s="2"/>
      <c r="S101" s="2"/>
      <c r="T101" s="2"/>
      <c r="U101" s="2"/>
      <c r="V101" s="2"/>
      <c r="Z101" s="42"/>
      <c r="AA101" s="57"/>
      <c r="AB101" s="82" t="str">
        <f t="shared" si="20"/>
        <v/>
      </c>
      <c r="AC101" s="206">
        <f>N113</f>
        <v>0</v>
      </c>
      <c r="AD101" s="159" t="s">
        <v>164</v>
      </c>
    </row>
    <row r="102" spans="1:30" ht="13.95" customHeight="1" thickTop="1">
      <c r="A102" s="1">
        <v>4</v>
      </c>
      <c r="B102" s="419"/>
      <c r="F102" s="55" t="s">
        <v>637</v>
      </c>
      <c r="J102" s="495" t="s">
        <v>117</v>
      </c>
      <c r="L102" s="123"/>
      <c r="M102" s="86"/>
      <c r="N102" s="155"/>
      <c r="O102" s="124"/>
      <c r="P102" s="125" t="s">
        <v>133</v>
      </c>
      <c r="Q102" s="86"/>
      <c r="R102" s="86"/>
      <c r="S102" s="86"/>
      <c r="T102" s="86"/>
      <c r="U102" s="86"/>
      <c r="V102" s="126"/>
      <c r="Z102" s="42"/>
      <c r="AA102" s="43"/>
      <c r="AB102" s="82" t="str">
        <f t="shared" si="20"/>
        <v/>
      </c>
      <c r="AC102" s="408"/>
      <c r="AD102" s="159"/>
    </row>
    <row r="103" spans="1:30" ht="13.95" customHeight="1">
      <c r="A103" s="1">
        <v>5</v>
      </c>
      <c r="B103" s="120" t="s">
        <v>658</v>
      </c>
      <c r="C103" s="499"/>
      <c r="D103" s="46" t="s">
        <v>659</v>
      </c>
      <c r="E103" s="46"/>
      <c r="F103" s="46"/>
      <c r="G103" s="46"/>
      <c r="H103" s="46"/>
      <c r="I103" s="46"/>
      <c r="J103" s="496" t="str" cm="1">
        <f t="array" ref="J103">_xlfn.SWITCH(L526,0,"",1,"YES",2,"NO",3,"NA")</f>
        <v/>
      </c>
      <c r="L103" s="113"/>
      <c r="M103" s="43" t="s">
        <v>134</v>
      </c>
      <c r="N103" s="128"/>
      <c r="O103" s="129"/>
      <c r="P103" s="130" t="str">
        <f>IF(OR(AA91=0,AA91=""),"",AA91)</f>
        <v/>
      </c>
      <c r="Q103" s="87"/>
      <c r="R103" s="87"/>
      <c r="S103" s="87"/>
      <c r="T103" s="87"/>
      <c r="U103" s="87"/>
      <c r="V103" s="48"/>
      <c r="Z103" s="42"/>
      <c r="AA103" s="57"/>
      <c r="AB103" s="82" t="str">
        <f t="shared" si="20"/>
        <v/>
      </c>
      <c r="AC103" s="206">
        <f>N115</f>
        <v>0</v>
      </c>
      <c r="AD103" s="159" t="s">
        <v>165</v>
      </c>
    </row>
    <row r="104" spans="1:30" ht="13.95" customHeight="1">
      <c r="A104" s="1">
        <v>6</v>
      </c>
      <c r="B104" s="120" t="s">
        <v>660</v>
      </c>
      <c r="C104" s="499"/>
      <c r="D104" s="46" t="s">
        <v>628</v>
      </c>
      <c r="E104" s="42"/>
      <c r="F104" s="42"/>
      <c r="G104" s="42"/>
      <c r="H104" s="42"/>
      <c r="I104" s="42"/>
      <c r="J104" s="496" t="str" cm="1">
        <f t="array" ref="J104">_xlfn.SWITCH(L527,0,"",1,"YES",2,"NO",3,"NA")</f>
        <v/>
      </c>
      <c r="L104" s="131"/>
      <c r="M104" s="132" t="s">
        <v>135</v>
      </c>
      <c r="N104" s="133"/>
      <c r="O104" s="134">
        <f>LEN(N103)</f>
        <v>0</v>
      </c>
      <c r="P104" s="135"/>
      <c r="Q104" s="136">
        <f>LEN(P103)</f>
        <v>0</v>
      </c>
      <c r="R104" s="88"/>
      <c r="S104" s="88"/>
      <c r="T104" s="88"/>
      <c r="U104" s="88"/>
      <c r="V104" s="89"/>
      <c r="Z104" s="42"/>
      <c r="AA104" s="43"/>
      <c r="AB104" s="82" t="str">
        <f t="shared" si="20"/>
        <v/>
      </c>
      <c r="AC104" s="408"/>
      <c r="AD104" s="159"/>
    </row>
    <row r="105" spans="1:30" ht="13.95" customHeight="1">
      <c r="A105" s="1">
        <v>7</v>
      </c>
      <c r="B105" s="120" t="s">
        <v>661</v>
      </c>
      <c r="C105" s="499"/>
      <c r="D105" s="46" t="s">
        <v>662</v>
      </c>
      <c r="E105" s="2"/>
      <c r="F105" s="2"/>
      <c r="G105" s="2"/>
      <c r="H105" s="2"/>
      <c r="I105" s="2"/>
      <c r="J105" s="496" t="str" cm="1">
        <f t="array" ref="J105">_xlfn.SWITCH(L528,0,"",1,"YES",2,"NO",3,"NA")</f>
        <v/>
      </c>
      <c r="L105" s="41"/>
      <c r="M105" s="43" t="s">
        <v>137</v>
      </c>
      <c r="N105" s="128"/>
      <c r="O105" s="129"/>
      <c r="P105" s="130" t="str">
        <f>IF(OR(AA93=0,AA93=""),"",AA93)</f>
        <v/>
      </c>
      <c r="Q105" s="87"/>
      <c r="R105" s="87"/>
      <c r="S105" s="87"/>
      <c r="T105" s="87"/>
      <c r="U105" s="87"/>
      <c r="V105" s="48"/>
      <c r="Z105" s="42"/>
      <c r="AA105" s="57"/>
      <c r="AB105" s="82" t="str">
        <f t="shared" si="20"/>
        <v/>
      </c>
      <c r="AC105" s="206">
        <f>N117</f>
        <v>0</v>
      </c>
      <c r="AD105" s="159" t="s">
        <v>166</v>
      </c>
    </row>
    <row r="106" spans="1:30" ht="13.95" customHeight="1">
      <c r="A106" s="1">
        <v>8</v>
      </c>
      <c r="B106" s="120" t="s">
        <v>663</v>
      </c>
      <c r="C106" s="499"/>
      <c r="D106" s="46" t="s">
        <v>664</v>
      </c>
      <c r="E106" s="46"/>
      <c r="I106" s="2"/>
      <c r="J106" s="496" t="str" cm="1">
        <f t="array" ref="J106">_xlfn.SWITCH(L529,0,"",1,"YES",2,"NO",3,"NA")</f>
        <v/>
      </c>
      <c r="L106" s="131"/>
      <c r="M106" s="132" t="s">
        <v>135</v>
      </c>
      <c r="N106" s="133"/>
      <c r="O106" s="134">
        <f>LEN(N105)</f>
        <v>0</v>
      </c>
      <c r="P106" s="135"/>
      <c r="Q106" s="136">
        <f>LEN(P105)</f>
        <v>0</v>
      </c>
      <c r="R106" s="87"/>
      <c r="S106" s="87"/>
      <c r="T106" s="87"/>
      <c r="U106" s="87"/>
      <c r="V106" s="48"/>
      <c r="Z106" s="42"/>
      <c r="AA106" s="43"/>
      <c r="AB106" s="82" t="str">
        <f t="shared" si="20"/>
        <v/>
      </c>
      <c r="AC106" s="408"/>
      <c r="AD106" s="159"/>
    </row>
    <row r="107" spans="1:30" ht="13.95" customHeight="1">
      <c r="A107" s="1">
        <v>9</v>
      </c>
      <c r="B107" s="120" t="s">
        <v>663</v>
      </c>
      <c r="C107" s="499"/>
      <c r="D107" s="46" t="s">
        <v>632</v>
      </c>
      <c r="E107" s="46"/>
      <c r="I107" s="2"/>
      <c r="J107" s="496" t="str" cm="1">
        <f t="array" ref="J107">_xlfn.SWITCH(L530,0,"",1,"YES",2,"NO",3,"NA")</f>
        <v/>
      </c>
      <c r="L107" s="156"/>
      <c r="M107" s="43" t="s">
        <v>137</v>
      </c>
      <c r="N107" s="128"/>
      <c r="O107" s="129"/>
      <c r="P107" s="130" t="str">
        <f>IF(OR(AA95=0,AA95=""),"",AA95)</f>
        <v/>
      </c>
      <c r="Q107" s="87"/>
      <c r="R107" s="88"/>
      <c r="S107" s="88"/>
      <c r="T107" s="88"/>
      <c r="U107" s="88"/>
      <c r="V107" s="89"/>
      <c r="Z107" s="42"/>
      <c r="AA107" s="57"/>
      <c r="AB107" s="82" t="str">
        <f t="shared" si="20"/>
        <v/>
      </c>
      <c r="AC107" s="206">
        <f>N119</f>
        <v>0</v>
      </c>
      <c r="AD107" s="159" t="s">
        <v>167</v>
      </c>
    </row>
    <row r="108" spans="1:30" ht="13.95" customHeight="1">
      <c r="A108" s="1">
        <v>10</v>
      </c>
      <c r="B108" s="120"/>
      <c r="C108" s="499"/>
      <c r="D108" s="46" t="s">
        <v>633</v>
      </c>
      <c r="E108" s="42"/>
      <c r="F108" s="42"/>
      <c r="G108" s="42"/>
      <c r="H108" s="42"/>
      <c r="I108" s="42"/>
      <c r="J108" s="496" t="str" cm="1">
        <f t="array" ref="J108">_xlfn.SWITCH(L531,0,"",1,"YES",2,"NO",3,"NA")</f>
        <v/>
      </c>
      <c r="L108" s="41"/>
      <c r="M108" s="132" t="s">
        <v>135</v>
      </c>
      <c r="N108" s="133"/>
      <c r="O108" s="134">
        <f>LEN(N107)</f>
        <v>0</v>
      </c>
      <c r="P108" s="135"/>
      <c r="Q108" s="136">
        <f>LEN(P107)</f>
        <v>0</v>
      </c>
      <c r="R108" s="87"/>
      <c r="S108" s="87"/>
      <c r="T108" s="87"/>
      <c r="U108" s="87"/>
      <c r="V108" s="48"/>
      <c r="Z108" s="42"/>
      <c r="AA108" s="43"/>
      <c r="AB108" s="82" t="str">
        <f t="shared" si="20"/>
        <v/>
      </c>
      <c r="AC108" s="408"/>
      <c r="AD108" s="159"/>
    </row>
    <row r="109" spans="1:30" ht="13.95" customHeight="1">
      <c r="A109" s="1">
        <v>11</v>
      </c>
      <c r="B109" s="120" t="s">
        <v>665</v>
      </c>
      <c r="C109" s="499"/>
      <c r="D109" s="46" t="s">
        <v>634</v>
      </c>
      <c r="E109" s="2"/>
      <c r="F109" s="2"/>
      <c r="G109" s="2"/>
      <c r="H109" s="2"/>
      <c r="I109" s="2"/>
      <c r="J109" s="496" t="str" cm="1">
        <f t="array" ref="J109">_xlfn.SWITCH(L532,0,"",1,"YES",2,"NO",3,"NA")</f>
        <v/>
      </c>
      <c r="L109" s="131"/>
      <c r="M109" s="43" t="s">
        <v>137</v>
      </c>
      <c r="N109" s="128"/>
      <c r="O109" s="129"/>
      <c r="P109" s="130" t="str">
        <f>IF(OR(AA97=0,AA97=""),"",AA97)</f>
        <v/>
      </c>
      <c r="Q109" s="87"/>
      <c r="R109" s="87"/>
      <c r="S109" s="87"/>
      <c r="T109" s="87"/>
      <c r="U109" s="87"/>
      <c r="V109" s="48"/>
      <c r="Z109" s="42"/>
      <c r="AA109" s="57"/>
      <c r="AB109" s="82" t="str">
        <f t="shared" si="20"/>
        <v/>
      </c>
      <c r="AC109" s="206">
        <f>N121</f>
        <v>0</v>
      </c>
      <c r="AD109" s="159" t="s">
        <v>168</v>
      </c>
    </row>
    <row r="110" spans="1:30" ht="13.95" customHeight="1">
      <c r="A110" s="1">
        <v>12</v>
      </c>
      <c r="B110" s="120"/>
      <c r="C110" s="499"/>
      <c r="D110" s="46" t="s">
        <v>635</v>
      </c>
      <c r="E110" s="42"/>
      <c r="F110" s="42"/>
      <c r="G110" s="42"/>
      <c r="H110" s="43"/>
      <c r="I110" s="42"/>
      <c r="J110" s="496" t="str" cm="1">
        <f t="array" ref="J110">_xlfn.SWITCH(L533,0,"",1,"YES",2,"NO",3,"NA")</f>
        <v/>
      </c>
      <c r="L110" s="156"/>
      <c r="M110" s="132" t="s">
        <v>135</v>
      </c>
      <c r="N110" s="133"/>
      <c r="O110" s="134">
        <f>LEN(N109)</f>
        <v>0</v>
      </c>
      <c r="P110" s="135"/>
      <c r="Q110" s="136">
        <f>LEN(P109)</f>
        <v>0</v>
      </c>
      <c r="R110" s="88"/>
      <c r="S110" s="88"/>
      <c r="T110" s="88"/>
      <c r="U110" s="88"/>
      <c r="V110" s="89"/>
      <c r="Z110" s="42"/>
      <c r="AA110" s="43"/>
      <c r="AB110" s="82" t="str">
        <f t="shared" si="20"/>
        <v/>
      </c>
      <c r="AC110" s="408"/>
      <c r="AD110" s="159"/>
    </row>
    <row r="111" spans="1:30" ht="13.95" customHeight="1">
      <c r="A111" s="1">
        <v>13</v>
      </c>
      <c r="B111" s="120" t="s">
        <v>663</v>
      </c>
      <c r="C111" s="499"/>
      <c r="D111" s="46" t="s">
        <v>636</v>
      </c>
      <c r="E111" s="42"/>
      <c r="F111" s="42"/>
      <c r="G111" s="42"/>
      <c r="H111" s="42"/>
      <c r="I111" s="42"/>
      <c r="J111" s="496" t="str" cm="1">
        <f t="array" ref="J111">_xlfn.SWITCH(L534,0,"",1,"YES",2,"NO",3,"NA")</f>
        <v/>
      </c>
      <c r="L111" s="41"/>
      <c r="M111" s="43" t="s">
        <v>137</v>
      </c>
      <c r="N111" s="128"/>
      <c r="O111" s="129"/>
      <c r="P111" s="130" t="str">
        <f>IF(OR(AA99=0,AA99=""),"",AA99)</f>
        <v/>
      </c>
      <c r="Q111" s="87"/>
      <c r="R111" s="87"/>
      <c r="S111" s="87"/>
      <c r="T111" s="87"/>
      <c r="U111" s="87"/>
      <c r="V111" s="48"/>
      <c r="Z111" s="42"/>
      <c r="AA111" s="57"/>
      <c r="AB111" s="82" t="str">
        <f t="shared" si="20"/>
        <v/>
      </c>
      <c r="AC111" s="206">
        <f>N123</f>
        <v>0</v>
      </c>
      <c r="AD111" s="159" t="s">
        <v>169</v>
      </c>
    </row>
    <row r="112" spans="1:30" ht="13.95" customHeight="1">
      <c r="A112" s="1">
        <v>14</v>
      </c>
      <c r="B112" s="120"/>
      <c r="C112" s="499"/>
      <c r="D112" s="46" t="s">
        <v>630</v>
      </c>
      <c r="E112" s="42"/>
      <c r="F112" s="42"/>
      <c r="G112" s="42"/>
      <c r="H112" s="42"/>
      <c r="I112" s="42"/>
      <c r="J112" s="496" t="str" cm="1">
        <f t="array" ref="J112">_xlfn.SWITCH(L535,0,"",1,"YES",2,"NO",3,"NA")</f>
        <v/>
      </c>
      <c r="L112" s="131"/>
      <c r="M112" s="132" t="s">
        <v>135</v>
      </c>
      <c r="N112" s="133"/>
      <c r="O112" s="134">
        <f>LEN(N111)</f>
        <v>0</v>
      </c>
      <c r="P112" s="135"/>
      <c r="Q112" s="136">
        <f>LEN(P111)</f>
        <v>0</v>
      </c>
      <c r="R112" s="87"/>
      <c r="S112" s="87"/>
      <c r="T112" s="87"/>
      <c r="U112" s="87"/>
      <c r="V112" s="48"/>
      <c r="Z112" s="42"/>
      <c r="AA112" s="43"/>
      <c r="AB112" s="82" t="str">
        <f t="shared" si="20"/>
        <v/>
      </c>
      <c r="AC112" s="408"/>
      <c r="AD112" s="159"/>
    </row>
    <row r="113" spans="1:30" ht="13.95" customHeight="1">
      <c r="A113" s="1">
        <v>15</v>
      </c>
      <c r="B113" s="120" t="s">
        <v>666</v>
      </c>
      <c r="C113" s="506"/>
      <c r="D113" s="46" t="s">
        <v>667</v>
      </c>
      <c r="E113" s="2"/>
      <c r="F113" s="2"/>
      <c r="G113" s="2"/>
      <c r="H113" s="2"/>
      <c r="I113" s="2"/>
      <c r="J113" s="496" t="str">
        <f>IF(U268="","",U268)</f>
        <v>TBD</v>
      </c>
      <c r="L113" s="156"/>
      <c r="M113" s="43" t="s">
        <v>137</v>
      </c>
      <c r="N113" s="128"/>
      <c r="O113" s="129"/>
      <c r="P113" s="130" t="str">
        <f>IF(OR(AA101=0,AA101=""),"",AA101)</f>
        <v/>
      </c>
      <c r="Q113" s="87"/>
      <c r="R113" s="88"/>
      <c r="S113" s="88"/>
      <c r="T113" s="88"/>
      <c r="U113" s="88"/>
      <c r="V113" s="89"/>
      <c r="Z113" s="42"/>
      <c r="AA113" s="57"/>
      <c r="AB113" s="82" t="str">
        <f t="shared" si="20"/>
        <v/>
      </c>
      <c r="AC113" s="206">
        <f>N125</f>
        <v>0</v>
      </c>
      <c r="AD113" s="159" t="s">
        <v>170</v>
      </c>
    </row>
    <row r="114" spans="1:30" ht="13.95" customHeight="1">
      <c r="A114" s="1">
        <v>16</v>
      </c>
      <c r="B114" s="419"/>
      <c r="J114" s="418"/>
      <c r="L114" s="41"/>
      <c r="M114" s="132" t="s">
        <v>135</v>
      </c>
      <c r="N114" s="133"/>
      <c r="O114" s="134">
        <f>LEN(N113)</f>
        <v>0</v>
      </c>
      <c r="P114" s="135"/>
      <c r="Q114" s="136">
        <f>LEN(P113)</f>
        <v>0</v>
      </c>
      <c r="R114" s="87"/>
      <c r="S114" s="87"/>
      <c r="T114" s="87"/>
      <c r="U114" s="87"/>
      <c r="V114" s="48"/>
      <c r="Z114" s="42"/>
      <c r="AA114" s="43"/>
      <c r="AB114" s="82" t="str">
        <f t="shared" si="20"/>
        <v/>
      </c>
      <c r="AC114" s="408"/>
      <c r="AD114" s="159"/>
    </row>
    <row r="115" spans="1:30" ht="13.95" customHeight="1">
      <c r="A115" s="1">
        <v>17</v>
      </c>
      <c r="B115" s="419"/>
      <c r="F115" s="55" t="s">
        <v>638</v>
      </c>
      <c r="J115" s="418"/>
      <c r="L115" s="131"/>
      <c r="M115" s="43" t="s">
        <v>137</v>
      </c>
      <c r="N115" s="128"/>
      <c r="O115" s="129"/>
      <c r="P115" s="130" t="str">
        <f>IF(OR(AA103=0,AA103=""),"",AA103)</f>
        <v/>
      </c>
      <c r="Q115" s="87"/>
      <c r="R115" s="87"/>
      <c r="S115" s="87"/>
      <c r="T115" s="87"/>
      <c r="U115" s="87"/>
      <c r="V115" s="48"/>
      <c r="Z115" s="42"/>
      <c r="AA115" s="57"/>
      <c r="AB115" s="82" t="str">
        <f t="shared" si="20"/>
        <v/>
      </c>
      <c r="AC115" s="206">
        <f>N127</f>
        <v>0</v>
      </c>
      <c r="AD115" s="159" t="s">
        <v>171</v>
      </c>
    </row>
    <row r="116" spans="1:30" ht="13.95" customHeight="1">
      <c r="A116" s="1">
        <v>18</v>
      </c>
      <c r="B116" s="419"/>
      <c r="D116" s="46" t="s">
        <v>639</v>
      </c>
      <c r="E116" s="42"/>
      <c r="F116" s="42"/>
      <c r="G116" s="42"/>
      <c r="H116" s="42"/>
      <c r="I116" s="42"/>
      <c r="J116" s="496" t="str" cm="1">
        <f t="array" ref="J116">_xlfn.SWITCH(L538,0,"",1,"YES",2,"NO",3,"NA")</f>
        <v/>
      </c>
      <c r="L116" s="156"/>
      <c r="M116" s="132" t="s">
        <v>135</v>
      </c>
      <c r="N116" s="133"/>
      <c r="O116" s="134">
        <f>LEN(N115)</f>
        <v>0</v>
      </c>
      <c r="P116" s="135"/>
      <c r="Q116" s="136">
        <f>LEN(P115)</f>
        <v>0</v>
      </c>
      <c r="R116" s="88"/>
      <c r="S116" s="88"/>
      <c r="T116" s="88"/>
      <c r="U116" s="88"/>
      <c r="V116" s="89"/>
      <c r="Z116" s="42"/>
      <c r="AA116" s="43"/>
      <c r="AB116" s="82" t="str">
        <f t="shared" si="20"/>
        <v/>
      </c>
      <c r="AC116" s="408"/>
      <c r="AD116" s="159"/>
    </row>
    <row r="117" spans="1:30" ht="13.95" customHeight="1">
      <c r="A117" s="1">
        <v>19</v>
      </c>
      <c r="B117" s="419"/>
      <c r="D117" s="46" t="s">
        <v>640</v>
      </c>
      <c r="E117" s="42"/>
      <c r="F117" s="42"/>
      <c r="G117" s="42"/>
      <c r="H117" s="42"/>
      <c r="I117" s="42"/>
      <c r="J117" s="496" t="str" cm="1">
        <f t="array" ref="J117">_xlfn.SWITCH(L539,0,"",1,"YES",2,"NO",3,"NA")</f>
        <v/>
      </c>
      <c r="L117" s="41"/>
      <c r="M117" s="43" t="s">
        <v>137</v>
      </c>
      <c r="N117" s="128"/>
      <c r="O117" s="129"/>
      <c r="P117" s="130" t="str">
        <f>IF(OR(AA105=0,AA105=""),"",AA105)</f>
        <v/>
      </c>
      <c r="Q117" s="87"/>
      <c r="R117" s="87"/>
      <c r="S117" s="87"/>
      <c r="T117" s="87"/>
      <c r="U117" s="87"/>
      <c r="V117" s="48"/>
      <c r="Z117" s="42"/>
      <c r="AA117" s="57"/>
      <c r="AB117" s="82" t="str">
        <f t="shared" si="20"/>
        <v/>
      </c>
      <c r="AC117" s="206">
        <f>N129</f>
        <v>0</v>
      </c>
      <c r="AD117" s="159" t="s">
        <v>172</v>
      </c>
    </row>
    <row r="118" spans="1:30" ht="13.95" customHeight="1">
      <c r="A118" s="1">
        <v>20</v>
      </c>
      <c r="B118" s="419"/>
      <c r="D118" s="46" t="s">
        <v>641</v>
      </c>
      <c r="E118" s="42"/>
      <c r="F118" s="42"/>
      <c r="G118" s="42"/>
      <c r="H118" s="42"/>
      <c r="I118" s="42"/>
      <c r="J118" s="496" t="str" cm="1">
        <f t="array" ref="J118">_xlfn.SWITCH(L540,0,"",1,"YES",2,"NO",3,"NA")</f>
        <v/>
      </c>
      <c r="L118" s="131"/>
      <c r="M118" s="132" t="s">
        <v>135</v>
      </c>
      <c r="N118" s="133"/>
      <c r="O118" s="134">
        <f>LEN(N117)</f>
        <v>0</v>
      </c>
      <c r="P118" s="135"/>
      <c r="Q118" s="136">
        <f>LEN(P117)</f>
        <v>0</v>
      </c>
      <c r="R118" s="87"/>
      <c r="S118" s="87"/>
      <c r="T118" s="87"/>
      <c r="U118" s="87"/>
      <c r="V118" s="48"/>
      <c r="Z118" s="42"/>
      <c r="AA118" s="43"/>
      <c r="AB118" s="82" t="str">
        <f t="shared" si="20"/>
        <v/>
      </c>
      <c r="AC118" s="408"/>
      <c r="AD118" s="159"/>
    </row>
    <row r="119" spans="1:30" ht="13.95" customHeight="1">
      <c r="A119" s="1">
        <v>21</v>
      </c>
      <c r="B119" s="419"/>
      <c r="D119" s="46" t="s">
        <v>642</v>
      </c>
      <c r="E119" s="46"/>
      <c r="F119" s="46"/>
      <c r="G119" s="46"/>
      <c r="H119" s="46"/>
      <c r="I119" s="46"/>
      <c r="J119" s="496" t="str" cm="1">
        <f t="array" ref="J119">_xlfn.SWITCH(L541,0,"",1,"YES",2,"NO",3,"NA")</f>
        <v/>
      </c>
      <c r="L119" s="156"/>
      <c r="M119" s="43" t="s">
        <v>137</v>
      </c>
      <c r="N119" s="128"/>
      <c r="O119" s="129"/>
      <c r="P119" s="130" t="str">
        <f>IF(OR(AA107=0,AA107=""),"",AA107)</f>
        <v/>
      </c>
      <c r="Q119" s="87"/>
      <c r="R119" s="88"/>
      <c r="S119" s="88"/>
      <c r="T119" s="88"/>
      <c r="U119" s="88"/>
      <c r="V119" s="89"/>
      <c r="Z119" s="42"/>
      <c r="AA119" s="57"/>
      <c r="AB119" s="82" t="str">
        <f t="shared" si="20"/>
        <v/>
      </c>
      <c r="AC119" s="206">
        <f>N131</f>
        <v>0</v>
      </c>
      <c r="AD119" s="159" t="s">
        <v>173</v>
      </c>
    </row>
    <row r="120" spans="1:30" ht="13.95" customHeight="1">
      <c r="A120" s="1">
        <v>22</v>
      </c>
      <c r="B120" s="419"/>
      <c r="D120" s="46" t="s">
        <v>643</v>
      </c>
      <c r="E120" s="46"/>
      <c r="F120" s="46"/>
      <c r="G120" s="46"/>
      <c r="H120" s="46"/>
      <c r="I120" s="46"/>
      <c r="J120" s="496" t="str" cm="1">
        <f t="array" ref="J120">_xlfn.SWITCH(L542,0,"",1,"YES",2,"NO",3,"NA")</f>
        <v/>
      </c>
      <c r="L120" s="41"/>
      <c r="M120" s="132" t="s">
        <v>135</v>
      </c>
      <c r="N120" s="133"/>
      <c r="O120" s="134">
        <f>LEN(N119)</f>
        <v>0</v>
      </c>
      <c r="P120" s="135"/>
      <c r="Q120" s="136">
        <f>LEN(P119)</f>
        <v>0</v>
      </c>
      <c r="R120" s="87"/>
      <c r="S120" s="87"/>
      <c r="T120" s="87"/>
      <c r="U120" s="87"/>
      <c r="V120" s="48"/>
      <c r="Z120" s="42"/>
      <c r="AA120" s="43"/>
      <c r="AB120" s="82" t="str">
        <f t="shared" si="20"/>
        <v/>
      </c>
      <c r="AC120" s="408"/>
      <c r="AD120" s="159"/>
    </row>
    <row r="121" spans="1:30" ht="13.95" customHeight="1">
      <c r="A121" s="1">
        <v>23</v>
      </c>
      <c r="B121" s="419"/>
      <c r="D121" s="46" t="s">
        <v>644</v>
      </c>
      <c r="E121" s="42"/>
      <c r="F121" s="42"/>
      <c r="G121" s="42"/>
      <c r="H121" s="42"/>
      <c r="I121" s="42"/>
      <c r="J121" s="496" t="str" cm="1">
        <f t="array" ref="J121">_xlfn.SWITCH(L543,0,"",1,"YES",2,"NO",3,"NA")</f>
        <v/>
      </c>
      <c r="L121" s="131"/>
      <c r="M121" s="43" t="s">
        <v>137</v>
      </c>
      <c r="N121" s="128"/>
      <c r="O121" s="129"/>
      <c r="P121" s="130" t="str">
        <f>IF(OR(AA109=0,AA109=""),"",AA109)</f>
        <v/>
      </c>
      <c r="Q121" s="87"/>
      <c r="R121" s="87"/>
      <c r="S121" s="87"/>
      <c r="T121" s="87"/>
      <c r="U121" s="87"/>
      <c r="V121" s="48"/>
      <c r="Z121" s="79" t="s">
        <v>158</v>
      </c>
      <c r="AA121" s="57"/>
      <c r="AB121" s="82" t="str">
        <f t="shared" si="20"/>
        <v/>
      </c>
      <c r="AC121" s="206">
        <f>N166</f>
        <v>0</v>
      </c>
      <c r="AD121" s="159" t="s">
        <v>174</v>
      </c>
    </row>
    <row r="122" spans="1:30" ht="13.95" customHeight="1">
      <c r="A122" s="1">
        <v>24</v>
      </c>
      <c r="B122" s="419"/>
      <c r="J122" s="418"/>
      <c r="L122" s="156"/>
      <c r="M122" s="132" t="s">
        <v>135</v>
      </c>
      <c r="N122" s="133"/>
      <c r="O122" s="134">
        <f>LEN(N121)</f>
        <v>0</v>
      </c>
      <c r="P122" s="135"/>
      <c r="Q122" s="136">
        <f>LEN(P121)</f>
        <v>0</v>
      </c>
      <c r="R122" s="88"/>
      <c r="S122" s="88"/>
      <c r="T122" s="88"/>
      <c r="U122" s="88"/>
      <c r="V122" s="89"/>
      <c r="Z122" s="42"/>
      <c r="AA122" s="43"/>
      <c r="AB122" s="82" t="str">
        <f t="shared" si="20"/>
        <v/>
      </c>
      <c r="AC122" s="408"/>
      <c r="AD122" s="159"/>
    </row>
    <row r="123" spans="1:30" ht="13.95" customHeight="1">
      <c r="A123" s="1">
        <v>25</v>
      </c>
      <c r="B123" s="203" t="s">
        <v>134</v>
      </c>
      <c r="C123" s="507" t="str">
        <f>IF(N71="","",IF(LEN(N71)&lt;=135,N71,IF(LEN(N71)&lt;=260,LEFT(N71,SEARCH(" ",N71,125)),LEFT(N71,SEARCH(" ",N71,130)))))</f>
        <v/>
      </c>
      <c r="D123" s="508"/>
      <c r="E123" s="508"/>
      <c r="F123" s="508"/>
      <c r="G123" s="508"/>
      <c r="H123" s="508"/>
      <c r="I123" s="508"/>
      <c r="J123" s="513"/>
      <c r="L123" s="41"/>
      <c r="M123" s="43" t="s">
        <v>137</v>
      </c>
      <c r="N123" s="128"/>
      <c r="O123" s="129"/>
      <c r="P123" s="130" t="str">
        <f>IF(OR(AA111=0,AA111=""),"",AA111)</f>
        <v/>
      </c>
      <c r="Q123" s="87"/>
      <c r="R123" s="87"/>
      <c r="S123" s="87"/>
      <c r="T123" s="87"/>
      <c r="U123" s="87"/>
      <c r="V123" s="48"/>
      <c r="Z123" s="42"/>
      <c r="AA123" s="57"/>
      <c r="AB123" s="82" t="str">
        <f t="shared" ref="AB123:AB149" si="21">IF(AND(OR(AA123="",AA123=0),OR(AC123="",AC123=0)),"",IF(AA123&lt;&gt;AC123,"Change",""))</f>
        <v/>
      </c>
      <c r="AC123" s="206">
        <f>N168</f>
        <v>0</v>
      </c>
      <c r="AD123" s="159" t="s">
        <v>175</v>
      </c>
    </row>
    <row r="124" spans="1:30" ht="13.95" customHeight="1">
      <c r="A124" s="1">
        <v>26</v>
      </c>
      <c r="B124" s="131"/>
      <c r="C124" s="507" t="str">
        <f>IF(LEN(N71)&lt;=135,"",IF(LEN(N71)&lt;=260,RIGHT(N71,LEN(N71)-SEARCH(" ",N71,125)),MID(N71,SEARCH(" ",N71,130),IF(LEN(N71)&lt;=265,LEN(N71),SEARCH(" ",N71,255)-SEARCH(" ",N71,130)))))</f>
        <v/>
      </c>
      <c r="D124" s="508"/>
      <c r="E124" s="508"/>
      <c r="F124" s="508"/>
      <c r="G124" s="508"/>
      <c r="H124" s="508"/>
      <c r="I124" s="508"/>
      <c r="J124" s="513"/>
      <c r="L124" s="131"/>
      <c r="M124" s="132" t="s">
        <v>135</v>
      </c>
      <c r="N124" s="133"/>
      <c r="O124" s="134">
        <f>LEN(N123)</f>
        <v>0</v>
      </c>
      <c r="P124" s="135"/>
      <c r="Q124" s="136">
        <f>LEN(P123)</f>
        <v>0</v>
      </c>
      <c r="R124" s="87"/>
      <c r="S124" s="87"/>
      <c r="T124" s="87"/>
      <c r="U124" s="87"/>
      <c r="V124" s="48"/>
      <c r="Z124" s="42"/>
      <c r="AA124" s="43"/>
      <c r="AB124" s="82" t="str">
        <f t="shared" si="21"/>
        <v/>
      </c>
      <c r="AC124" s="408"/>
      <c r="AD124" s="159"/>
    </row>
    <row r="125" spans="1:30" ht="13.95" customHeight="1">
      <c r="A125" s="1">
        <v>27</v>
      </c>
      <c r="B125" s="131"/>
      <c r="C125" s="507" t="str">
        <f>IF(LEN(N71)&lt;=265,"",RIGHT(N71,LEN(N71)-SEARCH(" ",N71,255)))</f>
        <v/>
      </c>
      <c r="D125" s="508"/>
      <c r="E125" s="508"/>
      <c r="F125" s="508"/>
      <c r="G125" s="508"/>
      <c r="H125" s="508"/>
      <c r="I125" s="508"/>
      <c r="J125" s="513"/>
      <c r="L125" s="156"/>
      <c r="M125" s="43" t="s">
        <v>137</v>
      </c>
      <c r="N125" s="128"/>
      <c r="O125" s="129"/>
      <c r="P125" s="130" t="str">
        <f>IF(OR(AA113=0,AA113=""),"",AA113)</f>
        <v/>
      </c>
      <c r="Q125" s="87"/>
      <c r="R125" s="88"/>
      <c r="S125" s="88"/>
      <c r="T125" s="88"/>
      <c r="U125" s="88"/>
      <c r="V125" s="89"/>
      <c r="Z125" s="42"/>
      <c r="AA125" s="57"/>
      <c r="AB125" s="82" t="str">
        <f t="shared" si="21"/>
        <v/>
      </c>
      <c r="AC125" s="206">
        <f>N170</f>
        <v>0</v>
      </c>
      <c r="AD125" s="159" t="s">
        <v>176</v>
      </c>
    </row>
    <row r="126" spans="1:30" ht="13.95" customHeight="1">
      <c r="A126" s="1">
        <v>28</v>
      </c>
      <c r="B126" s="509"/>
      <c r="C126" s="507" t="str">
        <f>IF(N73="","",IF(LEN(N73)&lt;=135,N73,IF(LEN(N73)&lt;=260,LEFT(N73,SEARCH(" ",N73,125)),LEFT(N73,SEARCH(" ",N73,130)))))</f>
        <v/>
      </c>
      <c r="D126" s="508"/>
      <c r="E126" s="508"/>
      <c r="F126" s="508"/>
      <c r="G126" s="508"/>
      <c r="H126" s="508"/>
      <c r="I126" s="508"/>
      <c r="J126" s="513"/>
      <c r="L126" s="41"/>
      <c r="M126" s="132" t="s">
        <v>135</v>
      </c>
      <c r="N126" s="133"/>
      <c r="O126" s="134">
        <f>LEN(N125)</f>
        <v>0</v>
      </c>
      <c r="P126" s="135"/>
      <c r="Q126" s="136">
        <f>LEN(P125)</f>
        <v>0</v>
      </c>
      <c r="R126" s="87"/>
      <c r="S126" s="87"/>
      <c r="T126" s="87"/>
      <c r="U126" s="87"/>
      <c r="V126" s="48"/>
      <c r="Z126" s="42"/>
      <c r="AA126" s="43"/>
      <c r="AB126" s="82" t="str">
        <f t="shared" si="21"/>
        <v/>
      </c>
      <c r="AC126" s="408"/>
      <c r="AD126" s="159"/>
    </row>
    <row r="127" spans="1:30" ht="13.95" customHeight="1">
      <c r="A127" s="1">
        <v>29</v>
      </c>
      <c r="B127" s="509"/>
      <c r="C127" s="507" t="str">
        <f>IF(LEN(N73)&lt;=135,"",IF(LEN(N73)&lt;=260,RIGHT(N73,LEN(N73)-SEARCH(" ",N73,125)),MID(N73,SEARCH(" ",N73,130),IF(LEN(N73)&lt;=265,LEN(N73),SEARCH(" ",N73,255)-SEARCH(" ",N73,130)))))</f>
        <v/>
      </c>
      <c r="D127" s="508"/>
      <c r="E127" s="508"/>
      <c r="F127" s="508"/>
      <c r="G127" s="508"/>
      <c r="H127" s="508"/>
      <c r="I127" s="508"/>
      <c r="J127" s="513"/>
      <c r="L127" s="131"/>
      <c r="M127" s="43" t="s">
        <v>137</v>
      </c>
      <c r="N127" s="128"/>
      <c r="O127" s="129"/>
      <c r="P127" s="130" t="str">
        <f>IF(OR(AA115=0,AA115=""),"",AA115)</f>
        <v/>
      </c>
      <c r="Q127" s="87"/>
      <c r="R127" s="87"/>
      <c r="S127" s="87"/>
      <c r="T127" s="87"/>
      <c r="U127" s="87"/>
      <c r="V127" s="48"/>
      <c r="Z127" s="42"/>
      <c r="AA127" s="57"/>
      <c r="AB127" s="82" t="str">
        <f t="shared" si="21"/>
        <v/>
      </c>
      <c r="AC127" s="206">
        <f>N172</f>
        <v>0</v>
      </c>
      <c r="AD127" s="159" t="s">
        <v>177</v>
      </c>
    </row>
    <row r="128" spans="1:30" ht="13.95" customHeight="1">
      <c r="A128" s="1">
        <v>30</v>
      </c>
      <c r="B128" s="509"/>
      <c r="C128" s="507" t="str">
        <f>IF(LEN(N73)&lt;=265,"",RIGHT(N73,LEN(N73)-SEARCH(" ",N73,255)))</f>
        <v/>
      </c>
      <c r="D128" s="508"/>
      <c r="E128" s="508"/>
      <c r="F128" s="508"/>
      <c r="G128" s="508"/>
      <c r="H128" s="508"/>
      <c r="I128" s="508"/>
      <c r="J128" s="513"/>
      <c r="L128" s="156"/>
      <c r="M128" s="132" t="s">
        <v>135</v>
      </c>
      <c r="N128" s="133"/>
      <c r="O128" s="134">
        <f>LEN(N127)</f>
        <v>0</v>
      </c>
      <c r="P128" s="135"/>
      <c r="Q128" s="136">
        <f>LEN(P127)</f>
        <v>0</v>
      </c>
      <c r="R128" s="88"/>
      <c r="S128" s="88"/>
      <c r="T128" s="88"/>
      <c r="U128" s="88"/>
      <c r="V128" s="89"/>
      <c r="Z128" s="42"/>
      <c r="AA128" s="43"/>
      <c r="AB128" s="82" t="str">
        <f t="shared" si="21"/>
        <v/>
      </c>
      <c r="AC128" s="408"/>
      <c r="AD128" s="159"/>
    </row>
    <row r="129" spans="1:30" ht="13.95" customHeight="1">
      <c r="A129" s="1">
        <v>31</v>
      </c>
      <c r="B129" s="510"/>
      <c r="C129" s="507" t="str">
        <f>IF(N75="","",IF(LEN(N75)&lt;=135,N75,IF(LEN(N75)&lt;=260,LEFT(N75,SEARCH(" ",N75,125)),LEFT(N75,SEARCH(" ",N75,130)))))</f>
        <v/>
      </c>
      <c r="D129" s="508"/>
      <c r="E129" s="508"/>
      <c r="F129" s="508"/>
      <c r="G129" s="508"/>
      <c r="H129" s="508"/>
      <c r="I129" s="508"/>
      <c r="J129" s="513"/>
      <c r="L129" s="113"/>
      <c r="M129" s="43" t="s">
        <v>137</v>
      </c>
      <c r="N129" s="128"/>
      <c r="O129" s="129"/>
      <c r="P129" s="130" t="str">
        <f>IF(OR(AA117=0,AA117=""),"",AA117)</f>
        <v/>
      </c>
      <c r="Q129" s="87"/>
      <c r="R129" s="88"/>
      <c r="S129" s="88"/>
      <c r="T129" s="88"/>
      <c r="U129" s="88"/>
      <c r="V129" s="97"/>
      <c r="Z129" s="42"/>
      <c r="AA129" s="57"/>
      <c r="AB129" s="82" t="str">
        <f t="shared" si="21"/>
        <v/>
      </c>
      <c r="AC129" s="206">
        <f>N174</f>
        <v>0</v>
      </c>
      <c r="AD129" s="159" t="s">
        <v>178</v>
      </c>
    </row>
    <row r="130" spans="1:30" ht="13.95" customHeight="1">
      <c r="A130" s="1">
        <v>32</v>
      </c>
      <c r="B130" s="510"/>
      <c r="C130" s="507" t="str">
        <f>IF(LEN(N75)&lt;=135,"",IF(LEN(N75)&lt;=260,RIGHT(N75,LEN(N75)-SEARCH(" ",N75,125)),MID(N75,SEARCH(" ",N75,130),IF(LEN(N75)&lt;=265,LEN(N75),SEARCH(" ",N75,255)-SEARCH(" ",N75,130)))))</f>
        <v/>
      </c>
      <c r="D130" s="508"/>
      <c r="E130" s="508"/>
      <c r="F130" s="508"/>
      <c r="G130" s="508"/>
      <c r="H130" s="508"/>
      <c r="I130" s="508"/>
      <c r="J130" s="513"/>
      <c r="L130" s="113"/>
      <c r="M130" s="132" t="s">
        <v>135</v>
      </c>
      <c r="N130" s="133"/>
      <c r="O130" s="134">
        <f>LEN(N129)</f>
        <v>0</v>
      </c>
      <c r="P130" s="135"/>
      <c r="Q130" s="136">
        <f>LEN(P129)</f>
        <v>0</v>
      </c>
      <c r="R130" s="87"/>
      <c r="S130" s="87"/>
      <c r="T130" s="87"/>
      <c r="U130" s="87"/>
      <c r="V130" s="97"/>
      <c r="Z130" s="42"/>
      <c r="AA130" s="43"/>
      <c r="AB130" s="82" t="str">
        <f t="shared" si="21"/>
        <v/>
      </c>
      <c r="AC130" s="408"/>
      <c r="AD130" s="159"/>
    </row>
    <row r="131" spans="1:30" ht="13.95" customHeight="1">
      <c r="A131" s="1">
        <v>33</v>
      </c>
      <c r="B131" s="510"/>
      <c r="C131" s="507" t="str">
        <f>IF(LEN(N75)&lt;=265,"",RIGHT(N75,LEN(N75)-SEARCH(" ",N75,255)))</f>
        <v/>
      </c>
      <c r="D131" s="508"/>
      <c r="E131" s="508"/>
      <c r="F131" s="508"/>
      <c r="G131" s="508"/>
      <c r="H131" s="508"/>
      <c r="I131" s="508"/>
      <c r="J131" s="513"/>
      <c r="L131" s="113"/>
      <c r="M131" s="43" t="s">
        <v>137</v>
      </c>
      <c r="N131" s="128"/>
      <c r="O131" s="129"/>
      <c r="P131" s="130" t="str">
        <f>IF(OR(AA119=0,AA119=""),"",AA119)</f>
        <v/>
      </c>
      <c r="Q131" s="87"/>
      <c r="R131" s="88"/>
      <c r="S131" s="88"/>
      <c r="T131" s="88"/>
      <c r="U131" s="88"/>
      <c r="V131" s="97"/>
      <c r="Z131" s="42"/>
      <c r="AA131" s="57"/>
      <c r="AB131" s="82" t="str">
        <f t="shared" si="21"/>
        <v/>
      </c>
      <c r="AC131" s="206">
        <f>N176</f>
        <v>0</v>
      </c>
      <c r="AD131" s="159" t="s">
        <v>179</v>
      </c>
    </row>
    <row r="132" spans="1:30" ht="13.95" customHeight="1">
      <c r="A132" s="1">
        <v>34</v>
      </c>
      <c r="B132" s="203"/>
      <c r="C132" s="507" t="str">
        <f>IF(N77="","",IF(LEN(N77)&lt;=135,N77,IF(LEN(N77)&lt;=260,LEFT(N77,SEARCH(" ",N77,125)),LEFT(N77,SEARCH(" ",N77,130)))))</f>
        <v/>
      </c>
      <c r="D132" s="508"/>
      <c r="E132" s="508"/>
      <c r="F132" s="508"/>
      <c r="G132" s="508"/>
      <c r="H132" s="508"/>
      <c r="I132" s="508"/>
      <c r="J132" s="513"/>
      <c r="L132" s="113"/>
      <c r="M132" s="132" t="s">
        <v>135</v>
      </c>
      <c r="N132" s="133"/>
      <c r="O132" s="134">
        <f>LEN(N131)</f>
        <v>0</v>
      </c>
      <c r="P132" s="135"/>
      <c r="Q132" s="136">
        <f>LEN(P131)</f>
        <v>0</v>
      </c>
      <c r="R132" s="88"/>
      <c r="S132" s="88"/>
      <c r="T132" s="88"/>
      <c r="U132" s="88"/>
      <c r="V132" s="97"/>
      <c r="Z132" s="42"/>
      <c r="AA132" s="43"/>
      <c r="AB132" s="82" t="str">
        <f t="shared" si="21"/>
        <v/>
      </c>
      <c r="AC132" s="408"/>
      <c r="AD132" s="159"/>
    </row>
    <row r="133" spans="1:30" ht="13.95" customHeight="1">
      <c r="A133" s="1">
        <v>35</v>
      </c>
      <c r="B133" s="131"/>
      <c r="C133" s="507" t="str">
        <f>IF(LEN(N77)&lt;=135,"",IF(LEN(N77)&lt;=260,RIGHT(N77,LEN(N77)-SEARCH(" ",N77,125)),MID(N77,SEARCH(" ",N77,130),IF(LEN(N77)&lt;=265,LEN(N77),SEARCH(" ",N77,255)-SEARCH(" ",N77,130)))))</f>
        <v/>
      </c>
      <c r="D133" s="508"/>
      <c r="E133" s="508"/>
      <c r="F133" s="508"/>
      <c r="G133" s="508"/>
      <c r="H133" s="508"/>
      <c r="I133" s="508"/>
      <c r="J133" s="513"/>
      <c r="L133" s="419"/>
      <c r="V133" s="97"/>
      <c r="Z133" s="42"/>
      <c r="AA133" s="57"/>
      <c r="AB133" s="82" t="str">
        <f t="shared" si="21"/>
        <v/>
      </c>
      <c r="AC133" s="206">
        <f>N178</f>
        <v>0</v>
      </c>
      <c r="AD133" s="159" t="s">
        <v>180</v>
      </c>
    </row>
    <row r="134" spans="1:30" ht="13.95" customHeight="1">
      <c r="A134" s="1">
        <v>36</v>
      </c>
      <c r="B134" s="131"/>
      <c r="C134" s="507" t="str">
        <f>IF(LEN(N77)&lt;=265,"",RIGHT(N77,LEN(N77)-SEARCH(" ",N77,255)))</f>
        <v/>
      </c>
      <c r="D134" s="508"/>
      <c r="E134" s="508"/>
      <c r="F134" s="508"/>
      <c r="G134" s="508"/>
      <c r="H134" s="508"/>
      <c r="I134" s="508"/>
      <c r="J134" s="513"/>
      <c r="L134" s="419"/>
      <c r="M134" s="141"/>
      <c r="N134" s="141"/>
      <c r="O134" s="141"/>
      <c r="P134" s="142"/>
      <c r="Q134" s="142"/>
      <c r="R134" s="142"/>
      <c r="S134" s="142"/>
      <c r="T134" s="142"/>
      <c r="U134" s="142"/>
      <c r="V134" s="97"/>
      <c r="Z134" s="42"/>
      <c r="AA134" s="43"/>
      <c r="AB134" s="82" t="str">
        <f t="shared" si="21"/>
        <v/>
      </c>
      <c r="AC134" s="408"/>
      <c r="AD134" s="159"/>
    </row>
    <row r="135" spans="1:30" ht="13.95" customHeight="1">
      <c r="A135" s="1">
        <v>37</v>
      </c>
      <c r="B135" s="203"/>
      <c r="C135" s="507" t="str">
        <f>IF(N79="","",IF(LEN(N79)&lt;=135,N79,IF(LEN(N79)&lt;=260,LEFT(N79,SEARCH(" ",N79,125)),LEFT(N79,SEARCH(" ",N79,130)))))</f>
        <v/>
      </c>
      <c r="D135" s="508"/>
      <c r="E135" s="508"/>
      <c r="F135" s="508"/>
      <c r="G135" s="508"/>
      <c r="H135" s="508"/>
      <c r="I135" s="508"/>
      <c r="J135" s="513"/>
      <c r="L135" s="419"/>
      <c r="M135" s="144"/>
      <c r="N135" s="144"/>
      <c r="O135" s="144"/>
      <c r="P135" s="145"/>
      <c r="Q135" s="145"/>
      <c r="R135" s="145"/>
      <c r="S135" s="145"/>
      <c r="T135" s="145"/>
      <c r="U135" s="145"/>
      <c r="V135" s="97"/>
      <c r="Z135" s="42"/>
      <c r="AA135" s="57"/>
      <c r="AB135" s="82" t="str">
        <f t="shared" si="21"/>
        <v/>
      </c>
      <c r="AC135" s="206">
        <f>N180</f>
        <v>0</v>
      </c>
      <c r="AD135" s="159" t="s">
        <v>181</v>
      </c>
    </row>
    <row r="136" spans="1:30" ht="13.95" customHeight="1">
      <c r="A136" s="1">
        <v>38</v>
      </c>
      <c r="B136" s="131"/>
      <c r="C136" s="507" t="str">
        <f>IF(LEN(N79)&lt;=135,"",IF(LEN(N79)&lt;=260,RIGHT(N79,LEN(N79)-SEARCH(" ",N79,125)),MID(N79,SEARCH(" ",N79,130),IF(LEN(N79)&lt;=265,LEN(N79),SEARCH(" ",N79,255)-SEARCH(" ",N79,130)))))</f>
        <v/>
      </c>
      <c r="D136" s="508"/>
      <c r="E136" s="508"/>
      <c r="F136" s="508"/>
      <c r="G136" s="508"/>
      <c r="H136" s="508"/>
      <c r="I136" s="508"/>
      <c r="J136" s="513"/>
      <c r="L136" s="419"/>
      <c r="M136" s="144"/>
      <c r="N136" s="144"/>
      <c r="O136" s="144"/>
      <c r="P136" s="145"/>
      <c r="Q136" s="145"/>
      <c r="R136" s="145"/>
      <c r="S136" s="145"/>
      <c r="T136" s="145"/>
      <c r="U136" s="145"/>
      <c r="V136" s="97"/>
      <c r="Z136" s="42"/>
      <c r="AA136" s="43"/>
      <c r="AB136" s="82" t="str">
        <f t="shared" si="21"/>
        <v/>
      </c>
      <c r="AC136" s="408"/>
      <c r="AD136" s="159"/>
    </row>
    <row r="137" spans="1:30" ht="13.95" customHeight="1">
      <c r="A137" s="1">
        <v>39</v>
      </c>
      <c r="B137" s="131"/>
      <c r="C137" s="507" t="str">
        <f>IF(LEN(N79)&lt;=265,"",RIGHT(N79,LEN(N79)-SEARCH(" ",N79,255)))</f>
        <v/>
      </c>
      <c r="D137" s="508"/>
      <c r="E137" s="508"/>
      <c r="F137" s="508"/>
      <c r="G137" s="508"/>
      <c r="H137" s="508"/>
      <c r="I137" s="508"/>
      <c r="J137" s="513"/>
      <c r="L137" s="419"/>
      <c r="M137" s="144"/>
      <c r="N137" s="144"/>
      <c r="O137" s="144"/>
      <c r="P137" s="145"/>
      <c r="Q137" s="145"/>
      <c r="R137" s="145"/>
      <c r="S137" s="145"/>
      <c r="T137" s="145"/>
      <c r="U137" s="145"/>
      <c r="V137" s="97"/>
      <c r="Z137" s="42"/>
      <c r="AA137" s="57"/>
      <c r="AB137" s="82" t="str">
        <f t="shared" si="21"/>
        <v/>
      </c>
      <c r="AC137" s="206">
        <f>N182</f>
        <v>0</v>
      </c>
      <c r="AD137" s="159" t="s">
        <v>182</v>
      </c>
    </row>
    <row r="138" spans="1:30" ht="13.95" customHeight="1">
      <c r="A138" s="1">
        <v>40</v>
      </c>
      <c r="B138" s="203"/>
      <c r="C138" s="507" t="str">
        <f>IF(N81="","",IF(LEN(N81)&lt;=135,N81,IF(LEN(N81)&lt;=260,LEFT(N81,SEARCH(" ",N81,125)),LEFT(N81,SEARCH(" ",N81,130)))))</f>
        <v/>
      </c>
      <c r="D138" s="508"/>
      <c r="E138" s="508"/>
      <c r="F138" s="508"/>
      <c r="G138" s="508"/>
      <c r="H138" s="508"/>
      <c r="I138" s="508"/>
      <c r="J138" s="513"/>
      <c r="L138" s="419"/>
      <c r="M138" s="144"/>
      <c r="N138" s="144"/>
      <c r="O138" s="144"/>
      <c r="P138" s="145"/>
      <c r="Q138" s="145"/>
      <c r="R138" s="145"/>
      <c r="S138" s="145"/>
      <c r="T138" s="145"/>
      <c r="U138" s="145"/>
      <c r="V138" s="97"/>
      <c r="Z138" s="42"/>
      <c r="AA138" s="43"/>
      <c r="AB138" s="82" t="str">
        <f t="shared" si="21"/>
        <v/>
      </c>
      <c r="AC138" s="408"/>
      <c r="AD138" s="159"/>
    </row>
    <row r="139" spans="1:30" ht="13.95" customHeight="1">
      <c r="A139" s="1">
        <v>41</v>
      </c>
      <c r="B139" s="131"/>
      <c r="C139" s="507" t="str">
        <f>IF(LEN(N81)&lt;=135,"",IF(LEN(N81)&lt;=260,RIGHT(N81,LEN(N81)-SEARCH(" ",N81,125)),MID(N81,SEARCH(" ",N81,130),IF(LEN(N81)&lt;=265,LEN(N81),SEARCH(" ",N81,255)-SEARCH(" ",N81,130)))))</f>
        <v/>
      </c>
      <c r="D139" s="508"/>
      <c r="E139" s="508"/>
      <c r="F139" s="508"/>
      <c r="G139" s="508"/>
      <c r="H139" s="508"/>
      <c r="I139" s="508"/>
      <c r="J139" s="513"/>
      <c r="L139" s="419"/>
      <c r="M139" s="144"/>
      <c r="N139" s="144"/>
      <c r="O139" s="144"/>
      <c r="P139" s="145"/>
      <c r="Q139" s="145"/>
      <c r="R139" s="145"/>
      <c r="S139" s="145"/>
      <c r="T139" s="145"/>
      <c r="U139" s="145"/>
      <c r="V139" s="97"/>
      <c r="Z139" s="42"/>
      <c r="AA139" s="57"/>
      <c r="AB139" s="82" t="str">
        <f t="shared" si="21"/>
        <v/>
      </c>
      <c r="AC139" s="206">
        <f>N184</f>
        <v>0</v>
      </c>
      <c r="AD139" s="159" t="s">
        <v>183</v>
      </c>
    </row>
    <row r="140" spans="1:30" ht="13.95" customHeight="1">
      <c r="A140" s="1">
        <v>42</v>
      </c>
      <c r="B140" s="131"/>
      <c r="C140" s="507" t="str">
        <f>IF(LEN(N81)&lt;=265,"",RIGHT(N81,LEN(N81)-SEARCH(" ",N81,255)))</f>
        <v/>
      </c>
      <c r="D140" s="508"/>
      <c r="E140" s="508"/>
      <c r="F140" s="508"/>
      <c r="G140" s="508"/>
      <c r="H140" s="508"/>
      <c r="I140" s="508"/>
      <c r="J140" s="513"/>
      <c r="L140" s="419"/>
      <c r="M140" s="144"/>
      <c r="N140" s="144"/>
      <c r="O140" s="144"/>
      <c r="P140" s="145"/>
      <c r="Q140" s="145"/>
      <c r="R140" s="145"/>
      <c r="S140" s="145"/>
      <c r="T140" s="145"/>
      <c r="U140" s="145"/>
      <c r="V140" s="97"/>
      <c r="Z140" s="42"/>
      <c r="AA140" s="43"/>
      <c r="AB140" s="82" t="str">
        <f t="shared" si="21"/>
        <v/>
      </c>
      <c r="AC140" s="408"/>
      <c r="AD140" s="159"/>
    </row>
    <row r="141" spans="1:30" ht="13.95" customHeight="1">
      <c r="A141" s="1">
        <v>43</v>
      </c>
      <c r="B141" s="203"/>
      <c r="C141" s="507" t="str">
        <f>IF(N83="","",IF(LEN(N83)&lt;=135,N83,IF(LEN(N83)&lt;=260,LEFT(N83,SEARCH(" ",N83,125)),LEFT(N83,SEARCH(" ",N83,130)))))</f>
        <v/>
      </c>
      <c r="D141" s="508"/>
      <c r="E141" s="508"/>
      <c r="F141" s="508"/>
      <c r="G141" s="508"/>
      <c r="H141" s="508"/>
      <c r="I141" s="508"/>
      <c r="J141" s="513"/>
      <c r="L141" s="113"/>
      <c r="M141" s="144"/>
      <c r="N141" s="144"/>
      <c r="O141" s="144"/>
      <c r="P141" s="145"/>
      <c r="Q141" s="145"/>
      <c r="R141" s="145"/>
      <c r="S141" s="145"/>
      <c r="T141" s="145"/>
      <c r="U141" s="145"/>
      <c r="V141" s="97"/>
      <c r="Z141" s="42"/>
      <c r="AA141" s="57"/>
      <c r="AB141" s="82" t="str">
        <f t="shared" si="21"/>
        <v/>
      </c>
      <c r="AC141" s="206">
        <f>N186</f>
        <v>0</v>
      </c>
      <c r="AD141" s="159" t="s">
        <v>184</v>
      </c>
    </row>
    <row r="142" spans="1:30" ht="13.95" customHeight="1">
      <c r="A142" s="1">
        <v>44</v>
      </c>
      <c r="B142" s="131"/>
      <c r="C142" s="507" t="str">
        <f>IF(LEN(N83)&lt;=135,"",IF(LEN(N83)&lt;=260,RIGHT(N83,LEN(N83)-SEARCH(" ",N83,125)),MID(N83,SEARCH(" ",N83,130),IF(LEN(N83)&lt;=265,LEN(N83),SEARCH(" ",N83,255)-SEARCH(" ",N83,130)))))</f>
        <v/>
      </c>
      <c r="D142" s="508"/>
      <c r="E142" s="508"/>
      <c r="F142" s="508"/>
      <c r="G142" s="508"/>
      <c r="H142" s="508"/>
      <c r="I142" s="508"/>
      <c r="J142" s="513"/>
      <c r="L142" s="113"/>
      <c r="M142" s="144"/>
      <c r="N142" s="144"/>
      <c r="O142" s="144"/>
      <c r="P142" s="145"/>
      <c r="Q142" s="145"/>
      <c r="R142" s="145"/>
      <c r="S142" s="145"/>
      <c r="T142" s="145"/>
      <c r="U142" s="145"/>
      <c r="V142" s="97"/>
      <c r="Z142" s="42"/>
      <c r="AA142" s="43"/>
      <c r="AB142" s="82" t="str">
        <f t="shared" si="21"/>
        <v/>
      </c>
      <c r="AC142" s="408"/>
      <c r="AD142" s="159"/>
    </row>
    <row r="143" spans="1:30" ht="13.95" customHeight="1">
      <c r="A143" s="1">
        <v>45</v>
      </c>
      <c r="B143" s="131"/>
      <c r="C143" s="507" t="str">
        <f>IF(LEN(N83)&lt;=265,"",RIGHT(N83,LEN(N83)-SEARCH(" ",N83,255)))</f>
        <v/>
      </c>
      <c r="D143" s="508"/>
      <c r="E143" s="508"/>
      <c r="F143" s="508"/>
      <c r="G143" s="508"/>
      <c r="H143" s="508"/>
      <c r="I143" s="508"/>
      <c r="J143" s="513"/>
      <c r="L143" s="113"/>
      <c r="M143" s="144"/>
      <c r="N143" s="144"/>
      <c r="O143" s="144"/>
      <c r="P143" s="145"/>
      <c r="Q143" s="145"/>
      <c r="R143" s="145"/>
      <c r="S143" s="145"/>
      <c r="T143" s="145"/>
      <c r="U143" s="145"/>
      <c r="V143" s="97"/>
      <c r="Z143" s="42"/>
      <c r="AA143" s="57"/>
      <c r="AB143" s="82" t="str">
        <f t="shared" si="21"/>
        <v/>
      </c>
      <c r="AC143" s="206">
        <f>N188</f>
        <v>0</v>
      </c>
      <c r="AD143" s="159" t="s">
        <v>185</v>
      </c>
    </row>
    <row r="144" spans="1:30" ht="13.95" customHeight="1">
      <c r="A144" s="1">
        <v>46</v>
      </c>
      <c r="B144" s="203"/>
      <c r="C144" s="511"/>
      <c r="D144" s="42"/>
      <c r="E144" s="42"/>
      <c r="F144" s="42"/>
      <c r="G144" s="42"/>
      <c r="H144" s="42"/>
      <c r="I144" s="42"/>
      <c r="J144" s="48"/>
      <c r="L144" s="113"/>
      <c r="M144" s="144"/>
      <c r="N144" s="144"/>
      <c r="O144" s="144"/>
      <c r="P144" s="145"/>
      <c r="Q144" s="145"/>
      <c r="R144" s="145"/>
      <c r="S144" s="145"/>
      <c r="T144" s="145"/>
      <c r="U144" s="145"/>
      <c r="V144" s="97"/>
      <c r="Z144" s="42"/>
      <c r="AA144" s="43"/>
      <c r="AB144" s="82" t="str">
        <f t="shared" si="21"/>
        <v/>
      </c>
      <c r="AC144" s="408"/>
      <c r="AD144" s="159"/>
    </row>
    <row r="145" spans="1:30" ht="13.95" customHeight="1" thickBot="1">
      <c r="A145" s="1">
        <v>47</v>
      </c>
      <c r="B145" s="150"/>
      <c r="C145" s="512"/>
      <c r="D145" s="68"/>
      <c r="E145" s="68"/>
      <c r="F145" s="68"/>
      <c r="G145" s="68"/>
      <c r="H145" s="68"/>
      <c r="I145" s="68"/>
      <c r="J145" s="71"/>
      <c r="L145" s="113"/>
      <c r="M145" s="144"/>
      <c r="N145" s="144"/>
      <c r="O145" s="144"/>
      <c r="P145" s="146" t="s">
        <v>144</v>
      </c>
      <c r="Q145" s="46"/>
      <c r="R145" s="46"/>
      <c r="S145" s="144"/>
      <c r="T145" s="145"/>
      <c r="U145" s="145"/>
      <c r="V145" s="97"/>
      <c r="Z145" s="42"/>
      <c r="AA145" s="57"/>
      <c r="AB145" s="82" t="str">
        <f t="shared" si="21"/>
        <v/>
      </c>
      <c r="AC145" s="206">
        <f>N190</f>
        <v>0</v>
      </c>
      <c r="AD145" s="159" t="s">
        <v>186</v>
      </c>
    </row>
    <row r="146" spans="1:30" ht="13.95" customHeight="1" thickTop="1">
      <c r="A146" s="1">
        <v>48</v>
      </c>
      <c r="B146" s="99" t="s">
        <v>3</v>
      </c>
      <c r="C146" s="100" t="str">
        <f>IF($N$8="","",$N$8)</f>
        <v/>
      </c>
      <c r="D146" s="2"/>
      <c r="E146" s="2"/>
      <c r="F146" s="2"/>
      <c r="G146" s="2" t="str">
        <f>""</f>
        <v/>
      </c>
      <c r="H146" s="2" t="str">
        <f>""</f>
        <v/>
      </c>
      <c r="I146" s="99" t="s">
        <v>4</v>
      </c>
      <c r="J146" s="101" t="str">
        <f>IF($U$8="","",$U$8)</f>
        <v>Eugene Mah</v>
      </c>
      <c r="L146" s="113"/>
      <c r="M146" s="144"/>
      <c r="N146" s="144"/>
      <c r="O146" s="144"/>
      <c r="P146" s="145"/>
      <c r="Q146" s="144"/>
      <c r="R146" s="145"/>
      <c r="S146" s="144"/>
      <c r="T146" s="145"/>
      <c r="U146" s="145"/>
      <c r="V146" s="97"/>
      <c r="Z146" s="42"/>
      <c r="AA146" s="43"/>
      <c r="AB146" s="82" t="str">
        <f t="shared" si="21"/>
        <v/>
      </c>
      <c r="AC146" s="408"/>
      <c r="AD146" s="159"/>
    </row>
    <row r="147" spans="1:30" ht="13.95" customHeight="1">
      <c r="A147" s="1">
        <v>49</v>
      </c>
      <c r="B147" s="99" t="s">
        <v>18</v>
      </c>
      <c r="C147" s="102" t="str">
        <f>IF($O$15="","",$O$15)</f>
        <v/>
      </c>
      <c r="D147" s="2"/>
      <c r="E147" s="2"/>
      <c r="F147" s="2"/>
      <c r="G147" s="2"/>
      <c r="H147" s="2"/>
      <c r="I147" s="99" t="s">
        <v>16</v>
      </c>
      <c r="J147" s="103" t="str">
        <f>IF($E$14="","",$E$14)</f>
        <v/>
      </c>
      <c r="L147" s="113"/>
      <c r="M147" s="144"/>
      <c r="N147" s="144"/>
      <c r="O147" s="144"/>
      <c r="P147" s="145"/>
      <c r="Q147" s="144"/>
      <c r="R147" s="145"/>
      <c r="S147" s="144"/>
      <c r="T147" s="145"/>
      <c r="U147" s="145"/>
      <c r="V147" s="97"/>
      <c r="Z147" s="42"/>
      <c r="AA147" s="57"/>
      <c r="AB147" s="82" t="str">
        <f t="shared" si="21"/>
        <v/>
      </c>
      <c r="AC147" s="206">
        <f>N192</f>
        <v>0</v>
      </c>
      <c r="AD147" s="159" t="s">
        <v>187</v>
      </c>
    </row>
    <row r="148" spans="1:30" ht="13.95" customHeight="1">
      <c r="A148" s="1">
        <v>1</v>
      </c>
      <c r="J148" s="118" t="str">
        <f>$F$2</f>
        <v>Medical University of South Carolina</v>
      </c>
      <c r="L148" s="113"/>
      <c r="M148" s="144"/>
      <c r="N148" s="144"/>
      <c r="O148" s="144"/>
      <c r="P148" s="145"/>
      <c r="Q148" s="144"/>
      <c r="R148" s="145"/>
      <c r="S148" s="144"/>
      <c r="T148" s="145"/>
      <c r="U148" s="145"/>
      <c r="V148" s="97"/>
      <c r="Z148" s="42"/>
      <c r="AA148" s="43"/>
      <c r="AB148" s="82" t="str">
        <f t="shared" si="21"/>
        <v/>
      </c>
      <c r="AC148" s="408"/>
      <c r="AD148" s="159"/>
    </row>
    <row r="149" spans="1:30" ht="13.95" customHeight="1" thickBot="1">
      <c r="A149" s="1">
        <v>2</v>
      </c>
      <c r="B149" s="548" t="str">
        <f>Q101</f>
        <v>COMMENTS PAGE 2</v>
      </c>
      <c r="J149" s="79" t="str">
        <f>$F$5</f>
        <v>EOS Imaging System Compliance Inspection</v>
      </c>
      <c r="L149" s="113"/>
      <c r="M149" s="144"/>
      <c r="N149" s="144"/>
      <c r="O149" s="144"/>
      <c r="P149" s="145"/>
      <c r="Q149" s="144"/>
      <c r="R149" s="145"/>
      <c r="S149" s="144"/>
      <c r="T149" s="145"/>
      <c r="U149" s="145"/>
      <c r="V149" s="97"/>
      <c r="Z149" s="42"/>
      <c r="AA149" s="57"/>
      <c r="AB149" s="82" t="str">
        <f t="shared" si="21"/>
        <v/>
      </c>
      <c r="AC149" s="206">
        <f>N194</f>
        <v>0</v>
      </c>
      <c r="AD149" s="159" t="s">
        <v>188</v>
      </c>
    </row>
    <row r="150" spans="1:30" ht="13.95" customHeight="1" thickTop="1">
      <c r="A150" s="1">
        <v>3</v>
      </c>
      <c r="B150" s="515" t="s">
        <v>134</v>
      </c>
      <c r="C150" s="516" t="str">
        <f>IF(N103="","",IF(LEN(N103)&lt;=135,N103,IF(LEN(N103)&lt;=260,LEFT(N103,SEARCH(" ",N103,125)),LEFT(N103,SEARCH(" ",N103,130)))))</f>
        <v/>
      </c>
      <c r="D150" s="517"/>
      <c r="E150" s="517"/>
      <c r="F150" s="517"/>
      <c r="G150" s="517"/>
      <c r="H150" s="517"/>
      <c r="I150" s="517"/>
      <c r="J150" s="518"/>
      <c r="L150" s="113"/>
      <c r="M150" s="144"/>
      <c r="N150" s="144"/>
      <c r="O150" s="144"/>
      <c r="P150" s="145"/>
      <c r="Q150" s="144"/>
      <c r="R150" s="145"/>
      <c r="S150" s="144"/>
      <c r="T150" s="145"/>
      <c r="U150" s="145"/>
      <c r="V150" s="97"/>
    </row>
    <row r="151" spans="1:30" ht="13.95" customHeight="1">
      <c r="A151" s="1">
        <v>4</v>
      </c>
      <c r="B151" s="131"/>
      <c r="C151" s="507" t="str">
        <f>IF(LEN(N103)&lt;=135,"",IF(LEN(N103)&lt;=260,RIGHT(N103,LEN(N103)-SEARCH(" ",N103,125)),MID(N103,SEARCH(" ",N103,130),IF(LEN(N103)&lt;=265,LEN(N103),SEARCH(" ",N103,255)-SEARCH(" ",N103,130)))))</f>
        <v/>
      </c>
      <c r="D151" s="514"/>
      <c r="E151" s="514"/>
      <c r="F151" s="514"/>
      <c r="G151" s="514"/>
      <c r="H151" s="514"/>
      <c r="I151" s="514"/>
      <c r="J151" s="519"/>
      <c r="L151" s="113"/>
      <c r="M151" s="144"/>
      <c r="N151" s="144"/>
      <c r="O151" s="144"/>
      <c r="P151" s="145"/>
      <c r="Q151" s="144"/>
      <c r="R151" s="145"/>
      <c r="S151" s="144"/>
      <c r="T151" s="145"/>
      <c r="U151" s="145"/>
      <c r="V151" s="97"/>
      <c r="Z151" s="79" t="s">
        <v>280</v>
      </c>
      <c r="AA151" s="42"/>
      <c r="AB151" s="82" t="str">
        <f t="shared" ref="AB151:AB214" si="22">IF(AND(OR(AA151="",AA151=0),OR(AC151="",AC151=0)),"",IF(AA151&lt;&gt;AC151,"Change",""))</f>
        <v/>
      </c>
      <c r="AC151" s="42"/>
      <c r="AD151" s="42"/>
    </row>
    <row r="152" spans="1:30" ht="13.95" customHeight="1">
      <c r="A152" s="1">
        <v>5</v>
      </c>
      <c r="B152" s="131"/>
      <c r="C152" s="507" t="str">
        <f>IF(LEN(N103)&lt;=265,"",RIGHT(N103,LEN(N103)-SEARCH(" ",N103,255)))</f>
        <v/>
      </c>
      <c r="D152" s="514"/>
      <c r="E152" s="514"/>
      <c r="F152" s="514"/>
      <c r="G152" s="514"/>
      <c r="H152" s="514"/>
      <c r="I152" s="514"/>
      <c r="J152" s="519"/>
      <c r="L152" s="113"/>
      <c r="M152" s="144"/>
      <c r="N152" s="144"/>
      <c r="O152" s="144"/>
      <c r="P152" s="145"/>
      <c r="Q152" s="144"/>
      <c r="R152" s="145"/>
      <c r="S152" s="144"/>
      <c r="T152" s="145"/>
      <c r="U152" s="145"/>
      <c r="V152" s="97"/>
      <c r="Z152" s="43" t="s">
        <v>281</v>
      </c>
      <c r="AA152" s="547"/>
      <c r="AB152" s="82" t="str">
        <f t="shared" si="22"/>
        <v>Change</v>
      </c>
      <c r="AC152" s="546">
        <f>L228</f>
        <v>8.75</v>
      </c>
      <c r="AD152" s="42" t="s">
        <v>287</v>
      </c>
    </row>
    <row r="153" spans="1:30" ht="13.95" customHeight="1">
      <c r="A153" s="1">
        <v>6</v>
      </c>
      <c r="B153" s="113"/>
      <c r="C153" s="507" t="str">
        <f>IF(N105="","",IF(LEN(N105)&lt;=135,N105,IF(LEN(N105)&lt;=260,LEFT(N105,SEARCH(" ",N105,125)),LEFT(N105,SEARCH(" ",N105,130)))))</f>
        <v/>
      </c>
      <c r="D153" s="514"/>
      <c r="E153" s="514"/>
      <c r="F153" s="514"/>
      <c r="G153" s="514"/>
      <c r="H153" s="514"/>
      <c r="I153" s="514"/>
      <c r="J153" s="519"/>
      <c r="L153" s="113"/>
      <c r="M153" s="144"/>
      <c r="N153" s="144"/>
      <c r="O153" s="144"/>
      <c r="P153" s="145"/>
      <c r="Q153" s="144"/>
      <c r="R153" s="145"/>
      <c r="S153" s="144"/>
      <c r="T153" s="145"/>
      <c r="U153" s="145"/>
      <c r="V153" s="97"/>
      <c r="Z153" s="42" t="s">
        <v>282</v>
      </c>
      <c r="AA153" s="85"/>
      <c r="AB153" s="82" t="str">
        <f t="shared" si="22"/>
        <v>Change</v>
      </c>
      <c r="AC153" s="205">
        <f>L229</f>
        <v>400</v>
      </c>
      <c r="AD153" s="42" t="s">
        <v>288</v>
      </c>
    </row>
    <row r="154" spans="1:30" ht="13.95" customHeight="1">
      <c r="A154" s="1">
        <v>7</v>
      </c>
      <c r="B154" s="113"/>
      <c r="C154" s="507" t="str">
        <f>IF(LEN(N105)&lt;=135,"",IF(LEN(N105)&lt;=260,RIGHT(N105,LEN(N105)-SEARCH(" ",N105,125)),MID(N105,SEARCH(" ",N105,130),IF(LEN(N105)&lt;=265,LEN(N105),SEARCH(" ",N105,255)-SEARCH(" ",N105,130)))))</f>
        <v/>
      </c>
      <c r="D154" s="514"/>
      <c r="E154" s="514"/>
      <c r="F154" s="514"/>
      <c r="G154" s="514"/>
      <c r="H154" s="514"/>
      <c r="I154" s="514"/>
      <c r="J154" s="519"/>
      <c r="L154" s="113"/>
      <c r="M154" s="144"/>
      <c r="N154" s="144"/>
      <c r="O154" s="144"/>
      <c r="P154" s="145"/>
      <c r="Q154" s="144"/>
      <c r="R154" s="145"/>
      <c r="S154" s="144"/>
      <c r="T154" s="145"/>
      <c r="U154" s="145"/>
      <c r="V154" s="97"/>
      <c r="Z154" s="42" t="s">
        <v>283</v>
      </c>
      <c r="AA154" s="85"/>
      <c r="AB154" s="82" t="str">
        <f t="shared" si="22"/>
        <v>Change</v>
      </c>
      <c r="AC154" s="205">
        <f>L230</f>
        <v>200</v>
      </c>
      <c r="AD154" s="42" t="s">
        <v>289</v>
      </c>
    </row>
    <row r="155" spans="1:30" ht="13.95" customHeight="1">
      <c r="A155" s="1">
        <v>8</v>
      </c>
      <c r="B155" s="113"/>
      <c r="C155" s="507" t="str">
        <f>IF(LEN(N105)&lt;=265,"",RIGHT(N105,LEN(N105)-SEARCH(" ",N105,255)))</f>
        <v/>
      </c>
      <c r="D155" s="514"/>
      <c r="E155" s="514"/>
      <c r="F155" s="514"/>
      <c r="G155" s="514"/>
      <c r="H155" s="514"/>
      <c r="I155" s="514"/>
      <c r="J155" s="519"/>
      <c r="L155" s="113"/>
      <c r="M155" s="144"/>
      <c r="N155" s="144"/>
      <c r="O155" s="144"/>
      <c r="P155" s="145"/>
      <c r="Q155" s="144"/>
      <c r="R155" s="145"/>
      <c r="S155" s="144"/>
      <c r="T155" s="145"/>
      <c r="U155" s="145"/>
      <c r="V155" s="97"/>
      <c r="Z155" s="42"/>
      <c r="AA155" s="43"/>
      <c r="AB155" s="82" t="str">
        <f t="shared" si="22"/>
        <v/>
      </c>
      <c r="AC155" s="42"/>
      <c r="AD155" s="42"/>
    </row>
    <row r="156" spans="1:30" ht="13.95" customHeight="1">
      <c r="A156" s="1">
        <v>9</v>
      </c>
      <c r="B156" s="113"/>
      <c r="C156" s="507" t="str">
        <f>IF(N107="","",IF(LEN(N107)&lt;=135,N107,IF(LEN(N107)&lt;=260,LEFT(N107,SEARCH(" ",N107,125)),LEFT(N107,SEARCH(" ",N107,130)))))</f>
        <v/>
      </c>
      <c r="D156" s="514"/>
      <c r="E156" s="514"/>
      <c r="F156" s="514"/>
      <c r="G156" s="514"/>
      <c r="H156" s="514"/>
      <c r="I156" s="514"/>
      <c r="J156" s="519"/>
      <c r="L156" s="113"/>
      <c r="M156" s="144"/>
      <c r="N156" s="144"/>
      <c r="O156" s="144"/>
      <c r="P156" s="145"/>
      <c r="Q156" s="144"/>
      <c r="R156" s="145"/>
      <c r="S156" s="144"/>
      <c r="T156" s="145"/>
      <c r="U156" s="145"/>
      <c r="V156" s="97"/>
      <c r="Z156" s="79" t="s">
        <v>199</v>
      </c>
      <c r="AA156" s="85"/>
      <c r="AB156" s="82" t="str">
        <f t="shared" si="22"/>
        <v>Change</v>
      </c>
      <c r="AC156" s="206" t="str">
        <f t="shared" ref="AC156:AC165" si="23">L236</f>
        <v>CXR</v>
      </c>
      <c r="AD156" s="42" t="s">
        <v>290</v>
      </c>
    </row>
    <row r="157" spans="1:30" ht="13.95" customHeight="1">
      <c r="A157" s="1">
        <v>10</v>
      </c>
      <c r="B157" s="113"/>
      <c r="C157" s="507" t="str">
        <f>IF(LEN(N107)&lt;=135,"",IF(LEN(N107)&lt;=260,RIGHT(N107,LEN(N107)-SEARCH(" ",N107,125)),MID(N107,SEARCH(" ",N107,130),IF(LEN(N107)&lt;=265,LEN(N107),SEARCH(" ",N107,255)-SEARCH(" ",N107,130)))))</f>
        <v/>
      </c>
      <c r="D157" s="514"/>
      <c r="E157" s="514"/>
      <c r="F157" s="514"/>
      <c r="G157" s="514"/>
      <c r="H157" s="514"/>
      <c r="I157" s="514"/>
      <c r="J157" s="519"/>
      <c r="L157" s="113"/>
      <c r="M157" s="144"/>
      <c r="N157" s="144"/>
      <c r="O157" s="144"/>
      <c r="P157" s="145"/>
      <c r="Q157" s="144"/>
      <c r="R157" s="145"/>
      <c r="S157" s="144"/>
      <c r="T157" s="145"/>
      <c r="U157" s="145"/>
      <c r="V157" s="97"/>
      <c r="Z157" s="42"/>
      <c r="AA157" s="85"/>
      <c r="AB157" s="82" t="str">
        <f t="shared" si="22"/>
        <v>Change</v>
      </c>
      <c r="AC157" s="206" t="str">
        <f t="shared" si="23"/>
        <v>Abdomen AP</v>
      </c>
      <c r="AD157" s="42" t="s">
        <v>291</v>
      </c>
    </row>
    <row r="158" spans="1:30" ht="13.95" customHeight="1">
      <c r="A158" s="1">
        <v>11</v>
      </c>
      <c r="B158" s="113"/>
      <c r="C158" s="507" t="str">
        <f>IF(LEN(N107)&lt;=265,"",RIGHT(N107,LEN(N107)-SEARCH(" ",N107,255)))</f>
        <v/>
      </c>
      <c r="D158" s="514"/>
      <c r="E158" s="514"/>
      <c r="F158" s="514"/>
      <c r="G158" s="514"/>
      <c r="H158" s="514"/>
      <c r="I158" s="514"/>
      <c r="J158" s="519"/>
      <c r="L158" s="113"/>
      <c r="M158" s="144"/>
      <c r="N158" s="144"/>
      <c r="O158" s="144"/>
      <c r="P158" s="145"/>
      <c r="Q158" s="144"/>
      <c r="R158" s="145"/>
      <c r="S158" s="144"/>
      <c r="T158" s="145"/>
      <c r="U158" s="145"/>
      <c r="V158" s="97"/>
      <c r="Z158" s="42"/>
      <c r="AA158" s="85"/>
      <c r="AB158" s="82" t="str">
        <f t="shared" si="22"/>
        <v>Change</v>
      </c>
      <c r="AC158" s="206" t="str">
        <f t="shared" si="23"/>
        <v>Ribs</v>
      </c>
      <c r="AD158" s="42" t="s">
        <v>292</v>
      </c>
    </row>
    <row r="159" spans="1:30" ht="13.95" customHeight="1">
      <c r="A159" s="1">
        <v>12</v>
      </c>
      <c r="B159" s="113"/>
      <c r="C159" s="507" t="str">
        <f>IF(N109="","",IF(LEN(N109)&lt;=135,N109,IF(LEN(N109)&lt;=260,LEFT(N109,SEARCH(" ",N109,125)),LEFT(N109,SEARCH(" ",N109,130)))))</f>
        <v/>
      </c>
      <c r="D159" s="514"/>
      <c r="E159" s="514"/>
      <c r="F159" s="514"/>
      <c r="G159" s="514"/>
      <c r="H159" s="514"/>
      <c r="I159" s="514"/>
      <c r="J159" s="519"/>
      <c r="L159" s="113"/>
      <c r="M159" s="148"/>
      <c r="N159" s="147"/>
      <c r="O159" s="148"/>
      <c r="P159" s="149"/>
      <c r="Q159" s="148"/>
      <c r="R159" s="149"/>
      <c r="S159" s="148"/>
      <c r="T159" s="149"/>
      <c r="U159" s="149"/>
      <c r="V159" s="97"/>
      <c r="Z159" s="42"/>
      <c r="AA159" s="85"/>
      <c r="AB159" s="82" t="str">
        <f t="shared" si="22"/>
        <v>Change</v>
      </c>
      <c r="AC159" s="206" t="str">
        <f t="shared" si="23"/>
        <v>C-Spine AP</v>
      </c>
      <c r="AD159" s="42" t="s">
        <v>293</v>
      </c>
    </row>
    <row r="160" spans="1:30" ht="13.95" customHeight="1" thickBot="1">
      <c r="A160" s="1">
        <v>13</v>
      </c>
      <c r="B160" s="113"/>
      <c r="C160" s="507" t="str">
        <f>IF(LEN(N109)&lt;=135,"",IF(LEN(N109)&lt;=260,RIGHT(N109,LEN(N109)-SEARCH(" ",N109,125)),MID(N109,SEARCH(" ",N109,130),IF(LEN(N109)&lt;=265,LEN(N109),SEARCH(" ",N109,255)-SEARCH(" ",N109,130)))))</f>
        <v/>
      </c>
      <c r="D160" s="514"/>
      <c r="E160" s="514"/>
      <c r="F160" s="514"/>
      <c r="G160" s="514"/>
      <c r="H160" s="514"/>
      <c r="I160" s="514"/>
      <c r="J160" s="519"/>
      <c r="L160" s="66"/>
      <c r="M160" s="68"/>
      <c r="N160" s="151"/>
      <c r="O160" s="152"/>
      <c r="P160" s="68"/>
      <c r="Q160" s="68"/>
      <c r="R160" s="68"/>
      <c r="S160" s="68"/>
      <c r="T160" s="68"/>
      <c r="U160" s="68"/>
      <c r="V160" s="71"/>
      <c r="Z160" s="42"/>
      <c r="AA160" s="85"/>
      <c r="AB160" s="82" t="str">
        <f t="shared" si="22"/>
        <v>Change</v>
      </c>
      <c r="AC160" s="206" t="str">
        <f t="shared" si="23"/>
        <v>Skull</v>
      </c>
      <c r="AD160" s="42" t="s">
        <v>294</v>
      </c>
    </row>
    <row r="161" spans="1:30" ht="13.95" customHeight="1" thickTop="1">
      <c r="A161" s="1">
        <v>14</v>
      </c>
      <c r="B161" s="113"/>
      <c r="C161" s="507" t="str">
        <f>IF(LEN(N109)&lt;=265,"",RIGHT(N109,LEN(N109)-SEARCH(" ",N109,255)))</f>
        <v/>
      </c>
      <c r="D161" s="514"/>
      <c r="E161" s="514"/>
      <c r="F161" s="514"/>
      <c r="G161" s="514"/>
      <c r="H161" s="514"/>
      <c r="I161" s="514"/>
      <c r="J161" s="519"/>
      <c r="Z161" s="42"/>
      <c r="AA161" s="85"/>
      <c r="AB161" s="82" t="str">
        <f t="shared" si="22"/>
        <v>Change</v>
      </c>
      <c r="AC161" s="206" t="str">
        <f t="shared" si="23"/>
        <v>Foot</v>
      </c>
      <c r="AD161" s="42" t="s">
        <v>295</v>
      </c>
    </row>
    <row r="162" spans="1:30" ht="13.95" customHeight="1">
      <c r="A162" s="1">
        <v>15</v>
      </c>
      <c r="B162" s="113"/>
      <c r="C162" s="507" t="str">
        <f>IF(N111="","",IF(LEN(N111)&lt;=135,N111,IF(LEN(N111)&lt;=260,LEFT(N111,SEARCH(" ",N111,125)),LEFT(N111,SEARCH(" ",N111,130)))))</f>
        <v/>
      </c>
      <c r="D162" s="514"/>
      <c r="E162" s="514"/>
      <c r="F162" s="514"/>
      <c r="G162" s="514"/>
      <c r="H162" s="514"/>
      <c r="I162" s="514"/>
      <c r="J162" s="519"/>
      <c r="L162" s="4"/>
      <c r="M162" s="4"/>
      <c r="N162" s="154"/>
      <c r="O162" s="153"/>
      <c r="P162" s="4"/>
      <c r="Q162" s="4"/>
      <c r="R162" s="4"/>
      <c r="S162" s="4"/>
      <c r="T162" s="4"/>
      <c r="U162" s="4"/>
      <c r="V162" s="118" t="str">
        <f>$F$2</f>
        <v>Medical University of South Carolina</v>
      </c>
      <c r="Z162" s="42"/>
      <c r="AA162" s="85"/>
      <c r="AB162" s="82" t="str">
        <f t="shared" si="22"/>
        <v>Change</v>
      </c>
      <c r="AC162" s="206" t="str">
        <f t="shared" si="23"/>
        <v>Knee</v>
      </c>
      <c r="AD162" s="42" t="s">
        <v>296</v>
      </c>
    </row>
    <row r="163" spans="1:30" ht="13.95" customHeight="1">
      <c r="A163" s="1">
        <v>16</v>
      </c>
      <c r="B163" s="113"/>
      <c r="C163" s="507" t="str">
        <f>IF(LEN(N111)&lt;=135,"",IF(LEN(N111)&lt;=260,RIGHT(N111,LEN(N111)-SEARCH(" ",N111,125)),MID(N111,SEARCH(" ",N111,130),IF(LEN(N111)&lt;=265,LEN(N111),SEARCH(" ",N111,255)-SEARCH(" ",N111,130)))))</f>
        <v/>
      </c>
      <c r="D163" s="514"/>
      <c r="E163" s="514"/>
      <c r="F163" s="514"/>
      <c r="G163" s="514"/>
      <c r="H163" s="514"/>
      <c r="I163" s="514"/>
      <c r="J163" s="519"/>
      <c r="L163" s="4"/>
      <c r="M163" s="4"/>
      <c r="N163" s="154"/>
      <c r="O163" s="153"/>
      <c r="P163" s="4"/>
      <c r="Q163" s="4"/>
      <c r="R163" s="4"/>
      <c r="S163" s="4"/>
      <c r="T163" s="4"/>
      <c r="U163" s="4"/>
      <c r="V163" s="79" t="str">
        <f>$F$5</f>
        <v>EOS Imaging System Compliance Inspection</v>
      </c>
      <c r="Z163" s="42"/>
      <c r="AA163" s="85"/>
      <c r="AB163" s="82" t="str">
        <f t="shared" si="22"/>
        <v>Change</v>
      </c>
      <c r="AC163" s="206" t="str">
        <f t="shared" si="23"/>
        <v>Pelvis AP</v>
      </c>
      <c r="AD163" s="42" t="s">
        <v>297</v>
      </c>
    </row>
    <row r="164" spans="1:30" ht="13.95" customHeight="1" thickBot="1">
      <c r="A164" s="1">
        <v>17</v>
      </c>
      <c r="B164" s="113"/>
      <c r="C164" s="507" t="str">
        <f>IF(LEN(N111)&lt;=265,"",RIGHT(N111,LEN(N111)-SEARCH(" ",N111,255)))</f>
        <v/>
      </c>
      <c r="D164" s="514"/>
      <c r="E164" s="514"/>
      <c r="F164" s="514"/>
      <c r="G164" s="514"/>
      <c r="H164" s="514"/>
      <c r="I164" s="514"/>
      <c r="J164" s="519"/>
      <c r="L164" s="2"/>
      <c r="M164" s="2"/>
      <c r="N164" s="139"/>
      <c r="O164" s="153"/>
      <c r="P164" s="2"/>
      <c r="Q164" s="122" t="str">
        <f>"COMMENTS"&amp;IF(OR($N$103=0,$N$103="")," PAGE 2"," PAGE 3")</f>
        <v>COMMENTS PAGE 2</v>
      </c>
      <c r="R164" s="2"/>
      <c r="S164" s="2"/>
      <c r="T164" s="2"/>
      <c r="U164" s="2"/>
      <c r="V164" s="2"/>
      <c r="Z164" s="42"/>
      <c r="AA164" s="85"/>
      <c r="AB164" s="82" t="str">
        <f t="shared" si="22"/>
        <v>Change</v>
      </c>
      <c r="AC164" s="206" t="str">
        <f t="shared" si="23"/>
        <v>Shoulder</v>
      </c>
      <c r="AD164" s="42" t="s">
        <v>298</v>
      </c>
    </row>
    <row r="165" spans="1:30" ht="13.95" customHeight="1" thickTop="1">
      <c r="A165" s="1">
        <v>18</v>
      </c>
      <c r="B165" s="113"/>
      <c r="C165" s="507" t="str">
        <f>IF(N113="","",IF(LEN(N113)&lt;=135,N113,IF(LEN(N113)&lt;=260,LEFT(N113,SEARCH(" ",N113,125)),LEFT(N113,SEARCH(" ",N113,130)))))</f>
        <v/>
      </c>
      <c r="D165" s="514"/>
      <c r="E165" s="514"/>
      <c r="F165" s="514"/>
      <c r="G165" s="514"/>
      <c r="H165" s="514"/>
      <c r="I165" s="514"/>
      <c r="J165" s="519"/>
      <c r="L165" s="123"/>
      <c r="M165" s="86"/>
      <c r="N165" s="155"/>
      <c r="O165" s="124"/>
      <c r="P165" s="125" t="s">
        <v>133</v>
      </c>
      <c r="Q165" s="86"/>
      <c r="R165" s="86"/>
      <c r="S165" s="86"/>
      <c r="T165" s="86"/>
      <c r="U165" s="86"/>
      <c r="V165" s="126"/>
      <c r="Z165" s="42"/>
      <c r="AA165" s="85"/>
      <c r="AB165" s="82" t="str">
        <f t="shared" si="22"/>
        <v>Change</v>
      </c>
      <c r="AC165" s="206" t="str">
        <f t="shared" si="23"/>
        <v>LS Spine AP</v>
      </c>
      <c r="AD165" s="42" t="s">
        <v>299</v>
      </c>
    </row>
    <row r="166" spans="1:30" ht="13.95" customHeight="1">
      <c r="A166" s="1">
        <v>19</v>
      </c>
      <c r="B166" s="113"/>
      <c r="C166" s="507" t="str">
        <f>IF(LEN(N113)&lt;=135,"",IF(LEN(N113)&lt;=260,RIGHT(N113,LEN(N113)-SEARCH(" ",N113,125)),MID(N113,SEARCH(" ",N113,130),IF(LEN(N113)&lt;=265,LEN(N113),SEARCH(" ",N113,255)-SEARCH(" ",N113,130)))))</f>
        <v/>
      </c>
      <c r="D166" s="514"/>
      <c r="E166" s="514"/>
      <c r="F166" s="514"/>
      <c r="G166" s="514"/>
      <c r="H166" s="514"/>
      <c r="I166" s="514"/>
      <c r="J166" s="519"/>
      <c r="L166" s="113"/>
      <c r="M166" s="43" t="s">
        <v>134</v>
      </c>
      <c r="N166" s="128"/>
      <c r="O166" s="129"/>
      <c r="P166" s="130" t="str">
        <f>IF(OR(AA121=0,AA121=""),"",AA121)</f>
        <v/>
      </c>
      <c r="Q166" s="87"/>
      <c r="R166" s="87"/>
      <c r="S166" s="87"/>
      <c r="T166" s="87"/>
      <c r="U166" s="87"/>
      <c r="V166" s="48"/>
      <c r="Z166" s="42"/>
      <c r="AA166" s="42"/>
      <c r="AB166" s="82" t="str">
        <f t="shared" si="22"/>
        <v/>
      </c>
      <c r="AC166" s="42"/>
      <c r="AD166" s="42"/>
    </row>
    <row r="167" spans="1:30" ht="13.95" customHeight="1">
      <c r="A167" s="1">
        <v>20</v>
      </c>
      <c r="B167" s="113"/>
      <c r="C167" s="507" t="str">
        <f>IF(LEN(N113)&lt;=265,"",RIGHT(N113,LEN(N113)-SEARCH(" ",N113,255)))</f>
        <v/>
      </c>
      <c r="D167" s="514"/>
      <c r="E167" s="514"/>
      <c r="F167" s="514"/>
      <c r="G167" s="514"/>
      <c r="H167" s="514"/>
      <c r="I167" s="514"/>
      <c r="J167" s="519"/>
      <c r="L167" s="131"/>
      <c r="M167" s="132" t="s">
        <v>135</v>
      </c>
      <c r="N167" s="133"/>
      <c r="O167" s="134">
        <f>LEN(N166)</f>
        <v>0</v>
      </c>
      <c r="P167" s="135"/>
      <c r="Q167" s="136">
        <f>LEN(P166)</f>
        <v>0</v>
      </c>
      <c r="R167" s="88"/>
      <c r="S167" s="88"/>
      <c r="T167" s="88"/>
      <c r="U167" s="88"/>
      <c r="V167" s="89"/>
      <c r="Z167" s="79" t="s">
        <v>200</v>
      </c>
      <c r="AA167" s="85"/>
      <c r="AB167" s="82" t="str">
        <f t="shared" si="22"/>
        <v>Change</v>
      </c>
      <c r="AC167" s="206" t="str">
        <f t="shared" ref="AC167:AC176" si="24">M236</f>
        <v>Yes</v>
      </c>
      <c r="AD167" s="42" t="s">
        <v>300</v>
      </c>
    </row>
    <row r="168" spans="1:30" ht="13.95" customHeight="1">
      <c r="A168" s="1">
        <v>21</v>
      </c>
      <c r="B168" s="113"/>
      <c r="C168" s="507" t="str">
        <f>IF(N115="","",IF(LEN(N115)&lt;=135,N115,IF(LEN(N115)&lt;=260,LEFT(N115,SEARCH(" ",N115,125)),LEFT(N115,SEARCH(" ",N115,130)))))</f>
        <v/>
      </c>
      <c r="D168" s="514"/>
      <c r="E168" s="514"/>
      <c r="F168" s="514"/>
      <c r="G168" s="514"/>
      <c r="H168" s="514"/>
      <c r="I168" s="514"/>
      <c r="J168" s="519"/>
      <c r="L168" s="41"/>
      <c r="M168" s="43" t="s">
        <v>137</v>
      </c>
      <c r="N168" s="128"/>
      <c r="O168" s="129"/>
      <c r="P168" s="130" t="str">
        <f>IF(OR(AA123=0,AA123=""),"",AA123)</f>
        <v/>
      </c>
      <c r="Q168" s="87"/>
      <c r="R168" s="87"/>
      <c r="S168" s="87"/>
      <c r="T168" s="87"/>
      <c r="U168" s="87"/>
      <c r="V168" s="48"/>
      <c r="Z168" s="42"/>
      <c r="AA168" s="85"/>
      <c r="AB168" s="82" t="str">
        <f t="shared" si="22"/>
        <v>Change</v>
      </c>
      <c r="AC168" s="206" t="str">
        <f t="shared" si="24"/>
        <v>Yes</v>
      </c>
      <c r="AD168" s="42" t="s">
        <v>301</v>
      </c>
    </row>
    <row r="169" spans="1:30" ht="13.95" customHeight="1">
      <c r="A169" s="1">
        <v>22</v>
      </c>
      <c r="B169" s="113"/>
      <c r="C169" s="507" t="str">
        <f>IF(LEN(N115)&lt;=135,"",IF(LEN(N115)&lt;=260,RIGHT(N115,LEN(N115)-SEARCH(" ",N115,125)),MID(N115,SEARCH(" ",N115,130),IF(LEN(N115)&lt;=265,LEN(N115),SEARCH(" ",N115,255)-SEARCH(" ",N115,130)))))</f>
        <v/>
      </c>
      <c r="D169" s="514"/>
      <c r="E169" s="514"/>
      <c r="F169" s="514"/>
      <c r="G169" s="514"/>
      <c r="H169" s="514"/>
      <c r="I169" s="514"/>
      <c r="J169" s="519"/>
      <c r="L169" s="131"/>
      <c r="M169" s="132" t="s">
        <v>135</v>
      </c>
      <c r="N169" s="133"/>
      <c r="O169" s="134">
        <f>LEN(N168)</f>
        <v>0</v>
      </c>
      <c r="P169" s="135"/>
      <c r="Q169" s="136">
        <f>LEN(P168)</f>
        <v>0</v>
      </c>
      <c r="R169" s="87"/>
      <c r="S169" s="87"/>
      <c r="T169" s="87"/>
      <c r="U169" s="87"/>
      <c r="V169" s="48"/>
      <c r="Z169" s="42"/>
      <c r="AA169" s="85"/>
      <c r="AB169" s="82" t="str">
        <f t="shared" si="22"/>
        <v>Change</v>
      </c>
      <c r="AC169" s="206" t="str">
        <f t="shared" si="24"/>
        <v>Yes</v>
      </c>
      <c r="AD169" s="42" t="s">
        <v>302</v>
      </c>
    </row>
    <row r="170" spans="1:30" ht="13.95" customHeight="1">
      <c r="A170" s="1">
        <v>23</v>
      </c>
      <c r="B170" s="113"/>
      <c r="C170" s="507" t="str">
        <f>IF(LEN(N115)&lt;=265,"",RIGHT(N115,LEN(N115)-SEARCH(" ",N115,255)))</f>
        <v/>
      </c>
      <c r="D170" s="514"/>
      <c r="E170" s="514"/>
      <c r="F170" s="514"/>
      <c r="G170" s="514"/>
      <c r="H170" s="514"/>
      <c r="I170" s="514"/>
      <c r="J170" s="519"/>
      <c r="L170" s="156"/>
      <c r="M170" s="43" t="s">
        <v>137</v>
      </c>
      <c r="N170" s="128"/>
      <c r="O170" s="129"/>
      <c r="P170" s="130" t="str">
        <f>IF(OR(AA125=0,AA125=""),"",AA125)</f>
        <v/>
      </c>
      <c r="Q170" s="87"/>
      <c r="R170" s="88"/>
      <c r="S170" s="88"/>
      <c r="T170" s="88"/>
      <c r="U170" s="88"/>
      <c r="V170" s="89"/>
      <c r="Z170" s="42"/>
      <c r="AA170" s="85"/>
      <c r="AB170" s="82" t="str">
        <f t="shared" si="22"/>
        <v>Change</v>
      </c>
      <c r="AC170" s="206" t="str">
        <f t="shared" si="24"/>
        <v>Yes</v>
      </c>
      <c r="AD170" s="42" t="s">
        <v>303</v>
      </c>
    </row>
    <row r="171" spans="1:30" ht="13.95" customHeight="1">
      <c r="A171" s="1">
        <v>24</v>
      </c>
      <c r="B171" s="113"/>
      <c r="C171" s="507" t="str">
        <f>IF(N117="","",IF(LEN(N117)&lt;=135,N117,IF(LEN(N117)&lt;=260,LEFT(N117,SEARCH(" ",N117,125)),LEFT(N117,SEARCH(" ",N117,130)))))</f>
        <v/>
      </c>
      <c r="D171" s="514"/>
      <c r="E171" s="514"/>
      <c r="F171" s="514"/>
      <c r="G171" s="514"/>
      <c r="H171" s="514"/>
      <c r="I171" s="514"/>
      <c r="J171" s="519"/>
      <c r="L171" s="41"/>
      <c r="M171" s="132" t="s">
        <v>135</v>
      </c>
      <c r="N171" s="133"/>
      <c r="O171" s="134">
        <f>LEN(N170)</f>
        <v>0</v>
      </c>
      <c r="P171" s="135"/>
      <c r="Q171" s="136">
        <f>LEN(P170)</f>
        <v>0</v>
      </c>
      <c r="R171" s="87"/>
      <c r="S171" s="87"/>
      <c r="T171" s="87"/>
      <c r="U171" s="87"/>
      <c r="V171" s="48"/>
      <c r="Z171" s="42"/>
      <c r="AA171" s="85"/>
      <c r="AB171" s="82" t="str">
        <f t="shared" si="22"/>
        <v>Change</v>
      </c>
      <c r="AC171" s="206" t="str">
        <f t="shared" si="24"/>
        <v>Yes</v>
      </c>
      <c r="AD171" s="42" t="s">
        <v>304</v>
      </c>
    </row>
    <row r="172" spans="1:30" ht="13.95" customHeight="1">
      <c r="A172" s="1">
        <v>25</v>
      </c>
      <c r="B172" s="113"/>
      <c r="C172" s="507" t="str">
        <f>IF(LEN(N117)&lt;=135,"",IF(LEN(N117)&lt;=260,RIGHT(N117,LEN(N117)-SEARCH(" ",N117,125)),MID(N117,SEARCH(" ",N117,130),IF(LEN(N117)&lt;=265,LEN(N117),SEARCH(" ",N117,255)-SEARCH(" ",N117,130)))))</f>
        <v/>
      </c>
      <c r="D172" s="514"/>
      <c r="E172" s="514"/>
      <c r="F172" s="514"/>
      <c r="G172" s="514"/>
      <c r="H172" s="514"/>
      <c r="I172" s="514"/>
      <c r="J172" s="519"/>
      <c r="L172" s="131"/>
      <c r="M172" s="43" t="s">
        <v>137</v>
      </c>
      <c r="N172" s="128"/>
      <c r="O172" s="129"/>
      <c r="P172" s="130" t="str">
        <f>IF(OR(AA127=0,AA127=""),"",AA127)</f>
        <v/>
      </c>
      <c r="Q172" s="87"/>
      <c r="R172" s="87"/>
      <c r="S172" s="87"/>
      <c r="T172" s="87"/>
      <c r="U172" s="87"/>
      <c r="V172" s="48"/>
      <c r="Z172" s="42"/>
      <c r="AA172" s="85"/>
      <c r="AB172" s="82" t="str">
        <f t="shared" si="22"/>
        <v>Change</v>
      </c>
      <c r="AC172" s="206" t="str">
        <f t="shared" si="24"/>
        <v>No</v>
      </c>
      <c r="AD172" s="42" t="s">
        <v>305</v>
      </c>
    </row>
    <row r="173" spans="1:30" ht="13.95" customHeight="1">
      <c r="A173" s="1">
        <v>26</v>
      </c>
      <c r="B173" s="113"/>
      <c r="C173" s="507" t="str">
        <f>IF(LEN(N117)&lt;=265,"",RIGHT(N117,LEN(N117)-SEARCH(" ",N117,255)))</f>
        <v/>
      </c>
      <c r="D173" s="514"/>
      <c r="E173" s="514"/>
      <c r="F173" s="514"/>
      <c r="G173" s="514"/>
      <c r="H173" s="514"/>
      <c r="I173" s="514"/>
      <c r="J173" s="519"/>
      <c r="L173" s="156"/>
      <c r="M173" s="132" t="s">
        <v>135</v>
      </c>
      <c r="N173" s="133"/>
      <c r="O173" s="134">
        <f>LEN(N172)</f>
        <v>0</v>
      </c>
      <c r="P173" s="135"/>
      <c r="Q173" s="136">
        <f>LEN(P172)</f>
        <v>0</v>
      </c>
      <c r="R173" s="88"/>
      <c r="S173" s="88"/>
      <c r="T173" s="88"/>
      <c r="U173" s="88"/>
      <c r="V173" s="89"/>
      <c r="Z173" s="42"/>
      <c r="AA173" s="85"/>
      <c r="AB173" s="82" t="str">
        <f t="shared" si="22"/>
        <v>Change</v>
      </c>
      <c r="AC173" s="206" t="str">
        <f t="shared" si="24"/>
        <v>No</v>
      </c>
      <c r="AD173" s="42" t="s">
        <v>306</v>
      </c>
    </row>
    <row r="174" spans="1:30" ht="13.95" customHeight="1">
      <c r="A174" s="1">
        <v>27</v>
      </c>
      <c r="B174" s="113"/>
      <c r="C174" s="507" t="str">
        <f>IF(N119="","",IF(LEN(N119)&lt;=135,N119,IF(LEN(N119)&lt;=260,LEFT(N119,SEARCH(" ",N119,125)),LEFT(N119,SEARCH(" ",N119,130)))))</f>
        <v/>
      </c>
      <c r="D174" s="514"/>
      <c r="E174" s="514"/>
      <c r="F174" s="514"/>
      <c r="G174" s="514"/>
      <c r="H174" s="514"/>
      <c r="I174" s="514"/>
      <c r="J174" s="519"/>
      <c r="L174" s="41"/>
      <c r="M174" s="43" t="s">
        <v>137</v>
      </c>
      <c r="N174" s="128"/>
      <c r="O174" s="129"/>
      <c r="P174" s="130" t="str">
        <f>IF(OR(AA129=0,AA129=""),"",AA129)</f>
        <v/>
      </c>
      <c r="Q174" s="87"/>
      <c r="R174" s="87"/>
      <c r="S174" s="87"/>
      <c r="T174" s="87"/>
      <c r="U174" s="87"/>
      <c r="V174" s="48"/>
      <c r="Z174" s="42"/>
      <c r="AA174" s="85"/>
      <c r="AB174" s="82" t="str">
        <f t="shared" si="22"/>
        <v>Change</v>
      </c>
      <c r="AC174" s="206" t="str">
        <f t="shared" si="24"/>
        <v>Yes</v>
      </c>
      <c r="AD174" s="42" t="s">
        <v>307</v>
      </c>
    </row>
    <row r="175" spans="1:30" ht="13.95" customHeight="1">
      <c r="A175" s="1">
        <v>28</v>
      </c>
      <c r="B175" s="113"/>
      <c r="C175" s="507" t="str">
        <f>IF(LEN(N119)&lt;=135,"",IF(LEN(N119)&lt;=260,RIGHT(N119,LEN(N119)-SEARCH(" ",N119,125)),MID(N119,SEARCH(" ",N119,130),IF(LEN(N119)&lt;=265,LEN(N119),SEARCH(" ",N119,255)-SEARCH(" ",N119,130)))))</f>
        <v/>
      </c>
      <c r="D175" s="514"/>
      <c r="E175" s="514"/>
      <c r="F175" s="514"/>
      <c r="G175" s="514"/>
      <c r="H175" s="514"/>
      <c r="I175" s="514"/>
      <c r="J175" s="519"/>
      <c r="L175" s="131"/>
      <c r="M175" s="132" t="s">
        <v>135</v>
      </c>
      <c r="N175" s="133"/>
      <c r="O175" s="134">
        <f>LEN(N174)</f>
        <v>0</v>
      </c>
      <c r="P175" s="135"/>
      <c r="Q175" s="136">
        <f>LEN(P174)</f>
        <v>0</v>
      </c>
      <c r="R175" s="87"/>
      <c r="S175" s="87"/>
      <c r="T175" s="87"/>
      <c r="U175" s="87"/>
      <c r="V175" s="48"/>
      <c r="Z175" s="42"/>
      <c r="AA175" s="85"/>
      <c r="AB175" s="82" t="str">
        <f t="shared" si="22"/>
        <v>Change</v>
      </c>
      <c r="AC175" s="206" t="str">
        <f t="shared" si="24"/>
        <v>Yes</v>
      </c>
      <c r="AD175" s="42" t="s">
        <v>308</v>
      </c>
    </row>
    <row r="176" spans="1:30" ht="13.95" customHeight="1">
      <c r="A176" s="1">
        <v>29</v>
      </c>
      <c r="B176" s="113"/>
      <c r="C176" s="507" t="str">
        <f>IF(LEN(N119)&lt;=265,"",RIGHT(N119,LEN(N119)-SEARCH(" ",N119,255)))</f>
        <v/>
      </c>
      <c r="D176" s="514"/>
      <c r="E176" s="514"/>
      <c r="F176" s="514"/>
      <c r="G176" s="514"/>
      <c r="H176" s="514"/>
      <c r="I176" s="514"/>
      <c r="J176" s="519"/>
      <c r="L176" s="156"/>
      <c r="M176" s="43" t="s">
        <v>137</v>
      </c>
      <c r="N176" s="128"/>
      <c r="O176" s="129"/>
      <c r="P176" s="130" t="str">
        <f>IF(OR(AA131=0,AA131=""),"",AA131)</f>
        <v/>
      </c>
      <c r="Q176" s="87"/>
      <c r="R176" s="88"/>
      <c r="S176" s="88"/>
      <c r="T176" s="88"/>
      <c r="U176" s="88"/>
      <c r="V176" s="89"/>
      <c r="Z176" s="42"/>
      <c r="AA176" s="85"/>
      <c r="AB176" s="82" t="str">
        <f t="shared" si="22"/>
        <v>Change</v>
      </c>
      <c r="AC176" s="206" t="str">
        <f t="shared" si="24"/>
        <v>Yes</v>
      </c>
      <c r="AD176" s="42" t="s">
        <v>309</v>
      </c>
    </row>
    <row r="177" spans="1:30" ht="13.95" customHeight="1">
      <c r="A177" s="1">
        <v>30</v>
      </c>
      <c r="B177" s="113"/>
      <c r="C177" s="507" t="str">
        <f>IF(N121="","",IF(LEN(N121)&lt;=135,N121,IF(LEN(N121)&lt;=260,LEFT(N121,SEARCH(" ",N121,125)),LEFT(N121,SEARCH(" ",N121,130)))))</f>
        <v/>
      </c>
      <c r="D177" s="514"/>
      <c r="E177" s="514"/>
      <c r="F177" s="514"/>
      <c r="G177" s="514"/>
      <c r="H177" s="514"/>
      <c r="I177" s="514"/>
      <c r="J177" s="519"/>
      <c r="L177" s="41"/>
      <c r="M177" s="132" t="s">
        <v>135</v>
      </c>
      <c r="N177" s="133"/>
      <c r="O177" s="134">
        <f>LEN(N176)</f>
        <v>0</v>
      </c>
      <c r="P177" s="135"/>
      <c r="Q177" s="136">
        <f>LEN(P176)</f>
        <v>0</v>
      </c>
      <c r="R177" s="87"/>
      <c r="S177" s="87"/>
      <c r="T177" s="87"/>
      <c r="U177" s="87"/>
      <c r="V177" s="48"/>
      <c r="Z177" s="42"/>
      <c r="AA177" s="42"/>
      <c r="AB177" s="82" t="str">
        <f t="shared" si="22"/>
        <v/>
      </c>
      <c r="AC177" s="42"/>
      <c r="AD177" s="42"/>
    </row>
    <row r="178" spans="1:30" ht="13.95" customHeight="1">
      <c r="A178" s="1">
        <v>31</v>
      </c>
      <c r="B178" s="113"/>
      <c r="C178" s="507" t="str">
        <f>IF(LEN(N121)&lt;=135,"",IF(LEN(N121)&lt;=260,RIGHT(N121,LEN(N121)-SEARCH(" ",N121,125)),MID(N121,SEARCH(" ",N121,130),IF(LEN(N121)&lt;=265,LEN(N121),SEARCH(" ",N121,255)-SEARCH(" ",N121,130)))))</f>
        <v/>
      </c>
      <c r="D178" s="514"/>
      <c r="E178" s="514"/>
      <c r="F178" s="514"/>
      <c r="G178" s="514"/>
      <c r="H178" s="514"/>
      <c r="I178" s="514"/>
      <c r="J178" s="519"/>
      <c r="L178" s="131"/>
      <c r="M178" s="43" t="s">
        <v>137</v>
      </c>
      <c r="N178" s="128"/>
      <c r="O178" s="129"/>
      <c r="P178" s="130" t="str">
        <f>IF(OR(AA133=0,AA133=""),"",AA133)</f>
        <v/>
      </c>
      <c r="Q178" s="87"/>
      <c r="R178" s="87"/>
      <c r="S178" s="87"/>
      <c r="T178" s="87"/>
      <c r="U178" s="87"/>
      <c r="V178" s="48"/>
      <c r="Z178" s="79" t="s">
        <v>284</v>
      </c>
      <c r="AA178" s="85"/>
      <c r="AB178" s="82" t="str">
        <f t="shared" si="22"/>
        <v>Change</v>
      </c>
      <c r="AC178" s="157">
        <f t="shared" ref="AC178:AC187" si="25">N236</f>
        <v>130</v>
      </c>
      <c r="AD178" s="42" t="s">
        <v>310</v>
      </c>
    </row>
    <row r="179" spans="1:30" ht="13.95" customHeight="1">
      <c r="A179" s="1">
        <v>32</v>
      </c>
      <c r="B179" s="113"/>
      <c r="C179" s="507" t="str">
        <f>IF(LEN(N121)&lt;=265,"",RIGHT(N121,LEN(N121)-SEARCH(" ",N121,255)))</f>
        <v/>
      </c>
      <c r="D179" s="514"/>
      <c r="E179" s="514"/>
      <c r="F179" s="514"/>
      <c r="G179" s="514"/>
      <c r="H179" s="514"/>
      <c r="I179" s="514"/>
      <c r="J179" s="519"/>
      <c r="L179" s="156"/>
      <c r="M179" s="132" t="s">
        <v>135</v>
      </c>
      <c r="N179" s="133"/>
      <c r="O179" s="134">
        <f>LEN(N178)</f>
        <v>0</v>
      </c>
      <c r="P179" s="135"/>
      <c r="Q179" s="136">
        <f>LEN(P178)</f>
        <v>0</v>
      </c>
      <c r="R179" s="88"/>
      <c r="S179" s="88"/>
      <c r="T179" s="88"/>
      <c r="U179" s="88"/>
      <c r="V179" s="89"/>
      <c r="Z179" s="42"/>
      <c r="AA179" s="85"/>
      <c r="AB179" s="82" t="str">
        <f t="shared" si="22"/>
        <v>Change</v>
      </c>
      <c r="AC179" s="157">
        <f t="shared" si="25"/>
        <v>130</v>
      </c>
      <c r="AD179" s="42" t="s">
        <v>311</v>
      </c>
    </row>
    <row r="180" spans="1:30" ht="13.95" customHeight="1">
      <c r="A180" s="1">
        <v>33</v>
      </c>
      <c r="B180" s="113"/>
      <c r="C180" s="507" t="str">
        <f>IF(N123="","",IF(LEN(N123)&lt;=135,N123,IF(LEN(N123)&lt;=260,LEFT(N123,SEARCH(" ",N123,125)),LEFT(N123,SEARCH(" ",N123,130)))))</f>
        <v/>
      </c>
      <c r="D180" s="514"/>
      <c r="E180" s="514"/>
      <c r="F180" s="514"/>
      <c r="G180" s="514"/>
      <c r="H180" s="514"/>
      <c r="I180" s="514"/>
      <c r="J180" s="519"/>
      <c r="L180" s="41"/>
      <c r="M180" s="43" t="s">
        <v>137</v>
      </c>
      <c r="N180" s="128"/>
      <c r="O180" s="129"/>
      <c r="P180" s="130" t="str">
        <f>IF(OR(AA135=0,AA135=""),"",AA135)</f>
        <v/>
      </c>
      <c r="Q180" s="87"/>
      <c r="R180" s="87"/>
      <c r="S180" s="87"/>
      <c r="T180" s="87"/>
      <c r="U180" s="87"/>
      <c r="V180" s="48"/>
      <c r="Z180" s="42"/>
      <c r="AA180" s="85"/>
      <c r="AB180" s="82" t="str">
        <f t="shared" si="22"/>
        <v>Change</v>
      </c>
      <c r="AC180" s="157">
        <f t="shared" si="25"/>
        <v>130</v>
      </c>
      <c r="AD180" s="42" t="s">
        <v>312</v>
      </c>
    </row>
    <row r="181" spans="1:30" ht="13.95" customHeight="1">
      <c r="A181" s="1">
        <v>34</v>
      </c>
      <c r="B181" s="113"/>
      <c r="C181" s="507" t="str">
        <f>IF(LEN(N123)&lt;=135,"",IF(LEN(N123)&lt;=260,RIGHT(N123,LEN(N123)-SEARCH(" ",N123,125)),MID(N123,SEARCH(" ",N123,130),IF(LEN(N123)&lt;=265,LEN(N123),SEARCH(" ",N123,255)-SEARCH(" ",N123,130)))))</f>
        <v/>
      </c>
      <c r="D181" s="514"/>
      <c r="E181" s="514"/>
      <c r="F181" s="514"/>
      <c r="G181" s="514"/>
      <c r="H181" s="514"/>
      <c r="I181" s="514"/>
      <c r="J181" s="519"/>
      <c r="L181" s="131"/>
      <c r="M181" s="132" t="s">
        <v>135</v>
      </c>
      <c r="N181" s="133"/>
      <c r="O181" s="134">
        <f>LEN(N180)</f>
        <v>0</v>
      </c>
      <c r="P181" s="135"/>
      <c r="Q181" s="136">
        <f>LEN(P180)</f>
        <v>0</v>
      </c>
      <c r="R181" s="87"/>
      <c r="S181" s="87"/>
      <c r="T181" s="87"/>
      <c r="U181" s="87"/>
      <c r="V181" s="48"/>
      <c r="Z181" s="42"/>
      <c r="AA181" s="85"/>
      <c r="AB181" s="82" t="str">
        <f t="shared" si="22"/>
        <v>Change</v>
      </c>
      <c r="AC181" s="157">
        <f t="shared" si="25"/>
        <v>130</v>
      </c>
      <c r="AD181" s="42" t="s">
        <v>313</v>
      </c>
    </row>
    <row r="182" spans="1:30" ht="13.95" customHeight="1">
      <c r="A182" s="1">
        <v>35</v>
      </c>
      <c r="B182" s="113"/>
      <c r="C182" s="507" t="str">
        <f>IF(LEN(N123)&lt;=265,"",RIGHT(N123,LEN(N123)-SEARCH(" ",N123,255)))</f>
        <v/>
      </c>
      <c r="D182" s="514"/>
      <c r="E182" s="514"/>
      <c r="F182" s="514"/>
      <c r="G182" s="514"/>
      <c r="H182" s="514"/>
      <c r="I182" s="514"/>
      <c r="J182" s="519"/>
      <c r="L182" s="156"/>
      <c r="M182" s="43" t="s">
        <v>137</v>
      </c>
      <c r="N182" s="128"/>
      <c r="O182" s="129"/>
      <c r="P182" s="130" t="str">
        <f>IF(OR(AA137=0,AA137=""),"",AA137)</f>
        <v/>
      </c>
      <c r="Q182" s="87"/>
      <c r="R182" s="88"/>
      <c r="S182" s="88"/>
      <c r="T182" s="88"/>
      <c r="U182" s="88"/>
      <c r="V182" s="89"/>
      <c r="Z182" s="42"/>
      <c r="AA182" s="85"/>
      <c r="AB182" s="82" t="str">
        <f t="shared" si="22"/>
        <v>Change</v>
      </c>
      <c r="AC182" s="157">
        <f t="shared" si="25"/>
        <v>130</v>
      </c>
      <c r="AD182" s="42" t="s">
        <v>314</v>
      </c>
    </row>
    <row r="183" spans="1:30" ht="13.95" customHeight="1">
      <c r="A183" s="1">
        <v>36</v>
      </c>
      <c r="B183" s="113"/>
      <c r="C183" s="507" t="str">
        <f>IF(N125="","",IF(LEN(N125)&lt;=135,N125,IF(LEN(N125)&lt;=260,LEFT(N125,SEARCH(" ",N125,125)),LEFT(N125,SEARCH(" ",N125,130)))))</f>
        <v/>
      </c>
      <c r="D183" s="514"/>
      <c r="E183" s="514"/>
      <c r="F183" s="514"/>
      <c r="G183" s="514"/>
      <c r="H183" s="514"/>
      <c r="I183" s="514"/>
      <c r="J183" s="519"/>
      <c r="L183" s="41"/>
      <c r="M183" s="132" t="s">
        <v>135</v>
      </c>
      <c r="N183" s="133"/>
      <c r="O183" s="134">
        <f>LEN(N182)</f>
        <v>0</v>
      </c>
      <c r="P183" s="135"/>
      <c r="Q183" s="136">
        <f>LEN(P182)</f>
        <v>0</v>
      </c>
      <c r="R183" s="87"/>
      <c r="S183" s="87"/>
      <c r="T183" s="87"/>
      <c r="U183" s="87"/>
      <c r="V183" s="48"/>
      <c r="Z183" s="42"/>
      <c r="AA183" s="85"/>
      <c r="AB183" s="82" t="str">
        <f t="shared" si="22"/>
        <v>Change</v>
      </c>
      <c r="AC183" s="157">
        <f t="shared" si="25"/>
        <v>130</v>
      </c>
      <c r="AD183" s="42" t="s">
        <v>315</v>
      </c>
    </row>
    <row r="184" spans="1:30" ht="13.95" customHeight="1">
      <c r="A184" s="1">
        <v>37</v>
      </c>
      <c r="B184" s="113"/>
      <c r="C184" s="507" t="str">
        <f>IF(LEN(N125)&lt;=135,"",IF(LEN(N125)&lt;=260,RIGHT(N125,LEN(N125)-SEARCH(" ",N125,125)),MID(N125,SEARCH(" ",N125,130),IF(LEN(N125)&lt;=265,LEN(N125),SEARCH(" ",N125,255)-SEARCH(" ",N125,130)))))</f>
        <v/>
      </c>
      <c r="D184" s="514"/>
      <c r="E184" s="514"/>
      <c r="F184" s="514"/>
      <c r="G184" s="514"/>
      <c r="H184" s="514"/>
      <c r="I184" s="514"/>
      <c r="J184" s="519"/>
      <c r="L184" s="131"/>
      <c r="M184" s="43" t="s">
        <v>137</v>
      </c>
      <c r="N184" s="128"/>
      <c r="O184" s="129"/>
      <c r="P184" s="130" t="str">
        <f>IF(OR(AA139=0,AA139=""),"",AA139)</f>
        <v/>
      </c>
      <c r="Q184" s="87"/>
      <c r="R184" s="87"/>
      <c r="S184" s="87"/>
      <c r="T184" s="87"/>
      <c r="U184" s="87"/>
      <c r="V184" s="48"/>
      <c r="Z184" s="42"/>
      <c r="AA184" s="85"/>
      <c r="AB184" s="82" t="str">
        <f t="shared" si="22"/>
        <v>Change</v>
      </c>
      <c r="AC184" s="157">
        <f t="shared" si="25"/>
        <v>130</v>
      </c>
      <c r="AD184" s="42" t="s">
        <v>316</v>
      </c>
    </row>
    <row r="185" spans="1:30" ht="13.95" customHeight="1">
      <c r="A185" s="1">
        <v>38</v>
      </c>
      <c r="B185" s="113"/>
      <c r="C185" s="507" t="str">
        <f>IF(LEN(N125)&lt;=265,"",RIGHT(N125,LEN(N125)-SEARCH(" ",N125,255)))</f>
        <v/>
      </c>
      <c r="D185" s="514"/>
      <c r="E185" s="514"/>
      <c r="F185" s="514"/>
      <c r="G185" s="514"/>
      <c r="H185" s="514"/>
      <c r="I185" s="514"/>
      <c r="J185" s="519"/>
      <c r="L185" s="156"/>
      <c r="M185" s="132" t="s">
        <v>135</v>
      </c>
      <c r="N185" s="133"/>
      <c r="O185" s="134">
        <f>LEN(N184)</f>
        <v>0</v>
      </c>
      <c r="P185" s="135"/>
      <c r="Q185" s="136">
        <f>LEN(P184)</f>
        <v>0</v>
      </c>
      <c r="R185" s="88"/>
      <c r="S185" s="88"/>
      <c r="T185" s="88"/>
      <c r="U185" s="88"/>
      <c r="V185" s="89"/>
      <c r="Z185" s="42"/>
      <c r="AA185" s="85"/>
      <c r="AB185" s="82" t="str">
        <f t="shared" si="22"/>
        <v>Change</v>
      </c>
      <c r="AC185" s="157">
        <f t="shared" si="25"/>
        <v>130</v>
      </c>
      <c r="AD185" s="42" t="s">
        <v>317</v>
      </c>
    </row>
    <row r="186" spans="1:30" ht="13.95" customHeight="1">
      <c r="A186" s="1">
        <v>39</v>
      </c>
      <c r="B186" s="113"/>
      <c r="C186" s="507" t="str">
        <f>IF(N127="","",IF(LEN(N127)&lt;=135,N127,IF(LEN(N127)&lt;=260,LEFT(N127,SEARCH(" ",N127,125)),LEFT(N127,SEARCH(" ",N127,130)))))</f>
        <v/>
      </c>
      <c r="D186" s="514"/>
      <c r="E186" s="514"/>
      <c r="F186" s="514"/>
      <c r="G186" s="514"/>
      <c r="H186" s="514"/>
      <c r="I186" s="514"/>
      <c r="J186" s="519"/>
      <c r="L186" s="41"/>
      <c r="M186" s="43" t="s">
        <v>137</v>
      </c>
      <c r="N186" s="128"/>
      <c r="O186" s="129"/>
      <c r="P186" s="130" t="str">
        <f>IF(OR(AA141=0,AA141=""),"",AA141)</f>
        <v/>
      </c>
      <c r="Q186" s="87"/>
      <c r="R186" s="87"/>
      <c r="S186" s="87"/>
      <c r="T186" s="87"/>
      <c r="U186" s="87"/>
      <c r="V186" s="48"/>
      <c r="Z186" s="42"/>
      <c r="AA186" s="85"/>
      <c r="AB186" s="82" t="str">
        <f t="shared" si="22"/>
        <v>Change</v>
      </c>
      <c r="AC186" s="157">
        <f t="shared" si="25"/>
        <v>130</v>
      </c>
      <c r="AD186" s="42" t="s">
        <v>318</v>
      </c>
    </row>
    <row r="187" spans="1:30" ht="13.95" customHeight="1">
      <c r="A187" s="1">
        <v>40</v>
      </c>
      <c r="B187" s="113"/>
      <c r="C187" s="507" t="str">
        <f>IF(LEN(N127)&lt;=135,"",IF(LEN(N127)&lt;=260,RIGHT(N127,LEN(N127)-SEARCH(" ",N127,125)),MID(N127,SEARCH(" ",N127,130),IF(LEN(N127)&lt;=265,LEN(N127),SEARCH(" ",N127,255)-SEARCH(" ",N127,130)))))</f>
        <v/>
      </c>
      <c r="D187" s="514"/>
      <c r="E187" s="514"/>
      <c r="F187" s="514"/>
      <c r="G187" s="514"/>
      <c r="H187" s="514"/>
      <c r="I187" s="514"/>
      <c r="J187" s="519"/>
      <c r="L187" s="131"/>
      <c r="M187" s="132" t="s">
        <v>135</v>
      </c>
      <c r="N187" s="133"/>
      <c r="O187" s="134">
        <f>LEN(N186)</f>
        <v>0</v>
      </c>
      <c r="P187" s="135"/>
      <c r="Q187" s="136">
        <f>LEN(P186)</f>
        <v>0</v>
      </c>
      <c r="R187" s="87"/>
      <c r="S187" s="87"/>
      <c r="T187" s="87"/>
      <c r="U187" s="87"/>
      <c r="V187" s="48"/>
      <c r="Z187" s="42"/>
      <c r="AA187" s="85"/>
      <c r="AB187" s="82" t="str">
        <f t="shared" si="22"/>
        <v>Change</v>
      </c>
      <c r="AC187" s="157">
        <f t="shared" si="25"/>
        <v>130</v>
      </c>
      <c r="AD187" s="42" t="s">
        <v>319</v>
      </c>
    </row>
    <row r="188" spans="1:30" ht="13.95" customHeight="1">
      <c r="A188" s="1">
        <v>41</v>
      </c>
      <c r="B188" s="113"/>
      <c r="C188" s="507" t="str">
        <f>IF(LEN(N127)&lt;=265,"",RIGHT(N127,LEN(N127)-SEARCH(" ",N127,255)))</f>
        <v/>
      </c>
      <c r="D188" s="514"/>
      <c r="E188" s="514"/>
      <c r="F188" s="514"/>
      <c r="G188" s="514"/>
      <c r="H188" s="514"/>
      <c r="I188" s="514"/>
      <c r="J188" s="519"/>
      <c r="L188" s="156"/>
      <c r="M188" s="43" t="s">
        <v>137</v>
      </c>
      <c r="N188" s="128"/>
      <c r="O188" s="129"/>
      <c r="P188" s="130" t="str">
        <f>IF(OR(AA143=0,AA143=""),"",AA143)</f>
        <v/>
      </c>
      <c r="Q188" s="87"/>
      <c r="R188" s="88"/>
      <c r="S188" s="88"/>
      <c r="T188" s="88"/>
      <c r="U188" s="88"/>
      <c r="V188" s="89"/>
      <c r="Z188" s="42"/>
      <c r="AA188" s="42"/>
      <c r="AB188" s="82" t="str">
        <f t="shared" si="22"/>
        <v/>
      </c>
      <c r="AC188" s="42"/>
      <c r="AD188" s="42"/>
    </row>
    <row r="189" spans="1:30" ht="13.95" customHeight="1">
      <c r="A189" s="1">
        <v>42</v>
      </c>
      <c r="B189" s="113"/>
      <c r="C189" s="507" t="str">
        <f>IF(N129="","",IF(LEN(N129)&lt;=135,N129,IF(LEN(N129)&lt;=260,LEFT(N129,SEARCH(" ",N129,125)),LEFT(N129,SEARCH(" ",N129,130)))))</f>
        <v/>
      </c>
      <c r="D189" s="514"/>
      <c r="E189" s="514"/>
      <c r="F189" s="514"/>
      <c r="G189" s="514"/>
      <c r="H189" s="514"/>
      <c r="I189" s="514"/>
      <c r="J189" s="519"/>
      <c r="L189" s="41"/>
      <c r="M189" s="132" t="s">
        <v>135</v>
      </c>
      <c r="N189" s="133"/>
      <c r="O189" s="134">
        <f>LEN(N188)</f>
        <v>0</v>
      </c>
      <c r="P189" s="135"/>
      <c r="Q189" s="136">
        <f>LEN(P188)</f>
        <v>0</v>
      </c>
      <c r="R189" s="87"/>
      <c r="S189" s="87"/>
      <c r="T189" s="87"/>
      <c r="U189" s="87"/>
      <c r="V189" s="48"/>
      <c r="Z189" s="79" t="s">
        <v>285</v>
      </c>
      <c r="AA189" s="85"/>
      <c r="AB189" s="82" t="str">
        <f t="shared" si="22"/>
        <v>Change</v>
      </c>
      <c r="AC189" s="157">
        <f t="shared" ref="AC189:AC198" si="26">O236</f>
        <v>23</v>
      </c>
      <c r="AD189" s="42" t="s">
        <v>320</v>
      </c>
    </row>
    <row r="190" spans="1:30" ht="13.95" customHeight="1">
      <c r="A190" s="1">
        <v>43</v>
      </c>
      <c r="B190" s="113"/>
      <c r="C190" s="507" t="str">
        <f>IF(LEN(N129)&lt;=135,"",IF(LEN(N129)&lt;=260,RIGHT(N129,LEN(N129)-SEARCH(" ",N129,125)),MID(N129,SEARCH(" ",N129,130),IF(LEN(N129)&lt;=265,LEN(N129),SEARCH(" ",N129,255)-SEARCH(" ",N129,130)))))</f>
        <v/>
      </c>
      <c r="D190" s="514"/>
      <c r="E190" s="514"/>
      <c r="F190" s="514"/>
      <c r="G190" s="514"/>
      <c r="H190" s="514"/>
      <c r="I190" s="514"/>
      <c r="J190" s="519"/>
      <c r="L190" s="131"/>
      <c r="M190" s="43" t="s">
        <v>137</v>
      </c>
      <c r="N190" s="128"/>
      <c r="O190" s="129"/>
      <c r="P190" s="130" t="str">
        <f>IF(OR(AA145=0,AA145=""),"",AA145)</f>
        <v/>
      </c>
      <c r="Q190" s="87"/>
      <c r="R190" s="87"/>
      <c r="S190" s="87"/>
      <c r="T190" s="87"/>
      <c r="U190" s="87"/>
      <c r="V190" s="48"/>
      <c r="Z190" s="42"/>
      <c r="AA190" s="85"/>
      <c r="AB190" s="82" t="str">
        <f t="shared" si="22"/>
        <v>Change</v>
      </c>
      <c r="AC190" s="157">
        <f t="shared" si="26"/>
        <v>23</v>
      </c>
      <c r="AD190" s="42" t="s">
        <v>155</v>
      </c>
    </row>
    <row r="191" spans="1:30" ht="13.95" customHeight="1">
      <c r="A191" s="1">
        <v>44</v>
      </c>
      <c r="B191" s="113"/>
      <c r="C191" s="507" t="str">
        <f>IF(LEN(N129)&lt;=265,"",RIGHT(N129,LEN(N129)-SEARCH(" ",N129,255)))</f>
        <v/>
      </c>
      <c r="D191" s="514"/>
      <c r="E191" s="514"/>
      <c r="F191" s="514"/>
      <c r="G191" s="514"/>
      <c r="H191" s="514"/>
      <c r="I191" s="514"/>
      <c r="J191" s="519"/>
      <c r="L191" s="156"/>
      <c r="M191" s="132" t="s">
        <v>135</v>
      </c>
      <c r="N191" s="133"/>
      <c r="O191" s="134">
        <f>LEN(N190)</f>
        <v>0</v>
      </c>
      <c r="P191" s="135"/>
      <c r="Q191" s="136">
        <f>LEN(P190)</f>
        <v>0</v>
      </c>
      <c r="R191" s="88"/>
      <c r="S191" s="88"/>
      <c r="T191" s="88"/>
      <c r="U191" s="88"/>
      <c r="V191" s="89"/>
      <c r="Z191" s="42"/>
      <c r="AA191" s="85"/>
      <c r="AB191" s="82" t="str">
        <f t="shared" si="22"/>
        <v>Change</v>
      </c>
      <c r="AC191" s="157">
        <f t="shared" si="26"/>
        <v>20</v>
      </c>
      <c r="AD191" s="42" t="s">
        <v>321</v>
      </c>
    </row>
    <row r="192" spans="1:30" ht="13.95" customHeight="1">
      <c r="A192" s="1">
        <v>45</v>
      </c>
      <c r="B192" s="113"/>
      <c r="C192" s="507" t="str">
        <f>IF(N131="","",IF(LEN(N131)&lt;=135,N131,IF(LEN(N131)&lt;=260,LEFT(N131,SEARCH(" ",N131,125)),LEFT(N131,SEARCH(" ",N131,130)))))</f>
        <v/>
      </c>
      <c r="D192" s="514"/>
      <c r="E192" s="514"/>
      <c r="F192" s="514"/>
      <c r="G192" s="514"/>
      <c r="H192" s="514"/>
      <c r="I192" s="514"/>
      <c r="J192" s="519"/>
      <c r="L192" s="113"/>
      <c r="M192" s="43" t="s">
        <v>137</v>
      </c>
      <c r="N192" s="128"/>
      <c r="O192" s="129"/>
      <c r="P192" s="130" t="str">
        <f>IF(OR(AA147=0,AA147=""),"",AA147)</f>
        <v/>
      </c>
      <c r="Q192" s="87"/>
      <c r="R192" s="88"/>
      <c r="S192" s="88"/>
      <c r="T192" s="88"/>
      <c r="U192" s="88"/>
      <c r="V192" s="97"/>
      <c r="Z192" s="42"/>
      <c r="AA192" s="85"/>
      <c r="AB192" s="82" t="str">
        <f t="shared" si="22"/>
        <v>Change</v>
      </c>
      <c r="AC192" s="157">
        <f t="shared" si="26"/>
        <v>13</v>
      </c>
      <c r="AD192" s="42" t="s">
        <v>156</v>
      </c>
    </row>
    <row r="193" spans="1:30" ht="13.95" customHeight="1">
      <c r="A193" s="1">
        <v>46</v>
      </c>
      <c r="B193" s="113"/>
      <c r="C193" s="507" t="str">
        <f>IF(LEN(N131)&lt;=135,"",IF(LEN(N131)&lt;=260,RIGHT(N131,LEN(N131)-SEARCH(" ",N131,125)),MID(N131,SEARCH(" ",N131,130),IF(LEN(N131)&lt;=265,LEN(N131),SEARCH(" ",N131,255)-SEARCH(" ",N131,130)))))</f>
        <v/>
      </c>
      <c r="D193" s="514"/>
      <c r="E193" s="514"/>
      <c r="F193" s="514"/>
      <c r="G193" s="514"/>
      <c r="H193" s="514"/>
      <c r="I193" s="514"/>
      <c r="J193" s="519"/>
      <c r="L193" s="113"/>
      <c r="M193" s="132" t="s">
        <v>135</v>
      </c>
      <c r="N193" s="133"/>
      <c r="O193" s="134">
        <f>LEN(N192)</f>
        <v>0</v>
      </c>
      <c r="P193" s="135"/>
      <c r="Q193" s="136">
        <f>LEN(P192)</f>
        <v>0</v>
      </c>
      <c r="R193" s="87"/>
      <c r="S193" s="87"/>
      <c r="T193" s="87"/>
      <c r="U193" s="87"/>
      <c r="V193" s="97"/>
      <c r="Z193" s="42"/>
      <c r="AA193" s="85"/>
      <c r="AB193" s="82" t="str">
        <f t="shared" si="22"/>
        <v>Change</v>
      </c>
      <c r="AC193" s="157">
        <f t="shared" si="26"/>
        <v>15</v>
      </c>
      <c r="AD193" s="42" t="s">
        <v>322</v>
      </c>
    </row>
    <row r="194" spans="1:30" ht="13.95" customHeight="1" thickBot="1">
      <c r="A194" s="1">
        <v>47</v>
      </c>
      <c r="B194" s="520"/>
      <c r="C194" s="512" t="str">
        <f>IF(LEN(N131)&lt;=265,"",RIGHT(N131,LEN(N131)-SEARCH(" ",N131,255)))</f>
        <v/>
      </c>
      <c r="D194" s="98"/>
      <c r="E194" s="98"/>
      <c r="F194" s="98"/>
      <c r="G194" s="98"/>
      <c r="H194" s="98"/>
      <c r="I194" s="98"/>
      <c r="J194" s="182"/>
      <c r="L194" s="113"/>
      <c r="M194" s="43" t="s">
        <v>137</v>
      </c>
      <c r="N194" s="128"/>
      <c r="O194" s="129"/>
      <c r="P194" s="130" t="str">
        <f>IF(OR(AA149=0,AA149=""),"",AA149)</f>
        <v/>
      </c>
      <c r="Q194" s="87"/>
      <c r="R194" s="88"/>
      <c r="S194" s="88"/>
      <c r="T194" s="88"/>
      <c r="U194" s="88"/>
      <c r="V194" s="97"/>
      <c r="Z194" s="42"/>
      <c r="AA194" s="85"/>
      <c r="AB194" s="82" t="str">
        <f t="shared" si="22"/>
        <v>Change</v>
      </c>
      <c r="AC194" s="157">
        <f t="shared" si="26"/>
        <v>8</v>
      </c>
      <c r="AD194" s="42" t="s">
        <v>157</v>
      </c>
    </row>
    <row r="195" spans="1:30" ht="13.95" customHeight="1" thickTop="1">
      <c r="A195" s="1">
        <v>48</v>
      </c>
      <c r="B195" s="99" t="s">
        <v>3</v>
      </c>
      <c r="C195" s="100" t="str">
        <f>IF($N$8="","",$N$8)</f>
        <v/>
      </c>
      <c r="D195" s="2"/>
      <c r="E195" s="2"/>
      <c r="F195" s="2"/>
      <c r="G195" s="2" t="str">
        <f>""</f>
        <v/>
      </c>
      <c r="H195" s="2" t="str">
        <f>""</f>
        <v/>
      </c>
      <c r="I195" s="99" t="s">
        <v>4</v>
      </c>
      <c r="J195" s="101" t="str">
        <f>IF($U$8="","",$U$8)</f>
        <v>Eugene Mah</v>
      </c>
      <c r="L195" s="113"/>
      <c r="M195" s="132" t="s">
        <v>135</v>
      </c>
      <c r="N195" s="133"/>
      <c r="O195" s="134">
        <f>LEN(N194)</f>
        <v>0</v>
      </c>
      <c r="P195" s="135"/>
      <c r="Q195" s="136">
        <f>LEN(P194)</f>
        <v>0</v>
      </c>
      <c r="R195" s="88"/>
      <c r="S195" s="88"/>
      <c r="T195" s="88"/>
      <c r="U195" s="88"/>
      <c r="V195" s="97"/>
      <c r="Z195" s="42"/>
      <c r="AA195" s="85"/>
      <c r="AB195" s="82" t="str">
        <f t="shared" si="22"/>
        <v>Change</v>
      </c>
      <c r="AC195" s="157">
        <f t="shared" si="26"/>
        <v>12</v>
      </c>
      <c r="AD195" s="42" t="s">
        <v>323</v>
      </c>
    </row>
    <row r="196" spans="1:30" ht="13.95" customHeight="1">
      <c r="A196" s="1">
        <v>49</v>
      </c>
      <c r="B196" s="99" t="s">
        <v>18</v>
      </c>
      <c r="C196" s="102" t="str">
        <f>IF($O$15="","",$O$15)</f>
        <v/>
      </c>
      <c r="D196" s="2"/>
      <c r="E196" s="2"/>
      <c r="F196" s="2"/>
      <c r="G196" s="2"/>
      <c r="H196" s="2"/>
      <c r="I196" s="99" t="s">
        <v>16</v>
      </c>
      <c r="J196" s="103" t="str">
        <f>IF($E$14="","",$E$14)</f>
        <v/>
      </c>
      <c r="L196" s="419"/>
      <c r="V196" s="97"/>
      <c r="Z196" s="42"/>
      <c r="AA196" s="85"/>
      <c r="AB196" s="82" t="str">
        <f t="shared" si="22"/>
        <v>Change</v>
      </c>
      <c r="AC196" s="157">
        <f t="shared" si="26"/>
        <v>20</v>
      </c>
      <c r="AD196" s="42" t="s">
        <v>324</v>
      </c>
    </row>
    <row r="197" spans="1:30" ht="13.95" customHeight="1">
      <c r="A197" s="1">
        <v>1</v>
      </c>
      <c r="J197" s="118" t="str">
        <f>$F$2</f>
        <v>Medical University of South Carolina</v>
      </c>
      <c r="L197" s="419"/>
      <c r="M197" s="141"/>
      <c r="N197" s="140"/>
      <c r="O197" s="141"/>
      <c r="P197" s="142"/>
      <c r="Q197" s="142"/>
      <c r="R197" s="142"/>
      <c r="S197" s="142"/>
      <c r="T197" s="142"/>
      <c r="U197" s="142"/>
      <c r="V197" s="97"/>
      <c r="Z197" s="42"/>
      <c r="AA197" s="85"/>
      <c r="AB197" s="82" t="str">
        <f t="shared" si="22"/>
        <v>Change</v>
      </c>
      <c r="AC197" s="157">
        <f t="shared" si="26"/>
        <v>15</v>
      </c>
      <c r="AD197" s="42" t="s">
        <v>325</v>
      </c>
    </row>
    <row r="198" spans="1:30" ht="13.95" customHeight="1" thickBot="1">
      <c r="A198" s="1">
        <v>2</v>
      </c>
      <c r="B198" s="548" t="str">
        <f>Q164</f>
        <v>COMMENTS PAGE 2</v>
      </c>
      <c r="J198" s="79" t="str">
        <f>$F$5</f>
        <v>EOS Imaging System Compliance Inspection</v>
      </c>
      <c r="L198" s="419"/>
      <c r="M198" s="144"/>
      <c r="N198" s="143"/>
      <c r="O198" s="144"/>
      <c r="P198" s="145"/>
      <c r="Q198" s="145"/>
      <c r="R198" s="145"/>
      <c r="S198" s="145"/>
      <c r="T198" s="145"/>
      <c r="U198" s="145"/>
      <c r="V198" s="97"/>
      <c r="Z198" s="42"/>
      <c r="AA198" s="85"/>
      <c r="AB198" s="82" t="str">
        <f t="shared" si="22"/>
        <v>Change</v>
      </c>
      <c r="AC198" s="157">
        <f t="shared" si="26"/>
        <v>23</v>
      </c>
      <c r="AD198" s="42" t="s">
        <v>326</v>
      </c>
    </row>
    <row r="199" spans="1:30" ht="13.95" customHeight="1" thickTop="1">
      <c r="A199" s="1">
        <v>3</v>
      </c>
      <c r="B199" s="515" t="s">
        <v>134</v>
      </c>
      <c r="C199" s="516" t="str">
        <f>IF(N166="","",IF(LEN(N166)&lt;=135,N166,IF(LEN(N166)&lt;=260,LEFT(N166,SEARCH(" ",N166,125)),LEFT(N166,SEARCH(" ",N166,130)))))</f>
        <v/>
      </c>
      <c r="D199" s="517"/>
      <c r="E199" s="517"/>
      <c r="F199" s="517"/>
      <c r="G199" s="517"/>
      <c r="H199" s="517"/>
      <c r="I199" s="517"/>
      <c r="J199" s="518"/>
      <c r="L199" s="419"/>
      <c r="M199" s="144"/>
      <c r="N199" s="143"/>
      <c r="O199" s="144"/>
      <c r="P199" s="145"/>
      <c r="Q199" s="145"/>
      <c r="R199" s="145"/>
      <c r="S199" s="145"/>
      <c r="T199" s="145"/>
      <c r="U199" s="145"/>
      <c r="V199" s="97"/>
      <c r="Z199" s="42"/>
      <c r="AA199" s="42"/>
      <c r="AB199" s="82" t="str">
        <f t="shared" si="22"/>
        <v/>
      </c>
      <c r="AC199" s="42"/>
      <c r="AD199" s="42"/>
    </row>
    <row r="200" spans="1:30" ht="13.95" customHeight="1">
      <c r="A200" s="1">
        <v>4</v>
      </c>
      <c r="B200" s="131"/>
      <c r="C200" s="507" t="str">
        <f>IF(LEN(N166)&lt;=135,"",IF(LEN(N166)&lt;=260,RIGHT(N166,LEN(N166)-SEARCH(" ",N166,125)),MID(N166,SEARCH(" ",N166,130),IF(LEN(N166)&lt;=265,LEN(N166),SEARCH(" ",N166,255)-SEARCH(" ",N166,130)))))</f>
        <v/>
      </c>
      <c r="D200" s="514"/>
      <c r="E200" s="514"/>
      <c r="F200" s="514"/>
      <c r="G200" s="514"/>
      <c r="H200" s="514"/>
      <c r="I200" s="514"/>
      <c r="J200" s="519"/>
      <c r="L200" s="419"/>
      <c r="M200" s="144"/>
      <c r="N200" s="143"/>
      <c r="O200" s="144"/>
      <c r="P200" s="145"/>
      <c r="Q200" s="145"/>
      <c r="R200" s="145"/>
      <c r="S200" s="145"/>
      <c r="T200" s="145"/>
      <c r="U200" s="145"/>
      <c r="V200" s="97"/>
      <c r="Z200" s="79" t="s">
        <v>286</v>
      </c>
      <c r="AA200" s="85"/>
      <c r="AB200" s="82" t="str">
        <f t="shared" si="22"/>
        <v>Change</v>
      </c>
      <c r="AC200" s="206" t="str">
        <f t="shared" ref="AC200:AC209" si="27">P236</f>
        <v>14x17</v>
      </c>
      <c r="AD200" s="42" t="s">
        <v>327</v>
      </c>
    </row>
    <row r="201" spans="1:30" ht="13.95" customHeight="1">
      <c r="A201" s="1">
        <v>5</v>
      </c>
      <c r="B201" s="131"/>
      <c r="C201" s="507" t="str">
        <f>IF(LEN(N166)&lt;=265,"",RIGHT(N166,LEN(N166)-SEARCH(" ",N166,255)))</f>
        <v/>
      </c>
      <c r="D201" s="514"/>
      <c r="E201" s="514"/>
      <c r="F201" s="514"/>
      <c r="G201" s="514"/>
      <c r="H201" s="514"/>
      <c r="I201" s="514"/>
      <c r="J201" s="519"/>
      <c r="L201" s="419"/>
      <c r="M201" s="144"/>
      <c r="N201" s="143"/>
      <c r="O201" s="144"/>
      <c r="P201" s="145"/>
      <c r="Q201" s="145"/>
      <c r="R201" s="145"/>
      <c r="S201" s="145"/>
      <c r="T201" s="145"/>
      <c r="U201" s="145"/>
      <c r="V201" s="97"/>
      <c r="Z201" s="42"/>
      <c r="AA201" s="85"/>
      <c r="AB201" s="82" t="str">
        <f t="shared" si="22"/>
        <v>Change</v>
      </c>
      <c r="AC201" s="206" t="str">
        <f t="shared" si="27"/>
        <v>14x17</v>
      </c>
      <c r="AD201" s="42" t="s">
        <v>328</v>
      </c>
    </row>
    <row r="202" spans="1:30" ht="13.95" customHeight="1">
      <c r="A202" s="1">
        <v>6</v>
      </c>
      <c r="B202" s="113"/>
      <c r="C202" s="507" t="str">
        <f>IF(N168="","",IF(LEN(N168)&lt;=135,N168,IF(LEN(N168)&lt;=260,LEFT(N168,SEARCH(" ",N168,125)),LEFT(N168,SEARCH(" ",N168,130)))))</f>
        <v/>
      </c>
      <c r="D202" s="514"/>
      <c r="E202" s="514"/>
      <c r="F202" s="514"/>
      <c r="G202" s="514"/>
      <c r="H202" s="514"/>
      <c r="I202" s="514"/>
      <c r="J202" s="519"/>
      <c r="L202" s="419"/>
      <c r="M202" s="144"/>
      <c r="N202" s="143"/>
      <c r="O202" s="144"/>
      <c r="P202" s="145"/>
      <c r="Q202" s="145"/>
      <c r="R202" s="145"/>
      <c r="S202" s="145"/>
      <c r="T202" s="145"/>
      <c r="U202" s="145"/>
      <c r="V202" s="97"/>
      <c r="Z202" s="42"/>
      <c r="AA202" s="85"/>
      <c r="AB202" s="82" t="str">
        <f t="shared" si="22"/>
        <v>Change</v>
      </c>
      <c r="AC202" s="206" t="str">
        <f t="shared" si="27"/>
        <v>14x17</v>
      </c>
      <c r="AD202" s="42" t="s">
        <v>329</v>
      </c>
    </row>
    <row r="203" spans="1:30" ht="13.95" customHeight="1">
      <c r="A203" s="1">
        <v>7</v>
      </c>
      <c r="B203" s="113"/>
      <c r="C203" s="507" t="str">
        <f>IF(LEN(N168)&lt;=135,"",IF(LEN(N168)&lt;=260,RIGHT(N168,LEN(N168)-SEARCH(" ",N168,125)),MID(N168,SEARCH(" ",N168,130),IF(LEN(N168)&lt;=265,LEN(N168),SEARCH(" ",N168,255)-SEARCH(" ",N168,130)))))</f>
        <v/>
      </c>
      <c r="D203" s="514"/>
      <c r="E203" s="514"/>
      <c r="F203" s="514"/>
      <c r="G203" s="514"/>
      <c r="H203" s="514"/>
      <c r="I203" s="514"/>
      <c r="J203" s="519"/>
      <c r="L203" s="419"/>
      <c r="M203" s="144"/>
      <c r="N203" s="143"/>
      <c r="O203" s="144"/>
      <c r="P203" s="145"/>
      <c r="Q203" s="145"/>
      <c r="R203" s="145"/>
      <c r="S203" s="145"/>
      <c r="T203" s="145"/>
      <c r="U203" s="145"/>
      <c r="V203" s="97"/>
      <c r="Z203" s="42"/>
      <c r="AA203" s="85"/>
      <c r="AB203" s="82" t="str">
        <f t="shared" si="22"/>
        <v>Change</v>
      </c>
      <c r="AC203" s="206" t="str">
        <f t="shared" si="27"/>
        <v>10x12</v>
      </c>
      <c r="AD203" s="42" t="s">
        <v>330</v>
      </c>
    </row>
    <row r="204" spans="1:30" ht="13.95" customHeight="1">
      <c r="A204" s="1">
        <v>8</v>
      </c>
      <c r="B204" s="113"/>
      <c r="C204" s="507" t="str">
        <f>IF(LEN(N168)&lt;=265,"",RIGHT(N168,LEN(N168)-SEARCH(" ",N168,255)))</f>
        <v/>
      </c>
      <c r="D204" s="514"/>
      <c r="E204" s="514"/>
      <c r="F204" s="514"/>
      <c r="G204" s="514"/>
      <c r="H204" s="514"/>
      <c r="I204" s="514"/>
      <c r="J204" s="519"/>
      <c r="L204" s="113"/>
      <c r="M204" s="144"/>
      <c r="N204" s="143"/>
      <c r="O204" s="144"/>
      <c r="P204" s="145"/>
      <c r="Q204" s="145"/>
      <c r="R204" s="145"/>
      <c r="S204" s="145"/>
      <c r="T204" s="145"/>
      <c r="U204" s="145"/>
      <c r="V204" s="97"/>
      <c r="Z204" s="42"/>
      <c r="AA204" s="85"/>
      <c r="AB204" s="82" t="str">
        <f t="shared" si="22"/>
        <v>Change</v>
      </c>
      <c r="AC204" s="206" t="str">
        <f t="shared" si="27"/>
        <v>8x10</v>
      </c>
      <c r="AD204" s="42" t="s">
        <v>331</v>
      </c>
    </row>
    <row r="205" spans="1:30" ht="13.95" customHeight="1">
      <c r="A205" s="1">
        <v>9</v>
      </c>
      <c r="B205" s="113"/>
      <c r="C205" s="507" t="str">
        <f>IF(N170="","",IF(LEN(N170)&lt;=135,N170,IF(LEN(N170)&lt;=260,LEFT(N170,SEARCH(" ",N170,125)),LEFT(N170,SEARCH(" ",N170,130)))))</f>
        <v/>
      </c>
      <c r="D205" s="514"/>
      <c r="E205" s="514"/>
      <c r="F205" s="514"/>
      <c r="G205" s="514"/>
      <c r="H205" s="514"/>
      <c r="I205" s="514"/>
      <c r="J205" s="519"/>
      <c r="L205" s="113"/>
      <c r="M205" s="144"/>
      <c r="N205" s="143"/>
      <c r="O205" s="144"/>
      <c r="P205" s="145"/>
      <c r="Q205" s="145"/>
      <c r="R205" s="145"/>
      <c r="S205" s="145"/>
      <c r="T205" s="145"/>
      <c r="U205" s="145"/>
      <c r="V205" s="97"/>
      <c r="Z205" s="42"/>
      <c r="AA205" s="85"/>
      <c r="AB205" s="82" t="str">
        <f t="shared" si="22"/>
        <v>Change</v>
      </c>
      <c r="AC205" s="206" t="str">
        <f t="shared" si="27"/>
        <v>8x10</v>
      </c>
      <c r="AD205" s="42" t="s">
        <v>332</v>
      </c>
    </row>
    <row r="206" spans="1:30" ht="13.95" customHeight="1">
      <c r="A206" s="1">
        <v>10</v>
      </c>
      <c r="B206" s="113"/>
      <c r="C206" s="507" t="str">
        <f>IF(LEN(N170)&lt;=135,"",IF(LEN(N170)&lt;=260,RIGHT(N170,LEN(N170)-SEARCH(" ",N170,125)),MID(N170,SEARCH(" ",N170,130),IF(LEN(N170)&lt;=265,LEN(N170),SEARCH(" ",N170,255)-SEARCH(" ",N170,130)))))</f>
        <v/>
      </c>
      <c r="D206" s="514"/>
      <c r="E206" s="514"/>
      <c r="F206" s="514"/>
      <c r="G206" s="514"/>
      <c r="H206" s="514"/>
      <c r="I206" s="514"/>
      <c r="J206" s="519"/>
      <c r="L206" s="113"/>
      <c r="M206" s="144"/>
      <c r="N206" s="143"/>
      <c r="O206" s="144"/>
      <c r="P206" s="145"/>
      <c r="Q206" s="145"/>
      <c r="R206" s="145"/>
      <c r="S206" s="145"/>
      <c r="T206" s="145"/>
      <c r="U206" s="145"/>
      <c r="V206" s="97"/>
      <c r="Z206" s="42"/>
      <c r="AA206" s="85"/>
      <c r="AB206" s="82" t="str">
        <f t="shared" si="22"/>
        <v>Change</v>
      </c>
      <c r="AC206" s="206" t="str">
        <f t="shared" si="27"/>
        <v>10x12</v>
      </c>
      <c r="AD206" s="42" t="s">
        <v>333</v>
      </c>
    </row>
    <row r="207" spans="1:30" ht="13.95" customHeight="1">
      <c r="A207" s="1">
        <v>11</v>
      </c>
      <c r="B207" s="113"/>
      <c r="C207" s="507" t="str">
        <f>IF(LEN(N170)&lt;=265,"",RIGHT(N170,LEN(N170)-SEARCH(" ",N170,255)))</f>
        <v/>
      </c>
      <c r="D207" s="514"/>
      <c r="E207" s="514"/>
      <c r="F207" s="514"/>
      <c r="G207" s="514"/>
      <c r="H207" s="514"/>
      <c r="I207" s="514"/>
      <c r="J207" s="519"/>
      <c r="L207" s="113"/>
      <c r="M207" s="144"/>
      <c r="N207" s="143"/>
      <c r="O207" s="144"/>
      <c r="P207" s="145"/>
      <c r="Q207" s="145"/>
      <c r="R207" s="145"/>
      <c r="S207" s="145"/>
      <c r="T207" s="145"/>
      <c r="U207" s="145"/>
      <c r="V207" s="97"/>
      <c r="Z207" s="42"/>
      <c r="AA207" s="85"/>
      <c r="AB207" s="82" t="str">
        <f t="shared" si="22"/>
        <v>Change</v>
      </c>
      <c r="AC207" s="206" t="str">
        <f t="shared" si="27"/>
        <v>14x17</v>
      </c>
      <c r="AD207" s="42" t="s">
        <v>334</v>
      </c>
    </row>
    <row r="208" spans="1:30" ht="13.95" customHeight="1">
      <c r="A208" s="1">
        <v>12</v>
      </c>
      <c r="B208" s="113"/>
      <c r="C208" s="507" t="str">
        <f>IF(N172="","",IF(LEN(N172)&lt;=135,N172,IF(LEN(N172)&lt;=260,LEFT(N172,SEARCH(" ",N172,125)),LEFT(N172,SEARCH(" ",N172,130)))))</f>
        <v/>
      </c>
      <c r="D208" s="514"/>
      <c r="E208" s="514"/>
      <c r="F208" s="514"/>
      <c r="G208" s="514"/>
      <c r="H208" s="514"/>
      <c r="I208" s="514"/>
      <c r="J208" s="519"/>
      <c r="L208" s="113"/>
      <c r="M208" s="144"/>
      <c r="N208" s="143"/>
      <c r="O208" s="144"/>
      <c r="P208" s="146" t="s">
        <v>144</v>
      </c>
      <c r="Q208" s="46"/>
      <c r="R208" s="46"/>
      <c r="S208" s="144"/>
      <c r="T208" s="145"/>
      <c r="U208" s="145"/>
      <c r="V208" s="97"/>
      <c r="Z208" s="42"/>
      <c r="AA208" s="85"/>
      <c r="AB208" s="82" t="str">
        <f t="shared" si="22"/>
        <v>Change</v>
      </c>
      <c r="AC208" s="206" t="str">
        <f t="shared" si="27"/>
        <v>10x12</v>
      </c>
      <c r="AD208" s="42" t="s">
        <v>335</v>
      </c>
    </row>
    <row r="209" spans="1:30" ht="13.95" customHeight="1">
      <c r="A209" s="1">
        <v>13</v>
      </c>
      <c r="B209" s="113"/>
      <c r="C209" s="507" t="str">
        <f>IF(LEN(N172)&lt;=135,"",IF(LEN(N172)&lt;=260,RIGHT(N172,LEN(N172)-SEARCH(" ",N172,125)),MID(N172,SEARCH(" ",N172,130),IF(LEN(N172)&lt;=265,LEN(N172),SEARCH(" ",N172,255)-SEARCH(" ",N172,130)))))</f>
        <v/>
      </c>
      <c r="D209" s="514"/>
      <c r="E209" s="514"/>
      <c r="F209" s="514"/>
      <c r="G209" s="514"/>
      <c r="H209" s="514"/>
      <c r="I209" s="514"/>
      <c r="J209" s="519"/>
      <c r="L209" s="113"/>
      <c r="M209" s="144"/>
      <c r="N209" s="143"/>
      <c r="O209" s="144"/>
      <c r="P209" s="145"/>
      <c r="Q209" s="144"/>
      <c r="R209" s="145"/>
      <c r="S209" s="144"/>
      <c r="T209" s="145"/>
      <c r="U209" s="145"/>
      <c r="V209" s="97"/>
      <c r="Z209" s="42"/>
      <c r="AA209" s="85"/>
      <c r="AB209" s="82" t="str">
        <f t="shared" si="22"/>
        <v>Change</v>
      </c>
      <c r="AC209" s="206" t="str">
        <f t="shared" si="27"/>
        <v>10x12</v>
      </c>
      <c r="AD209" s="42" t="s">
        <v>336</v>
      </c>
    </row>
    <row r="210" spans="1:30" ht="13.95" customHeight="1">
      <c r="A210" s="1">
        <v>14</v>
      </c>
      <c r="B210" s="113"/>
      <c r="C210" s="507" t="str">
        <f>IF(LEN(N172)&lt;=265,"",RIGHT(N172,LEN(N172)-SEARCH(" ",N172,255)))</f>
        <v/>
      </c>
      <c r="D210" s="514"/>
      <c r="E210" s="514"/>
      <c r="F210" s="514"/>
      <c r="G210" s="514"/>
      <c r="H210" s="514"/>
      <c r="I210" s="514"/>
      <c r="J210" s="519"/>
      <c r="L210" s="113"/>
      <c r="M210" s="144"/>
      <c r="N210" s="143"/>
      <c r="O210" s="144"/>
      <c r="P210" s="145"/>
      <c r="Q210" s="144"/>
      <c r="R210" s="145"/>
      <c r="S210" s="144"/>
      <c r="T210" s="145"/>
      <c r="U210" s="145"/>
      <c r="V210" s="97"/>
      <c r="Z210" s="42"/>
      <c r="AA210" s="42"/>
      <c r="AB210" s="82" t="str">
        <f t="shared" si="22"/>
        <v/>
      </c>
      <c r="AC210" s="42"/>
      <c r="AD210" s="42"/>
    </row>
    <row r="211" spans="1:30" ht="13.95" customHeight="1">
      <c r="A211" s="1">
        <v>15</v>
      </c>
      <c r="B211" s="113"/>
      <c r="C211" s="507" t="str">
        <f>IF(N174="","",IF(LEN(N174)&lt;=135,N174,IF(LEN(N174)&lt;=260,LEFT(N174,SEARCH(" ",N174,125)),LEFT(N174,SEARCH(" ",N174,130)))))</f>
        <v/>
      </c>
      <c r="D211" s="514"/>
      <c r="E211" s="514"/>
      <c r="F211" s="514"/>
      <c r="G211" s="514"/>
      <c r="H211" s="514"/>
      <c r="I211" s="514"/>
      <c r="J211" s="519"/>
      <c r="L211" s="113"/>
      <c r="M211" s="144"/>
      <c r="N211" s="143"/>
      <c r="O211" s="144"/>
      <c r="P211" s="145"/>
      <c r="Q211" s="144"/>
      <c r="R211" s="145"/>
      <c r="S211" s="144"/>
      <c r="T211" s="145"/>
      <c r="U211" s="145"/>
      <c r="V211" s="97"/>
      <c r="Z211" s="79" t="s">
        <v>203</v>
      </c>
      <c r="AA211" s="85"/>
      <c r="AB211" s="82" t="str">
        <f t="shared" si="22"/>
        <v>Change</v>
      </c>
      <c r="AC211" s="157">
        <f t="shared" ref="AC211:AC220" si="28">Q236</f>
        <v>120</v>
      </c>
      <c r="AD211" s="42" t="s">
        <v>337</v>
      </c>
    </row>
    <row r="212" spans="1:30" ht="13.95" customHeight="1">
      <c r="A212" s="1">
        <v>16</v>
      </c>
      <c r="B212" s="113"/>
      <c r="C212" s="507" t="str">
        <f>IF(LEN(N174)&lt;=135,"",IF(LEN(N174)&lt;=260,RIGHT(N174,LEN(N174)-SEARCH(" ",N174,125)),MID(N174,SEARCH(" ",N174,130),IF(LEN(N174)&lt;=265,LEN(N174),SEARCH(" ",N174,255)-SEARCH(" ",N174,130)))))</f>
        <v/>
      </c>
      <c r="D212" s="514"/>
      <c r="E212" s="514"/>
      <c r="F212" s="514"/>
      <c r="G212" s="514"/>
      <c r="H212" s="514"/>
      <c r="I212" s="514"/>
      <c r="J212" s="519"/>
      <c r="L212" s="113"/>
      <c r="M212" s="144"/>
      <c r="N212" s="143"/>
      <c r="O212" s="144"/>
      <c r="P212" s="145"/>
      <c r="Q212" s="144"/>
      <c r="R212" s="145"/>
      <c r="S212" s="144"/>
      <c r="T212" s="145"/>
      <c r="U212" s="145"/>
      <c r="V212" s="97"/>
      <c r="Z212" s="42"/>
      <c r="AA212" s="85"/>
      <c r="AB212" s="82" t="str">
        <f t="shared" si="22"/>
        <v>Change</v>
      </c>
      <c r="AC212" s="157">
        <f t="shared" si="28"/>
        <v>76</v>
      </c>
      <c r="AD212" s="42" t="s">
        <v>338</v>
      </c>
    </row>
    <row r="213" spans="1:30" ht="13.95" customHeight="1">
      <c r="A213" s="1">
        <v>17</v>
      </c>
      <c r="B213" s="113"/>
      <c r="C213" s="507" t="str">
        <f>IF(LEN(N174)&lt;=265,"",RIGHT(N174,LEN(N174)-SEARCH(" ",N174,255)))</f>
        <v/>
      </c>
      <c r="D213" s="514"/>
      <c r="E213" s="514"/>
      <c r="F213" s="514"/>
      <c r="G213" s="514"/>
      <c r="H213" s="514"/>
      <c r="I213" s="514"/>
      <c r="J213" s="519"/>
      <c r="L213" s="113"/>
      <c r="M213" s="144"/>
      <c r="N213" s="143"/>
      <c r="O213" s="144"/>
      <c r="P213" s="145"/>
      <c r="Q213" s="144"/>
      <c r="R213" s="145"/>
      <c r="S213" s="144"/>
      <c r="T213" s="145"/>
      <c r="U213" s="145"/>
      <c r="V213" s="97"/>
      <c r="Z213" s="42"/>
      <c r="AA213" s="85"/>
      <c r="AB213" s="82" t="str">
        <f t="shared" si="22"/>
        <v>Change</v>
      </c>
      <c r="AC213" s="157">
        <f t="shared" si="28"/>
        <v>66</v>
      </c>
      <c r="AD213" s="42" t="s">
        <v>339</v>
      </c>
    </row>
    <row r="214" spans="1:30" ht="13.95" customHeight="1">
      <c r="A214" s="1">
        <v>18</v>
      </c>
      <c r="B214" s="113"/>
      <c r="C214" s="507" t="str">
        <f>IF(N176="","",IF(LEN(N176)&lt;=135,N176,IF(LEN(N176)&lt;=260,LEFT(N176,SEARCH(" ",N176,125)),LEFT(N176,SEARCH(" ",N176,130)))))</f>
        <v/>
      </c>
      <c r="D214" s="514"/>
      <c r="E214" s="514"/>
      <c r="F214" s="514"/>
      <c r="G214" s="514"/>
      <c r="H214" s="514"/>
      <c r="I214" s="514"/>
      <c r="J214" s="519"/>
      <c r="L214" s="113"/>
      <c r="M214" s="144"/>
      <c r="N214" s="143"/>
      <c r="O214" s="144"/>
      <c r="P214" s="145"/>
      <c r="Q214" s="144"/>
      <c r="R214" s="145"/>
      <c r="S214" s="144"/>
      <c r="T214" s="145"/>
      <c r="U214" s="145"/>
      <c r="V214" s="97"/>
      <c r="Z214" s="42"/>
      <c r="AA214" s="85"/>
      <c r="AB214" s="82" t="str">
        <f t="shared" si="22"/>
        <v>Change</v>
      </c>
      <c r="AC214" s="157">
        <f t="shared" si="28"/>
        <v>72</v>
      </c>
      <c r="AD214" s="42" t="s">
        <v>340</v>
      </c>
    </row>
    <row r="215" spans="1:30" ht="13.95" customHeight="1">
      <c r="A215" s="1">
        <v>19</v>
      </c>
      <c r="B215" s="113"/>
      <c r="C215" s="507" t="str">
        <f>IF(LEN(N176)&lt;=135,"",IF(LEN(N176)&lt;=260,RIGHT(N176,LEN(N176)-SEARCH(" ",N176,125)),MID(N176,SEARCH(" ",N176,130),IF(LEN(N176)&lt;=265,LEN(N176),SEARCH(" ",N176,255)-SEARCH(" ",N176,130)))))</f>
        <v/>
      </c>
      <c r="D215" s="514"/>
      <c r="E215" s="514"/>
      <c r="F215" s="514"/>
      <c r="G215" s="514"/>
      <c r="H215" s="514"/>
      <c r="I215" s="514"/>
      <c r="J215" s="519"/>
      <c r="L215" s="113"/>
      <c r="M215" s="144"/>
      <c r="N215" s="143"/>
      <c r="O215" s="144"/>
      <c r="P215" s="145"/>
      <c r="Q215" s="144"/>
      <c r="R215" s="145"/>
      <c r="S215" s="144"/>
      <c r="T215" s="145"/>
      <c r="U215" s="145"/>
      <c r="V215" s="97"/>
      <c r="Z215" s="42"/>
      <c r="AA215" s="85"/>
      <c r="AB215" s="82" t="str">
        <f t="shared" ref="AB215:AB242" si="29">IF(AND(OR(AA215="",AA215=0),OR(AC215="",AC215=0)),"",IF(AA215&lt;&gt;AC215,"Change",""))</f>
        <v>Change</v>
      </c>
      <c r="AC215" s="157">
        <f t="shared" si="28"/>
        <v>72</v>
      </c>
      <c r="AD215" s="42" t="s">
        <v>341</v>
      </c>
    </row>
    <row r="216" spans="1:30" ht="13.95" customHeight="1">
      <c r="A216" s="1">
        <v>20</v>
      </c>
      <c r="B216" s="113"/>
      <c r="C216" s="507" t="str">
        <f>IF(LEN(N176)&lt;=265,"",RIGHT(N176,LEN(N176)-SEARCH(" ",N176,255)))</f>
        <v/>
      </c>
      <c r="D216" s="514"/>
      <c r="E216" s="514"/>
      <c r="F216" s="514"/>
      <c r="G216" s="514"/>
      <c r="H216" s="514"/>
      <c r="I216" s="514"/>
      <c r="J216" s="519"/>
      <c r="L216" s="113"/>
      <c r="M216" s="144"/>
      <c r="N216" s="143"/>
      <c r="O216" s="144"/>
      <c r="P216" s="145"/>
      <c r="Q216" s="144"/>
      <c r="R216" s="145"/>
      <c r="S216" s="144"/>
      <c r="T216" s="145"/>
      <c r="U216" s="145"/>
      <c r="V216" s="97"/>
      <c r="Z216" s="42"/>
      <c r="AA216" s="85"/>
      <c r="AB216" s="82" t="str">
        <f t="shared" si="29"/>
        <v>Change</v>
      </c>
      <c r="AC216" s="157">
        <f t="shared" si="28"/>
        <v>60</v>
      </c>
      <c r="AD216" s="42" t="s">
        <v>342</v>
      </c>
    </row>
    <row r="217" spans="1:30" ht="13.95" customHeight="1">
      <c r="A217" s="1">
        <v>21</v>
      </c>
      <c r="B217" s="113"/>
      <c r="C217" s="507" t="str">
        <f>IF(N178="","",IF(LEN(N178)&lt;=135,N178,IF(LEN(N178)&lt;=260,LEFT(N178,SEARCH(" ",N178,125)),LEFT(N178,SEARCH(" ",N178,130)))))</f>
        <v/>
      </c>
      <c r="D217" s="514"/>
      <c r="E217" s="514"/>
      <c r="F217" s="514"/>
      <c r="G217" s="514"/>
      <c r="H217" s="514"/>
      <c r="I217" s="514"/>
      <c r="J217" s="519"/>
      <c r="L217" s="113"/>
      <c r="M217" s="144"/>
      <c r="N217" s="143"/>
      <c r="O217" s="144"/>
      <c r="P217" s="145"/>
      <c r="Q217" s="144"/>
      <c r="R217" s="145"/>
      <c r="S217" s="144"/>
      <c r="T217" s="145"/>
      <c r="U217" s="145"/>
      <c r="V217" s="97"/>
      <c r="Z217" s="42"/>
      <c r="AA217" s="85"/>
      <c r="AB217" s="82" t="str">
        <f t="shared" si="29"/>
        <v>Change</v>
      </c>
      <c r="AC217" s="157">
        <f t="shared" si="28"/>
        <v>66</v>
      </c>
      <c r="AD217" s="42" t="s">
        <v>343</v>
      </c>
    </row>
    <row r="218" spans="1:30" ht="13.95" customHeight="1">
      <c r="A218" s="1">
        <v>22</v>
      </c>
      <c r="B218" s="113"/>
      <c r="C218" s="507" t="str">
        <f>IF(LEN(N178)&lt;=135,"",IF(LEN(N178)&lt;=260,RIGHT(N178,LEN(N178)-SEARCH(" ",N178,125)),MID(N178,SEARCH(" ",N178,130),IF(LEN(N178)&lt;=265,LEN(N178),SEARCH(" ",N178,255)-SEARCH(" ",N178,130)))))</f>
        <v/>
      </c>
      <c r="D218" s="514"/>
      <c r="E218" s="514"/>
      <c r="F218" s="514"/>
      <c r="G218" s="514"/>
      <c r="H218" s="514"/>
      <c r="I218" s="514"/>
      <c r="J218" s="519"/>
      <c r="L218" s="113"/>
      <c r="M218" s="144"/>
      <c r="N218" s="143"/>
      <c r="O218" s="144"/>
      <c r="P218" s="145"/>
      <c r="Q218" s="144"/>
      <c r="R218" s="145"/>
      <c r="S218" s="144"/>
      <c r="T218" s="145"/>
      <c r="U218" s="145"/>
      <c r="V218" s="97"/>
      <c r="Z218" s="42"/>
      <c r="AA218" s="85"/>
      <c r="AB218" s="82" t="str">
        <f t="shared" si="29"/>
        <v>Change</v>
      </c>
      <c r="AC218" s="157">
        <f t="shared" si="28"/>
        <v>78</v>
      </c>
      <c r="AD218" s="42" t="s">
        <v>344</v>
      </c>
    </row>
    <row r="219" spans="1:30" ht="13.95" customHeight="1">
      <c r="A219" s="1">
        <v>23</v>
      </c>
      <c r="B219" s="113"/>
      <c r="C219" s="507" t="str">
        <f>IF(LEN(N178)&lt;=265,"",RIGHT(N178,LEN(N178)-SEARCH(" ",N178,255)))</f>
        <v/>
      </c>
      <c r="D219" s="514"/>
      <c r="E219" s="514"/>
      <c r="F219" s="514"/>
      <c r="G219" s="514"/>
      <c r="H219" s="514"/>
      <c r="I219" s="514"/>
      <c r="J219" s="519"/>
      <c r="L219" s="113"/>
      <c r="M219" s="144"/>
      <c r="N219" s="143"/>
      <c r="O219" s="144"/>
      <c r="P219" s="145"/>
      <c r="Q219" s="144"/>
      <c r="R219" s="145"/>
      <c r="S219" s="144"/>
      <c r="T219" s="145"/>
      <c r="U219" s="145"/>
      <c r="V219" s="97"/>
      <c r="Z219" s="42"/>
      <c r="AA219" s="85"/>
      <c r="AB219" s="82" t="str">
        <f t="shared" si="29"/>
        <v>Change</v>
      </c>
      <c r="AC219" s="157">
        <f t="shared" si="28"/>
        <v>74</v>
      </c>
      <c r="AD219" s="42" t="s">
        <v>345</v>
      </c>
    </row>
    <row r="220" spans="1:30" ht="13.95" customHeight="1">
      <c r="A220" s="1">
        <v>24</v>
      </c>
      <c r="B220" s="113"/>
      <c r="C220" s="507" t="str">
        <f>IF(N180="","",IF(LEN(N180)&lt;=135,N180,IF(LEN(N180)&lt;=260,LEFT(N180,SEARCH(" ",N180,125)),LEFT(N180,SEARCH(" ",N180,130)))))</f>
        <v/>
      </c>
      <c r="D220" s="514"/>
      <c r="E220" s="514"/>
      <c r="F220" s="514"/>
      <c r="G220" s="514"/>
      <c r="H220" s="514"/>
      <c r="I220" s="514"/>
      <c r="J220" s="519"/>
      <c r="L220" s="113"/>
      <c r="M220" s="144"/>
      <c r="N220" s="143"/>
      <c r="O220" s="144"/>
      <c r="P220" s="145"/>
      <c r="Q220" s="144"/>
      <c r="R220" s="145"/>
      <c r="S220" s="144"/>
      <c r="T220" s="145"/>
      <c r="U220" s="145"/>
      <c r="V220" s="97"/>
      <c r="Z220" s="42"/>
      <c r="AA220" s="85"/>
      <c r="AB220" s="82" t="str">
        <f t="shared" si="29"/>
        <v>Change</v>
      </c>
      <c r="AC220" s="157">
        <f t="shared" si="28"/>
        <v>78</v>
      </c>
      <c r="AD220" s="42" t="s">
        <v>346</v>
      </c>
    </row>
    <row r="221" spans="1:30" ht="13.95" customHeight="1">
      <c r="A221" s="1">
        <v>25</v>
      </c>
      <c r="B221" s="113"/>
      <c r="C221" s="507" t="str">
        <f>IF(LEN(N180)&lt;=135,"",IF(LEN(N180)&lt;=260,RIGHT(N180,LEN(N180)-SEARCH(" ",N180,125)),MID(N180,SEARCH(" ",N180,130),IF(LEN(N180)&lt;=265,LEN(N180),SEARCH(" ",N180,255)-SEARCH(" ",N180,130)))))</f>
        <v/>
      </c>
      <c r="D221" s="514"/>
      <c r="E221" s="514"/>
      <c r="F221" s="514"/>
      <c r="G221" s="514"/>
      <c r="H221" s="514"/>
      <c r="I221" s="514"/>
      <c r="J221" s="519"/>
      <c r="L221" s="113"/>
      <c r="M221" s="144"/>
      <c r="N221" s="143"/>
      <c r="O221" s="144"/>
      <c r="P221" s="145"/>
      <c r="Q221" s="144"/>
      <c r="R221" s="145"/>
      <c r="S221" s="144"/>
      <c r="T221" s="145"/>
      <c r="U221" s="145"/>
      <c r="V221" s="97"/>
      <c r="Z221" s="42"/>
      <c r="AA221" s="42"/>
      <c r="AB221" s="82" t="str">
        <f t="shared" si="29"/>
        <v/>
      </c>
      <c r="AC221" s="42"/>
      <c r="AD221" s="42"/>
    </row>
    <row r="222" spans="1:30" ht="13.95" customHeight="1">
      <c r="A222" s="1">
        <v>26</v>
      </c>
      <c r="B222" s="113"/>
      <c r="C222" s="507" t="str">
        <f>IF(LEN(N180)&lt;=265,"",RIGHT(N180,LEN(N180)-SEARCH(" ",N180,255)))</f>
        <v/>
      </c>
      <c r="D222" s="514"/>
      <c r="E222" s="514"/>
      <c r="F222" s="514"/>
      <c r="G222" s="514"/>
      <c r="H222" s="514"/>
      <c r="I222" s="514"/>
      <c r="J222" s="519"/>
      <c r="L222" s="113"/>
      <c r="M222" s="148"/>
      <c r="N222" s="147"/>
      <c r="O222" s="148"/>
      <c r="P222" s="149"/>
      <c r="Q222" s="148"/>
      <c r="R222" s="149"/>
      <c r="S222" s="148"/>
      <c r="T222" s="149"/>
      <c r="U222" s="149"/>
      <c r="V222" s="97"/>
      <c r="Z222" s="79" t="s">
        <v>205</v>
      </c>
      <c r="AA222" s="85"/>
      <c r="AB222" s="82" t="str">
        <f t="shared" si="29"/>
        <v>Change</v>
      </c>
      <c r="AC222" s="157">
        <f t="shared" ref="AC222:AC231" si="30">R236</f>
        <v>2</v>
      </c>
      <c r="AD222" s="42" t="s">
        <v>347</v>
      </c>
    </row>
    <row r="223" spans="1:30" ht="13.95" customHeight="1" thickBot="1">
      <c r="A223" s="1">
        <v>27</v>
      </c>
      <c r="B223" s="113"/>
      <c r="C223" s="507" t="str">
        <f>IF(N182="","",IF(LEN(N182)&lt;=135,N182,IF(LEN(N182)&lt;=260,LEFT(N182,SEARCH(" ",N182,125)),LEFT(N182,SEARCH(" ",N182,130)))))</f>
        <v/>
      </c>
      <c r="D223" s="514"/>
      <c r="E223" s="514"/>
      <c r="F223" s="514"/>
      <c r="G223" s="514"/>
      <c r="H223" s="514"/>
      <c r="I223" s="514"/>
      <c r="J223" s="519"/>
      <c r="L223" s="66"/>
      <c r="M223" s="68"/>
      <c r="N223" s="151"/>
      <c r="O223" s="152"/>
      <c r="P223" s="68"/>
      <c r="Q223" s="68"/>
      <c r="R223" s="68"/>
      <c r="S223" s="68"/>
      <c r="T223" s="68"/>
      <c r="U223" s="68"/>
      <c r="V223" s="71"/>
      <c r="Z223" s="42"/>
      <c r="AA223" s="85"/>
      <c r="AB223" s="82" t="str">
        <f t="shared" si="29"/>
        <v>Change</v>
      </c>
      <c r="AC223" s="157">
        <f t="shared" si="30"/>
        <v>30</v>
      </c>
      <c r="AD223" s="42" t="s">
        <v>348</v>
      </c>
    </row>
    <row r="224" spans="1:30" ht="13.95" customHeight="1" thickTop="1">
      <c r="A224" s="1">
        <v>28</v>
      </c>
      <c r="B224" s="113"/>
      <c r="C224" s="507" t="str">
        <f>IF(LEN(N182)&lt;=135,"",IF(LEN(N182)&lt;=260,RIGHT(N182,LEN(N182)-SEARCH(" ",N182,125)),MID(N182,SEARCH(" ",N182,130),IF(LEN(N182)&lt;=265,LEN(N182),SEARCH(" ",N182,255)-SEARCH(" ",N182,130)))))</f>
        <v/>
      </c>
      <c r="D224" s="514"/>
      <c r="E224" s="514"/>
      <c r="F224" s="514"/>
      <c r="G224" s="514"/>
      <c r="H224" s="514"/>
      <c r="I224" s="514"/>
      <c r="J224" s="519"/>
      <c r="Z224" s="42"/>
      <c r="AA224" s="85"/>
      <c r="AB224" s="82" t="str">
        <f t="shared" si="29"/>
        <v>Change</v>
      </c>
      <c r="AC224" s="157">
        <f t="shared" si="30"/>
        <v>12</v>
      </c>
      <c r="AD224" s="42" t="s">
        <v>349</v>
      </c>
    </row>
    <row r="225" spans="1:30" ht="13.95" customHeight="1">
      <c r="A225" s="1">
        <v>29</v>
      </c>
      <c r="B225" s="113"/>
      <c r="C225" s="507" t="str">
        <f>IF(LEN(N182)&lt;=265,"",RIGHT(N182,LEN(N182)-SEARCH(" ",N182,255)))</f>
        <v/>
      </c>
      <c r="D225" s="514"/>
      <c r="E225" s="514"/>
      <c r="F225" s="514"/>
      <c r="G225" s="514"/>
      <c r="H225" s="514"/>
      <c r="I225" s="514"/>
      <c r="J225" s="519"/>
      <c r="L225" s="4"/>
      <c r="M225" s="4"/>
      <c r="N225" s="4"/>
      <c r="O225" s="4"/>
      <c r="P225" s="4"/>
      <c r="Q225" s="4"/>
      <c r="R225" s="4"/>
      <c r="S225" s="4"/>
      <c r="T225" s="4"/>
      <c r="U225" s="4"/>
      <c r="V225" s="118" t="str">
        <f>$F$2</f>
        <v>Medical University of South Carolina</v>
      </c>
      <c r="Z225" s="42"/>
      <c r="AA225" s="85"/>
      <c r="AB225" s="82" t="str">
        <f t="shared" si="29"/>
        <v>Change</v>
      </c>
      <c r="AC225" s="157">
        <f t="shared" si="30"/>
        <v>10</v>
      </c>
      <c r="AD225" s="42" t="s">
        <v>350</v>
      </c>
    </row>
    <row r="226" spans="1:30" ht="13.95" customHeight="1">
      <c r="A226" s="1">
        <v>30</v>
      </c>
      <c r="B226" s="113"/>
      <c r="C226" s="507" t="str">
        <f>IF(N184="","",IF(LEN(N184)&lt;=135,N184,IF(LEN(N184)&lt;=260,LEFT(N184,SEARCH(" ",N184,125)),LEFT(N184,SEARCH(" ",N184,130)))))</f>
        <v/>
      </c>
      <c r="D226" s="514"/>
      <c r="E226" s="514"/>
      <c r="F226" s="514"/>
      <c r="G226" s="514"/>
      <c r="H226" s="514"/>
      <c r="I226" s="514"/>
      <c r="J226" s="519"/>
      <c r="L226" s="4"/>
      <c r="M226" s="4"/>
      <c r="N226" s="4"/>
      <c r="O226" s="4"/>
      <c r="P226" s="4"/>
      <c r="Q226" s="4"/>
      <c r="R226" s="4"/>
      <c r="S226" s="4"/>
      <c r="T226" s="4"/>
      <c r="U226" s="4"/>
      <c r="V226" s="79" t="str">
        <f>$F$5</f>
        <v>EOS Imaging System Compliance Inspection</v>
      </c>
      <c r="Z226" s="42"/>
      <c r="AA226" s="85"/>
      <c r="AB226" s="82" t="str">
        <f t="shared" si="29"/>
        <v>Change</v>
      </c>
      <c r="AC226" s="157">
        <f t="shared" si="30"/>
        <v>10</v>
      </c>
      <c r="AD226" s="42" t="s">
        <v>351</v>
      </c>
    </row>
    <row r="227" spans="1:30" ht="13.95" customHeight="1" thickBot="1">
      <c r="A227" s="1">
        <v>31</v>
      </c>
      <c r="B227" s="113"/>
      <c r="C227" s="507" t="str">
        <f>IF(LEN(N184)&lt;=135,"",IF(LEN(N184)&lt;=260,RIGHT(N184,LEN(N184)-SEARCH(" ",N184,125)),MID(N184,SEARCH(" ",N184,130),IF(LEN(N184)&lt;=265,LEN(N184),SEARCH(" ",N184,255)-SEARCH(" ",N184,130)))))</f>
        <v/>
      </c>
      <c r="D227" s="514"/>
      <c r="E227" s="514"/>
      <c r="F227" s="514"/>
      <c r="G227" s="514"/>
      <c r="H227" s="514"/>
      <c r="I227" s="514"/>
      <c r="J227" s="519"/>
      <c r="L227" s="4"/>
      <c r="M227" s="160" t="s">
        <v>189</v>
      </c>
      <c r="N227" s="4"/>
      <c r="O227" s="4"/>
      <c r="P227" s="4"/>
      <c r="Q227" s="4"/>
      <c r="R227" s="4"/>
      <c r="S227" s="4"/>
      <c r="T227" s="4"/>
      <c r="U227" s="4"/>
      <c r="V227" s="4"/>
      <c r="Z227" s="42"/>
      <c r="AA227" s="85"/>
      <c r="AB227" s="82" t="str">
        <f t="shared" si="29"/>
        <v>Change</v>
      </c>
      <c r="AC227" s="157">
        <f t="shared" si="30"/>
        <v>2.5</v>
      </c>
      <c r="AD227" s="42" t="s">
        <v>352</v>
      </c>
    </row>
    <row r="228" spans="1:30" ht="13.95" customHeight="1" thickTop="1">
      <c r="A228" s="1">
        <v>32</v>
      </c>
      <c r="B228" s="113"/>
      <c r="C228" s="507" t="str">
        <f>IF(LEN(N184)&lt;=265,"",RIGHT(N184,LEN(N184)-SEARCH(" ",N184,255)))</f>
        <v/>
      </c>
      <c r="D228" s="514"/>
      <c r="E228" s="514"/>
      <c r="F228" s="514"/>
      <c r="G228" s="514"/>
      <c r="H228" s="514"/>
      <c r="I228" s="514"/>
      <c r="J228" s="519"/>
      <c r="L228" s="161">
        <f>IF(M228&lt;&gt;"",M228,IF($M$409=1,$M$421,IF(OR(AA152=0,AA152=""),10,AA152)))</f>
        <v>8.75</v>
      </c>
      <c r="M228" s="528">
        <f>M295</f>
        <v>8.75</v>
      </c>
      <c r="N228" s="162" t="s">
        <v>190</v>
      </c>
      <c r="O228" s="163"/>
      <c r="P228" s="163"/>
      <c r="Q228" s="163"/>
      <c r="R228" s="163"/>
      <c r="S228" s="163"/>
      <c r="T228" s="163"/>
      <c r="U228" s="163"/>
      <c r="V228" s="164"/>
      <c r="Z228" s="42"/>
      <c r="AA228" s="85"/>
      <c r="AB228" s="82" t="str">
        <f t="shared" si="29"/>
        <v>Change</v>
      </c>
      <c r="AC228" s="157">
        <f t="shared" si="30"/>
        <v>8</v>
      </c>
      <c r="AD228" s="42" t="s">
        <v>353</v>
      </c>
    </row>
    <row r="229" spans="1:30" ht="13.95" customHeight="1">
      <c r="A229" s="1">
        <v>33</v>
      </c>
      <c r="B229" s="113"/>
      <c r="C229" s="507" t="str">
        <f>IF(N186="","",IF(LEN(N186)&lt;=135,N186,IF(LEN(N186)&lt;=260,LEFT(N186,SEARCH(" ",N186,125)),LEFT(N186,SEARCH(" ",N186,130)))))</f>
        <v/>
      </c>
      <c r="D229" s="514"/>
      <c r="E229" s="514"/>
      <c r="F229" s="514"/>
      <c r="G229" s="514"/>
      <c r="H229" s="514"/>
      <c r="I229" s="514"/>
      <c r="J229" s="519"/>
      <c r="L229" s="165">
        <f>IF(M229&lt;&gt;"",M229,IF(OR(AA153=0,AA153=""),200,AA153))</f>
        <v>400</v>
      </c>
      <c r="M229" s="166">
        <v>400</v>
      </c>
      <c r="N229" s="46" t="s">
        <v>191</v>
      </c>
      <c r="O229" s="4"/>
      <c r="P229" s="4"/>
      <c r="Q229" s="4"/>
      <c r="R229" s="4"/>
      <c r="S229" s="4"/>
      <c r="T229" s="4"/>
      <c r="U229" s="4"/>
      <c r="V229" s="167"/>
      <c r="Z229" s="42"/>
      <c r="AA229" s="85"/>
      <c r="AB229" s="82" t="str">
        <f t="shared" si="29"/>
        <v>Change</v>
      </c>
      <c r="AC229" s="157">
        <f t="shared" si="30"/>
        <v>30</v>
      </c>
      <c r="AD229" s="42" t="s">
        <v>354</v>
      </c>
    </row>
    <row r="230" spans="1:30" ht="13.95" customHeight="1">
      <c r="A230" s="1">
        <v>34</v>
      </c>
      <c r="B230" s="113"/>
      <c r="C230" s="507" t="str">
        <f>IF(LEN(N186)&lt;=135,"",IF(LEN(N186)&lt;=260,RIGHT(N186,LEN(N186)-SEARCH(" ",N186,125)),MID(N186,SEARCH(" ",N186,130),IF(LEN(N186)&lt;=265,LEN(N186),SEARCH(" ",N186,255)-SEARCH(" ",N186,130)))))</f>
        <v/>
      </c>
      <c r="D230" s="514"/>
      <c r="E230" s="514"/>
      <c r="F230" s="514"/>
      <c r="G230" s="514"/>
      <c r="H230" s="514"/>
      <c r="I230" s="514"/>
      <c r="J230" s="519"/>
      <c r="L230" s="165">
        <f>IF(M230&lt;&gt;"",M230,IF(OR(AA154=0,AA154=""),200,AA154))</f>
        <v>200</v>
      </c>
      <c r="M230" s="166">
        <v>200</v>
      </c>
      <c r="N230" s="46" t="s">
        <v>192</v>
      </c>
      <c r="O230" s="42"/>
      <c r="P230" s="42"/>
      <c r="Q230" s="168" t="s">
        <v>193</v>
      </c>
      <c r="R230" s="42"/>
      <c r="S230" s="42"/>
      <c r="T230" s="42"/>
      <c r="U230" s="42"/>
      <c r="V230" s="48"/>
      <c r="Z230" s="42"/>
      <c r="AA230" s="85"/>
      <c r="AB230" s="82" t="str">
        <f t="shared" si="29"/>
        <v>Change</v>
      </c>
      <c r="AC230" s="157">
        <f t="shared" si="30"/>
        <v>14</v>
      </c>
      <c r="AD230" s="42" t="s">
        <v>355</v>
      </c>
    </row>
    <row r="231" spans="1:30" ht="13.95" customHeight="1">
      <c r="A231" s="1">
        <v>35</v>
      </c>
      <c r="B231" s="113"/>
      <c r="C231" s="507" t="str">
        <f>IF(LEN(N186)&lt;=265,"",RIGHT(N186,LEN(N186)-SEARCH(" ",N186,255)))</f>
        <v/>
      </c>
      <c r="D231" s="514"/>
      <c r="E231" s="514"/>
      <c r="F231" s="514"/>
      <c r="G231" s="514"/>
      <c r="H231" s="514"/>
      <c r="I231" s="514"/>
      <c r="J231" s="519"/>
      <c r="L231" s="113"/>
      <c r="M231" s="42"/>
      <c r="N231" s="42"/>
      <c r="O231" s="42"/>
      <c r="P231" s="42"/>
      <c r="Q231" s="42"/>
      <c r="R231" s="42"/>
      <c r="S231" s="42"/>
      <c r="T231" s="42"/>
      <c r="U231" s="42"/>
      <c r="V231" s="48"/>
      <c r="Z231" s="42"/>
      <c r="AA231" s="85"/>
      <c r="AB231" s="82" t="str">
        <f t="shared" si="29"/>
        <v>Change</v>
      </c>
      <c r="AC231" s="157">
        <f t="shared" si="30"/>
        <v>25</v>
      </c>
      <c r="AD231" s="42" t="s">
        <v>356</v>
      </c>
    </row>
    <row r="232" spans="1:30" ht="13.95" customHeight="1">
      <c r="A232" s="1">
        <v>36</v>
      </c>
      <c r="B232" s="113"/>
      <c r="C232" s="507" t="str">
        <f>IF(N188="","",IF(LEN(N188)&lt;=135,N188,IF(LEN(N188)&lt;=260,LEFT(N188,SEARCH(" ",N188,125)),LEFT(N188,SEARCH(" ",N188,130)))))</f>
        <v/>
      </c>
      <c r="D232" s="514"/>
      <c r="E232" s="514"/>
      <c r="F232" s="514"/>
      <c r="G232" s="514"/>
      <c r="H232" s="514"/>
      <c r="I232" s="514"/>
      <c r="J232" s="519"/>
      <c r="L232" s="592"/>
      <c r="M232" s="593"/>
      <c r="N232" s="594"/>
      <c r="O232" s="42"/>
      <c r="P232" s="42"/>
      <c r="Q232" s="42"/>
      <c r="R232" s="43"/>
      <c r="S232" s="498"/>
      <c r="T232" s="595"/>
      <c r="U232" s="2"/>
      <c r="V232" s="48"/>
      <c r="Z232" s="79" t="s">
        <v>357</v>
      </c>
      <c r="AA232" s="42"/>
      <c r="AB232" s="82" t="str">
        <f t="shared" si="29"/>
        <v/>
      </c>
      <c r="AC232" s="42"/>
      <c r="AD232" s="76"/>
    </row>
    <row r="233" spans="1:30" ht="13.95" customHeight="1">
      <c r="A233" s="1">
        <v>37</v>
      </c>
      <c r="B233" s="113"/>
      <c r="C233" s="507" t="str">
        <f>IF(LEN(N188)&lt;=135,"",IF(LEN(N188)&lt;=260,RIGHT(N188,LEN(N188)-SEARCH(" ",N188,125)),MID(N188,SEARCH(" ",N188,130),IF(LEN(N188)&lt;=265,LEN(N188),SEARCH(" ",N188,255)-SEARCH(" ",N188,130)))))</f>
        <v/>
      </c>
      <c r="D233" s="514"/>
      <c r="E233" s="514"/>
      <c r="F233" s="514"/>
      <c r="G233" s="514"/>
      <c r="H233" s="514"/>
      <c r="I233" s="514"/>
      <c r="J233" s="519"/>
      <c r="L233" s="41"/>
      <c r="M233" s="42"/>
      <c r="N233" s="42"/>
      <c r="O233" s="170" t="s">
        <v>194</v>
      </c>
      <c r="P233" s="42"/>
      <c r="Q233" s="42"/>
      <c r="R233" s="42"/>
      <c r="S233" s="777" t="s">
        <v>687</v>
      </c>
      <c r="V233" s="418"/>
      <c r="Z233" s="177" t="str">
        <f t="shared" ref="Z233:Z242" si="31">L236</f>
        <v>CXR</v>
      </c>
      <c r="AA233" s="208"/>
      <c r="AB233" s="82" t="str">
        <f t="shared" si="29"/>
        <v/>
      </c>
      <c r="AC233" s="546" t="str">
        <f t="shared" ref="AC233:AC242" si="32">S258</f>
        <v/>
      </c>
      <c r="AD233" s="159" t="s">
        <v>358</v>
      </c>
    </row>
    <row r="234" spans="1:30" ht="13.95" customHeight="1">
      <c r="A234" s="1">
        <v>38</v>
      </c>
      <c r="B234" s="113"/>
      <c r="C234" s="507" t="str">
        <f>IF(LEN(N188)&lt;=265,"",RIGHT(N188,LEN(N188)-SEARCH(" ",N188,255)))</f>
        <v/>
      </c>
      <c r="D234" s="514"/>
      <c r="E234" s="514"/>
      <c r="F234" s="514"/>
      <c r="G234" s="514"/>
      <c r="H234" s="514"/>
      <c r="I234" s="514"/>
      <c r="J234" s="519"/>
      <c r="L234" s="171"/>
      <c r="M234" s="170"/>
      <c r="N234" s="170" t="s">
        <v>195</v>
      </c>
      <c r="O234" s="170" t="s">
        <v>196</v>
      </c>
      <c r="P234" s="170" t="s">
        <v>197</v>
      </c>
      <c r="Q234" s="170"/>
      <c r="R234" s="170"/>
      <c r="S234" s="777"/>
      <c r="V234" s="418"/>
      <c r="Z234" s="177" t="str">
        <f t="shared" si="31"/>
        <v>Abdomen AP</v>
      </c>
      <c r="AA234" s="209"/>
      <c r="AB234" s="82" t="str">
        <f t="shared" si="29"/>
        <v/>
      </c>
      <c r="AC234" s="546" t="str">
        <f t="shared" si="32"/>
        <v/>
      </c>
      <c r="AD234" s="159" t="s">
        <v>359</v>
      </c>
    </row>
    <row r="235" spans="1:30" ht="13.95" customHeight="1">
      <c r="A235" s="1">
        <v>39</v>
      </c>
      <c r="B235" s="113"/>
      <c r="C235" s="507" t="str">
        <f>IF(N190="","",IF(LEN(N190)&lt;=135,N190,IF(LEN(N190)&lt;=260,LEFT(N190,SEARCH(" ",N190,125)),LEFT(N190,SEARCH(" ",N190,130)))))</f>
        <v/>
      </c>
      <c r="D235" s="514"/>
      <c r="E235" s="514"/>
      <c r="F235" s="514"/>
      <c r="G235" s="514"/>
      <c r="H235" s="514"/>
      <c r="I235" s="514"/>
      <c r="J235" s="519"/>
      <c r="L235" s="172" t="s">
        <v>199</v>
      </c>
      <c r="M235" s="173" t="s">
        <v>200</v>
      </c>
      <c r="N235" s="173" t="s">
        <v>201</v>
      </c>
      <c r="O235" s="173" t="s">
        <v>202</v>
      </c>
      <c r="P235" s="173" t="s">
        <v>201</v>
      </c>
      <c r="Q235" s="173" t="s">
        <v>203</v>
      </c>
      <c r="R235" s="170" t="s">
        <v>205</v>
      </c>
      <c r="S235" s="777"/>
      <c r="V235" s="418"/>
      <c r="Z235" s="177" t="str">
        <f t="shared" si="31"/>
        <v>Ribs</v>
      </c>
      <c r="AA235" s="209"/>
      <c r="AB235" s="82" t="str">
        <f t="shared" si="29"/>
        <v/>
      </c>
      <c r="AC235" s="546" t="str">
        <f t="shared" si="32"/>
        <v/>
      </c>
      <c r="AD235" s="159" t="s">
        <v>360</v>
      </c>
    </row>
    <row r="236" spans="1:30" ht="13.95" customHeight="1">
      <c r="A236" s="1">
        <v>40</v>
      </c>
      <c r="B236" s="113"/>
      <c r="C236" s="507" t="str">
        <f>IF(LEN(N190)&lt;=135,"",IF(LEN(N190)&lt;=260,RIGHT(N190,LEN(N190)-SEARCH(" ",N190,125)),MID(N190,SEARCH(" ",N190,130),IF(LEN(N190)&lt;=265,LEN(N190),SEARCH(" ",N190,255)-SEARCH(" ",N190,130)))))</f>
        <v/>
      </c>
      <c r="D236" s="514"/>
      <c r="E236" s="514"/>
      <c r="F236" s="514"/>
      <c r="G236" s="514"/>
      <c r="H236" s="514"/>
      <c r="I236" s="514"/>
      <c r="J236" s="519"/>
      <c r="L236" s="174" t="str">
        <f t="shared" ref="L236:L245" si="33">IF(L258&lt;&gt;"",L258,IF(OR(AA156=0,AA156=""),"",AA156))</f>
        <v>CXR</v>
      </c>
      <c r="M236" s="175" t="str">
        <f t="shared" ref="M236:M245" si="34">IF(M258&lt;&gt;"",M258,IF(OR(AA167=0,AA167=""),"",AA167))</f>
        <v>Yes</v>
      </c>
      <c r="N236" s="175">
        <f t="shared" ref="N236:N245" si="35">IF(N258&lt;&gt;"",N258,IF(OR(AA178=0,AA178=""),"",AA178))</f>
        <v>130</v>
      </c>
      <c r="O236" s="176">
        <f t="shared" ref="O236:O245" si="36">IF(O258&lt;&gt;"",O258,IF(OR(AA189=0,AA189=""),"",AA189))</f>
        <v>23</v>
      </c>
      <c r="P236" s="175" t="str">
        <f t="shared" ref="P236:P245" si="37">IF(P258&lt;&gt;"",P258,IF(OR(AA200=0,AA200=""),"",AA200))</f>
        <v>14x17</v>
      </c>
      <c r="Q236" s="175">
        <f t="shared" ref="Q236:Q245" si="38">IF(Q258&lt;&gt;"",Q258,IF(OR(AA211=0,AA211=""),"",AA211))</f>
        <v>120</v>
      </c>
      <c r="R236" s="529">
        <f t="shared" ref="R236:R245" si="39">IF(R258&lt;&gt;"",R258,IF(OR(AA222=0,AA222=""),"",AA222))</f>
        <v>2</v>
      </c>
      <c r="S236" s="532" t="str">
        <f t="shared" ref="S236:S245" si="40">IF(OR(AA233="",AA233=0),"",AA233)</f>
        <v/>
      </c>
      <c r="V236" s="418"/>
      <c r="Z236" s="177" t="str">
        <f t="shared" si="31"/>
        <v>C-Spine AP</v>
      </c>
      <c r="AA236" s="209"/>
      <c r="AB236" s="82" t="str">
        <f t="shared" si="29"/>
        <v/>
      </c>
      <c r="AC236" s="546" t="str">
        <f t="shared" si="32"/>
        <v/>
      </c>
      <c r="AD236" s="159" t="s">
        <v>361</v>
      </c>
    </row>
    <row r="237" spans="1:30" ht="13.95" customHeight="1">
      <c r="A237" s="1">
        <v>41</v>
      </c>
      <c r="B237" s="113"/>
      <c r="C237" s="507" t="str">
        <f>IF(LEN(N190)&lt;=265,"",RIGHT(N190,LEN(N190)-SEARCH(" ",N190,255)))</f>
        <v/>
      </c>
      <c r="D237" s="514"/>
      <c r="E237" s="514"/>
      <c r="F237" s="514"/>
      <c r="G237" s="514"/>
      <c r="H237" s="514"/>
      <c r="I237" s="514"/>
      <c r="J237" s="519"/>
      <c r="L237" s="174" t="str">
        <f t="shared" si="33"/>
        <v>Abdomen AP</v>
      </c>
      <c r="M237" s="175" t="str">
        <f t="shared" si="34"/>
        <v>Yes</v>
      </c>
      <c r="N237" s="175">
        <f t="shared" si="35"/>
        <v>130</v>
      </c>
      <c r="O237" s="176">
        <f t="shared" si="36"/>
        <v>23</v>
      </c>
      <c r="P237" s="175" t="str">
        <f t="shared" si="37"/>
        <v>14x17</v>
      </c>
      <c r="Q237" s="175">
        <f t="shared" si="38"/>
        <v>76</v>
      </c>
      <c r="R237" s="529">
        <f t="shared" si="39"/>
        <v>30</v>
      </c>
      <c r="S237" s="532" t="str">
        <f t="shared" si="40"/>
        <v/>
      </c>
      <c r="V237" s="418"/>
      <c r="Z237" s="177" t="str">
        <f t="shared" si="31"/>
        <v>Skull</v>
      </c>
      <c r="AA237" s="209"/>
      <c r="AB237" s="82" t="str">
        <f t="shared" si="29"/>
        <v/>
      </c>
      <c r="AC237" s="546" t="str">
        <f t="shared" si="32"/>
        <v/>
      </c>
      <c r="AD237" s="159" t="s">
        <v>362</v>
      </c>
    </row>
    <row r="238" spans="1:30" ht="13.95" customHeight="1">
      <c r="A238" s="1">
        <v>42</v>
      </c>
      <c r="B238" s="113"/>
      <c r="C238" s="507" t="str">
        <f>IF(N192="","",IF(LEN(N192)&lt;=135,N192,IF(LEN(N192)&lt;=260,LEFT(N192,SEARCH(" ",N192,125)),LEFT(N192,SEARCH(" ",N192,130)))))</f>
        <v/>
      </c>
      <c r="D238" s="514"/>
      <c r="E238" s="514"/>
      <c r="F238" s="514"/>
      <c r="G238" s="514"/>
      <c r="H238" s="514"/>
      <c r="I238" s="514"/>
      <c r="J238" s="519"/>
      <c r="L238" s="174" t="str">
        <f t="shared" si="33"/>
        <v>Ribs</v>
      </c>
      <c r="M238" s="175" t="str">
        <f t="shared" si="34"/>
        <v>Yes</v>
      </c>
      <c r="N238" s="175">
        <f t="shared" si="35"/>
        <v>130</v>
      </c>
      <c r="O238" s="176">
        <f t="shared" si="36"/>
        <v>20</v>
      </c>
      <c r="P238" s="175" t="str">
        <f t="shared" si="37"/>
        <v>14x17</v>
      </c>
      <c r="Q238" s="175">
        <f t="shared" si="38"/>
        <v>66</v>
      </c>
      <c r="R238" s="529">
        <f t="shared" si="39"/>
        <v>12</v>
      </c>
      <c r="S238" s="532" t="str">
        <f t="shared" si="40"/>
        <v/>
      </c>
      <c r="V238" s="418"/>
      <c r="Z238" s="177" t="str">
        <f t="shared" si="31"/>
        <v>Foot</v>
      </c>
      <c r="AA238" s="209"/>
      <c r="AB238" s="82" t="str">
        <f t="shared" si="29"/>
        <v/>
      </c>
      <c r="AC238" s="546" t="str">
        <f t="shared" si="32"/>
        <v/>
      </c>
      <c r="AD238" s="159" t="s">
        <v>363</v>
      </c>
    </row>
    <row r="239" spans="1:30" ht="13.95" customHeight="1">
      <c r="A239" s="1">
        <v>43</v>
      </c>
      <c r="B239" s="113"/>
      <c r="C239" s="507" t="str">
        <f>IF(LEN(N192)&lt;=135,"",IF(LEN(N192)&lt;=260,RIGHT(N192,LEN(N192)-SEARCH(" ",N192,125)),MID(N192,SEARCH(" ",N192,130),IF(LEN(N192)&lt;=265,LEN(N192),SEARCH(" ",N192,255)-SEARCH(" ",N192,130)))))</f>
        <v/>
      </c>
      <c r="D239" s="514"/>
      <c r="E239" s="514"/>
      <c r="F239" s="514"/>
      <c r="G239" s="514"/>
      <c r="H239" s="514"/>
      <c r="I239" s="514"/>
      <c r="J239" s="519"/>
      <c r="L239" s="174" t="str">
        <f t="shared" si="33"/>
        <v>C-Spine AP</v>
      </c>
      <c r="M239" s="175" t="str">
        <f t="shared" si="34"/>
        <v>Yes</v>
      </c>
      <c r="N239" s="175">
        <f t="shared" si="35"/>
        <v>130</v>
      </c>
      <c r="O239" s="176">
        <f t="shared" si="36"/>
        <v>13</v>
      </c>
      <c r="P239" s="175" t="str">
        <f t="shared" si="37"/>
        <v>10x12</v>
      </c>
      <c r="Q239" s="175">
        <f t="shared" si="38"/>
        <v>72</v>
      </c>
      <c r="R239" s="529">
        <f t="shared" si="39"/>
        <v>10</v>
      </c>
      <c r="S239" s="532" t="str">
        <f t="shared" si="40"/>
        <v/>
      </c>
      <c r="V239" s="418"/>
      <c r="Z239" s="177" t="str">
        <f t="shared" si="31"/>
        <v>Knee</v>
      </c>
      <c r="AA239" s="209"/>
      <c r="AB239" s="82" t="str">
        <f t="shared" si="29"/>
        <v/>
      </c>
      <c r="AC239" s="546" t="str">
        <f t="shared" si="32"/>
        <v/>
      </c>
      <c r="AD239" s="159" t="s">
        <v>364</v>
      </c>
    </row>
    <row r="240" spans="1:30" ht="13.95" customHeight="1">
      <c r="A240" s="1">
        <v>44</v>
      </c>
      <c r="B240" s="113"/>
      <c r="C240" s="507" t="str">
        <f>IF(LEN(N192)&lt;=265,"",RIGHT(N192,LEN(N192)-SEARCH(" ",N192,255)))</f>
        <v/>
      </c>
      <c r="D240" s="514"/>
      <c r="E240" s="514"/>
      <c r="F240" s="514"/>
      <c r="G240" s="514"/>
      <c r="H240" s="514"/>
      <c r="I240" s="514"/>
      <c r="J240" s="519"/>
      <c r="L240" s="174" t="str">
        <f t="shared" si="33"/>
        <v>Skull</v>
      </c>
      <c r="M240" s="175" t="str">
        <f t="shared" si="34"/>
        <v>Yes</v>
      </c>
      <c r="N240" s="175">
        <f t="shared" si="35"/>
        <v>130</v>
      </c>
      <c r="O240" s="176">
        <f t="shared" si="36"/>
        <v>15</v>
      </c>
      <c r="P240" s="175" t="str">
        <f t="shared" si="37"/>
        <v>8x10</v>
      </c>
      <c r="Q240" s="175">
        <f t="shared" si="38"/>
        <v>72</v>
      </c>
      <c r="R240" s="529">
        <f t="shared" si="39"/>
        <v>10</v>
      </c>
      <c r="S240" s="532" t="str">
        <f t="shared" si="40"/>
        <v/>
      </c>
      <c r="V240" s="418"/>
      <c r="Z240" s="177" t="str">
        <f t="shared" si="31"/>
        <v>Pelvis AP</v>
      </c>
      <c r="AA240" s="209"/>
      <c r="AB240" s="82" t="str">
        <f t="shared" si="29"/>
        <v/>
      </c>
      <c r="AC240" s="546" t="str">
        <f t="shared" si="32"/>
        <v/>
      </c>
      <c r="AD240" s="159" t="s">
        <v>365</v>
      </c>
    </row>
    <row r="241" spans="1:30" ht="13.95" customHeight="1">
      <c r="A241" s="1">
        <v>45</v>
      </c>
      <c r="B241" s="113"/>
      <c r="C241" s="507" t="str">
        <f>IF(N194="","",IF(LEN(N194)&lt;=135,N194,IF(LEN(N194)&lt;=260,LEFT(N194,SEARCH(" ",N194,125)),LEFT(N194,SEARCH(" ",N194,130)))))</f>
        <v/>
      </c>
      <c r="D241" s="514"/>
      <c r="E241" s="514"/>
      <c r="F241" s="514"/>
      <c r="G241" s="514"/>
      <c r="H241" s="514"/>
      <c r="I241" s="514"/>
      <c r="J241" s="519"/>
      <c r="L241" s="174" t="str">
        <f t="shared" si="33"/>
        <v>Foot</v>
      </c>
      <c r="M241" s="175" t="str">
        <f t="shared" si="34"/>
        <v>No</v>
      </c>
      <c r="N241" s="175">
        <f t="shared" si="35"/>
        <v>130</v>
      </c>
      <c r="O241" s="176">
        <f t="shared" si="36"/>
        <v>8</v>
      </c>
      <c r="P241" s="175" t="str">
        <f t="shared" si="37"/>
        <v>8x10</v>
      </c>
      <c r="Q241" s="175">
        <f t="shared" si="38"/>
        <v>60</v>
      </c>
      <c r="R241" s="529">
        <f t="shared" si="39"/>
        <v>2.5</v>
      </c>
      <c r="S241" s="532" t="str">
        <f t="shared" si="40"/>
        <v/>
      </c>
      <c r="V241" s="418"/>
      <c r="Z241" s="177" t="str">
        <f t="shared" si="31"/>
        <v>Shoulder</v>
      </c>
      <c r="AA241" s="209"/>
      <c r="AB241" s="82" t="str">
        <f t="shared" si="29"/>
        <v/>
      </c>
      <c r="AC241" s="546" t="str">
        <f t="shared" si="32"/>
        <v/>
      </c>
      <c r="AD241" s="159" t="s">
        <v>366</v>
      </c>
    </row>
    <row r="242" spans="1:30" ht="13.95" customHeight="1">
      <c r="A242" s="1">
        <v>46</v>
      </c>
      <c r="B242" s="113"/>
      <c r="C242" s="507" t="str">
        <f>IF(LEN(N194)&lt;=135,"",IF(LEN(N194)&lt;=260,RIGHT(N194,LEN(N194)-SEARCH(" ",N194,125)),MID(N194,SEARCH(" ",N194,130),IF(LEN(N194)&lt;=265,LEN(N194),SEARCH(" ",N194,255)-SEARCH(" ",N194,130)))))</f>
        <v/>
      </c>
      <c r="D242" s="514"/>
      <c r="E242" s="514"/>
      <c r="F242" s="514"/>
      <c r="G242" s="514"/>
      <c r="H242" s="514"/>
      <c r="I242" s="514"/>
      <c r="J242" s="519"/>
      <c r="L242" s="174" t="str">
        <f t="shared" si="33"/>
        <v>Knee</v>
      </c>
      <c r="M242" s="175" t="str">
        <f t="shared" si="34"/>
        <v>No</v>
      </c>
      <c r="N242" s="175">
        <f t="shared" si="35"/>
        <v>130</v>
      </c>
      <c r="O242" s="176">
        <f t="shared" si="36"/>
        <v>12</v>
      </c>
      <c r="P242" s="175" t="str">
        <f t="shared" si="37"/>
        <v>10x12</v>
      </c>
      <c r="Q242" s="175">
        <f t="shared" si="38"/>
        <v>66</v>
      </c>
      <c r="R242" s="529">
        <f t="shared" si="39"/>
        <v>8</v>
      </c>
      <c r="S242" s="532" t="str">
        <f t="shared" si="40"/>
        <v/>
      </c>
      <c r="V242" s="418"/>
      <c r="Z242" s="177" t="str">
        <f t="shared" si="31"/>
        <v>LS Spine AP</v>
      </c>
      <c r="AA242" s="209"/>
      <c r="AB242" s="82" t="str">
        <f t="shared" si="29"/>
        <v/>
      </c>
      <c r="AC242" s="546" t="str">
        <f t="shared" si="32"/>
        <v/>
      </c>
      <c r="AD242" s="159" t="s">
        <v>367</v>
      </c>
    </row>
    <row r="243" spans="1:30" ht="13.95" customHeight="1" thickBot="1">
      <c r="A243" s="1">
        <v>47</v>
      </c>
      <c r="B243" s="520"/>
      <c r="C243" s="512" t="str">
        <f>IF(LEN(N194)&lt;=265,"",RIGHT(N194,LEN(N194)-SEARCH(" ",N194,255)))</f>
        <v/>
      </c>
      <c r="D243" s="98"/>
      <c r="E243" s="98"/>
      <c r="F243" s="98"/>
      <c r="G243" s="98"/>
      <c r="H243" s="98"/>
      <c r="I243" s="98"/>
      <c r="J243" s="182"/>
      <c r="L243" s="174" t="str">
        <f t="shared" si="33"/>
        <v>Pelvis AP</v>
      </c>
      <c r="M243" s="175" t="str">
        <f t="shared" si="34"/>
        <v>Yes</v>
      </c>
      <c r="N243" s="175">
        <f t="shared" si="35"/>
        <v>130</v>
      </c>
      <c r="O243" s="176">
        <f t="shared" si="36"/>
        <v>20</v>
      </c>
      <c r="P243" s="175" t="str">
        <f t="shared" si="37"/>
        <v>14x17</v>
      </c>
      <c r="Q243" s="175">
        <f t="shared" si="38"/>
        <v>78</v>
      </c>
      <c r="R243" s="529">
        <f t="shared" si="39"/>
        <v>30</v>
      </c>
      <c r="S243" s="532" t="str">
        <f t="shared" si="40"/>
        <v/>
      </c>
      <c r="V243" s="418"/>
      <c r="Z243" s="212" t="s">
        <v>370</v>
      </c>
    </row>
    <row r="244" spans="1:30" ht="13.95" customHeight="1" thickTop="1">
      <c r="A244" s="1">
        <v>48</v>
      </c>
      <c r="B244" s="99" t="s">
        <v>3</v>
      </c>
      <c r="C244" s="100" t="str">
        <f>IF($N$8="","",$N$8)</f>
        <v/>
      </c>
      <c r="D244" s="2"/>
      <c r="E244" s="2"/>
      <c r="F244" s="2"/>
      <c r="G244" s="2" t="str">
        <f>""</f>
        <v/>
      </c>
      <c r="H244" s="2" t="str">
        <f>""</f>
        <v/>
      </c>
      <c r="I244" s="99" t="s">
        <v>4</v>
      </c>
      <c r="J244" s="101" t="str">
        <f>IF($U$8="","",$U$8)</f>
        <v>Eugene Mah</v>
      </c>
      <c r="L244" s="174" t="str">
        <f t="shared" si="33"/>
        <v>Shoulder</v>
      </c>
      <c r="M244" s="175" t="str">
        <f t="shared" si="34"/>
        <v>Yes</v>
      </c>
      <c r="N244" s="175">
        <f t="shared" si="35"/>
        <v>130</v>
      </c>
      <c r="O244" s="176">
        <f t="shared" si="36"/>
        <v>15</v>
      </c>
      <c r="P244" s="175" t="str">
        <f t="shared" si="37"/>
        <v>10x12</v>
      </c>
      <c r="Q244" s="175">
        <f t="shared" si="38"/>
        <v>74</v>
      </c>
      <c r="R244" s="529">
        <f t="shared" si="39"/>
        <v>14</v>
      </c>
      <c r="S244" s="532" t="str">
        <f t="shared" si="40"/>
        <v/>
      </c>
      <c r="V244" s="418"/>
      <c r="Z244" s="204" t="s">
        <v>371</v>
      </c>
    </row>
    <row r="245" spans="1:30" ht="13.95" customHeight="1">
      <c r="A245" s="1">
        <v>49</v>
      </c>
      <c r="B245" s="99" t="s">
        <v>18</v>
      </c>
      <c r="C245" s="102" t="str">
        <f>IF($O$15="","",$O$15)</f>
        <v/>
      </c>
      <c r="D245" s="2"/>
      <c r="E245" s="2"/>
      <c r="F245" s="2"/>
      <c r="G245" s="2"/>
      <c r="H245" s="2"/>
      <c r="I245" s="99" t="s">
        <v>16</v>
      </c>
      <c r="J245" s="103" t="str">
        <f>IF($E$14="","",$E$14)</f>
        <v/>
      </c>
      <c r="L245" s="174" t="str">
        <f t="shared" si="33"/>
        <v>LS Spine AP</v>
      </c>
      <c r="M245" s="175" t="str">
        <f t="shared" si="34"/>
        <v>Yes</v>
      </c>
      <c r="N245" s="175">
        <f t="shared" si="35"/>
        <v>130</v>
      </c>
      <c r="O245" s="176">
        <f t="shared" si="36"/>
        <v>23</v>
      </c>
      <c r="P245" s="175" t="str">
        <f t="shared" si="37"/>
        <v>10x12</v>
      </c>
      <c r="Q245" s="175">
        <f t="shared" si="38"/>
        <v>78</v>
      </c>
      <c r="R245" s="529">
        <f t="shared" si="39"/>
        <v>25</v>
      </c>
      <c r="S245" s="532" t="str">
        <f t="shared" si="40"/>
        <v/>
      </c>
      <c r="V245" s="418"/>
      <c r="Z245" s="43" t="s">
        <v>368</v>
      </c>
      <c r="AA245" s="210"/>
      <c r="AB245" s="82" t="str">
        <f t="shared" ref="AB245:AB246" si="41">IF(AND(OR(AA245="",AA245=0),OR(AC245="",AC245=0)),"",IF(AA245&lt;&gt;AC245,"Change",""))</f>
        <v/>
      </c>
      <c r="AC245" s="211" t="str">
        <f>IF(P284="","",P284)</f>
        <v/>
      </c>
      <c r="AD245" s="76" t="s">
        <v>374</v>
      </c>
    </row>
    <row r="246" spans="1:30" ht="13.95" customHeight="1">
      <c r="A246" s="1">
        <v>1</v>
      </c>
      <c r="J246" s="118" t="str">
        <f>$F$2</f>
        <v>Medical University of South Carolina</v>
      </c>
      <c r="L246" s="41"/>
      <c r="M246" s="42"/>
      <c r="N246" s="2"/>
      <c r="O246" s="42"/>
      <c r="P246" s="42"/>
      <c r="Q246" s="42"/>
      <c r="R246" s="42"/>
      <c r="S246" s="42"/>
      <c r="U246" s="42"/>
      <c r="V246" s="48"/>
      <c r="Z246" s="43" t="s">
        <v>369</v>
      </c>
      <c r="AA246" s="210"/>
      <c r="AB246" s="82" t="str">
        <f t="shared" si="41"/>
        <v/>
      </c>
      <c r="AC246" s="211" t="str">
        <f>IF(Q284="","",Q284)</f>
        <v/>
      </c>
      <c r="AD246" s="76" t="s">
        <v>375</v>
      </c>
    </row>
    <row r="247" spans="1:30" ht="13.95" customHeight="1" thickBot="1">
      <c r="A247" s="1">
        <v>2</v>
      </c>
      <c r="B247" s="736" t="s">
        <v>193</v>
      </c>
      <c r="J247" s="79" t="str">
        <f>$F$5</f>
        <v>EOS Imaging System Compliance Inspection</v>
      </c>
      <c r="L247" s="113"/>
      <c r="M247" s="177" t="s">
        <v>134</v>
      </c>
      <c r="N247" s="178" t="str">
        <f>IF(N249&lt;&gt;"",N249,IF(OR(AA602=0,AA602=""),"",AA602))</f>
        <v/>
      </c>
      <c r="O247" s="87"/>
      <c r="P247" s="87"/>
      <c r="Q247" s="87"/>
      <c r="R247" s="87"/>
      <c r="S247" s="87"/>
      <c r="T247" s="87"/>
      <c r="U247" s="2"/>
      <c r="V247" s="48"/>
      <c r="Z247" s="214" t="s">
        <v>373</v>
      </c>
    </row>
    <row r="248" spans="1:30" ht="13.95" customHeight="1" thickTop="1">
      <c r="A248" s="1">
        <v>3</v>
      </c>
      <c r="B248" s="501"/>
      <c r="C248" s="502"/>
      <c r="D248" s="502"/>
      <c r="E248" s="502"/>
      <c r="F248" s="502"/>
      <c r="G248" s="502"/>
      <c r="H248" s="502"/>
      <c r="I248" s="502"/>
      <c r="J248" s="503"/>
      <c r="L248" s="131"/>
      <c r="M248" s="132" t="s">
        <v>135</v>
      </c>
      <c r="N248" s="88"/>
      <c r="O248" s="179">
        <f>LEN(N247)</f>
        <v>0</v>
      </c>
      <c r="P248" s="88"/>
      <c r="Q248" s="88"/>
      <c r="R248" s="88"/>
      <c r="S248" s="88"/>
      <c r="T248" s="88"/>
      <c r="U248" s="2"/>
      <c r="V248" s="89"/>
      <c r="Z248" s="43" t="s">
        <v>368</v>
      </c>
      <c r="AA248" s="210"/>
      <c r="AB248" s="82" t="str">
        <f t="shared" ref="AB248:AB249" si="42">IF(AND(OR(AA248="",AA248=0),OR(AC248="",AC248=0)),"",IF(AA248&lt;&gt;AC248,"Change",""))</f>
        <v/>
      </c>
      <c r="AC248" s="211" t="str">
        <f>IF(P285="","",P285)</f>
        <v/>
      </c>
      <c r="AD248" s="76" t="s">
        <v>376</v>
      </c>
    </row>
    <row r="249" spans="1:30" ht="13.95" customHeight="1">
      <c r="A249" s="1">
        <v>4</v>
      </c>
      <c r="B249" s="419"/>
      <c r="J249" s="418"/>
      <c r="L249" s="41"/>
      <c r="M249" s="180" t="s">
        <v>206</v>
      </c>
      <c r="N249" s="181"/>
      <c r="O249" s="87"/>
      <c r="P249" s="87"/>
      <c r="Q249" s="87"/>
      <c r="R249" s="87"/>
      <c r="S249" s="87"/>
      <c r="T249" s="87"/>
      <c r="U249" s="2"/>
      <c r="V249" s="48"/>
      <c r="Z249" s="43" t="s">
        <v>369</v>
      </c>
      <c r="AA249" s="210"/>
      <c r="AB249" s="82" t="str">
        <f t="shared" si="42"/>
        <v/>
      </c>
      <c r="AC249" s="211" t="str">
        <f>IF(Q285="","",Q285)</f>
        <v/>
      </c>
      <c r="AD249" s="76" t="s">
        <v>377</v>
      </c>
    </row>
    <row r="250" spans="1:30" ht="13.95" customHeight="1">
      <c r="A250" s="1">
        <v>5</v>
      </c>
      <c r="B250" s="41"/>
      <c r="C250" s="42"/>
      <c r="D250" s="42"/>
      <c r="E250" s="42" t="s">
        <v>194</v>
      </c>
      <c r="F250" s="42"/>
      <c r="G250" s="42"/>
      <c r="I250" s="775" t="s">
        <v>687</v>
      </c>
      <c r="J250" s="418"/>
      <c r="L250" s="41"/>
      <c r="M250" s="42"/>
      <c r="N250" s="42"/>
      <c r="O250" s="42"/>
      <c r="P250" s="42"/>
      <c r="Q250" s="42"/>
      <c r="R250" s="42"/>
      <c r="S250" s="42"/>
      <c r="T250" s="42"/>
      <c r="U250" s="2"/>
      <c r="V250" s="48"/>
      <c r="Z250" s="212" t="s">
        <v>397</v>
      </c>
    </row>
    <row r="251" spans="1:30" ht="13.95" customHeight="1">
      <c r="A251" s="1">
        <v>6</v>
      </c>
      <c r="B251" s="41"/>
      <c r="C251" s="42"/>
      <c r="D251" s="42" t="s">
        <v>195</v>
      </c>
      <c r="E251" s="42" t="s">
        <v>196</v>
      </c>
      <c r="F251" s="42" t="s">
        <v>197</v>
      </c>
      <c r="G251" s="42"/>
      <c r="I251" s="775"/>
      <c r="J251" s="48" t="s">
        <v>198</v>
      </c>
      <c r="L251" s="41"/>
      <c r="M251" s="42"/>
      <c r="N251" s="42"/>
      <c r="O251" s="42"/>
      <c r="P251" s="42"/>
      <c r="Q251" s="42"/>
      <c r="R251" s="42"/>
      <c r="S251" s="42"/>
      <c r="T251" s="42"/>
      <c r="U251" s="42"/>
      <c r="V251" s="48"/>
      <c r="Z251" s="43" t="s">
        <v>378</v>
      </c>
      <c r="AA251" s="210"/>
      <c r="AB251" s="82" t="str">
        <f t="shared" ref="AB251:AB253" si="43">IF(AND(OR(AA251="",AA251=0),OR(AC251="",AC251=0)),"",IF(AA251&lt;&gt;AC251,"Change",""))</f>
        <v>Change</v>
      </c>
      <c r="AC251" s="205">
        <f>L294</f>
        <v>121.25</v>
      </c>
      <c r="AD251" s="76" t="s">
        <v>380</v>
      </c>
    </row>
    <row r="252" spans="1:30" ht="13.95" customHeight="1">
      <c r="A252" s="1">
        <v>7</v>
      </c>
      <c r="B252" s="523" t="s">
        <v>199</v>
      </c>
      <c r="C252" s="87" t="s">
        <v>200</v>
      </c>
      <c r="D252" s="87" t="s">
        <v>202</v>
      </c>
      <c r="E252" s="87" t="s">
        <v>202</v>
      </c>
      <c r="F252" s="87" t="s">
        <v>201</v>
      </c>
      <c r="G252" s="87" t="s">
        <v>203</v>
      </c>
      <c r="H252" s="184" t="s">
        <v>205</v>
      </c>
      <c r="I252" s="776"/>
      <c r="J252" s="104" t="s">
        <v>204</v>
      </c>
      <c r="L252" s="138" t="str">
        <f>"Note:  "&amp;$L$228</f>
        <v>Note:  8.75</v>
      </c>
      <c r="M252" s="183" t="s">
        <v>207</v>
      </c>
      <c r="O252" s="2"/>
      <c r="P252" s="4"/>
      <c r="Q252" s="4"/>
      <c r="R252" s="4"/>
      <c r="S252" s="4"/>
      <c r="T252" s="4"/>
      <c r="U252" s="4"/>
      <c r="V252" s="167"/>
      <c r="Z252" s="43" t="s">
        <v>379</v>
      </c>
      <c r="AA252" s="210"/>
      <c r="AB252" s="82" t="str">
        <f t="shared" si="43"/>
        <v>Change</v>
      </c>
      <c r="AC252" s="546">
        <f>L295</f>
        <v>8.75</v>
      </c>
      <c r="AD252" s="76" t="s">
        <v>381</v>
      </c>
    </row>
    <row r="253" spans="1:30" ht="13.95" customHeight="1">
      <c r="A253" s="1">
        <v>8</v>
      </c>
      <c r="B253" s="524" t="str">
        <f>IF(L236="","",L236)</f>
        <v>CXR</v>
      </c>
      <c r="C253" s="525" t="str">
        <f t="shared" ref="C253:H253" si="44">IF(M236="","",M236)</f>
        <v>Yes</v>
      </c>
      <c r="D253" s="525">
        <f t="shared" si="44"/>
        <v>130</v>
      </c>
      <c r="E253" s="526">
        <f t="shared" si="44"/>
        <v>23</v>
      </c>
      <c r="F253" s="525" t="str">
        <f t="shared" si="44"/>
        <v>14x17</v>
      </c>
      <c r="G253" s="527">
        <f t="shared" si="44"/>
        <v>120</v>
      </c>
      <c r="H253" s="527">
        <f t="shared" si="44"/>
        <v>2</v>
      </c>
      <c r="I253" s="535" t="str">
        <f>IF(S258="","",S258)</f>
        <v/>
      </c>
      <c r="J253" s="538" t="str">
        <f>IF(V258="","",V258)</f>
        <v/>
      </c>
      <c r="L253" s="113"/>
      <c r="M253" s="2"/>
      <c r="N253" s="2"/>
      <c r="O253" s="2"/>
      <c r="P253" s="2"/>
      <c r="Q253" s="2"/>
      <c r="R253" s="2"/>
      <c r="S253" s="2"/>
      <c r="T253" s="2"/>
      <c r="V253" s="97"/>
      <c r="Z253" s="43" t="s">
        <v>393</v>
      </c>
      <c r="AA253" s="224"/>
      <c r="AB253" s="82" t="str">
        <f t="shared" si="43"/>
        <v>Change</v>
      </c>
      <c r="AC253" s="409" t="str">
        <f>Q298</f>
        <v>TBD</v>
      </c>
      <c r="AD253" s="159" t="s">
        <v>395</v>
      </c>
    </row>
    <row r="254" spans="1:30" ht="13.95" customHeight="1">
      <c r="A254" s="1">
        <v>9</v>
      </c>
      <c r="B254" s="524" t="str">
        <f t="shared" ref="B254:B262" si="45">IF(L237="","",L237)</f>
        <v>Abdomen AP</v>
      </c>
      <c r="C254" s="525" t="str">
        <f t="shared" ref="C254:H254" si="46">IF(M237="","",M237)</f>
        <v>Yes</v>
      </c>
      <c r="D254" s="525">
        <f t="shared" si="46"/>
        <v>130</v>
      </c>
      <c r="E254" s="526">
        <f t="shared" si="46"/>
        <v>23</v>
      </c>
      <c r="F254" s="525" t="str">
        <f t="shared" si="46"/>
        <v>14x17</v>
      </c>
      <c r="G254" s="527">
        <f t="shared" si="46"/>
        <v>76</v>
      </c>
      <c r="H254" s="527">
        <f t="shared" si="46"/>
        <v>30</v>
      </c>
      <c r="I254" s="536" t="str">
        <f t="shared" ref="I254:I262" si="47">IF(S259="","",S259)</f>
        <v/>
      </c>
      <c r="J254" s="539" t="str">
        <f t="shared" ref="J254:J262" si="48">IF(V259="","",V259)</f>
        <v/>
      </c>
      <c r="L254" s="113"/>
      <c r="M254" s="2"/>
      <c r="N254" s="2"/>
      <c r="O254" s="599" t="s">
        <v>208</v>
      </c>
      <c r="P254" s="600"/>
      <c r="Q254" s="2"/>
      <c r="R254" s="2"/>
      <c r="S254" s="2"/>
      <c r="T254" s="2"/>
      <c r="V254" s="97"/>
      <c r="Z254" s="43" t="s">
        <v>394</v>
      </c>
      <c r="AA254" s="224"/>
      <c r="AB254" s="82" t="str">
        <f t="shared" ref="AB254:AB259" si="49">IF(AND(OR(AA254="",AA254=0),OR(AC254="",AC254=0)),"",IF(AA254&lt;&gt;AC254,"Change",""))</f>
        <v>Change</v>
      </c>
      <c r="AC254" s="409" t="str">
        <f>Q299</f>
        <v>TBD</v>
      </c>
      <c r="AD254" s="159" t="s">
        <v>396</v>
      </c>
    </row>
    <row r="255" spans="1:30" ht="13.95" customHeight="1" thickBot="1">
      <c r="A255" s="1">
        <v>10</v>
      </c>
      <c r="B255" s="524" t="str">
        <f t="shared" si="45"/>
        <v>Ribs</v>
      </c>
      <c r="C255" s="525" t="str">
        <f t="shared" ref="C255:H255" si="50">IF(M238="","",M238)</f>
        <v>Yes</v>
      </c>
      <c r="D255" s="525">
        <f t="shared" si="50"/>
        <v>130</v>
      </c>
      <c r="E255" s="526">
        <f t="shared" si="50"/>
        <v>20</v>
      </c>
      <c r="F255" s="525" t="str">
        <f t="shared" si="50"/>
        <v>14x17</v>
      </c>
      <c r="G255" s="527">
        <f t="shared" si="50"/>
        <v>66</v>
      </c>
      <c r="H255" s="527">
        <f t="shared" si="50"/>
        <v>12</v>
      </c>
      <c r="I255" s="536" t="str">
        <f t="shared" si="47"/>
        <v/>
      </c>
      <c r="J255" s="539" t="str">
        <f t="shared" si="48"/>
        <v/>
      </c>
      <c r="L255" s="41"/>
      <c r="M255" s="42"/>
      <c r="N255" s="42"/>
      <c r="O255" s="170" t="s">
        <v>194</v>
      </c>
      <c r="P255" s="42"/>
      <c r="Q255" s="42"/>
      <c r="R255" s="4"/>
      <c r="S255" s="778" t="s">
        <v>687</v>
      </c>
      <c r="U255" s="775" t="s">
        <v>674</v>
      </c>
      <c r="V255" s="97"/>
      <c r="Z255" s="43" t="s">
        <v>203</v>
      </c>
      <c r="AA255" s="85"/>
      <c r="AB255" s="82" t="str">
        <f t="shared" si="49"/>
        <v/>
      </c>
      <c r="AC255" s="206" t="str">
        <f>N303</f>
        <v/>
      </c>
      <c r="AD255" s="76" t="s">
        <v>408</v>
      </c>
    </row>
    <row r="256" spans="1:30" ht="13.95" customHeight="1">
      <c r="A256" s="1">
        <v>11</v>
      </c>
      <c r="B256" s="524" t="str">
        <f t="shared" si="45"/>
        <v>C-Spine AP</v>
      </c>
      <c r="C256" s="525" t="str">
        <f t="shared" ref="C256:H256" si="51">IF(M239="","",M239)</f>
        <v>Yes</v>
      </c>
      <c r="D256" s="525">
        <f t="shared" si="51"/>
        <v>130</v>
      </c>
      <c r="E256" s="526">
        <f t="shared" si="51"/>
        <v>13</v>
      </c>
      <c r="F256" s="525" t="str">
        <f t="shared" si="51"/>
        <v>10x12</v>
      </c>
      <c r="G256" s="527">
        <f t="shared" si="51"/>
        <v>72</v>
      </c>
      <c r="H256" s="527">
        <f t="shared" si="51"/>
        <v>10</v>
      </c>
      <c r="I256" s="536" t="str">
        <f t="shared" si="47"/>
        <v/>
      </c>
      <c r="J256" s="539" t="str">
        <f t="shared" si="48"/>
        <v/>
      </c>
      <c r="L256" s="171"/>
      <c r="M256" s="170"/>
      <c r="N256" s="170" t="s">
        <v>195</v>
      </c>
      <c r="O256" s="170" t="s">
        <v>196</v>
      </c>
      <c r="P256" s="170" t="s">
        <v>197</v>
      </c>
      <c r="Q256" s="170"/>
      <c r="R256" s="4"/>
      <c r="S256" s="778"/>
      <c r="T256" s="780" t="s">
        <v>673</v>
      </c>
      <c r="U256" s="775"/>
      <c r="V256" s="48" t="s">
        <v>198</v>
      </c>
      <c r="Z256" s="43" t="s">
        <v>405</v>
      </c>
      <c r="AA256" s="85"/>
      <c r="AB256" s="82" t="str">
        <f t="shared" si="49"/>
        <v/>
      </c>
      <c r="AC256" s="207" t="str">
        <f>P303</f>
        <v/>
      </c>
      <c r="AD256" s="76" t="s">
        <v>409</v>
      </c>
    </row>
    <row r="257" spans="1:30" ht="13.95" customHeight="1" thickBot="1">
      <c r="A257" s="1">
        <v>12</v>
      </c>
      <c r="B257" s="524" t="str">
        <f t="shared" si="45"/>
        <v>Skull</v>
      </c>
      <c r="C257" s="525" t="str">
        <f t="shared" ref="C257:H257" si="52">IF(M240="","",M240)</f>
        <v>Yes</v>
      </c>
      <c r="D257" s="525">
        <f t="shared" si="52"/>
        <v>130</v>
      </c>
      <c r="E257" s="526">
        <f t="shared" si="52"/>
        <v>15</v>
      </c>
      <c r="F257" s="525" t="str">
        <f t="shared" si="52"/>
        <v>8x10</v>
      </c>
      <c r="G257" s="527">
        <f t="shared" si="52"/>
        <v>72</v>
      </c>
      <c r="H257" s="527">
        <f t="shared" si="52"/>
        <v>10</v>
      </c>
      <c r="I257" s="536" t="str">
        <f t="shared" si="47"/>
        <v/>
      </c>
      <c r="J257" s="539" t="str">
        <f t="shared" si="48"/>
        <v/>
      </c>
      <c r="L257" s="172" t="s">
        <v>199</v>
      </c>
      <c r="M257" s="173" t="s">
        <v>200</v>
      </c>
      <c r="N257" s="173" t="s">
        <v>202</v>
      </c>
      <c r="O257" s="173" t="s">
        <v>202</v>
      </c>
      <c r="P257" s="173" t="s">
        <v>201</v>
      </c>
      <c r="Q257" s="173" t="s">
        <v>203</v>
      </c>
      <c r="R257" s="170" t="s">
        <v>205</v>
      </c>
      <c r="S257" s="779"/>
      <c r="T257" s="781"/>
      <c r="U257" s="776"/>
      <c r="V257" s="48" t="s">
        <v>204</v>
      </c>
      <c r="Z257" s="43" t="s">
        <v>406</v>
      </c>
      <c r="AA257" s="236"/>
      <c r="AB257" s="82" t="str">
        <f t="shared" si="49"/>
        <v/>
      </c>
      <c r="AC257" s="237" t="str">
        <f>R303</f>
        <v/>
      </c>
      <c r="AD257" s="76" t="s">
        <v>410</v>
      </c>
    </row>
    <row r="258" spans="1:30" ht="13.95" customHeight="1">
      <c r="A258" s="1">
        <v>13</v>
      </c>
      <c r="B258" s="524" t="str">
        <f t="shared" si="45"/>
        <v>Foot</v>
      </c>
      <c r="C258" s="525" t="str">
        <f t="shared" ref="C258:H258" si="53">IF(M241="","",M241)</f>
        <v>No</v>
      </c>
      <c r="D258" s="525">
        <f t="shared" si="53"/>
        <v>130</v>
      </c>
      <c r="E258" s="526">
        <f t="shared" si="53"/>
        <v>8</v>
      </c>
      <c r="F258" s="525" t="str">
        <f t="shared" si="53"/>
        <v>8x10</v>
      </c>
      <c r="G258" s="527">
        <f t="shared" si="53"/>
        <v>60</v>
      </c>
      <c r="H258" s="527">
        <f t="shared" si="53"/>
        <v>2.5</v>
      </c>
      <c r="I258" s="536" t="str">
        <f t="shared" si="47"/>
        <v/>
      </c>
      <c r="J258" s="539" t="str">
        <f t="shared" si="48"/>
        <v/>
      </c>
      <c r="L258" s="185" t="s">
        <v>211</v>
      </c>
      <c r="M258" s="186" t="s">
        <v>212</v>
      </c>
      <c r="N258" s="186">
        <v>130</v>
      </c>
      <c r="O258" s="596">
        <v>23</v>
      </c>
      <c r="P258" s="186" t="s">
        <v>213</v>
      </c>
      <c r="Q258" s="186">
        <v>120</v>
      </c>
      <c r="R258" s="597">
        <v>2</v>
      </c>
      <c r="S258" s="531" t="str" cm="1">
        <f t="array" ref="S258">_xlfn.SINGLE(IF(MIN($P$472:$P$479)&lt;&gt;0,IF(L236="","",($M$340/(N236-(O236+$L$228))^2)*EXP(TREND(LN($P$472:$P$479),LN($O$472:$O$479),LN(Q236)))*R236),""))</f>
        <v/>
      </c>
      <c r="T258" s="533" t="str">
        <f t="shared" ref="T258:T267" si="54">IF(OR(S258="",S236=""),"",(S258-S236)/S236)</f>
        <v/>
      </c>
      <c r="U258" s="187" t="str">
        <f>IF(S258="","",IF(S258&lt;=Tables!F21,"Pass","Fail"))</f>
        <v/>
      </c>
      <c r="V258" s="598" t="str">
        <f t="shared" ref="V258:V267" si="55">IF(S258="","",(S258/1000)*(LEFT(P236,FIND("x",P236)-1)*2.54)*(RIGHT(P236,LEN(P236)-FIND("x",P236))*2.54))</f>
        <v/>
      </c>
      <c r="Z258" s="43" t="s">
        <v>407</v>
      </c>
      <c r="AA258" s="85"/>
      <c r="AB258" s="82" t="str">
        <f t="shared" si="49"/>
        <v>Change</v>
      </c>
      <c r="AC258" s="546">
        <f>T303</f>
        <v>0.5</v>
      </c>
      <c r="AD258" s="76" t="s">
        <v>411</v>
      </c>
    </row>
    <row r="259" spans="1:30" ht="13.95" customHeight="1">
      <c r="A259" s="1">
        <v>14</v>
      </c>
      <c r="B259" s="524" t="str">
        <f t="shared" si="45"/>
        <v>Knee</v>
      </c>
      <c r="C259" s="525" t="str">
        <f t="shared" ref="C259:H259" si="56">IF(M242="","",M242)</f>
        <v>No</v>
      </c>
      <c r="D259" s="525">
        <f t="shared" si="56"/>
        <v>130</v>
      </c>
      <c r="E259" s="526">
        <f t="shared" si="56"/>
        <v>12</v>
      </c>
      <c r="F259" s="525" t="str">
        <f t="shared" si="56"/>
        <v>10x12</v>
      </c>
      <c r="G259" s="527">
        <f t="shared" si="56"/>
        <v>66</v>
      </c>
      <c r="H259" s="527">
        <f t="shared" si="56"/>
        <v>8</v>
      </c>
      <c r="I259" s="536" t="str">
        <f t="shared" si="47"/>
        <v/>
      </c>
      <c r="J259" s="539" t="str">
        <f t="shared" si="48"/>
        <v/>
      </c>
      <c r="L259" s="185" t="s">
        <v>214</v>
      </c>
      <c r="M259" s="186" t="s">
        <v>212</v>
      </c>
      <c r="N259" s="186">
        <v>130</v>
      </c>
      <c r="O259" s="596">
        <v>23</v>
      </c>
      <c r="P259" s="186" t="s">
        <v>213</v>
      </c>
      <c r="Q259" s="186">
        <v>76</v>
      </c>
      <c r="R259" s="597">
        <v>30</v>
      </c>
      <c r="S259" s="531" t="str" cm="1">
        <f t="array" ref="S259">_xlfn.SINGLE(IF(MIN($P$472:$P$479)&lt;&gt;0,IF(L237="","",($M$340/(N237-(O237+$L$228))^2)*EXP(TREND(LN($P$472:$P$479),LN($O$472:$O$479),LN(Q237)))*R237),""))</f>
        <v/>
      </c>
      <c r="T259" s="533" t="str">
        <f t="shared" si="54"/>
        <v/>
      </c>
      <c r="U259" s="187" t="str">
        <f>IF(S259="","",IF(S259&lt;=Tables!F23,"Pass","Fail"))</f>
        <v/>
      </c>
      <c r="V259" s="598" t="str">
        <f t="shared" si="55"/>
        <v/>
      </c>
      <c r="Z259" s="79" t="s">
        <v>415</v>
      </c>
      <c r="AA259" s="42"/>
      <c r="AB259" s="82" t="str">
        <f t="shared" si="49"/>
        <v/>
      </c>
      <c r="AC259" s="42"/>
      <c r="AD259" s="76"/>
    </row>
    <row r="260" spans="1:30" ht="13.95" customHeight="1">
      <c r="A260" s="1">
        <v>15</v>
      </c>
      <c r="B260" s="524" t="str">
        <f t="shared" si="45"/>
        <v>Pelvis AP</v>
      </c>
      <c r="C260" s="525" t="str">
        <f t="shared" ref="C260:H260" si="57">IF(M243="","",M243)</f>
        <v>Yes</v>
      </c>
      <c r="D260" s="525">
        <f t="shared" si="57"/>
        <v>130</v>
      </c>
      <c r="E260" s="526">
        <f t="shared" si="57"/>
        <v>20</v>
      </c>
      <c r="F260" s="525" t="str">
        <f t="shared" si="57"/>
        <v>14x17</v>
      </c>
      <c r="G260" s="527">
        <f t="shared" si="57"/>
        <v>78</v>
      </c>
      <c r="H260" s="527">
        <f t="shared" si="57"/>
        <v>30</v>
      </c>
      <c r="I260" s="536" t="str">
        <f t="shared" si="47"/>
        <v/>
      </c>
      <c r="J260" s="539" t="str">
        <f t="shared" si="48"/>
        <v/>
      </c>
      <c r="L260" s="185" t="s">
        <v>215</v>
      </c>
      <c r="M260" s="186" t="s">
        <v>212</v>
      </c>
      <c r="N260" s="186">
        <v>130</v>
      </c>
      <c r="O260" s="596">
        <v>20</v>
      </c>
      <c r="P260" s="186" t="s">
        <v>213</v>
      </c>
      <c r="Q260" s="186">
        <v>66</v>
      </c>
      <c r="R260" s="597">
        <v>12</v>
      </c>
      <c r="S260" s="531" t="str" cm="1">
        <f t="array" ref="S260">_xlfn.SINGLE(IF(MIN($P$472:$P$479)&lt;&gt;0,IF(L238="","",($M$340/(N238-(O238+$L$228))^2)*EXP(TREND(LN($P$472:$P$479),LN($O$472:$O$479),LN(Q238)))*R238),""))</f>
        <v/>
      </c>
      <c r="T260" s="533" t="str">
        <f t="shared" si="54"/>
        <v/>
      </c>
      <c r="U260" s="187"/>
      <c r="V260" s="598" t="str">
        <f t="shared" si="55"/>
        <v/>
      </c>
      <c r="Z260" s="43" t="s">
        <v>416</v>
      </c>
      <c r="AA260" s="85"/>
      <c r="AB260" s="82" t="str">
        <f>IF(AND(OR(AA260="",AA260=0),OR(AC260="",AC260=0)),"",IF(AA260&lt;&gt;AC260,"Change",""))</f>
        <v/>
      </c>
      <c r="AC260" s="207" t="str">
        <f>L310</f>
        <v/>
      </c>
      <c r="AD260" s="76" t="s">
        <v>420</v>
      </c>
    </row>
    <row r="261" spans="1:30" ht="13.95" customHeight="1">
      <c r="A261" s="1">
        <v>16</v>
      </c>
      <c r="B261" s="524" t="str">
        <f t="shared" si="45"/>
        <v>Shoulder</v>
      </c>
      <c r="C261" s="525" t="str">
        <f t="shared" ref="C261:H261" si="58">IF(M244="","",M244)</f>
        <v>Yes</v>
      </c>
      <c r="D261" s="525">
        <f t="shared" si="58"/>
        <v>130</v>
      </c>
      <c r="E261" s="526">
        <f t="shared" si="58"/>
        <v>15</v>
      </c>
      <c r="F261" s="525" t="str">
        <f t="shared" si="58"/>
        <v>10x12</v>
      </c>
      <c r="G261" s="527">
        <f t="shared" si="58"/>
        <v>74</v>
      </c>
      <c r="H261" s="527">
        <f t="shared" si="58"/>
        <v>14</v>
      </c>
      <c r="I261" s="536" t="str">
        <f t="shared" si="47"/>
        <v/>
      </c>
      <c r="J261" s="539" t="str">
        <f t="shared" si="48"/>
        <v/>
      </c>
      <c r="L261" s="185" t="s">
        <v>216</v>
      </c>
      <c r="M261" s="186" t="s">
        <v>212</v>
      </c>
      <c r="N261" s="186">
        <v>130</v>
      </c>
      <c r="O261" s="596">
        <v>13</v>
      </c>
      <c r="P261" s="186" t="s">
        <v>217</v>
      </c>
      <c r="Q261" s="186">
        <v>72</v>
      </c>
      <c r="R261" s="597">
        <v>10</v>
      </c>
      <c r="S261" s="531" t="str" cm="1">
        <f t="array" ref="S261">_xlfn.SINGLE(IF(MIN($P$472:$P$479)&lt;&gt;0,IF(L239="","",($M$340/(N239-(O239+$L$228))^2)*EXP(TREND(LN($P$472:$P$479),LN($O$472:$O$479),LN(Q239)))*R239),""))</f>
        <v/>
      </c>
      <c r="T261" s="533" t="str">
        <f t="shared" si="54"/>
        <v/>
      </c>
      <c r="U261" s="187" t="str">
        <f>IF(S261="","",IF(S261&lt;=Tables!F26,"Pass","Fail"))</f>
        <v/>
      </c>
      <c r="V261" s="598" t="str">
        <f t="shared" si="55"/>
        <v/>
      </c>
      <c r="Z261" s="43" t="s">
        <v>417</v>
      </c>
      <c r="AA261" s="85"/>
      <c r="AB261" s="82" t="str">
        <f>IF(AND(OR(AA261="",AA261=0),OR(AC261="",AC261=0)),"",IF(AA261&lt;&gt;AC261,"Change",""))</f>
        <v/>
      </c>
      <c r="AC261" s="207" t="str">
        <f>M310</f>
        <v/>
      </c>
      <c r="AD261" s="76" t="s">
        <v>421</v>
      </c>
    </row>
    <row r="262" spans="1:30" ht="13.95" customHeight="1">
      <c r="A262" s="1">
        <v>17</v>
      </c>
      <c r="B262" s="524" t="str">
        <f t="shared" si="45"/>
        <v>LS Spine AP</v>
      </c>
      <c r="C262" s="525" t="str">
        <f t="shared" ref="C262:H262" si="59">IF(M245="","",M245)</f>
        <v>Yes</v>
      </c>
      <c r="D262" s="525">
        <f t="shared" si="59"/>
        <v>130</v>
      </c>
      <c r="E262" s="526">
        <f t="shared" si="59"/>
        <v>23</v>
      </c>
      <c r="F262" s="525" t="str">
        <f t="shared" si="59"/>
        <v>10x12</v>
      </c>
      <c r="G262" s="527">
        <f t="shared" si="59"/>
        <v>78</v>
      </c>
      <c r="H262" s="527">
        <f t="shared" si="59"/>
        <v>25</v>
      </c>
      <c r="I262" s="536" t="str">
        <f t="shared" si="47"/>
        <v/>
      </c>
      <c r="J262" s="539" t="str">
        <f t="shared" si="48"/>
        <v/>
      </c>
      <c r="L262" s="185" t="s">
        <v>218</v>
      </c>
      <c r="M262" s="186" t="s">
        <v>212</v>
      </c>
      <c r="N262" s="186">
        <v>130</v>
      </c>
      <c r="O262" s="596">
        <v>15</v>
      </c>
      <c r="P262" s="186" t="s">
        <v>219</v>
      </c>
      <c r="Q262" s="186">
        <v>72</v>
      </c>
      <c r="R262" s="597">
        <v>10</v>
      </c>
      <c r="S262" s="531" t="str" cm="1">
        <f t="array" ref="S262">_xlfn.SINGLE(IF(MIN($P$472:$P$479)&lt;&gt;0,IF(L240="","",($M$340/(N240-(O240+$L$228))^2)*EXP(TREND(LN($P$472:$P$479),LN($O$472:$O$479),LN(Q240)))*R240),""))</f>
        <v/>
      </c>
      <c r="T262" s="533" t="str">
        <f t="shared" si="54"/>
        <v/>
      </c>
      <c r="U262" s="187" t="str">
        <f>IF(S262="","",IF(S262&lt;=Tables!F27,"Pass","Fail"))</f>
        <v/>
      </c>
      <c r="V262" s="598" t="str">
        <f t="shared" si="55"/>
        <v/>
      </c>
      <c r="Z262" s="43" t="s">
        <v>418</v>
      </c>
      <c r="AA262" s="85"/>
      <c r="AB262" s="82" t="str">
        <f>IF(AND(OR(AA262="",AA262=0),OR(AC262="",AC262=0)),"",IF(AA262&lt;&gt;AC262,"Change",""))</f>
        <v/>
      </c>
      <c r="AC262" s="207" t="str">
        <f>L311</f>
        <v/>
      </c>
      <c r="AD262" s="76" t="s">
        <v>422</v>
      </c>
    </row>
    <row r="263" spans="1:30" ht="13.95" customHeight="1">
      <c r="A263" s="1">
        <v>18</v>
      </c>
      <c r="B263" s="541" t="str">
        <f>L252&amp;" "&amp;M252</f>
        <v>Note:  8.75 cm distance between patient and image receptor</v>
      </c>
      <c r="C263" s="537"/>
      <c r="D263" s="537"/>
      <c r="E263" s="537"/>
      <c r="F263" s="537"/>
      <c r="G263" s="537"/>
      <c r="H263" s="537"/>
      <c r="I263" s="537"/>
      <c r="J263" s="540"/>
      <c r="L263" s="185" t="s">
        <v>220</v>
      </c>
      <c r="M263" s="186" t="s">
        <v>221</v>
      </c>
      <c r="N263" s="186">
        <v>130</v>
      </c>
      <c r="O263" s="596">
        <v>8</v>
      </c>
      <c r="P263" s="186" t="s">
        <v>219</v>
      </c>
      <c r="Q263" s="186">
        <v>60</v>
      </c>
      <c r="R263" s="597">
        <v>2.5</v>
      </c>
      <c r="S263" s="531" t="str" cm="1">
        <f t="array" ref="S263">_xlfn.SINGLE(IF(MIN($P$472:$P$479)&lt;&gt;0,IF(L241="","",($M$340/(N241-(O241+$L$228))^2)*EXP(TREND(LN($P$472:$P$479),LN($O$472:$O$479),LN(Q241)))*R241),""))</f>
        <v/>
      </c>
      <c r="T263" s="533" t="str">
        <f t="shared" si="54"/>
        <v/>
      </c>
      <c r="U263" s="187" t="str">
        <f>IF(S263="","",IF(S263&lt;=Tables!F30,"Pass","Fail"))</f>
        <v/>
      </c>
      <c r="V263" s="598" t="str">
        <f t="shared" si="55"/>
        <v/>
      </c>
      <c r="Z263" s="43" t="s">
        <v>419</v>
      </c>
      <c r="AA263" s="85"/>
      <c r="AB263" s="82" t="str">
        <f>IF(AND(OR(AA263="",AA263=0),OR(AC263="",AC263=0)),"",IF(AA263&lt;&gt;AC263,"Change",""))</f>
        <v/>
      </c>
      <c r="AC263" s="207" t="str">
        <f>M311</f>
        <v/>
      </c>
      <c r="AD263" s="76" t="s">
        <v>423</v>
      </c>
    </row>
    <row r="264" spans="1:30" ht="13.95" customHeight="1" thickBot="1">
      <c r="A264" s="1">
        <v>19</v>
      </c>
      <c r="B264" s="423"/>
      <c r="C264" s="424"/>
      <c r="D264" s="424"/>
      <c r="E264" s="424"/>
      <c r="F264" s="424"/>
      <c r="G264" s="424"/>
      <c r="H264" s="424"/>
      <c r="I264" s="424"/>
      <c r="J264" s="425"/>
      <c r="L264" s="185" t="s">
        <v>222</v>
      </c>
      <c r="M264" s="186" t="s">
        <v>221</v>
      </c>
      <c r="N264" s="186">
        <v>130</v>
      </c>
      <c r="O264" s="596">
        <v>12</v>
      </c>
      <c r="P264" s="186" t="s">
        <v>217</v>
      </c>
      <c r="Q264" s="186">
        <v>66</v>
      </c>
      <c r="R264" s="597">
        <v>8</v>
      </c>
      <c r="S264" s="531" t="str" cm="1">
        <f t="array" ref="S264">_xlfn.SINGLE(IF(MIN($P$472:$P$479)&lt;&gt;0,IF(L242="","",($M$340/(N242-(O242+$L$228))^2)*EXP(TREND(LN($P$472:$P$479),LN($O$472:$O$479),LN(Q242)))*R242),""))</f>
        <v/>
      </c>
      <c r="T264" s="533" t="str">
        <f t="shared" si="54"/>
        <v/>
      </c>
      <c r="U264" s="187"/>
      <c r="V264" s="598" t="str">
        <f t="shared" si="55"/>
        <v/>
      </c>
    </row>
    <row r="265" spans="1:30" ht="13.95" customHeight="1" thickTop="1">
      <c r="A265" s="1">
        <v>20</v>
      </c>
      <c r="B265" s="502"/>
      <c r="C265" s="502"/>
      <c r="D265" s="502"/>
      <c r="E265" s="502"/>
      <c r="F265" s="502"/>
      <c r="G265" s="502"/>
      <c r="H265" s="502"/>
      <c r="I265" s="502"/>
      <c r="J265" s="502"/>
      <c r="L265" s="185" t="s">
        <v>223</v>
      </c>
      <c r="M265" s="186" t="s">
        <v>212</v>
      </c>
      <c r="N265" s="186">
        <v>130</v>
      </c>
      <c r="O265" s="596">
        <v>20</v>
      </c>
      <c r="P265" s="186" t="s">
        <v>213</v>
      </c>
      <c r="Q265" s="186">
        <v>78</v>
      </c>
      <c r="R265" s="597">
        <v>30</v>
      </c>
      <c r="S265" s="531" t="str" cm="1">
        <f t="array" ref="S265">_xlfn.SINGLE(IF(MIN($P$472:$P$479)&lt;&gt;0,IF(L243="","",($M$340/(N243-(O243+$L$228))^2)*EXP(TREND(LN($P$472:$P$479),LN($O$472:$O$479),LN(Q243)))*R243),""))</f>
        <v/>
      </c>
      <c r="T265" s="533" t="str">
        <f t="shared" si="54"/>
        <v/>
      </c>
      <c r="U265" s="187"/>
      <c r="V265" s="598" t="str">
        <f t="shared" si="55"/>
        <v/>
      </c>
      <c r="Z265" s="79" t="s">
        <v>440</v>
      </c>
    </row>
    <row r="266" spans="1:30" ht="13.95" customHeight="1">
      <c r="A266" s="1">
        <v>21</v>
      </c>
      <c r="L266" s="185" t="s">
        <v>224</v>
      </c>
      <c r="M266" s="186" t="s">
        <v>212</v>
      </c>
      <c r="N266" s="186">
        <v>130</v>
      </c>
      <c r="O266" s="596">
        <v>15</v>
      </c>
      <c r="P266" s="186" t="s">
        <v>217</v>
      </c>
      <c r="Q266" s="186">
        <v>74</v>
      </c>
      <c r="R266" s="597">
        <v>14</v>
      </c>
      <c r="S266" s="531" t="str" cm="1">
        <f t="array" ref="S266">_xlfn.SINGLE(IF(MIN($P$472:$P$479)&lt;&gt;0,IF(L244="","",($M$340/(N244-(O244+$L$228))^2)*EXP(TREND(LN($P$472:$P$479),LN($O$472:$O$479),LN(Q244)))*R244),""))</f>
        <v/>
      </c>
      <c r="T266" s="533" t="str">
        <f t="shared" si="54"/>
        <v/>
      </c>
      <c r="U266" s="187"/>
      <c r="V266" s="598" t="str">
        <f t="shared" si="55"/>
        <v/>
      </c>
      <c r="Z266" s="43" t="s">
        <v>450</v>
      </c>
    </row>
    <row r="267" spans="1:30" ht="13.95" customHeight="1" thickBot="1">
      <c r="A267" s="1">
        <v>22</v>
      </c>
      <c r="L267" s="188" t="s">
        <v>225</v>
      </c>
      <c r="M267" s="189" t="s">
        <v>212</v>
      </c>
      <c r="N267" s="189">
        <v>130</v>
      </c>
      <c r="O267" s="190">
        <v>23</v>
      </c>
      <c r="P267" s="189" t="s">
        <v>217</v>
      </c>
      <c r="Q267" s="189">
        <v>78</v>
      </c>
      <c r="R267" s="191">
        <v>25</v>
      </c>
      <c r="S267" s="531" t="str" cm="1">
        <f t="array" ref="S267">_xlfn.SINGLE(IF(MIN($P$472:$P$479)&lt;&gt;0,IF(L245="","",($M$340/(N245-(O245+$L$228))^2)*EXP(TREND(LN($P$472:$P$479),LN($O$472:$O$479),LN(Q245)))*R245),""))</f>
        <v/>
      </c>
      <c r="T267" s="534" t="str">
        <f t="shared" si="54"/>
        <v/>
      </c>
      <c r="U267" s="192"/>
      <c r="V267" s="598" t="str">
        <f t="shared" si="55"/>
        <v/>
      </c>
      <c r="Z267" s="43" t="s">
        <v>441</v>
      </c>
      <c r="AA267" s="85"/>
      <c r="AB267" s="82" t="str">
        <f t="shared" ref="AB267:AB272" si="60">IF(AND(OR(AA267="",AA267=0),OR(AC267="",AC267=0)),"",IF(AA267&lt;&gt;AC267,"Change",""))</f>
        <v>Change</v>
      </c>
      <c r="AC267" s="262" t="str">
        <f>O323</f>
        <v>mA</v>
      </c>
      <c r="AD267" s="76" t="s">
        <v>531</v>
      </c>
    </row>
    <row r="268" spans="1:30" ht="13.95" customHeight="1" thickTop="1" thickBot="1">
      <c r="A268" s="1">
        <v>23</v>
      </c>
      <c r="L268" s="113"/>
      <c r="M268" s="2"/>
      <c r="N268" s="2"/>
      <c r="O268" s="2"/>
      <c r="P268" s="2"/>
      <c r="Q268" s="2"/>
      <c r="R268" s="2"/>
      <c r="T268" s="43" t="s">
        <v>668</v>
      </c>
      <c r="U268" s="193" t="str">
        <f>IF(U258="","TBD",IF(ISNA(MATCH("Fail",U258:U267,0)),"YES","NO"))</f>
        <v>TBD</v>
      </c>
      <c r="V268" s="97"/>
      <c r="Z268" s="43" t="s">
        <v>203</v>
      </c>
      <c r="AA268" s="85"/>
      <c r="AB268" s="82" t="str">
        <f t="shared" si="60"/>
        <v/>
      </c>
      <c r="AC268" s="262" t="str">
        <f>N324</f>
        <v/>
      </c>
      <c r="AD268" s="76" t="s">
        <v>532</v>
      </c>
    </row>
    <row r="269" spans="1:30" ht="13.95" customHeight="1" thickBot="1">
      <c r="A269" s="1">
        <v>24</v>
      </c>
      <c r="L269" s="423"/>
      <c r="M269" s="424"/>
      <c r="N269" s="424"/>
      <c r="O269" s="424"/>
      <c r="P269" s="424"/>
      <c r="Q269" s="424"/>
      <c r="R269" s="424"/>
      <c r="S269" s="98"/>
      <c r="T269" s="98"/>
      <c r="U269" s="68"/>
      <c r="V269" s="71"/>
      <c r="Z269" s="43" t="s">
        <v>405</v>
      </c>
      <c r="AA269" s="85"/>
      <c r="AB269" s="82" t="str">
        <f t="shared" si="60"/>
        <v/>
      </c>
      <c r="AC269" s="262" t="str">
        <f>O324</f>
        <v/>
      </c>
      <c r="AD269" s="76" t="s">
        <v>533</v>
      </c>
    </row>
    <row r="270" spans="1:30" ht="13.95" customHeight="1" thickTop="1">
      <c r="A270" s="1">
        <v>25</v>
      </c>
      <c r="L270" s="42"/>
      <c r="M270" s="2"/>
      <c r="N270" s="2"/>
      <c r="O270" s="2"/>
      <c r="P270" s="2"/>
      <c r="Q270" s="2"/>
      <c r="R270" s="2"/>
      <c r="S270" s="2"/>
      <c r="T270" s="2"/>
      <c r="U270" s="2"/>
      <c r="V270" s="118" t="str">
        <f>$F$2</f>
        <v>Medical University of South Carolina</v>
      </c>
      <c r="Z270" s="43" t="s">
        <v>406</v>
      </c>
      <c r="AA270" s="236"/>
      <c r="AB270" s="82" t="e">
        <f t="shared" si="60"/>
        <v>#REF!</v>
      </c>
      <c r="AC270" s="237" t="e">
        <f>#REF!</f>
        <v>#REF!</v>
      </c>
      <c r="AD270" s="76" t="s">
        <v>534</v>
      </c>
    </row>
    <row r="271" spans="1:30" ht="13.95" customHeight="1">
      <c r="A271" s="1">
        <v>26</v>
      </c>
      <c r="L271" s="2"/>
      <c r="M271" s="109"/>
      <c r="N271" s="109"/>
      <c r="O271" s="4"/>
      <c r="P271" s="2"/>
      <c r="Q271" s="6" t="s">
        <v>263</v>
      </c>
      <c r="R271" s="2"/>
      <c r="S271" s="2"/>
      <c r="T271" s="2"/>
      <c r="U271" s="2"/>
      <c r="V271" s="79" t="str">
        <f>$F$5</f>
        <v>EOS Imaging System Compliance Inspection</v>
      </c>
      <c r="Z271" s="43" t="s">
        <v>195</v>
      </c>
      <c r="AA271" s="210"/>
      <c r="AB271" s="82" t="str">
        <f t="shared" si="60"/>
        <v>Change</v>
      </c>
      <c r="AC271" s="205">
        <f>P324</f>
        <v>130</v>
      </c>
      <c r="AD271" s="76" t="s">
        <v>535</v>
      </c>
    </row>
    <row r="272" spans="1:30" ht="13.95" customHeight="1" thickBot="1">
      <c r="A272" s="1">
        <v>27</v>
      </c>
      <c r="L272" s="2"/>
      <c r="M272" s="2"/>
      <c r="N272" s="2"/>
      <c r="O272" s="2"/>
      <c r="P272" s="2"/>
      <c r="Q272" s="2"/>
      <c r="R272" s="2"/>
      <c r="S272" s="2"/>
      <c r="T272" s="2"/>
      <c r="U272" s="2"/>
      <c r="V272" s="2"/>
      <c r="Z272" s="43" t="s">
        <v>442</v>
      </c>
      <c r="AA272" s="210"/>
      <c r="AB272" s="82" t="str">
        <f t="shared" si="60"/>
        <v>Change</v>
      </c>
      <c r="AC272" s="205">
        <f>Q324</f>
        <v>9</v>
      </c>
      <c r="AD272" s="76" t="s">
        <v>536</v>
      </c>
    </row>
    <row r="273" spans="1:30" ht="13.95" customHeight="1" thickTop="1">
      <c r="A273" s="1">
        <v>28</v>
      </c>
      <c r="L273" s="110" t="s">
        <v>108</v>
      </c>
      <c r="M273" s="86"/>
      <c r="N273" s="86"/>
      <c r="O273" s="86"/>
      <c r="P273" s="86"/>
      <c r="Q273" s="86"/>
      <c r="R273" s="86"/>
      <c r="S273" s="86"/>
      <c r="T273" s="86"/>
      <c r="U273" s="86"/>
      <c r="V273" s="126"/>
      <c r="Z273" s="43" t="s">
        <v>443</v>
      </c>
      <c r="AA273" s="85"/>
      <c r="AB273" s="82" t="str">
        <f t="shared" ref="AB273:AB283" si="61">IF(AND(OR(AA273="",AA273=0),OR(AC273="",AC273=0)),"",IF(AA273&lt;&gt;AC273,"Change",""))</f>
        <v/>
      </c>
      <c r="AC273" s="211">
        <f>S324</f>
        <v>0</v>
      </c>
      <c r="AD273" s="76" t="s">
        <v>537</v>
      </c>
    </row>
    <row r="274" spans="1:30" ht="13.95" customHeight="1">
      <c r="A274" s="1">
        <v>29</v>
      </c>
      <c r="L274" s="113"/>
      <c r="M274" s="2"/>
      <c r="N274" s="2"/>
      <c r="O274" s="2"/>
      <c r="P274" s="4"/>
      <c r="Q274" s="122" t="s">
        <v>260</v>
      </c>
      <c r="R274" s="4"/>
      <c r="S274" s="4"/>
      <c r="T274" s="4"/>
      <c r="U274" s="4"/>
      <c r="V274" s="97"/>
      <c r="Z274" s="43" t="s">
        <v>444</v>
      </c>
      <c r="AA274" s="85"/>
      <c r="AB274" s="82" t="str">
        <f t="shared" si="61"/>
        <v/>
      </c>
      <c r="AC274" s="211" t="str">
        <f>T324</f>
        <v/>
      </c>
      <c r="AD274" s="76" t="s">
        <v>538</v>
      </c>
    </row>
    <row r="275" spans="1:30" ht="13.95" customHeight="1">
      <c r="A275" s="1">
        <v>30</v>
      </c>
      <c r="L275" s="114"/>
      <c r="M275" s="2"/>
      <c r="N275" s="46" t="s">
        <v>261</v>
      </c>
      <c r="O275" s="2"/>
      <c r="P275" s="2"/>
      <c r="Q275" s="2"/>
      <c r="R275" s="2"/>
      <c r="S275" s="2"/>
      <c r="T275" s="2"/>
      <c r="U275" s="2"/>
      <c r="V275" s="97"/>
      <c r="Z275" s="43" t="s">
        <v>451</v>
      </c>
      <c r="AA275" s="42"/>
      <c r="AB275" s="82" t="str">
        <f t="shared" si="61"/>
        <v/>
      </c>
      <c r="AC275" s="42"/>
      <c r="AD275" s="76"/>
    </row>
    <row r="276" spans="1:30" ht="13.95" customHeight="1">
      <c r="A276" s="1">
        <v>31</v>
      </c>
      <c r="L276" s="114"/>
      <c r="M276" s="46"/>
      <c r="N276" s="46" t="s">
        <v>262</v>
      </c>
      <c r="O276" s="42"/>
      <c r="P276" s="42"/>
      <c r="Q276" s="42"/>
      <c r="R276" s="42"/>
      <c r="S276" s="42"/>
      <c r="T276" s="42"/>
      <c r="U276" s="42"/>
      <c r="V276" s="97"/>
      <c r="Z276" s="43" t="s">
        <v>441</v>
      </c>
      <c r="AA276" s="85"/>
      <c r="AB276" s="82" t="str">
        <f t="shared" si="61"/>
        <v>Change</v>
      </c>
      <c r="AC276" s="262" t="str">
        <f>O328</f>
        <v>mA</v>
      </c>
      <c r="AD276" s="76" t="s">
        <v>539</v>
      </c>
    </row>
    <row r="277" spans="1:30" ht="13.95" customHeight="1">
      <c r="A277" s="1">
        <v>32</v>
      </c>
      <c r="L277" s="419"/>
      <c r="V277" s="418"/>
      <c r="Z277" s="43" t="s">
        <v>203</v>
      </c>
      <c r="AA277" s="85"/>
      <c r="AB277" s="82" t="str">
        <f t="shared" si="61"/>
        <v/>
      </c>
      <c r="AC277" s="262" t="str">
        <f>N329</f>
        <v/>
      </c>
      <c r="AD277" s="76" t="s">
        <v>540</v>
      </c>
    </row>
    <row r="278" spans="1:30" ht="13.95" customHeight="1">
      <c r="A278" s="1">
        <v>33</v>
      </c>
      <c r="L278" s="131"/>
      <c r="M278" s="177" t="s">
        <v>134</v>
      </c>
      <c r="N278" s="178" t="str">
        <f>IF(N280&lt;&gt;"",N280,IF(OR(AA216=0,AA216=""),"",AA216))</f>
        <v/>
      </c>
      <c r="O278" s="87"/>
      <c r="P278" s="87"/>
      <c r="Q278" s="87"/>
      <c r="R278" s="87"/>
      <c r="S278" s="87"/>
      <c r="T278" s="87"/>
      <c r="U278" s="87"/>
      <c r="V278" s="104"/>
      <c r="Z278" s="43" t="s">
        <v>405</v>
      </c>
      <c r="AA278" s="85"/>
      <c r="AB278" s="82" t="str">
        <f t="shared" si="61"/>
        <v/>
      </c>
      <c r="AC278" s="262" t="str">
        <f>O329</f>
        <v/>
      </c>
      <c r="AD278" s="76" t="s">
        <v>541</v>
      </c>
    </row>
    <row r="279" spans="1:30" ht="13.95" customHeight="1">
      <c r="A279" s="1">
        <v>34</v>
      </c>
      <c r="L279" s="41"/>
      <c r="M279" s="132" t="s">
        <v>135</v>
      </c>
      <c r="N279" s="88"/>
      <c r="O279" s="179">
        <f>LEN(N278)</f>
        <v>0</v>
      </c>
      <c r="P279" s="88"/>
      <c r="Q279" s="88"/>
      <c r="R279" s="88"/>
      <c r="S279" s="88"/>
      <c r="T279" s="88"/>
      <c r="U279" s="88"/>
      <c r="V279" s="194"/>
      <c r="Z279" s="43" t="s">
        <v>406</v>
      </c>
      <c r="AA279" s="236"/>
      <c r="AB279" s="82" t="e">
        <f t="shared" si="61"/>
        <v>#REF!</v>
      </c>
      <c r="AC279" s="237" t="e">
        <f>#REF!</f>
        <v>#REF!</v>
      </c>
      <c r="AD279" s="76" t="s">
        <v>542</v>
      </c>
    </row>
    <row r="280" spans="1:30" ht="13.95" customHeight="1">
      <c r="A280" s="1">
        <v>35</v>
      </c>
      <c r="L280" s="156"/>
      <c r="M280" s="180" t="s">
        <v>206</v>
      </c>
      <c r="N280" s="181"/>
      <c r="O280" s="88"/>
      <c r="P280" s="88"/>
      <c r="Q280" s="87"/>
      <c r="R280" s="87"/>
      <c r="S280" s="87"/>
      <c r="T280" s="87"/>
      <c r="U280" s="87"/>
      <c r="V280" s="104"/>
      <c r="Z280" s="43" t="s">
        <v>195</v>
      </c>
      <c r="AA280" s="210"/>
      <c r="AB280" s="82" t="str">
        <f t="shared" si="61"/>
        <v>Change</v>
      </c>
      <c r="AC280" s="205">
        <f>P329</f>
        <v>130</v>
      </c>
      <c r="AD280" s="76" t="s">
        <v>543</v>
      </c>
    </row>
    <row r="281" spans="1:30" ht="13.95" customHeight="1">
      <c r="A281" s="1">
        <v>36</v>
      </c>
      <c r="L281" s="41"/>
      <c r="M281" s="42"/>
      <c r="N281" s="42"/>
      <c r="O281" s="42"/>
      <c r="P281" s="42"/>
      <c r="Q281" s="42"/>
      <c r="R281" s="42"/>
      <c r="S281" s="42"/>
      <c r="T281" s="42"/>
      <c r="U281" s="42"/>
      <c r="V281" s="48"/>
      <c r="Z281" s="43" t="s">
        <v>442</v>
      </c>
      <c r="AA281" s="210"/>
      <c r="AB281" s="82" t="str">
        <f t="shared" si="61"/>
        <v>Change</v>
      </c>
      <c r="AC281" s="205">
        <f>Q329</f>
        <v>9</v>
      </c>
      <c r="AD281" s="76" t="s">
        <v>544</v>
      </c>
    </row>
    <row r="282" spans="1:30" ht="13.95" customHeight="1">
      <c r="A282" s="1">
        <v>37</v>
      </c>
      <c r="L282" s="113"/>
      <c r="M282" s="433" t="s">
        <v>270</v>
      </c>
      <c r="N282" s="42"/>
      <c r="O282" s="42"/>
      <c r="P282" s="195" t="s">
        <v>271</v>
      </c>
      <c r="Q282" s="196"/>
      <c r="R282" s="42"/>
      <c r="S282" s="2"/>
      <c r="T282" s="42"/>
      <c r="U282" s="42"/>
      <c r="V282" s="97"/>
      <c r="Z282" s="43" t="s">
        <v>445</v>
      </c>
      <c r="AA282" s="85"/>
      <c r="AB282" s="82" t="str">
        <f t="shared" si="61"/>
        <v/>
      </c>
      <c r="AC282" s="211">
        <f>S329</f>
        <v>0</v>
      </c>
      <c r="AD282" s="76" t="s">
        <v>545</v>
      </c>
    </row>
    <row r="283" spans="1:30" ht="13.95" customHeight="1" thickBot="1">
      <c r="A283" s="1">
        <v>38</v>
      </c>
      <c r="L283" s="113"/>
      <c r="M283" s="433" t="s">
        <v>272</v>
      </c>
      <c r="N283" s="42"/>
      <c r="O283" s="42"/>
      <c r="P283" s="197" t="s">
        <v>273</v>
      </c>
      <c r="Q283" s="197" t="s">
        <v>274</v>
      </c>
      <c r="R283" s="42"/>
      <c r="S283" s="2"/>
      <c r="T283" s="42"/>
      <c r="U283" s="42"/>
      <c r="V283" s="97"/>
      <c r="Z283" s="43" t="s">
        <v>446</v>
      </c>
      <c r="AA283" s="85"/>
      <c r="AB283" s="82" t="str">
        <f t="shared" si="61"/>
        <v/>
      </c>
      <c r="AC283" s="211" t="str">
        <f>T329</f>
        <v/>
      </c>
      <c r="AD283" s="76" t="s">
        <v>546</v>
      </c>
    </row>
    <row r="284" spans="1:30" ht="13.95" customHeight="1" thickBot="1">
      <c r="A284" s="1">
        <v>39</v>
      </c>
      <c r="L284" s="41"/>
      <c r="M284" s="42"/>
      <c r="N284" s="42"/>
      <c r="O284" s="43" t="s">
        <v>278</v>
      </c>
      <c r="P284" s="198"/>
      <c r="Q284" s="198"/>
      <c r="R284" s="42"/>
      <c r="S284" s="2"/>
      <c r="T284" s="199" t="s">
        <v>275</v>
      </c>
      <c r="U284" s="200" t="str">
        <f>IF(P284="NA","NA",IF(OR(P284="",Q284=""),"TBD",IF(MAX(P284:Q285)&gt;5,"NO","YES")))</f>
        <v>TBD</v>
      </c>
      <c r="V284" s="97"/>
    </row>
    <row r="285" spans="1:30" ht="13.95" customHeight="1">
      <c r="A285" s="1">
        <v>40</v>
      </c>
      <c r="L285" s="419"/>
      <c r="O285" s="434" t="s">
        <v>279</v>
      </c>
      <c r="P285" s="198"/>
      <c r="Q285" s="198"/>
      <c r="V285" s="418"/>
      <c r="Z285" s="79" t="s">
        <v>508</v>
      </c>
      <c r="AA285" s="383" t="str">
        <f>N337</f>
        <v>Piranha 2 CB2-19020491</v>
      </c>
      <c r="AB285" s="82" t="str">
        <f t="shared" ref="AB285" si="62">IF(AND(OR(AA285="",AA285=0),OR(AC285="",AC285=0)),"",IF(AA285&lt;&gt;AC285,"Change",""))</f>
        <v/>
      </c>
      <c r="AC285" s="211" t="str">
        <f>N337</f>
        <v>Piranha 2 CB2-19020491</v>
      </c>
      <c r="AD285" s="76" t="s">
        <v>509</v>
      </c>
    </row>
    <row r="286" spans="1:30" ht="13.95" customHeight="1">
      <c r="A286" s="1">
        <v>41</v>
      </c>
      <c r="L286" s="41"/>
      <c r="M286" s="201" t="s">
        <v>6</v>
      </c>
      <c r="O286" s="213" t="s">
        <v>278</v>
      </c>
      <c r="P286" s="202" t="str">
        <f>IF(AA245="","",AA245)</f>
        <v/>
      </c>
      <c r="Q286" s="202" t="str">
        <f>IF(AA246="","",AA246)</f>
        <v/>
      </c>
      <c r="R286" s="2"/>
      <c r="S286" s="2"/>
      <c r="T286" s="2"/>
      <c r="U286" s="2"/>
      <c r="V286" s="97"/>
    </row>
    <row r="287" spans="1:30" ht="13.95" customHeight="1">
      <c r="A287" s="1">
        <v>42</v>
      </c>
      <c r="L287" s="203"/>
      <c r="O287" s="213" t="s">
        <v>279</v>
      </c>
      <c r="P287" s="202" t="str">
        <f>IF(AA248="","",AA248)</f>
        <v/>
      </c>
      <c r="Q287" s="202" t="str">
        <f>IF(AA249="","",AA249)</f>
        <v/>
      </c>
      <c r="R287" s="42"/>
      <c r="S287" s="2"/>
      <c r="T287" s="46"/>
      <c r="U287" s="42"/>
      <c r="V287" s="97"/>
      <c r="Z287" s="445" t="s">
        <v>522</v>
      </c>
    </row>
    <row r="288" spans="1:30" ht="13.95" customHeight="1">
      <c r="A288" s="1">
        <v>43</v>
      </c>
      <c r="L288" s="113"/>
      <c r="M288" s="79" t="s">
        <v>276</v>
      </c>
      <c r="N288" s="54" t="s">
        <v>277</v>
      </c>
      <c r="O288" s="2"/>
      <c r="P288" s="2"/>
      <c r="Q288" s="2"/>
      <c r="R288" s="2"/>
      <c r="S288" s="2"/>
      <c r="T288" s="2"/>
      <c r="U288" s="2"/>
      <c r="V288" s="97"/>
      <c r="Z288" s="301" t="s">
        <v>523</v>
      </c>
      <c r="AA288" s="85"/>
      <c r="AB288" s="82" t="str">
        <f t="shared" ref="AB288:AB289" si="63">IF(AND(OR(AA288="",AA288=0),OR(AC288="",AC288=0)),"",IF(AA288&lt;&gt;AC288,"Change",""))</f>
        <v/>
      </c>
      <c r="AC288" s="211" t="str">
        <f>P405</f>
        <v/>
      </c>
      <c r="AD288" s="76" t="s">
        <v>529</v>
      </c>
    </row>
    <row r="289" spans="1:30" ht="13.95" customHeight="1">
      <c r="A289" s="1">
        <v>44</v>
      </c>
      <c r="L289" s="113"/>
      <c r="M289" s="177" t="s">
        <v>134</v>
      </c>
      <c r="N289" s="178" t="str">
        <f>IF(N291&lt;&gt;"",N291,IF(OR(AA201=0,AA201=""),"",AA201))</f>
        <v/>
      </c>
      <c r="O289" s="87"/>
      <c r="P289" s="87"/>
      <c r="Q289" s="87"/>
      <c r="R289" s="87"/>
      <c r="S289" s="87"/>
      <c r="T289" s="87"/>
      <c r="U289" s="87"/>
      <c r="V289" s="104"/>
      <c r="Z289" s="301" t="s">
        <v>524</v>
      </c>
      <c r="AA289" s="85"/>
      <c r="AB289" s="82" t="str">
        <f t="shared" si="63"/>
        <v/>
      </c>
      <c r="AC289" s="211" t="str">
        <f>U405</f>
        <v/>
      </c>
      <c r="AD289" s="76" t="s">
        <v>530</v>
      </c>
    </row>
    <row r="290" spans="1:30" ht="13.95" customHeight="1">
      <c r="A290" s="1">
        <v>45</v>
      </c>
      <c r="L290" s="131"/>
      <c r="M290" s="132" t="s">
        <v>135</v>
      </c>
      <c r="N290" s="88"/>
      <c r="O290" s="179">
        <f>LEN(N289)</f>
        <v>0</v>
      </c>
      <c r="P290" s="88"/>
      <c r="Q290" s="88"/>
      <c r="R290" s="88"/>
      <c r="S290" s="88"/>
      <c r="T290" s="88"/>
      <c r="U290" s="88"/>
      <c r="V290" s="194"/>
      <c r="Z290" s="446"/>
    </row>
    <row r="291" spans="1:30" ht="13.95" customHeight="1">
      <c r="A291" s="1">
        <v>46</v>
      </c>
      <c r="L291" s="41"/>
      <c r="M291" s="180" t="s">
        <v>206</v>
      </c>
      <c r="N291" s="181"/>
      <c r="O291" s="88"/>
      <c r="P291" s="88"/>
      <c r="Q291" s="87"/>
      <c r="R291" s="87"/>
      <c r="S291" s="87"/>
      <c r="T291" s="87"/>
      <c r="U291" s="87"/>
      <c r="V291" s="104"/>
      <c r="Z291" s="445" t="s">
        <v>549</v>
      </c>
      <c r="AA291" s="447"/>
      <c r="AB291" s="447"/>
      <c r="AC291" s="447"/>
      <c r="AD291" s="545"/>
    </row>
    <row r="292" spans="1:30" ht="13.95" customHeight="1">
      <c r="A292" s="1">
        <v>47</v>
      </c>
      <c r="L292" s="419"/>
      <c r="V292" s="418"/>
      <c r="Z292" s="43" t="s">
        <v>450</v>
      </c>
      <c r="AA292" s="447"/>
      <c r="AB292" s="447"/>
      <c r="AC292" s="447"/>
      <c r="AD292" s="545"/>
    </row>
    <row r="293" spans="1:30" ht="13.95" customHeight="1">
      <c r="A293" s="1">
        <v>48</v>
      </c>
      <c r="B293" s="99" t="s">
        <v>3</v>
      </c>
      <c r="C293" s="100" t="str">
        <f>IF($N$8="","",$N$8)</f>
        <v/>
      </c>
      <c r="D293" s="2"/>
      <c r="E293" s="2"/>
      <c r="F293" s="2"/>
      <c r="G293" s="2" t="str">
        <f>""</f>
        <v/>
      </c>
      <c r="H293" s="2" t="str">
        <f>""</f>
        <v/>
      </c>
      <c r="I293" s="99" t="s">
        <v>4</v>
      </c>
      <c r="J293" s="101" t="str">
        <f>IF($U$8="","",$U$8)</f>
        <v>Eugene Mah</v>
      </c>
      <c r="L293" s="215" t="s">
        <v>382</v>
      </c>
      <c r="M293" s="65"/>
      <c r="N293" s="2"/>
      <c r="V293" s="418"/>
      <c r="Y293" s="754" t="s">
        <v>526</v>
      </c>
      <c r="Z293" s="448" t="s">
        <v>477</v>
      </c>
      <c r="AA293" s="85"/>
      <c r="AB293" s="82" t="str">
        <f t="shared" ref="AB293:AB301" si="64">IF(AND(OR(AA293="",AA293=0),OR(AC293="",AC293=0)),"",IF(AA293&lt;&gt;AC293,"Change",""))</f>
        <v/>
      </c>
      <c r="AC293" s="211" t="str">
        <f>M429</f>
        <v/>
      </c>
      <c r="AD293" s="545" t="s">
        <v>688</v>
      </c>
    </row>
    <row r="294" spans="1:30" ht="13.95" customHeight="1" thickBot="1">
      <c r="A294" s="1">
        <v>49</v>
      </c>
      <c r="B294" s="99" t="s">
        <v>18</v>
      </c>
      <c r="C294" s="102" t="str">
        <f>IF($O$15="","",$O$15)</f>
        <v/>
      </c>
      <c r="D294" s="2"/>
      <c r="E294" s="2"/>
      <c r="F294" s="2"/>
      <c r="G294" s="2"/>
      <c r="H294" s="2"/>
      <c r="I294" s="99" t="s">
        <v>16</v>
      </c>
      <c r="J294" s="103" t="str">
        <f>IF($E$14="","",$E$14)</f>
        <v/>
      </c>
      <c r="L294" s="216">
        <f>IF(M294&lt;&gt;"",M294,IF(OR(AA251=0,AA251=""),"",ROUND(AA251,2)))</f>
        <v>121.25</v>
      </c>
      <c r="M294" s="217">
        <v>121.25</v>
      </c>
      <c r="N294" s="435" t="s">
        <v>459</v>
      </c>
      <c r="R294" s="436" t="s">
        <v>389</v>
      </c>
      <c r="V294" s="418"/>
      <c r="Y294" s="754"/>
      <c r="Z294" s="448" t="s">
        <v>205</v>
      </c>
      <c r="AA294" s="85"/>
      <c r="AB294" s="82" t="str">
        <f t="shared" si="64"/>
        <v/>
      </c>
      <c r="AC294" s="211" t="str">
        <f>N429</f>
        <v/>
      </c>
      <c r="AD294" s="545" t="s">
        <v>689</v>
      </c>
    </row>
    <row r="295" spans="1:30" ht="13.95" customHeight="1" thickBot="1">
      <c r="A295" s="1">
        <v>1</v>
      </c>
      <c r="J295" s="118" t="str">
        <f>$F$2</f>
        <v>Medical University of South Carolina</v>
      </c>
      <c r="L295" s="218">
        <f>IF(M295&lt;&gt;"",M295,IF(OR(AA252=0,AA252=""),"",ROUND(AA252,2)))</f>
        <v>8.75</v>
      </c>
      <c r="M295" s="219">
        <v>8.75</v>
      </c>
      <c r="N295" s="435" t="s">
        <v>458</v>
      </c>
      <c r="Q295" s="220"/>
      <c r="R295" s="436" t="s">
        <v>390</v>
      </c>
      <c r="V295" s="418"/>
      <c r="Y295" s="754"/>
      <c r="Z295" s="449" t="s">
        <v>521</v>
      </c>
      <c r="AA295" s="85"/>
      <c r="AB295" s="82" t="str">
        <f t="shared" si="64"/>
        <v/>
      </c>
      <c r="AC295" s="211" t="str">
        <f>O429</f>
        <v/>
      </c>
      <c r="AD295" s="545" t="s">
        <v>690</v>
      </c>
    </row>
    <row r="296" spans="1:30" ht="13.95" customHeight="1" thickTop="1" thickBot="1">
      <c r="A296" s="1">
        <v>2</v>
      </c>
      <c r="J296" s="79" t="str">
        <f>$F$5</f>
        <v>EOS Imaging System Compliance Inspection</v>
      </c>
      <c r="L296" s="419"/>
      <c r="M296" s="2"/>
      <c r="O296" s="755" t="s">
        <v>383</v>
      </c>
      <c r="P296" s="755"/>
      <c r="Q296" s="42" t="s">
        <v>384</v>
      </c>
      <c r="R296" s="2"/>
      <c r="S296" s="437" t="s">
        <v>388</v>
      </c>
      <c r="T296" s="42"/>
      <c r="V296" s="222" t="s">
        <v>388</v>
      </c>
      <c r="Y296" s="754" t="s">
        <v>527</v>
      </c>
      <c r="Z296" s="448" t="s">
        <v>477</v>
      </c>
      <c r="AA296" s="85"/>
      <c r="AB296" s="82" t="str">
        <f t="shared" si="64"/>
        <v/>
      </c>
      <c r="AC296" s="211" t="str">
        <f>M430</f>
        <v/>
      </c>
      <c r="AD296" s="545" t="s">
        <v>691</v>
      </c>
    </row>
    <row r="297" spans="1:30" ht="13.95" customHeight="1" thickTop="1" thickBot="1">
      <c r="A297" s="1">
        <v>3</v>
      </c>
      <c r="B297" s="501"/>
      <c r="C297" s="502"/>
      <c r="D297" s="502"/>
      <c r="E297" s="502"/>
      <c r="F297" s="502"/>
      <c r="G297" s="502"/>
      <c r="H297" s="502"/>
      <c r="I297" s="502"/>
      <c r="J297" s="503"/>
      <c r="L297" s="419"/>
      <c r="M297" s="2"/>
      <c r="O297" s="756" t="s">
        <v>386</v>
      </c>
      <c r="P297" s="757"/>
      <c r="Q297" s="170" t="s">
        <v>387</v>
      </c>
      <c r="R297" s="226" t="s">
        <v>6</v>
      </c>
      <c r="S297" s="42"/>
      <c r="T297" s="42"/>
      <c r="V297" s="223" t="s">
        <v>385</v>
      </c>
      <c r="Y297" s="754"/>
      <c r="Z297" s="448" t="s">
        <v>205</v>
      </c>
      <c r="AA297" s="85"/>
      <c r="AB297" s="82" t="str">
        <f t="shared" si="64"/>
        <v/>
      </c>
      <c r="AC297" s="211" t="str">
        <f>N430</f>
        <v/>
      </c>
      <c r="AD297" s="545" t="s">
        <v>692</v>
      </c>
    </row>
    <row r="298" spans="1:30" ht="13.95" customHeight="1" thickTop="1" thickBot="1">
      <c r="A298" s="1">
        <v>4</v>
      </c>
      <c r="B298" s="421" t="s">
        <v>725</v>
      </c>
      <c r="J298" s="418"/>
      <c r="L298" s="419"/>
      <c r="M298" s="2"/>
      <c r="N298" s="434" t="s">
        <v>391</v>
      </c>
      <c r="O298" s="790"/>
      <c r="P298" s="790"/>
      <c r="Q298" s="227" t="str">
        <f>IF(O298="NA","NA",IF(OR($L$294="",$L$294=0,$L$295="",$L$295=0,O298=""),"TBD",(180/PI())*ATAN((O298/152)*IF($S$296="Upper",$L$294/($L$294+$L$295),((($L$294+$L$295)-(15.2+$L$295))/($L$294+$L$295))))))</f>
        <v>TBD</v>
      </c>
      <c r="R298" s="228" t="str">
        <f>IF(OR(AA253=0,AA253=""),"",AA253)</f>
        <v/>
      </c>
      <c r="V298" s="418"/>
      <c r="Y298" s="754"/>
      <c r="Z298" s="449" t="s">
        <v>521</v>
      </c>
      <c r="AA298" s="85"/>
      <c r="AB298" s="82" t="str">
        <f t="shared" si="64"/>
        <v/>
      </c>
      <c r="AC298" s="211" t="str">
        <f>O430</f>
        <v/>
      </c>
      <c r="AD298" s="545" t="s">
        <v>693</v>
      </c>
    </row>
    <row r="299" spans="1:30" ht="13.95" customHeight="1" thickBot="1">
      <c r="A299" s="1">
        <v>5</v>
      </c>
      <c r="B299" s="419"/>
      <c r="D299" s="195" t="s">
        <v>271</v>
      </c>
      <c r="E299" s="196"/>
      <c r="J299" s="418"/>
      <c r="L299" s="419"/>
      <c r="M299" s="2"/>
      <c r="N299" s="43" t="s">
        <v>392</v>
      </c>
      <c r="O299" s="790"/>
      <c r="P299" s="790"/>
      <c r="Q299" s="227" t="str">
        <f>IF(O299="NA","NA",IF(OR($L$294="",$L$294=0,$L$295="",$L$295=0,O299=""),"TBD",(180/PI())*ATAN((O299/152)*IF($S$296="Upper",$L$294/($L$294+$L$295),((($L$294+$L$295)-(15.2+$L$295))/($L$294+$L$295))))))</f>
        <v>TBD</v>
      </c>
      <c r="R299" s="228" t="str">
        <f>IF(OR(AA254=0,AA254=""),"",AA254)</f>
        <v/>
      </c>
      <c r="S299" s="225" t="s">
        <v>275</v>
      </c>
      <c r="T299" s="200" t="str">
        <f>IF(OR(Q298="NA",Q99="NA"),"NA",IF(OR(Q298="TBD",Q299="TBD"),"TBD",IF(AND(Q298&lt;=0.5,Q299&lt;=0.5),"YES","NO")))</f>
        <v>TBD</v>
      </c>
      <c r="V299" s="418"/>
      <c r="Y299" s="754" t="s">
        <v>528</v>
      </c>
      <c r="Z299" s="448" t="s">
        <v>477</v>
      </c>
      <c r="AA299" s="85"/>
      <c r="AB299" s="82" t="str">
        <f t="shared" si="64"/>
        <v/>
      </c>
      <c r="AC299" s="211" t="str">
        <f>M431</f>
        <v/>
      </c>
      <c r="AD299" s="545" t="s">
        <v>694</v>
      </c>
    </row>
    <row r="300" spans="1:30" ht="13.95" customHeight="1" thickBot="1">
      <c r="A300" s="1">
        <v>6</v>
      </c>
      <c r="B300" s="419"/>
      <c r="D300" s="460" t="s">
        <v>273</v>
      </c>
      <c r="E300" s="460" t="s">
        <v>274</v>
      </c>
      <c r="J300" s="418"/>
      <c r="L300" s="419"/>
      <c r="M300" s="79" t="s">
        <v>276</v>
      </c>
      <c r="N300" s="54" t="s">
        <v>404</v>
      </c>
      <c r="O300" s="42"/>
      <c r="P300" s="42"/>
      <c r="Q300" s="46"/>
      <c r="V300" s="418"/>
      <c r="Y300" s="754"/>
      <c r="Z300" s="448" t="s">
        <v>205</v>
      </c>
      <c r="AA300" s="85"/>
      <c r="AB300" s="82" t="str">
        <f t="shared" si="64"/>
        <v/>
      </c>
      <c r="AC300" s="211" t="str">
        <f>N431</f>
        <v/>
      </c>
      <c r="AD300" s="545" t="s">
        <v>695</v>
      </c>
    </row>
    <row r="301" spans="1:30" ht="13.95" customHeight="1" thickBot="1">
      <c r="A301" s="1">
        <v>7</v>
      </c>
      <c r="B301" s="419"/>
      <c r="C301" s="43" t="s">
        <v>278</v>
      </c>
      <c r="D301" s="549" t="str">
        <f>IF(P284="","",P284)</f>
        <v/>
      </c>
      <c r="E301" s="549" t="str">
        <f t="shared" ref="E301:E302" si="65">IF(Q284="","",Q284)</f>
        <v/>
      </c>
      <c r="H301" s="550" t="s">
        <v>275</v>
      </c>
      <c r="I301" s="551" t="str">
        <f>IF(U284="","",U284)</f>
        <v>TBD</v>
      </c>
      <c r="J301" s="418"/>
      <c r="L301" s="419"/>
      <c r="R301" s="2"/>
      <c r="S301" s="42"/>
      <c r="T301" s="42"/>
      <c r="V301" s="418"/>
      <c r="Y301" s="754"/>
      <c r="Z301" s="449" t="s">
        <v>521</v>
      </c>
      <c r="AA301" s="85"/>
      <c r="AB301" s="82" t="str">
        <f t="shared" si="64"/>
        <v/>
      </c>
      <c r="AC301" s="211" t="str">
        <f>O431</f>
        <v/>
      </c>
      <c r="AD301" s="545" t="s">
        <v>696</v>
      </c>
    </row>
    <row r="302" spans="1:30" ht="13.95" customHeight="1">
      <c r="A302" s="1">
        <v>8</v>
      </c>
      <c r="B302" s="419"/>
      <c r="C302" s="434" t="s">
        <v>279</v>
      </c>
      <c r="D302" s="549" t="str">
        <f>IF(P285="","",P285)</f>
        <v/>
      </c>
      <c r="E302" s="549" t="str">
        <f t="shared" si="65"/>
        <v/>
      </c>
      <c r="J302" s="418"/>
      <c r="L302" s="215" t="s">
        <v>398</v>
      </c>
      <c r="M302" s="2"/>
      <c r="N302" s="2"/>
      <c r="O302" s="2"/>
      <c r="P302" s="2"/>
      <c r="Q302" s="2"/>
      <c r="R302" s="2"/>
      <c r="S302" s="221" t="s">
        <v>6</v>
      </c>
      <c r="T302" s="229" t="str">
        <f>IF(OR(AA258=0,AA258=""),"",AA258)</f>
        <v/>
      </c>
      <c r="V302" s="418"/>
      <c r="Z302" s="43" t="s">
        <v>451</v>
      </c>
      <c r="AA302" s="447"/>
      <c r="AB302" s="447"/>
      <c r="AC302" s="447"/>
      <c r="AD302" s="545"/>
    </row>
    <row r="303" spans="1:30" ht="13.95" customHeight="1">
      <c r="A303" s="1">
        <v>9</v>
      </c>
      <c r="B303" s="420" t="s">
        <v>276</v>
      </c>
      <c r="C303" s="54" t="s">
        <v>277</v>
      </c>
      <c r="J303" s="418"/>
      <c r="L303" s="113"/>
      <c r="M303" s="43" t="s">
        <v>399</v>
      </c>
      <c r="N303" s="230" t="str">
        <f>IF(N304&lt;&gt;"",N304,IF(OR(AA255=0,AA255=""),"",AA255))</f>
        <v/>
      </c>
      <c r="O303" s="43" t="s">
        <v>400</v>
      </c>
      <c r="P303" s="230" t="str">
        <f>IF(P304&lt;&gt;"",P304,IF(OR(AA256=0,AA256=""),"",AA256))</f>
        <v/>
      </c>
      <c r="Q303" s="43" t="s">
        <v>401</v>
      </c>
      <c r="R303" s="231" t="str">
        <f>IF(R304&lt;&gt;"",R304,IF(OR(AA257=0,AA257=""),"",AA257))</f>
        <v/>
      </c>
      <c r="S303" s="43" t="s">
        <v>402</v>
      </c>
      <c r="T303" s="232">
        <f>IF(AND(OR(T304=0,T304=""),OR(P303=0,P303=""),OR(R303=0,R303=""),OR(T302=0,T302="")),0.5,IF(T304&lt;&gt;"","See below",IF(AND(P303&lt;&gt;"",R303&lt;&gt;""),P303*R303,T302)))</f>
        <v>0.5</v>
      </c>
      <c r="V303" s="418"/>
      <c r="Y303" s="754" t="s">
        <v>526</v>
      </c>
      <c r="Z303" s="448" t="s">
        <v>477</v>
      </c>
      <c r="AA303" s="85"/>
      <c r="AB303" s="82" t="str">
        <f t="shared" ref="AB303:AB311" si="66">IF(AND(OR(AA303="",AA303=0),OR(AC303="",AC303=0)),"",IF(AA303&lt;&gt;AC303,"Change",""))</f>
        <v/>
      </c>
      <c r="AC303" s="211" t="str">
        <f>Q429</f>
        <v/>
      </c>
      <c r="AD303" s="545" t="s">
        <v>697</v>
      </c>
    </row>
    <row r="304" spans="1:30" ht="13.95" customHeight="1">
      <c r="A304" s="1">
        <v>10</v>
      </c>
      <c r="B304" s="419"/>
      <c r="J304" s="418"/>
      <c r="L304" s="113"/>
      <c r="M304" s="79" t="s">
        <v>403</v>
      </c>
      <c r="N304" s="233"/>
      <c r="O304" s="79" t="s">
        <v>403</v>
      </c>
      <c r="P304" s="233"/>
      <c r="Q304" s="79" t="s">
        <v>403</v>
      </c>
      <c r="R304" s="234"/>
      <c r="S304" s="79" t="s">
        <v>403</v>
      </c>
      <c r="T304" s="235"/>
      <c r="V304" s="418"/>
      <c r="Y304" s="754"/>
      <c r="Z304" s="448" t="s">
        <v>205</v>
      </c>
      <c r="AA304" s="85"/>
      <c r="AB304" s="82" t="str">
        <f t="shared" si="66"/>
        <v/>
      </c>
      <c r="AC304" s="211" t="str">
        <f>R429</f>
        <v/>
      </c>
      <c r="AD304" s="545" t="s">
        <v>698</v>
      </c>
    </row>
    <row r="305" spans="1:30" ht="13.95" customHeight="1">
      <c r="A305" s="1">
        <v>11</v>
      </c>
      <c r="B305" s="215" t="s">
        <v>382</v>
      </c>
      <c r="J305" s="418"/>
      <c r="L305" s="419"/>
      <c r="V305" s="418"/>
      <c r="Y305" s="754"/>
      <c r="Z305" s="449" t="s">
        <v>521</v>
      </c>
      <c r="AA305" s="85"/>
      <c r="AB305" s="82" t="str">
        <f t="shared" si="66"/>
        <v/>
      </c>
      <c r="AC305" s="211" t="str">
        <f>S429</f>
        <v/>
      </c>
      <c r="AD305" s="545" t="s">
        <v>699</v>
      </c>
    </row>
    <row r="306" spans="1:30" ht="13.95" customHeight="1">
      <c r="A306" s="1">
        <v>12</v>
      </c>
      <c r="B306" s="419"/>
      <c r="D306" s="755" t="s">
        <v>383</v>
      </c>
      <c r="E306" s="755"/>
      <c r="F306" s="42" t="s">
        <v>384</v>
      </c>
      <c r="J306" s="418"/>
      <c r="L306" s="421" t="s">
        <v>412</v>
      </c>
      <c r="V306" s="418"/>
      <c r="Y306" s="754" t="s">
        <v>527</v>
      </c>
      <c r="Z306" s="448" t="s">
        <v>477</v>
      </c>
      <c r="AA306" s="85"/>
      <c r="AB306" s="82" t="str">
        <f t="shared" si="66"/>
        <v/>
      </c>
      <c r="AC306" s="211" t="str">
        <f>Q430</f>
        <v/>
      </c>
      <c r="AD306" s="545" t="s">
        <v>700</v>
      </c>
    </row>
    <row r="307" spans="1:30" ht="13.95" customHeight="1" thickBot="1">
      <c r="A307" s="1">
        <v>13</v>
      </c>
      <c r="B307" s="419"/>
      <c r="D307" s="756" t="s">
        <v>386</v>
      </c>
      <c r="E307" s="757"/>
      <c r="F307" s="170" t="s">
        <v>387</v>
      </c>
      <c r="J307" s="418"/>
      <c r="L307" s="763" t="s">
        <v>413</v>
      </c>
      <c r="M307" s="764"/>
      <c r="N307" s="788" t="s">
        <v>424</v>
      </c>
      <c r="O307" s="764"/>
      <c r="P307" s="788" t="s">
        <v>425</v>
      </c>
      <c r="Q307" s="789"/>
      <c r="R307" s="759" t="s">
        <v>371</v>
      </c>
      <c r="S307" s="760"/>
      <c r="T307" s="759" t="s">
        <v>373</v>
      </c>
      <c r="U307" s="760"/>
      <c r="V307" s="418"/>
      <c r="Y307" s="754"/>
      <c r="Z307" s="448" t="s">
        <v>205</v>
      </c>
      <c r="AA307" s="85"/>
      <c r="AB307" s="82" t="str">
        <f t="shared" si="66"/>
        <v/>
      </c>
      <c r="AC307" s="211" t="str">
        <f>R430</f>
        <v/>
      </c>
      <c r="AD307" s="545" t="s">
        <v>701</v>
      </c>
    </row>
    <row r="308" spans="1:30" ht="13.95" customHeight="1" thickBot="1">
      <c r="A308" s="1">
        <v>14</v>
      </c>
      <c r="B308" s="419"/>
      <c r="C308" s="43" t="s">
        <v>278</v>
      </c>
      <c r="D308" s="758" t="str">
        <f>IF(O298="","",O298)</f>
        <v/>
      </c>
      <c r="E308" s="758"/>
      <c r="F308" s="552" t="str">
        <f>IF(Q298="","",Q298)</f>
        <v>TBD</v>
      </c>
      <c r="H308" s="550" t="s">
        <v>275</v>
      </c>
      <c r="I308" s="551" t="str">
        <f>IF(T299="","",T299)</f>
        <v>TBD</v>
      </c>
      <c r="J308" s="418"/>
      <c r="L308" s="765" t="s">
        <v>202</v>
      </c>
      <c r="M308" s="760"/>
      <c r="N308" s="766" t="s">
        <v>202</v>
      </c>
      <c r="O308" s="760"/>
      <c r="P308" s="766" t="s">
        <v>202</v>
      </c>
      <c r="Q308" s="767"/>
      <c r="R308" s="761" t="s">
        <v>414</v>
      </c>
      <c r="S308" s="762"/>
      <c r="T308" s="761" t="s">
        <v>414</v>
      </c>
      <c r="U308" s="762"/>
      <c r="V308" s="418"/>
      <c r="Y308" s="754"/>
      <c r="Z308" s="449" t="s">
        <v>521</v>
      </c>
      <c r="AA308" s="85"/>
      <c r="AB308" s="82" t="str">
        <f t="shared" si="66"/>
        <v/>
      </c>
      <c r="AC308" s="211" t="str">
        <f>S430</f>
        <v/>
      </c>
      <c r="AD308" s="545" t="s">
        <v>702</v>
      </c>
    </row>
    <row r="309" spans="1:30" ht="13.95" customHeight="1" thickBot="1">
      <c r="A309" s="1">
        <v>15</v>
      </c>
      <c r="B309" s="419"/>
      <c r="C309" s="434" t="s">
        <v>279</v>
      </c>
      <c r="D309" s="758" t="str">
        <f>IF(O299="","",O299)</f>
        <v/>
      </c>
      <c r="E309" s="758"/>
      <c r="F309" s="552" t="str">
        <f>IF(Q299="","",Q299)</f>
        <v>TBD</v>
      </c>
      <c r="J309" s="418"/>
      <c r="L309" s="238" t="s">
        <v>274</v>
      </c>
      <c r="M309" s="239" t="s">
        <v>273</v>
      </c>
      <c r="N309" s="240" t="s">
        <v>274</v>
      </c>
      <c r="O309" s="239" t="s">
        <v>273</v>
      </c>
      <c r="P309" s="240" t="s">
        <v>274</v>
      </c>
      <c r="Q309" s="239" t="s">
        <v>273</v>
      </c>
      <c r="R309" s="384" t="s">
        <v>274</v>
      </c>
      <c r="S309" s="239" t="s">
        <v>273</v>
      </c>
      <c r="T309" s="241" t="s">
        <v>274</v>
      </c>
      <c r="U309" s="239" t="s">
        <v>273</v>
      </c>
      <c r="V309" s="418"/>
      <c r="Y309" s="754" t="s">
        <v>528</v>
      </c>
      <c r="Z309" s="448" t="s">
        <v>477</v>
      </c>
      <c r="AA309" s="85"/>
      <c r="AB309" s="82" t="str">
        <f t="shared" si="66"/>
        <v/>
      </c>
      <c r="AC309" s="211" t="str">
        <f>Q431</f>
        <v/>
      </c>
      <c r="AD309" s="545" t="s">
        <v>703</v>
      </c>
    </row>
    <row r="310" spans="1:30" ht="13.95" customHeight="1">
      <c r="A310" s="1">
        <v>16</v>
      </c>
      <c r="B310" s="420" t="s">
        <v>276</v>
      </c>
      <c r="C310" s="54" t="s">
        <v>404</v>
      </c>
      <c r="J310" s="418"/>
      <c r="L310" s="243" t="str">
        <f>IF(L314&lt;&gt;"",L314,IF(OR(AA260=0,AA260=""),"",AA260))</f>
        <v/>
      </c>
      <c r="M310" s="244" t="str">
        <f>IF(M314&lt;&gt;"",M314,IF(OR(AA261=0,AA261=""),"",AA261))</f>
        <v/>
      </c>
      <c r="N310" s="245"/>
      <c r="O310" s="246"/>
      <c r="P310" s="245"/>
      <c r="Q310" s="198"/>
      <c r="R310" s="385" t="str">
        <f>IF(OR(L310="",L310=0,N310="",N310=0),"NA",ABS(L310-N310)/SUM($L$294:$L$295))</f>
        <v>NA</v>
      </c>
      <c r="S310" s="386" t="str">
        <f>IF(OR(M310="",M310=0,O310="",O310=0),"NA",ABS(M310-O310)/SUM($L$294:$L$295))</f>
        <v>NA</v>
      </c>
      <c r="T310" s="389" t="str">
        <f>IF(OR(L310="",L310=0,P310="",P310=0),"NA",ABS(L310-P310)/SUM($L$294:$L$295))</f>
        <v>NA</v>
      </c>
      <c r="U310" s="386" t="str">
        <f>IF(OR(M310="",M310=0,Q310="",Q310=0),"NA",ABS(M310-Q310)/SUM($L$294:$L$295))</f>
        <v>NA</v>
      </c>
      <c r="V310" s="418"/>
      <c r="Y310" s="754"/>
      <c r="Z310" s="448" t="s">
        <v>205</v>
      </c>
      <c r="AA310" s="85"/>
      <c r="AB310" s="82" t="str">
        <f t="shared" si="66"/>
        <v/>
      </c>
      <c r="AC310" s="211" t="str">
        <f>R431</f>
        <v/>
      </c>
      <c r="AD310" s="545" t="s">
        <v>704</v>
      </c>
    </row>
    <row r="311" spans="1:30" ht="13.95" customHeight="1" thickBot="1">
      <c r="A311" s="1">
        <v>17</v>
      </c>
      <c r="B311" s="419"/>
      <c r="J311" s="418"/>
      <c r="L311" s="395" t="str">
        <f>IF(L315&lt;&gt;"",L315,IF(OR(AA262=0,AA262=""),"",AA262))</f>
        <v/>
      </c>
      <c r="M311" s="396" t="str">
        <f>IF(M315&lt;&gt;"",M315,IF(OR(AA263=0,AA263=""),"",AA263))</f>
        <v/>
      </c>
      <c r="N311" s="397"/>
      <c r="O311" s="398"/>
      <c r="P311" s="397"/>
      <c r="Q311" s="398"/>
      <c r="R311" s="387" t="str">
        <f>IF(OR(L311="",L311=0,N311="",N311=0),"NA",ABS(L311-N311)/SUM($L$294:$L$295))</f>
        <v>NA</v>
      </c>
      <c r="S311" s="388" t="str">
        <f>IF(OR(M311="",M311=0,O311="",O311=0),"NA",ABS(M311-O311)/SUM($L$294:$L$295))</f>
        <v>NA</v>
      </c>
      <c r="T311" s="390" t="str">
        <f>IF(OR(L311="",L311=0,P311="",P311=0),"NA",ABS(L311-P311)/SUM($L$294:$L$295))</f>
        <v>NA</v>
      </c>
      <c r="U311" s="388" t="str">
        <f>IF(OR(M311="",M311=0,Q311="",Q311=0),"NA",ABS(M311-Q311)/SUM($L$294:$L$295))</f>
        <v>NA</v>
      </c>
      <c r="V311" s="418"/>
      <c r="Y311" s="754"/>
      <c r="Z311" s="449" t="s">
        <v>521</v>
      </c>
      <c r="AA311" s="85"/>
      <c r="AB311" s="82" t="str">
        <f t="shared" si="66"/>
        <v/>
      </c>
      <c r="AC311" s="211" t="str">
        <f>S431</f>
        <v/>
      </c>
      <c r="AD311" s="545" t="s">
        <v>705</v>
      </c>
    </row>
    <row r="312" spans="1:30" ht="13.95" customHeight="1" thickBot="1">
      <c r="A312" s="1">
        <v>18</v>
      </c>
      <c r="B312" s="421" t="s">
        <v>412</v>
      </c>
      <c r="J312" s="418"/>
      <c r="L312" s="393" t="s">
        <v>208</v>
      </c>
      <c r="M312" s="394"/>
      <c r="Q312" s="438"/>
      <c r="R312" s="42"/>
      <c r="S312" s="2"/>
      <c r="T312" s="2"/>
      <c r="U312" s="2"/>
      <c r="V312" s="97"/>
      <c r="AC312"/>
    </row>
    <row r="313" spans="1:30" ht="13.95" customHeight="1" thickBot="1">
      <c r="A313" s="1">
        <v>19</v>
      </c>
      <c r="B313" s="203" t="s">
        <v>399</v>
      </c>
      <c r="C313" s="87" t="str">
        <f>IF(N303="","",N303)</f>
        <v/>
      </c>
      <c r="D313" s="43" t="s">
        <v>400</v>
      </c>
      <c r="E313" s="87" t="str">
        <f>IF(P303="","",P303)</f>
        <v/>
      </c>
      <c r="F313" s="43" t="s">
        <v>402</v>
      </c>
      <c r="G313" s="87">
        <f>IF(T303="","",T303)</f>
        <v>0.5</v>
      </c>
      <c r="H313" s="43" t="s">
        <v>726</v>
      </c>
      <c r="I313" s="87">
        <f>IF(M294="","",SUM(M294:M295))</f>
        <v>130</v>
      </c>
      <c r="J313" s="418"/>
      <c r="L313" s="238" t="s">
        <v>274</v>
      </c>
      <c r="M313" s="247" t="s">
        <v>273</v>
      </c>
      <c r="P313" s="2"/>
      <c r="Q313" s="2"/>
      <c r="R313" s="250"/>
      <c r="S313" s="255" t="s">
        <v>426</v>
      </c>
      <c r="T313" s="255"/>
      <c r="U313" s="391"/>
      <c r="V313" s="418"/>
      <c r="Z313" s="544" t="s">
        <v>550</v>
      </c>
      <c r="AC313"/>
    </row>
    <row r="314" spans="1:30" ht="13.95" customHeight="1">
      <c r="A314" s="1">
        <v>20</v>
      </c>
      <c r="B314" s="419"/>
      <c r="J314" s="418"/>
      <c r="L314" s="399"/>
      <c r="M314" s="400"/>
      <c r="P314" s="810" t="s">
        <v>449</v>
      </c>
      <c r="Q314" s="793"/>
      <c r="R314" s="794" t="s">
        <v>371</v>
      </c>
      <c r="S314" s="793"/>
      <c r="T314" s="792" t="s">
        <v>373</v>
      </c>
      <c r="U314" s="793"/>
      <c r="V314" s="418"/>
      <c r="Z314" s="42" t="s">
        <v>450</v>
      </c>
      <c r="AC314"/>
    </row>
    <row r="315" spans="1:30" ht="13.95" customHeight="1" thickBot="1">
      <c r="A315" s="1">
        <v>21</v>
      </c>
      <c r="B315" s="419"/>
      <c r="J315" s="418"/>
      <c r="L315" s="401"/>
      <c r="M315" s="402"/>
      <c r="P315" s="240" t="s">
        <v>274</v>
      </c>
      <c r="Q315" s="239" t="s">
        <v>273</v>
      </c>
      <c r="R315" s="240" t="s">
        <v>274</v>
      </c>
      <c r="S315" s="239" t="s">
        <v>273</v>
      </c>
      <c r="T315" s="240" t="s">
        <v>274</v>
      </c>
      <c r="U315" s="239" t="s">
        <v>273</v>
      </c>
      <c r="V315" s="418"/>
      <c r="Z315" s="448" t="s">
        <v>477</v>
      </c>
      <c r="AA315" s="85"/>
      <c r="AB315" s="82" t="str">
        <f t="shared" ref="AB315:AB323" si="67">IF(AND(OR(AA315="",AA315=0),OR(AC315="",AC315=0)),"",IF(AA315&lt;&gt;AC315,"Change",""))</f>
        <v/>
      </c>
      <c r="AC315" s="211" t="str">
        <f>M437</f>
        <v/>
      </c>
      <c r="AD315" s="422" t="s">
        <v>706</v>
      </c>
    </row>
    <row r="316" spans="1:30" ht="13.95" customHeight="1" thickBot="1">
      <c r="A316" s="1">
        <v>22</v>
      </c>
      <c r="B316" s="555" t="s">
        <v>450</v>
      </c>
      <c r="J316" s="418"/>
      <c r="L316" s="419"/>
      <c r="P316" s="251" t="str">
        <f>IF(L310=0,"",L310)</f>
        <v/>
      </c>
      <c r="Q316" s="252" t="str">
        <f>IF(M310=0,"",M310)</f>
        <v/>
      </c>
      <c r="R316" s="200" t="str">
        <f t="shared" ref="R316:U317" si="68">IF(R310="NA","NA",IF(R310="TBD","TBD",IF(R310&gt;0.02,"NO","YES")))</f>
        <v>NA</v>
      </c>
      <c r="S316" s="200" t="str">
        <f t="shared" si="68"/>
        <v>NA</v>
      </c>
      <c r="T316" s="200" t="str">
        <f t="shared" si="68"/>
        <v>NA</v>
      </c>
      <c r="U316" s="392" t="str">
        <f t="shared" si="68"/>
        <v>NA</v>
      </c>
      <c r="V316" s="418"/>
      <c r="Z316" s="448" t="s">
        <v>205</v>
      </c>
      <c r="AA316" s="85"/>
      <c r="AB316" s="82" t="str">
        <f t="shared" si="67"/>
        <v/>
      </c>
      <c r="AC316" s="211" t="str">
        <f>N437</f>
        <v/>
      </c>
      <c r="AD316" s="422" t="s">
        <v>707</v>
      </c>
    </row>
    <row r="317" spans="1:30" ht="13.95" customHeight="1" thickBot="1">
      <c r="A317" s="1">
        <v>23</v>
      </c>
      <c r="B317" s="749" t="s">
        <v>413</v>
      </c>
      <c r="C317" s="750"/>
      <c r="D317" s="751" t="s">
        <v>750</v>
      </c>
      <c r="E317" s="750"/>
      <c r="F317" s="752"/>
      <c r="G317" s="753"/>
      <c r="H317" s="11"/>
      <c r="I317" s="12"/>
      <c r="J317" s="418"/>
      <c r="L317" s="419"/>
      <c r="P317" s="253" t="str">
        <f>IF(L311=0,"",L311)</f>
        <v/>
      </c>
      <c r="Q317" s="254" t="str">
        <f>IF(M311=0,"",M311)</f>
        <v/>
      </c>
      <c r="R317" s="200" t="str">
        <f t="shared" si="68"/>
        <v>NA</v>
      </c>
      <c r="S317" s="200" t="str">
        <f t="shared" si="68"/>
        <v>NA</v>
      </c>
      <c r="T317" s="200" t="str">
        <f t="shared" si="68"/>
        <v>NA</v>
      </c>
      <c r="U317" s="392" t="str">
        <f t="shared" si="68"/>
        <v>NA</v>
      </c>
      <c r="V317" s="418"/>
      <c r="Z317" s="449" t="s">
        <v>521</v>
      </c>
      <c r="AA317" s="85"/>
      <c r="AB317" s="82" t="str">
        <f t="shared" si="67"/>
        <v/>
      </c>
      <c r="AC317" s="211" t="str">
        <f>O437</f>
        <v/>
      </c>
      <c r="AD317" s="422" t="s">
        <v>708</v>
      </c>
    </row>
    <row r="318" spans="1:30" ht="13.95" customHeight="1" thickBot="1">
      <c r="A318" s="1">
        <v>24</v>
      </c>
      <c r="B318" s="741" t="s">
        <v>202</v>
      </c>
      <c r="C318" s="742"/>
      <c r="D318" s="743" t="s">
        <v>202</v>
      </c>
      <c r="E318" s="742"/>
      <c r="F318" s="745" t="s">
        <v>414</v>
      </c>
      <c r="G318" s="746"/>
      <c r="H318" s="747" t="s">
        <v>426</v>
      </c>
      <c r="I318" s="748"/>
      <c r="J318" s="418"/>
      <c r="L318" s="423"/>
      <c r="M318" s="424"/>
      <c r="N318" s="424"/>
      <c r="O318" s="424"/>
      <c r="P318" s="424"/>
      <c r="Q318" s="424"/>
      <c r="R318" s="424"/>
      <c r="S318" s="424"/>
      <c r="T318" s="424"/>
      <c r="U318" s="424"/>
      <c r="V318" s="425"/>
      <c r="Z318" s="448" t="s">
        <v>477</v>
      </c>
      <c r="AA318" s="85"/>
      <c r="AB318" s="82" t="str">
        <f t="shared" si="67"/>
        <v/>
      </c>
      <c r="AC318" s="211" t="str">
        <f>M438</f>
        <v/>
      </c>
      <c r="AD318" s="422" t="s">
        <v>709</v>
      </c>
    </row>
    <row r="319" spans="1:30" ht="13.95" customHeight="1" thickTop="1" thickBot="1">
      <c r="A319" s="1">
        <v>25</v>
      </c>
      <c r="B319" s="651" t="s">
        <v>274</v>
      </c>
      <c r="C319" s="652" t="s">
        <v>273</v>
      </c>
      <c r="D319" s="653" t="s">
        <v>274</v>
      </c>
      <c r="E319" s="652" t="s">
        <v>273</v>
      </c>
      <c r="F319" s="590" t="s">
        <v>274</v>
      </c>
      <c r="G319" s="589" t="s">
        <v>273</v>
      </c>
      <c r="H319" s="654" t="s">
        <v>274</v>
      </c>
      <c r="I319" s="282" t="s">
        <v>273</v>
      </c>
      <c r="J319" s="418"/>
      <c r="L319" s="123"/>
      <c r="M319" s="86"/>
      <c r="N319" s="86"/>
      <c r="O319" s="86"/>
      <c r="P319" s="86"/>
      <c r="Q319" s="86"/>
      <c r="R319" s="86"/>
      <c r="S319" s="86"/>
      <c r="T319" s="86"/>
      <c r="U319" s="86"/>
      <c r="V319" s="126"/>
      <c r="Z319" s="448" t="s">
        <v>205</v>
      </c>
      <c r="AA319" s="85"/>
      <c r="AB319" s="82" t="str">
        <f t="shared" si="67"/>
        <v/>
      </c>
      <c r="AC319" s="211" t="str">
        <f>N438</f>
        <v/>
      </c>
      <c r="AD319" s="422" t="s">
        <v>710</v>
      </c>
    </row>
    <row r="320" spans="1:30" ht="13.95" customHeight="1">
      <c r="A320" s="1">
        <v>26</v>
      </c>
      <c r="B320" s="325" t="str">
        <f>IF(L310="","",L310)</f>
        <v/>
      </c>
      <c r="C320" s="331" t="str">
        <f t="shared" ref="C320:C321" si="69">IF(M310="","",M310)</f>
        <v/>
      </c>
      <c r="D320" s="308" t="str">
        <f t="shared" ref="D320:E320" si="70">IF(N310="","",N310)</f>
        <v/>
      </c>
      <c r="E320" s="309" t="str">
        <f t="shared" si="70"/>
        <v/>
      </c>
      <c r="F320" s="665" t="str">
        <f>IF(R310="","",R310)</f>
        <v>NA</v>
      </c>
      <c r="G320" s="570" t="str">
        <f t="shared" ref="G320:G321" si="71">IF(S310="","",S310)</f>
        <v>NA</v>
      </c>
      <c r="H320" s="557" t="str">
        <f>IF(R316="","",R316)</f>
        <v>NA</v>
      </c>
      <c r="I320" s="494" t="str">
        <f t="shared" ref="I320:I321" si="72">IF(S316="","",S316)</f>
        <v>NA</v>
      </c>
      <c r="J320" s="418"/>
      <c r="L320" s="113"/>
      <c r="M320" s="2"/>
      <c r="N320" s="2"/>
      <c r="O320" s="2"/>
      <c r="Q320" s="412" t="s">
        <v>427</v>
      </c>
      <c r="R320" s="2"/>
      <c r="S320" s="2"/>
      <c r="T320" s="249" t="s">
        <v>428</v>
      </c>
      <c r="U320" s="460" t="s">
        <v>429</v>
      </c>
      <c r="V320" s="530"/>
      <c r="Z320" s="449" t="s">
        <v>521</v>
      </c>
      <c r="AA320" s="85"/>
      <c r="AB320" s="82" t="str">
        <f t="shared" si="67"/>
        <v/>
      </c>
      <c r="AC320" s="211" t="str">
        <f>O438</f>
        <v/>
      </c>
      <c r="AD320" s="422" t="s">
        <v>711</v>
      </c>
    </row>
    <row r="321" spans="1:30" ht="13.95" customHeight="1" thickBot="1">
      <c r="A321" s="1">
        <v>27</v>
      </c>
      <c r="B321" s="320" t="str">
        <f>IF(L311="","",L311)</f>
        <v/>
      </c>
      <c r="C321" s="333" t="str">
        <f t="shared" si="69"/>
        <v/>
      </c>
      <c r="D321" s="324" t="str">
        <f t="shared" ref="D321:E321" si="73">IF(N311="","",N311)</f>
        <v/>
      </c>
      <c r="E321" s="321" t="str">
        <f t="shared" si="73"/>
        <v/>
      </c>
      <c r="F321" s="330" t="str">
        <f>IF(R311="","",R311)</f>
        <v>NA</v>
      </c>
      <c r="G321" s="321" t="str">
        <f t="shared" si="71"/>
        <v>NA</v>
      </c>
      <c r="H321" s="558" t="str">
        <f>IF(R317="","",R317)</f>
        <v>NA</v>
      </c>
      <c r="I321" s="559" t="str">
        <f t="shared" si="72"/>
        <v>NA</v>
      </c>
      <c r="J321" s="418"/>
      <c r="L321" s="215" t="s">
        <v>430</v>
      </c>
      <c r="M321" s="413"/>
      <c r="N321" s="4"/>
      <c r="O321" s="4"/>
      <c r="P321" s="4"/>
      <c r="Q321" s="4"/>
      <c r="R321" s="4"/>
      <c r="S321" s="249" t="s">
        <v>431</v>
      </c>
      <c r="T321" s="249" t="s">
        <v>432</v>
      </c>
      <c r="U321" s="460" t="s">
        <v>432</v>
      </c>
      <c r="V321" s="530"/>
      <c r="Z321" s="448" t="s">
        <v>477</v>
      </c>
      <c r="AA321" s="85"/>
      <c r="AB321" s="82" t="str">
        <f t="shared" si="67"/>
        <v/>
      </c>
      <c r="AC321" s="211" t="str">
        <f>M439</f>
        <v/>
      </c>
      <c r="AD321" s="422" t="s">
        <v>712</v>
      </c>
    </row>
    <row r="322" spans="1:30" ht="13.95" customHeight="1">
      <c r="A322" s="1">
        <v>28</v>
      </c>
      <c r="B322" s="555" t="s">
        <v>451</v>
      </c>
      <c r="J322" s="418"/>
      <c r="L322" s="263" t="s">
        <v>447</v>
      </c>
      <c r="N322" s="183"/>
      <c r="O322" s="186" t="s">
        <v>405</v>
      </c>
      <c r="P322" s="414"/>
      <c r="Q322" s="4"/>
      <c r="R322" s="4"/>
      <c r="S322" s="249" t="s">
        <v>433</v>
      </c>
      <c r="T322" s="249" t="s">
        <v>433</v>
      </c>
      <c r="U322" s="460" t="s">
        <v>433</v>
      </c>
      <c r="V322" s="530"/>
      <c r="Z322" s="448" t="s">
        <v>205</v>
      </c>
      <c r="AA322" s="85"/>
      <c r="AB322" s="82" t="str">
        <f t="shared" si="67"/>
        <v/>
      </c>
      <c r="AC322" s="211" t="str">
        <f>N439</f>
        <v/>
      </c>
      <c r="AD322" s="422" t="s">
        <v>713</v>
      </c>
    </row>
    <row r="323" spans="1:30" ht="13.95" customHeight="1" thickBot="1">
      <c r="A323" s="1">
        <v>29</v>
      </c>
      <c r="B323" s="419"/>
      <c r="D323" s="492"/>
      <c r="E323" s="493"/>
      <c r="J323" s="418"/>
      <c r="L323" s="248"/>
      <c r="M323" s="2"/>
      <c r="N323" s="197" t="s">
        <v>203</v>
      </c>
      <c r="O323" s="256" t="str">
        <f>IF(FrontalMAS="",AA267,FrontalMAS)</f>
        <v>mA</v>
      </c>
      <c r="P323" s="197" t="s">
        <v>434</v>
      </c>
      <c r="Q323" s="197" t="s">
        <v>457</v>
      </c>
      <c r="R323" s="257" t="s">
        <v>435</v>
      </c>
      <c r="S323" s="258" t="s">
        <v>436</v>
      </c>
      <c r="T323" s="258" t="s">
        <v>436</v>
      </c>
      <c r="U323" s="197" t="s">
        <v>436</v>
      </c>
      <c r="V323" s="530"/>
      <c r="Z323" s="449" t="s">
        <v>521</v>
      </c>
      <c r="AA323" s="85"/>
      <c r="AB323" s="82" t="str">
        <f t="shared" si="67"/>
        <v/>
      </c>
      <c r="AC323" s="211" t="str">
        <f>O439</f>
        <v/>
      </c>
      <c r="AD323" s="422" t="s">
        <v>714</v>
      </c>
    </row>
    <row r="324" spans="1:30" ht="13.95" customHeight="1">
      <c r="A324" s="1">
        <v>30</v>
      </c>
      <c r="B324" s="749" t="s">
        <v>413</v>
      </c>
      <c r="C324" s="750"/>
      <c r="D324" s="751" t="s">
        <v>750</v>
      </c>
      <c r="E324" s="750"/>
      <c r="F324" s="752"/>
      <c r="G324" s="753"/>
      <c r="H324" s="11"/>
      <c r="I324" s="12"/>
      <c r="J324" s="418"/>
      <c r="L324" s="248"/>
      <c r="M324" s="2"/>
      <c r="N324" s="645" t="str">
        <f>IF(N325&lt;&gt;"",N325,IF(OR(AA268=0,AA268=""),"",AA268))</f>
        <v/>
      </c>
      <c r="O324" s="645" t="str">
        <f>IF(O325&lt;&gt;"",O325,IF(OR(AA269=0,AA269=""),"",AA269))</f>
        <v/>
      </c>
      <c r="P324" s="646">
        <f>IF(P325&lt;&gt;"",P325,IF(OR(AA271=0,AA271=""),"",AA271))</f>
        <v>130</v>
      </c>
      <c r="Q324" s="645">
        <f>IF(Q325&lt;&gt;"",Q325,IF(OR(AA272=0,AA272=""),"",AA272))</f>
        <v>9</v>
      </c>
      <c r="R324" s="647">
        <f>IF(OR(P324="",P324=0,Q324="",Q324=0),"",P324/(P324-Q324))</f>
        <v>1.0743801652892562</v>
      </c>
      <c r="S324" s="648"/>
      <c r="T324" s="649" t="str">
        <f>IF(OR(AA273,AA273=""),"",AA273)</f>
        <v/>
      </c>
      <c r="U324" s="202" t="str">
        <f>IF(OR(AA274=0,AA274=""),"",AA274)</f>
        <v/>
      </c>
      <c r="V324" s="530"/>
      <c r="Z324" s="46" t="s">
        <v>451</v>
      </c>
      <c r="AA324" s="447"/>
      <c r="AC324"/>
    </row>
    <row r="325" spans="1:30" ht="13.95" customHeight="1">
      <c r="A325" s="1">
        <v>31</v>
      </c>
      <c r="B325" s="741" t="s">
        <v>202</v>
      </c>
      <c r="C325" s="742"/>
      <c r="D325" s="743" t="s">
        <v>202</v>
      </c>
      <c r="E325" s="742"/>
      <c r="F325" s="745" t="s">
        <v>414</v>
      </c>
      <c r="G325" s="746"/>
      <c r="H325" s="747" t="s">
        <v>426</v>
      </c>
      <c r="I325" s="748"/>
      <c r="J325" s="418"/>
      <c r="L325" s="259"/>
      <c r="M325" s="260" t="s">
        <v>437</v>
      </c>
      <c r="N325" s="186"/>
      <c r="O325" s="186"/>
      <c r="P325" s="415">
        <v>130</v>
      </c>
      <c r="Q325" s="415">
        <v>9</v>
      </c>
      <c r="R325" s="2"/>
      <c r="S325" s="2"/>
      <c r="T325" s="4"/>
      <c r="U325" s="561"/>
      <c r="V325" s="418"/>
      <c r="Z325" s="448" t="s">
        <v>477</v>
      </c>
      <c r="AA325" s="85"/>
      <c r="AB325" s="82" t="str">
        <f t="shared" ref="AB325:AB333" si="74">IF(AND(OR(AA325="",AA325=0),OR(AC325="",AC325=0)),"",IF(AA325&lt;&gt;AC325,"Change",""))</f>
        <v/>
      </c>
      <c r="AC325" s="211" t="str">
        <f>R437</f>
        <v/>
      </c>
      <c r="AD325" s="422" t="s">
        <v>715</v>
      </c>
    </row>
    <row r="326" spans="1:30" ht="13.95" customHeight="1" thickBot="1">
      <c r="A326" s="1">
        <v>32</v>
      </c>
      <c r="B326" s="651" t="s">
        <v>274</v>
      </c>
      <c r="C326" s="652" t="s">
        <v>273</v>
      </c>
      <c r="D326" s="653" t="s">
        <v>274</v>
      </c>
      <c r="E326" s="652" t="s">
        <v>273</v>
      </c>
      <c r="F326" s="590" t="s">
        <v>274</v>
      </c>
      <c r="G326" s="589" t="s">
        <v>273</v>
      </c>
      <c r="H326" s="654" t="s">
        <v>274</v>
      </c>
      <c r="I326" s="282" t="s">
        <v>273</v>
      </c>
      <c r="J326" s="418"/>
      <c r="L326" s="113"/>
      <c r="M326" s="2"/>
      <c r="N326" s="2"/>
      <c r="O326" s="4"/>
      <c r="P326" s="4"/>
      <c r="Q326" s="4"/>
      <c r="R326" s="2"/>
      <c r="S326" s="249" t="s">
        <v>431</v>
      </c>
      <c r="T326" s="249" t="s">
        <v>432</v>
      </c>
      <c r="U326" s="460" t="s">
        <v>432</v>
      </c>
      <c r="V326" s="530"/>
      <c r="Z326" s="448" t="s">
        <v>205</v>
      </c>
      <c r="AA326" s="85"/>
      <c r="AB326" s="82" t="str">
        <f t="shared" si="74"/>
        <v/>
      </c>
      <c r="AC326" s="211" t="str">
        <f>S437</f>
        <v/>
      </c>
      <c r="AD326" s="422" t="s">
        <v>716</v>
      </c>
    </row>
    <row r="327" spans="1:30" ht="13.95" customHeight="1">
      <c r="A327" s="1">
        <v>33</v>
      </c>
      <c r="B327" s="308" t="str">
        <f>B320</f>
        <v/>
      </c>
      <c r="C327" s="309" t="str">
        <f t="shared" ref="C327:C328" si="75">C320</f>
        <v/>
      </c>
      <c r="D327" s="308" t="str">
        <f>IF(P310="","",P310)</f>
        <v/>
      </c>
      <c r="E327" s="309" t="str">
        <f t="shared" ref="E327:E328" si="76">IF(Q310="","",Q310)</f>
        <v/>
      </c>
      <c r="F327" s="666" t="str">
        <f>IF(T310="","",T310)</f>
        <v>NA</v>
      </c>
      <c r="G327" s="570" t="str">
        <f t="shared" ref="G327:G328" si="77">IF(U310="","",U310)</f>
        <v>NA</v>
      </c>
      <c r="H327" s="308" t="str">
        <f>IF(T316="","",T316)</f>
        <v>NA</v>
      </c>
      <c r="I327" s="309" t="str">
        <f t="shared" ref="I327:I328" si="78">IF(U316="","",U316)</f>
        <v>NA</v>
      </c>
      <c r="J327" s="418"/>
      <c r="L327" s="416" t="s">
        <v>448</v>
      </c>
      <c r="O327" s="186" t="s">
        <v>405</v>
      </c>
      <c r="P327" s="414"/>
      <c r="Q327" s="4"/>
      <c r="R327" s="2"/>
      <c r="S327" s="249" t="s">
        <v>433</v>
      </c>
      <c r="T327" s="249" t="s">
        <v>433</v>
      </c>
      <c r="U327" s="460" t="s">
        <v>433</v>
      </c>
      <c r="V327" s="530"/>
      <c r="Z327" s="449" t="s">
        <v>521</v>
      </c>
      <c r="AA327" s="85"/>
      <c r="AB327" s="82" t="str">
        <f t="shared" si="74"/>
        <v/>
      </c>
      <c r="AC327" s="211" t="str">
        <f>T437</f>
        <v/>
      </c>
      <c r="AD327" s="422" t="s">
        <v>717</v>
      </c>
    </row>
    <row r="328" spans="1:30" ht="13.95" customHeight="1" thickBot="1">
      <c r="A328" s="1">
        <v>34</v>
      </c>
      <c r="B328" s="324" t="str">
        <f>B321</f>
        <v/>
      </c>
      <c r="C328" s="321" t="str">
        <f t="shared" si="75"/>
        <v/>
      </c>
      <c r="D328" s="324" t="str">
        <f>IF(P311="","",P311)</f>
        <v/>
      </c>
      <c r="E328" s="321" t="str">
        <f t="shared" si="76"/>
        <v/>
      </c>
      <c r="F328" s="324" t="str">
        <f>IF(T311="","",T311)</f>
        <v>NA</v>
      </c>
      <c r="G328" s="321" t="str">
        <f t="shared" si="77"/>
        <v>NA</v>
      </c>
      <c r="H328" s="324" t="str">
        <f>IF(T317="","",T317)</f>
        <v>NA</v>
      </c>
      <c r="I328" s="321" t="str">
        <f t="shared" si="78"/>
        <v>NA</v>
      </c>
      <c r="J328" s="418"/>
      <c r="L328" s="113"/>
      <c r="M328" s="2"/>
      <c r="N328" s="197" t="s">
        <v>203</v>
      </c>
      <c r="O328" s="256" t="str">
        <f>IF(LateralMAS="",AA276,LateralMAS)</f>
        <v>mA</v>
      </c>
      <c r="P328" s="197" t="s">
        <v>434</v>
      </c>
      <c r="Q328" s="197" t="s">
        <v>457</v>
      </c>
      <c r="R328" s="257" t="s">
        <v>435</v>
      </c>
      <c r="S328" s="258" t="s">
        <v>436</v>
      </c>
      <c r="T328" s="258" t="s">
        <v>436</v>
      </c>
      <c r="U328" s="197" t="s">
        <v>436</v>
      </c>
      <c r="V328" s="530"/>
      <c r="Z328" s="448" t="s">
        <v>477</v>
      </c>
      <c r="AA328" s="85"/>
      <c r="AB328" s="82" t="str">
        <f t="shared" si="74"/>
        <v/>
      </c>
      <c r="AC328" s="211" t="str">
        <f>R438</f>
        <v/>
      </c>
      <c r="AD328" s="422" t="s">
        <v>719</v>
      </c>
    </row>
    <row r="329" spans="1:30" ht="13.95" customHeight="1">
      <c r="A329" s="1">
        <v>35</v>
      </c>
      <c r="B329" s="420" t="s">
        <v>276</v>
      </c>
      <c r="C329" s="54" t="s">
        <v>727</v>
      </c>
      <c r="J329" s="418"/>
      <c r="L329" s="248"/>
      <c r="M329" s="2"/>
      <c r="N329" s="645" t="str">
        <f>IF(N330&lt;&gt;"",N330,IF(OR(AA277=0,AA277=""),"",AA277))</f>
        <v/>
      </c>
      <c r="O329" s="645" t="str">
        <f>IF(O330&lt;&gt;"",O330,IF(OR(AA278=0,AA278=""),"",AA278))</f>
        <v/>
      </c>
      <c r="P329" s="646">
        <f>IF(P330&lt;&gt;"",P330,IF(OR(AA280=0,AA280=""),"",AA280))</f>
        <v>130</v>
      </c>
      <c r="Q329" s="646">
        <f>IF(Q330&lt;&gt;"",Q330,IF(OR(AA281=0,AA281=""),"",AA281))</f>
        <v>9</v>
      </c>
      <c r="R329" s="647">
        <f>IF(OR(P329="",P329=0,Q329="",Q329=0),"",P329/(P329-Q329))</f>
        <v>1.0743801652892562</v>
      </c>
      <c r="S329" s="648"/>
      <c r="T329" s="649" t="str">
        <f>IF(OR(AA282=0,AA282=""),"",AA282)</f>
        <v/>
      </c>
      <c r="U329" s="202" t="str">
        <f>IF(OR(AA283=0,AA283=""),"",AA283)</f>
        <v/>
      </c>
      <c r="V329" s="530"/>
      <c r="Z329" s="448" t="s">
        <v>205</v>
      </c>
      <c r="AA329" s="85"/>
      <c r="AB329" s="82" t="str">
        <f t="shared" si="74"/>
        <v/>
      </c>
      <c r="AC329" s="211" t="str">
        <f>S438</f>
        <v/>
      </c>
      <c r="AD329" s="422" t="s">
        <v>718</v>
      </c>
    </row>
    <row r="330" spans="1:30" ht="13.95" customHeight="1">
      <c r="A330" s="1">
        <v>36</v>
      </c>
      <c r="B330" s="560"/>
      <c r="C330" s="54" t="s">
        <v>728</v>
      </c>
      <c r="J330" s="418"/>
      <c r="L330" s="259"/>
      <c r="M330" s="260" t="s">
        <v>437</v>
      </c>
      <c r="N330" s="186"/>
      <c r="O330" s="186"/>
      <c r="P330" s="415">
        <v>130</v>
      </c>
      <c r="Q330" s="415">
        <v>9</v>
      </c>
      <c r="R330" s="4"/>
      <c r="S330" s="4"/>
      <c r="T330" s="4"/>
      <c r="U330" s="561"/>
      <c r="V330" s="418"/>
      <c r="Z330" s="449" t="s">
        <v>521</v>
      </c>
      <c r="AA330" s="85"/>
      <c r="AB330" s="82" t="str">
        <f t="shared" si="74"/>
        <v/>
      </c>
      <c r="AC330" s="211" t="str">
        <f>T438</f>
        <v/>
      </c>
      <c r="AD330" s="422" t="s">
        <v>720</v>
      </c>
    </row>
    <row r="331" spans="1:30" ht="13.95" customHeight="1">
      <c r="A331" s="1">
        <v>37</v>
      </c>
      <c r="B331" s="419"/>
      <c r="H331" s="422"/>
      <c r="I331" s="422" t="s">
        <v>428</v>
      </c>
      <c r="J331" s="455" t="s">
        <v>429</v>
      </c>
      <c r="L331" s="248"/>
      <c r="M331" s="2"/>
      <c r="N331" s="183" t="s">
        <v>455</v>
      </c>
      <c r="O331" s="4"/>
      <c r="P331" s="4"/>
      <c r="Q331" s="4"/>
      <c r="R331" s="4"/>
      <c r="S331" s="4"/>
      <c r="T331" s="4"/>
      <c r="U331" s="4"/>
      <c r="V331" s="167"/>
      <c r="Z331" s="448" t="s">
        <v>477</v>
      </c>
      <c r="AA331" s="85"/>
      <c r="AB331" s="82" t="str">
        <f t="shared" si="74"/>
        <v/>
      </c>
      <c r="AC331" s="211" t="str">
        <f>R439</f>
        <v/>
      </c>
      <c r="AD331" s="422" t="s">
        <v>721</v>
      </c>
    </row>
    <row r="332" spans="1:30" ht="13.95" customHeight="1">
      <c r="A332" s="1">
        <v>38</v>
      </c>
      <c r="B332" s="215" t="s">
        <v>430</v>
      </c>
      <c r="H332" s="422" t="s">
        <v>431</v>
      </c>
      <c r="I332" s="422" t="s">
        <v>432</v>
      </c>
      <c r="J332" s="455" t="s">
        <v>432</v>
      </c>
      <c r="L332" s="156"/>
      <c r="M332" s="2"/>
      <c r="N332" s="183" t="s">
        <v>456</v>
      </c>
      <c r="O332" s="2"/>
      <c r="P332" s="2"/>
      <c r="Q332" s="2"/>
      <c r="R332" s="2"/>
      <c r="S332" s="2"/>
      <c r="T332" s="2"/>
      <c r="U332" s="2"/>
      <c r="V332" s="167"/>
      <c r="Z332" s="448" t="s">
        <v>205</v>
      </c>
      <c r="AA332" s="85"/>
      <c r="AB332" s="82" t="str">
        <f t="shared" si="74"/>
        <v/>
      </c>
      <c r="AC332" s="211" t="str">
        <f>S439</f>
        <v/>
      </c>
      <c r="AD332" s="422" t="s">
        <v>722</v>
      </c>
    </row>
    <row r="333" spans="1:30" ht="13.95" customHeight="1">
      <c r="A333" s="1">
        <v>39</v>
      </c>
      <c r="B333" s="263"/>
      <c r="H333" s="422" t="s">
        <v>433</v>
      </c>
      <c r="I333" s="422" t="s">
        <v>433</v>
      </c>
      <c r="J333" s="455" t="s">
        <v>433</v>
      </c>
      <c r="L333" s="261" t="s">
        <v>108</v>
      </c>
      <c r="M333" s="2"/>
      <c r="N333" s="2"/>
      <c r="O333" s="2"/>
      <c r="P333" s="2"/>
      <c r="Q333" s="2"/>
      <c r="R333" s="2"/>
      <c r="S333" s="2"/>
      <c r="T333" s="2"/>
      <c r="U333" s="2"/>
      <c r="V333" s="167"/>
      <c r="Z333" s="449" t="s">
        <v>521</v>
      </c>
      <c r="AA333" s="85"/>
      <c r="AB333" s="82" t="str">
        <f t="shared" si="74"/>
        <v/>
      </c>
      <c r="AC333" s="211" t="str">
        <f>T439</f>
        <v/>
      </c>
      <c r="AD333" s="422" t="s">
        <v>723</v>
      </c>
    </row>
    <row r="334" spans="1:30" ht="13.95" customHeight="1" thickBot="1">
      <c r="A334" s="1">
        <v>40</v>
      </c>
      <c r="B334" s="263"/>
      <c r="C334" s="422" t="s">
        <v>203</v>
      </c>
      <c r="D334" s="422" t="s">
        <v>405</v>
      </c>
      <c r="E334" s="422" t="s">
        <v>434</v>
      </c>
      <c r="F334" s="422" t="s">
        <v>457</v>
      </c>
      <c r="G334" s="422" t="s">
        <v>435</v>
      </c>
      <c r="H334" s="422" t="s">
        <v>436</v>
      </c>
      <c r="I334" s="422" t="s">
        <v>436</v>
      </c>
      <c r="J334" s="455" t="s">
        <v>436</v>
      </c>
      <c r="L334" s="114">
        <v>3</v>
      </c>
      <c r="M334" s="54" t="s">
        <v>438</v>
      </c>
      <c r="N334" s="46"/>
      <c r="O334" s="2"/>
      <c r="P334" s="2"/>
      <c r="Q334" s="2"/>
      <c r="R334" s="2"/>
      <c r="S334" s="2"/>
      <c r="T334" s="2"/>
      <c r="U334" s="2"/>
      <c r="V334" s="97"/>
      <c r="AC334"/>
    </row>
    <row r="335" spans="1:30" ht="13.95" customHeight="1" thickBot="1">
      <c r="A335" s="1">
        <v>41</v>
      </c>
      <c r="B335" s="263" t="s">
        <v>447</v>
      </c>
      <c r="C335" s="308" t="str">
        <f>IF(N324="","",N324)</f>
        <v/>
      </c>
      <c r="D335" s="554" t="str">
        <f t="shared" ref="D335:J335" si="79">IF(O324="","",O324)</f>
        <v/>
      </c>
      <c r="E335" s="554">
        <f t="shared" si="79"/>
        <v>130</v>
      </c>
      <c r="F335" s="554">
        <f t="shared" si="79"/>
        <v>9</v>
      </c>
      <c r="G335" s="310">
        <f t="shared" si="79"/>
        <v>1.0743801652892562</v>
      </c>
      <c r="H335" s="554" t="str">
        <f t="shared" si="79"/>
        <v/>
      </c>
      <c r="I335" s="554" t="str">
        <f t="shared" si="79"/>
        <v/>
      </c>
      <c r="J335" s="562" t="str">
        <f t="shared" si="79"/>
        <v/>
      </c>
      <c r="L335" s="426"/>
      <c r="M335" s="427"/>
      <c r="N335" s="428" t="s">
        <v>276</v>
      </c>
      <c r="O335" s="429" t="s">
        <v>439</v>
      </c>
      <c r="P335" s="427"/>
      <c r="Q335" s="427"/>
      <c r="R335" s="427"/>
      <c r="S335" s="427"/>
      <c r="T335" s="427"/>
      <c r="U335" s="427"/>
      <c r="V335" s="430"/>
      <c r="Z335" s="79" t="s">
        <v>585</v>
      </c>
      <c r="AA335" s="42"/>
      <c r="AB335" s="82" t="str">
        <f t="shared" ref="AB335:AB345" si="80">IF(AND(OR(AA335="",AA335=0),OR(AC335="",AC335=0)),"",IF(AA335&lt;&gt;AC335,"Change",""))</f>
        <v/>
      </c>
      <c r="AC335" s="42"/>
      <c r="AD335" s="42"/>
    </row>
    <row r="336" spans="1:30" ht="13.95" customHeight="1" thickBot="1">
      <c r="A336" s="1">
        <v>42</v>
      </c>
      <c r="B336" s="416" t="s">
        <v>448</v>
      </c>
      <c r="C336" s="324" t="str">
        <f>IF(N329="","",N329)</f>
        <v/>
      </c>
      <c r="D336" s="553" t="str">
        <f t="shared" ref="D336:J336" si="81">IF(O329="","",O329)</f>
        <v/>
      </c>
      <c r="E336" s="553">
        <f t="shared" si="81"/>
        <v>130</v>
      </c>
      <c r="F336" s="553">
        <f t="shared" si="81"/>
        <v>9</v>
      </c>
      <c r="G336" s="322">
        <f t="shared" si="81"/>
        <v>1.0743801652892562</v>
      </c>
      <c r="H336" s="553" t="str">
        <f t="shared" si="81"/>
        <v/>
      </c>
      <c r="I336" s="553" t="str">
        <f t="shared" si="81"/>
        <v/>
      </c>
      <c r="J336" s="563" t="str">
        <f t="shared" si="81"/>
        <v/>
      </c>
      <c r="L336" s="113"/>
      <c r="M336" s="2"/>
      <c r="N336" s="2"/>
      <c r="O336" s="2"/>
      <c r="P336" s="2"/>
      <c r="Q336" s="2"/>
      <c r="R336" s="2"/>
      <c r="S336" s="2"/>
      <c r="T336" s="2"/>
      <c r="U336" s="2"/>
      <c r="V336" s="97"/>
      <c r="Z336" s="43" t="s">
        <v>568</v>
      </c>
      <c r="AA336" s="85"/>
      <c r="AB336" s="82" t="str">
        <f t="shared" si="80"/>
        <v>Change</v>
      </c>
      <c r="AC336" s="207">
        <f>IF(M340="",AA336,M340)</f>
        <v>119</v>
      </c>
      <c r="AD336" s="76" t="s">
        <v>724</v>
      </c>
    </row>
    <row r="337" spans="1:30" ht="13.95" customHeight="1" thickBot="1">
      <c r="A337" s="1">
        <v>43</v>
      </c>
      <c r="B337" s="419"/>
      <c r="C337" s="183" t="s">
        <v>729</v>
      </c>
      <c r="G337" s="550" t="s">
        <v>275</v>
      </c>
      <c r="H337" s="551" t="str" cm="1">
        <f t="array" ref="H337">_xlfn.SWITCH(L334,"","",1,"YES",2,"NO",3,"NA")</f>
        <v>NA</v>
      </c>
      <c r="J337" s="418"/>
      <c r="L337" s="113"/>
      <c r="M337" s="43" t="s">
        <v>452</v>
      </c>
      <c r="N337" s="650" t="str">
        <f>IF(N338&lt;&gt;"",N338,IF(OR(AA285="",AA285=0),"Unknown",AA285))</f>
        <v>Piranha 2 CB2-19020491</v>
      </c>
      <c r="O337" s="87"/>
      <c r="P337" s="87"/>
      <c r="Q337" s="417" t="s">
        <v>453</v>
      </c>
      <c r="R337" s="266"/>
      <c r="S337" s="2"/>
      <c r="T337" s="2"/>
      <c r="U337" s="2"/>
      <c r="V337" s="97"/>
      <c r="Z337" s="42"/>
      <c r="AA337" s="42"/>
      <c r="AB337" s="82" t="str">
        <f t="shared" si="80"/>
        <v/>
      </c>
      <c r="AC337" s="42"/>
      <c r="AD337" s="42"/>
    </row>
    <row r="338" spans="1:30" ht="13.95" customHeight="1">
      <c r="A338" s="1">
        <v>44</v>
      </c>
      <c r="B338" s="419"/>
      <c r="C338" s="183" t="s">
        <v>730</v>
      </c>
      <c r="J338" s="418"/>
      <c r="L338" s="113"/>
      <c r="M338" s="180" t="s">
        <v>403</v>
      </c>
      <c r="N338" s="264" t="s">
        <v>248</v>
      </c>
      <c r="O338" s="2"/>
      <c r="P338" s="2"/>
      <c r="Q338" s="417" t="s">
        <v>454</v>
      </c>
      <c r="R338" s="267"/>
      <c r="S338" s="2"/>
      <c r="T338" s="2"/>
      <c r="U338" s="2"/>
      <c r="V338" s="97"/>
      <c r="Z338" s="55" t="s">
        <v>203</v>
      </c>
      <c r="AA338" s="210"/>
      <c r="AB338" s="82" t="str">
        <f t="shared" si="80"/>
        <v/>
      </c>
      <c r="AC338" s="205" t="str">
        <f t="shared" ref="AC338:AC347" si="82">IF(O472="","",O472)</f>
        <v/>
      </c>
      <c r="AD338" s="42" t="s">
        <v>569</v>
      </c>
    </row>
    <row r="339" spans="1:30" ht="13.95" customHeight="1">
      <c r="A339" s="1">
        <v>45</v>
      </c>
      <c r="B339" s="420" t="s">
        <v>276</v>
      </c>
      <c r="C339" s="54" t="s">
        <v>439</v>
      </c>
      <c r="J339" s="418"/>
      <c r="L339" s="215" t="s">
        <v>481</v>
      </c>
      <c r="M339" s="413"/>
      <c r="N339" s="413"/>
      <c r="O339" s="413"/>
      <c r="P339" s="4"/>
      <c r="Q339" s="4"/>
      <c r="R339" s="4"/>
      <c r="S339" s="4"/>
      <c r="T339" s="4"/>
      <c r="U339" s="4"/>
      <c r="V339" s="167"/>
      <c r="Z339" s="42"/>
      <c r="AA339" s="210"/>
      <c r="AB339" s="82" t="str">
        <f t="shared" si="80"/>
        <v/>
      </c>
      <c r="AC339" s="205" t="str">
        <f t="shared" si="82"/>
        <v/>
      </c>
      <c r="AD339" s="42" t="s">
        <v>570</v>
      </c>
    </row>
    <row r="340" spans="1:30" ht="13.95" customHeight="1">
      <c r="A340" s="1">
        <v>46</v>
      </c>
      <c r="B340" s="419"/>
      <c r="J340" s="418"/>
      <c r="L340" s="203" t="s">
        <v>476</v>
      </c>
      <c r="M340" s="298">
        <v>119</v>
      </c>
      <c r="N340" s="43" t="s">
        <v>475</v>
      </c>
      <c r="O340" s="298" t="s">
        <v>474</v>
      </c>
      <c r="P340" s="42"/>
      <c r="Q340" s="42"/>
      <c r="R340" s="42"/>
      <c r="S340" s="42"/>
      <c r="T340" s="42"/>
      <c r="U340" s="42"/>
      <c r="V340" s="48"/>
      <c r="Z340" s="42"/>
      <c r="AA340" s="210"/>
      <c r="AB340" s="82" t="str">
        <f t="shared" si="80"/>
        <v/>
      </c>
      <c r="AC340" s="205" t="str">
        <f t="shared" si="82"/>
        <v/>
      </c>
      <c r="AD340" s="42" t="s">
        <v>571</v>
      </c>
    </row>
    <row r="341" spans="1:30" ht="13.95" customHeight="1" thickBot="1">
      <c r="A341" s="1">
        <v>47</v>
      </c>
      <c r="B341" s="423"/>
      <c r="C341" s="424"/>
      <c r="D341" s="424"/>
      <c r="E341" s="424"/>
      <c r="F341" s="424"/>
      <c r="G341" s="424"/>
      <c r="H341" s="424"/>
      <c r="I341" s="424"/>
      <c r="J341" s="425"/>
      <c r="L341" s="798" t="s">
        <v>482</v>
      </c>
      <c r="M341" s="799"/>
      <c r="N341" s="799"/>
      <c r="O341" s="799"/>
      <c r="P341" s="800"/>
      <c r="Q341" s="801" t="s">
        <v>483</v>
      </c>
      <c r="R341" s="802"/>
      <c r="S341" s="802"/>
      <c r="T341" s="802"/>
      <c r="U341" s="802"/>
      <c r="V341" s="418"/>
      <c r="Z341" s="42"/>
      <c r="AA341" s="210"/>
      <c r="AB341" s="82" t="str">
        <f t="shared" si="80"/>
        <v/>
      </c>
      <c r="AC341" s="205" t="str">
        <f t="shared" si="82"/>
        <v/>
      </c>
      <c r="AD341" s="42" t="s">
        <v>572</v>
      </c>
    </row>
    <row r="342" spans="1:30" ht="13.95" customHeight="1" thickTop="1">
      <c r="A342" s="1">
        <v>48</v>
      </c>
      <c r="B342" s="99" t="s">
        <v>3</v>
      </c>
      <c r="C342" s="100" t="str">
        <f>IF($N$8="","",$N$8)</f>
        <v/>
      </c>
      <c r="D342" s="2"/>
      <c r="E342" s="2"/>
      <c r="F342" s="2"/>
      <c r="G342" s="2" t="str">
        <f>""</f>
        <v/>
      </c>
      <c r="H342" s="2" t="str">
        <f>""</f>
        <v/>
      </c>
      <c r="I342" s="99" t="s">
        <v>4</v>
      </c>
      <c r="J342" s="101" t="str">
        <f>IF($U$8="","",$U$8)</f>
        <v>Eugene Mah</v>
      </c>
      <c r="L342" s="806" t="s">
        <v>484</v>
      </c>
      <c r="M342" s="807"/>
      <c r="N342" s="795" t="s">
        <v>478</v>
      </c>
      <c r="O342" s="796"/>
      <c r="P342" s="797"/>
      <c r="Q342" s="808" t="s">
        <v>484</v>
      </c>
      <c r="R342" s="809"/>
      <c r="S342" s="803" t="s">
        <v>478</v>
      </c>
      <c r="T342" s="804"/>
      <c r="U342" s="805"/>
      <c r="V342" s="418"/>
      <c r="Z342" s="42"/>
      <c r="AA342" s="210"/>
      <c r="AB342" s="82" t="str">
        <f t="shared" si="80"/>
        <v/>
      </c>
      <c r="AC342" s="205" t="str">
        <f t="shared" si="82"/>
        <v/>
      </c>
      <c r="AD342" s="42" t="s">
        <v>573</v>
      </c>
    </row>
    <row r="343" spans="1:30" ht="13.95" customHeight="1" thickBot="1">
      <c r="A343" s="1">
        <v>49</v>
      </c>
      <c r="B343" s="99" t="s">
        <v>18</v>
      </c>
      <c r="C343" s="102" t="str">
        <f>IF($O$15="","",$O$15)</f>
        <v/>
      </c>
      <c r="D343" s="2"/>
      <c r="E343" s="2"/>
      <c r="F343" s="2"/>
      <c r="G343" s="2"/>
      <c r="H343" s="2"/>
      <c r="I343" s="99" t="s">
        <v>16</v>
      </c>
      <c r="J343" s="103" t="str">
        <f>IF($E$14="","",$E$14)</f>
        <v/>
      </c>
      <c r="L343" s="278" t="s">
        <v>477</v>
      </c>
      <c r="M343" s="279" t="str">
        <f>FrontalMAS</f>
        <v>mA</v>
      </c>
      <c r="N343" s="280" t="s">
        <v>479</v>
      </c>
      <c r="O343" s="192" t="s">
        <v>736</v>
      </c>
      <c r="P343" s="279" t="s">
        <v>232</v>
      </c>
      <c r="Q343" s="281" t="s">
        <v>477</v>
      </c>
      <c r="R343" s="282" t="str">
        <f>LateralMAS</f>
        <v>mA</v>
      </c>
      <c r="S343" s="281" t="s">
        <v>479</v>
      </c>
      <c r="T343" s="277" t="s">
        <v>480</v>
      </c>
      <c r="U343" s="282" t="s">
        <v>232</v>
      </c>
      <c r="V343" s="418"/>
      <c r="Z343" s="42"/>
      <c r="AA343" s="210"/>
      <c r="AB343" s="82" t="str">
        <f t="shared" si="80"/>
        <v/>
      </c>
      <c r="AC343" s="205" t="str">
        <f t="shared" si="82"/>
        <v/>
      </c>
      <c r="AD343" s="42" t="s">
        <v>574</v>
      </c>
    </row>
    <row r="344" spans="1:30" ht="13.95" customHeight="1">
      <c r="A344" s="1">
        <v>1</v>
      </c>
      <c r="J344" s="118" t="str">
        <f>$F$2</f>
        <v>Medical University of South Carolina</v>
      </c>
      <c r="L344" s="303">
        <f>'Frontal Gen'!A5</f>
        <v>50</v>
      </c>
      <c r="M344" s="304">
        <f>'Frontal Gen'!B5</f>
        <v>400</v>
      </c>
      <c r="N344" s="305" t="str">
        <f>IF('Frontal Gen'!F5="","",'Frontal Gen'!F5)</f>
        <v/>
      </c>
      <c r="O344" s="306" t="str">
        <f>IF('Frontal Gen'!G5="","",'Frontal Gen'!G5)</f>
        <v/>
      </c>
      <c r="P344" s="307" t="str">
        <f>IF('Frontal Gen'!H5="","",'Frontal Gen'!H5)</f>
        <v/>
      </c>
      <c r="Q344" s="308">
        <f>'Lateral Gen'!A5</f>
        <v>50</v>
      </c>
      <c r="R344" s="309">
        <f>'Lateral Gen'!B5</f>
        <v>400</v>
      </c>
      <c r="S344" s="305" t="str">
        <f>IF('Lateral Gen'!F5="","",'Lateral Gen'!F5)</f>
        <v/>
      </c>
      <c r="T344" s="310" t="str">
        <f>IF('Lateral Gen'!G5="","",'Lateral Gen'!G5)</f>
        <v/>
      </c>
      <c r="U344" s="311" t="str">
        <f>IF('Lateral Gen'!H5="","",'Lateral Gen'!H5)</f>
        <v/>
      </c>
      <c r="V344" s="418"/>
      <c r="Z344" s="42"/>
      <c r="AA344" s="210"/>
      <c r="AB344" s="82" t="str">
        <f t="shared" si="80"/>
        <v/>
      </c>
      <c r="AC344" s="205" t="str">
        <f t="shared" si="82"/>
        <v/>
      </c>
      <c r="AD344" s="42" t="s">
        <v>575</v>
      </c>
    </row>
    <row r="345" spans="1:30" ht="13.95" customHeight="1" thickBot="1">
      <c r="A345" s="1">
        <v>2</v>
      </c>
      <c r="B345" s="548" t="s">
        <v>731</v>
      </c>
      <c r="J345" s="79" t="str">
        <f>$F$5</f>
        <v>EOS Imaging System Compliance Inspection</v>
      </c>
      <c r="L345" s="312">
        <f>'Frontal Gen'!A6</f>
        <v>60</v>
      </c>
      <c r="M345" s="313">
        <f>'Frontal Gen'!B6</f>
        <v>400</v>
      </c>
      <c r="N345" s="305" t="str">
        <f>IF('Frontal Gen'!F6="","",'Frontal Gen'!F6)</f>
        <v/>
      </c>
      <c r="O345" s="314" t="str">
        <f>IF('Frontal Gen'!G6="","",'Frontal Gen'!G6)</f>
        <v/>
      </c>
      <c r="P345" s="315" t="str">
        <f>IF('Frontal Gen'!H6="","",'Frontal Gen'!H6)</f>
        <v/>
      </c>
      <c r="Q345" s="316">
        <f>'Lateral Gen'!A6</f>
        <v>60</v>
      </c>
      <c r="R345" s="317">
        <f>'Lateral Gen'!B6</f>
        <v>400</v>
      </c>
      <c r="S345" s="305" t="str">
        <f>IF('Lateral Gen'!F6="","",'Lateral Gen'!F6)</f>
        <v/>
      </c>
      <c r="T345" s="314" t="str">
        <f>IF('Lateral Gen'!G6="","",'Lateral Gen'!G6)</f>
        <v/>
      </c>
      <c r="U345" s="315" t="str">
        <f>IF('Lateral Gen'!H6="","",'Lateral Gen'!H6)</f>
        <v/>
      </c>
      <c r="V345" s="418"/>
      <c r="X345" s="220"/>
      <c r="Z345" s="42"/>
      <c r="AA345" s="210"/>
      <c r="AB345" s="82" t="str">
        <f t="shared" si="80"/>
        <v/>
      </c>
      <c r="AC345" s="205" t="str">
        <f t="shared" si="82"/>
        <v/>
      </c>
      <c r="AD345" s="42" t="s">
        <v>576</v>
      </c>
    </row>
    <row r="346" spans="1:30" ht="13.95" customHeight="1" thickTop="1">
      <c r="A346" s="1">
        <v>3</v>
      </c>
      <c r="B346" s="501"/>
      <c r="C346" s="169" t="s">
        <v>452</v>
      </c>
      <c r="D346" s="582" t="str">
        <f>IF($N$337="","",$N$337)</f>
        <v>Piranha 2 CB2-19020491</v>
      </c>
      <c r="E346" s="502"/>
      <c r="F346" s="564" t="s">
        <v>732</v>
      </c>
      <c r="G346" s="655" t="str">
        <f>IF(R337="","",R337)</f>
        <v/>
      </c>
      <c r="H346" s="565" t="s">
        <v>733</v>
      </c>
      <c r="I346" s="656" t="str">
        <f>IF(R338="","",R338)</f>
        <v/>
      </c>
      <c r="J346" s="503"/>
      <c r="L346" s="312">
        <f>'Frontal Gen'!A7</f>
        <v>70</v>
      </c>
      <c r="M346" s="313">
        <f>'Frontal Gen'!B7</f>
        <v>400</v>
      </c>
      <c r="N346" s="305" t="str">
        <f>IF('Frontal Gen'!F7="","",'Frontal Gen'!F7)</f>
        <v/>
      </c>
      <c r="O346" s="314" t="str">
        <f>IF('Frontal Gen'!G7="","",'Frontal Gen'!G7)</f>
        <v/>
      </c>
      <c r="P346" s="315" t="str">
        <f>IF('Frontal Gen'!H7="","",'Frontal Gen'!H7)</f>
        <v/>
      </c>
      <c r="Q346" s="316">
        <f>'Lateral Gen'!A7</f>
        <v>70</v>
      </c>
      <c r="R346" s="317">
        <f>'Lateral Gen'!B7</f>
        <v>400</v>
      </c>
      <c r="S346" s="305" t="str">
        <f>IF('Lateral Gen'!F7="","",'Lateral Gen'!F7)</f>
        <v/>
      </c>
      <c r="T346" s="314" t="str">
        <f>IF('Lateral Gen'!G7="","",'Lateral Gen'!G7)</f>
        <v/>
      </c>
      <c r="U346" s="315" t="str">
        <f>IF('Lateral Gen'!H7="","",'Lateral Gen'!H7)</f>
        <v/>
      </c>
      <c r="V346" s="418"/>
      <c r="Z346" s="42"/>
      <c r="AA346" s="210"/>
      <c r="AB346" s="82" t="str">
        <f t="shared" ref="AB346:AB347" si="83">IF(AND(OR(AA346="",AA346=0),OR(AC346="",AC346=0)),"",IF(AA346&lt;&gt;AC346,"Change",""))</f>
        <v/>
      </c>
      <c r="AC346" s="205" t="str">
        <f t="shared" si="82"/>
        <v/>
      </c>
      <c r="AD346" s="42" t="s">
        <v>675</v>
      </c>
    </row>
    <row r="347" spans="1:30" ht="13.95" customHeight="1">
      <c r="A347" s="1">
        <v>4</v>
      </c>
      <c r="B347" s="419"/>
      <c r="J347" s="418"/>
      <c r="L347" s="312">
        <f>'Frontal Gen'!A8</f>
        <v>80</v>
      </c>
      <c r="M347" s="313">
        <f>'Frontal Gen'!B8</f>
        <v>400</v>
      </c>
      <c r="N347" s="305" t="str">
        <f>IF('Frontal Gen'!F8="","",'Frontal Gen'!F8)</f>
        <v/>
      </c>
      <c r="O347" s="314" t="str">
        <f>IF('Frontal Gen'!G8="","",'Frontal Gen'!G8)</f>
        <v/>
      </c>
      <c r="P347" s="315" t="str">
        <f>IF('Frontal Gen'!H8="","",'Frontal Gen'!H8)</f>
        <v/>
      </c>
      <c r="Q347" s="316">
        <f>'Lateral Gen'!A8</f>
        <v>80</v>
      </c>
      <c r="R347" s="317">
        <f>'Lateral Gen'!B8</f>
        <v>400</v>
      </c>
      <c r="S347" s="305" t="str">
        <f>IF('Lateral Gen'!F8="","",'Lateral Gen'!F8)</f>
        <v/>
      </c>
      <c r="T347" s="314" t="str">
        <f>IF('Lateral Gen'!G8="","",'Lateral Gen'!G8)</f>
        <v/>
      </c>
      <c r="U347" s="315" t="str">
        <f>IF('Lateral Gen'!H8="","",'Lateral Gen'!H8)</f>
        <v/>
      </c>
      <c r="V347" s="418"/>
      <c r="AA347" s="210"/>
      <c r="AB347" s="82" t="str">
        <f t="shared" si="83"/>
        <v/>
      </c>
      <c r="AC347" s="205" t="str">
        <f t="shared" si="82"/>
        <v/>
      </c>
      <c r="AD347" s="42" t="s">
        <v>676</v>
      </c>
    </row>
    <row r="348" spans="1:30" ht="13.95" customHeight="1">
      <c r="A348" s="1">
        <v>5</v>
      </c>
      <c r="B348" s="215" t="s">
        <v>734</v>
      </c>
      <c r="J348" s="418"/>
      <c r="L348" s="318">
        <f>'Frontal Gen'!A23</f>
        <v>90</v>
      </c>
      <c r="M348" s="317">
        <f>'Frontal Gen'!B23</f>
        <v>200</v>
      </c>
      <c r="N348" s="319" t="str">
        <f>IF('Frontal Gen'!F23="","",'Frontal Gen'!F23)</f>
        <v/>
      </c>
      <c r="O348" s="314" t="str">
        <f>IF('Frontal Gen'!G23="","",'Frontal Gen'!G23)</f>
        <v/>
      </c>
      <c r="P348" s="315" t="str">
        <f>IF('Frontal Gen'!H23="","",'Frontal Gen'!H23)</f>
        <v/>
      </c>
      <c r="Q348" s="316">
        <f>'Lateral Gen'!A23</f>
        <v>90</v>
      </c>
      <c r="R348" s="317">
        <f>'Lateral Gen'!B23</f>
        <v>200</v>
      </c>
      <c r="S348" s="319" t="str">
        <f>IF('Lateral Gen'!F23="","",'Lateral Gen'!F23)</f>
        <v/>
      </c>
      <c r="T348" s="314" t="str">
        <f>IF('Lateral Gen'!G23="","",'Lateral Gen'!G23)</f>
        <v/>
      </c>
      <c r="U348" s="315" t="str">
        <f>IF('Lateral Gen'!H23="","",'Lateral Gen'!H23)</f>
        <v/>
      </c>
      <c r="V348" s="418"/>
    </row>
    <row r="349" spans="1:30" ht="13.95" customHeight="1">
      <c r="A349" s="1">
        <v>6</v>
      </c>
      <c r="B349" s="419"/>
      <c r="C349" s="301" t="s">
        <v>735</v>
      </c>
      <c r="D349" s="567">
        <f>$M$340</f>
        <v>119</v>
      </c>
      <c r="E349" s="301" t="s">
        <v>400</v>
      </c>
      <c r="F349" s="566">
        <f>IF(M344="","",M344)</f>
        <v>400</v>
      </c>
      <c r="J349" s="418"/>
      <c r="L349" s="318">
        <f>'Frontal Gen'!A24</f>
        <v>100</v>
      </c>
      <c r="M349" s="317">
        <f>'Frontal Gen'!B24</f>
        <v>400</v>
      </c>
      <c r="N349" s="319" t="str">
        <f>IF('Frontal Gen'!F24="","",'Frontal Gen'!F24)</f>
        <v/>
      </c>
      <c r="O349" s="314" t="str">
        <f>IF('Frontal Gen'!G24="","",'Frontal Gen'!G24)</f>
        <v/>
      </c>
      <c r="P349" s="315" t="str">
        <f>IF('Frontal Gen'!H24="","",'Frontal Gen'!H24)</f>
        <v/>
      </c>
      <c r="Q349" s="316">
        <f>'Lateral Gen'!A24</f>
        <v>100</v>
      </c>
      <c r="R349" s="317">
        <f>'Lateral Gen'!B24</f>
        <v>400</v>
      </c>
      <c r="S349" s="319" t="str">
        <f>IF('Lateral Gen'!F24="","",'Lateral Gen'!F24)</f>
        <v/>
      </c>
      <c r="T349" s="314" t="str">
        <f>IF('Lateral Gen'!G24="","",'Lateral Gen'!G24)</f>
        <v/>
      </c>
      <c r="U349" s="315" t="str">
        <f>IF('Lateral Gen'!H24="","",'Lateral Gen'!H24)</f>
        <v/>
      </c>
      <c r="V349" s="418"/>
      <c r="Z349" s="469" t="s">
        <v>566</v>
      </c>
      <c r="AA349" s="236"/>
      <c r="AB349" s="82" t="str">
        <f t="shared" ref="AB349:AB356" si="84">IF(AND(OR(AA349="",AA349=0),OR(AC349="",AC349=0)),"",IF(AA349&lt;&gt;AC349,"Change",""))</f>
        <v/>
      </c>
      <c r="AC349" s="410" t="str">
        <f t="shared" ref="AC349:AC358" si="85">IF(P472="","",P472)</f>
        <v/>
      </c>
      <c r="AD349" s="42" t="s">
        <v>577</v>
      </c>
    </row>
    <row r="350" spans="1:30" ht="13.95" customHeight="1">
      <c r="A350" s="1">
        <v>7</v>
      </c>
      <c r="B350" s="419"/>
      <c r="J350" s="418"/>
      <c r="L350" s="318">
        <f>'Frontal Gen'!A25</f>
        <v>110</v>
      </c>
      <c r="M350" s="317">
        <f>'Frontal Gen'!B25</f>
        <v>400</v>
      </c>
      <c r="N350" s="319" t="str">
        <f>IF('Frontal Gen'!F25="","",'Frontal Gen'!F25)</f>
        <v/>
      </c>
      <c r="O350" s="314" t="str">
        <f>IF('Frontal Gen'!G25="","",'Frontal Gen'!G25)</f>
        <v/>
      </c>
      <c r="P350" s="315" t="str">
        <f>IF('Frontal Gen'!H25="","",'Frontal Gen'!H25)</f>
        <v/>
      </c>
      <c r="Q350" s="316">
        <f>'Lateral Gen'!A25</f>
        <v>110</v>
      </c>
      <c r="R350" s="317">
        <f>'Lateral Gen'!B25</f>
        <v>400</v>
      </c>
      <c r="S350" s="319" t="str">
        <f>IF('Lateral Gen'!F25="","",'Lateral Gen'!F25)</f>
        <v/>
      </c>
      <c r="T350" s="314" t="str">
        <f>IF('Lateral Gen'!G25="","",'Lateral Gen'!G25)</f>
        <v/>
      </c>
      <c r="U350" s="315" t="str">
        <f>IF('Lateral Gen'!H25="","",'Lateral Gen'!H25)</f>
        <v/>
      </c>
      <c r="V350" s="418"/>
      <c r="Z350" s="55" t="str">
        <f>"@ "&amp;ROUND(AC336,1)&amp;" cm"</f>
        <v>@ 119 cm</v>
      </c>
      <c r="AA350" s="236"/>
      <c r="AB350" s="82" t="str">
        <f t="shared" si="84"/>
        <v/>
      </c>
      <c r="AC350" s="410" t="str">
        <f t="shared" si="85"/>
        <v/>
      </c>
      <c r="AD350" s="42" t="s">
        <v>578</v>
      </c>
    </row>
    <row r="351" spans="1:30" ht="13.95" customHeight="1">
      <c r="A351" s="1">
        <v>8</v>
      </c>
      <c r="B351" s="419"/>
      <c r="C351" s="12"/>
      <c r="D351" s="739" t="s">
        <v>482</v>
      </c>
      <c r="E351" s="740"/>
      <c r="F351" s="739" t="s">
        <v>483</v>
      </c>
      <c r="G351" s="740"/>
      <c r="J351" s="418"/>
      <c r="L351" s="318">
        <f>'Frontal Gen'!A26</f>
        <v>120</v>
      </c>
      <c r="M351" s="317">
        <f>'Frontal Gen'!B26</f>
        <v>400</v>
      </c>
      <c r="N351" s="319" t="str">
        <f>IF('Frontal Gen'!F26="","",'Frontal Gen'!F26)</f>
        <v/>
      </c>
      <c r="O351" s="314" t="str">
        <f>IF('Frontal Gen'!G26="","",'Frontal Gen'!G26)</f>
        <v/>
      </c>
      <c r="P351" s="315" t="str">
        <f>IF('Frontal Gen'!H26="","",'Frontal Gen'!H26)</f>
        <v/>
      </c>
      <c r="Q351" s="316">
        <f>'Lateral Gen'!A26</f>
        <v>120</v>
      </c>
      <c r="R351" s="317">
        <f>'Lateral Gen'!B26</f>
        <v>400</v>
      </c>
      <c r="S351" s="319" t="str">
        <f>IF('Lateral Gen'!F26="","",'Lateral Gen'!F26)</f>
        <v/>
      </c>
      <c r="T351" s="314" t="str">
        <f>IF('Lateral Gen'!G26="","",'Lateral Gen'!G26)</f>
        <v/>
      </c>
      <c r="U351" s="315" t="str">
        <f>IF('Lateral Gen'!H26="","",'Lateral Gen'!H26)</f>
        <v/>
      </c>
      <c r="V351" s="418"/>
      <c r="Z351" s="42"/>
      <c r="AA351" s="236"/>
      <c r="AB351" s="82" t="str">
        <f t="shared" si="84"/>
        <v/>
      </c>
      <c r="AC351" s="410" t="str">
        <f t="shared" si="85"/>
        <v/>
      </c>
      <c r="AD351" s="42" t="s">
        <v>579</v>
      </c>
    </row>
    <row r="352" spans="1:30" ht="13.95" customHeight="1">
      <c r="A352" s="1">
        <v>9</v>
      </c>
      <c r="B352" s="419"/>
      <c r="C352" s="737" t="s">
        <v>737</v>
      </c>
      <c r="D352" s="738" t="s">
        <v>738</v>
      </c>
      <c r="E352" s="12"/>
      <c r="F352" s="738" t="s">
        <v>738</v>
      </c>
      <c r="G352" s="12"/>
      <c r="J352" s="418"/>
      <c r="L352" s="318">
        <f>'Frontal Gen'!A27</f>
        <v>130</v>
      </c>
      <c r="M352" s="317">
        <f>'Frontal Gen'!B27</f>
        <v>400</v>
      </c>
      <c r="N352" s="319" t="str">
        <f>IF('Frontal Gen'!F27="","",'Frontal Gen'!F27)</f>
        <v/>
      </c>
      <c r="O352" s="314" t="str">
        <f>IF('Frontal Gen'!G27="","",'Frontal Gen'!G27)</f>
        <v/>
      </c>
      <c r="P352" s="315" t="str">
        <f>IF('Frontal Gen'!H27="","",'Frontal Gen'!H27)</f>
        <v/>
      </c>
      <c r="Q352" s="316">
        <f>'Lateral Gen'!A27</f>
        <v>130</v>
      </c>
      <c r="R352" s="317">
        <f>'Lateral Gen'!B27</f>
        <v>400</v>
      </c>
      <c r="S352" s="319" t="str">
        <f>IF('Lateral Gen'!F27="","",'Lateral Gen'!F27)</f>
        <v/>
      </c>
      <c r="T352" s="314" t="str">
        <f>IF('Lateral Gen'!G27="","",'Lateral Gen'!G27)</f>
        <v/>
      </c>
      <c r="U352" s="315" t="str">
        <f>IF('Lateral Gen'!H27="","",'Lateral Gen'!H27)</f>
        <v/>
      </c>
      <c r="V352" s="418"/>
      <c r="Z352" s="42"/>
      <c r="AA352" s="236"/>
      <c r="AB352" s="82" t="str">
        <f t="shared" si="84"/>
        <v/>
      </c>
      <c r="AC352" s="410" t="str">
        <f t="shared" si="85"/>
        <v/>
      </c>
      <c r="AD352" s="42" t="s">
        <v>580</v>
      </c>
    </row>
    <row r="353" spans="1:30" ht="13.95" customHeight="1" thickBot="1">
      <c r="A353" s="1">
        <v>10</v>
      </c>
      <c r="B353" s="419"/>
      <c r="C353" s="737"/>
      <c r="D353" s="738"/>
      <c r="E353" s="440" t="s">
        <v>739</v>
      </c>
      <c r="F353" s="738"/>
      <c r="G353" s="440" t="s">
        <v>739</v>
      </c>
      <c r="J353" s="418"/>
      <c r="L353" s="320">
        <f>'Frontal Gen'!A28</f>
        <v>140</v>
      </c>
      <c r="M353" s="321">
        <f>'Frontal Gen'!B28</f>
        <v>400</v>
      </c>
      <c r="N353" s="336" t="str">
        <f>IF('Frontal Gen'!F28="","",'Frontal Gen'!F28)</f>
        <v/>
      </c>
      <c r="O353" s="322" t="str">
        <f>IF('Frontal Gen'!G28="","",'Frontal Gen'!G28)</f>
        <v/>
      </c>
      <c r="P353" s="323" t="str">
        <f>IF('Frontal Gen'!H28="","",'Frontal Gen'!H28)</f>
        <v/>
      </c>
      <c r="Q353" s="324">
        <f>'Lateral Gen'!A28</f>
        <v>140</v>
      </c>
      <c r="R353" s="321">
        <f>'Lateral Gen'!B28</f>
        <v>400</v>
      </c>
      <c r="S353" s="336" t="str">
        <f>IF('Lateral Gen'!F28="","",'Lateral Gen'!F28)</f>
        <v/>
      </c>
      <c r="T353" s="322" t="str">
        <f>IF('Lateral Gen'!G28="","",'Lateral Gen'!G28)</f>
        <v/>
      </c>
      <c r="U353" s="323" t="str">
        <f>IF('Lateral Gen'!H28="","",'Lateral Gen'!H28)</f>
        <v/>
      </c>
      <c r="V353" s="418"/>
      <c r="Z353" s="42"/>
      <c r="AA353" s="236"/>
      <c r="AB353" s="82" t="str">
        <f t="shared" si="84"/>
        <v/>
      </c>
      <c r="AC353" s="410" t="str">
        <f t="shared" si="85"/>
        <v/>
      </c>
      <c r="AD353" s="42" t="s">
        <v>581</v>
      </c>
    </row>
    <row r="354" spans="1:30" ht="13.95" customHeight="1" thickBot="1">
      <c r="A354" s="1">
        <v>11</v>
      </c>
      <c r="B354" s="419"/>
      <c r="C354" s="569">
        <f>L344</f>
        <v>50</v>
      </c>
      <c r="D354" s="334" t="str">
        <f>IF(N344="","",N344)</f>
        <v/>
      </c>
      <c r="E354" s="570" t="str">
        <f>IF(D354="","",ABS(D354-$C354)/$C354)</f>
        <v/>
      </c>
      <c r="F354" s="334" t="str">
        <f>IF(S344="","",S344)</f>
        <v/>
      </c>
      <c r="G354" s="570" t="str">
        <f>IF(F354="","",ABS(F354-$C354)/$C354)</f>
        <v/>
      </c>
      <c r="J354" s="418"/>
      <c r="L354" s="131" t="s">
        <v>485</v>
      </c>
      <c r="V354" s="418"/>
      <c r="Z354" s="42"/>
      <c r="AA354" s="236"/>
      <c r="AB354" s="82" t="str">
        <f t="shared" si="84"/>
        <v/>
      </c>
      <c r="AC354" s="410" t="str">
        <f t="shared" si="85"/>
        <v/>
      </c>
      <c r="AD354" s="42" t="s">
        <v>582</v>
      </c>
    </row>
    <row r="355" spans="1:30" ht="13.95" customHeight="1" thickBot="1">
      <c r="A355" s="1">
        <v>12</v>
      </c>
      <c r="B355" s="419"/>
      <c r="C355" s="571">
        <f t="shared" ref="C355:C362" si="86">L345</f>
        <v>60</v>
      </c>
      <c r="D355" s="335" t="str">
        <f t="shared" ref="D355:D363" si="87">IF(N345="","",N345)</f>
        <v/>
      </c>
      <c r="E355" s="572" t="str">
        <f t="shared" ref="E355:E363" si="88">IF(D355="","",ABS(D355-$C355)/$C355)</f>
        <v/>
      </c>
      <c r="F355" s="335" t="str">
        <f t="shared" ref="F355:F363" si="89">IF(S345="","",S345)</f>
        <v/>
      </c>
      <c r="G355" s="572" t="str">
        <f t="shared" ref="G355:G363" si="90">IF(F355="","",ABS(F355-$C355)/$C355)</f>
        <v/>
      </c>
      <c r="J355" s="418"/>
      <c r="L355" s="419"/>
      <c r="N355" s="199" t="s">
        <v>275</v>
      </c>
      <c r="O355" s="200" t="str">
        <f>IF(AND(D355="",D354=""),"TBD",IF(MAX(E354:E363)&lt;=0.05,"YES","NO"))</f>
        <v>TBD</v>
      </c>
      <c r="S355" s="199" t="s">
        <v>275</v>
      </c>
      <c r="T355" s="200" t="str">
        <f>IF(AND(F355="",F354=""),"TBD",IF(MAX(G354:G363)&lt;=0.05,"YES","NO"))</f>
        <v>TBD</v>
      </c>
      <c r="V355" s="418"/>
      <c r="Z355" s="42"/>
      <c r="AA355" s="236"/>
      <c r="AB355" s="82" t="str">
        <f t="shared" si="84"/>
        <v/>
      </c>
      <c r="AC355" s="410" t="str">
        <f t="shared" si="85"/>
        <v/>
      </c>
      <c r="AD355" s="42" t="s">
        <v>583</v>
      </c>
    </row>
    <row r="356" spans="1:30" ht="13.95" customHeight="1" thickBot="1">
      <c r="A356" s="1">
        <v>13</v>
      </c>
      <c r="B356" s="419"/>
      <c r="C356" s="571">
        <f t="shared" si="86"/>
        <v>70</v>
      </c>
      <c r="D356" s="335" t="str">
        <f t="shared" si="87"/>
        <v/>
      </c>
      <c r="E356" s="572" t="str">
        <f t="shared" si="88"/>
        <v/>
      </c>
      <c r="F356" s="335" t="str">
        <f t="shared" si="89"/>
        <v/>
      </c>
      <c r="G356" s="572" t="str">
        <f t="shared" si="90"/>
        <v/>
      </c>
      <c r="J356" s="418"/>
      <c r="L356" s="431" t="s">
        <v>276</v>
      </c>
      <c r="M356" s="429" t="s">
        <v>490</v>
      </c>
      <c r="N356" s="15"/>
      <c r="O356" s="15"/>
      <c r="P356" s="15"/>
      <c r="Q356" s="15"/>
      <c r="R356" s="15"/>
      <c r="S356" s="15"/>
      <c r="T356" s="15"/>
      <c r="U356" s="15"/>
      <c r="V356" s="432"/>
      <c r="Z356" s="42"/>
      <c r="AA356" s="236"/>
      <c r="AB356" s="82" t="str">
        <f t="shared" si="84"/>
        <v/>
      </c>
      <c r="AC356" s="410" t="str">
        <f t="shared" si="85"/>
        <v/>
      </c>
      <c r="AD356" s="42" t="s">
        <v>584</v>
      </c>
    </row>
    <row r="357" spans="1:30" ht="13.95" customHeight="1">
      <c r="A357" s="1">
        <v>14</v>
      </c>
      <c r="B357" s="419"/>
      <c r="C357" s="571">
        <f t="shared" si="86"/>
        <v>80</v>
      </c>
      <c r="D357" s="335" t="str">
        <f t="shared" si="87"/>
        <v/>
      </c>
      <c r="E357" s="572" t="str">
        <f t="shared" si="88"/>
        <v/>
      </c>
      <c r="F357" s="335" t="str">
        <f t="shared" si="89"/>
        <v/>
      </c>
      <c r="G357" s="572" t="str">
        <f t="shared" si="90"/>
        <v/>
      </c>
      <c r="J357" s="418"/>
      <c r="L357" s="419"/>
      <c r="V357" s="418"/>
      <c r="Z357" s="42"/>
      <c r="AA357" s="236"/>
      <c r="AB357" s="82" t="str">
        <f t="shared" ref="AB357:AB358" si="91">IF(AND(OR(AA357="",AA357=0),OR(AC357="",AC357=0)),"",IF(AA357&lt;&gt;AC357,"Change",""))</f>
        <v/>
      </c>
      <c r="AC357" s="410" t="str">
        <f t="shared" si="85"/>
        <v/>
      </c>
      <c r="AD357" s="42" t="s">
        <v>677</v>
      </c>
    </row>
    <row r="358" spans="1:30" ht="13.95" customHeight="1">
      <c r="A358" s="1">
        <v>15</v>
      </c>
      <c r="B358" s="419"/>
      <c r="C358" s="571">
        <f t="shared" si="86"/>
        <v>90</v>
      </c>
      <c r="D358" s="335" t="str">
        <f t="shared" si="87"/>
        <v/>
      </c>
      <c r="E358" s="572" t="str">
        <f t="shared" si="88"/>
        <v/>
      </c>
      <c r="F358" s="335" t="str">
        <f t="shared" si="89"/>
        <v/>
      </c>
      <c r="G358" s="572" t="str">
        <f t="shared" si="90"/>
        <v/>
      </c>
      <c r="J358" s="418"/>
      <c r="L358" s="215" t="s">
        <v>486</v>
      </c>
      <c r="V358" s="418"/>
      <c r="AA358" s="236"/>
      <c r="AB358" s="82" t="str">
        <f t="shared" si="91"/>
        <v/>
      </c>
      <c r="AC358" s="410" t="str">
        <f t="shared" si="85"/>
        <v/>
      </c>
      <c r="AD358" s="42" t="s">
        <v>678</v>
      </c>
    </row>
    <row r="359" spans="1:30" ht="13.95" customHeight="1">
      <c r="A359" s="1">
        <v>16</v>
      </c>
      <c r="B359" s="419"/>
      <c r="C359" s="571">
        <f t="shared" si="86"/>
        <v>100</v>
      </c>
      <c r="D359" s="335" t="str">
        <f t="shared" si="87"/>
        <v/>
      </c>
      <c r="E359" s="572" t="str">
        <f t="shared" si="88"/>
        <v/>
      </c>
      <c r="F359" s="335" t="str">
        <f t="shared" si="89"/>
        <v/>
      </c>
      <c r="G359" s="572" t="str">
        <f t="shared" si="90"/>
        <v/>
      </c>
      <c r="J359" s="418"/>
      <c r="L359" s="822" t="s">
        <v>482</v>
      </c>
      <c r="M359" s="802"/>
      <c r="N359" s="802"/>
      <c r="O359" s="802"/>
      <c r="P359" s="823"/>
      <c r="Q359" s="801" t="s">
        <v>483</v>
      </c>
      <c r="R359" s="814"/>
      <c r="S359" s="814"/>
      <c r="T359" s="814"/>
      <c r="U359" s="815"/>
      <c r="V359" s="418"/>
    </row>
    <row r="360" spans="1:30" ht="13.95" customHeight="1">
      <c r="A360" s="1">
        <v>17</v>
      </c>
      <c r="B360" s="419"/>
      <c r="C360" s="571">
        <f t="shared" si="86"/>
        <v>110</v>
      </c>
      <c r="D360" s="335" t="str">
        <f t="shared" si="87"/>
        <v/>
      </c>
      <c r="E360" s="572" t="str">
        <f t="shared" si="88"/>
        <v/>
      </c>
      <c r="F360" s="335" t="str">
        <f t="shared" si="89"/>
        <v/>
      </c>
      <c r="G360" s="572" t="str">
        <f t="shared" si="90"/>
        <v/>
      </c>
      <c r="J360" s="418"/>
      <c r="L360" s="811" t="s">
        <v>484</v>
      </c>
      <c r="M360" s="809"/>
      <c r="N360" s="803" t="s">
        <v>478</v>
      </c>
      <c r="O360" s="812"/>
      <c r="P360" s="813"/>
      <c r="Q360" s="808" t="s">
        <v>484</v>
      </c>
      <c r="R360" s="816"/>
      <c r="S360" s="817" t="s">
        <v>478</v>
      </c>
      <c r="T360" s="818"/>
      <c r="U360" s="819"/>
      <c r="V360" s="418"/>
      <c r="Z360" s="79" t="s">
        <v>586</v>
      </c>
      <c r="AA360" s="42"/>
      <c r="AB360" s="82" t="str">
        <f t="shared" ref="AB360:AB368" si="92">IF(AND(OR(AA360="",AA360=0),OR(AC360="",AC360=0)),"",IF(AA360&lt;&gt;AC360,"Change",""))</f>
        <v/>
      </c>
      <c r="AC360" s="42"/>
      <c r="AD360" s="42"/>
    </row>
    <row r="361" spans="1:30" ht="13.95" customHeight="1" thickBot="1">
      <c r="A361" s="1">
        <v>18</v>
      </c>
      <c r="B361" s="419"/>
      <c r="C361" s="571">
        <f t="shared" si="86"/>
        <v>120</v>
      </c>
      <c r="D361" s="335" t="str">
        <f t="shared" si="87"/>
        <v/>
      </c>
      <c r="E361" s="572" t="str">
        <f t="shared" si="88"/>
        <v/>
      </c>
      <c r="F361" s="335" t="str">
        <f t="shared" si="89"/>
        <v/>
      </c>
      <c r="G361" s="572" t="str">
        <f t="shared" si="90"/>
        <v/>
      </c>
      <c r="J361" s="418"/>
      <c r="L361" s="657" t="s">
        <v>477</v>
      </c>
      <c r="M361" s="282" t="str">
        <f>FrontalMAS</f>
        <v>mA</v>
      </c>
      <c r="N361" s="658" t="s">
        <v>479</v>
      </c>
      <c r="O361" s="659" t="s">
        <v>736</v>
      </c>
      <c r="P361" s="282" t="s">
        <v>232</v>
      </c>
      <c r="Q361" s="658" t="s">
        <v>477</v>
      </c>
      <c r="R361" s="282" t="str">
        <f>LateralMAS</f>
        <v>mA</v>
      </c>
      <c r="S361" s="658" t="s">
        <v>479</v>
      </c>
      <c r="T361" s="659" t="s">
        <v>480</v>
      </c>
      <c r="U361" s="282" t="s">
        <v>232</v>
      </c>
      <c r="V361" s="418"/>
      <c r="Z361" s="43" t="s">
        <v>568</v>
      </c>
      <c r="AA361" s="210"/>
      <c r="AB361" s="82" t="str">
        <f t="shared" si="92"/>
        <v>Change</v>
      </c>
      <c r="AC361" s="207">
        <f>IF(M340="",AA361,M340)</f>
        <v>119</v>
      </c>
      <c r="AD361" s="76" t="s">
        <v>511</v>
      </c>
    </row>
    <row r="362" spans="1:30" ht="13.95" customHeight="1">
      <c r="A362" s="1">
        <v>19</v>
      </c>
      <c r="B362" s="419"/>
      <c r="C362" s="571">
        <f t="shared" si="86"/>
        <v>130</v>
      </c>
      <c r="D362" s="335" t="str">
        <f t="shared" si="87"/>
        <v/>
      </c>
      <c r="E362" s="572" t="str">
        <f t="shared" si="88"/>
        <v/>
      </c>
      <c r="F362" s="335" t="str">
        <f t="shared" si="89"/>
        <v/>
      </c>
      <c r="G362" s="572" t="str">
        <f t="shared" si="90"/>
        <v/>
      </c>
      <c r="J362" s="418"/>
      <c r="L362" s="325">
        <f>'Frontal Gen'!A8</f>
        <v>80</v>
      </c>
      <c r="M362" s="309">
        <f>'Frontal Gen'!B8</f>
        <v>400</v>
      </c>
      <c r="N362" s="326" t="str">
        <f>IF('Frontal Gen'!F8="","",'Frontal Gen'!F8)</f>
        <v/>
      </c>
      <c r="O362" s="310" t="str">
        <f>IF('Frontal Gen'!G8="","",'Frontal Gen'!G8)</f>
        <v/>
      </c>
      <c r="P362" s="311" t="str">
        <f>IF('Frontal Gen'!H8="","",'Frontal Gen'!H8)</f>
        <v/>
      </c>
      <c r="Q362" s="327">
        <f>'Lateral Gen'!A8</f>
        <v>80</v>
      </c>
      <c r="R362" s="309">
        <f>'Lateral Gen'!B8</f>
        <v>400</v>
      </c>
      <c r="S362" s="326" t="str">
        <f>IF('Lateral Gen'!F8="","",'Lateral Gen'!F8)</f>
        <v/>
      </c>
      <c r="T362" s="310" t="str">
        <f>IF('Lateral Gen'!G8="","",'Lateral Gen'!G8)</f>
        <v/>
      </c>
      <c r="U362" s="311" t="str">
        <f>IF('Lateral Gen'!H8="","",'Lateral Gen'!H8)</f>
        <v/>
      </c>
      <c r="V362" s="418"/>
      <c r="Z362" s="42"/>
      <c r="AA362" s="42"/>
      <c r="AB362" s="82" t="str">
        <f t="shared" si="92"/>
        <v/>
      </c>
      <c r="AC362" s="42"/>
      <c r="AD362" s="42"/>
    </row>
    <row r="363" spans="1:30" ht="13.95" customHeight="1" thickBot="1">
      <c r="A363" s="1">
        <v>20</v>
      </c>
      <c r="B363" s="419"/>
      <c r="C363" s="573">
        <f>L353</f>
        <v>140</v>
      </c>
      <c r="D363" s="336" t="str">
        <f t="shared" si="87"/>
        <v/>
      </c>
      <c r="E363" s="574" t="str">
        <f t="shared" si="88"/>
        <v/>
      </c>
      <c r="F363" s="336" t="str">
        <f t="shared" si="89"/>
        <v/>
      </c>
      <c r="G363" s="574" t="str">
        <f t="shared" si="90"/>
        <v/>
      </c>
      <c r="J363" s="418"/>
      <c r="L363" s="318">
        <f>'Frontal Gen'!A9</f>
        <v>80</v>
      </c>
      <c r="M363" s="317">
        <f>'Frontal Gen'!B9</f>
        <v>400</v>
      </c>
      <c r="N363" s="319" t="str">
        <f>IF('Frontal Gen'!F9="","",'Frontal Gen'!F9)</f>
        <v/>
      </c>
      <c r="O363" s="314" t="str">
        <f>IF('Frontal Gen'!G9="","",'Frontal Gen'!G9)</f>
        <v/>
      </c>
      <c r="P363" s="315" t="str">
        <f>IF('Frontal Gen'!H9="","",'Frontal Gen'!H9)</f>
        <v/>
      </c>
      <c r="Q363" s="328">
        <f>'Lateral Gen'!A9</f>
        <v>80</v>
      </c>
      <c r="R363" s="317">
        <f>'Lateral Gen'!B9</f>
        <v>400</v>
      </c>
      <c r="S363" s="319" t="str">
        <f>IF('Lateral Gen'!F9="","",'Lateral Gen'!F9)</f>
        <v/>
      </c>
      <c r="T363" s="314" t="str">
        <f>IF('Lateral Gen'!G9="","",'Lateral Gen'!G9)</f>
        <v/>
      </c>
      <c r="U363" s="315" t="str">
        <f>IF('Lateral Gen'!H9="","",'Lateral Gen'!H9)</f>
        <v/>
      </c>
      <c r="V363" s="418"/>
      <c r="Z363" s="55" t="s">
        <v>203</v>
      </c>
      <c r="AA363" s="210"/>
      <c r="AB363" s="82" t="str">
        <f t="shared" si="92"/>
        <v/>
      </c>
      <c r="AC363" s="411" t="str">
        <f t="shared" ref="AC363:AC372" si="93">IF(O492="","",O492)</f>
        <v/>
      </c>
      <c r="AD363" s="42" t="s">
        <v>595</v>
      </c>
    </row>
    <row r="364" spans="1:30" ht="13.95" customHeight="1" thickBot="1">
      <c r="A364" s="1">
        <v>21</v>
      </c>
      <c r="B364" s="419"/>
      <c r="D364" s="550" t="s">
        <v>275</v>
      </c>
      <c r="E364" s="551" t="str">
        <f>IF(O355="","",O355)</f>
        <v>TBD</v>
      </c>
      <c r="F364" s="550" t="s">
        <v>275</v>
      </c>
      <c r="G364" s="551" t="str">
        <f>IF(T355="","",T355)</f>
        <v>TBD</v>
      </c>
      <c r="J364" s="418"/>
      <c r="L364" s="318">
        <f>'Frontal Gen'!A10</f>
        <v>80</v>
      </c>
      <c r="M364" s="317">
        <f>'Frontal Gen'!B10</f>
        <v>400</v>
      </c>
      <c r="N364" s="319" t="str">
        <f>IF('Frontal Gen'!F10="","",'Frontal Gen'!F10)</f>
        <v/>
      </c>
      <c r="O364" s="314" t="str">
        <f>IF('Frontal Gen'!G10="","",'Frontal Gen'!G10)</f>
        <v/>
      </c>
      <c r="P364" s="315" t="str">
        <f>IF('Frontal Gen'!H10="","",'Frontal Gen'!H10)</f>
        <v/>
      </c>
      <c r="Q364" s="328">
        <f>'Lateral Gen'!A10</f>
        <v>80</v>
      </c>
      <c r="R364" s="317">
        <f>'Lateral Gen'!B10</f>
        <v>400</v>
      </c>
      <c r="S364" s="319" t="str">
        <f>IF('Lateral Gen'!F10="","",'Lateral Gen'!F10)</f>
        <v/>
      </c>
      <c r="T364" s="314" t="str">
        <f>IF('Lateral Gen'!G10="","",'Lateral Gen'!G10)</f>
        <v/>
      </c>
      <c r="U364" s="315" t="str">
        <f>IF('Lateral Gen'!H10="","",'Lateral Gen'!H10)</f>
        <v/>
      </c>
      <c r="V364" s="418"/>
      <c r="Z364" s="42"/>
      <c r="AA364" s="210"/>
      <c r="AB364" s="82" t="str">
        <f t="shared" si="92"/>
        <v/>
      </c>
      <c r="AC364" s="411" t="str">
        <f t="shared" si="93"/>
        <v/>
      </c>
      <c r="AD364" s="42" t="s">
        <v>596</v>
      </c>
    </row>
    <row r="365" spans="1:30" ht="13.95" customHeight="1">
      <c r="A365" s="1">
        <v>22</v>
      </c>
      <c r="B365" s="420" t="s">
        <v>276</v>
      </c>
      <c r="C365" s="54" t="s">
        <v>490</v>
      </c>
      <c r="J365" s="418"/>
      <c r="L365" s="318">
        <f>'Frontal Gen'!A11</f>
        <v>80</v>
      </c>
      <c r="M365" s="317">
        <f>'Frontal Gen'!B11</f>
        <v>400</v>
      </c>
      <c r="N365" s="319" t="str">
        <f>IF('Frontal Gen'!F11="","",'Frontal Gen'!F11)</f>
        <v/>
      </c>
      <c r="O365" s="314" t="str">
        <f>IF('Frontal Gen'!G11="","",'Frontal Gen'!G11)</f>
        <v/>
      </c>
      <c r="P365" s="315" t="str">
        <f>IF('Frontal Gen'!H11="","",'Frontal Gen'!H11)</f>
        <v/>
      </c>
      <c r="Q365" s="328">
        <f>'Lateral Gen'!A11</f>
        <v>80</v>
      </c>
      <c r="R365" s="317">
        <f>'Lateral Gen'!B11</f>
        <v>400</v>
      </c>
      <c r="S365" s="319" t="str">
        <f>IF('Lateral Gen'!F11="","",'Lateral Gen'!F11)</f>
        <v/>
      </c>
      <c r="T365" s="314" t="str">
        <f>IF('Lateral Gen'!G11="","",'Lateral Gen'!G11)</f>
        <v/>
      </c>
      <c r="U365" s="315" t="str">
        <f>IF('Lateral Gen'!H11="","",'Lateral Gen'!H11)</f>
        <v/>
      </c>
      <c r="V365" s="418"/>
      <c r="Z365" s="42"/>
      <c r="AA365" s="210"/>
      <c r="AB365" s="82" t="str">
        <f t="shared" si="92"/>
        <v/>
      </c>
      <c r="AC365" s="411" t="str">
        <f t="shared" si="93"/>
        <v/>
      </c>
      <c r="AD365" s="42" t="s">
        <v>597</v>
      </c>
    </row>
    <row r="366" spans="1:30" ht="13.95" customHeight="1" thickBot="1">
      <c r="A366" s="1">
        <v>23</v>
      </c>
      <c r="B366" s="419"/>
      <c r="J366" s="418"/>
      <c r="L366" s="320">
        <f>'Frontal Gen'!A12</f>
        <v>80</v>
      </c>
      <c r="M366" s="321">
        <f>'Frontal Gen'!B12</f>
        <v>400</v>
      </c>
      <c r="N366" s="329" t="str">
        <f>IF('Frontal Gen'!F12="","",'Frontal Gen'!F12)</f>
        <v/>
      </c>
      <c r="O366" s="322" t="str">
        <f>IF('Frontal Gen'!G12="","",'Frontal Gen'!G12)</f>
        <v/>
      </c>
      <c r="P366" s="323" t="str">
        <f>IF('Frontal Gen'!H12="","",'Frontal Gen'!H12)</f>
        <v/>
      </c>
      <c r="Q366" s="330">
        <f>'Lateral Gen'!A12</f>
        <v>80</v>
      </c>
      <c r="R366" s="321">
        <f>'Lateral Gen'!B12</f>
        <v>400</v>
      </c>
      <c r="S366" s="329" t="str">
        <f>IF('Lateral Gen'!F12="","",'Lateral Gen'!F12)</f>
        <v/>
      </c>
      <c r="T366" s="322" t="str">
        <f>IF('Lateral Gen'!G12="","",'Lateral Gen'!G12)</f>
        <v/>
      </c>
      <c r="U366" s="323" t="str">
        <f>IF('Lateral Gen'!H12="","",'Lateral Gen'!H12)</f>
        <v/>
      </c>
      <c r="V366" s="418"/>
      <c r="Z366" s="42"/>
      <c r="AA366" s="210"/>
      <c r="AB366" s="82" t="str">
        <f t="shared" si="92"/>
        <v/>
      </c>
      <c r="AC366" s="411" t="str">
        <f t="shared" si="93"/>
        <v/>
      </c>
      <c r="AD366" s="42" t="s">
        <v>598</v>
      </c>
    </row>
    <row r="367" spans="1:30" ht="13.95" customHeight="1">
      <c r="A367" s="1">
        <v>24</v>
      </c>
      <c r="B367" s="215" t="s">
        <v>740</v>
      </c>
      <c r="J367" s="418"/>
      <c r="L367" s="419"/>
      <c r="M367" s="301" t="s">
        <v>487</v>
      </c>
      <c r="N367" s="334" t="str">
        <f>IF(N362="","",AVERAGE(N362:N366))</f>
        <v/>
      </c>
      <c r="O367" s="310" t="str">
        <f t="shared" ref="O367:P367" si="94">IF(O362="","",AVERAGE(O362:O366))</f>
        <v/>
      </c>
      <c r="P367" s="311" t="str">
        <f t="shared" si="94"/>
        <v/>
      </c>
      <c r="R367" s="301" t="s">
        <v>487</v>
      </c>
      <c r="S367" s="334" t="str">
        <f t="shared" ref="S367:U367" si="95">IF(S362="","",AVERAGE(S362:S366))</f>
        <v/>
      </c>
      <c r="T367" s="310" t="str">
        <f t="shared" si="95"/>
        <v/>
      </c>
      <c r="U367" s="311" t="str">
        <f t="shared" si="95"/>
        <v/>
      </c>
      <c r="V367" s="418"/>
      <c r="Z367" s="42"/>
      <c r="AA367" s="210"/>
      <c r="AB367" s="82" t="str">
        <f t="shared" si="92"/>
        <v/>
      </c>
      <c r="AC367" s="411" t="str">
        <f t="shared" si="93"/>
        <v/>
      </c>
      <c r="AD367" s="42" t="s">
        <v>599</v>
      </c>
    </row>
    <row r="368" spans="1:30" ht="13.95" customHeight="1">
      <c r="A368" s="1">
        <v>25</v>
      </c>
      <c r="B368" s="419"/>
      <c r="D368" s="739" t="s">
        <v>482</v>
      </c>
      <c r="E368" s="740"/>
      <c r="F368" s="739" t="s">
        <v>483</v>
      </c>
      <c r="G368" s="740"/>
      <c r="J368" s="418"/>
      <c r="L368" s="419"/>
      <c r="M368" s="301" t="s">
        <v>488</v>
      </c>
      <c r="N368" s="359" t="str">
        <f>IF(N362="","",STDEV(N362:N366))</f>
        <v/>
      </c>
      <c r="O368" s="360" t="str">
        <f t="shared" ref="O368:P368" si="96">IF(O362="","",STDEV(O362:O366))</f>
        <v/>
      </c>
      <c r="P368" s="361" t="str">
        <f t="shared" si="96"/>
        <v/>
      </c>
      <c r="R368" s="301" t="s">
        <v>488</v>
      </c>
      <c r="S368" s="359" t="str">
        <f t="shared" ref="S368:U368" si="97">IF(S362="","",STDEV(S362:S366))</f>
        <v/>
      </c>
      <c r="T368" s="360" t="str">
        <f t="shared" si="97"/>
        <v/>
      </c>
      <c r="U368" s="361" t="str">
        <f t="shared" si="97"/>
        <v/>
      </c>
      <c r="V368" s="418"/>
      <c r="Z368" s="42"/>
      <c r="AA368" s="210"/>
      <c r="AB368" s="82" t="str">
        <f t="shared" si="92"/>
        <v/>
      </c>
      <c r="AC368" s="411" t="str">
        <f t="shared" si="93"/>
        <v/>
      </c>
      <c r="AD368" s="42" t="s">
        <v>600</v>
      </c>
    </row>
    <row r="369" spans="1:30" ht="13.95" customHeight="1" thickBot="1">
      <c r="A369" s="1">
        <v>26</v>
      </c>
      <c r="B369" s="419"/>
      <c r="C369" s="737" t="s">
        <v>737</v>
      </c>
      <c r="D369" s="738" t="s">
        <v>431</v>
      </c>
      <c r="E369" s="737"/>
      <c r="F369" s="744" t="s">
        <v>431</v>
      </c>
      <c r="G369" s="737"/>
      <c r="J369" s="418"/>
      <c r="L369" s="419"/>
      <c r="M369" s="301" t="s">
        <v>489</v>
      </c>
      <c r="N369" s="362" t="str">
        <f>IF(N362="","",N368/N367)</f>
        <v/>
      </c>
      <c r="O369" s="363" t="str">
        <f t="shared" ref="O369:P369" si="98">IF(O362="","",O368/O367)</f>
        <v/>
      </c>
      <c r="P369" s="363" t="str">
        <f t="shared" si="98"/>
        <v/>
      </c>
      <c r="R369" s="301" t="s">
        <v>489</v>
      </c>
      <c r="S369" s="362" t="str">
        <f t="shared" ref="S369:U369" si="99">IF(S362="","",S368/S367)</f>
        <v/>
      </c>
      <c r="T369" s="363" t="str">
        <f t="shared" si="99"/>
        <v/>
      </c>
      <c r="U369" s="363" t="str">
        <f t="shared" si="99"/>
        <v/>
      </c>
      <c r="V369" s="418"/>
      <c r="Z369" s="42"/>
      <c r="AA369" s="210"/>
      <c r="AB369" s="82" t="str">
        <f t="shared" ref="AB369:AB372" si="100">IF(AND(OR(AA369="",AA369=0),OR(AC369="",AC369=0)),"",IF(AA369&lt;&gt;AC369,"Change",""))</f>
        <v/>
      </c>
      <c r="AC369" s="411" t="str">
        <f t="shared" si="93"/>
        <v/>
      </c>
      <c r="AD369" s="42" t="s">
        <v>679</v>
      </c>
    </row>
    <row r="370" spans="1:30" ht="13.95" customHeight="1" thickBot="1">
      <c r="A370" s="1">
        <v>27</v>
      </c>
      <c r="B370" s="419"/>
      <c r="C370" s="737"/>
      <c r="D370" s="575" t="s">
        <v>477</v>
      </c>
      <c r="E370" s="568" t="s">
        <v>232</v>
      </c>
      <c r="F370" s="578" t="s">
        <v>477</v>
      </c>
      <c r="G370" s="577" t="s">
        <v>232</v>
      </c>
      <c r="J370" s="418"/>
      <c r="L370" s="419"/>
      <c r="M370" s="300" t="s">
        <v>275</v>
      </c>
      <c r="N370" s="302" t="str">
        <f>IF(N362="","NA",IF(N369&gt;0.05,"NO","YES"))</f>
        <v>NA</v>
      </c>
      <c r="O370" s="302" t="str">
        <f t="shared" ref="O370:P370" si="101">IF(O362="","NA",IF(O369&gt;0.05,"NO","YES"))</f>
        <v>NA</v>
      </c>
      <c r="P370" s="302" t="str">
        <f t="shared" si="101"/>
        <v>NA</v>
      </c>
      <c r="R370" s="300" t="s">
        <v>275</v>
      </c>
      <c r="S370" s="302" t="str">
        <f t="shared" ref="S370:U370" si="102">IF(S362="","NA",IF(S369&gt;0.05,"NO","YES"))</f>
        <v>NA</v>
      </c>
      <c r="T370" s="302" t="str">
        <f t="shared" si="102"/>
        <v>NA</v>
      </c>
      <c r="U370" s="302" t="str">
        <f t="shared" si="102"/>
        <v>NA</v>
      </c>
      <c r="V370" s="418"/>
      <c r="AA370" s="210"/>
      <c r="AB370" s="82" t="str">
        <f t="shared" si="100"/>
        <v/>
      </c>
      <c r="AC370" s="411" t="str">
        <f t="shared" si="93"/>
        <v/>
      </c>
      <c r="AD370" s="42" t="s">
        <v>680</v>
      </c>
    </row>
    <row r="371" spans="1:30" ht="13.95" customHeight="1" thickBot="1">
      <c r="A371" s="1">
        <v>28</v>
      </c>
      <c r="B371" s="419"/>
      <c r="C371" s="583">
        <f>L362</f>
        <v>80</v>
      </c>
      <c r="D371" s="294" t="str">
        <f>IF(N362="","",N362)</f>
        <v/>
      </c>
      <c r="E371" s="295" t="str">
        <f>IF(P362="","",P362)</f>
        <v/>
      </c>
      <c r="F371" s="660" t="str">
        <f>IF(S362="","",S362)</f>
        <v/>
      </c>
      <c r="G371" s="295" t="str">
        <f>IF(U362="","",U362)</f>
        <v/>
      </c>
      <c r="J371" s="418"/>
      <c r="L371" s="420" t="s">
        <v>276</v>
      </c>
      <c r="M371" s="54" t="s">
        <v>491</v>
      </c>
      <c r="V371" s="418"/>
      <c r="AA371" s="210"/>
      <c r="AB371" s="82" t="str">
        <f t="shared" si="100"/>
        <v/>
      </c>
      <c r="AC371" s="411" t="str">
        <f t="shared" si="93"/>
        <v/>
      </c>
      <c r="AD371" s="42" t="s">
        <v>683</v>
      </c>
    </row>
    <row r="372" spans="1:30" ht="13.95" customHeight="1">
      <c r="A372" s="1">
        <v>29</v>
      </c>
      <c r="B372" s="419"/>
      <c r="D372" s="296" t="str">
        <f t="shared" ref="D372:D374" si="103">IF(N363="","",N363)</f>
        <v/>
      </c>
      <c r="E372" s="292" t="str">
        <f t="shared" ref="E372:E375" si="104">IF(P363="","",P363)</f>
        <v/>
      </c>
      <c r="F372" s="661" t="str">
        <f t="shared" ref="F372:F375" si="105">IF(S363="","",S363)</f>
        <v/>
      </c>
      <c r="G372" s="292" t="str">
        <f t="shared" ref="G372:G375" si="106">IF(U363="","",U363)</f>
        <v/>
      </c>
      <c r="J372" s="418"/>
      <c r="L372" s="419"/>
      <c r="V372" s="418"/>
      <c r="AA372" s="210"/>
      <c r="AB372" s="82" t="str">
        <f t="shared" si="100"/>
        <v/>
      </c>
      <c r="AC372" s="411" t="str">
        <f t="shared" si="93"/>
        <v/>
      </c>
      <c r="AD372" s="42" t="s">
        <v>684</v>
      </c>
    </row>
    <row r="373" spans="1:30" ht="13.95" customHeight="1">
      <c r="A373" s="1">
        <v>30</v>
      </c>
      <c r="B373" s="419"/>
      <c r="D373" s="296" t="str">
        <f t="shared" si="103"/>
        <v/>
      </c>
      <c r="E373" s="292" t="str">
        <f t="shared" si="104"/>
        <v/>
      </c>
      <c r="F373" s="661" t="str">
        <f t="shared" si="105"/>
        <v/>
      </c>
      <c r="G373" s="292" t="str">
        <f t="shared" si="106"/>
        <v/>
      </c>
      <c r="J373" s="418"/>
      <c r="L373" s="421" t="s">
        <v>492</v>
      </c>
      <c r="V373" s="418"/>
    </row>
    <row r="374" spans="1:30" ht="13.95" customHeight="1">
      <c r="A374" s="1">
        <v>31</v>
      </c>
      <c r="B374" s="419"/>
      <c r="D374" s="296" t="str">
        <f t="shared" si="103"/>
        <v/>
      </c>
      <c r="E374" s="292" t="str">
        <f t="shared" si="104"/>
        <v/>
      </c>
      <c r="F374" s="661" t="str">
        <f t="shared" si="105"/>
        <v/>
      </c>
      <c r="G374" s="292" t="str">
        <f t="shared" si="106"/>
        <v/>
      </c>
      <c r="J374" s="418"/>
      <c r="L374" s="822" t="s">
        <v>482</v>
      </c>
      <c r="M374" s="802"/>
      <c r="N374" s="802"/>
      <c r="O374" s="802"/>
      <c r="P374" s="823"/>
      <c r="Q374" s="801" t="s">
        <v>483</v>
      </c>
      <c r="R374" s="814"/>
      <c r="S374" s="814"/>
      <c r="T374" s="814"/>
      <c r="U374" s="815"/>
      <c r="V374" s="418"/>
      <c r="Z374" s="55" t="s">
        <v>510</v>
      </c>
      <c r="AA374" s="236"/>
      <c r="AB374" s="82" t="str">
        <f t="shared" ref="AB374:AB379" si="107">IF(AND(OR(AA374="",AA374=0),OR(AC374="",AC374=0)),"",IF(AA374&lt;&gt;AC374,"Change",""))</f>
        <v/>
      </c>
      <c r="AC374" s="410" t="str">
        <f t="shared" ref="AC374:AC383" si="108">IF(P492="","",P492)</f>
        <v/>
      </c>
      <c r="AD374" s="42" t="s">
        <v>601</v>
      </c>
    </row>
    <row r="375" spans="1:30" ht="13.95" customHeight="1" thickBot="1">
      <c r="A375" s="1">
        <v>32</v>
      </c>
      <c r="B375" s="419"/>
      <c r="D375" s="662" t="str">
        <f>IF(N366="","",N366)</f>
        <v/>
      </c>
      <c r="E375" s="663" t="str">
        <f t="shared" si="104"/>
        <v/>
      </c>
      <c r="F375" s="664" t="str">
        <f t="shared" si="105"/>
        <v/>
      </c>
      <c r="G375" s="663" t="str">
        <f t="shared" si="106"/>
        <v/>
      </c>
      <c r="J375" s="418"/>
      <c r="L375" s="828" t="s">
        <v>484</v>
      </c>
      <c r="M375" s="829"/>
      <c r="N375" s="782" t="s">
        <v>478</v>
      </c>
      <c r="O375" s="783"/>
      <c r="P375" s="784"/>
      <c r="Q375" s="830" t="s">
        <v>484</v>
      </c>
      <c r="R375" s="831"/>
      <c r="S375" s="832" t="s">
        <v>478</v>
      </c>
      <c r="T375" s="758"/>
      <c r="U375" s="833"/>
      <c r="V375" s="418"/>
      <c r="Z375" s="55" t="str">
        <f>"@ "&amp;ROUND(AC361,1)&amp;" cm"</f>
        <v>@ 119 cm</v>
      </c>
      <c r="AA375" s="236"/>
      <c r="AB375" s="82" t="str">
        <f t="shared" si="107"/>
        <v/>
      </c>
      <c r="AC375" s="410" t="str">
        <f t="shared" si="108"/>
        <v/>
      </c>
      <c r="AD375" s="42" t="s">
        <v>602</v>
      </c>
    </row>
    <row r="376" spans="1:30" ht="13.95" customHeight="1" thickBot="1">
      <c r="A376" s="1">
        <v>33</v>
      </c>
      <c r="B376" s="419"/>
      <c r="C376" s="301" t="s">
        <v>487</v>
      </c>
      <c r="D376" s="334" t="str">
        <f>IF(N367="","",N367)</f>
        <v/>
      </c>
      <c r="E376" s="311" t="str">
        <f>IF(P367="","",P367)</f>
        <v/>
      </c>
      <c r="F376" s="326" t="str">
        <f>IF(S367="","",S367)</f>
        <v/>
      </c>
      <c r="G376" s="311" t="str">
        <f>IF(U367="","",U367)</f>
        <v/>
      </c>
      <c r="J376" s="418"/>
      <c r="L376" s="278" t="s">
        <v>477</v>
      </c>
      <c r="M376" s="279" t="str">
        <f>FrontalMAS</f>
        <v>mA</v>
      </c>
      <c r="N376" s="280" t="s">
        <v>479</v>
      </c>
      <c r="O376" s="192" t="s">
        <v>232</v>
      </c>
      <c r="P376" s="364" t="s">
        <v>503</v>
      </c>
      <c r="Q376" s="280" t="s">
        <v>477</v>
      </c>
      <c r="R376" s="282" t="str">
        <f>LateralMAS</f>
        <v>mA</v>
      </c>
      <c r="S376" s="280" t="s">
        <v>479</v>
      </c>
      <c r="T376" s="192" t="s">
        <v>232</v>
      </c>
      <c r="U376" s="364" t="s">
        <v>503</v>
      </c>
      <c r="V376" s="418"/>
      <c r="Z376" s="42"/>
      <c r="AA376" s="236"/>
      <c r="AB376" s="82" t="str">
        <f t="shared" si="107"/>
        <v/>
      </c>
      <c r="AC376" s="410" t="str">
        <f t="shared" si="108"/>
        <v/>
      </c>
      <c r="AD376" s="42" t="s">
        <v>603</v>
      </c>
    </row>
    <row r="377" spans="1:30" ht="13.95" customHeight="1">
      <c r="A377" s="1">
        <v>34</v>
      </c>
      <c r="B377" s="419"/>
      <c r="C377" s="301" t="s">
        <v>488</v>
      </c>
      <c r="D377" s="335" t="str">
        <f t="shared" ref="D377:D378" si="109">IF(N368="","",N368)</f>
        <v/>
      </c>
      <c r="E377" s="315" t="str">
        <f t="shared" ref="E377:E378" si="110">IF(P368="","",P368)</f>
        <v/>
      </c>
      <c r="F377" s="319" t="str">
        <f t="shared" ref="F377:F378" si="111">IF(S368="","",S368)</f>
        <v/>
      </c>
      <c r="G377" s="315" t="str">
        <f t="shared" ref="G377:G378" si="112">IF(U368="","",U368)</f>
        <v/>
      </c>
      <c r="J377" s="418"/>
      <c r="L377" s="325">
        <f>'Frontal Gen'!A8</f>
        <v>80</v>
      </c>
      <c r="M377" s="331">
        <f>'Frontal Gen'!B8</f>
        <v>400</v>
      </c>
      <c r="N377" s="334" t="str">
        <f>IF('Frontal Gen'!F8="","",'Frontal Gen'!F8)</f>
        <v/>
      </c>
      <c r="O377" s="310" t="str">
        <f>IF('Frontal Gen'!H8="","",'Frontal Gen'!H8)</f>
        <v/>
      </c>
      <c r="P377" s="311" t="str">
        <f>IF(N377="","",(O377*1000)/M377)</f>
        <v/>
      </c>
      <c r="Q377" s="327">
        <f>'Lateral Gen'!A8</f>
        <v>80</v>
      </c>
      <c r="R377" s="331">
        <f>'Lateral Gen'!B8</f>
        <v>400</v>
      </c>
      <c r="S377" s="334" t="str">
        <f>IF('Lateral Gen'!F8="","",'Lateral Gen'!F8)</f>
        <v/>
      </c>
      <c r="T377" s="310" t="str">
        <f>IF('Lateral Gen'!H8="","",'Lateral Gen'!H8)</f>
        <v/>
      </c>
      <c r="U377" s="311" t="str">
        <f t="shared" ref="U377:U381" si="113">IF(S377="","",(T377*1000)/R377)</f>
        <v/>
      </c>
      <c r="V377" s="418"/>
      <c r="Z377" s="42"/>
      <c r="AA377" s="236"/>
      <c r="AB377" s="82" t="str">
        <f t="shared" si="107"/>
        <v/>
      </c>
      <c r="AC377" s="410" t="str">
        <f t="shared" si="108"/>
        <v/>
      </c>
      <c r="AD377" s="42" t="s">
        <v>604</v>
      </c>
    </row>
    <row r="378" spans="1:30" ht="13.95" customHeight="1" thickBot="1">
      <c r="A378" s="1">
        <v>35</v>
      </c>
      <c r="B378" s="419"/>
      <c r="C378" s="301" t="s">
        <v>489</v>
      </c>
      <c r="D378" s="336" t="str">
        <f t="shared" si="109"/>
        <v/>
      </c>
      <c r="E378" s="323" t="str">
        <f t="shared" si="110"/>
        <v/>
      </c>
      <c r="F378" s="329" t="str">
        <f t="shared" si="111"/>
        <v/>
      </c>
      <c r="G378" s="323" t="str">
        <f t="shared" si="112"/>
        <v/>
      </c>
      <c r="J378" s="418"/>
      <c r="L378" s="318">
        <f>'Frontal Gen'!A19</f>
        <v>80</v>
      </c>
      <c r="M378" s="332">
        <f>'Frontal Gen'!B19</f>
        <v>500</v>
      </c>
      <c r="N378" s="335" t="str">
        <f>IF('Frontal Gen'!F19="","",'Frontal Gen'!F19)</f>
        <v/>
      </c>
      <c r="O378" s="314" t="str">
        <f>IF('Frontal Gen'!H19="","",'Frontal Gen'!H19)</f>
        <v/>
      </c>
      <c r="P378" s="315" t="str">
        <f t="shared" ref="P378:P381" si="114">IF(N378="","",(O378*1000)/M378)</f>
        <v/>
      </c>
      <c r="Q378" s="328">
        <f>'Lateral Gen'!A19</f>
        <v>80</v>
      </c>
      <c r="R378" s="332">
        <f>'Lateral Gen'!B19</f>
        <v>500</v>
      </c>
      <c r="S378" s="335" t="str">
        <f>IF('Lateral Gen'!F19="","",'Lateral Gen'!F19)</f>
        <v/>
      </c>
      <c r="T378" s="314" t="str">
        <f>IF('Lateral Gen'!H19="","",'Lateral Gen'!H19)</f>
        <v/>
      </c>
      <c r="U378" s="315" t="str">
        <f t="shared" si="113"/>
        <v/>
      </c>
      <c r="V378" s="418"/>
      <c r="Z378" s="42"/>
      <c r="AA378" s="236"/>
      <c r="AB378" s="82" t="str">
        <f t="shared" si="107"/>
        <v/>
      </c>
      <c r="AC378" s="410" t="str">
        <f t="shared" si="108"/>
        <v/>
      </c>
      <c r="AD378" s="42" t="s">
        <v>605</v>
      </c>
    </row>
    <row r="379" spans="1:30" ht="13.95" customHeight="1" thickBot="1">
      <c r="A379" s="1">
        <v>36</v>
      </c>
      <c r="B379" s="419"/>
      <c r="C379" s="301" t="s">
        <v>275</v>
      </c>
      <c r="D379" s="579" t="str">
        <f>IF(N370="","",N370)</f>
        <v>NA</v>
      </c>
      <c r="E379" s="580" t="str">
        <f>IF(P370="","",P370)</f>
        <v>NA</v>
      </c>
      <c r="F379" s="581" t="str">
        <f>IF(S370="","",S370)</f>
        <v>NA</v>
      </c>
      <c r="G379" s="580" t="str">
        <f>IF(U370="","",U370)</f>
        <v>NA</v>
      </c>
      <c r="J379" s="418"/>
      <c r="L379" s="318">
        <f>'Frontal Gen'!A20</f>
        <v>80</v>
      </c>
      <c r="M379" s="332">
        <f>'Frontal Gen'!B20</f>
        <v>50</v>
      </c>
      <c r="N379" s="335" t="str">
        <f>IF('Frontal Gen'!F20="","",'Frontal Gen'!F20)</f>
        <v/>
      </c>
      <c r="O379" s="314" t="str">
        <f>IF('Frontal Gen'!H20="","",'Frontal Gen'!H20)</f>
        <v/>
      </c>
      <c r="P379" s="315" t="str">
        <f t="shared" si="114"/>
        <v/>
      </c>
      <c r="Q379" s="328">
        <f>'Lateral Gen'!A20</f>
        <v>80</v>
      </c>
      <c r="R379" s="332">
        <f>'Lateral Gen'!B20</f>
        <v>50</v>
      </c>
      <c r="S379" s="335" t="str">
        <f>IF('Lateral Gen'!F20="","",'Lateral Gen'!F20)</f>
        <v/>
      </c>
      <c r="T379" s="314" t="str">
        <f>IF('Lateral Gen'!H20="","",'Lateral Gen'!H20)</f>
        <v/>
      </c>
      <c r="U379" s="315" t="str">
        <f t="shared" si="113"/>
        <v/>
      </c>
      <c r="V379" s="418"/>
      <c r="Z379" s="42"/>
      <c r="AA379" s="236"/>
      <c r="AB379" s="82" t="str">
        <f t="shared" si="107"/>
        <v/>
      </c>
      <c r="AC379" s="410" t="str">
        <f t="shared" si="108"/>
        <v/>
      </c>
      <c r="AD379" s="42" t="s">
        <v>606</v>
      </c>
    </row>
    <row r="380" spans="1:30" ht="13.95" customHeight="1">
      <c r="A380" s="1">
        <v>37</v>
      </c>
      <c r="B380" s="420" t="s">
        <v>276</v>
      </c>
      <c r="C380" s="54" t="s">
        <v>491</v>
      </c>
      <c r="J380" s="418"/>
      <c r="L380" s="318">
        <f>'Frontal Gen'!A21</f>
        <v>80</v>
      </c>
      <c r="M380" s="332">
        <f>'Frontal Gen'!B21</f>
        <v>720</v>
      </c>
      <c r="N380" s="335" t="str">
        <f>IF('Frontal Gen'!F21="","",'Frontal Gen'!F21)</f>
        <v/>
      </c>
      <c r="O380" s="314" t="str">
        <f>IF('Frontal Gen'!H21="","",'Frontal Gen'!H21)</f>
        <v/>
      </c>
      <c r="P380" s="315" t="str">
        <f t="shared" si="114"/>
        <v/>
      </c>
      <c r="Q380" s="328">
        <f>'Lateral Gen'!A21</f>
        <v>80</v>
      </c>
      <c r="R380" s="332">
        <f>'Lateral Gen'!B21</f>
        <v>720</v>
      </c>
      <c r="S380" s="335" t="str">
        <f>IF('Lateral Gen'!F21="","",'Lateral Gen'!F21)</f>
        <v/>
      </c>
      <c r="T380" s="314" t="str">
        <f>IF('Lateral Gen'!H21="","",'Lateral Gen'!H21)</f>
        <v/>
      </c>
      <c r="U380" s="315" t="str">
        <f t="shared" si="113"/>
        <v/>
      </c>
      <c r="V380" s="418"/>
      <c r="AA380" s="236"/>
      <c r="AB380" s="82" t="str">
        <f t="shared" ref="AB380:AB383" si="115">IF(AND(OR(AA380="",AA380=0),OR(AC380="",AC380=0)),"",IF(AA380&lt;&gt;AC380,"Change",""))</f>
        <v/>
      </c>
      <c r="AC380" s="410" t="str">
        <f t="shared" si="108"/>
        <v/>
      </c>
      <c r="AD380" s="42" t="s">
        <v>681</v>
      </c>
    </row>
    <row r="381" spans="1:30" ht="13.95" customHeight="1" thickBot="1">
      <c r="A381" s="1">
        <v>38</v>
      </c>
      <c r="B381" s="419"/>
      <c r="J381" s="418"/>
      <c r="L381" s="320">
        <f>'Frontal Gen'!A22</f>
        <v>80</v>
      </c>
      <c r="M381" s="333">
        <f>'Frontal Gen'!B22</f>
        <v>250</v>
      </c>
      <c r="N381" s="336" t="str">
        <f>IF('Frontal Gen'!F22="","",'Frontal Gen'!F22)</f>
        <v/>
      </c>
      <c r="O381" s="322" t="str">
        <f>IF('Frontal Gen'!H22="","",'Frontal Gen'!H22)</f>
        <v/>
      </c>
      <c r="P381" s="323" t="str">
        <f t="shared" si="114"/>
        <v/>
      </c>
      <c r="Q381" s="330">
        <f>'Lateral Gen'!A22</f>
        <v>80</v>
      </c>
      <c r="R381" s="333">
        <f>'Lateral Gen'!B22</f>
        <v>250</v>
      </c>
      <c r="S381" s="336" t="str">
        <f>IF('Lateral Gen'!F22="","",'Lateral Gen'!F22)</f>
        <v/>
      </c>
      <c r="T381" s="322" t="str">
        <f>IF('Lateral Gen'!H22="","",'Lateral Gen'!H22)</f>
        <v/>
      </c>
      <c r="U381" s="323" t="str">
        <f t="shared" si="113"/>
        <v/>
      </c>
      <c r="V381" s="418"/>
      <c r="AA381" s="236"/>
      <c r="AB381" s="82" t="str">
        <f t="shared" si="115"/>
        <v/>
      </c>
      <c r="AC381" s="410" t="str">
        <f t="shared" si="108"/>
        <v/>
      </c>
      <c r="AD381" s="42" t="s">
        <v>682</v>
      </c>
    </row>
    <row r="382" spans="1:30" ht="13.95" customHeight="1" thickBot="1">
      <c r="A382" s="1">
        <v>39</v>
      </c>
      <c r="B382" s="419"/>
      <c r="J382" s="418"/>
      <c r="L382" s="419"/>
      <c r="O382" s="301" t="s">
        <v>493</v>
      </c>
      <c r="P382" s="337" t="str">
        <f>IF(P377="","",(MAX(P377:P381)-MIN(P377:P381))/(MAX(P377:P381)+MIN(P377:P381)))</f>
        <v/>
      </c>
      <c r="T382" s="301" t="s">
        <v>493</v>
      </c>
      <c r="U382" s="337" t="str">
        <f>IF(U377="","",(MAX(U377:U381)-MIN(U377:U381))/(MAX(U377:U381)+MIN(U377:U381)))</f>
        <v/>
      </c>
      <c r="V382" s="418"/>
      <c r="AA382" s="236"/>
      <c r="AB382" s="82" t="str">
        <f t="shared" si="115"/>
        <v/>
      </c>
      <c r="AC382" s="410" t="str">
        <f t="shared" si="108"/>
        <v/>
      </c>
      <c r="AD382" s="42" t="s">
        <v>685</v>
      </c>
    </row>
    <row r="383" spans="1:30" ht="13.95" customHeight="1" thickBot="1">
      <c r="A383" s="1">
        <v>40</v>
      </c>
      <c r="B383" s="419"/>
      <c r="J383" s="418"/>
      <c r="L383" s="419"/>
      <c r="O383" s="300" t="s">
        <v>275</v>
      </c>
      <c r="P383" s="302" t="str">
        <f>IF(P377="","NA",IF(P382&gt;0.1,"NO","YES"))</f>
        <v>NA</v>
      </c>
      <c r="T383" s="300" t="s">
        <v>275</v>
      </c>
      <c r="U383" s="302" t="str">
        <f>IF(U377="","NA",IF(U382&gt;0.1,"NO","YES"))</f>
        <v>NA</v>
      </c>
      <c r="V383" s="418"/>
      <c r="AA383" s="236"/>
      <c r="AB383" s="82" t="str">
        <f t="shared" si="115"/>
        <v/>
      </c>
      <c r="AC383" s="410" t="str">
        <f t="shared" si="108"/>
        <v/>
      </c>
      <c r="AD383" s="42" t="s">
        <v>686</v>
      </c>
    </row>
    <row r="384" spans="1:30" ht="13.95" customHeight="1" thickBot="1">
      <c r="A384" s="1">
        <v>41</v>
      </c>
      <c r="B384" s="419"/>
      <c r="J384" s="418"/>
      <c r="L384" s="431" t="s">
        <v>276</v>
      </c>
      <c r="M384" s="429" t="s">
        <v>494</v>
      </c>
      <c r="N384" s="15"/>
      <c r="O384" s="15"/>
      <c r="P384" s="15"/>
      <c r="Q384" s="15"/>
      <c r="R384" s="15"/>
      <c r="S384" s="15"/>
      <c r="T384" s="15"/>
      <c r="U384" s="15"/>
      <c r="V384" s="432"/>
    </row>
    <row r="385" spans="1:30" ht="13.95" customHeight="1">
      <c r="A385" s="1">
        <v>42</v>
      </c>
      <c r="B385" s="419"/>
      <c r="J385" s="418"/>
      <c r="L385" s="419"/>
      <c r="V385" s="418"/>
      <c r="Z385" s="79" t="s">
        <v>565</v>
      </c>
      <c r="AA385" s="42"/>
      <c r="AB385" s="82" t="str">
        <f t="shared" ref="AB385:AB391" si="116">IF(AND(OR(AA385="",AA385=0),OR(AC385="",AC385=0)),"",IF(AA385&lt;&gt;AC385,"Change",""))</f>
        <v/>
      </c>
      <c r="AC385" s="42"/>
      <c r="AD385" s="42"/>
    </row>
    <row r="386" spans="1:30" ht="13.95" customHeight="1">
      <c r="A386" s="1">
        <v>43</v>
      </c>
      <c r="B386" s="419"/>
      <c r="J386" s="418"/>
      <c r="L386" s="215" t="s">
        <v>495</v>
      </c>
      <c r="V386" s="418"/>
      <c r="Z386" s="43" t="s">
        <v>613</v>
      </c>
      <c r="AA386" s="467"/>
      <c r="AB386" s="82" t="str">
        <f t="shared" si="116"/>
        <v>Change</v>
      </c>
      <c r="AC386" s="468" t="str">
        <f>IF(Q483="","",Q483)</f>
        <v>NA</v>
      </c>
      <c r="AD386" s="42" t="s">
        <v>611</v>
      </c>
    </row>
    <row r="387" spans="1:30" ht="13.95" customHeight="1" thickBot="1">
      <c r="A387" s="1">
        <v>44</v>
      </c>
      <c r="B387" s="419"/>
      <c r="J387" s="418"/>
      <c r="L387" s="822" t="s">
        <v>482</v>
      </c>
      <c r="M387" s="802"/>
      <c r="N387" s="802"/>
      <c r="O387" s="802"/>
      <c r="P387" s="823"/>
      <c r="Q387" s="801" t="s">
        <v>483</v>
      </c>
      <c r="R387" s="814"/>
      <c r="S387" s="814"/>
      <c r="T387" s="814"/>
      <c r="U387" s="815"/>
      <c r="V387" s="418"/>
      <c r="Z387" s="43" t="s">
        <v>614</v>
      </c>
      <c r="AA387" s="467"/>
      <c r="AB387" s="82" t="str">
        <f t="shared" si="116"/>
        <v>Change</v>
      </c>
      <c r="AC387" s="468" t="str">
        <f>IF(R483="","",R483)</f>
        <v>NA</v>
      </c>
      <c r="AD387" s="42" t="s">
        <v>612</v>
      </c>
    </row>
    <row r="388" spans="1:30" ht="13.95" customHeight="1">
      <c r="A388" s="1">
        <v>45</v>
      </c>
      <c r="B388" s="419"/>
      <c r="J388" s="418"/>
      <c r="L388" s="824" t="s">
        <v>484</v>
      </c>
      <c r="M388" s="825"/>
      <c r="N388" s="826"/>
      <c r="O388" s="820" t="s">
        <v>478</v>
      </c>
      <c r="P388" s="821"/>
      <c r="Q388" s="827" t="s">
        <v>484</v>
      </c>
      <c r="R388" s="825"/>
      <c r="S388" s="826"/>
      <c r="T388" s="820" t="s">
        <v>478</v>
      </c>
      <c r="U388" s="821"/>
      <c r="V388" s="418"/>
      <c r="Z388" s="43" t="s">
        <v>615</v>
      </c>
      <c r="AA388" s="467"/>
      <c r="AB388" s="82" t="str">
        <f t="shared" si="116"/>
        <v>Change</v>
      </c>
      <c r="AC388" s="468" t="str">
        <f>IF(S483="","",S483)</f>
        <v>NA</v>
      </c>
      <c r="AD388" s="42" t="s">
        <v>616</v>
      </c>
    </row>
    <row r="389" spans="1:30" ht="13.95" customHeight="1" thickBot="1">
      <c r="A389" s="1">
        <v>46</v>
      </c>
      <c r="B389" s="419"/>
      <c r="J389" s="418"/>
      <c r="L389" s="343" t="s">
        <v>477</v>
      </c>
      <c r="M389" s="192" t="str">
        <f>FrontalMAS</f>
        <v>mA</v>
      </c>
      <c r="N389" s="340" t="s">
        <v>496</v>
      </c>
      <c r="O389" s="341" t="s">
        <v>479</v>
      </c>
      <c r="P389" s="342" t="s">
        <v>232</v>
      </c>
      <c r="Q389" s="344" t="s">
        <v>477</v>
      </c>
      <c r="R389" s="192" t="str">
        <f>FrontalMAS</f>
        <v>mA</v>
      </c>
      <c r="S389" s="340" t="s">
        <v>496</v>
      </c>
      <c r="T389" s="341" t="s">
        <v>479</v>
      </c>
      <c r="U389" s="342" t="s">
        <v>232</v>
      </c>
      <c r="V389" s="418"/>
      <c r="Z389" s="43" t="s">
        <v>617</v>
      </c>
      <c r="AA389" s="467"/>
      <c r="AB389" s="82" t="str">
        <f t="shared" si="116"/>
        <v>Change</v>
      </c>
      <c r="AC389" s="468" t="str">
        <f>IF(Q503="","",Q503)</f>
        <v>NA</v>
      </c>
      <c r="AD389" s="42" t="s">
        <v>620</v>
      </c>
    </row>
    <row r="390" spans="1:30" ht="13.95" customHeight="1" thickBot="1">
      <c r="A390" s="1">
        <v>47</v>
      </c>
      <c r="B390" s="423"/>
      <c r="C390" s="424"/>
      <c r="D390" s="424"/>
      <c r="E390" s="424"/>
      <c r="F390" s="424"/>
      <c r="G390" s="424"/>
      <c r="H390" s="424"/>
      <c r="I390" s="424"/>
      <c r="J390" s="425"/>
      <c r="L390" s="299">
        <f>'Frontal Gen'!A11</f>
        <v>80</v>
      </c>
      <c r="M390" s="284">
        <f>'Frontal Gen'!B11</f>
        <v>400</v>
      </c>
      <c r="N390" s="345">
        <f>'Frontal Gen'!D11</f>
        <v>0</v>
      </c>
      <c r="O390" s="294" t="str">
        <f>IF('Frontal Gen'!F11="","",'Frontal Gen'!F11)</f>
        <v/>
      </c>
      <c r="P390" s="295" t="str">
        <f>IF('Frontal Gen'!H11="","",'Frontal Gen'!H11)</f>
        <v/>
      </c>
      <c r="Q390" s="283">
        <f>'Lateral Gen'!A11</f>
        <v>80</v>
      </c>
      <c r="R390" s="284">
        <f>'Lateral Gen'!B11</f>
        <v>400</v>
      </c>
      <c r="S390" s="345">
        <f>'Lateral Gen'!D11</f>
        <v>0</v>
      </c>
      <c r="T390" s="294" t="str">
        <f>IF('Lateral Gen'!F11="","",'Lateral Gen'!F11)</f>
        <v/>
      </c>
      <c r="U390" s="295" t="str">
        <f>IF('Lateral Gen'!H11="","",'Lateral Gen'!H11)</f>
        <v/>
      </c>
      <c r="V390" s="418"/>
      <c r="Z390" s="43" t="s">
        <v>618</v>
      </c>
      <c r="AA390" s="467"/>
      <c r="AB390" s="82" t="str">
        <f t="shared" si="116"/>
        <v>Change</v>
      </c>
      <c r="AC390" s="468" t="str">
        <f>IF(R503="","",R503)</f>
        <v>NA</v>
      </c>
      <c r="AD390" s="42" t="s">
        <v>621</v>
      </c>
    </row>
    <row r="391" spans="1:30" ht="13.95" customHeight="1" thickTop="1">
      <c r="A391" s="1">
        <v>48</v>
      </c>
      <c r="B391" s="99" t="s">
        <v>3</v>
      </c>
      <c r="C391" s="100" t="str">
        <f>IF($N$8="","",$N$8)</f>
        <v/>
      </c>
      <c r="D391" s="2"/>
      <c r="E391" s="2"/>
      <c r="F391" s="2"/>
      <c r="G391" s="2" t="str">
        <f>""</f>
        <v/>
      </c>
      <c r="H391" s="2" t="str">
        <f>""</f>
        <v/>
      </c>
      <c r="I391" s="99" t="s">
        <v>4</v>
      </c>
      <c r="J391" s="101" t="str">
        <f>IF($U$8="","",$U$8)</f>
        <v>Eugene Mah</v>
      </c>
      <c r="L391" s="287">
        <f>'Frontal Gen'!A12</f>
        <v>80</v>
      </c>
      <c r="M391" s="285">
        <f>'Frontal Gen'!B12</f>
        <v>400</v>
      </c>
      <c r="N391" s="346">
        <f>'Frontal Gen'!D12</f>
        <v>0</v>
      </c>
      <c r="O391" s="296" t="str">
        <f>IF('Frontal Gen'!F12="","",'Frontal Gen'!F12)</f>
        <v/>
      </c>
      <c r="P391" s="292" t="str">
        <f>IF('Frontal Gen'!H12="","",'Frontal Gen'!H12)</f>
        <v/>
      </c>
      <c r="Q391" s="286">
        <f>'Lateral Gen'!A12</f>
        <v>80</v>
      </c>
      <c r="R391" s="285">
        <f>'Lateral Gen'!B12</f>
        <v>400</v>
      </c>
      <c r="S391" s="346">
        <f>'Lateral Gen'!D12</f>
        <v>0</v>
      </c>
      <c r="T391" s="296" t="str">
        <f>IF('Lateral Gen'!F12="","",'Lateral Gen'!F12)</f>
        <v/>
      </c>
      <c r="U391" s="292" t="str">
        <f>IF('Lateral Gen'!H12="","",'Lateral Gen'!H12)</f>
        <v/>
      </c>
      <c r="V391" s="418"/>
      <c r="Z391" s="43" t="s">
        <v>619</v>
      </c>
      <c r="AA391" s="467"/>
      <c r="AB391" s="82" t="str">
        <f t="shared" si="116"/>
        <v>Change</v>
      </c>
      <c r="AC391" s="468" t="str">
        <f>IF(S503="","",S503)</f>
        <v>NA</v>
      </c>
      <c r="AD391" s="42" t="s">
        <v>622</v>
      </c>
    </row>
    <row r="392" spans="1:30" ht="13.95" customHeight="1">
      <c r="A392" s="1">
        <v>49</v>
      </c>
      <c r="B392" s="99" t="s">
        <v>18</v>
      </c>
      <c r="C392" s="102" t="str">
        <f>IF($O$15="","",$O$15)</f>
        <v/>
      </c>
      <c r="D392" s="2"/>
      <c r="E392" s="2"/>
      <c r="F392" s="2"/>
      <c r="G392" s="2"/>
      <c r="H392" s="2"/>
      <c r="I392" s="99" t="s">
        <v>16</v>
      </c>
      <c r="J392" s="103" t="str">
        <f>IF($E$14="","",$E$14)</f>
        <v/>
      </c>
      <c r="L392" s="287">
        <f>'Frontal Gen'!A13</f>
        <v>80</v>
      </c>
      <c r="M392" s="285">
        <f>'Frontal Gen'!B13</f>
        <v>400</v>
      </c>
      <c r="N392" s="346">
        <f>'Frontal Gen'!D13</f>
        <v>3</v>
      </c>
      <c r="O392" s="296" t="str">
        <f>IF('Frontal Gen'!F13="","",'Frontal Gen'!F13)</f>
        <v/>
      </c>
      <c r="P392" s="292" t="str">
        <f>IF('Frontal Gen'!H13="","",'Frontal Gen'!H13)</f>
        <v/>
      </c>
      <c r="Q392" s="286">
        <f>'Lateral Gen'!A13</f>
        <v>80</v>
      </c>
      <c r="R392" s="285">
        <f>'Lateral Gen'!B13</f>
        <v>400</v>
      </c>
      <c r="S392" s="346">
        <f>'Lateral Gen'!D13</f>
        <v>3</v>
      </c>
      <c r="T392" s="296" t="str">
        <f>IF('Lateral Gen'!F13="","",'Lateral Gen'!F13)</f>
        <v/>
      </c>
      <c r="U392" s="292" t="str">
        <f>IF('Lateral Gen'!H13="","",'Lateral Gen'!H13)</f>
        <v/>
      </c>
      <c r="V392" s="418"/>
    </row>
    <row r="393" spans="1:30" ht="13.95" customHeight="1">
      <c r="A393" s="1">
        <v>1</v>
      </c>
      <c r="J393" s="118" t="str">
        <f>$F$2</f>
        <v>Medical University of South Carolina</v>
      </c>
      <c r="L393" s="287">
        <f>'Frontal Gen'!A14</f>
        <v>80</v>
      </c>
      <c r="M393" s="285">
        <f>'Frontal Gen'!B14</f>
        <v>400</v>
      </c>
      <c r="N393" s="346">
        <f>'Frontal Gen'!D14</f>
        <v>3</v>
      </c>
      <c r="O393" s="296" t="str">
        <f>IF('Frontal Gen'!F14="","",'Frontal Gen'!F14)</f>
        <v/>
      </c>
      <c r="P393" s="292" t="str">
        <f>IF('Frontal Gen'!H14="","",'Frontal Gen'!H14)</f>
        <v/>
      </c>
      <c r="Q393" s="286">
        <f>'Lateral Gen'!A14</f>
        <v>80</v>
      </c>
      <c r="R393" s="285">
        <f>'Lateral Gen'!B14</f>
        <v>400</v>
      </c>
      <c r="S393" s="346">
        <f>'Lateral Gen'!D14</f>
        <v>3</v>
      </c>
      <c r="T393" s="296" t="str">
        <f>IF('Lateral Gen'!F14="","",'Lateral Gen'!F14)</f>
        <v/>
      </c>
      <c r="U393" s="292" t="str">
        <f>IF('Lateral Gen'!H14="","",'Lateral Gen'!H14)</f>
        <v/>
      </c>
      <c r="V393" s="418"/>
    </row>
    <row r="394" spans="1:30" ht="13.95" customHeight="1" thickBot="1">
      <c r="A394" s="1">
        <v>2</v>
      </c>
      <c r="B394" s="548" t="s">
        <v>731</v>
      </c>
      <c r="J394" s="79" t="str">
        <f>$F$5</f>
        <v>EOS Imaging System Compliance Inspection</v>
      </c>
      <c r="L394" s="287">
        <f>'Frontal Gen'!A15</f>
        <v>80</v>
      </c>
      <c r="M394" s="285">
        <f>'Frontal Gen'!B15</f>
        <v>400</v>
      </c>
      <c r="N394" s="346">
        <f>'Frontal Gen'!D15</f>
        <v>4</v>
      </c>
      <c r="O394" s="296" t="str">
        <f>IF('Frontal Gen'!F15="","",'Frontal Gen'!F15)</f>
        <v/>
      </c>
      <c r="P394" s="292" t="str">
        <f>IF('Frontal Gen'!H15="","",'Frontal Gen'!H15)</f>
        <v/>
      </c>
      <c r="Q394" s="286">
        <f>'Lateral Gen'!A15</f>
        <v>80</v>
      </c>
      <c r="R394" s="285">
        <f>'Lateral Gen'!B15</f>
        <v>400</v>
      </c>
      <c r="S394" s="346">
        <f>'Lateral Gen'!D15</f>
        <v>4</v>
      </c>
      <c r="T394" s="296" t="str">
        <f>IF('Lateral Gen'!F15="","",'Lateral Gen'!F15)</f>
        <v/>
      </c>
      <c r="U394" s="292" t="str">
        <f>IF('Lateral Gen'!H15="","",'Lateral Gen'!H15)</f>
        <v/>
      </c>
      <c r="V394" s="418"/>
    </row>
    <row r="395" spans="1:30" ht="13.95" customHeight="1" thickTop="1">
      <c r="A395" s="1">
        <v>3</v>
      </c>
      <c r="B395" s="501"/>
      <c r="C395" s="169" t="s">
        <v>452</v>
      </c>
      <c r="D395" s="582" t="str">
        <f>IF($N$337="","",$N$337)</f>
        <v>Piranha 2 CB2-19020491</v>
      </c>
      <c r="E395" s="502"/>
      <c r="F395" s="502"/>
      <c r="G395" s="502"/>
      <c r="H395" s="502"/>
      <c r="I395" s="502"/>
      <c r="J395" s="503"/>
      <c r="L395" s="287">
        <f>'Frontal Gen'!A16</f>
        <v>80</v>
      </c>
      <c r="M395" s="285">
        <f>'Frontal Gen'!B16</f>
        <v>400</v>
      </c>
      <c r="N395" s="346">
        <f>'Frontal Gen'!D16</f>
        <v>4</v>
      </c>
      <c r="O395" s="296" t="str">
        <f>IF('Frontal Gen'!F16="","",'Frontal Gen'!F16)</f>
        <v/>
      </c>
      <c r="P395" s="292" t="str">
        <f>IF('Frontal Gen'!H16="","",'Frontal Gen'!H16)</f>
        <v/>
      </c>
      <c r="Q395" s="286">
        <f>'Lateral Gen'!A16</f>
        <v>80</v>
      </c>
      <c r="R395" s="285">
        <f>'Lateral Gen'!B16</f>
        <v>400</v>
      </c>
      <c r="S395" s="346">
        <f>'Lateral Gen'!D16</f>
        <v>4</v>
      </c>
      <c r="T395" s="296" t="str">
        <f>IF('Lateral Gen'!F16="","",'Lateral Gen'!F16)</f>
        <v/>
      </c>
      <c r="U395" s="292" t="str">
        <f>IF('Lateral Gen'!H16="","",'Lateral Gen'!H16)</f>
        <v/>
      </c>
      <c r="V395" s="418"/>
    </row>
    <row r="396" spans="1:30" ht="13.95" customHeight="1">
      <c r="A396" s="1">
        <v>4</v>
      </c>
      <c r="B396" s="421"/>
      <c r="J396" s="418"/>
      <c r="L396" s="287">
        <f>'Frontal Gen'!A17</f>
        <v>80</v>
      </c>
      <c r="M396" s="285">
        <f>'Frontal Gen'!B17</f>
        <v>400</v>
      </c>
      <c r="N396" s="346">
        <f>'Frontal Gen'!D17</f>
        <v>5</v>
      </c>
      <c r="O396" s="296" t="str">
        <f>IF('Frontal Gen'!F17="","",'Frontal Gen'!F17)</f>
        <v/>
      </c>
      <c r="P396" s="292" t="str">
        <f>IF('Frontal Gen'!H17="","",'Frontal Gen'!H17)</f>
        <v/>
      </c>
      <c r="Q396" s="286">
        <f>'Lateral Gen'!A17</f>
        <v>80</v>
      </c>
      <c r="R396" s="285">
        <f>'Lateral Gen'!B17</f>
        <v>400</v>
      </c>
      <c r="S396" s="346">
        <f>'Lateral Gen'!D17</f>
        <v>5</v>
      </c>
      <c r="T396" s="296" t="str">
        <f>IF('Lateral Gen'!F17="","",'Lateral Gen'!F17)</f>
        <v/>
      </c>
      <c r="U396" s="292" t="str">
        <f>IF('Lateral Gen'!H17="","",'Lateral Gen'!H17)</f>
        <v/>
      </c>
      <c r="V396" s="418"/>
    </row>
    <row r="397" spans="1:30" ht="13.95" customHeight="1" thickBot="1">
      <c r="A397" s="1">
        <v>5</v>
      </c>
      <c r="B397" s="421" t="s">
        <v>492</v>
      </c>
      <c r="J397" s="418"/>
      <c r="L397" s="288">
        <f>'Frontal Gen'!A18</f>
        <v>80</v>
      </c>
      <c r="M397" s="289">
        <f>'Frontal Gen'!B18</f>
        <v>400</v>
      </c>
      <c r="N397" s="347">
        <f>'Frontal Gen'!D18</f>
        <v>5</v>
      </c>
      <c r="O397" s="297" t="str">
        <f>IF('Frontal Gen'!F18="","",'Frontal Gen'!F18)</f>
        <v/>
      </c>
      <c r="P397" s="293" t="str">
        <f>IF('Frontal Gen'!H18="","",'Frontal Gen'!H18)</f>
        <v/>
      </c>
      <c r="Q397" s="290">
        <f>'Lateral Gen'!A18</f>
        <v>80</v>
      </c>
      <c r="R397" s="289">
        <f>'Lateral Gen'!B18</f>
        <v>400</v>
      </c>
      <c r="S397" s="347">
        <f>'Lateral Gen'!D18</f>
        <v>5</v>
      </c>
      <c r="T397" s="297" t="str">
        <f>IF('Lateral Gen'!F18="","",'Lateral Gen'!F18)</f>
        <v/>
      </c>
      <c r="U397" s="293" t="str">
        <f>IF('Lateral Gen'!H18="","",'Lateral Gen'!H18)</f>
        <v/>
      </c>
      <c r="V397" s="418"/>
    </row>
    <row r="398" spans="1:30" ht="13.95" customHeight="1">
      <c r="A398" s="1">
        <v>6</v>
      </c>
      <c r="B398" s="419"/>
      <c r="C398" s="301" t="s">
        <v>741</v>
      </c>
      <c r="D398" s="566">
        <f>L377</f>
        <v>80</v>
      </c>
      <c r="E398" s="301" t="s">
        <v>735</v>
      </c>
      <c r="F398" s="567">
        <f>$M$340</f>
        <v>119</v>
      </c>
      <c r="J398" s="418"/>
      <c r="L398" s="419"/>
      <c r="V398" s="418"/>
    </row>
    <row r="399" spans="1:30" ht="13.95" customHeight="1">
      <c r="A399" s="1">
        <v>7</v>
      </c>
      <c r="B399" s="419"/>
      <c r="J399" s="418"/>
      <c r="L399" s="348" t="s">
        <v>497</v>
      </c>
      <c r="M399" s="4"/>
      <c r="N399" s="4"/>
      <c r="O399" s="4"/>
      <c r="P399" s="4"/>
      <c r="V399" s="418"/>
    </row>
    <row r="400" spans="1:30" ht="13.95" customHeight="1" thickBot="1">
      <c r="A400" s="1">
        <v>8</v>
      </c>
      <c r="B400" s="419"/>
      <c r="C400" s="12"/>
      <c r="D400" s="785" t="s">
        <v>482</v>
      </c>
      <c r="E400" s="786"/>
      <c r="F400" s="787"/>
      <c r="G400" s="785" t="s">
        <v>483</v>
      </c>
      <c r="H400" s="786"/>
      <c r="I400" s="787"/>
      <c r="J400" s="418"/>
      <c r="L400" s="338" t="s">
        <v>498</v>
      </c>
      <c r="M400" s="339" t="s">
        <v>499</v>
      </c>
      <c r="N400" s="339" t="s">
        <v>500</v>
      </c>
      <c r="O400" s="339" t="s">
        <v>501</v>
      </c>
      <c r="P400" s="339" t="s">
        <v>502</v>
      </c>
      <c r="Q400" s="341" t="s">
        <v>498</v>
      </c>
      <c r="R400" s="339" t="s">
        <v>499</v>
      </c>
      <c r="S400" s="339" t="s">
        <v>500</v>
      </c>
      <c r="T400" s="339" t="s">
        <v>501</v>
      </c>
      <c r="U400" s="354" t="s">
        <v>502</v>
      </c>
      <c r="V400" s="418"/>
    </row>
    <row r="401" spans="1:22" ht="13.95" customHeight="1">
      <c r="A401" s="1">
        <v>9</v>
      </c>
      <c r="B401" s="419"/>
      <c r="C401" s="12"/>
      <c r="D401" s="782" t="s">
        <v>478</v>
      </c>
      <c r="E401" s="783"/>
      <c r="F401" s="784"/>
      <c r="G401" s="782" t="s">
        <v>478</v>
      </c>
      <c r="H401" s="783"/>
      <c r="I401" s="784"/>
      <c r="J401" s="418"/>
      <c r="L401" s="349" t="str">
        <f>IF(P390="","",N390)</f>
        <v/>
      </c>
      <c r="M401" s="310" t="str">
        <f>IF(L401="","",AVERAGE(P390:P391))</f>
        <v/>
      </c>
      <c r="N401" s="310" t="str">
        <f>IF(F_EXP_0="","",ABS(F_EXP_0-F_EXP_0/2))</f>
        <v/>
      </c>
      <c r="O401" s="310" t="str">
        <f>IF(OR(F_EXP_0="",F_EXP_1=""),"",IF(N401=SMALL(F_DHALF,1),F_ALUM_0,IF(N402=SMALL(F_DHALF,1),F_ALUM_1,IF(N403=SMALL(F_DHALF,1),F_ALUM_2,IF(N404=SMALL(F_DHALF,1),F_ALUM_3,"")))))</f>
        <v/>
      </c>
      <c r="P401" s="351" t="str">
        <f>IF(F_ALUMLOW="","",LN(VLOOKUP(F_ALUMLOW,L401:M404,2)))</f>
        <v/>
      </c>
      <c r="Q401" s="353" t="str">
        <f>IF(U390="","",S390)</f>
        <v/>
      </c>
      <c r="R401" s="310" t="str">
        <f>IF(Q401="","",AVERAGE(U390:U391))</f>
        <v/>
      </c>
      <c r="S401" s="310" t="str">
        <f>IF(L_EXP_0="","",ABS(L_EXP_0-L_EXP_0/2))</f>
        <v/>
      </c>
      <c r="T401" s="310" t="str">
        <f>IF(OR(L_EXP_0="",L_EXP_1=""),"",IF(S401=SMALL(L_DHALF,1),L_ALUM_0,IF(S402=SMALL(L_DHALF,1),L_ALUM_1,IF(S403=SMALL(L_DHALF,1),L_ALUM_2,IF(S404=SMALL(L_DHALF,1),L_ALUM_3,"")))))</f>
        <v/>
      </c>
      <c r="U401" s="356" t="str">
        <f>IF(L_ALUMLOW="","",LN(VLOOKUP(L_ALUMLOW,L401:M404,2)))</f>
        <v/>
      </c>
      <c r="V401" s="418"/>
    </row>
    <row r="402" spans="1:22" ht="13.95" customHeight="1" thickBot="1">
      <c r="A402" s="1">
        <v>10</v>
      </c>
      <c r="B402" s="419"/>
      <c r="C402" s="584" t="s">
        <v>405</v>
      </c>
      <c r="D402" s="585" t="s">
        <v>479</v>
      </c>
      <c r="E402" s="192" t="s">
        <v>232</v>
      </c>
      <c r="F402" s="364" t="s">
        <v>503</v>
      </c>
      <c r="G402" s="585" t="s">
        <v>479</v>
      </c>
      <c r="H402" s="192" t="s">
        <v>232</v>
      </c>
      <c r="I402" s="364" t="s">
        <v>503</v>
      </c>
      <c r="J402" s="418"/>
      <c r="L402" s="350" t="str">
        <f>IF(P392="","",N392)</f>
        <v/>
      </c>
      <c r="M402" s="291" t="str">
        <f>IF(L402="","",AVERAGE(P392:P393))</f>
        <v/>
      </c>
      <c r="N402" s="291" t="str">
        <f>IF(F_EXP_1="","",ABS(F_EXP_1-F_EXP_0/2))</f>
        <v/>
      </c>
      <c r="O402" s="291" t="str">
        <f>IF(OR(F_EXP_0="",F_EXP_1=""),"",IF(N401=SMALL(F_DHALF,2),F_ALUM_0,IF(N402=SMALL(F_DHALF,2),F_ALUM_1,IF(N403=SMALL(F_DHALF,2),F_ALUM_2,IF(N404=SMALL(F_DHALF,2),F_ALUM_3,"")))))</f>
        <v/>
      </c>
      <c r="P402" s="352" t="str">
        <f>IF(F_ALUMHIGH="","",LN(VLOOKUP(F_ALUMHIGH,L401:M404,2)))</f>
        <v/>
      </c>
      <c r="Q402" s="355"/>
      <c r="R402" s="314" t="str">
        <f>IF(Q402="","",AVERAGE(U392:U393))</f>
        <v/>
      </c>
      <c r="S402" s="314" t="str">
        <f>IF(L_EXP_1="","",ABS(L_EXP_1-L_EXP_0/2))</f>
        <v/>
      </c>
      <c r="T402" s="314" t="str">
        <f>IF(OR(L_EXP_0="",L_EXP_1=""),"",IF(S401=SMALL(L_DHALF,2),L_ALUM_0,IF(S402=SMALL(L_DHALF,2),L_ALUM_1,IF(S403=SMALL(L_DHALF,2),L_ALUM_2,IF(S404=SMALL(L_DHALF,2),L_ALUM_3,"")))))</f>
        <v/>
      </c>
      <c r="U402" s="357" t="str" cm="1">
        <f t="array" ref="U402">IF(L_ALUMHIGH="","",LN(VLOOKUP(L_ALUM_ALUMHIGH,L401:M404,2)))</f>
        <v/>
      </c>
      <c r="V402" s="418"/>
    </row>
    <row r="403" spans="1:22" ht="13.95" customHeight="1">
      <c r="A403" s="1">
        <v>11</v>
      </c>
      <c r="B403" s="419"/>
      <c r="C403" s="586">
        <f>M377</f>
        <v>400</v>
      </c>
      <c r="D403" s="327" t="str">
        <f>IF(N377="","",N377)</f>
        <v/>
      </c>
      <c r="E403" s="554" t="str">
        <f t="shared" ref="E403:F403" si="117">IF(O377="","",O377)</f>
        <v/>
      </c>
      <c r="F403" s="309" t="str">
        <f t="shared" si="117"/>
        <v/>
      </c>
      <c r="G403" s="327" t="str">
        <f>IF(S377="","",S377)</f>
        <v/>
      </c>
      <c r="H403" s="554" t="str">
        <f t="shared" ref="H403:I403" si="118">IF(T377="","",T377)</f>
        <v/>
      </c>
      <c r="I403" s="309" t="str">
        <f t="shared" si="118"/>
        <v/>
      </c>
      <c r="J403" s="418"/>
      <c r="L403" s="350" t="str">
        <f>IF(P394="","",N394)</f>
        <v/>
      </c>
      <c r="M403" s="291" t="str">
        <f>IF(L403="","",AVERAGE(P394:P395))</f>
        <v/>
      </c>
      <c r="N403" s="291" t="str">
        <f>IF(F_EXP_2="","",ABS(F_EXP_2-F_EXP_0/2))</f>
        <v/>
      </c>
      <c r="Q403" s="355"/>
      <c r="R403" s="314" t="str">
        <f>IF(Q403="","",AVERAGE(U394:U395))</f>
        <v/>
      </c>
      <c r="S403" s="314" t="str">
        <f>IF(L_EXP_2="","",ABS(L_EXP_2-L_EXP_0/2))</f>
        <v/>
      </c>
      <c r="V403" s="418"/>
    </row>
    <row r="404" spans="1:22" ht="13.95" customHeight="1" thickBot="1">
      <c r="A404" s="1">
        <v>12</v>
      </c>
      <c r="B404" s="419"/>
      <c r="C404" s="587">
        <f t="shared" ref="C404:C407" si="119">M378</f>
        <v>500</v>
      </c>
      <c r="D404" s="613" t="str">
        <f t="shared" ref="D404:D407" si="120">IF(N378="","",N378)</f>
        <v/>
      </c>
      <c r="E404" s="549" t="str">
        <f t="shared" ref="E404:E407" si="121">IF(O378="","",O378)</f>
        <v/>
      </c>
      <c r="F404" s="614" t="str">
        <f t="shared" ref="F404:F407" si="122">IF(P378="","",P378)</f>
        <v/>
      </c>
      <c r="G404" s="613" t="str">
        <f t="shared" ref="G404:G407" si="123">IF(S378="","",S378)</f>
        <v/>
      </c>
      <c r="H404" s="549" t="str">
        <f t="shared" ref="H404:H407" si="124">IF(T378="","",T378)</f>
        <v/>
      </c>
      <c r="I404" s="614" t="str">
        <f t="shared" ref="I404:I407" si="125">IF(U378="","",U378)</f>
        <v/>
      </c>
      <c r="J404" s="418"/>
      <c r="L404" s="350" t="str">
        <f>IF(P396="","",N396)</f>
        <v/>
      </c>
      <c r="M404" s="291" t="str">
        <f>IF(L404="","",AVERAGE(P396:P397))</f>
        <v/>
      </c>
      <c r="N404" s="291" t="str">
        <f>IF(F_EXP_3="","",ABS(F_EXP_3-F_EXP_0/2))</f>
        <v/>
      </c>
      <c r="Q404" s="355"/>
      <c r="R404" s="314" t="str">
        <f>IF(Q404="","",AVERAGE(U396:U397))</f>
        <v/>
      </c>
      <c r="S404" s="314" t="str">
        <f>IF(L_EXP_3="","",ABS(L_EXP_3-L_EXP_0/2))</f>
        <v/>
      </c>
      <c r="V404" s="418"/>
    </row>
    <row r="405" spans="1:22" ht="13.95" customHeight="1" thickBot="1">
      <c r="A405" s="1">
        <v>13</v>
      </c>
      <c r="B405" s="419"/>
      <c r="C405" s="587">
        <f t="shared" si="119"/>
        <v>50</v>
      </c>
      <c r="D405" s="613" t="str">
        <f t="shared" si="120"/>
        <v/>
      </c>
      <c r="E405" s="549" t="str">
        <f t="shared" si="121"/>
        <v/>
      </c>
      <c r="F405" s="614" t="str">
        <f t="shared" si="122"/>
        <v/>
      </c>
      <c r="G405" s="613" t="str">
        <f t="shared" si="123"/>
        <v/>
      </c>
      <c r="H405" s="549" t="str">
        <f t="shared" si="124"/>
        <v/>
      </c>
      <c r="I405" s="614" t="str">
        <f t="shared" si="125"/>
        <v/>
      </c>
      <c r="J405" s="418"/>
      <c r="L405" s="419"/>
      <c r="O405" s="301" t="str">
        <f>IF(O390="","HVL @"&amp;L390&amp;" kV:","HVL @"&amp;ROUND(AVERAGE(O390:O391),2)&amp;" kV:")</f>
        <v>HVL @80 kV:</v>
      </c>
      <c r="P405" s="337" t="str" cm="1">
        <f t="array" ref="P405">IF(AND(F_ALUMLOW="",F_ALUMHIGH="",'Frontal Gen'!K8=""),"",IF(OR(F_ALUMLOW="",F_ALUMHIGH=""),AVERAGE('Frontal Gen'!K8:K12),TREND(F_ALUM,F_LNEXP,LN(F_EXP_0/2))))</f>
        <v/>
      </c>
      <c r="T405" s="301" t="str">
        <f>IF(T390="","HVL @"&amp;Q390&amp;" kV:","HVL @"&amp;ROUND(AVERAGE(T390:T391),2)&amp;" kV:")</f>
        <v>HVL @80 kV:</v>
      </c>
      <c r="U405" s="358" t="str" cm="1">
        <f t="array" ref="U405">IF(AND(L_ALUMLOW="",L_ALUMHIGH="",'Lateral Gen'!K8=""),"",IF(OR(L_ALUMLOW="",L_ALUMHIGH=""),AVERAGE('Lateral Gen'!K8:K12),TREND(L_ALUM,L_LNEXP,LN(L_EXP_0/2))))</f>
        <v/>
      </c>
      <c r="V405" s="418"/>
    </row>
    <row r="406" spans="1:22" ht="13.95" customHeight="1" thickBot="1">
      <c r="A406" s="1">
        <v>14</v>
      </c>
      <c r="B406" s="419"/>
      <c r="C406" s="587">
        <f t="shared" si="119"/>
        <v>720</v>
      </c>
      <c r="D406" s="613" t="str">
        <f t="shared" si="120"/>
        <v/>
      </c>
      <c r="E406" s="549" t="str">
        <f t="shared" si="121"/>
        <v/>
      </c>
      <c r="F406" s="614" t="str">
        <f t="shared" si="122"/>
        <v/>
      </c>
      <c r="G406" s="613" t="str">
        <f t="shared" si="123"/>
        <v/>
      </c>
      <c r="H406" s="549" t="str">
        <f t="shared" si="124"/>
        <v/>
      </c>
      <c r="I406" s="614" t="str">
        <f t="shared" si="125"/>
        <v/>
      </c>
      <c r="J406" s="418"/>
      <c r="L406" s="419"/>
      <c r="O406" s="301" t="s">
        <v>507</v>
      </c>
      <c r="P406" s="422" t="str" cm="1">
        <f t="array" ref="P406">IF(O390="","",IF(AVERAGE(O390:O391)&lt;=70,ROUND(TREND(Tables!$B$39:$B$41,Tables!$A$39:$A$41,AVERAGE(O390:O391),FALSE),1),ROUND(TREND(Tables!$B$42:$B$50,Tables!$A$42:$A$50,AVERAGE(O390:O391),FALSE),1)))</f>
        <v/>
      </c>
      <c r="T406" s="301" t="s">
        <v>507</v>
      </c>
      <c r="U406" s="422" t="str" cm="1">
        <f t="array" ref="U406">IF(T390="","",IF(AVERAGE(T390:T391)&lt;=70,ROUND(TREND(Tables!$B$39:$B$41,Tables!$A$39:$A$41,AVERAGE(T390:T391),FALSE),1),ROUND(TREND(Tables!$B$42:$B$50,Tables!$A$42:$A$50,AVERAGE(T390:T391),FALSE),1)))</f>
        <v/>
      </c>
      <c r="V406" s="418"/>
    </row>
    <row r="407" spans="1:22" ht="13.95" customHeight="1" thickBot="1">
      <c r="A407" s="1">
        <v>15</v>
      </c>
      <c r="B407" s="419"/>
      <c r="C407" s="588">
        <f t="shared" si="119"/>
        <v>250</v>
      </c>
      <c r="D407" s="615" t="str">
        <f t="shared" si="120"/>
        <v/>
      </c>
      <c r="E407" s="616" t="str">
        <f t="shared" si="121"/>
        <v/>
      </c>
      <c r="F407" s="617" t="str">
        <f t="shared" si="122"/>
        <v/>
      </c>
      <c r="G407" s="615" t="str">
        <f t="shared" si="123"/>
        <v/>
      </c>
      <c r="H407" s="616" t="str">
        <f t="shared" si="124"/>
        <v/>
      </c>
      <c r="I407" s="617" t="str">
        <f t="shared" si="125"/>
        <v/>
      </c>
      <c r="J407" s="418"/>
      <c r="L407" s="419"/>
      <c r="O407" s="667" t="s">
        <v>275</v>
      </c>
      <c r="P407" s="200" t="str">
        <f>IF(P405="","TBD",IF(P405&lt;P406,"NO","YES"))</f>
        <v>TBD</v>
      </c>
      <c r="T407" s="667" t="s">
        <v>275</v>
      </c>
      <c r="U407" s="200" t="str">
        <f>IF(U405="","TBD",IF(U405&lt;U406,"NO","YES"))</f>
        <v>TBD</v>
      </c>
      <c r="V407" s="418"/>
    </row>
    <row r="408" spans="1:22" ht="13.95" customHeight="1" thickBot="1">
      <c r="A408" s="1">
        <v>16</v>
      </c>
      <c r="B408" s="419"/>
      <c r="E408" s="301" t="s">
        <v>493</v>
      </c>
      <c r="F408" s="337" t="str">
        <f>IF(P382="","",P382)</f>
        <v/>
      </c>
      <c r="H408" s="301" t="s">
        <v>493</v>
      </c>
      <c r="I408" s="337" t="str">
        <f>IF(U382="","",U382)</f>
        <v/>
      </c>
      <c r="J408" s="418"/>
      <c r="L408" s="419"/>
      <c r="O408" s="301" t="s">
        <v>525</v>
      </c>
      <c r="P408" s="265" t="str">
        <f>IF(AA288="","",AA288)</f>
        <v/>
      </c>
      <c r="T408" s="301" t="s">
        <v>525</v>
      </c>
      <c r="U408" s="265" t="str">
        <f>IF(AA289="","",AA289)</f>
        <v/>
      </c>
      <c r="V408" s="418"/>
    </row>
    <row r="409" spans="1:22" ht="13.95" customHeight="1" thickBot="1">
      <c r="A409" s="1">
        <v>17</v>
      </c>
      <c r="B409" s="419"/>
      <c r="E409" s="301" t="s">
        <v>275</v>
      </c>
      <c r="F409" s="610" t="str">
        <f>IF(P383="","",P383)</f>
        <v>NA</v>
      </c>
      <c r="H409" s="301" t="s">
        <v>275</v>
      </c>
      <c r="I409" s="610" t="str">
        <f>IF(U383="","",U383)</f>
        <v>NA</v>
      </c>
      <c r="J409" s="418"/>
      <c r="L409" s="261" t="s">
        <v>108</v>
      </c>
      <c r="M409" s="42"/>
      <c r="N409" s="42"/>
      <c r="V409" s="418"/>
    </row>
    <row r="410" spans="1:22" ht="13.95" customHeight="1">
      <c r="A410" s="1">
        <v>18</v>
      </c>
      <c r="B410" s="420" t="s">
        <v>276</v>
      </c>
      <c r="C410" s="54" t="s">
        <v>494</v>
      </c>
      <c r="J410" s="418"/>
      <c r="L410" s="41"/>
      <c r="M410" s="2"/>
      <c r="N410" s="2"/>
      <c r="V410" s="418"/>
    </row>
    <row r="411" spans="1:22" ht="13.95" customHeight="1">
      <c r="A411" s="1">
        <v>19</v>
      </c>
      <c r="B411" s="419"/>
      <c r="J411" s="418"/>
      <c r="L411" s="114"/>
      <c r="M411" s="46"/>
      <c r="N411" s="46" t="s">
        <v>518</v>
      </c>
      <c r="V411" s="418"/>
    </row>
    <row r="412" spans="1:22" ht="13.95" customHeight="1">
      <c r="A412" s="1">
        <v>20</v>
      </c>
      <c r="B412" s="215" t="s">
        <v>495</v>
      </c>
      <c r="J412" s="418"/>
      <c r="L412" s="114"/>
      <c r="M412" s="2"/>
      <c r="N412" s="46" t="s">
        <v>519</v>
      </c>
      <c r="V412" s="418"/>
    </row>
    <row r="413" spans="1:22" ht="13.95" customHeight="1">
      <c r="A413" s="1">
        <v>21</v>
      </c>
      <c r="B413" s="419"/>
      <c r="J413" s="418"/>
      <c r="L413" s="114"/>
      <c r="M413" s="2"/>
      <c r="N413" s="46" t="s">
        <v>512</v>
      </c>
      <c r="V413" s="418"/>
    </row>
    <row r="414" spans="1:22" ht="13.95" customHeight="1">
      <c r="A414" s="1">
        <v>22</v>
      </c>
      <c r="B414" s="773" t="s">
        <v>482</v>
      </c>
      <c r="C414" s="770"/>
      <c r="D414" s="770"/>
      <c r="E414" s="771"/>
      <c r="F414" s="774" t="s">
        <v>483</v>
      </c>
      <c r="G414" s="770"/>
      <c r="H414" s="770"/>
      <c r="I414" s="771"/>
      <c r="J414" s="418"/>
      <c r="L414" s="114"/>
      <c r="M414" s="2"/>
      <c r="N414" s="46" t="s">
        <v>513</v>
      </c>
      <c r="V414" s="418"/>
    </row>
    <row r="415" spans="1:22" ht="13.95" customHeight="1">
      <c r="A415" s="1">
        <v>23</v>
      </c>
      <c r="B415" s="605" t="s">
        <v>741</v>
      </c>
      <c r="C415" s="566">
        <f>L390</f>
        <v>80</v>
      </c>
      <c r="D415" s="301" t="s">
        <v>735</v>
      </c>
      <c r="E415" s="607">
        <f>$M$340</f>
        <v>119</v>
      </c>
      <c r="F415" s="608" t="s">
        <v>741</v>
      </c>
      <c r="G415" s="566">
        <f>Q390</f>
        <v>80</v>
      </c>
      <c r="H415" s="301" t="s">
        <v>735</v>
      </c>
      <c r="I415" s="607">
        <f>$M$340</f>
        <v>119</v>
      </c>
      <c r="J415" s="418"/>
      <c r="L415" s="114"/>
      <c r="M415" s="46"/>
      <c r="N415" s="46" t="s">
        <v>514</v>
      </c>
      <c r="V415" s="418"/>
    </row>
    <row r="416" spans="1:22" ht="13.95" customHeight="1">
      <c r="A416" s="1">
        <v>24</v>
      </c>
      <c r="B416" s="605" t="s">
        <v>400</v>
      </c>
      <c r="C416" s="566">
        <f>M390</f>
        <v>400</v>
      </c>
      <c r="F416" s="608" t="s">
        <v>400</v>
      </c>
      <c r="G416" s="566">
        <f>R390</f>
        <v>400</v>
      </c>
      <c r="I416" s="12"/>
      <c r="J416" s="418"/>
      <c r="L416" s="114"/>
      <c r="M416" s="46"/>
      <c r="N416" s="46" t="s">
        <v>515</v>
      </c>
      <c r="V416" s="418"/>
    </row>
    <row r="417" spans="1:22" ht="13.95" customHeight="1" thickBot="1">
      <c r="A417" s="1">
        <v>25</v>
      </c>
      <c r="B417" s="113" t="s">
        <v>742</v>
      </c>
      <c r="C417" s="754" t="s">
        <v>232</v>
      </c>
      <c r="D417" s="754"/>
      <c r="E417" s="440" t="s">
        <v>504</v>
      </c>
      <c r="F417" s="603" t="s">
        <v>742</v>
      </c>
      <c r="G417" s="754" t="s">
        <v>232</v>
      </c>
      <c r="H417" s="754"/>
      <c r="I417" s="440" t="s">
        <v>504</v>
      </c>
      <c r="J417" s="418"/>
      <c r="L417" s="114"/>
      <c r="M417" s="46"/>
      <c r="N417" s="46" t="s">
        <v>516</v>
      </c>
      <c r="V417" s="418"/>
    </row>
    <row r="418" spans="1:22" ht="13.95" customHeight="1" thickBot="1">
      <c r="A418" s="1">
        <v>26</v>
      </c>
      <c r="B418" s="606">
        <f>N390</f>
        <v>0</v>
      </c>
      <c r="C418" s="671" t="str">
        <f>IF(P390="","",P390)</f>
        <v/>
      </c>
      <c r="D418" s="672" t="str">
        <f>IF(P391="","",P391)</f>
        <v/>
      </c>
      <c r="E418" s="337" t="str">
        <f>IF(F_HVL="","",F_HVL)</f>
        <v/>
      </c>
      <c r="F418" s="609">
        <f>S390</f>
        <v>0</v>
      </c>
      <c r="G418" s="671" t="str">
        <f>IF(U390="","",U390)</f>
        <v/>
      </c>
      <c r="H418" s="671" t="str">
        <f>IF(U391="","",U391)</f>
        <v/>
      </c>
      <c r="I418" s="337" t="str">
        <f>IF(L_HVL="","",L_HVL)</f>
        <v/>
      </c>
      <c r="J418" s="418"/>
      <c r="L418" s="114"/>
      <c r="M418" s="42"/>
      <c r="N418" s="46" t="s">
        <v>517</v>
      </c>
      <c r="V418" s="418"/>
    </row>
    <row r="419" spans="1:22" ht="13.95" customHeight="1" thickBot="1">
      <c r="A419" s="1">
        <v>27</v>
      </c>
      <c r="B419" s="350" t="str">
        <f>IF(O392="","",N392)</f>
        <v/>
      </c>
      <c r="C419" s="291" t="str">
        <f>IF(P392="","",P392)</f>
        <v/>
      </c>
      <c r="D419" s="291" t="str">
        <f>IF(P393="","",P393)</f>
        <v/>
      </c>
      <c r="E419" s="301" t="s">
        <v>275</v>
      </c>
      <c r="F419" s="669" t="str">
        <f>IF(T392="","",S392)</f>
        <v/>
      </c>
      <c r="G419" s="291" t="str">
        <f>IF(U392="","",U392)</f>
        <v/>
      </c>
      <c r="H419" s="291" t="str">
        <f>IF(U393="","",U393)</f>
        <v/>
      </c>
      <c r="I419" s="611" t="s">
        <v>275</v>
      </c>
      <c r="J419" s="418"/>
      <c r="L419" s="423"/>
      <c r="M419" s="424"/>
      <c r="N419" s="424"/>
      <c r="O419" s="424"/>
      <c r="P419" s="424"/>
      <c r="Q419" s="424"/>
      <c r="R419" s="424"/>
      <c r="S419" s="424"/>
      <c r="T419" s="424"/>
      <c r="U419" s="424"/>
      <c r="V419" s="425"/>
    </row>
    <row r="420" spans="1:22" ht="13.95" customHeight="1" thickTop="1" thickBot="1">
      <c r="A420" s="1">
        <v>28</v>
      </c>
      <c r="B420" s="350" t="str">
        <f>IF(O394="","",N394)</f>
        <v/>
      </c>
      <c r="C420" s="291" t="str">
        <f>IF(P394="","",P394)</f>
        <v/>
      </c>
      <c r="D420" s="291" t="str">
        <f>IF(P395="","",P395)</f>
        <v/>
      </c>
      <c r="E420" s="610" t="str">
        <f>IF(P407="","",P407)</f>
        <v>TBD</v>
      </c>
      <c r="F420" s="669" t="str">
        <f>IF(T394="","",S394)</f>
        <v/>
      </c>
      <c r="G420" s="291" t="str">
        <f>IF(U394="","",U394)</f>
        <v/>
      </c>
      <c r="H420" s="291" t="str">
        <f>IF(U395="","",U395)</f>
        <v/>
      </c>
      <c r="I420" s="610" t="str">
        <f>IF(U407="","",U407)</f>
        <v>TBD</v>
      </c>
      <c r="J420" s="418"/>
    </row>
    <row r="421" spans="1:22" ht="13.95" customHeight="1" thickBot="1">
      <c r="A421" s="1">
        <v>29</v>
      </c>
      <c r="B421" s="668" t="str">
        <f>IF(O396="","",N396)</f>
        <v/>
      </c>
      <c r="C421" s="673" t="str">
        <f>IF(P396="","",P396)</f>
        <v/>
      </c>
      <c r="D421" s="673" t="str">
        <f>IF(P397="","",P397)</f>
        <v/>
      </c>
      <c r="E421" s="16"/>
      <c r="F421" s="670" t="str">
        <f>IF(T396="","",S396)</f>
        <v/>
      </c>
      <c r="G421" s="673" t="str">
        <f>IF(U396="","",U396)</f>
        <v/>
      </c>
      <c r="H421" s="673" t="str">
        <f>IF(U397="","",U397)</f>
        <v/>
      </c>
      <c r="I421" s="16"/>
      <c r="J421" s="418"/>
      <c r="L421" s="42"/>
      <c r="M421" s="2"/>
      <c r="N421" s="2"/>
      <c r="O421" s="2"/>
      <c r="P421" s="2"/>
      <c r="Q421" s="2"/>
      <c r="R421" s="2"/>
      <c r="S421" s="2"/>
      <c r="T421" s="2"/>
      <c r="U421" s="2"/>
      <c r="V421" s="118" t="str">
        <f>$F$2</f>
        <v>Medical University of South Carolina</v>
      </c>
    </row>
    <row r="422" spans="1:22" ht="13.95" customHeight="1">
      <c r="A422" s="1">
        <v>30</v>
      </c>
      <c r="B422" s="419"/>
      <c r="J422" s="418"/>
      <c r="L422" s="2"/>
      <c r="M422" s="109"/>
      <c r="N422" s="109"/>
      <c r="O422" s="4"/>
      <c r="P422" s="2"/>
      <c r="Q422" s="6" t="s">
        <v>263</v>
      </c>
      <c r="R422" s="2"/>
      <c r="S422" s="2"/>
      <c r="T422" s="2"/>
      <c r="U422" s="2"/>
      <c r="V422" s="79" t="str">
        <f>$F$5</f>
        <v>EOS Imaging System Compliance Inspection</v>
      </c>
    </row>
    <row r="423" spans="1:22" ht="13.95" customHeight="1" thickBot="1">
      <c r="A423" s="1">
        <v>31</v>
      </c>
      <c r="B423" s="420" t="s">
        <v>276</v>
      </c>
      <c r="C423" s="612" t="str">
        <f>"Minimum acceptable HVL at "&amp;C415&amp;" kV: "&amp;VLOOKUP(C415,Tables!A36:B50,2)&amp;" mm Al"</f>
        <v>Minimum acceptable HVL at 80 kV: 2.9 mm Al</v>
      </c>
      <c r="J423" s="418"/>
      <c r="L423" s="2"/>
      <c r="M423" s="2"/>
      <c r="N423" s="2"/>
      <c r="O423" s="2"/>
      <c r="P423" s="2"/>
      <c r="Q423" s="2"/>
      <c r="R423" s="2"/>
      <c r="S423" s="2"/>
      <c r="T423" s="2"/>
      <c r="U423" s="2"/>
      <c r="V423" s="2"/>
    </row>
    <row r="424" spans="1:22" ht="13.95" customHeight="1" thickTop="1">
      <c r="A424" s="1">
        <v>32</v>
      </c>
      <c r="B424" s="419"/>
      <c r="J424" s="418"/>
      <c r="L424" s="123"/>
      <c r="M424" s="86"/>
      <c r="N424" s="86"/>
      <c r="O424" s="86"/>
      <c r="P424" s="439"/>
      <c r="Q424" s="439" t="s">
        <v>520</v>
      </c>
      <c r="R424" s="86"/>
      <c r="S424" s="86"/>
      <c r="T424" s="86"/>
      <c r="U424" s="86"/>
      <c r="V424" s="126"/>
    </row>
    <row r="425" spans="1:22" ht="13.95" customHeight="1">
      <c r="A425" s="1">
        <v>33</v>
      </c>
      <c r="B425" s="419"/>
      <c r="J425" s="418"/>
      <c r="L425" s="453" t="s">
        <v>547</v>
      </c>
      <c r="Q425" s="2"/>
      <c r="V425" s="418"/>
    </row>
    <row r="426" spans="1:22" ht="13.95" customHeight="1">
      <c r="A426" s="1">
        <v>34</v>
      </c>
      <c r="B426" s="419"/>
      <c r="J426" s="418"/>
      <c r="L426" s="419"/>
      <c r="M426" s="770" t="s">
        <v>482</v>
      </c>
      <c r="N426" s="770"/>
      <c r="O426" s="770"/>
      <c r="P426" s="771"/>
      <c r="Q426" s="747" t="s">
        <v>483</v>
      </c>
      <c r="R426" s="791"/>
      <c r="S426" s="791"/>
      <c r="T426" s="748"/>
      <c r="V426" s="418"/>
    </row>
    <row r="427" spans="1:22" ht="13.95" customHeight="1">
      <c r="A427" s="1">
        <v>35</v>
      </c>
      <c r="B427" s="419"/>
      <c r="J427" s="418"/>
      <c r="L427" s="454" t="s">
        <v>228</v>
      </c>
      <c r="P427" s="440" t="s">
        <v>432</v>
      </c>
      <c r="Q427" s="11"/>
      <c r="T427" s="440" t="s">
        <v>432</v>
      </c>
      <c r="V427" s="418"/>
    </row>
    <row r="428" spans="1:22" ht="13.95" customHeight="1" thickBot="1">
      <c r="A428" s="1">
        <v>36</v>
      </c>
      <c r="B428" s="419"/>
      <c r="J428" s="418"/>
      <c r="L428" s="454" t="s">
        <v>202</v>
      </c>
      <c r="M428" s="441" t="s">
        <v>477</v>
      </c>
      <c r="N428" s="441" t="s">
        <v>405</v>
      </c>
      <c r="O428" s="442" t="s">
        <v>521</v>
      </c>
      <c r="P428" s="443" t="s">
        <v>521</v>
      </c>
      <c r="Q428" s="444" t="s">
        <v>477</v>
      </c>
      <c r="R428" s="441" t="s">
        <v>405</v>
      </c>
      <c r="S428" s="442" t="s">
        <v>521</v>
      </c>
      <c r="T428" s="443" t="s">
        <v>521</v>
      </c>
      <c r="V428" s="418"/>
    </row>
    <row r="429" spans="1:22" ht="13.95" customHeight="1">
      <c r="A429" s="1">
        <v>37</v>
      </c>
      <c r="B429" s="419"/>
      <c r="J429" s="418"/>
      <c r="L429" s="299">
        <v>10</v>
      </c>
      <c r="M429" s="674" t="str">
        <f>IF(AEC!C4="","",AEC!C4)</f>
        <v/>
      </c>
      <c r="N429" s="674" t="str">
        <f>IF(AEC!D4="","",AEC!D4)</f>
        <v/>
      </c>
      <c r="O429" s="683" t="str">
        <f>IF(AEC!E4="","",AEC!E4)</f>
        <v/>
      </c>
      <c r="P429" s="687" t="str">
        <f>IF(AA295="","",AA295)</f>
        <v/>
      </c>
      <c r="Q429" s="677" t="str">
        <f>IF(AEC!C9="","",AEC!C9)</f>
        <v/>
      </c>
      <c r="R429" s="674" t="str">
        <f>IF(AEC!D9="","",AEC!D9)</f>
        <v/>
      </c>
      <c r="S429" s="674" t="str">
        <f>IF(AEC!E9="","",AEC!E9)</f>
        <v/>
      </c>
      <c r="T429" s="687" t="str">
        <f>IF(AA305="","",AA305)</f>
        <v/>
      </c>
      <c r="V429" s="418"/>
    </row>
    <row r="430" spans="1:22" ht="13.95" customHeight="1">
      <c r="A430" s="1">
        <v>38</v>
      </c>
      <c r="B430" s="419"/>
      <c r="J430" s="418"/>
      <c r="L430" s="287">
        <v>20</v>
      </c>
      <c r="M430" s="675" t="str">
        <f>IF(AEC!C5="","",AVERAGE(AEC!C5:C7))</f>
        <v/>
      </c>
      <c r="N430" s="675" t="str">
        <f>IF(AEC!D5="","",AVERAGE(AEC!D5:D7))</f>
        <v/>
      </c>
      <c r="O430" s="291" t="str">
        <f>IF(AEC!E5="","",AVERAGE(AEC!E5:E7))</f>
        <v/>
      </c>
      <c r="P430" s="688" t="str">
        <f>IF(AA298="","",AA298)</f>
        <v/>
      </c>
      <c r="Q430" s="678" t="str">
        <f>IF(AEC!C10="","",AVERAGE(AEC!C10:C12))</f>
        <v/>
      </c>
      <c r="R430" s="675" t="str">
        <f>IF(AEC!D10="","",AVERAGE(AEC!D10:D12))</f>
        <v/>
      </c>
      <c r="S430" s="291" t="str">
        <f>IF(AEC!E10="","",AVERAGE(AEC!E10:E12))</f>
        <v/>
      </c>
      <c r="T430" s="688" t="str">
        <f>IF(AA308="","",AA308)</f>
        <v/>
      </c>
      <c r="V430" s="418"/>
    </row>
    <row r="431" spans="1:22" ht="13.95" customHeight="1" thickBot="1">
      <c r="A431" s="1">
        <v>39</v>
      </c>
      <c r="B431" s="419"/>
      <c r="J431" s="418"/>
      <c r="L431" s="288">
        <v>30</v>
      </c>
      <c r="M431" s="676" t="str">
        <f>IF(AEC!C8="","",AEC!C8)</f>
        <v/>
      </c>
      <c r="N431" s="676" t="str">
        <f>IF(AEC!D8="","",AEC!D8)</f>
        <v/>
      </c>
      <c r="O431" s="673" t="str">
        <f>IF(AEC!E8="","",AEC!E8)</f>
        <v/>
      </c>
      <c r="P431" s="689" t="str">
        <f>IF(AA301="","",AA301)</f>
        <v/>
      </c>
      <c r="Q431" s="679" t="str">
        <f>IF(AEC!C13="","",AEC!C13)</f>
        <v/>
      </c>
      <c r="R431" s="676" t="str">
        <f>IF(AEC!D13="","",AEC!D13)</f>
        <v/>
      </c>
      <c r="S431" s="673" t="str">
        <f>IF(AEC!E13="","",AEC!E13)</f>
        <v/>
      </c>
      <c r="T431" s="689" t="str">
        <f>IF(AA311="","",AA311)</f>
        <v/>
      </c>
      <c r="V431" s="418"/>
    </row>
    <row r="432" spans="1:22" ht="13.95" customHeight="1">
      <c r="A432" s="1">
        <v>40</v>
      </c>
      <c r="B432" s="419"/>
      <c r="J432" s="418"/>
      <c r="L432" s="419"/>
      <c r="V432" s="418"/>
    </row>
    <row r="433" spans="1:22" ht="13.95" customHeight="1">
      <c r="A433" s="1">
        <v>41</v>
      </c>
      <c r="B433" s="419"/>
      <c r="J433" s="418"/>
      <c r="L433" s="453" t="s">
        <v>548</v>
      </c>
      <c r="V433" s="418"/>
    </row>
    <row r="434" spans="1:22" ht="13.95" customHeight="1">
      <c r="A434" s="1">
        <v>42</v>
      </c>
      <c r="B434" s="419"/>
      <c r="J434" s="418"/>
      <c r="L434" s="419"/>
      <c r="M434" s="770" t="s">
        <v>482</v>
      </c>
      <c r="N434" s="770"/>
      <c r="O434" s="770"/>
      <c r="P434" s="770"/>
      <c r="Q434" s="771"/>
      <c r="R434" s="770" t="s">
        <v>483</v>
      </c>
      <c r="S434" s="770"/>
      <c r="T434" s="770"/>
      <c r="U434" s="770"/>
      <c r="V434" s="772"/>
    </row>
    <row r="435" spans="1:22" ht="13.95" customHeight="1">
      <c r="A435" s="1">
        <v>43</v>
      </c>
      <c r="B435" s="419"/>
      <c r="J435" s="418"/>
      <c r="L435" s="454" t="s">
        <v>228</v>
      </c>
      <c r="P435" s="422" t="s">
        <v>432</v>
      </c>
      <c r="Q435" s="422" t="s">
        <v>551</v>
      </c>
      <c r="R435" s="11"/>
      <c r="U435" s="422" t="s">
        <v>432</v>
      </c>
      <c r="V435" s="455" t="s">
        <v>551</v>
      </c>
    </row>
    <row r="436" spans="1:22" ht="13.95" customHeight="1" thickBot="1">
      <c r="A436" s="1">
        <v>44</v>
      </c>
      <c r="B436" s="419"/>
      <c r="J436" s="418"/>
      <c r="L436" s="454" t="s">
        <v>202</v>
      </c>
      <c r="M436" s="422" t="s">
        <v>477</v>
      </c>
      <c r="N436" s="441" t="s">
        <v>405</v>
      </c>
      <c r="O436" s="450" t="s">
        <v>521</v>
      </c>
      <c r="P436" s="450" t="s">
        <v>521</v>
      </c>
      <c r="Q436" s="422" t="s">
        <v>552</v>
      </c>
      <c r="R436" s="444" t="s">
        <v>477</v>
      </c>
      <c r="S436" s="441" t="s">
        <v>405</v>
      </c>
      <c r="T436" s="442" t="s">
        <v>521</v>
      </c>
      <c r="U436" s="442" t="s">
        <v>521</v>
      </c>
      <c r="V436" s="455" t="s">
        <v>552</v>
      </c>
    </row>
    <row r="437" spans="1:22" ht="13.95" customHeight="1">
      <c r="A437" s="1">
        <v>45</v>
      </c>
      <c r="B437" s="419"/>
      <c r="J437" s="418"/>
      <c r="L437" s="299">
        <v>20</v>
      </c>
      <c r="M437" s="674" t="str">
        <f>IF(AEC!C5="","",AEC!C5)</f>
        <v/>
      </c>
      <c r="N437" s="674" t="str">
        <f>IF(AEC!D5="","",AEC!D5)</f>
        <v/>
      </c>
      <c r="O437" s="683" t="str">
        <f>IF(AEC!E5="","",AEC!E5)</f>
        <v/>
      </c>
      <c r="P437" s="686" t="str">
        <f>IF(AA317="","",AA317)</f>
        <v/>
      </c>
      <c r="Q437" s="690" t="str">
        <f>IF(O437="","",ABS(O437-AVERAGE(O$437:O$439))/AVERAGE(O$437:O$439))</f>
        <v/>
      </c>
      <c r="R437" s="680" t="str">
        <f>IF(AEC!C9="","",AEC!C9)</f>
        <v/>
      </c>
      <c r="S437" s="675" t="str">
        <f>IF(AEC!D9="","",AEC!D9)</f>
        <v/>
      </c>
      <c r="T437" s="291" t="str">
        <f>IF(AEC!E9="","",AEC!E9)</f>
        <v/>
      </c>
      <c r="U437" s="684" t="str">
        <f>IF(AA327="","",AA327)</f>
        <v/>
      </c>
      <c r="V437" s="693" t="str">
        <f t="shared" ref="V437:V439" si="126">IF(T437="","",ABS(T437-AVERAGE(T$437:T$439))/AVERAGE(T$437:T$439))</f>
        <v/>
      </c>
    </row>
    <row r="438" spans="1:22" ht="13.95" customHeight="1">
      <c r="A438" s="1">
        <v>46</v>
      </c>
      <c r="B438" s="419"/>
      <c r="J438" s="418"/>
      <c r="L438" s="287">
        <v>20</v>
      </c>
      <c r="M438" s="675" t="str">
        <f>IF(AEC!C6="","",AEC!C6)</f>
        <v/>
      </c>
      <c r="N438" s="675" t="str">
        <f>IF(AEC!D6="","",AEC!D6)</f>
        <v/>
      </c>
      <c r="O438" s="291" t="str">
        <f>IF(AEC!E6="","",AEC!E6)</f>
        <v/>
      </c>
      <c r="P438" s="684" t="str">
        <f>IF(AA320="","",AA320)</f>
        <v/>
      </c>
      <c r="Q438" s="691" t="str">
        <f t="shared" ref="Q438:Q439" si="127">IF(O438="","",ABS(O438-AVERAGE(O$437:O$439))/AVERAGE(O$437:O$439))</f>
        <v/>
      </c>
      <c r="R438" s="680" t="str">
        <f>IF(AEC!C10="","",AEC!C10)</f>
        <v/>
      </c>
      <c r="S438" s="675" t="str">
        <f>IF(AEC!D10="","",AEC!D10)</f>
        <v/>
      </c>
      <c r="T438" s="291" t="str">
        <f>IF(AEC!E10="","",AEC!E10)</f>
        <v/>
      </c>
      <c r="U438" s="684" t="str">
        <f>IF(AA330="","",AA330)</f>
        <v/>
      </c>
      <c r="V438" s="694" t="str">
        <f t="shared" si="126"/>
        <v/>
      </c>
    </row>
    <row r="439" spans="1:22" ht="13.95" customHeight="1" thickBot="1">
      <c r="A439" s="1">
        <v>47</v>
      </c>
      <c r="B439" s="423"/>
      <c r="C439" s="424"/>
      <c r="D439" s="424"/>
      <c r="E439" s="424"/>
      <c r="F439" s="424"/>
      <c r="G439" s="424"/>
      <c r="H439" s="424"/>
      <c r="I439" s="424"/>
      <c r="J439" s="425"/>
      <c r="L439" s="288">
        <v>20</v>
      </c>
      <c r="M439" s="676" t="str">
        <f>IF(AEC!C7="","",AEC!C7)</f>
        <v/>
      </c>
      <c r="N439" s="676" t="str">
        <f>IF(AEC!D7="","",AEC!D7)</f>
        <v/>
      </c>
      <c r="O439" s="673" t="str">
        <f>IF(AEC!E7="","",AEC!E7)</f>
        <v/>
      </c>
      <c r="P439" s="685" t="str">
        <f>IF(AA323="","",AA323)</f>
        <v/>
      </c>
      <c r="Q439" s="692" t="str">
        <f t="shared" si="127"/>
        <v/>
      </c>
      <c r="R439" s="681" t="str">
        <f>IF(AEC!C11="","",AEC!C11)</f>
        <v/>
      </c>
      <c r="S439" s="676" t="str">
        <f>IF(AEC!D11="","",AEC!D11)</f>
        <v/>
      </c>
      <c r="T439" s="673" t="str">
        <f>IF(AEC!E11="","",AEC!E11)</f>
        <v/>
      </c>
      <c r="U439" s="685" t="str">
        <f>IF(AA333="","",AA333)</f>
        <v/>
      </c>
      <c r="V439" s="695" t="str">
        <f t="shared" si="126"/>
        <v/>
      </c>
    </row>
    <row r="440" spans="1:22" ht="13.95" customHeight="1" thickTop="1" thickBot="1">
      <c r="A440" s="1">
        <v>48</v>
      </c>
      <c r="B440" s="99" t="s">
        <v>3</v>
      </c>
      <c r="C440" s="100" t="str">
        <f>IF($N$8="","",$N$8)</f>
        <v/>
      </c>
      <c r="D440" s="2"/>
      <c r="E440" s="2"/>
      <c r="F440" s="2"/>
      <c r="G440" s="2" t="str">
        <f>""</f>
        <v/>
      </c>
      <c r="H440" s="2" t="str">
        <f>""</f>
        <v/>
      </c>
      <c r="I440" s="99" t="s">
        <v>4</v>
      </c>
      <c r="J440" s="101" t="str">
        <f>IF($U$8="","",$U$8)</f>
        <v>Eugene Mah</v>
      </c>
      <c r="L440" s="419"/>
      <c r="P440" s="667" t="s">
        <v>275</v>
      </c>
      <c r="Q440" s="200" t="str">
        <f>IF(O437="","TBD",IF(MAX(Q437:Q439)&gt;0.11,"NO","YES"))</f>
        <v>TBD</v>
      </c>
      <c r="U440" s="667" t="s">
        <v>275</v>
      </c>
      <c r="V440" s="604" t="str">
        <f>IF(T437="","TBD",IF(MAX(V437:V439)&gt;0.11,"NO","YES"))</f>
        <v>TBD</v>
      </c>
    </row>
    <row r="441" spans="1:22" ht="13.95" customHeight="1">
      <c r="A441" s="1">
        <v>49</v>
      </c>
      <c r="B441" s="99" t="s">
        <v>18</v>
      </c>
      <c r="C441" s="102" t="str">
        <f>IF($O$15="","",$O$15)</f>
        <v/>
      </c>
      <c r="D441" s="2"/>
      <c r="E441" s="2"/>
      <c r="F441" s="2"/>
      <c r="G441" s="2"/>
      <c r="H441" s="2"/>
      <c r="I441" s="99" t="s">
        <v>16</v>
      </c>
      <c r="J441" s="103" t="str">
        <f>IF($E$14="","",$E$14)</f>
        <v/>
      </c>
      <c r="L441" s="420" t="s">
        <v>276</v>
      </c>
      <c r="M441" s="54" t="s">
        <v>553</v>
      </c>
      <c r="V441" s="418"/>
    </row>
    <row r="442" spans="1:22" ht="13.95" customHeight="1">
      <c r="A442" s="1">
        <v>1</v>
      </c>
      <c r="J442" s="118" t="str">
        <f>$F$2</f>
        <v>Medical University of South Carolina</v>
      </c>
      <c r="L442" s="419"/>
      <c r="V442" s="418"/>
    </row>
    <row r="443" spans="1:22" ht="13.95" customHeight="1" thickBot="1">
      <c r="A443" s="1">
        <v>2</v>
      </c>
      <c r="J443" s="79" t="str">
        <f>$F$5</f>
        <v>EOS Imaging System Compliance Inspection</v>
      </c>
      <c r="L443" s="419"/>
      <c r="Q443" s="456" t="s">
        <v>670</v>
      </c>
      <c r="V443" s="418"/>
    </row>
    <row r="444" spans="1:22" ht="13.95" customHeight="1" thickTop="1">
      <c r="A444" s="1">
        <v>3</v>
      </c>
      <c r="B444" s="501"/>
      <c r="C444" s="502"/>
      <c r="D444" s="502"/>
      <c r="E444" s="502"/>
      <c r="F444" s="502"/>
      <c r="G444" s="502"/>
      <c r="H444" s="502"/>
      <c r="I444" s="502"/>
      <c r="J444" s="503"/>
      <c r="L444" s="203" t="s">
        <v>749</v>
      </c>
      <c r="M444" s="682" t="s">
        <v>251</v>
      </c>
      <c r="O444" s="43" t="s">
        <v>745</v>
      </c>
      <c r="P444" s="451"/>
      <c r="R444" s="43" t="s">
        <v>746</v>
      </c>
      <c r="S444" s="451"/>
      <c r="V444" s="418"/>
    </row>
    <row r="445" spans="1:22" ht="13.95" customHeight="1">
      <c r="A445" s="1">
        <v>4</v>
      </c>
      <c r="B445" s="453" t="s">
        <v>549</v>
      </c>
      <c r="J445" s="418"/>
      <c r="L445" s="419"/>
      <c r="V445" s="418"/>
    </row>
    <row r="446" spans="1:22" ht="13.95" customHeight="1">
      <c r="A446" s="1">
        <v>5</v>
      </c>
      <c r="B446" s="419"/>
      <c r="C446" s="422" t="s">
        <v>228</v>
      </c>
      <c r="D446" s="836" t="s">
        <v>482</v>
      </c>
      <c r="E446" s="836"/>
      <c r="F446" s="837"/>
      <c r="G446" s="838" t="s">
        <v>483</v>
      </c>
      <c r="H446" s="836"/>
      <c r="I446" s="837"/>
      <c r="J446" s="418"/>
      <c r="L446" s="773" t="s">
        <v>482</v>
      </c>
      <c r="M446" s="770"/>
      <c r="N446" s="770"/>
      <c r="O446" s="770"/>
      <c r="P446" s="771"/>
      <c r="Q446" s="774" t="s">
        <v>483</v>
      </c>
      <c r="R446" s="770"/>
      <c r="S446" s="770"/>
      <c r="T446" s="770"/>
      <c r="U446" s="771"/>
      <c r="V446" s="418"/>
    </row>
    <row r="447" spans="1:22" ht="13.95" customHeight="1" thickBot="1">
      <c r="A447" s="1">
        <v>6</v>
      </c>
      <c r="B447" s="419"/>
      <c r="C447" s="422" t="s">
        <v>202</v>
      </c>
      <c r="D447" s="441" t="s">
        <v>477</v>
      </c>
      <c r="E447" s="441" t="s">
        <v>205</v>
      </c>
      <c r="F447" s="443" t="s">
        <v>521</v>
      </c>
      <c r="G447" s="444" t="s">
        <v>477</v>
      </c>
      <c r="H447" s="441" t="s">
        <v>205</v>
      </c>
      <c r="I447" s="443" t="s">
        <v>521</v>
      </c>
      <c r="J447" s="418"/>
      <c r="L447" s="113"/>
      <c r="M447" s="2"/>
      <c r="N447" s="42" t="s">
        <v>554</v>
      </c>
      <c r="O447" s="42" t="s">
        <v>431</v>
      </c>
      <c r="P447" s="602"/>
      <c r="Q447" s="603"/>
      <c r="R447" s="2"/>
      <c r="S447" s="42" t="s">
        <v>554</v>
      </c>
      <c r="T447" s="42" t="s">
        <v>431</v>
      </c>
      <c r="U447" s="602"/>
      <c r="V447" s="418"/>
    </row>
    <row r="448" spans="1:22" ht="13.95" customHeight="1">
      <c r="A448" s="1">
        <v>7</v>
      </c>
      <c r="B448" s="419"/>
      <c r="C448" s="327">
        <v>10</v>
      </c>
      <c r="D448" s="618" t="str">
        <f t="shared" ref="D448:F450" si="128">IF(M429="","",M429)</f>
        <v/>
      </c>
      <c r="E448" s="618" t="str">
        <f t="shared" si="128"/>
        <v/>
      </c>
      <c r="F448" s="619" t="str">
        <f t="shared" si="128"/>
        <v/>
      </c>
      <c r="G448" s="620" t="str">
        <f t="shared" ref="G448:I450" si="129">IF(Q429="","",Q429)</f>
        <v/>
      </c>
      <c r="H448" s="618" t="str">
        <f t="shared" si="129"/>
        <v/>
      </c>
      <c r="I448" s="619" t="str">
        <f t="shared" si="129"/>
        <v/>
      </c>
      <c r="J448" s="418"/>
      <c r="L448" s="41"/>
      <c r="M448" s="42"/>
      <c r="N448" s="276" t="s">
        <v>198</v>
      </c>
      <c r="O448" s="42" t="s">
        <v>198</v>
      </c>
      <c r="P448" s="602"/>
      <c r="Q448" s="521"/>
      <c r="R448" s="42"/>
      <c r="S448" s="276" t="s">
        <v>198</v>
      </c>
      <c r="T448" s="42" t="s">
        <v>198</v>
      </c>
      <c r="U448" s="602"/>
      <c r="V448" s="418"/>
    </row>
    <row r="449" spans="1:22" ht="13.95" customHeight="1">
      <c r="A449" s="1">
        <v>8</v>
      </c>
      <c r="B449" s="419"/>
      <c r="C449" s="328">
        <v>20</v>
      </c>
      <c r="D449" s="621" t="str">
        <f t="shared" si="128"/>
        <v/>
      </c>
      <c r="E449" s="621" t="str">
        <f t="shared" si="128"/>
        <v/>
      </c>
      <c r="F449" s="317" t="str">
        <f t="shared" si="128"/>
        <v/>
      </c>
      <c r="G449" s="316" t="str">
        <f t="shared" si="129"/>
        <v/>
      </c>
      <c r="H449" s="621" t="str">
        <f t="shared" si="129"/>
        <v/>
      </c>
      <c r="I449" s="317" t="str">
        <f t="shared" si="129"/>
        <v/>
      </c>
      <c r="J449" s="418"/>
      <c r="L449" s="41" t="s">
        <v>477</v>
      </c>
      <c r="M449" s="276" t="str">
        <f>FrontalMAS</f>
        <v>mA</v>
      </c>
      <c r="N449" s="768" t="s">
        <v>255</v>
      </c>
      <c r="O449" s="769"/>
      <c r="P449" s="452" t="s">
        <v>555</v>
      </c>
      <c r="Q449" s="521" t="s">
        <v>477</v>
      </c>
      <c r="R449" s="276" t="str">
        <f>LateralMAS</f>
        <v>mA</v>
      </c>
      <c r="S449" s="768" t="s">
        <v>255</v>
      </c>
      <c r="T449" s="769"/>
      <c r="U449" s="452" t="s">
        <v>555</v>
      </c>
      <c r="V449" s="418"/>
    </row>
    <row r="450" spans="1:22" ht="13.95" customHeight="1" thickBot="1">
      <c r="A450" s="1">
        <v>9</v>
      </c>
      <c r="B450" s="419"/>
      <c r="C450" s="330">
        <v>30</v>
      </c>
      <c r="D450" s="553" t="str">
        <f t="shared" si="128"/>
        <v/>
      </c>
      <c r="E450" s="553" t="str">
        <f t="shared" si="128"/>
        <v/>
      </c>
      <c r="F450" s="321" t="str">
        <f t="shared" si="128"/>
        <v/>
      </c>
      <c r="G450" s="324" t="str">
        <f t="shared" si="129"/>
        <v/>
      </c>
      <c r="H450" s="553" t="str">
        <f t="shared" si="129"/>
        <v/>
      </c>
      <c r="I450" s="321" t="str">
        <f t="shared" si="129"/>
        <v/>
      </c>
      <c r="J450" s="418"/>
      <c r="L450" s="723">
        <f>IF(DAP!B4="","",DAP!B4)</f>
        <v>60</v>
      </c>
      <c r="M450" s="724">
        <f>IF(DAP!C4="","",DAP!C4)</f>
        <v>100</v>
      </c>
      <c r="N450" s="724" t="str">
        <f>IF(DAP!H4="","",DAP!H4)</f>
        <v/>
      </c>
      <c r="O450" s="724" t="str">
        <f>IF(DAP!F4="","",DAP!F4)</f>
        <v/>
      </c>
      <c r="P450" s="733" t="str">
        <f>IF(OR(N450="",O450=""),"",(O450-N450)/N450)</f>
        <v/>
      </c>
      <c r="Q450" s="730">
        <f>IF(DAP!B8="","",DAP!B8)</f>
        <v>60</v>
      </c>
      <c r="R450" s="724">
        <f>IF(DAP!C8="","",DAP!C8)</f>
        <v>100</v>
      </c>
      <c r="S450" s="724" t="str">
        <f>IF(DAP!H8="","",DAP!H8)</f>
        <v/>
      </c>
      <c r="T450" s="724" t="str">
        <f>IF(DAP!F8="","",DAP!F8)</f>
        <v/>
      </c>
      <c r="U450" s="733" t="str">
        <f>IF(OR(S450="",T450=""),"",(T450-S450)/S450)</f>
        <v/>
      </c>
      <c r="V450" s="418"/>
    </row>
    <row r="451" spans="1:22" ht="13.95" customHeight="1">
      <c r="A451" s="1">
        <v>10</v>
      </c>
      <c r="B451" s="419"/>
      <c r="J451" s="418"/>
      <c r="L451" s="723">
        <f>IF(DAP!B5="","",DAP!B5)</f>
        <v>80</v>
      </c>
      <c r="M451" s="724">
        <f>IF(DAP!C5="","",DAP!C5)</f>
        <v>50</v>
      </c>
      <c r="N451" s="724" t="str">
        <f>IF(DAP!H5="","",DAP!H5)</f>
        <v/>
      </c>
      <c r="O451" s="724" t="str">
        <f>IF(DAP!F5="","",DAP!F5)</f>
        <v/>
      </c>
      <c r="P451" s="733" t="str">
        <f t="shared" ref="P451:P457" si="130">IF(OR(N451="",O451=""),"",(O451-N451)/N451)</f>
        <v/>
      </c>
      <c r="Q451" s="730">
        <f>IF(DAP!B9="","",DAP!B9)</f>
        <v>80</v>
      </c>
      <c r="R451" s="724">
        <f>IF(DAP!C9="","",DAP!C9)</f>
        <v>50</v>
      </c>
      <c r="S451" s="724" t="str">
        <f>IF(DAP!H9="","",DAP!H9)</f>
        <v/>
      </c>
      <c r="T451" s="724" t="str">
        <f>IF(DAP!F9="","",DAP!F9)</f>
        <v/>
      </c>
      <c r="U451" s="733" t="str">
        <f t="shared" ref="U451:U457" si="131">IF(OR(S451="",T451=""),"",(T451-S451)/S451)</f>
        <v/>
      </c>
      <c r="V451" s="418"/>
    </row>
    <row r="452" spans="1:22" ht="13.95" customHeight="1">
      <c r="A452" s="1">
        <v>11</v>
      </c>
      <c r="B452" s="453" t="s">
        <v>550</v>
      </c>
      <c r="J452" s="418"/>
      <c r="L452" s="723">
        <f>IF(DAP!B6="","",DAP!B6)</f>
        <v>100</v>
      </c>
      <c r="M452" s="724">
        <f>IF(DAP!C6="","",DAP!C6)</f>
        <v>50</v>
      </c>
      <c r="N452" s="724" t="str">
        <f>IF(DAP!H6="","",DAP!H6)</f>
        <v/>
      </c>
      <c r="O452" s="724" t="str">
        <f>IF(DAP!F6="","",DAP!F6)</f>
        <v/>
      </c>
      <c r="P452" s="733" t="str">
        <f t="shared" si="130"/>
        <v/>
      </c>
      <c r="Q452" s="730">
        <f>IF(DAP!B10="","",DAP!B10)</f>
        <v>100</v>
      </c>
      <c r="R452" s="724">
        <f>IF(DAP!C10="","",DAP!C10)</f>
        <v>50</v>
      </c>
      <c r="S452" s="724" t="str">
        <f>IF(DAP!H10="","",DAP!H10)</f>
        <v/>
      </c>
      <c r="T452" s="724" t="str">
        <f>IF(DAP!F10="","",DAP!F10)</f>
        <v/>
      </c>
      <c r="U452" s="733" t="str">
        <f t="shared" si="131"/>
        <v/>
      </c>
      <c r="V452" s="418"/>
    </row>
    <row r="453" spans="1:22" ht="13.95" customHeight="1">
      <c r="A453" s="1">
        <v>12</v>
      </c>
      <c r="B453" s="419"/>
      <c r="C453" s="836" t="s">
        <v>482</v>
      </c>
      <c r="D453" s="836"/>
      <c r="E453" s="836"/>
      <c r="F453" s="837"/>
      <c r="G453" s="838" t="s">
        <v>483</v>
      </c>
      <c r="H453" s="836"/>
      <c r="I453" s="836"/>
      <c r="J453" s="839"/>
      <c r="L453" s="723">
        <f>IF(DAP!B7="","",DAP!B7)</f>
        <v>120</v>
      </c>
      <c r="M453" s="724">
        <f>IF(DAP!C7="","",DAP!C7)</f>
        <v>25</v>
      </c>
      <c r="N453" s="724" t="str">
        <f>IF(DAP!H7="","",DAP!H7)</f>
        <v/>
      </c>
      <c r="O453" s="724" t="str">
        <f>IF(DAP!F7="","",DAP!F7)</f>
        <v/>
      </c>
      <c r="P453" s="733" t="str">
        <f t="shared" si="130"/>
        <v/>
      </c>
      <c r="Q453" s="730">
        <f>IF(DAP!B11="","",DAP!B11)</f>
        <v>120</v>
      </c>
      <c r="R453" s="724">
        <f>IF(DAP!C11="","",DAP!C11)</f>
        <v>25</v>
      </c>
      <c r="S453" s="724" t="str">
        <f>IF(DAP!H11="","",DAP!H11)</f>
        <v/>
      </c>
      <c r="T453" s="724" t="str">
        <f>IF(DAP!F11="","",DAP!F11)</f>
        <v/>
      </c>
      <c r="U453" s="733" t="str">
        <f t="shared" si="131"/>
        <v/>
      </c>
      <c r="V453" s="418"/>
    </row>
    <row r="454" spans="1:22" ht="13.95" customHeight="1">
      <c r="A454" s="1">
        <v>13</v>
      </c>
      <c r="B454" s="454" t="s">
        <v>228</v>
      </c>
      <c r="D454" s="622"/>
      <c r="E454" s="623"/>
      <c r="F454" s="440" t="s">
        <v>551</v>
      </c>
      <c r="G454" s="11"/>
      <c r="H454" s="622"/>
      <c r="I454" s="623"/>
      <c r="J454" s="455" t="s">
        <v>551</v>
      </c>
      <c r="L454" s="725"/>
      <c r="M454" s="726"/>
      <c r="N454" s="724"/>
      <c r="O454" s="724"/>
      <c r="P454" s="733" t="str">
        <f t="shared" si="130"/>
        <v/>
      </c>
      <c r="Q454" s="731"/>
      <c r="R454" s="726"/>
      <c r="S454" s="724"/>
      <c r="T454" s="724"/>
      <c r="U454" s="733" t="str">
        <f t="shared" si="131"/>
        <v/>
      </c>
      <c r="V454" s="418"/>
    </row>
    <row r="455" spans="1:22" ht="13.95" customHeight="1" thickBot="1">
      <c r="A455" s="1">
        <v>14</v>
      </c>
      <c r="B455" s="454" t="s">
        <v>202</v>
      </c>
      <c r="C455" s="422" t="s">
        <v>477</v>
      </c>
      <c r="D455" s="422" t="s">
        <v>205</v>
      </c>
      <c r="E455" s="624" t="s">
        <v>521</v>
      </c>
      <c r="F455" s="440" t="s">
        <v>552</v>
      </c>
      <c r="G455" s="522" t="s">
        <v>477</v>
      </c>
      <c r="H455" s="422" t="s">
        <v>205</v>
      </c>
      <c r="I455" s="624" t="s">
        <v>521</v>
      </c>
      <c r="J455" s="455" t="s">
        <v>552</v>
      </c>
      <c r="L455" s="725"/>
      <c r="M455" s="726"/>
      <c r="N455" s="724"/>
      <c r="O455" s="724"/>
      <c r="P455" s="733" t="str">
        <f t="shared" si="130"/>
        <v/>
      </c>
      <c r="Q455" s="731"/>
      <c r="R455" s="726"/>
      <c r="S455" s="724"/>
      <c r="T455" s="724"/>
      <c r="U455" s="733" t="str">
        <f t="shared" si="131"/>
        <v/>
      </c>
      <c r="V455" s="418"/>
    </row>
    <row r="456" spans="1:22" ht="13.95" customHeight="1">
      <c r="A456" s="1">
        <v>15</v>
      </c>
      <c r="B456" s="325">
        <v>20</v>
      </c>
      <c r="C456" s="554" t="str">
        <f t="shared" ref="C456:E458" si="132">IF(M437="","",M437)</f>
        <v/>
      </c>
      <c r="D456" s="554" t="str">
        <f t="shared" si="132"/>
        <v/>
      </c>
      <c r="E456" s="554" t="str">
        <f t="shared" si="132"/>
        <v/>
      </c>
      <c r="F456" s="625" t="str">
        <f>IF(Q437="","",Q437)</f>
        <v/>
      </c>
      <c r="G456" s="308" t="str">
        <f>IF(R437="","",R437)</f>
        <v/>
      </c>
      <c r="H456" s="554" t="str">
        <f>IF(S437="","",S437)</f>
        <v/>
      </c>
      <c r="I456" s="554" t="str">
        <f>IF(T437="","",T437)</f>
        <v/>
      </c>
      <c r="J456" s="626" t="str">
        <f>IF(V437="","",V437)</f>
        <v/>
      </c>
      <c r="L456" s="725"/>
      <c r="M456" s="726"/>
      <c r="N456" s="724"/>
      <c r="O456" s="724"/>
      <c r="P456" s="733" t="str">
        <f t="shared" si="130"/>
        <v/>
      </c>
      <c r="Q456" s="731"/>
      <c r="R456" s="726"/>
      <c r="S456" s="724"/>
      <c r="T456" s="724"/>
      <c r="U456" s="733" t="str">
        <f t="shared" si="131"/>
        <v/>
      </c>
      <c r="V456" s="418"/>
    </row>
    <row r="457" spans="1:22" ht="13.95" customHeight="1" thickBot="1">
      <c r="A457" s="1">
        <v>16</v>
      </c>
      <c r="B457" s="318">
        <v>20</v>
      </c>
      <c r="C457" s="621" t="str">
        <f t="shared" si="132"/>
        <v/>
      </c>
      <c r="D457" s="621" t="str">
        <f t="shared" si="132"/>
        <v/>
      </c>
      <c r="E457" s="621" t="str">
        <f t="shared" si="132"/>
        <v/>
      </c>
      <c r="F457" s="576" t="str">
        <f t="shared" ref="F457:F458" si="133">IF(Q438="","",Q438)</f>
        <v/>
      </c>
      <c r="G457" s="316" t="str">
        <f t="shared" ref="G457:I458" si="134">IF(R438="","",R438)</f>
        <v/>
      </c>
      <c r="H457" s="621" t="str">
        <f t="shared" si="134"/>
        <v/>
      </c>
      <c r="I457" s="621" t="str">
        <f t="shared" si="134"/>
        <v/>
      </c>
      <c r="J457" s="627" t="str">
        <f t="shared" ref="J457:J458" si="135">IF(V438="","",V438)</f>
        <v/>
      </c>
      <c r="L457" s="727"/>
      <c r="M457" s="728"/>
      <c r="N457" s="729"/>
      <c r="O457" s="729"/>
      <c r="P457" s="734" t="str">
        <f t="shared" si="130"/>
        <v/>
      </c>
      <c r="Q457" s="732"/>
      <c r="R457" s="728"/>
      <c r="S457" s="729"/>
      <c r="T457" s="729"/>
      <c r="U457" s="734" t="str">
        <f t="shared" si="131"/>
        <v/>
      </c>
      <c r="V457" s="418"/>
    </row>
    <row r="458" spans="1:22" ht="13.95" customHeight="1" thickBot="1">
      <c r="A458" s="1">
        <v>17</v>
      </c>
      <c r="B458" s="320">
        <v>20</v>
      </c>
      <c r="C458" s="553" t="str">
        <f t="shared" si="132"/>
        <v/>
      </c>
      <c r="D458" s="553" t="str">
        <f t="shared" si="132"/>
        <v/>
      </c>
      <c r="E458" s="553" t="str">
        <f t="shared" si="132"/>
        <v/>
      </c>
      <c r="F458" s="556" t="str">
        <f t="shared" si="133"/>
        <v/>
      </c>
      <c r="G458" s="324" t="str">
        <f t="shared" si="134"/>
        <v/>
      </c>
      <c r="H458" s="553" t="str">
        <f t="shared" si="134"/>
        <v/>
      </c>
      <c r="I458" s="553" t="str">
        <f t="shared" si="134"/>
        <v/>
      </c>
      <c r="J458" s="628" t="str">
        <f t="shared" si="135"/>
        <v/>
      </c>
      <c r="L458" s="113"/>
      <c r="M458" s="2"/>
      <c r="N458" s="2"/>
      <c r="O458" s="43" t="s">
        <v>275</v>
      </c>
      <c r="P458" s="601" t="str">
        <f>IF(P450="","TBD",IF(OR(MAX(P450:P457)&lt;=0.15,MIN(P450:P457)&gt;=-0.15),"YES","NO"))</f>
        <v>TBD</v>
      </c>
      <c r="Q458" s="2"/>
      <c r="R458" s="2"/>
      <c r="S458" s="2"/>
      <c r="T458" s="43" t="s">
        <v>275</v>
      </c>
      <c r="U458" s="601" t="str">
        <f>IF(U450="","TBD",IF(OR(MAX(U450:U457)&lt;=0.15,MIN(U450:U457)&gt;=-0.15),"YES","NO"))</f>
        <v>TBD</v>
      </c>
      <c r="V458" s="418"/>
    </row>
    <row r="459" spans="1:22" ht="13.95" customHeight="1" thickBot="1">
      <c r="A459" s="1">
        <v>18</v>
      </c>
      <c r="B459" s="419"/>
      <c r="E459" s="301" t="s">
        <v>275</v>
      </c>
      <c r="F459" s="610" t="str">
        <f>IF(Q440="","",Q440)</f>
        <v>TBD</v>
      </c>
      <c r="I459" s="301" t="s">
        <v>275</v>
      </c>
      <c r="J459" s="629" t="str">
        <f>IF(V440="","",V440)</f>
        <v>TBD</v>
      </c>
      <c r="L459" s="419"/>
      <c r="V459" s="418"/>
    </row>
    <row r="460" spans="1:22" ht="13.95" customHeight="1">
      <c r="A460" s="1">
        <v>19</v>
      </c>
      <c r="B460" s="420" t="s">
        <v>276</v>
      </c>
      <c r="C460" s="54" t="s">
        <v>553</v>
      </c>
      <c r="J460" s="418"/>
      <c r="L460" s="420" t="s">
        <v>276</v>
      </c>
      <c r="M460" s="46" t="s">
        <v>556</v>
      </c>
      <c r="V460" s="418"/>
    </row>
    <row r="461" spans="1:22" ht="13.95" customHeight="1" thickBot="1">
      <c r="A461" s="1">
        <v>20</v>
      </c>
      <c r="B461" s="419"/>
      <c r="J461" s="418"/>
      <c r="L461" s="423"/>
      <c r="M461" s="424"/>
      <c r="N461" s="424"/>
      <c r="O461" s="424"/>
      <c r="P461" s="424"/>
      <c r="Q461" s="424"/>
      <c r="R461" s="424"/>
      <c r="S461" s="424"/>
      <c r="T461" s="424"/>
      <c r="U461" s="424"/>
      <c r="V461" s="425"/>
    </row>
    <row r="462" spans="1:22" ht="13.95" customHeight="1" thickTop="1">
      <c r="A462" s="1">
        <v>21</v>
      </c>
      <c r="B462" s="453" t="s">
        <v>743</v>
      </c>
      <c r="J462" s="418"/>
    </row>
    <row r="463" spans="1:22" ht="13.95" customHeight="1">
      <c r="A463" s="1">
        <v>22</v>
      </c>
      <c r="B463" s="419"/>
      <c r="C463" s="630" t="s">
        <v>744</v>
      </c>
      <c r="D463" s="631" t="str">
        <f>M444</f>
        <v>DAP 1 2501554</v>
      </c>
      <c r="F463" s="301" t="s">
        <v>745</v>
      </c>
      <c r="G463" s="632" t="str">
        <f>IF(P444="","",P444)</f>
        <v/>
      </c>
      <c r="I463" s="301" t="s">
        <v>746</v>
      </c>
      <c r="J463" s="633" t="str">
        <f>IF(S444="","",S444)</f>
        <v/>
      </c>
      <c r="V463" s="118" t="str">
        <f>$F$2</f>
        <v>Medical University of South Carolina</v>
      </c>
    </row>
    <row r="464" spans="1:22" ht="13.95" customHeight="1" thickBot="1">
      <c r="A464" s="1">
        <v>23</v>
      </c>
      <c r="B464" s="419"/>
      <c r="J464" s="418"/>
      <c r="V464" s="79" t="str">
        <f>$F$5</f>
        <v>EOS Imaging System Compliance Inspection</v>
      </c>
    </row>
    <row r="465" spans="1:24" ht="13.95" customHeight="1" thickTop="1">
      <c r="A465" s="1">
        <v>24</v>
      </c>
      <c r="B465" s="419"/>
      <c r="C465" s="774" t="s">
        <v>482</v>
      </c>
      <c r="D465" s="770"/>
      <c r="E465" s="770"/>
      <c r="F465" s="770"/>
      <c r="G465" s="771"/>
      <c r="J465" s="418"/>
      <c r="L465" s="501"/>
      <c r="M465" s="502"/>
      <c r="N465" s="502"/>
      <c r="O465" s="502"/>
      <c r="P465" s="502"/>
      <c r="Q465" s="502"/>
      <c r="R465" s="502"/>
      <c r="S465" s="502"/>
      <c r="T465" s="502"/>
      <c r="U465" s="502"/>
      <c r="V465" s="503"/>
    </row>
    <row r="466" spans="1:24" ht="13.95" customHeight="1">
      <c r="A466" s="1">
        <v>25</v>
      </c>
      <c r="B466" s="419"/>
      <c r="C466" s="603"/>
      <c r="D466" s="2"/>
      <c r="E466" s="170" t="s">
        <v>554</v>
      </c>
      <c r="F466" s="170" t="s">
        <v>431</v>
      </c>
      <c r="G466" s="602"/>
      <c r="J466" s="418"/>
      <c r="L466" s="215" t="s">
        <v>557</v>
      </c>
      <c r="T466" s="22" t="s">
        <v>588</v>
      </c>
      <c r="U466" s="2"/>
      <c r="V466" s="470"/>
      <c r="X466" s="475" t="s">
        <v>593</v>
      </c>
    </row>
    <row r="467" spans="1:24" ht="13.95" customHeight="1">
      <c r="A467" s="1">
        <v>26</v>
      </c>
      <c r="B467" s="419"/>
      <c r="C467" s="521"/>
      <c r="D467" s="42"/>
      <c r="E467" s="170" t="s">
        <v>198</v>
      </c>
      <c r="F467" s="170" t="s">
        <v>198</v>
      </c>
      <c r="G467" s="602"/>
      <c r="J467" s="418"/>
      <c r="L467" s="113"/>
      <c r="M467" s="2"/>
      <c r="N467" s="2"/>
      <c r="O467" s="2"/>
      <c r="P467" s="2"/>
      <c r="Q467" s="42" t="s">
        <v>558</v>
      </c>
      <c r="R467" s="170" t="s">
        <v>432</v>
      </c>
      <c r="T467" s="457" t="s">
        <v>432</v>
      </c>
      <c r="U467" s="457" t="s">
        <v>588</v>
      </c>
      <c r="V467" s="471" t="s">
        <v>588</v>
      </c>
      <c r="X467" s="457" t="s">
        <v>558</v>
      </c>
    </row>
    <row r="468" spans="1:24" ht="13.95" customHeight="1" thickBot="1">
      <c r="A468" s="1">
        <v>27</v>
      </c>
      <c r="B468" s="419"/>
      <c r="C468" s="521" t="s">
        <v>477</v>
      </c>
      <c r="D468" s="276" t="str">
        <f>FrontalMAS</f>
        <v>mA</v>
      </c>
      <c r="E468" s="834" t="str">
        <f>N449</f>
        <v>µGy·m²</v>
      </c>
      <c r="F468" s="835"/>
      <c r="G468" s="452" t="s">
        <v>555</v>
      </c>
      <c r="J468" s="418"/>
      <c r="L468" s="120" t="s">
        <v>559</v>
      </c>
      <c r="M468" s="65"/>
      <c r="N468" s="458"/>
      <c r="O468" s="459" t="s">
        <v>560</v>
      </c>
      <c r="P468" s="65"/>
      <c r="Q468" s="638" t="s">
        <v>503</v>
      </c>
      <c r="R468" s="638" t="s">
        <v>503</v>
      </c>
      <c r="T468" s="490" t="s">
        <v>566</v>
      </c>
      <c r="U468" s="457" t="s">
        <v>589</v>
      </c>
      <c r="V468" s="471" t="s">
        <v>558</v>
      </c>
      <c r="X468" s="491" t="s">
        <v>624</v>
      </c>
    </row>
    <row r="469" spans="1:24" ht="13.95" customHeight="1" thickBot="1">
      <c r="A469" s="1">
        <v>28</v>
      </c>
      <c r="B469" s="419"/>
      <c r="C469" s="334">
        <f>IF(L450="","",L450)</f>
        <v>60</v>
      </c>
      <c r="D469" s="310">
        <f t="shared" ref="D469:G469" si="136">IF(M450="","",M450)</f>
        <v>100</v>
      </c>
      <c r="E469" s="310" t="str">
        <f t="shared" si="136"/>
        <v/>
      </c>
      <c r="F469" s="310" t="str">
        <f t="shared" si="136"/>
        <v/>
      </c>
      <c r="G469" s="634" t="str">
        <f t="shared" si="136"/>
        <v/>
      </c>
      <c r="I469" s="422" t="s">
        <v>426</v>
      </c>
      <c r="J469" s="418"/>
      <c r="L469" s="156" t="s">
        <v>567</v>
      </c>
      <c r="M469" s="202" t="str">
        <f>IF(OR(AA336=0,AA336=""),"",AA336)</f>
        <v/>
      </c>
      <c r="N469" s="275"/>
      <c r="O469" s="43" t="s">
        <v>735</v>
      </c>
      <c r="P469" s="461">
        <f>IF($M$340="","",$M$340)</f>
        <v>119</v>
      </c>
      <c r="Q469" s="639" t="s">
        <v>561</v>
      </c>
      <c r="R469" s="639" t="s">
        <v>561</v>
      </c>
      <c r="T469" s="457" t="s">
        <v>590</v>
      </c>
      <c r="U469" s="457" t="s">
        <v>432</v>
      </c>
      <c r="V469" s="471" t="s">
        <v>431</v>
      </c>
      <c r="X469" s="457" t="s">
        <v>561</v>
      </c>
    </row>
    <row r="470" spans="1:24" ht="13.95" customHeight="1" thickBot="1">
      <c r="A470" s="1">
        <v>29</v>
      </c>
      <c r="B470" s="419"/>
      <c r="C470" s="335">
        <f t="shared" ref="C470:C476" si="137">IF(L451="","",L451)</f>
        <v>80</v>
      </c>
      <c r="D470" s="314">
        <f t="shared" ref="D470:D476" si="138">IF(M451="","",M451)</f>
        <v>50</v>
      </c>
      <c r="E470" s="314" t="str">
        <f t="shared" ref="E470:E476" si="139">IF(N451="","",N451)</f>
        <v/>
      </c>
      <c r="F470" s="314" t="str">
        <f t="shared" ref="F470:F476" si="140">IF(O451="","",O451)</f>
        <v/>
      </c>
      <c r="G470" s="635" t="str">
        <f t="shared" ref="G470:G476" si="141">IF(P451="","",P451)</f>
        <v/>
      </c>
      <c r="I470" s="610" t="str">
        <f>IF(P458="","",P458)</f>
        <v>TBD</v>
      </c>
      <c r="J470" s="418"/>
      <c r="L470" s="113"/>
      <c r="M470" s="469" t="s">
        <v>566</v>
      </c>
      <c r="N470" s="469" t="s">
        <v>566</v>
      </c>
      <c r="O470" s="274"/>
      <c r="P470" s="469" t="s">
        <v>566</v>
      </c>
      <c r="Q470" s="170" t="s">
        <v>203</v>
      </c>
      <c r="R470" s="170" t="s">
        <v>203</v>
      </c>
      <c r="S470" s="4" t="s">
        <v>209</v>
      </c>
      <c r="T470" s="457" t="s">
        <v>625</v>
      </c>
      <c r="U470" s="457" t="s">
        <v>591</v>
      </c>
      <c r="V470" s="471" t="s">
        <v>591</v>
      </c>
      <c r="X470" s="457" t="s">
        <v>203</v>
      </c>
    </row>
    <row r="471" spans="1:24" ht="13.95" customHeight="1" thickBot="1">
      <c r="A471" s="1">
        <v>30</v>
      </c>
      <c r="B471" s="419"/>
      <c r="C471" s="335">
        <f t="shared" si="137"/>
        <v>100</v>
      </c>
      <c r="D471" s="314">
        <f t="shared" si="138"/>
        <v>50</v>
      </c>
      <c r="E471" s="314" t="str">
        <f t="shared" si="139"/>
        <v/>
      </c>
      <c r="F471" s="314" t="str">
        <f t="shared" si="140"/>
        <v/>
      </c>
      <c r="G471" s="635" t="str">
        <f t="shared" si="141"/>
        <v/>
      </c>
      <c r="J471" s="418"/>
      <c r="L471" s="464" t="s">
        <v>203</v>
      </c>
      <c r="M471" s="465" t="s">
        <v>563</v>
      </c>
      <c r="N471" s="466" t="s">
        <v>587</v>
      </c>
      <c r="O471" s="341" t="s">
        <v>477</v>
      </c>
      <c r="P471" s="465" t="s">
        <v>563</v>
      </c>
      <c r="Q471" s="640" t="s">
        <v>587</v>
      </c>
      <c r="R471" s="640" t="s">
        <v>587</v>
      </c>
      <c r="S471" s="339" t="s">
        <v>210</v>
      </c>
      <c r="T471" s="241" t="s">
        <v>626</v>
      </c>
      <c r="U471" s="241" t="s">
        <v>592</v>
      </c>
      <c r="V471" s="242" t="s">
        <v>592</v>
      </c>
      <c r="X471" s="241" t="s">
        <v>564</v>
      </c>
    </row>
    <row r="472" spans="1:24" ht="13.95" customHeight="1">
      <c r="A472" s="1">
        <v>31</v>
      </c>
      <c r="B472" s="419"/>
      <c r="C472" s="335">
        <f t="shared" si="137"/>
        <v>120</v>
      </c>
      <c r="D472" s="314">
        <f t="shared" si="138"/>
        <v>25</v>
      </c>
      <c r="E472" s="314" t="str">
        <f t="shared" si="139"/>
        <v/>
      </c>
      <c r="F472" s="314" t="str">
        <f t="shared" si="140"/>
        <v/>
      </c>
      <c r="G472" s="635" t="str">
        <f t="shared" si="141"/>
        <v/>
      </c>
      <c r="J472" s="418"/>
      <c r="L472" s="699" t="str">
        <f t="shared" ref="L472:L481" si="142">IF(OR(AA338=0,AA338=""),"",AA338)</f>
        <v/>
      </c>
      <c r="M472" s="700" t="str">
        <f t="shared" ref="M472:M481" si="143">IF(OR(AA349=0,AA349=""),"",AA349)</f>
        <v/>
      </c>
      <c r="N472" s="701" t="str">
        <f>IF(OR(L472=0,L472="",M472=0,M472="",$M$469=0,$M$469=""),"",M472*($M$469/100)^2)</f>
        <v/>
      </c>
      <c r="O472" s="702" t="str">
        <f>IF(N344="","",N344)</f>
        <v/>
      </c>
      <c r="P472" s="703" t="str">
        <f>IF(OR(N344="",N344=0),"",(P344*1000)/M344)</f>
        <v/>
      </c>
      <c r="Q472" s="703" t="str">
        <f>IF(P472="","",P472*($P$469/100)^2)</f>
        <v/>
      </c>
      <c r="R472" s="703" t="str">
        <f t="array" ref="R472:R479">IF(OR(L472="",L473="",M472="",M473="",O472="",O473=""),"",EXP(TREND(T472:T479,U472:U479,V472:V479)))</f>
        <v/>
      </c>
      <c r="S472" s="717" t="str">
        <f>IF(OR(Q472="",R472=""),"",(Q472-R472)/R472)</f>
        <v/>
      </c>
      <c r="T472" s="486" t="str">
        <f>IF(N472="","",LN(N472))</f>
        <v/>
      </c>
      <c r="U472" s="486" t="str">
        <f>IF(L472="","",LN(L472))</f>
        <v/>
      </c>
      <c r="V472" s="487" t="str">
        <f>IF(O472="","",LN(O472))</f>
        <v/>
      </c>
      <c r="X472" s="472" t="str">
        <f>IF(Q472="","",LN(Q472))</f>
        <v/>
      </c>
    </row>
    <row r="473" spans="1:24" ht="13.95" customHeight="1">
      <c r="A473" s="1">
        <v>32</v>
      </c>
      <c r="B473" s="419"/>
      <c r="C473" s="335" t="str">
        <f t="shared" si="137"/>
        <v/>
      </c>
      <c r="D473" s="314" t="str">
        <f t="shared" si="138"/>
        <v/>
      </c>
      <c r="E473" s="314" t="str">
        <f t="shared" si="139"/>
        <v/>
      </c>
      <c r="F473" s="314" t="str">
        <f t="shared" si="140"/>
        <v/>
      </c>
      <c r="G473" s="635" t="str">
        <f t="shared" si="141"/>
        <v/>
      </c>
      <c r="J473" s="418"/>
      <c r="L473" s="704" t="str">
        <f t="shared" si="142"/>
        <v/>
      </c>
      <c r="M473" s="705" t="str">
        <f t="shared" si="143"/>
        <v/>
      </c>
      <c r="N473" s="706" t="str">
        <f>IF(OR(L473=0,L473="",M473=0,M473="",$M$469=0,$M$469=""),N472,M473*($M$469/100)^2)</f>
        <v/>
      </c>
      <c r="O473" s="707" t="str">
        <f>IF(N345="",O472,N345)</f>
        <v/>
      </c>
      <c r="P473" s="708" t="str">
        <f>IF(OR(N345="",N345=0),P472,(P345*1000)/M345)</f>
        <v/>
      </c>
      <c r="Q473" s="708" t="str">
        <f t="shared" ref="Q473:Q479" si="144">IF(P473="","",P473*($P$469/100)^2)</f>
        <v/>
      </c>
      <c r="R473" s="709" t="str">
        <v/>
      </c>
      <c r="S473" s="718" t="str">
        <f t="shared" ref="S473:S479" si="145">IF(OR(Q473="",R473=""),"",(Q473-R473)/R473)</f>
        <v/>
      </c>
      <c r="T473" s="472" t="str">
        <f t="shared" ref="T473:T479" si="146">IF(N473="","",LN(N473))</f>
        <v/>
      </c>
      <c r="U473" s="473" t="str">
        <f t="shared" ref="U473:U479" si="147">IF(L473="","",LN(L473))</f>
        <v/>
      </c>
      <c r="V473" s="474" t="str">
        <f t="shared" ref="V473:V479" si="148">IF(O473="","",LN(O473))</f>
        <v/>
      </c>
      <c r="X473" s="472" t="str">
        <f t="shared" ref="X473:X479" si="149">IF(Q473="","",LN(Q473))</f>
        <v/>
      </c>
    </row>
    <row r="474" spans="1:24" ht="13.95" customHeight="1">
      <c r="A474" s="1">
        <v>33</v>
      </c>
      <c r="B474" s="419"/>
      <c r="C474" s="335" t="str">
        <f t="shared" si="137"/>
        <v/>
      </c>
      <c r="D474" s="314" t="str">
        <f t="shared" si="138"/>
        <v/>
      </c>
      <c r="E474" s="314" t="str">
        <f t="shared" si="139"/>
        <v/>
      </c>
      <c r="F474" s="314" t="str">
        <f t="shared" si="140"/>
        <v/>
      </c>
      <c r="G474" s="635" t="str">
        <f t="shared" si="141"/>
        <v/>
      </c>
      <c r="J474" s="418"/>
      <c r="L474" s="704" t="str">
        <f t="shared" si="142"/>
        <v/>
      </c>
      <c r="M474" s="705" t="str">
        <f t="shared" si="143"/>
        <v/>
      </c>
      <c r="N474" s="706" t="str">
        <f t="shared" ref="N474:N479" si="150">IF(OR(L474=0,L474="",M474=0,M474="",$M$469=0,$M$469=""),N473,M474*($M$469/100)^2)</f>
        <v/>
      </c>
      <c r="O474" s="707" t="str">
        <f t="shared" ref="O474:O479" si="151">IF(N346="",O473,N346)</f>
        <v/>
      </c>
      <c r="P474" s="708" t="str">
        <f t="shared" ref="P474:P479" si="152">IF(OR(N346="",N346=0),P473,(P346*1000)/M346)</f>
        <v/>
      </c>
      <c r="Q474" s="708" t="str">
        <f t="shared" si="144"/>
        <v/>
      </c>
      <c r="R474" s="709" t="str">
        <v/>
      </c>
      <c r="S474" s="718" t="str">
        <f t="shared" si="145"/>
        <v/>
      </c>
      <c r="T474" s="472" t="str">
        <f t="shared" si="146"/>
        <v/>
      </c>
      <c r="U474" s="473" t="str">
        <f t="shared" si="147"/>
        <v/>
      </c>
      <c r="V474" s="474" t="str">
        <f t="shared" si="148"/>
        <v/>
      </c>
      <c r="X474" s="472" t="str">
        <f t="shared" si="149"/>
        <v/>
      </c>
    </row>
    <row r="475" spans="1:24" ht="13.95" customHeight="1">
      <c r="A475" s="1">
        <v>34</v>
      </c>
      <c r="B475" s="419"/>
      <c r="C475" s="335" t="str">
        <f t="shared" si="137"/>
        <v/>
      </c>
      <c r="D475" s="314" t="str">
        <f t="shared" si="138"/>
        <v/>
      </c>
      <c r="E475" s="314" t="str">
        <f t="shared" si="139"/>
        <v/>
      </c>
      <c r="F475" s="314" t="str">
        <f t="shared" si="140"/>
        <v/>
      </c>
      <c r="G475" s="635" t="str">
        <f t="shared" si="141"/>
        <v/>
      </c>
      <c r="J475" s="418"/>
      <c r="L475" s="704" t="str">
        <f t="shared" si="142"/>
        <v/>
      </c>
      <c r="M475" s="705" t="str">
        <f t="shared" si="143"/>
        <v/>
      </c>
      <c r="N475" s="706" t="str">
        <f t="shared" si="150"/>
        <v/>
      </c>
      <c r="O475" s="707" t="str">
        <f t="shared" si="151"/>
        <v/>
      </c>
      <c r="P475" s="708" t="str">
        <f t="shared" si="152"/>
        <v/>
      </c>
      <c r="Q475" s="708" t="str">
        <f t="shared" si="144"/>
        <v/>
      </c>
      <c r="R475" s="709" t="str">
        <v/>
      </c>
      <c r="S475" s="718" t="str">
        <f t="shared" si="145"/>
        <v/>
      </c>
      <c r="T475" s="472" t="str">
        <f t="shared" si="146"/>
        <v/>
      </c>
      <c r="U475" s="473" t="str">
        <f t="shared" si="147"/>
        <v/>
      </c>
      <c r="V475" s="474" t="str">
        <f t="shared" si="148"/>
        <v/>
      </c>
      <c r="X475" s="472" t="str">
        <f t="shared" si="149"/>
        <v/>
      </c>
    </row>
    <row r="476" spans="1:24" ht="13.95" customHeight="1" thickBot="1">
      <c r="A476" s="1">
        <v>35</v>
      </c>
      <c r="B476" s="419"/>
      <c r="C476" s="336" t="str">
        <f t="shared" si="137"/>
        <v/>
      </c>
      <c r="D476" s="322" t="str">
        <f t="shared" si="138"/>
        <v/>
      </c>
      <c r="E476" s="322" t="str">
        <f t="shared" si="139"/>
        <v/>
      </c>
      <c r="F476" s="322" t="str">
        <f t="shared" si="140"/>
        <v/>
      </c>
      <c r="G476" s="636" t="str">
        <f t="shared" si="141"/>
        <v/>
      </c>
      <c r="J476" s="418"/>
      <c r="L476" s="704" t="str">
        <f t="shared" si="142"/>
        <v/>
      </c>
      <c r="M476" s="705" t="str">
        <f t="shared" si="143"/>
        <v/>
      </c>
      <c r="N476" s="706" t="str">
        <f t="shared" si="150"/>
        <v/>
      </c>
      <c r="O476" s="707" t="str">
        <f t="shared" si="151"/>
        <v/>
      </c>
      <c r="P476" s="708" t="str">
        <f t="shared" si="152"/>
        <v/>
      </c>
      <c r="Q476" s="708" t="str">
        <f t="shared" si="144"/>
        <v/>
      </c>
      <c r="R476" s="709" t="str">
        <v/>
      </c>
      <c r="S476" s="718" t="str">
        <f t="shared" si="145"/>
        <v/>
      </c>
      <c r="T476" s="472" t="str">
        <f t="shared" si="146"/>
        <v/>
      </c>
      <c r="U476" s="473" t="str">
        <f t="shared" si="147"/>
        <v/>
      </c>
      <c r="V476" s="474" t="str">
        <f t="shared" si="148"/>
        <v/>
      </c>
      <c r="X476" s="472" t="str">
        <f t="shared" si="149"/>
        <v/>
      </c>
    </row>
    <row r="477" spans="1:24" ht="13.95" customHeight="1">
      <c r="A477" s="1">
        <v>36</v>
      </c>
      <c r="B477" s="419"/>
      <c r="C477" s="774" t="s">
        <v>483</v>
      </c>
      <c r="D477" s="770"/>
      <c r="E477" s="770"/>
      <c r="F477" s="770"/>
      <c r="G477" s="771"/>
      <c r="J477" s="418"/>
      <c r="L477" s="704" t="str">
        <f t="shared" si="142"/>
        <v/>
      </c>
      <c r="M477" s="705" t="str">
        <f t="shared" si="143"/>
        <v/>
      </c>
      <c r="N477" s="706" t="str">
        <f t="shared" si="150"/>
        <v/>
      </c>
      <c r="O477" s="707" t="str">
        <f t="shared" si="151"/>
        <v/>
      </c>
      <c r="P477" s="708" t="str">
        <f t="shared" si="152"/>
        <v/>
      </c>
      <c r="Q477" s="708" t="str">
        <f t="shared" si="144"/>
        <v/>
      </c>
      <c r="R477" s="709" t="str">
        <v/>
      </c>
      <c r="S477" s="718" t="str">
        <f t="shared" si="145"/>
        <v/>
      </c>
      <c r="T477" s="472" t="str">
        <f t="shared" si="146"/>
        <v/>
      </c>
      <c r="U477" s="473" t="str">
        <f t="shared" si="147"/>
        <v/>
      </c>
      <c r="V477" s="474" t="str">
        <f t="shared" si="148"/>
        <v/>
      </c>
      <c r="X477" s="472" t="str">
        <f t="shared" si="149"/>
        <v/>
      </c>
    </row>
    <row r="478" spans="1:24" ht="13.95" customHeight="1">
      <c r="A478" s="1">
        <v>37</v>
      </c>
      <c r="B478" s="419"/>
      <c r="C478" s="603"/>
      <c r="D478" s="2"/>
      <c r="E478" s="170" t="s">
        <v>554</v>
      </c>
      <c r="F478" s="170" t="s">
        <v>431</v>
      </c>
      <c r="G478" s="602"/>
      <c r="J478" s="418"/>
      <c r="L478" s="704" t="str">
        <f t="shared" si="142"/>
        <v/>
      </c>
      <c r="M478" s="705" t="str">
        <f t="shared" si="143"/>
        <v/>
      </c>
      <c r="N478" s="706" t="str">
        <f t="shared" si="150"/>
        <v/>
      </c>
      <c r="O478" s="707" t="str">
        <f t="shared" si="151"/>
        <v/>
      </c>
      <c r="P478" s="708" t="str">
        <f t="shared" si="152"/>
        <v/>
      </c>
      <c r="Q478" s="708" t="str">
        <f t="shared" si="144"/>
        <v/>
      </c>
      <c r="R478" s="709" t="str">
        <v/>
      </c>
      <c r="S478" s="718" t="str">
        <f t="shared" si="145"/>
        <v/>
      </c>
      <c r="T478" s="472" t="str">
        <f t="shared" si="146"/>
        <v/>
      </c>
      <c r="U478" s="473" t="str">
        <f t="shared" si="147"/>
        <v/>
      </c>
      <c r="V478" s="474" t="str">
        <f t="shared" si="148"/>
        <v/>
      </c>
      <c r="X478" s="472" t="str">
        <f t="shared" si="149"/>
        <v/>
      </c>
    </row>
    <row r="479" spans="1:24" ht="13.95" customHeight="1">
      <c r="A479" s="1">
        <v>38</v>
      </c>
      <c r="B479" s="419"/>
      <c r="C479" s="521"/>
      <c r="D479" s="42"/>
      <c r="E479" s="170" t="s">
        <v>198</v>
      </c>
      <c r="F479" s="170" t="s">
        <v>198</v>
      </c>
      <c r="G479" s="602"/>
      <c r="J479" s="418"/>
      <c r="L479" s="704" t="str">
        <f t="shared" si="142"/>
        <v/>
      </c>
      <c r="M479" s="705" t="str">
        <f t="shared" si="143"/>
        <v/>
      </c>
      <c r="N479" s="706" t="str">
        <f t="shared" si="150"/>
        <v/>
      </c>
      <c r="O479" s="707" t="str">
        <f t="shared" si="151"/>
        <v/>
      </c>
      <c r="P479" s="708" t="str">
        <f t="shared" si="152"/>
        <v/>
      </c>
      <c r="Q479" s="708" t="str">
        <f t="shared" si="144"/>
        <v/>
      </c>
      <c r="R479" s="709" t="str">
        <v/>
      </c>
      <c r="S479" s="718" t="str">
        <f t="shared" si="145"/>
        <v/>
      </c>
      <c r="T479" s="472" t="str">
        <f t="shared" si="146"/>
        <v/>
      </c>
      <c r="U479" s="473" t="str">
        <f t="shared" si="147"/>
        <v/>
      </c>
      <c r="V479" s="474" t="str">
        <f t="shared" si="148"/>
        <v/>
      </c>
      <c r="W479" s="535"/>
      <c r="X479" s="472" t="str">
        <f t="shared" si="149"/>
        <v/>
      </c>
    </row>
    <row r="480" spans="1:24" ht="13.95" customHeight="1" thickBot="1">
      <c r="A480" s="1">
        <v>39</v>
      </c>
      <c r="B480" s="419"/>
      <c r="C480" s="521" t="s">
        <v>477</v>
      </c>
      <c r="D480" s="276" t="str">
        <f>FrontalMAS</f>
        <v>mA</v>
      </c>
      <c r="E480" s="834" t="str">
        <f>S449</f>
        <v>µGy·m²</v>
      </c>
      <c r="F480" s="835"/>
      <c r="G480" s="452" t="s">
        <v>555</v>
      </c>
      <c r="J480" s="418"/>
      <c r="L480" s="710" t="str">
        <f t="shared" si="142"/>
        <v/>
      </c>
      <c r="M480" s="711" t="str">
        <f t="shared" si="143"/>
        <v/>
      </c>
      <c r="N480" s="706" t="str">
        <f t="shared" ref="N480:N481" si="153">IF(OR(L480=0,L480="",M480=0,M480="",$M$469=0,$M$469=""),N479,M480*($M$469/100)^2)</f>
        <v/>
      </c>
      <c r="O480" s="707" t="str">
        <f t="shared" ref="O480:O481" si="154">IF(N352="",O479,N352)</f>
        <v/>
      </c>
      <c r="P480" s="708" t="str">
        <f t="shared" ref="P480:P481" si="155">IF(OR(N352="",N352=0),P479,(P352*1000)/M352)</f>
        <v/>
      </c>
      <c r="Q480" s="708" t="str">
        <f t="shared" ref="Q480:Q481" si="156">IF(P480="","",P480*($P$469/100)^2)</f>
        <v/>
      </c>
      <c r="R480" s="708" t="str">
        <f t="array" ref="R480">IF(OR(L480="",L481="",M480="",M481="",O480="",O481=""),"",EXP(TREND(T480:T487,U480:U487,V480:V487)))</f>
        <v/>
      </c>
      <c r="S480" s="719" t="str">
        <f t="shared" ref="S480:S481" si="157">IF(OR(Q480="",R480=""),"",(Q480-R480)/R480)</f>
        <v/>
      </c>
      <c r="T480" s="473" t="str">
        <f t="shared" ref="T480:T481" si="158">IF(N480="","",LN(N480))</f>
        <v/>
      </c>
      <c r="U480" s="473" t="str">
        <f t="shared" ref="U480:U481" si="159">IF(L480="","",LN(L480))</f>
        <v/>
      </c>
      <c r="V480" s="474" t="str">
        <f t="shared" ref="V480:V481" si="160">IF(O480="","",LN(O480))</f>
        <v/>
      </c>
      <c r="W480" s="536"/>
      <c r="X480" s="473" t="str">
        <f t="shared" ref="X480:X481" si="161">IF(Q480="","",LN(Q480))</f>
        <v/>
      </c>
    </row>
    <row r="481" spans="1:24" ht="13.95" customHeight="1" thickBot="1">
      <c r="A481" s="1">
        <v>40</v>
      </c>
      <c r="B481" s="419"/>
      <c r="C481" s="334">
        <f>IF(Q450="","",Q450)</f>
        <v>60</v>
      </c>
      <c r="D481" s="310">
        <f t="shared" ref="D481:G481" si="162">IF(R450="","",R450)</f>
        <v>100</v>
      </c>
      <c r="E481" s="310" t="str">
        <f t="shared" si="162"/>
        <v/>
      </c>
      <c r="F481" s="310" t="str">
        <f t="shared" si="162"/>
        <v/>
      </c>
      <c r="G481" s="634" t="str">
        <f t="shared" si="162"/>
        <v/>
      </c>
      <c r="I481" s="422" t="s">
        <v>426</v>
      </c>
      <c r="J481" s="418"/>
      <c r="L481" s="712" t="str">
        <f t="shared" si="142"/>
        <v/>
      </c>
      <c r="M481" s="713" t="str">
        <f t="shared" si="143"/>
        <v/>
      </c>
      <c r="N481" s="714" t="str">
        <f t="shared" si="153"/>
        <v/>
      </c>
      <c r="O481" s="715" t="str">
        <f t="shared" si="154"/>
        <v/>
      </c>
      <c r="P481" s="716" t="str">
        <f t="shared" si="155"/>
        <v/>
      </c>
      <c r="Q481" s="716" t="str">
        <f t="shared" si="156"/>
        <v/>
      </c>
      <c r="R481" s="716" t="str">
        <f t="array" ref="R481">IF(OR(L481="",L482="",M481="",M482="",O481="",O482=""),"",EXP(TREND(T481:T488,U481:U488,V481:V488)))</f>
        <v/>
      </c>
      <c r="S481" s="720" t="str">
        <f t="shared" si="157"/>
        <v/>
      </c>
      <c r="T481" s="488" t="str">
        <f t="shared" si="158"/>
        <v/>
      </c>
      <c r="U481" s="488" t="str">
        <f t="shared" si="159"/>
        <v/>
      </c>
      <c r="V481" s="489" t="str">
        <f t="shared" si="160"/>
        <v/>
      </c>
      <c r="W481" s="537"/>
      <c r="X481" s="473" t="str">
        <f t="shared" si="161"/>
        <v/>
      </c>
    </row>
    <row r="482" spans="1:24" ht="13.95" customHeight="1" thickBot="1">
      <c r="A482" s="1">
        <v>41</v>
      </c>
      <c r="B482" s="419"/>
      <c r="C482" s="335">
        <f t="shared" ref="C482:G482" si="163">IF(Q451="","",Q451)</f>
        <v>80</v>
      </c>
      <c r="D482" s="314">
        <f t="shared" si="163"/>
        <v>50</v>
      </c>
      <c r="E482" s="314" t="str">
        <f t="shared" si="163"/>
        <v/>
      </c>
      <c r="F482" s="314" t="str">
        <f t="shared" si="163"/>
        <v/>
      </c>
      <c r="G482" s="635" t="str">
        <f t="shared" si="163"/>
        <v/>
      </c>
      <c r="I482" s="610" t="str">
        <f>IF(U458="","",U458)</f>
        <v>TBD</v>
      </c>
      <c r="J482" s="418"/>
      <c r="L482" s="138" t="s">
        <v>607</v>
      </c>
      <c r="P482" s="4"/>
      <c r="Q482" s="483" t="s">
        <v>608</v>
      </c>
      <c r="R482" s="484" t="s">
        <v>609</v>
      </c>
      <c r="S482" s="485" t="s">
        <v>610</v>
      </c>
      <c r="V482" s="418"/>
    </row>
    <row r="483" spans="1:24" ht="13.95" customHeight="1" thickBot="1">
      <c r="A483" s="1">
        <v>42</v>
      </c>
      <c r="B483" s="419"/>
      <c r="C483" s="335">
        <f t="shared" ref="C483:G483" si="164">IF(Q452="","",Q452)</f>
        <v>100</v>
      </c>
      <c r="D483" s="314">
        <f t="shared" si="164"/>
        <v>50</v>
      </c>
      <c r="E483" s="314" t="str">
        <f t="shared" si="164"/>
        <v/>
      </c>
      <c r="F483" s="314" t="str">
        <f t="shared" si="164"/>
        <v/>
      </c>
      <c r="G483" s="635" t="str">
        <f t="shared" si="164"/>
        <v/>
      </c>
      <c r="J483" s="418"/>
      <c r="L483" s="419"/>
      <c r="P483" s="2"/>
      <c r="Q483" s="476" t="str">
        <f>IF(MAX($S472:$S481)=0,"NA",MAX($S472:$S481))</f>
        <v>NA</v>
      </c>
      <c r="R483" s="477" t="str">
        <f>IF(MAX($S472:$S481)=0,"NA",MEDIAN($S472:$S481))</f>
        <v>NA</v>
      </c>
      <c r="S483" s="478" t="str">
        <f>IF(MAX($S472:$S481)=0,"NA",MIN($S472:$S481))</f>
        <v>NA</v>
      </c>
      <c r="U483" s="225" t="s">
        <v>275</v>
      </c>
      <c r="V483" s="604" t="str">
        <f>IF(S472="","NA",IF(OR(ABS(Q483)&gt;0.25,ABS(S483)&lt;0.25),"NO","YES"))</f>
        <v>NA</v>
      </c>
    </row>
    <row r="484" spans="1:24" ht="13.95" customHeight="1" thickBot="1">
      <c r="A484" s="1">
        <v>43</v>
      </c>
      <c r="B484" s="419"/>
      <c r="C484" s="335">
        <f t="shared" ref="C484:G484" si="165">IF(Q453="","",Q453)</f>
        <v>120</v>
      </c>
      <c r="D484" s="314">
        <f t="shared" si="165"/>
        <v>25</v>
      </c>
      <c r="E484" s="314" t="str">
        <f t="shared" si="165"/>
        <v/>
      </c>
      <c r="F484" s="314" t="str">
        <f t="shared" si="165"/>
        <v/>
      </c>
      <c r="G484" s="635" t="str">
        <f t="shared" si="165"/>
        <v/>
      </c>
      <c r="J484" s="418"/>
      <c r="L484" s="419"/>
      <c r="P484" s="479" t="s">
        <v>6</v>
      </c>
      <c r="Q484" s="480" t="str">
        <f>IF(AA386="","",AA386)</f>
        <v/>
      </c>
      <c r="R484" s="481" t="str">
        <f>IF(AA387="","",AA387)</f>
        <v/>
      </c>
      <c r="S484" s="482" t="str">
        <f>IF(AA388="","",AA388)</f>
        <v/>
      </c>
      <c r="V484" s="418"/>
    </row>
    <row r="485" spans="1:24" ht="13.95" customHeight="1">
      <c r="A485" s="1">
        <v>44</v>
      </c>
      <c r="B485" s="419"/>
      <c r="C485" s="335" t="str">
        <f t="shared" ref="C485:G485" si="166">IF(Q454="","",Q454)</f>
        <v/>
      </c>
      <c r="D485" s="314" t="str">
        <f t="shared" si="166"/>
        <v/>
      </c>
      <c r="E485" s="314" t="str">
        <f t="shared" si="166"/>
        <v/>
      </c>
      <c r="F485" s="314" t="str">
        <f t="shared" si="166"/>
        <v/>
      </c>
      <c r="G485" s="635" t="str">
        <f t="shared" si="166"/>
        <v/>
      </c>
      <c r="J485" s="418"/>
      <c r="L485" s="419"/>
      <c r="V485" s="418"/>
    </row>
    <row r="486" spans="1:24" ht="13.95" customHeight="1">
      <c r="A486" s="1">
        <v>45</v>
      </c>
      <c r="B486" s="419"/>
      <c r="C486" s="335" t="str">
        <f t="shared" ref="C486:G486" si="167">IF(Q455="","",Q455)</f>
        <v/>
      </c>
      <c r="D486" s="314" t="str">
        <f t="shared" si="167"/>
        <v/>
      </c>
      <c r="E486" s="314" t="str">
        <f t="shared" si="167"/>
        <v/>
      </c>
      <c r="F486" s="314" t="str">
        <f t="shared" si="167"/>
        <v/>
      </c>
      <c r="G486" s="635" t="str">
        <f t="shared" si="167"/>
        <v/>
      </c>
      <c r="J486" s="418"/>
      <c r="L486" s="215" t="s">
        <v>594</v>
      </c>
      <c r="T486" s="22" t="s">
        <v>588</v>
      </c>
      <c r="U486" s="2"/>
      <c r="V486" s="470"/>
      <c r="X486" s="475" t="s">
        <v>593</v>
      </c>
    </row>
    <row r="487" spans="1:24" ht="13.95" customHeight="1">
      <c r="A487" s="1">
        <v>46</v>
      </c>
      <c r="B487" s="419"/>
      <c r="C487" s="335" t="str">
        <f t="shared" ref="C487:G487" si="168">IF(Q456="","",Q456)</f>
        <v/>
      </c>
      <c r="D487" s="314" t="str">
        <f t="shared" si="168"/>
        <v/>
      </c>
      <c r="E487" s="314" t="str">
        <f t="shared" si="168"/>
        <v/>
      </c>
      <c r="F487" s="314" t="str">
        <f t="shared" si="168"/>
        <v/>
      </c>
      <c r="G487" s="635" t="str">
        <f t="shared" si="168"/>
        <v/>
      </c>
      <c r="J487" s="418"/>
      <c r="L487" s="113"/>
      <c r="M487" s="2"/>
      <c r="N487" s="2"/>
      <c r="O487" s="2"/>
      <c r="P487" s="2"/>
      <c r="Q487" s="4" t="s">
        <v>558</v>
      </c>
      <c r="R487" s="457" t="s">
        <v>432</v>
      </c>
      <c r="T487" s="457" t="s">
        <v>432</v>
      </c>
      <c r="U487" s="457" t="s">
        <v>588</v>
      </c>
      <c r="V487" s="471" t="s">
        <v>588</v>
      </c>
      <c r="X487" s="457" t="s">
        <v>558</v>
      </c>
    </row>
    <row r="488" spans="1:24" ht="13.95" customHeight="1" thickBot="1">
      <c r="A488" s="1">
        <v>47</v>
      </c>
      <c r="B488" s="423"/>
      <c r="C488" s="721" t="str">
        <f t="shared" ref="C488:G488" si="169">IF(Q457="","",Q457)</f>
        <v/>
      </c>
      <c r="D488" s="722" t="str">
        <f t="shared" si="169"/>
        <v/>
      </c>
      <c r="E488" s="722" t="str">
        <f t="shared" si="169"/>
        <v/>
      </c>
      <c r="F488" s="722" t="str">
        <f t="shared" si="169"/>
        <v/>
      </c>
      <c r="G488" s="637" t="str">
        <f t="shared" si="169"/>
        <v/>
      </c>
      <c r="H488" s="424"/>
      <c r="I488" s="424"/>
      <c r="J488" s="425"/>
      <c r="L488" s="120" t="s">
        <v>559</v>
      </c>
      <c r="M488" s="65"/>
      <c r="N488" s="458"/>
      <c r="O488" s="459" t="s">
        <v>560</v>
      </c>
      <c r="P488" s="65"/>
      <c r="Q488" s="469" t="s">
        <v>566</v>
      </c>
      <c r="R488" s="469" t="s">
        <v>566</v>
      </c>
      <c r="T488" s="491" t="s">
        <v>624</v>
      </c>
      <c r="U488" s="457" t="s">
        <v>589</v>
      </c>
      <c r="V488" s="471" t="s">
        <v>558</v>
      </c>
      <c r="X488" s="491" t="s">
        <v>624</v>
      </c>
    </row>
    <row r="489" spans="1:24" ht="13.95" customHeight="1" thickTop="1">
      <c r="A489" s="1">
        <v>48</v>
      </c>
      <c r="B489" s="99" t="s">
        <v>3</v>
      </c>
      <c r="C489" s="100" t="str">
        <f>IF($N$8="","",$N$8)</f>
        <v/>
      </c>
      <c r="D489" s="2"/>
      <c r="E489" s="2"/>
      <c r="F489" s="2"/>
      <c r="G489" s="2" t="str">
        <f>""</f>
        <v/>
      </c>
      <c r="H489" s="2" t="str">
        <f>""</f>
        <v/>
      </c>
      <c r="I489" s="99" t="s">
        <v>4</v>
      </c>
      <c r="J489" s="101" t="str">
        <f>IF($U$8="","",$U$8)</f>
        <v>Eugene Mah</v>
      </c>
      <c r="L489" s="156" t="s">
        <v>567</v>
      </c>
      <c r="M489" s="202" t="str">
        <f>IF(OR(AA361=0,AA361=""),"",AA361)</f>
        <v/>
      </c>
      <c r="N489" s="275"/>
      <c r="O489" s="43" t="s">
        <v>735</v>
      </c>
      <c r="P489" s="461">
        <f>IF($M$340="","",$M$340)</f>
        <v>119</v>
      </c>
      <c r="Q489" s="462" t="s">
        <v>561</v>
      </c>
      <c r="R489" s="463" t="s">
        <v>561</v>
      </c>
      <c r="T489" s="457" t="s">
        <v>590</v>
      </c>
      <c r="U489" s="457" t="s">
        <v>432</v>
      </c>
      <c r="V489" s="471" t="s">
        <v>431</v>
      </c>
      <c r="X489" s="457" t="s">
        <v>561</v>
      </c>
    </row>
    <row r="490" spans="1:24" ht="13.95" customHeight="1">
      <c r="A490" s="1">
        <v>49</v>
      </c>
      <c r="B490" s="99" t="s">
        <v>18</v>
      </c>
      <c r="C490" s="102" t="str">
        <f>IF($O$15="","",$O$15)</f>
        <v/>
      </c>
      <c r="D490" s="2"/>
      <c r="E490" s="2"/>
      <c r="F490" s="2"/>
      <c r="G490" s="2"/>
      <c r="H490" s="2"/>
      <c r="I490" s="99" t="s">
        <v>16</v>
      </c>
      <c r="J490" s="103" t="str">
        <f>IF($E$14="","",$E$14)</f>
        <v/>
      </c>
      <c r="L490" s="113"/>
      <c r="M490" s="469" t="s">
        <v>566</v>
      </c>
      <c r="N490" s="469" t="s">
        <v>566</v>
      </c>
      <c r="O490" s="274"/>
      <c r="P490" s="469" t="s">
        <v>566</v>
      </c>
      <c r="Q490" s="460" t="s">
        <v>203</v>
      </c>
      <c r="R490" s="457" t="s">
        <v>562</v>
      </c>
      <c r="S490" s="4" t="s">
        <v>209</v>
      </c>
      <c r="T490" s="457" t="s">
        <v>625</v>
      </c>
      <c r="U490" s="457" t="s">
        <v>591</v>
      </c>
      <c r="V490" s="471" t="s">
        <v>591</v>
      </c>
      <c r="X490" s="457" t="s">
        <v>203</v>
      </c>
    </row>
    <row r="491" spans="1:24" ht="13.95" customHeight="1" thickBot="1">
      <c r="A491" s="1">
        <v>1</v>
      </c>
      <c r="J491" s="118" t="str">
        <f>$F$2</f>
        <v>Medical University of South Carolina</v>
      </c>
      <c r="L491" s="464" t="s">
        <v>203</v>
      </c>
      <c r="M491" s="465" t="s">
        <v>563</v>
      </c>
      <c r="N491" s="466" t="s">
        <v>587</v>
      </c>
      <c r="O491" s="341" t="s">
        <v>477</v>
      </c>
      <c r="P491" s="465" t="s">
        <v>563</v>
      </c>
      <c r="Q491" s="465" t="s">
        <v>587</v>
      </c>
      <c r="R491" s="465" t="s">
        <v>587</v>
      </c>
      <c r="S491" s="339" t="s">
        <v>210</v>
      </c>
      <c r="T491" s="241" t="s">
        <v>626</v>
      </c>
      <c r="U491" s="241" t="s">
        <v>592</v>
      </c>
      <c r="V491" s="242" t="s">
        <v>592</v>
      </c>
      <c r="X491" s="241" t="s">
        <v>564</v>
      </c>
    </row>
    <row r="492" spans="1:24" ht="13.95" customHeight="1" thickBot="1">
      <c r="A492" s="1">
        <v>2</v>
      </c>
      <c r="J492" s="79" t="str">
        <f>$F$5</f>
        <v>EOS Imaging System Compliance Inspection</v>
      </c>
      <c r="L492" s="699" t="str">
        <f t="shared" ref="L492:L501" si="170">IF(OR(AA363=0,AA363=""),"",AA363)</f>
        <v/>
      </c>
      <c r="M492" s="700" t="str">
        <f t="shared" ref="M492:M501" si="171">IF(OR(AA374=0,AA374=""),"",AA374)</f>
        <v/>
      </c>
      <c r="N492" s="701" t="str">
        <f>IF(OR(L492=0,L492="",M492=0,M492="",$M$489=0,$M$489=""),"",M492*($M$489/100)^2)</f>
        <v/>
      </c>
      <c r="O492" s="702" t="str">
        <f>IF(S344="","",S344)</f>
        <v/>
      </c>
      <c r="P492" s="703" t="str">
        <f>IF(OR(S344="",S344=0),"",(U344*1000)/R344)</f>
        <v/>
      </c>
      <c r="Q492" s="703" t="str">
        <f>IF(P492="","",P492*($P$489/100)^2)</f>
        <v/>
      </c>
      <c r="R492" s="703" t="str">
        <f t="array" ref="R492:R499">IF(OR(L492="",L493="",M492="",M493="",O492="",O493=""),"",EXP(TREND(T492:T499,U492:U499,V492:V499)))</f>
        <v/>
      </c>
      <c r="S492" s="717" t="str">
        <f>IF(OR(Q492="",R492=""),"",(Q492-R492)/R492)</f>
        <v/>
      </c>
      <c r="T492" s="486" t="str">
        <f>IF(N492="","",LN(N492))</f>
        <v/>
      </c>
      <c r="U492" s="486" t="str">
        <f>IF(L492="","",LN(L492))</f>
        <v/>
      </c>
      <c r="V492" s="487" t="str">
        <f>IF(O492="","",LN(O492))</f>
        <v/>
      </c>
      <c r="X492" s="472" t="str">
        <f>IF(Q492="","",LN(Q492))</f>
        <v/>
      </c>
    </row>
    <row r="493" spans="1:24" ht="13.95" customHeight="1" thickTop="1">
      <c r="A493" s="1">
        <v>3</v>
      </c>
      <c r="B493" s="642" t="s">
        <v>557</v>
      </c>
      <c r="C493" s="502"/>
      <c r="D493" s="502"/>
      <c r="E493" s="502"/>
      <c r="F493" s="502"/>
      <c r="G493" s="502"/>
      <c r="H493" s="502"/>
      <c r="I493" s="502"/>
      <c r="J493" s="503"/>
      <c r="L493" s="710" t="str">
        <f t="shared" si="170"/>
        <v/>
      </c>
      <c r="M493" s="711" t="str">
        <f t="shared" si="171"/>
        <v/>
      </c>
      <c r="N493" s="706" t="str">
        <f t="shared" ref="N493:N499" si="172">IF(OR(L493=0,L493="",M493=0,M493="",$M$489=0,$M$489=""),N492,M493*($M$489/100)^2)</f>
        <v/>
      </c>
      <c r="O493" s="707" t="str">
        <f t="shared" ref="O493:O499" si="173">IF(S345="",O492,S345)</f>
        <v/>
      </c>
      <c r="P493" s="708" t="str">
        <f t="shared" ref="P493:P499" si="174">IF(OR(S345="",S345=0),P492,(U345*1000)/R345)</f>
        <v/>
      </c>
      <c r="Q493" s="708" t="str">
        <f t="shared" ref="Q493:Q499" si="175">IF(P493="","",P493*($P$489/100)^2)</f>
        <v/>
      </c>
      <c r="R493" s="708" t="str">
        <v/>
      </c>
      <c r="S493" s="718" t="str">
        <f t="shared" ref="S493:S499" si="176">IF(OR(Q493="",R493=""),"",(Q493-R493)/R493)</f>
        <v/>
      </c>
      <c r="T493" s="472" t="str">
        <f t="shared" ref="T493:T499" si="177">IF(N493="","",LN(N493))</f>
        <v/>
      </c>
      <c r="U493" s="473" t="str">
        <f t="shared" ref="U493:U499" si="178">IF(L493="","",LN(L493))</f>
        <v/>
      </c>
      <c r="V493" s="474" t="str">
        <f t="shared" ref="V493:V499" si="179">IF(O493="","",LN(O493))</f>
        <v/>
      </c>
      <c r="X493" s="472" t="str">
        <f t="shared" ref="X493:X499" si="180">IF(Q493="","",LN(Q493))</f>
        <v/>
      </c>
    </row>
    <row r="494" spans="1:24" ht="13.95" customHeight="1">
      <c r="A494" s="1">
        <v>4</v>
      </c>
      <c r="B494" s="419"/>
      <c r="D494" s="170" t="s">
        <v>558</v>
      </c>
      <c r="E494" s="170" t="s">
        <v>432</v>
      </c>
      <c r="J494" s="418"/>
      <c r="L494" s="710" t="str">
        <f t="shared" si="170"/>
        <v/>
      </c>
      <c r="M494" s="711" t="str">
        <f t="shared" si="171"/>
        <v/>
      </c>
      <c r="N494" s="706" t="str">
        <f t="shared" si="172"/>
        <v/>
      </c>
      <c r="O494" s="707" t="str">
        <f t="shared" si="173"/>
        <v/>
      </c>
      <c r="P494" s="708" t="str">
        <f t="shared" si="174"/>
        <v/>
      </c>
      <c r="Q494" s="708" t="str">
        <f t="shared" si="175"/>
        <v/>
      </c>
      <c r="R494" s="708" t="str">
        <v/>
      </c>
      <c r="S494" s="718" t="str">
        <f t="shared" si="176"/>
        <v/>
      </c>
      <c r="T494" s="472" t="str">
        <f t="shared" si="177"/>
        <v/>
      </c>
      <c r="U494" s="473" t="str">
        <f t="shared" si="178"/>
        <v/>
      </c>
      <c r="V494" s="474" t="str">
        <f t="shared" si="179"/>
        <v/>
      </c>
      <c r="X494" s="472" t="str">
        <f t="shared" si="180"/>
        <v/>
      </c>
    </row>
    <row r="495" spans="1:24" ht="13.95" customHeight="1">
      <c r="A495" s="1">
        <v>5</v>
      </c>
      <c r="B495" s="419"/>
      <c r="D495" s="641" t="s">
        <v>503</v>
      </c>
      <c r="E495" s="638" t="s">
        <v>503</v>
      </c>
      <c r="J495" s="418"/>
      <c r="L495" s="710" t="str">
        <f t="shared" si="170"/>
        <v/>
      </c>
      <c r="M495" s="711" t="str">
        <f t="shared" si="171"/>
        <v/>
      </c>
      <c r="N495" s="706" t="str">
        <f t="shared" si="172"/>
        <v/>
      </c>
      <c r="O495" s="707" t="str">
        <f t="shared" si="173"/>
        <v/>
      </c>
      <c r="P495" s="708" t="str">
        <f t="shared" si="174"/>
        <v/>
      </c>
      <c r="Q495" s="708" t="str">
        <f t="shared" si="175"/>
        <v/>
      </c>
      <c r="R495" s="708" t="str">
        <v/>
      </c>
      <c r="S495" s="718" t="str">
        <f t="shared" si="176"/>
        <v/>
      </c>
      <c r="T495" s="472" t="str">
        <f t="shared" si="177"/>
        <v/>
      </c>
      <c r="U495" s="473" t="str">
        <f t="shared" si="178"/>
        <v/>
      </c>
      <c r="V495" s="474" t="str">
        <f t="shared" si="179"/>
        <v/>
      </c>
      <c r="X495" s="472" t="str">
        <f t="shared" si="180"/>
        <v/>
      </c>
    </row>
    <row r="496" spans="1:24" ht="13.95" customHeight="1">
      <c r="A496" s="1">
        <v>6</v>
      </c>
      <c r="B496" s="419"/>
      <c r="D496" s="639" t="s">
        <v>561</v>
      </c>
      <c r="E496" s="639" t="s">
        <v>561</v>
      </c>
      <c r="J496" s="418"/>
      <c r="L496" s="710" t="str">
        <f t="shared" si="170"/>
        <v/>
      </c>
      <c r="M496" s="711" t="str">
        <f t="shared" si="171"/>
        <v/>
      </c>
      <c r="N496" s="706" t="str">
        <f t="shared" si="172"/>
        <v/>
      </c>
      <c r="O496" s="707" t="str">
        <f t="shared" si="173"/>
        <v/>
      </c>
      <c r="P496" s="708" t="str">
        <f t="shared" si="174"/>
        <v/>
      </c>
      <c r="Q496" s="708" t="str">
        <f t="shared" si="175"/>
        <v/>
      </c>
      <c r="R496" s="708" t="str">
        <v/>
      </c>
      <c r="S496" s="718" t="str">
        <f t="shared" si="176"/>
        <v/>
      </c>
      <c r="T496" s="472" t="str">
        <f t="shared" si="177"/>
        <v/>
      </c>
      <c r="U496" s="473" t="str">
        <f t="shared" si="178"/>
        <v/>
      </c>
      <c r="V496" s="474" t="str">
        <f t="shared" si="179"/>
        <v/>
      </c>
      <c r="X496" s="472" t="str">
        <f t="shared" si="180"/>
        <v/>
      </c>
    </row>
    <row r="497" spans="1:24" ht="13.95" customHeight="1">
      <c r="A497" s="1">
        <v>7</v>
      </c>
      <c r="B497" s="419"/>
      <c r="D497" s="170" t="s">
        <v>203</v>
      </c>
      <c r="E497" s="170" t="s">
        <v>203</v>
      </c>
      <c r="F497" s="4" t="s">
        <v>209</v>
      </c>
      <c r="J497" s="418"/>
      <c r="L497" s="710" t="str">
        <f t="shared" si="170"/>
        <v/>
      </c>
      <c r="M497" s="711" t="str">
        <f t="shared" si="171"/>
        <v/>
      </c>
      <c r="N497" s="706" t="str">
        <f t="shared" si="172"/>
        <v/>
      </c>
      <c r="O497" s="707" t="str">
        <f t="shared" si="173"/>
        <v/>
      </c>
      <c r="P497" s="708" t="str">
        <f t="shared" si="174"/>
        <v/>
      </c>
      <c r="Q497" s="708" t="str">
        <f t="shared" si="175"/>
        <v/>
      </c>
      <c r="R497" s="708" t="str">
        <v/>
      </c>
      <c r="S497" s="718" t="str">
        <f t="shared" si="176"/>
        <v/>
      </c>
      <c r="T497" s="472" t="str">
        <f t="shared" si="177"/>
        <v/>
      </c>
      <c r="U497" s="473" t="str">
        <f t="shared" si="178"/>
        <v/>
      </c>
      <c r="V497" s="474" t="str">
        <f t="shared" si="179"/>
        <v/>
      </c>
      <c r="X497" s="472" t="str">
        <f t="shared" si="180"/>
        <v/>
      </c>
    </row>
    <row r="498" spans="1:24" ht="13.95" customHeight="1" thickBot="1">
      <c r="A498" s="1">
        <v>8</v>
      </c>
      <c r="B498" s="419"/>
      <c r="C498" s="341" t="s">
        <v>477</v>
      </c>
      <c r="D498" s="640" t="s">
        <v>587</v>
      </c>
      <c r="E498" s="640" t="s">
        <v>587</v>
      </c>
      <c r="F498" s="339" t="s">
        <v>210</v>
      </c>
      <c r="G498" s="339" t="s">
        <v>426</v>
      </c>
      <c r="J498" s="418"/>
      <c r="L498" s="710" t="str">
        <f t="shared" si="170"/>
        <v/>
      </c>
      <c r="M498" s="711" t="str">
        <f t="shared" si="171"/>
        <v/>
      </c>
      <c r="N498" s="706" t="str">
        <f t="shared" si="172"/>
        <v/>
      </c>
      <c r="O498" s="707" t="str">
        <f t="shared" si="173"/>
        <v/>
      </c>
      <c r="P498" s="708" t="str">
        <f t="shared" si="174"/>
        <v/>
      </c>
      <c r="Q498" s="708" t="str">
        <f t="shared" si="175"/>
        <v/>
      </c>
      <c r="R498" s="708" t="str">
        <v/>
      </c>
      <c r="S498" s="718" t="str">
        <f t="shared" si="176"/>
        <v/>
      </c>
      <c r="T498" s="472" t="str">
        <f t="shared" si="177"/>
        <v/>
      </c>
      <c r="U498" s="473" t="str">
        <f t="shared" si="178"/>
        <v/>
      </c>
      <c r="V498" s="474" t="str">
        <f t="shared" si="179"/>
        <v/>
      </c>
      <c r="X498" s="472" t="str">
        <f t="shared" si="180"/>
        <v/>
      </c>
    </row>
    <row r="499" spans="1:24" ht="13.95" customHeight="1">
      <c r="A499" s="1">
        <v>9</v>
      </c>
      <c r="B499" s="419"/>
      <c r="C499" s="334" t="str">
        <f t="shared" ref="C499:C508" si="181">IF(O472="","",O472)</f>
        <v/>
      </c>
      <c r="D499" s="310" t="str">
        <f t="shared" ref="D499:D508" si="182">IF(Q472="","",Q472)</f>
        <v/>
      </c>
      <c r="E499" s="310" t="str">
        <f t="shared" ref="E499:E508" si="183">IF(R472="","",R472)</f>
        <v/>
      </c>
      <c r="F499" s="696" t="str">
        <f t="shared" ref="F499:F508" si="184">IF(S472="","",S472)</f>
        <v/>
      </c>
      <c r="G499" s="309" t="str">
        <f t="shared" ref="G499:G508" si="185">IF(OR(D499="",E499=""),"",IF(ABS(F499)&gt;0.25,"NO","YES"))</f>
        <v/>
      </c>
      <c r="J499" s="418"/>
      <c r="L499" s="710" t="str">
        <f t="shared" si="170"/>
        <v/>
      </c>
      <c r="M499" s="711" t="str">
        <f t="shared" si="171"/>
        <v/>
      </c>
      <c r="N499" s="706" t="str">
        <f t="shared" si="172"/>
        <v/>
      </c>
      <c r="O499" s="707" t="str">
        <f t="shared" si="173"/>
        <v/>
      </c>
      <c r="P499" s="708" t="str">
        <f t="shared" si="174"/>
        <v/>
      </c>
      <c r="Q499" s="708" t="str">
        <f t="shared" si="175"/>
        <v/>
      </c>
      <c r="R499" s="708" t="str">
        <v/>
      </c>
      <c r="S499" s="718" t="str">
        <f t="shared" si="176"/>
        <v/>
      </c>
      <c r="T499" s="472" t="str">
        <f t="shared" si="177"/>
        <v/>
      </c>
      <c r="U499" s="473" t="str">
        <f t="shared" si="178"/>
        <v/>
      </c>
      <c r="V499" s="474" t="str">
        <f t="shared" si="179"/>
        <v/>
      </c>
      <c r="W499" s="535"/>
      <c r="X499" s="472" t="str">
        <f t="shared" si="180"/>
        <v/>
      </c>
    </row>
    <row r="500" spans="1:24" ht="13.95" customHeight="1">
      <c r="A500" s="1">
        <v>10</v>
      </c>
      <c r="B500" s="419"/>
      <c r="C500" s="335" t="str">
        <f t="shared" si="181"/>
        <v/>
      </c>
      <c r="D500" s="314" t="str">
        <f t="shared" si="182"/>
        <v/>
      </c>
      <c r="E500" s="314" t="str">
        <f t="shared" si="183"/>
        <v/>
      </c>
      <c r="F500" s="697" t="str">
        <f t="shared" si="184"/>
        <v/>
      </c>
      <c r="G500" s="317" t="str">
        <f t="shared" si="185"/>
        <v/>
      </c>
      <c r="J500" s="418"/>
      <c r="L500" s="710" t="str">
        <f t="shared" si="170"/>
        <v/>
      </c>
      <c r="M500" s="711" t="str">
        <f t="shared" si="171"/>
        <v/>
      </c>
      <c r="N500" s="706" t="str">
        <f t="shared" ref="N500:N501" si="186">IF(OR(L500=0,L500="",M500=0,M500="",$M$489=0,$M$489=""),N499,M500*($M$489/100)^2)</f>
        <v/>
      </c>
      <c r="O500" s="707" t="str">
        <f t="shared" ref="O500:O501" si="187">IF(S352="",O499,S352)</f>
        <v/>
      </c>
      <c r="P500" s="708" t="str">
        <f t="shared" ref="P500:P501" si="188">IF(OR(S352="",S352=0),P499,(U352*1000)/R352)</f>
        <v/>
      </c>
      <c r="Q500" s="708" t="str">
        <f t="shared" ref="Q500:Q501" si="189">IF(P500="","",P500*($P$489/100)^2)</f>
        <v/>
      </c>
      <c r="R500" s="708" t="str">
        <f t="array" ref="R500">IF(OR(L500="",L501="",M500="",M501="",O500="",O501=""),"",EXP(TREND(T500:T507,U500:U507,V500:V507)))</f>
        <v/>
      </c>
      <c r="S500" s="719" t="str">
        <f t="shared" ref="S500:S501" si="190">IF(OR(Q500="",R500=""),"",(Q500-R500)/R500)</f>
        <v/>
      </c>
      <c r="T500" s="473" t="str">
        <f t="shared" ref="T500:T501" si="191">IF(N500="","",LN(N500))</f>
        <v/>
      </c>
      <c r="U500" s="473" t="str">
        <f t="shared" ref="U500:U501" si="192">IF(L500="","",LN(L500))</f>
        <v/>
      </c>
      <c r="V500" s="474" t="str">
        <f t="shared" ref="V500:V501" si="193">IF(O500="","",LN(O500))</f>
        <v/>
      </c>
      <c r="W500" s="536"/>
      <c r="X500" s="473" t="str">
        <f t="shared" ref="X500:X501" si="194">IF(Q500="","",LN(Q500))</f>
        <v/>
      </c>
    </row>
    <row r="501" spans="1:24" ht="13.95" customHeight="1" thickBot="1">
      <c r="A501" s="1">
        <v>11</v>
      </c>
      <c r="B501" s="419"/>
      <c r="C501" s="335" t="str">
        <f t="shared" si="181"/>
        <v/>
      </c>
      <c r="D501" s="314" t="str">
        <f t="shared" si="182"/>
        <v/>
      </c>
      <c r="E501" s="314" t="str">
        <f t="shared" si="183"/>
        <v/>
      </c>
      <c r="F501" s="697" t="str">
        <f t="shared" si="184"/>
        <v/>
      </c>
      <c r="G501" s="317" t="str">
        <f t="shared" si="185"/>
        <v/>
      </c>
      <c r="J501" s="418"/>
      <c r="L501" s="712" t="str">
        <f t="shared" si="170"/>
        <v/>
      </c>
      <c r="M501" s="713" t="str">
        <f t="shared" si="171"/>
        <v/>
      </c>
      <c r="N501" s="714" t="str">
        <f t="shared" si="186"/>
        <v/>
      </c>
      <c r="O501" s="715" t="str">
        <f t="shared" si="187"/>
        <v/>
      </c>
      <c r="P501" s="716" t="str">
        <f t="shared" si="188"/>
        <v/>
      </c>
      <c r="Q501" s="716" t="str">
        <f t="shared" si="189"/>
        <v/>
      </c>
      <c r="R501" s="716" t="str">
        <f t="array" ref="R501">IF(OR(L501="",L502="",M501="",M502="",O501="",O502=""),"",EXP(TREND(T501:T508,U501:U508,V501:V508)))</f>
        <v/>
      </c>
      <c r="S501" s="720" t="str">
        <f t="shared" si="190"/>
        <v/>
      </c>
      <c r="T501" s="488" t="str">
        <f t="shared" si="191"/>
        <v/>
      </c>
      <c r="U501" s="488" t="str">
        <f t="shared" si="192"/>
        <v/>
      </c>
      <c r="V501" s="489" t="str">
        <f t="shared" si="193"/>
        <v/>
      </c>
      <c r="W501" s="537"/>
      <c r="X501" s="473" t="str">
        <f t="shared" si="194"/>
        <v/>
      </c>
    </row>
    <row r="502" spans="1:24" ht="13.95" customHeight="1" thickBot="1">
      <c r="A502" s="1">
        <v>12</v>
      </c>
      <c r="B502" s="419"/>
      <c r="C502" s="335" t="str">
        <f t="shared" si="181"/>
        <v/>
      </c>
      <c r="D502" s="314" t="str">
        <f t="shared" si="182"/>
        <v/>
      </c>
      <c r="E502" s="314" t="str">
        <f t="shared" si="183"/>
        <v/>
      </c>
      <c r="F502" s="697" t="str">
        <f t="shared" si="184"/>
        <v/>
      </c>
      <c r="G502" s="317" t="str">
        <f t="shared" si="185"/>
        <v/>
      </c>
      <c r="J502" s="418"/>
      <c r="L502" s="138" t="s">
        <v>607</v>
      </c>
      <c r="P502" s="4"/>
      <c r="Q502" s="483" t="s">
        <v>608</v>
      </c>
      <c r="R502" s="484" t="s">
        <v>609</v>
      </c>
      <c r="S502" s="485" t="s">
        <v>610</v>
      </c>
      <c r="V502" s="418"/>
    </row>
    <row r="503" spans="1:24" ht="13.95" customHeight="1" thickBot="1">
      <c r="A503" s="1">
        <v>13</v>
      </c>
      <c r="B503" s="419"/>
      <c r="C503" s="335" t="str">
        <f t="shared" si="181"/>
        <v/>
      </c>
      <c r="D503" s="314" t="str">
        <f t="shared" si="182"/>
        <v/>
      </c>
      <c r="E503" s="314" t="str">
        <f t="shared" si="183"/>
        <v/>
      </c>
      <c r="F503" s="697" t="str">
        <f t="shared" si="184"/>
        <v/>
      </c>
      <c r="G503" s="317" t="str">
        <f t="shared" si="185"/>
        <v/>
      </c>
      <c r="J503" s="418"/>
      <c r="L503" s="419"/>
      <c r="P503" s="2"/>
      <c r="Q503" s="476" t="str">
        <f>IF(MAX($S492:$S501)=0,"NA",MAX($S492:$S501))</f>
        <v>NA</v>
      </c>
      <c r="R503" s="477" t="str">
        <f>IF(MAX($S492:$S501)=0,"NA",MEDIAN($S492:$S501))</f>
        <v>NA</v>
      </c>
      <c r="S503" s="478" t="str">
        <f>IF(MAX($S492:$S501)=0,"NA",MIN($S492:$S501))</f>
        <v>NA</v>
      </c>
      <c r="U503" s="225" t="s">
        <v>275</v>
      </c>
      <c r="V503" s="604" t="str">
        <f>IF(S492="","NA",IF(OR(ABS(Q503)&gt;0.25,ABS(S503)&lt;0.25),"NO","YES"))</f>
        <v>NA</v>
      </c>
    </row>
    <row r="504" spans="1:24" ht="13.95" customHeight="1" thickBot="1">
      <c r="A504" s="1">
        <v>14</v>
      </c>
      <c r="B504" s="419"/>
      <c r="C504" s="335" t="str">
        <f t="shared" si="181"/>
        <v/>
      </c>
      <c r="D504" s="314" t="str">
        <f t="shared" si="182"/>
        <v/>
      </c>
      <c r="E504" s="314" t="str">
        <f t="shared" si="183"/>
        <v/>
      </c>
      <c r="F504" s="697" t="str">
        <f t="shared" si="184"/>
        <v/>
      </c>
      <c r="G504" s="317" t="str">
        <f t="shared" si="185"/>
        <v/>
      </c>
      <c r="J504" s="418"/>
      <c r="L504" s="419"/>
      <c r="P504" s="479" t="s">
        <v>6</v>
      </c>
      <c r="Q504" s="480" t="str">
        <f>IF(AA389="","",AA389)</f>
        <v/>
      </c>
      <c r="R504" s="481" t="str">
        <f>IF(AA390="","",AA390)</f>
        <v/>
      </c>
      <c r="S504" s="482" t="str">
        <f>IF(AA391="","",AA391)</f>
        <v/>
      </c>
      <c r="V504" s="418"/>
    </row>
    <row r="505" spans="1:24" ht="13.95" customHeight="1">
      <c r="A505" s="1">
        <v>15</v>
      </c>
      <c r="B505" s="419"/>
      <c r="C505" s="335" t="str">
        <f t="shared" si="181"/>
        <v/>
      </c>
      <c r="D505" s="314" t="str">
        <f t="shared" si="182"/>
        <v/>
      </c>
      <c r="E505" s="314" t="str">
        <f t="shared" si="183"/>
        <v/>
      </c>
      <c r="F505" s="697" t="str">
        <f t="shared" si="184"/>
        <v/>
      </c>
      <c r="G505" s="317" t="str">
        <f t="shared" si="185"/>
        <v/>
      </c>
      <c r="J505" s="418"/>
      <c r="L505" s="419"/>
      <c r="V505" s="418"/>
    </row>
    <row r="506" spans="1:24" ht="13.95" customHeight="1">
      <c r="A506" s="1">
        <v>16</v>
      </c>
      <c r="B506" s="419"/>
      <c r="C506" s="335" t="str">
        <f t="shared" si="181"/>
        <v/>
      </c>
      <c r="D506" s="314" t="str">
        <f t="shared" si="182"/>
        <v/>
      </c>
      <c r="E506" s="314" t="str">
        <f t="shared" si="183"/>
        <v/>
      </c>
      <c r="F506" s="697" t="str">
        <f t="shared" si="184"/>
        <v/>
      </c>
      <c r="G506" s="317" t="str">
        <f t="shared" si="185"/>
        <v/>
      </c>
      <c r="J506" s="418"/>
      <c r="L506" s="420" t="s">
        <v>276</v>
      </c>
      <c r="M506" s="54" t="s">
        <v>623</v>
      </c>
      <c r="V506" s="418"/>
    </row>
    <row r="507" spans="1:24" ht="13.95" customHeight="1" thickBot="1">
      <c r="A507" s="1">
        <v>17</v>
      </c>
      <c r="B507" s="419"/>
      <c r="C507" s="335" t="str">
        <f t="shared" si="181"/>
        <v/>
      </c>
      <c r="D507" s="314" t="str">
        <f t="shared" si="182"/>
        <v/>
      </c>
      <c r="E507" s="314" t="str">
        <f t="shared" si="183"/>
        <v/>
      </c>
      <c r="F507" s="697" t="str">
        <f t="shared" si="184"/>
        <v/>
      </c>
      <c r="G507" s="317" t="str">
        <f t="shared" si="185"/>
        <v/>
      </c>
      <c r="J507" s="418"/>
      <c r="L507" s="419"/>
      <c r="V507" s="418"/>
    </row>
    <row r="508" spans="1:24" ht="13.95" customHeight="1" thickBot="1">
      <c r="A508" s="1">
        <v>18</v>
      </c>
      <c r="B508" s="419"/>
      <c r="C508" s="336" t="str">
        <f t="shared" si="181"/>
        <v/>
      </c>
      <c r="D508" s="322" t="str">
        <f t="shared" si="182"/>
        <v/>
      </c>
      <c r="E508" s="322" t="str">
        <f t="shared" si="183"/>
        <v/>
      </c>
      <c r="F508" s="698" t="str">
        <f t="shared" si="184"/>
        <v/>
      </c>
      <c r="G508" s="321" t="str">
        <f t="shared" si="185"/>
        <v/>
      </c>
      <c r="H508" s="643" t="s">
        <v>275</v>
      </c>
      <c r="I508" s="644" t="str">
        <f>V483</f>
        <v>NA</v>
      </c>
      <c r="J508" s="418"/>
      <c r="L508" s="419"/>
      <c r="M508" s="4"/>
      <c r="N508" s="460" t="s">
        <v>450</v>
      </c>
      <c r="P508" s="4"/>
      <c r="Q508" s="460" t="s">
        <v>451</v>
      </c>
      <c r="V508" s="418"/>
    </row>
    <row r="509" spans="1:24" ht="13.95" customHeight="1">
      <c r="A509" s="1">
        <v>19</v>
      </c>
      <c r="B509" s="419"/>
      <c r="D509" s="422"/>
      <c r="E509" s="422"/>
      <c r="F509" s="422"/>
      <c r="G509" s="422"/>
      <c r="H509" s="422"/>
      <c r="J509" s="418"/>
      <c r="L509" s="419"/>
      <c r="M509" s="4"/>
      <c r="N509" s="460" t="s">
        <v>558</v>
      </c>
      <c r="P509" s="4"/>
      <c r="Q509" s="460" t="s">
        <v>558</v>
      </c>
      <c r="V509" s="418"/>
    </row>
    <row r="510" spans="1:24" ht="13.95" customHeight="1">
      <c r="A510" s="1">
        <v>20</v>
      </c>
      <c r="B510" s="215" t="s">
        <v>594</v>
      </c>
      <c r="D510" s="422"/>
      <c r="E510" s="422"/>
      <c r="F510" s="422"/>
      <c r="G510" s="422"/>
      <c r="H510" s="422"/>
      <c r="J510" s="418"/>
      <c r="L510" s="419"/>
      <c r="M510" s="4"/>
      <c r="N510" s="460" t="s">
        <v>510</v>
      </c>
      <c r="P510" s="4"/>
      <c r="Q510" s="460" t="s">
        <v>510</v>
      </c>
      <c r="V510" s="418"/>
    </row>
    <row r="511" spans="1:24" ht="13.95" customHeight="1" thickBot="1">
      <c r="A511" s="1">
        <v>21</v>
      </c>
      <c r="B511" s="419"/>
      <c r="D511" s="170" t="s">
        <v>558</v>
      </c>
      <c r="E511" s="170" t="s">
        <v>432</v>
      </c>
      <c r="J511" s="418"/>
      <c r="L511" s="419"/>
      <c r="M511" s="197" t="s">
        <v>203</v>
      </c>
      <c r="N511" s="465" t="s">
        <v>587</v>
      </c>
      <c r="P511" s="197" t="s">
        <v>203</v>
      </c>
      <c r="Q511" s="465" t="s">
        <v>587</v>
      </c>
      <c r="V511" s="418"/>
    </row>
    <row r="512" spans="1:24" ht="13.95" customHeight="1">
      <c r="A512" s="1">
        <v>22</v>
      </c>
      <c r="B512" s="419"/>
      <c r="D512" s="641" t="s">
        <v>503</v>
      </c>
      <c r="E512" s="638" t="s">
        <v>503</v>
      </c>
      <c r="J512" s="418"/>
      <c r="L512" s="419"/>
      <c r="M512" s="542">
        <f>L344</f>
        <v>50</v>
      </c>
      <c r="N512" s="683" t="str">
        <f t="array" ref="N512:N521">IF(OR(O472="",O473="",P472="",P473=""),"",EXP(TREND(LN(Q472:Q481),LN(O472:O481),LN(M512:M521))))</f>
        <v/>
      </c>
      <c r="P512" s="284">
        <f>Q344</f>
        <v>50</v>
      </c>
      <c r="Q512" s="683" t="str">
        <f t="array" ref="Q512:Q521">IF(OR(O492="",P492="",O493="",P493=""),"",EXP(TREND(LN(Q492:Q501),LN(O492:O501),LN(P512:P521))))</f>
        <v/>
      </c>
      <c r="V512" s="418"/>
    </row>
    <row r="513" spans="1:22" ht="13.95" customHeight="1">
      <c r="A513" s="1">
        <v>23</v>
      </c>
      <c r="B513" s="419"/>
      <c r="D513" s="639" t="s">
        <v>561</v>
      </c>
      <c r="E513" s="639" t="s">
        <v>561</v>
      </c>
      <c r="J513" s="418"/>
      <c r="L513" s="419"/>
      <c r="M513" s="543">
        <f t="shared" ref="M513:M521" si="195">L345</f>
        <v>60</v>
      </c>
      <c r="N513" s="291" t="str">
        <v/>
      </c>
      <c r="P513" s="285">
        <f t="shared" ref="P513:P521" si="196">Q345</f>
        <v>60</v>
      </c>
      <c r="Q513" s="291" t="str">
        <v/>
      </c>
      <c r="V513" s="418"/>
    </row>
    <row r="514" spans="1:22" ht="13.95" customHeight="1">
      <c r="A514" s="1">
        <v>24</v>
      </c>
      <c r="B514" s="419"/>
      <c r="D514" s="170" t="s">
        <v>203</v>
      </c>
      <c r="E514" s="170" t="s">
        <v>203</v>
      </c>
      <c r="F514" s="4" t="s">
        <v>209</v>
      </c>
      <c r="J514" s="418"/>
      <c r="L514" s="419"/>
      <c r="M514" s="543">
        <f t="shared" si="195"/>
        <v>70</v>
      </c>
      <c r="N514" s="291" t="str">
        <v/>
      </c>
      <c r="P514" s="285">
        <f t="shared" si="196"/>
        <v>70</v>
      </c>
      <c r="Q514" s="291" t="str">
        <v/>
      </c>
      <c r="V514" s="418"/>
    </row>
    <row r="515" spans="1:22" ht="13.95" customHeight="1" thickBot="1">
      <c r="A515" s="1">
        <v>25</v>
      </c>
      <c r="B515" s="419"/>
      <c r="C515" s="341" t="s">
        <v>477</v>
      </c>
      <c r="D515" s="640" t="s">
        <v>587</v>
      </c>
      <c r="E515" s="640" t="s">
        <v>587</v>
      </c>
      <c r="F515" s="339" t="s">
        <v>210</v>
      </c>
      <c r="G515" s="339" t="s">
        <v>426</v>
      </c>
      <c r="J515" s="418"/>
      <c r="L515" s="419"/>
      <c r="M515" s="543">
        <f t="shared" si="195"/>
        <v>80</v>
      </c>
      <c r="N515" s="291" t="str">
        <v/>
      </c>
      <c r="P515" s="285">
        <f t="shared" si="196"/>
        <v>80</v>
      </c>
      <c r="Q515" s="291" t="str">
        <v/>
      </c>
      <c r="V515" s="418"/>
    </row>
    <row r="516" spans="1:22" ht="13.95" customHeight="1">
      <c r="A516" s="1">
        <v>26</v>
      </c>
      <c r="B516" s="419"/>
      <c r="C516" s="334" t="str">
        <f t="shared" ref="C516:C525" si="197">IF(O492="","",O492)</f>
        <v/>
      </c>
      <c r="D516" s="310" t="str">
        <f t="shared" ref="D516:D525" si="198">IF(Q492="","",Q492)</f>
        <v/>
      </c>
      <c r="E516" s="310" t="str">
        <f t="shared" ref="E516:E525" si="199">IF(R492="","",R492)</f>
        <v/>
      </c>
      <c r="F516" s="696" t="str">
        <f t="shared" ref="F516:F525" si="200">IF(S492="","",S492)</f>
        <v/>
      </c>
      <c r="G516" s="309" t="str">
        <f t="shared" ref="G516:G525" si="201">IF(OR(D516="",E516=""),"",IF(ABS(F516)&gt;0.25,"NO","YES"))</f>
        <v/>
      </c>
      <c r="J516" s="418"/>
      <c r="L516" s="419"/>
      <c r="M516" s="543">
        <f t="shared" si="195"/>
        <v>90</v>
      </c>
      <c r="N516" s="291" t="str">
        <v/>
      </c>
      <c r="P516" s="285">
        <f t="shared" si="196"/>
        <v>90</v>
      </c>
      <c r="Q516" s="291" t="str">
        <v/>
      </c>
      <c r="V516" s="418"/>
    </row>
    <row r="517" spans="1:22" ht="13.95" customHeight="1">
      <c r="A517" s="1">
        <v>27</v>
      </c>
      <c r="B517" s="419"/>
      <c r="C517" s="335" t="str">
        <f t="shared" si="197"/>
        <v/>
      </c>
      <c r="D517" s="314" t="str">
        <f t="shared" si="198"/>
        <v/>
      </c>
      <c r="E517" s="314" t="str">
        <f t="shared" si="199"/>
        <v/>
      </c>
      <c r="F517" s="697" t="str">
        <f t="shared" si="200"/>
        <v/>
      </c>
      <c r="G517" s="317" t="str">
        <f t="shared" si="201"/>
        <v/>
      </c>
      <c r="J517" s="418"/>
      <c r="L517" s="419"/>
      <c r="M517" s="543">
        <f t="shared" si="195"/>
        <v>100</v>
      </c>
      <c r="N517" s="291" t="str">
        <v/>
      </c>
      <c r="P517" s="285">
        <f t="shared" si="196"/>
        <v>100</v>
      </c>
      <c r="Q517" s="291" t="str">
        <v/>
      </c>
      <c r="V517" s="418"/>
    </row>
    <row r="518" spans="1:22" ht="13.95" customHeight="1">
      <c r="A518" s="1">
        <v>28</v>
      </c>
      <c r="B518" s="419"/>
      <c r="C518" s="335" t="str">
        <f t="shared" si="197"/>
        <v/>
      </c>
      <c r="D518" s="314" t="str">
        <f t="shared" si="198"/>
        <v/>
      </c>
      <c r="E518" s="314" t="str">
        <f t="shared" si="199"/>
        <v/>
      </c>
      <c r="F518" s="697" t="str">
        <f t="shared" si="200"/>
        <v/>
      </c>
      <c r="G518" s="317" t="str">
        <f t="shared" si="201"/>
        <v/>
      </c>
      <c r="J518" s="418"/>
      <c r="L518" s="419"/>
      <c r="M518" s="543">
        <f t="shared" si="195"/>
        <v>110</v>
      </c>
      <c r="N518" s="291" t="str">
        <v/>
      </c>
      <c r="P518" s="285">
        <f t="shared" si="196"/>
        <v>110</v>
      </c>
      <c r="Q518" s="291" t="str">
        <v/>
      </c>
      <c r="V518" s="418"/>
    </row>
    <row r="519" spans="1:22" ht="13.95" customHeight="1">
      <c r="A519" s="1">
        <v>29</v>
      </c>
      <c r="B519" s="419"/>
      <c r="C519" s="335" t="str">
        <f t="shared" si="197"/>
        <v/>
      </c>
      <c r="D519" s="314" t="str">
        <f t="shared" si="198"/>
        <v/>
      </c>
      <c r="E519" s="314" t="str">
        <f t="shared" si="199"/>
        <v/>
      </c>
      <c r="F519" s="697" t="str">
        <f t="shared" si="200"/>
        <v/>
      </c>
      <c r="G519" s="317" t="str">
        <f t="shared" si="201"/>
        <v/>
      </c>
      <c r="J519" s="418"/>
      <c r="L519" s="419"/>
      <c r="M519" s="543">
        <f t="shared" si="195"/>
        <v>120</v>
      </c>
      <c r="N519" s="291" t="str">
        <v/>
      </c>
      <c r="P519" s="285">
        <f t="shared" si="196"/>
        <v>120</v>
      </c>
      <c r="Q519" s="291" t="str">
        <v/>
      </c>
      <c r="V519" s="418"/>
    </row>
    <row r="520" spans="1:22" ht="13.95" customHeight="1">
      <c r="A520" s="1">
        <v>30</v>
      </c>
      <c r="B520" s="419"/>
      <c r="C520" s="335" t="str">
        <f t="shared" si="197"/>
        <v/>
      </c>
      <c r="D520" s="314" t="str">
        <f t="shared" si="198"/>
        <v/>
      </c>
      <c r="E520" s="314" t="str">
        <f t="shared" si="199"/>
        <v/>
      </c>
      <c r="F520" s="697" t="str">
        <f t="shared" si="200"/>
        <v/>
      </c>
      <c r="G520" s="317" t="str">
        <f t="shared" si="201"/>
        <v/>
      </c>
      <c r="J520" s="418"/>
      <c r="L520" s="419"/>
      <c r="M520" s="543">
        <f t="shared" si="195"/>
        <v>130</v>
      </c>
      <c r="N520" s="291" t="str">
        <v/>
      </c>
      <c r="P520" s="285">
        <f t="shared" si="196"/>
        <v>130</v>
      </c>
      <c r="Q520" s="291" t="str">
        <v/>
      </c>
      <c r="V520" s="418"/>
    </row>
    <row r="521" spans="1:22" ht="13.95" customHeight="1">
      <c r="A521" s="1">
        <v>31</v>
      </c>
      <c r="B521" s="419"/>
      <c r="C521" s="335" t="str">
        <f t="shared" si="197"/>
        <v/>
      </c>
      <c r="D521" s="314" t="str">
        <f t="shared" si="198"/>
        <v/>
      </c>
      <c r="E521" s="314" t="str">
        <f t="shared" si="199"/>
        <v/>
      </c>
      <c r="F521" s="697" t="str">
        <f t="shared" si="200"/>
        <v/>
      </c>
      <c r="G521" s="317" t="str">
        <f t="shared" si="201"/>
        <v/>
      </c>
      <c r="J521" s="418"/>
      <c r="L521" s="419"/>
      <c r="M521" s="543">
        <f t="shared" si="195"/>
        <v>140</v>
      </c>
      <c r="N521" s="291" t="str">
        <v/>
      </c>
      <c r="P521" s="285">
        <f t="shared" si="196"/>
        <v>140</v>
      </c>
      <c r="Q521" s="291" t="str">
        <v/>
      </c>
      <c r="V521" s="418"/>
    </row>
    <row r="522" spans="1:22" ht="13.95" customHeight="1">
      <c r="A522" s="1">
        <v>32</v>
      </c>
      <c r="B522" s="419"/>
      <c r="C522" s="335" t="str">
        <f t="shared" si="197"/>
        <v/>
      </c>
      <c r="D522" s="314" t="str">
        <f t="shared" si="198"/>
        <v/>
      </c>
      <c r="E522" s="314" t="str">
        <f t="shared" si="199"/>
        <v/>
      </c>
      <c r="F522" s="697" t="str">
        <f t="shared" si="200"/>
        <v/>
      </c>
      <c r="G522" s="317" t="str">
        <f t="shared" si="201"/>
        <v/>
      </c>
      <c r="J522" s="418"/>
      <c r="L522" s="419"/>
      <c r="V522" s="418"/>
    </row>
    <row r="523" spans="1:22" ht="13.95" customHeight="1">
      <c r="A523" s="1">
        <v>33</v>
      </c>
      <c r="B523" s="419"/>
      <c r="C523" s="335" t="str">
        <f t="shared" si="197"/>
        <v/>
      </c>
      <c r="D523" s="314" t="str">
        <f t="shared" si="198"/>
        <v/>
      </c>
      <c r="E523" s="314" t="str">
        <f t="shared" si="199"/>
        <v/>
      </c>
      <c r="F523" s="697" t="str">
        <f t="shared" si="200"/>
        <v/>
      </c>
      <c r="G523" s="317" t="str">
        <f t="shared" si="201"/>
        <v/>
      </c>
      <c r="J523" s="418"/>
      <c r="L523" s="419"/>
      <c r="V523" s="418"/>
    </row>
    <row r="524" spans="1:22" ht="13.95" customHeight="1" thickBot="1">
      <c r="A524" s="1">
        <v>34</v>
      </c>
      <c r="B524" s="419"/>
      <c r="C524" s="335" t="str">
        <f t="shared" si="197"/>
        <v/>
      </c>
      <c r="D524" s="314" t="str">
        <f t="shared" si="198"/>
        <v/>
      </c>
      <c r="E524" s="314" t="str">
        <f t="shared" si="199"/>
        <v/>
      </c>
      <c r="F524" s="697" t="str">
        <f t="shared" si="200"/>
        <v/>
      </c>
      <c r="G524" s="317" t="str">
        <f t="shared" si="201"/>
        <v/>
      </c>
      <c r="J524" s="418"/>
      <c r="L524" s="261" t="s">
        <v>108</v>
      </c>
      <c r="V524" s="418"/>
    </row>
    <row r="525" spans="1:22" ht="13.95" customHeight="1" thickBot="1">
      <c r="A525" s="1">
        <v>35</v>
      </c>
      <c r="B525" s="419"/>
      <c r="C525" s="336" t="str">
        <f t="shared" si="197"/>
        <v/>
      </c>
      <c r="D525" s="322" t="str">
        <f t="shared" si="198"/>
        <v/>
      </c>
      <c r="E525" s="322" t="str">
        <f t="shared" si="199"/>
        <v/>
      </c>
      <c r="F525" s="698" t="str">
        <f t="shared" si="200"/>
        <v/>
      </c>
      <c r="G525" s="321" t="str">
        <f t="shared" si="201"/>
        <v/>
      </c>
      <c r="H525" s="643" t="s">
        <v>275</v>
      </c>
      <c r="I525" s="644" t="str">
        <f>V503</f>
        <v>NA</v>
      </c>
      <c r="J525" s="418"/>
      <c r="L525" s="419"/>
      <c r="P525" s="55" t="s">
        <v>637</v>
      </c>
      <c r="V525" s="418"/>
    </row>
    <row r="526" spans="1:22" ht="13.95" customHeight="1">
      <c r="A526" s="1">
        <v>36</v>
      </c>
      <c r="B526" s="419"/>
      <c r="J526" s="418"/>
      <c r="L526" s="114"/>
      <c r="M526" s="46"/>
      <c r="N526" s="46" t="s">
        <v>627</v>
      </c>
      <c r="V526" s="418"/>
    </row>
    <row r="527" spans="1:22" ht="13.95" customHeight="1">
      <c r="A527" s="1">
        <v>37</v>
      </c>
      <c r="B527" s="419"/>
      <c r="J527" s="418"/>
      <c r="L527" s="114"/>
      <c r="M527" s="46"/>
      <c r="N527" s="46" t="s">
        <v>628</v>
      </c>
      <c r="V527" s="418"/>
    </row>
    <row r="528" spans="1:22" ht="13.95" customHeight="1">
      <c r="A528" s="1">
        <v>38</v>
      </c>
      <c r="B528" s="419"/>
      <c r="J528" s="418"/>
      <c r="L528" s="114"/>
      <c r="M528" s="2"/>
      <c r="N528" s="46" t="s">
        <v>629</v>
      </c>
      <c r="V528" s="418"/>
    </row>
    <row r="529" spans="1:22" ht="13.95" customHeight="1">
      <c r="A529" s="1">
        <v>39</v>
      </c>
      <c r="B529" s="419"/>
      <c r="J529" s="418"/>
      <c r="L529" s="114"/>
      <c r="M529" s="2"/>
      <c r="N529" s="46" t="s">
        <v>631</v>
      </c>
      <c r="V529" s="418"/>
    </row>
    <row r="530" spans="1:22" ht="13.95" customHeight="1">
      <c r="A530" s="1">
        <v>40</v>
      </c>
      <c r="B530" s="419"/>
      <c r="J530" s="418"/>
      <c r="L530" s="114"/>
      <c r="M530" s="2"/>
      <c r="N530" s="46" t="s">
        <v>632</v>
      </c>
      <c r="V530" s="418"/>
    </row>
    <row r="531" spans="1:22" ht="13.95" customHeight="1">
      <c r="A531" s="1">
        <v>41</v>
      </c>
      <c r="B531" s="419"/>
      <c r="J531" s="418"/>
      <c r="L531" s="114"/>
      <c r="M531" s="42"/>
      <c r="N531" s="46" t="s">
        <v>633</v>
      </c>
      <c r="V531" s="418"/>
    </row>
    <row r="532" spans="1:22" ht="13.95" customHeight="1">
      <c r="A532" s="1">
        <v>42</v>
      </c>
      <c r="B532" s="419"/>
      <c r="J532" s="418"/>
      <c r="L532" s="114"/>
      <c r="M532" s="2"/>
      <c r="N532" s="46" t="s">
        <v>634</v>
      </c>
      <c r="V532" s="418"/>
    </row>
    <row r="533" spans="1:22" ht="13.95" customHeight="1">
      <c r="A533" s="1">
        <v>43</v>
      </c>
      <c r="B533" s="419"/>
      <c r="J533" s="418"/>
      <c r="L533" s="114"/>
      <c r="M533" s="2"/>
      <c r="N533" s="46" t="s">
        <v>635</v>
      </c>
      <c r="V533" s="418"/>
    </row>
    <row r="534" spans="1:22" ht="13.95" customHeight="1">
      <c r="A534" s="1">
        <v>44</v>
      </c>
      <c r="B534" s="419"/>
      <c r="J534" s="418"/>
      <c r="L534" s="114"/>
      <c r="M534" s="46"/>
      <c r="N534" s="46" t="s">
        <v>636</v>
      </c>
      <c r="V534" s="418"/>
    </row>
    <row r="535" spans="1:22" ht="13.95" customHeight="1">
      <c r="A535" s="1">
        <v>45</v>
      </c>
      <c r="B535" s="419"/>
      <c r="J535" s="418"/>
      <c r="L535" s="114"/>
      <c r="M535" s="46"/>
      <c r="N535" s="46" t="s">
        <v>630</v>
      </c>
      <c r="V535" s="418"/>
    </row>
    <row r="536" spans="1:22" ht="13.95" customHeight="1">
      <c r="A536" s="1">
        <v>46</v>
      </c>
      <c r="B536" s="419"/>
      <c r="J536" s="418"/>
      <c r="L536" s="419"/>
      <c r="V536" s="418"/>
    </row>
    <row r="537" spans="1:22" ht="13.95" customHeight="1" thickBot="1">
      <c r="A537" s="1">
        <v>47</v>
      </c>
      <c r="B537" s="423"/>
      <c r="C537" s="424"/>
      <c r="D537" s="424"/>
      <c r="E537" s="424"/>
      <c r="F537" s="424"/>
      <c r="G537" s="424"/>
      <c r="H537" s="424"/>
      <c r="I537" s="424"/>
      <c r="J537" s="425"/>
      <c r="L537" s="419"/>
      <c r="P537" s="55" t="s">
        <v>638</v>
      </c>
      <c r="V537" s="418"/>
    </row>
    <row r="538" spans="1:22" ht="13.95" customHeight="1" thickTop="1">
      <c r="A538" s="1">
        <v>48</v>
      </c>
      <c r="B538" s="99" t="s">
        <v>3</v>
      </c>
      <c r="C538" s="100" t="str">
        <f>IF($N$8="","",$N$8)</f>
        <v/>
      </c>
      <c r="D538" s="2"/>
      <c r="E538" s="2"/>
      <c r="F538" s="2"/>
      <c r="G538" s="2" t="str">
        <f>""</f>
        <v/>
      </c>
      <c r="H538" s="2" t="str">
        <f>""</f>
        <v/>
      </c>
      <c r="I538" s="99" t="s">
        <v>4</v>
      </c>
      <c r="J538" s="101" t="str">
        <f>IF($U$8="","",$U$8)</f>
        <v>Eugene Mah</v>
      </c>
      <c r="L538" s="114"/>
      <c r="M538" s="46"/>
      <c r="N538" s="46" t="s">
        <v>639</v>
      </c>
      <c r="V538" s="418"/>
    </row>
    <row r="539" spans="1:22" ht="13.95" customHeight="1">
      <c r="A539" s="1">
        <v>49</v>
      </c>
      <c r="B539" s="99" t="s">
        <v>18</v>
      </c>
      <c r="C539" s="102" t="str">
        <f>IF($O$15="","",$O$15)</f>
        <v/>
      </c>
      <c r="D539" s="2"/>
      <c r="E539" s="2"/>
      <c r="F539" s="2"/>
      <c r="G539" s="2"/>
      <c r="H539" s="2"/>
      <c r="I539" s="99" t="s">
        <v>16</v>
      </c>
      <c r="J539" s="103" t="str">
        <f>IF($E$14="","",$E$14)</f>
        <v/>
      </c>
      <c r="L539" s="114"/>
      <c r="M539" s="46"/>
      <c r="N539" s="46" t="s">
        <v>640</v>
      </c>
      <c r="V539" s="418"/>
    </row>
    <row r="540" spans="1:22" ht="13.95" customHeight="1">
      <c r="A540" s="1">
        <v>1</v>
      </c>
      <c r="J540" s="118" t="str">
        <f>$F$2</f>
        <v>Medical University of South Carolina</v>
      </c>
      <c r="L540" s="114"/>
      <c r="M540" s="46"/>
      <c r="N540" s="46" t="s">
        <v>641</v>
      </c>
      <c r="V540" s="418"/>
    </row>
    <row r="541" spans="1:22" ht="13.95" customHeight="1" thickBot="1">
      <c r="A541" s="1">
        <v>2</v>
      </c>
      <c r="J541" s="79" t="str">
        <f>$F$5</f>
        <v>EOS Imaging System Compliance Inspection</v>
      </c>
      <c r="L541" s="114"/>
      <c r="M541" s="46"/>
      <c r="N541" s="46" t="s">
        <v>672</v>
      </c>
      <c r="V541" s="418"/>
    </row>
    <row r="542" spans="1:22" ht="13.95" customHeight="1" thickTop="1">
      <c r="A542" s="1">
        <v>3</v>
      </c>
      <c r="B542" s="501"/>
      <c r="C542" s="502"/>
      <c r="D542" s="502"/>
      <c r="E542" s="502"/>
      <c r="F542" s="502"/>
      <c r="G542" s="502"/>
      <c r="H542" s="502"/>
      <c r="I542" s="502"/>
      <c r="J542" s="503"/>
      <c r="L542" s="114"/>
      <c r="M542" s="46"/>
      <c r="N542" s="46" t="s">
        <v>643</v>
      </c>
      <c r="V542" s="418"/>
    </row>
    <row r="543" spans="1:22" ht="13.95" customHeight="1">
      <c r="A543" s="1">
        <v>4</v>
      </c>
      <c r="B543" s="419"/>
      <c r="J543" s="418"/>
      <c r="L543" s="114"/>
      <c r="M543" s="46"/>
      <c r="N543" s="46" t="s">
        <v>644</v>
      </c>
      <c r="V543" s="418"/>
    </row>
    <row r="544" spans="1:22" ht="13.95" customHeight="1" thickBot="1">
      <c r="A544" s="1">
        <v>5</v>
      </c>
      <c r="B544" s="419"/>
      <c r="J544" s="418"/>
      <c r="L544" s="423"/>
      <c r="M544" s="424"/>
      <c r="N544" s="424"/>
      <c r="O544" s="424"/>
      <c r="P544" s="424"/>
      <c r="Q544" s="424"/>
      <c r="R544" s="424"/>
      <c r="S544" s="424"/>
      <c r="T544" s="424"/>
      <c r="U544" s="424"/>
      <c r="V544" s="425"/>
    </row>
    <row r="545" spans="1:10" ht="13.95" customHeight="1" thickTop="1">
      <c r="A545" s="1">
        <v>6</v>
      </c>
      <c r="B545" s="419"/>
      <c r="J545" s="418"/>
    </row>
    <row r="546" spans="1:10" ht="13.95" customHeight="1">
      <c r="A546" s="1">
        <v>7</v>
      </c>
      <c r="B546" s="419"/>
      <c r="J546" s="418"/>
    </row>
    <row r="547" spans="1:10" ht="13.95" customHeight="1">
      <c r="A547" s="1">
        <v>8</v>
      </c>
      <c r="B547" s="419"/>
      <c r="J547" s="418"/>
    </row>
    <row r="548" spans="1:10" ht="13.95" customHeight="1">
      <c r="A548" s="1">
        <v>9</v>
      </c>
      <c r="B548" s="419"/>
      <c r="J548" s="418"/>
    </row>
    <row r="549" spans="1:10" ht="13.95" customHeight="1">
      <c r="A549" s="1">
        <v>10</v>
      </c>
      <c r="B549" s="419"/>
      <c r="J549" s="418"/>
    </row>
    <row r="550" spans="1:10" ht="13.95" customHeight="1">
      <c r="A550" s="1">
        <v>11</v>
      </c>
      <c r="B550" s="419"/>
      <c r="J550" s="418"/>
    </row>
    <row r="551" spans="1:10" ht="13.95" customHeight="1">
      <c r="A551" s="1">
        <v>12</v>
      </c>
      <c r="B551" s="419"/>
      <c r="J551" s="418"/>
    </row>
    <row r="552" spans="1:10" ht="13.95" customHeight="1">
      <c r="A552" s="1">
        <v>13</v>
      </c>
      <c r="B552" s="419"/>
      <c r="J552" s="418"/>
    </row>
    <row r="553" spans="1:10" ht="13.95" customHeight="1">
      <c r="A553" s="1">
        <v>14</v>
      </c>
      <c r="B553" s="419"/>
      <c r="J553" s="418"/>
    </row>
    <row r="554" spans="1:10" ht="13.95" customHeight="1">
      <c r="A554" s="1">
        <v>15</v>
      </c>
      <c r="B554" s="419"/>
      <c r="J554" s="418"/>
    </row>
    <row r="555" spans="1:10" ht="13.95" customHeight="1">
      <c r="A555" s="1">
        <v>16</v>
      </c>
      <c r="B555" s="419"/>
      <c r="J555" s="418"/>
    </row>
    <row r="556" spans="1:10" ht="13.95" customHeight="1">
      <c r="A556" s="1">
        <v>17</v>
      </c>
      <c r="B556" s="419"/>
      <c r="J556" s="418"/>
    </row>
    <row r="557" spans="1:10" ht="13.95" customHeight="1">
      <c r="A557" s="1">
        <v>18</v>
      </c>
      <c r="B557" s="419"/>
      <c r="J557" s="418"/>
    </row>
    <row r="558" spans="1:10" ht="13.95" customHeight="1">
      <c r="A558" s="1">
        <v>19</v>
      </c>
      <c r="B558" s="419"/>
      <c r="J558" s="418"/>
    </row>
    <row r="559" spans="1:10" ht="13.95" customHeight="1">
      <c r="A559" s="1">
        <v>20</v>
      </c>
      <c r="B559" s="419"/>
      <c r="J559" s="418"/>
    </row>
    <row r="560" spans="1:10" ht="13.95" customHeight="1">
      <c r="A560" s="1">
        <v>21</v>
      </c>
      <c r="B560" s="419"/>
      <c r="J560" s="418"/>
    </row>
    <row r="561" spans="1:10" ht="13.95" customHeight="1">
      <c r="A561" s="1">
        <v>22</v>
      </c>
      <c r="B561" s="419"/>
      <c r="J561" s="418"/>
    </row>
    <row r="562" spans="1:10" ht="13.95" customHeight="1">
      <c r="A562" s="1">
        <v>23</v>
      </c>
      <c r="B562" s="419"/>
      <c r="J562" s="418"/>
    </row>
    <row r="563" spans="1:10" ht="13.95" customHeight="1">
      <c r="A563" s="1">
        <v>24</v>
      </c>
      <c r="B563" s="419"/>
      <c r="J563" s="418"/>
    </row>
    <row r="564" spans="1:10" ht="13.95" customHeight="1">
      <c r="A564" s="1">
        <v>25</v>
      </c>
      <c r="B564" s="419"/>
      <c r="J564" s="418"/>
    </row>
    <row r="565" spans="1:10" ht="13.95" customHeight="1">
      <c r="A565" s="1">
        <v>26</v>
      </c>
      <c r="B565" s="419"/>
      <c r="J565" s="418"/>
    </row>
    <row r="566" spans="1:10" ht="13.95" customHeight="1">
      <c r="A566" s="1">
        <v>27</v>
      </c>
      <c r="B566" s="419"/>
      <c r="J566" s="418"/>
    </row>
    <row r="567" spans="1:10" ht="13.95" customHeight="1">
      <c r="A567" s="1">
        <v>28</v>
      </c>
      <c r="B567" s="419"/>
      <c r="J567" s="418"/>
    </row>
    <row r="568" spans="1:10" ht="13.95" customHeight="1">
      <c r="A568" s="1">
        <v>29</v>
      </c>
      <c r="B568" s="419"/>
      <c r="J568" s="418"/>
    </row>
    <row r="569" spans="1:10" ht="13.95" customHeight="1">
      <c r="A569" s="1">
        <v>30</v>
      </c>
      <c r="B569" s="419"/>
      <c r="J569" s="418"/>
    </row>
    <row r="570" spans="1:10" ht="13.95" customHeight="1">
      <c r="A570" s="1">
        <v>31</v>
      </c>
      <c r="B570" s="419"/>
      <c r="J570" s="418"/>
    </row>
    <row r="571" spans="1:10" ht="13.95" customHeight="1">
      <c r="A571" s="1">
        <v>32</v>
      </c>
      <c r="B571" s="419"/>
      <c r="J571" s="418"/>
    </row>
    <row r="572" spans="1:10" ht="13.95" customHeight="1">
      <c r="A572" s="1">
        <v>33</v>
      </c>
      <c r="B572" s="419"/>
      <c r="J572" s="418"/>
    </row>
    <row r="573" spans="1:10" ht="13.95" customHeight="1">
      <c r="A573" s="1">
        <v>34</v>
      </c>
      <c r="B573" s="419"/>
      <c r="J573" s="418"/>
    </row>
    <row r="574" spans="1:10" ht="13.95" customHeight="1">
      <c r="A574" s="1">
        <v>35</v>
      </c>
      <c r="B574" s="419"/>
      <c r="J574" s="418"/>
    </row>
    <row r="575" spans="1:10" ht="13.95" customHeight="1">
      <c r="A575" s="1">
        <v>36</v>
      </c>
      <c r="B575" s="419"/>
      <c r="J575" s="418"/>
    </row>
    <row r="576" spans="1:10" ht="13.95" customHeight="1">
      <c r="A576" s="1">
        <v>37</v>
      </c>
      <c r="B576" s="419"/>
      <c r="J576" s="418"/>
    </row>
    <row r="577" spans="1:10" ht="13.95" customHeight="1">
      <c r="A577" s="1">
        <v>38</v>
      </c>
      <c r="B577" s="419"/>
      <c r="J577" s="418"/>
    </row>
    <row r="578" spans="1:10" ht="13.95" customHeight="1">
      <c r="A578" s="1">
        <v>39</v>
      </c>
      <c r="B578" s="419"/>
      <c r="J578" s="418"/>
    </row>
    <row r="579" spans="1:10" ht="13.95" customHeight="1">
      <c r="A579" s="1">
        <v>40</v>
      </c>
      <c r="B579" s="419"/>
      <c r="J579" s="418"/>
    </row>
    <row r="580" spans="1:10" ht="13.95" customHeight="1">
      <c r="A580" s="1">
        <v>41</v>
      </c>
      <c r="B580" s="419"/>
      <c r="J580" s="418"/>
    </row>
    <row r="581" spans="1:10" ht="13.95" customHeight="1">
      <c r="A581" s="1">
        <v>42</v>
      </c>
      <c r="B581" s="419"/>
      <c r="J581" s="418"/>
    </row>
    <row r="582" spans="1:10" ht="13.95" customHeight="1">
      <c r="A582" s="1">
        <v>43</v>
      </c>
      <c r="B582" s="419"/>
      <c r="J582" s="418"/>
    </row>
    <row r="583" spans="1:10" ht="13.95" customHeight="1">
      <c r="A583" s="1">
        <v>44</v>
      </c>
      <c r="B583" s="419"/>
      <c r="J583" s="418"/>
    </row>
    <row r="584" spans="1:10" ht="13.95" customHeight="1">
      <c r="A584" s="1">
        <v>45</v>
      </c>
      <c r="B584" s="419"/>
      <c r="J584" s="418"/>
    </row>
    <row r="585" spans="1:10" ht="13.95" customHeight="1">
      <c r="A585" s="1">
        <v>46</v>
      </c>
      <c r="B585" s="419"/>
      <c r="J585" s="418"/>
    </row>
    <row r="586" spans="1:10" ht="13.95" customHeight="1" thickBot="1">
      <c r="A586" s="1">
        <v>47</v>
      </c>
      <c r="B586" s="423"/>
      <c r="C586" s="424"/>
      <c r="D586" s="424"/>
      <c r="E586" s="424"/>
      <c r="F586" s="424"/>
      <c r="G586" s="424"/>
      <c r="H586" s="424"/>
      <c r="I586" s="424"/>
      <c r="J586" s="425"/>
    </row>
    <row r="587" spans="1:10" ht="13.95" customHeight="1" thickTop="1">
      <c r="A587" s="1">
        <v>48</v>
      </c>
      <c r="B587" s="99" t="s">
        <v>3</v>
      </c>
      <c r="C587" s="100" t="str">
        <f>IF($N$8="","",$N$8)</f>
        <v/>
      </c>
      <c r="D587" s="2"/>
      <c r="E587" s="2"/>
      <c r="F587" s="2"/>
      <c r="G587" s="2" t="str">
        <f>""</f>
        <v/>
      </c>
      <c r="H587" s="2" t="str">
        <f>""</f>
        <v/>
      </c>
      <c r="I587" s="99" t="s">
        <v>4</v>
      </c>
      <c r="J587" s="101" t="str">
        <f>IF($U$8="","",$U$8)</f>
        <v>Eugene Mah</v>
      </c>
    </row>
    <row r="588" spans="1:10" ht="13.95" customHeight="1">
      <c r="A588" s="1">
        <v>49</v>
      </c>
      <c r="B588" s="99" t="s">
        <v>18</v>
      </c>
      <c r="C588" s="102" t="str">
        <f>IF($O$15="","",$O$15)</f>
        <v/>
      </c>
      <c r="D588" s="2"/>
      <c r="E588" s="2"/>
      <c r="F588" s="2"/>
      <c r="G588" s="2"/>
      <c r="H588" s="2"/>
      <c r="I588" s="99" t="s">
        <v>16</v>
      </c>
      <c r="J588" s="103" t="str">
        <f>IF($E$14="","",$E$14)</f>
        <v/>
      </c>
    </row>
  </sheetData>
  <mergeCells count="104">
    <mergeCell ref="C465:G465"/>
    <mergeCell ref="E468:F468"/>
    <mergeCell ref="C477:G477"/>
    <mergeCell ref="E480:F480"/>
    <mergeCell ref="D446:F446"/>
    <mergeCell ref="G446:I446"/>
    <mergeCell ref="C453:F453"/>
    <mergeCell ref="G453:J453"/>
    <mergeCell ref="C417:D417"/>
    <mergeCell ref="G417:H417"/>
    <mergeCell ref="B414:E414"/>
    <mergeCell ref="F414:I414"/>
    <mergeCell ref="O388:P388"/>
    <mergeCell ref="L387:P387"/>
    <mergeCell ref="L388:N388"/>
    <mergeCell ref="Q387:U387"/>
    <mergeCell ref="Q388:S388"/>
    <mergeCell ref="T388:U388"/>
    <mergeCell ref="L359:P359"/>
    <mergeCell ref="L374:P374"/>
    <mergeCell ref="Q374:U374"/>
    <mergeCell ref="L375:M375"/>
    <mergeCell ref="N375:P375"/>
    <mergeCell ref="Q375:R375"/>
    <mergeCell ref="S375:U375"/>
    <mergeCell ref="D401:F401"/>
    <mergeCell ref="D400:F400"/>
    <mergeCell ref="L341:P341"/>
    <mergeCell ref="Q341:U341"/>
    <mergeCell ref="S342:U342"/>
    <mergeCell ref="L342:M342"/>
    <mergeCell ref="Q342:R342"/>
    <mergeCell ref="P314:Q314"/>
    <mergeCell ref="L360:M360"/>
    <mergeCell ref="N360:P360"/>
    <mergeCell ref="Q359:U359"/>
    <mergeCell ref="Q360:R360"/>
    <mergeCell ref="S360:U360"/>
    <mergeCell ref="N449:O449"/>
    <mergeCell ref="S449:T449"/>
    <mergeCell ref="M434:Q434"/>
    <mergeCell ref="R434:V434"/>
    <mergeCell ref="L446:P446"/>
    <mergeCell ref="Q446:U446"/>
    <mergeCell ref="I250:I252"/>
    <mergeCell ref="S233:S235"/>
    <mergeCell ref="S255:S257"/>
    <mergeCell ref="T256:T257"/>
    <mergeCell ref="U255:U257"/>
    <mergeCell ref="G401:I401"/>
    <mergeCell ref="G400:I400"/>
    <mergeCell ref="N307:O307"/>
    <mergeCell ref="P307:Q307"/>
    <mergeCell ref="O296:P296"/>
    <mergeCell ref="O297:P297"/>
    <mergeCell ref="O298:P298"/>
    <mergeCell ref="O299:P299"/>
    <mergeCell ref="M426:P426"/>
    <mergeCell ref="Q426:T426"/>
    <mergeCell ref="T314:U314"/>
    <mergeCell ref="R314:S314"/>
    <mergeCell ref="N342:P342"/>
    <mergeCell ref="Y293:Y295"/>
    <mergeCell ref="Y296:Y298"/>
    <mergeCell ref="Y299:Y301"/>
    <mergeCell ref="Y303:Y305"/>
    <mergeCell ref="Y306:Y308"/>
    <mergeCell ref="B317:C317"/>
    <mergeCell ref="D317:E317"/>
    <mergeCell ref="F317:G317"/>
    <mergeCell ref="Y309:Y311"/>
    <mergeCell ref="D306:E306"/>
    <mergeCell ref="D307:E307"/>
    <mergeCell ref="D308:E308"/>
    <mergeCell ref="D309:E309"/>
    <mergeCell ref="R307:S307"/>
    <mergeCell ref="R308:S308"/>
    <mergeCell ref="T308:U308"/>
    <mergeCell ref="T307:U307"/>
    <mergeCell ref="L307:M307"/>
    <mergeCell ref="L308:M308"/>
    <mergeCell ref="N308:O308"/>
    <mergeCell ref="P308:Q308"/>
    <mergeCell ref="B318:C318"/>
    <mergeCell ref="D318:E318"/>
    <mergeCell ref="F318:G318"/>
    <mergeCell ref="H318:I318"/>
    <mergeCell ref="B324:C324"/>
    <mergeCell ref="D324:E324"/>
    <mergeCell ref="F324:G324"/>
    <mergeCell ref="F325:G325"/>
    <mergeCell ref="H325:I325"/>
    <mergeCell ref="C352:C353"/>
    <mergeCell ref="D352:D353"/>
    <mergeCell ref="D351:E351"/>
    <mergeCell ref="F351:G351"/>
    <mergeCell ref="F352:F353"/>
    <mergeCell ref="C369:C370"/>
    <mergeCell ref="D369:E369"/>
    <mergeCell ref="D368:E368"/>
    <mergeCell ref="B325:C325"/>
    <mergeCell ref="D325:E325"/>
    <mergeCell ref="F368:G368"/>
    <mergeCell ref="F369:G369"/>
  </mergeCells>
  <phoneticPr fontId="17" type="noConversion"/>
  <conditionalFormatting sqref="D364">
    <cfRule type="expression" dxfId="118" priority="30" stopIfTrue="1">
      <formula>E364="YES"</formula>
    </cfRule>
    <cfRule type="expression" dxfId="117" priority="31" stopIfTrue="1">
      <formula>E364="NO"</formula>
    </cfRule>
  </conditionalFormatting>
  <conditionalFormatting sqref="D378:G378">
    <cfRule type="cellIs" dxfId="116" priority="23" operator="greaterThan">
      <formula>0.05</formula>
    </cfRule>
  </conditionalFormatting>
  <conditionalFormatting sqref="D379:G379">
    <cfRule type="cellIs" dxfId="115" priority="25" operator="equal">
      <formula>"NO"</formula>
    </cfRule>
  </conditionalFormatting>
  <conditionalFormatting sqref="E354:E363">
    <cfRule type="cellIs" dxfId="114" priority="37" operator="greaterThan">
      <formula>"abs(E354)&gt;0.05"</formula>
    </cfRule>
    <cfRule type="cellIs" dxfId="113" priority="36" operator="greaterThan">
      <formula>0.05</formula>
    </cfRule>
  </conditionalFormatting>
  <conditionalFormatting sqref="E364">
    <cfRule type="cellIs" dxfId="112" priority="2" operator="equal">
      <formula>"NO"</formula>
    </cfRule>
  </conditionalFormatting>
  <conditionalFormatting sqref="E420">
    <cfRule type="cellIs" dxfId="111" priority="20" operator="equal">
      <formula>"NO"</formula>
    </cfRule>
  </conditionalFormatting>
  <conditionalFormatting sqref="F308:F309">
    <cfRule type="cellIs" dxfId="110" priority="47" operator="greaterThan">
      <formula>2</formula>
    </cfRule>
  </conditionalFormatting>
  <conditionalFormatting sqref="F364">
    <cfRule type="expression" dxfId="109" priority="26" stopIfTrue="1">
      <formula>G364="YES"</formula>
    </cfRule>
    <cfRule type="expression" dxfId="108" priority="27" stopIfTrue="1">
      <formula>G364="NO"</formula>
    </cfRule>
  </conditionalFormatting>
  <conditionalFormatting sqref="F408 I408">
    <cfRule type="cellIs" dxfId="107" priority="22" operator="greaterThan">
      <formula>0.1</formula>
    </cfRule>
  </conditionalFormatting>
  <conditionalFormatting sqref="F409 I409">
    <cfRule type="cellIs" dxfId="106" priority="21" operator="equal">
      <formula>"NO"</formula>
    </cfRule>
  </conditionalFormatting>
  <conditionalFormatting sqref="F456:F458 J456:J458">
    <cfRule type="cellIs" dxfId="105" priority="15" operator="greaterThan">
      <formula>0.11</formula>
    </cfRule>
  </conditionalFormatting>
  <conditionalFormatting sqref="F459">
    <cfRule type="cellIs" dxfId="104" priority="17" operator="equal">
      <formula>"NO"</formula>
    </cfRule>
  </conditionalFormatting>
  <conditionalFormatting sqref="F320:G321">
    <cfRule type="cellIs" dxfId="103" priority="43" operator="greaterThan">
      <formula>0.02</formula>
    </cfRule>
  </conditionalFormatting>
  <conditionalFormatting sqref="F327:G328">
    <cfRule type="cellIs" dxfId="102" priority="41" operator="greaterThan">
      <formula>0.02</formula>
    </cfRule>
  </conditionalFormatting>
  <conditionalFormatting sqref="G354:G363">
    <cfRule type="cellIs" dxfId="101" priority="35" operator="greaterThan">
      <formula>"abs(E354)&gt;0.05"</formula>
    </cfRule>
    <cfRule type="cellIs" dxfId="100" priority="34" operator="greaterThan">
      <formula>0.05</formula>
    </cfRule>
  </conditionalFormatting>
  <conditionalFormatting sqref="G364">
    <cfRule type="cellIs" dxfId="99" priority="1" operator="equal">
      <formula>"NO"</formula>
    </cfRule>
  </conditionalFormatting>
  <conditionalFormatting sqref="G499:G508 G516:G525">
    <cfRule type="cellIs" dxfId="98" priority="7" operator="equal">
      <formula>"NO"</formula>
    </cfRule>
  </conditionalFormatting>
  <conditionalFormatting sqref="H337">
    <cfRule type="cellIs" dxfId="97" priority="38" operator="equal">
      <formula>"NO"</formula>
    </cfRule>
  </conditionalFormatting>
  <conditionalFormatting sqref="H320:I321">
    <cfRule type="cellIs" dxfId="96" priority="42" operator="equal">
      <formula>"NO"</formula>
    </cfRule>
  </conditionalFormatting>
  <conditionalFormatting sqref="H327:I328">
    <cfRule type="cellIs" dxfId="95" priority="40" operator="equal">
      <formula>"NO"</formula>
    </cfRule>
  </conditionalFormatting>
  <conditionalFormatting sqref="I301">
    <cfRule type="cellIs" dxfId="94" priority="49" operator="equal">
      <formula>"TBD"</formula>
    </cfRule>
    <cfRule type="cellIs" dxfId="93" priority="48" operator="equal">
      <formula>"NO"</formula>
    </cfRule>
  </conditionalFormatting>
  <conditionalFormatting sqref="I308">
    <cfRule type="cellIs" dxfId="92" priority="44" operator="equal">
      <formula>"NO"</formula>
    </cfRule>
    <cfRule type="cellIs" dxfId="91" priority="45" operator="equal">
      <formula>"TBD"</formula>
    </cfRule>
  </conditionalFormatting>
  <conditionalFormatting sqref="I420">
    <cfRule type="cellIs" dxfId="90" priority="19" operator="equal">
      <formula>"NO"</formula>
    </cfRule>
  </conditionalFormatting>
  <conditionalFormatting sqref="I470 I482">
    <cfRule type="cellIs" dxfId="89" priority="14" operator="equal">
      <formula>"NO"</formula>
    </cfRule>
  </conditionalFormatting>
  <conditionalFormatting sqref="I508">
    <cfRule type="cellIs" dxfId="88" priority="9" operator="equal">
      <formula>"NO"</formula>
    </cfRule>
  </conditionalFormatting>
  <conditionalFormatting sqref="I525">
    <cfRule type="cellIs" dxfId="87" priority="8" operator="equal">
      <formula>"NO"</formula>
    </cfRule>
  </conditionalFormatting>
  <conditionalFormatting sqref="J54:J61 J64:J68">
    <cfRule type="cellIs" dxfId="86" priority="165" operator="equal">
      <formula>"TBD"</formula>
    </cfRule>
  </conditionalFormatting>
  <conditionalFormatting sqref="J54:J61">
    <cfRule type="cellIs" dxfId="85" priority="168" operator="equal">
      <formula>"NO"</formula>
    </cfRule>
  </conditionalFormatting>
  <conditionalFormatting sqref="J72:J82">
    <cfRule type="cellIs" dxfId="84" priority="62" operator="equal">
      <formula>"TBD"</formula>
    </cfRule>
    <cfRule type="cellIs" dxfId="83" priority="63" operator="equal">
      <formula>"NO"</formula>
    </cfRule>
  </conditionalFormatting>
  <conditionalFormatting sqref="J85:J87">
    <cfRule type="cellIs" dxfId="82" priority="56" operator="equal">
      <formula>"NO"</formula>
    </cfRule>
  </conditionalFormatting>
  <conditionalFormatting sqref="J85:J88">
    <cfRule type="cellIs" dxfId="81" priority="54" operator="equal">
      <formula>"TBD"</formula>
    </cfRule>
  </conditionalFormatting>
  <conditionalFormatting sqref="J103:J113">
    <cfRule type="cellIs" dxfId="80" priority="58" operator="equal">
      <formula>"NO"</formula>
    </cfRule>
    <cfRule type="cellIs" dxfId="79" priority="60" operator="equal">
      <formula>"TBD"</formula>
    </cfRule>
  </conditionalFormatting>
  <conditionalFormatting sqref="J116:J121">
    <cfRule type="cellIs" dxfId="78" priority="50" operator="equal">
      <formula>"NO"</formula>
    </cfRule>
    <cfRule type="cellIs" dxfId="77" priority="51" operator="equal">
      <formula>"TBD"</formula>
    </cfRule>
  </conditionalFormatting>
  <conditionalFormatting sqref="J459">
    <cfRule type="cellIs" dxfId="76" priority="16" operator="equal">
      <formula>"NO"</formula>
    </cfRule>
  </conditionalFormatting>
  <conditionalFormatting sqref="M370 T383">
    <cfRule type="expression" dxfId="75" priority="132" stopIfTrue="1">
      <formula>OR(N370="NO",O370="NO",P370="NO")</formula>
    </cfRule>
    <cfRule type="expression" dxfId="74" priority="133" stopIfTrue="1">
      <formula>OR(AND(P370&lt;&gt;"NO",OR(AND(N370="YES",O370&lt;&gt;"NO"),AND(O370="YES",N370&lt;&gt;"NO"))),AND(P370="YES",N370&lt;&gt;"NO",O370&lt;&gt;"NO"))</formula>
    </cfRule>
  </conditionalFormatting>
  <conditionalFormatting sqref="N355">
    <cfRule type="expression" dxfId="73" priority="148" stopIfTrue="1">
      <formula>O355="NO"</formula>
    </cfRule>
    <cfRule type="expression" dxfId="72" priority="147" stopIfTrue="1">
      <formula>O355="YES"</formula>
    </cfRule>
  </conditionalFormatting>
  <conditionalFormatting sqref="N369:P369">
    <cfRule type="cellIs" dxfId="71" priority="119" operator="greaterThan">
      <formula>0.05</formula>
    </cfRule>
  </conditionalFormatting>
  <conditionalFormatting sqref="N370:P370">
    <cfRule type="expression" dxfId="70" priority="130" stopIfTrue="1">
      <formula>N370="NO"</formula>
    </cfRule>
    <cfRule type="expression" dxfId="69" priority="131" stopIfTrue="1">
      <formula>N370="YES"</formula>
    </cfRule>
  </conditionalFormatting>
  <conditionalFormatting sqref="O355">
    <cfRule type="expression" dxfId="68" priority="150" stopIfTrue="1">
      <formula>O355="NO"</formula>
    </cfRule>
    <cfRule type="expression" dxfId="67" priority="149" stopIfTrue="1">
      <formula>O355="YES"</formula>
    </cfRule>
  </conditionalFormatting>
  <conditionalFormatting sqref="O383">
    <cfRule type="expression" dxfId="66" priority="113" stopIfTrue="1">
      <formula>OR(P383="NO",Q383="NO",R383="NO")</formula>
    </cfRule>
    <cfRule type="expression" dxfId="65" priority="114" stopIfTrue="1">
      <formula>OR(AND(R383&lt;&gt;"NO",OR(AND(P383="YES",Q383&lt;&gt;"NO"),AND(Q383="YES",P383&lt;&gt;"NO"))),AND(R383="YES",P383&lt;&gt;"NO",Q383&lt;&gt;"NO"))</formula>
    </cfRule>
  </conditionalFormatting>
  <conditionalFormatting sqref="O407:P407">
    <cfRule type="expression" dxfId="64" priority="99" stopIfTrue="1">
      <formula>$P$407="NO"</formula>
    </cfRule>
    <cfRule type="expression" dxfId="63" priority="98" stopIfTrue="1">
      <formula>$P$407="YES"</formula>
    </cfRule>
  </conditionalFormatting>
  <conditionalFormatting sqref="P382">
    <cfRule type="cellIs" dxfId="62" priority="116" operator="greaterThan">
      <formula>0.1</formula>
    </cfRule>
  </conditionalFormatting>
  <conditionalFormatting sqref="P383">
    <cfRule type="expression" dxfId="61" priority="111" stopIfTrue="1">
      <formula>P383="NO"</formula>
    </cfRule>
    <cfRule type="expression" dxfId="60" priority="112" stopIfTrue="1">
      <formula>P383="YES"</formula>
    </cfRule>
  </conditionalFormatting>
  <conditionalFormatting sqref="P450:P457">
    <cfRule type="cellIs" dxfId="59" priority="83" operator="lessThan">
      <formula>-0.35</formula>
    </cfRule>
    <cfRule type="cellIs" dxfId="58" priority="84" operator="greaterThan">
      <formula>0.35</formula>
    </cfRule>
  </conditionalFormatting>
  <conditionalFormatting sqref="P458">
    <cfRule type="cellIs" dxfId="57" priority="87" operator="equal">
      <formula>"NO"</formula>
    </cfRule>
  </conditionalFormatting>
  <conditionalFormatting sqref="P284:Q285">
    <cfRule type="cellIs" dxfId="56" priority="65" operator="greaterThan">
      <formula>5</formula>
    </cfRule>
  </conditionalFormatting>
  <conditionalFormatting sqref="P440:Q440">
    <cfRule type="expression" dxfId="55" priority="90" stopIfTrue="1">
      <formula>$P$407="YES"</formula>
    </cfRule>
    <cfRule type="expression" dxfId="54" priority="91" stopIfTrue="1">
      <formula>$P$407="NO"</formula>
    </cfRule>
  </conditionalFormatting>
  <conditionalFormatting sqref="Q437:Q439 V437:V439">
    <cfRule type="cellIs" dxfId="53" priority="94" operator="greaterThan">
      <formula>0.11</formula>
    </cfRule>
  </conditionalFormatting>
  <conditionalFormatting sqref="Q483:S483">
    <cfRule type="expression" dxfId="52" priority="78" stopIfTrue="1">
      <formula>ABS(Q483)&lt;=0.25</formula>
    </cfRule>
    <cfRule type="expression" dxfId="51" priority="79" stopIfTrue="1">
      <formula>ABS(Q483)&gt;0.25</formula>
    </cfRule>
  </conditionalFormatting>
  <conditionalFormatting sqref="Q503:S503">
    <cfRule type="expression" dxfId="50" priority="72" stopIfTrue="1">
      <formula>ABS(Q503)&lt;=0.25</formula>
    </cfRule>
    <cfRule type="expression" dxfId="49" priority="73" stopIfTrue="1">
      <formula>ABS(Q503)&gt;0.25</formula>
    </cfRule>
  </conditionalFormatting>
  <conditionalFormatting sqref="R313">
    <cfRule type="expression" dxfId="48" priority="152" stopIfTrue="1">
      <formula>OR(R316="YES",S316="YES",T316="YES",U316="YES",R317="YES",S317="YES",T317="YES",U317="YES")</formula>
    </cfRule>
    <cfRule type="expression" dxfId="47" priority="151" stopIfTrue="1">
      <formula>OR(R316="NO",S316="NO",T316="NO",U316="NO",R317="NO",S317="NO",T317="NO",U317="NO")</formula>
    </cfRule>
  </conditionalFormatting>
  <conditionalFormatting sqref="R370">
    <cfRule type="expression" dxfId="46" priority="128" stopIfTrue="1">
      <formula>OR(S370="NO",T370="NO",U370="NO")</formula>
    </cfRule>
    <cfRule type="expression" dxfId="45" priority="129" stopIfTrue="1">
      <formula>OR(AND(U370&lt;&gt;"NO",OR(AND(S370="YES",T370&lt;&gt;"NO"),AND(T370="YES",S370&lt;&gt;"NO"))),AND(U370="YES",S370&lt;&gt;"NO",T370&lt;&gt;"NO"))</formula>
    </cfRule>
  </conditionalFormatting>
  <conditionalFormatting sqref="R316:U317">
    <cfRule type="expression" dxfId="44" priority="155" stopIfTrue="1">
      <formula>R316="YES"</formula>
    </cfRule>
    <cfRule type="expression" dxfId="43" priority="156" stopIfTrue="1">
      <formula>R316="NO"</formula>
    </cfRule>
  </conditionalFormatting>
  <conditionalFormatting sqref="S299">
    <cfRule type="expression" dxfId="42" priority="157" stopIfTrue="1">
      <formula>T299="YES"</formula>
    </cfRule>
    <cfRule type="expression" dxfId="41" priority="158" stopIfTrue="1">
      <formula>T299="NO"</formula>
    </cfRule>
  </conditionalFormatting>
  <conditionalFormatting sqref="S313">
    <cfRule type="expression" dxfId="40" priority="189" stopIfTrue="1">
      <formula>OR(S316="YES",T316="YES",U316="YES",W316="YES",S317="YES",T317="YES",U317="YES",W317="YES")</formula>
    </cfRule>
    <cfRule type="expression" dxfId="39" priority="188" stopIfTrue="1">
      <formula>OR(S316="NO",T316="NO",U316="NO",W316="NO",S317="NO",T317="NO",U317="NO",W317="NO")</formula>
    </cfRule>
  </conditionalFormatting>
  <conditionalFormatting sqref="S355">
    <cfRule type="expression" dxfId="38" priority="4" stopIfTrue="1">
      <formula>T355="NO"</formula>
    </cfRule>
    <cfRule type="expression" dxfId="37" priority="3" stopIfTrue="1">
      <formula>T355="YES"</formula>
    </cfRule>
  </conditionalFormatting>
  <conditionalFormatting sqref="S472:S481">
    <cfRule type="cellIs" dxfId="36" priority="67" operator="between">
      <formula>-0.25</formula>
      <formula>0.25</formula>
    </cfRule>
  </conditionalFormatting>
  <conditionalFormatting sqref="S492:S501">
    <cfRule type="cellIs" dxfId="35" priority="66" operator="between">
      <formula>-0.25</formula>
      <formula>0.25</formula>
    </cfRule>
  </conditionalFormatting>
  <conditionalFormatting sqref="S369:U369">
    <cfRule type="cellIs" dxfId="34" priority="117" operator="greaterThan">
      <formula>0.05</formula>
    </cfRule>
  </conditionalFormatting>
  <conditionalFormatting sqref="S370:U370">
    <cfRule type="expression" dxfId="33" priority="120" stopIfTrue="1">
      <formula>S370="NO"</formula>
    </cfRule>
    <cfRule type="expression" dxfId="32" priority="121" stopIfTrue="1">
      <formula>S370="YES"</formula>
    </cfRule>
  </conditionalFormatting>
  <conditionalFormatting sqref="T284">
    <cfRule type="expression" dxfId="31" priority="162" stopIfTrue="1">
      <formula>U284="NO"</formula>
    </cfRule>
    <cfRule type="expression" dxfId="30" priority="161" stopIfTrue="1">
      <formula>U284="YES"</formula>
    </cfRule>
  </conditionalFormatting>
  <conditionalFormatting sqref="T299">
    <cfRule type="expression" dxfId="29" priority="160" stopIfTrue="1">
      <formula>T299="NO"</formula>
    </cfRule>
    <cfRule type="expression" dxfId="28" priority="159" stopIfTrue="1">
      <formula>T299="YES"</formula>
    </cfRule>
  </conditionalFormatting>
  <conditionalFormatting sqref="T313">
    <cfRule type="expression" dxfId="27" priority="190" stopIfTrue="1">
      <formula>OR(T316="NO",U316="NO",W316="NO",X316="NO",T317="NO",U317="NO",W317="NO",X317="NO")</formula>
    </cfRule>
    <cfRule type="expression" dxfId="26" priority="191" stopIfTrue="1">
      <formula>OR(T316="YES",U316="YES",W316="YES",X316="YES",T317="YES",U317="YES",W317="YES",X317="YES")</formula>
    </cfRule>
  </conditionalFormatting>
  <conditionalFormatting sqref="T355">
    <cfRule type="expression" dxfId="25" priority="5" stopIfTrue="1">
      <formula>T355="YES"</formula>
    </cfRule>
    <cfRule type="expression" dxfId="24" priority="6" stopIfTrue="1">
      <formula>T355="NO"</formula>
    </cfRule>
  </conditionalFormatting>
  <conditionalFormatting sqref="T407:U407">
    <cfRule type="expression" dxfId="23" priority="97" stopIfTrue="1">
      <formula>$U$407="NO"</formula>
    </cfRule>
    <cfRule type="expression" dxfId="22" priority="96" stopIfTrue="1">
      <formula>$U$407="YES"</formula>
    </cfRule>
  </conditionalFormatting>
  <conditionalFormatting sqref="U258:U268">
    <cfRule type="cellIs" dxfId="21" priority="166" operator="equal">
      <formula>"YES"</formula>
    </cfRule>
    <cfRule type="cellIs" dxfId="20" priority="167" operator="equal">
      <formula>"NO"</formula>
    </cfRule>
  </conditionalFormatting>
  <conditionalFormatting sqref="U284">
    <cfRule type="expression" dxfId="19" priority="163" stopIfTrue="1">
      <formula>U284="YES"</formula>
    </cfRule>
    <cfRule type="expression" dxfId="18" priority="164" stopIfTrue="1">
      <formula>U284="NO"</formula>
    </cfRule>
  </conditionalFormatting>
  <conditionalFormatting sqref="U313">
    <cfRule type="expression" dxfId="17" priority="154" stopIfTrue="1">
      <formula>OR(R316="YES",S316="YES",T316="YES",U316="YES",R317="YES",S317="YES",T317="YES",U317="YES")</formula>
    </cfRule>
    <cfRule type="expression" dxfId="16" priority="153" stopIfTrue="1">
      <formula>OR(R316="NO",S316="NO",T316="NO",U316="NO",R317="NO",S317="NO",T317="NO",U317="NO")</formula>
    </cfRule>
  </conditionalFormatting>
  <conditionalFormatting sqref="U382">
    <cfRule type="cellIs" dxfId="15" priority="115" operator="greaterThan">
      <formula>0.1</formula>
    </cfRule>
  </conditionalFormatting>
  <conditionalFormatting sqref="U383">
    <cfRule type="expression" dxfId="14" priority="106" stopIfTrue="1">
      <formula>U383="YES"</formula>
    </cfRule>
    <cfRule type="expression" dxfId="13" priority="105" stopIfTrue="1">
      <formula>U383="NO"</formula>
    </cfRule>
  </conditionalFormatting>
  <conditionalFormatting sqref="U450:U457">
    <cfRule type="cellIs" dxfId="12" priority="81" operator="greaterThan">
      <formula>0.35</formula>
    </cfRule>
    <cfRule type="cellIs" dxfId="11" priority="80" operator="lessThan">
      <formula>-0.35</formula>
    </cfRule>
  </conditionalFormatting>
  <conditionalFormatting sqref="U458">
    <cfRule type="cellIs" dxfId="10" priority="82" operator="equal">
      <formula>"NO"</formula>
    </cfRule>
  </conditionalFormatting>
  <conditionalFormatting sqref="U483">
    <cfRule type="expression" dxfId="9" priority="74" stopIfTrue="1">
      <formula>V483="YES"</formula>
    </cfRule>
    <cfRule type="expression" dxfId="8" priority="75" stopIfTrue="1">
      <formula>V483="NO"</formula>
    </cfRule>
  </conditionalFormatting>
  <conditionalFormatting sqref="U503">
    <cfRule type="expression" dxfId="7" priority="69" stopIfTrue="1">
      <formula>V503="NO"</formula>
    </cfRule>
    <cfRule type="expression" dxfId="6" priority="68" stopIfTrue="1">
      <formula>V503="YES"</formula>
    </cfRule>
  </conditionalFormatting>
  <conditionalFormatting sqref="U440:V440">
    <cfRule type="expression" dxfId="5" priority="88" stopIfTrue="1">
      <formula>$P$407="YES"</formula>
    </cfRule>
    <cfRule type="expression" dxfId="4" priority="89" stopIfTrue="1">
      <formula>$P$407="NO"</formula>
    </cfRule>
  </conditionalFormatting>
  <conditionalFormatting sqref="V483">
    <cfRule type="expression" dxfId="3" priority="77" stopIfTrue="1">
      <formula>V483="NO"</formula>
    </cfRule>
    <cfRule type="expression" dxfId="2" priority="76" stopIfTrue="1">
      <formula>V483="YES"</formula>
    </cfRule>
  </conditionalFormatting>
  <conditionalFormatting sqref="V503">
    <cfRule type="expression" dxfId="1" priority="10" stopIfTrue="1">
      <formula>V503="YES"</formula>
    </cfRule>
    <cfRule type="expression" dxfId="0" priority="11" stopIfTrue="1">
      <formula>V503="NO"</formula>
    </cfRule>
  </conditionalFormatting>
  <dataValidations count="1">
    <dataValidation type="list" allowBlank="1" showErrorMessage="1" sqref="S296" xr:uid="{303A38BC-D7F9-4587-A215-3967F6FCF8AA}">
      <formula1>$V$296:$V$297</formula1>
    </dataValidation>
  </dataValidations>
  <pageMargins left="0.7" right="0.7" top="0.75" bottom="0.75" header="0.3" footer="0.3"/>
  <pageSetup orientation="portrait" horizontalDpi="1200" verticalDpi="1200" r:id="rId1"/>
  <drawing r:id="rId2"/>
  <extLst>
    <ext xmlns:x14="http://schemas.microsoft.com/office/spreadsheetml/2009/9/main" uri="{CCE6A557-97BC-4b89-ADB6-D9C93CAAB3DF}">
      <x14:dataValidations xmlns:xm="http://schemas.microsoft.com/office/excel/2006/main" count="4">
        <x14:dataValidation type="list" allowBlank="1" showErrorMessage="1" xr:uid="{91A9E0F3-4D6C-433C-9724-A09D6D9B1DB9}">
          <x14:formula1>
            <xm:f>Tables!$B$53:$B$73</xm:f>
          </x14:formula1>
          <xm:sqref>S329 S324</xm:sqref>
        </x14:dataValidation>
        <x14:dataValidation type="list" allowBlank="1" showInputMessage="1" showErrorMessage="1" xr:uid="{EC8FA7B9-CC24-445B-A750-51BD41FFB620}">
          <x14:formula1>
            <xm:f>Tables!$B$2:$B$3</xm:f>
          </x14:formula1>
          <xm:sqref>N338</xm:sqref>
        </x14:dataValidation>
        <x14:dataValidation type="list" allowBlank="1" showInputMessage="1" showErrorMessage="1" xr:uid="{42AEBCE6-B0DD-4A17-8FDF-B63D24E46725}">
          <x14:formula1>
            <xm:f>Tables!$B$6:$B$7</xm:f>
          </x14:formula1>
          <xm:sqref>M444</xm:sqref>
        </x14:dataValidation>
        <x14:dataValidation type="list" allowBlank="1" showInputMessage="1" showErrorMessage="1" xr:uid="{FD0D59B0-7DFA-4E3F-B953-A6B019169DE3}">
          <x14:formula1>
            <xm:f>Tables!$A$11:$A$15</xm:f>
          </x14:formula1>
          <xm:sqref>N449:O449 S449:T449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19954-9292-48EA-ACBC-A0295FB3102E}">
  <dimension ref="A1:M28"/>
  <sheetViews>
    <sheetView workbookViewId="0"/>
  </sheetViews>
  <sheetFormatPr defaultRowHeight="13.8"/>
  <sheetData>
    <row r="1" spans="1:13">
      <c r="A1" t="s">
        <v>447</v>
      </c>
    </row>
    <row r="2" spans="1:13">
      <c r="A2" s="270" t="s">
        <v>460</v>
      </c>
    </row>
    <row r="4" spans="1:13">
      <c r="A4" s="271" t="s">
        <v>461</v>
      </c>
      <c r="B4" s="271" t="s">
        <v>462</v>
      </c>
      <c r="C4" s="271" t="s">
        <v>463</v>
      </c>
      <c r="D4" s="271" t="s">
        <v>464</v>
      </c>
      <c r="E4" s="271" t="s">
        <v>465</v>
      </c>
      <c r="F4" s="271" t="s">
        <v>466</v>
      </c>
      <c r="G4" s="271" t="s">
        <v>467</v>
      </c>
      <c r="H4" s="271" t="s">
        <v>468</v>
      </c>
      <c r="I4" s="271" t="s">
        <v>469</v>
      </c>
      <c r="J4" s="271" t="s">
        <v>470</v>
      </c>
      <c r="K4" s="271" t="s">
        <v>471</v>
      </c>
      <c r="L4" s="271" t="s">
        <v>472</v>
      </c>
      <c r="M4" s="271" t="s">
        <v>473</v>
      </c>
    </row>
    <row r="5" spans="1:13">
      <c r="A5" s="272">
        <v>50</v>
      </c>
      <c r="B5" s="272">
        <v>400</v>
      </c>
      <c r="C5" s="272">
        <v>10</v>
      </c>
      <c r="D5" s="273">
        <v>0</v>
      </c>
      <c r="E5" s="272" t="s">
        <v>474</v>
      </c>
      <c r="F5" s="272"/>
      <c r="G5" s="272"/>
      <c r="H5" s="272"/>
      <c r="I5" s="272"/>
      <c r="J5" s="272"/>
      <c r="K5" s="272"/>
      <c r="L5" s="272"/>
      <c r="M5" s="272"/>
    </row>
    <row r="6" spans="1:13">
      <c r="A6" s="272">
        <v>60</v>
      </c>
      <c r="B6" s="272">
        <v>400</v>
      </c>
      <c r="C6" s="272">
        <v>20</v>
      </c>
      <c r="D6" s="273">
        <v>0</v>
      </c>
      <c r="E6" s="272" t="s">
        <v>474</v>
      </c>
      <c r="F6" s="272"/>
      <c r="G6" s="272"/>
      <c r="H6" s="272"/>
      <c r="I6" s="272"/>
      <c r="J6" s="272"/>
      <c r="K6" s="272"/>
      <c r="L6" s="272"/>
      <c r="M6" s="272"/>
    </row>
    <row r="7" spans="1:13">
      <c r="A7" s="272">
        <v>70</v>
      </c>
      <c r="B7" s="272">
        <v>400</v>
      </c>
      <c r="C7" s="272">
        <v>10</v>
      </c>
      <c r="D7" s="273">
        <v>0</v>
      </c>
      <c r="E7" s="272" t="s">
        <v>474</v>
      </c>
      <c r="F7" s="272"/>
      <c r="G7" s="272"/>
      <c r="H7" s="272"/>
      <c r="I7" s="272"/>
      <c r="J7" s="272"/>
      <c r="K7" s="272"/>
      <c r="L7" s="272"/>
      <c r="M7" s="272"/>
    </row>
    <row r="8" spans="1:13">
      <c r="A8" s="272">
        <v>80</v>
      </c>
      <c r="B8" s="272">
        <v>400</v>
      </c>
      <c r="C8" s="272">
        <v>20</v>
      </c>
      <c r="D8" s="273">
        <v>0</v>
      </c>
      <c r="E8" s="272" t="s">
        <v>474</v>
      </c>
      <c r="F8" s="272"/>
      <c r="G8" s="272"/>
      <c r="H8" s="272"/>
      <c r="I8" s="272"/>
      <c r="J8" s="272"/>
      <c r="K8" s="272"/>
      <c r="L8" s="272"/>
      <c r="M8" s="272"/>
    </row>
    <row r="9" spans="1:13">
      <c r="A9" s="272">
        <v>80</v>
      </c>
      <c r="B9" s="272">
        <v>400</v>
      </c>
      <c r="C9" s="272">
        <v>20</v>
      </c>
      <c r="D9" s="273">
        <v>0</v>
      </c>
      <c r="E9" s="272" t="s">
        <v>474</v>
      </c>
      <c r="F9" s="272"/>
      <c r="G9" s="272"/>
      <c r="H9" s="272"/>
      <c r="I9" s="272"/>
      <c r="J9" s="272"/>
      <c r="K9" s="272"/>
      <c r="L9" s="272"/>
      <c r="M9" s="272"/>
    </row>
    <row r="10" spans="1:13">
      <c r="A10" s="272">
        <v>80</v>
      </c>
      <c r="B10" s="272">
        <v>400</v>
      </c>
      <c r="C10" s="272">
        <v>20</v>
      </c>
      <c r="D10" s="273">
        <v>0</v>
      </c>
      <c r="E10" s="272" t="s">
        <v>474</v>
      </c>
      <c r="F10" s="272"/>
      <c r="G10" s="272"/>
      <c r="H10" s="272"/>
      <c r="I10" s="272"/>
      <c r="J10" s="272"/>
      <c r="K10" s="272"/>
      <c r="L10" s="272"/>
      <c r="M10" s="272"/>
    </row>
    <row r="11" spans="1:13">
      <c r="A11" s="272">
        <v>80</v>
      </c>
      <c r="B11" s="272">
        <v>400</v>
      </c>
      <c r="C11" s="272">
        <v>20</v>
      </c>
      <c r="D11" s="273">
        <v>0</v>
      </c>
      <c r="E11" s="272" t="s">
        <v>474</v>
      </c>
      <c r="F11" s="272"/>
      <c r="G11" s="272"/>
      <c r="H11" s="272"/>
      <c r="I11" s="272"/>
      <c r="J11" s="272"/>
      <c r="K11" s="272"/>
      <c r="L11" s="272"/>
      <c r="M11" s="272"/>
    </row>
    <row r="12" spans="1:13">
      <c r="A12" s="272">
        <v>80</v>
      </c>
      <c r="B12" s="272">
        <v>400</v>
      </c>
      <c r="C12" s="272">
        <v>20</v>
      </c>
      <c r="D12" s="273">
        <v>0</v>
      </c>
      <c r="E12" s="272" t="s">
        <v>474</v>
      </c>
      <c r="F12" s="272"/>
      <c r="G12" s="272"/>
      <c r="H12" s="272"/>
      <c r="I12" s="272"/>
      <c r="J12" s="272"/>
      <c r="K12" s="272"/>
      <c r="L12" s="272"/>
      <c r="M12" s="272"/>
    </row>
    <row r="13" spans="1:13">
      <c r="A13" s="272">
        <v>80</v>
      </c>
      <c r="B13" s="272">
        <v>400</v>
      </c>
      <c r="C13" s="272">
        <v>20</v>
      </c>
      <c r="D13" s="273">
        <v>3</v>
      </c>
      <c r="E13" s="272" t="s">
        <v>474</v>
      </c>
      <c r="F13" s="272"/>
      <c r="G13" s="272"/>
      <c r="H13" s="272"/>
      <c r="I13" s="272"/>
      <c r="J13" s="272"/>
      <c r="K13" s="272"/>
      <c r="L13" s="272"/>
      <c r="M13" s="272"/>
    </row>
    <row r="14" spans="1:13">
      <c r="A14" s="272">
        <v>80</v>
      </c>
      <c r="B14" s="272">
        <v>400</v>
      </c>
      <c r="C14" s="272">
        <v>20</v>
      </c>
      <c r="D14" s="273">
        <v>3</v>
      </c>
      <c r="E14" s="272" t="s">
        <v>474</v>
      </c>
      <c r="F14" s="272"/>
      <c r="G14" s="272"/>
      <c r="H14" s="272"/>
      <c r="I14" s="272"/>
      <c r="J14" s="272"/>
      <c r="K14" s="272"/>
      <c r="L14" s="272"/>
      <c r="M14" s="272"/>
    </row>
    <row r="15" spans="1:13">
      <c r="A15" s="272">
        <v>80</v>
      </c>
      <c r="B15" s="272">
        <v>400</v>
      </c>
      <c r="C15" s="272">
        <v>20</v>
      </c>
      <c r="D15" s="273">
        <v>4</v>
      </c>
      <c r="E15" s="272" t="s">
        <v>474</v>
      </c>
      <c r="F15" s="272"/>
      <c r="G15" s="272"/>
      <c r="H15" s="272"/>
      <c r="I15" s="272"/>
      <c r="J15" s="272"/>
      <c r="K15" s="272"/>
      <c r="L15" s="272"/>
      <c r="M15" s="272"/>
    </row>
    <row r="16" spans="1:13">
      <c r="A16" s="272">
        <v>80</v>
      </c>
      <c r="B16" s="272">
        <v>400</v>
      </c>
      <c r="C16" s="272">
        <v>20</v>
      </c>
      <c r="D16" s="273">
        <v>4</v>
      </c>
      <c r="E16" s="272" t="s">
        <v>474</v>
      </c>
      <c r="F16" s="272"/>
      <c r="G16" s="272"/>
      <c r="H16" s="272"/>
      <c r="I16" s="272"/>
      <c r="J16" s="272"/>
      <c r="K16" s="272"/>
      <c r="L16" s="272"/>
      <c r="M16" s="272"/>
    </row>
    <row r="17" spans="1:13">
      <c r="A17" s="272">
        <v>80</v>
      </c>
      <c r="B17" s="272">
        <v>400</v>
      </c>
      <c r="C17" s="272">
        <v>20</v>
      </c>
      <c r="D17" s="273">
        <v>5</v>
      </c>
      <c r="E17" s="272" t="s">
        <v>474</v>
      </c>
      <c r="F17" s="272"/>
      <c r="G17" s="272"/>
      <c r="H17" s="272"/>
      <c r="I17" s="272"/>
      <c r="J17" s="272"/>
      <c r="K17" s="272"/>
      <c r="L17" s="272"/>
      <c r="M17" s="272"/>
    </row>
    <row r="18" spans="1:13">
      <c r="A18" s="272">
        <v>80</v>
      </c>
      <c r="B18" s="272">
        <v>400</v>
      </c>
      <c r="C18" s="272">
        <v>20</v>
      </c>
      <c r="D18" s="273">
        <v>5</v>
      </c>
      <c r="E18" s="272" t="s">
        <v>474</v>
      </c>
      <c r="F18" s="272"/>
      <c r="G18" s="272"/>
      <c r="H18" s="272"/>
      <c r="I18" s="272"/>
      <c r="J18" s="272"/>
      <c r="K18" s="272"/>
      <c r="L18" s="272"/>
      <c r="M18" s="272"/>
    </row>
    <row r="19" spans="1:13">
      <c r="A19" s="272">
        <v>80</v>
      </c>
      <c r="B19" s="272">
        <v>500</v>
      </c>
      <c r="C19" s="272">
        <v>25</v>
      </c>
      <c r="D19" s="273">
        <v>0</v>
      </c>
      <c r="E19" s="272" t="s">
        <v>474</v>
      </c>
      <c r="F19" s="272"/>
      <c r="G19" s="272"/>
      <c r="H19" s="272"/>
      <c r="I19" s="272"/>
      <c r="J19" s="272"/>
      <c r="K19" s="272"/>
      <c r="L19" s="272"/>
      <c r="M19" s="272"/>
    </row>
    <row r="20" spans="1:13">
      <c r="A20" s="272">
        <v>80</v>
      </c>
      <c r="B20" s="272">
        <v>50</v>
      </c>
      <c r="C20" s="272">
        <v>2.5</v>
      </c>
      <c r="D20" s="273">
        <v>0</v>
      </c>
      <c r="E20" s="272" t="s">
        <v>474</v>
      </c>
      <c r="F20" s="272"/>
      <c r="G20" s="272"/>
      <c r="H20" s="272"/>
      <c r="I20" s="272"/>
      <c r="J20" s="272"/>
      <c r="K20" s="272"/>
      <c r="L20" s="272"/>
      <c r="M20" s="272"/>
    </row>
    <row r="21" spans="1:13">
      <c r="A21" s="272">
        <v>80</v>
      </c>
      <c r="B21" s="272">
        <v>720</v>
      </c>
      <c r="C21" s="272">
        <v>40</v>
      </c>
      <c r="D21" s="273">
        <v>0</v>
      </c>
      <c r="E21" s="272" t="s">
        <v>474</v>
      </c>
      <c r="F21" s="272"/>
      <c r="G21" s="272"/>
      <c r="H21" s="272"/>
      <c r="I21" s="272"/>
      <c r="J21" s="272"/>
      <c r="K21" s="272"/>
      <c r="L21" s="272"/>
      <c r="M21" s="272"/>
    </row>
    <row r="22" spans="1:13">
      <c r="A22" s="272">
        <v>80</v>
      </c>
      <c r="B22" s="272">
        <v>250</v>
      </c>
      <c r="C22" s="272">
        <v>12.5</v>
      </c>
      <c r="D22" s="273">
        <v>0</v>
      </c>
      <c r="E22" s="272" t="s">
        <v>474</v>
      </c>
      <c r="F22" s="272"/>
      <c r="G22" s="272"/>
      <c r="H22" s="272"/>
      <c r="I22" s="272"/>
      <c r="J22" s="272"/>
      <c r="K22" s="272"/>
      <c r="L22" s="272"/>
      <c r="M22" s="272"/>
    </row>
    <row r="23" spans="1:13">
      <c r="A23" s="272">
        <v>90</v>
      </c>
      <c r="B23" s="272">
        <v>200</v>
      </c>
      <c r="C23" s="272">
        <v>10</v>
      </c>
      <c r="D23" s="273">
        <v>0</v>
      </c>
      <c r="E23" s="272" t="s">
        <v>474</v>
      </c>
      <c r="F23" s="272"/>
      <c r="G23" s="272"/>
      <c r="H23" s="272"/>
      <c r="I23" s="272"/>
      <c r="J23" s="272"/>
      <c r="K23" s="272"/>
      <c r="L23" s="272"/>
      <c r="M23" s="272"/>
    </row>
    <row r="24" spans="1:13">
      <c r="A24" s="272">
        <v>100</v>
      </c>
      <c r="B24" s="272">
        <v>400</v>
      </c>
      <c r="C24" s="272">
        <v>20</v>
      </c>
      <c r="D24" s="273">
        <v>0</v>
      </c>
      <c r="E24" s="272" t="s">
        <v>474</v>
      </c>
      <c r="F24" s="272"/>
      <c r="G24" s="272"/>
      <c r="H24" s="272"/>
      <c r="I24" s="272"/>
      <c r="J24" s="272"/>
      <c r="K24" s="272"/>
      <c r="L24" s="272"/>
      <c r="M24" s="272"/>
    </row>
    <row r="25" spans="1:13">
      <c r="A25" s="272">
        <v>110</v>
      </c>
      <c r="B25" s="272">
        <v>400</v>
      </c>
      <c r="C25" s="272">
        <v>10</v>
      </c>
      <c r="D25" s="273">
        <v>0</v>
      </c>
      <c r="E25" s="272" t="s">
        <v>474</v>
      </c>
      <c r="F25" s="272"/>
      <c r="G25" s="272"/>
      <c r="H25" s="272"/>
      <c r="I25" s="272"/>
      <c r="J25" s="272"/>
      <c r="K25" s="272"/>
      <c r="L25" s="272"/>
      <c r="M25" s="272"/>
    </row>
    <row r="26" spans="1:13">
      <c r="A26" s="272">
        <v>120</v>
      </c>
      <c r="B26" s="272">
        <v>400</v>
      </c>
      <c r="C26" s="272">
        <v>20</v>
      </c>
      <c r="D26" s="273">
        <v>0</v>
      </c>
      <c r="E26" s="272" t="s">
        <v>474</v>
      </c>
      <c r="F26" s="272"/>
      <c r="G26" s="272"/>
      <c r="H26" s="272"/>
      <c r="I26" s="272"/>
      <c r="J26" s="272"/>
      <c r="K26" s="272"/>
      <c r="L26" s="272"/>
      <c r="M26" s="272"/>
    </row>
    <row r="27" spans="1:13">
      <c r="A27" s="272">
        <v>130</v>
      </c>
      <c r="B27" s="272">
        <v>400</v>
      </c>
      <c r="C27" s="272">
        <v>10</v>
      </c>
      <c r="D27" s="273">
        <v>0</v>
      </c>
      <c r="E27" s="272" t="s">
        <v>474</v>
      </c>
      <c r="F27" s="272"/>
      <c r="G27" s="272"/>
      <c r="H27" s="272"/>
      <c r="I27" s="272"/>
      <c r="J27" s="272"/>
      <c r="K27" s="272"/>
      <c r="L27" s="272"/>
      <c r="M27" s="272"/>
    </row>
    <row r="28" spans="1:13">
      <c r="A28" s="272">
        <v>140</v>
      </c>
      <c r="B28" s="272">
        <v>400</v>
      </c>
      <c r="C28" s="272">
        <v>20</v>
      </c>
      <c r="D28" s="273">
        <v>0</v>
      </c>
      <c r="E28" s="272" t="s">
        <v>474</v>
      </c>
      <c r="F28" s="272"/>
      <c r="G28" s="272"/>
      <c r="H28" s="272"/>
      <c r="I28" s="272"/>
      <c r="J28" s="272"/>
      <c r="K28" s="272"/>
      <c r="L28" s="272"/>
      <c r="M28" s="27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9DCF6-9809-4788-ACD2-2B7625909E0B}">
  <dimension ref="A1:M28"/>
  <sheetViews>
    <sheetView workbookViewId="0"/>
  </sheetViews>
  <sheetFormatPr defaultRowHeight="13.8"/>
  <sheetData>
    <row r="1" spans="1:13">
      <c r="A1" t="s">
        <v>448</v>
      </c>
    </row>
    <row r="2" spans="1:13">
      <c r="A2" s="270" t="s">
        <v>460</v>
      </c>
    </row>
    <row r="4" spans="1:13">
      <c r="A4" s="271" t="s">
        <v>461</v>
      </c>
      <c r="B4" s="271" t="s">
        <v>462</v>
      </c>
      <c r="C4" s="271" t="s">
        <v>463</v>
      </c>
      <c r="D4" s="271" t="s">
        <v>464</v>
      </c>
      <c r="E4" s="271" t="s">
        <v>465</v>
      </c>
      <c r="F4" s="271" t="s">
        <v>466</v>
      </c>
      <c r="G4" s="271" t="s">
        <v>467</v>
      </c>
      <c r="H4" s="271" t="s">
        <v>468</v>
      </c>
      <c r="I4" s="271" t="s">
        <v>469</v>
      </c>
      <c r="J4" s="271" t="s">
        <v>470</v>
      </c>
      <c r="K4" s="271" t="s">
        <v>471</v>
      </c>
      <c r="L4" s="271" t="s">
        <v>472</v>
      </c>
      <c r="M4" s="271" t="s">
        <v>473</v>
      </c>
    </row>
    <row r="5" spans="1:13">
      <c r="A5" s="272">
        <v>50</v>
      </c>
      <c r="B5" s="272">
        <v>400</v>
      </c>
      <c r="C5" s="272">
        <v>10</v>
      </c>
      <c r="D5" s="273">
        <v>0</v>
      </c>
      <c r="E5" s="272" t="s">
        <v>474</v>
      </c>
      <c r="F5" s="272"/>
      <c r="G5" s="272"/>
      <c r="H5" s="272"/>
      <c r="I5" s="272"/>
      <c r="J5" s="272"/>
      <c r="K5" s="272"/>
      <c r="L5" s="272"/>
      <c r="M5" s="272"/>
    </row>
    <row r="6" spans="1:13">
      <c r="A6" s="272">
        <v>60</v>
      </c>
      <c r="B6" s="272">
        <v>400</v>
      </c>
      <c r="C6" s="272">
        <v>20</v>
      </c>
      <c r="D6" s="273">
        <v>0</v>
      </c>
      <c r="E6" s="272" t="s">
        <v>474</v>
      </c>
      <c r="F6" s="272"/>
      <c r="G6" s="272"/>
      <c r="H6" s="272"/>
      <c r="I6" s="272"/>
      <c r="J6" s="272"/>
      <c r="K6" s="272"/>
      <c r="L6" s="272"/>
      <c r="M6" s="272"/>
    </row>
    <row r="7" spans="1:13">
      <c r="A7" s="272">
        <v>70</v>
      </c>
      <c r="B7" s="272">
        <v>400</v>
      </c>
      <c r="C7" s="272">
        <v>10</v>
      </c>
      <c r="D7" s="273">
        <v>0</v>
      </c>
      <c r="E7" s="272" t="s">
        <v>474</v>
      </c>
      <c r="F7" s="272"/>
      <c r="G7" s="272"/>
      <c r="H7" s="272"/>
      <c r="I7" s="272"/>
      <c r="J7" s="272"/>
      <c r="K7" s="272"/>
      <c r="L7" s="272"/>
      <c r="M7" s="272"/>
    </row>
    <row r="8" spans="1:13">
      <c r="A8" s="272">
        <v>80</v>
      </c>
      <c r="B8" s="272">
        <v>400</v>
      </c>
      <c r="C8" s="272">
        <v>20</v>
      </c>
      <c r="D8" s="273">
        <v>0</v>
      </c>
      <c r="E8" s="272" t="s">
        <v>474</v>
      </c>
      <c r="F8" s="272"/>
      <c r="G8" s="272"/>
      <c r="H8" s="272"/>
      <c r="I8" s="272"/>
      <c r="J8" s="272"/>
      <c r="K8" s="272"/>
      <c r="L8" s="272"/>
      <c r="M8" s="272"/>
    </row>
    <row r="9" spans="1:13">
      <c r="A9" s="272">
        <v>80</v>
      </c>
      <c r="B9" s="272">
        <v>400</v>
      </c>
      <c r="C9" s="272">
        <v>20</v>
      </c>
      <c r="D9" s="273">
        <v>0</v>
      </c>
      <c r="E9" s="272" t="s">
        <v>474</v>
      </c>
      <c r="F9" s="272"/>
      <c r="G9" s="272"/>
      <c r="H9" s="272"/>
      <c r="I9" s="272"/>
      <c r="J9" s="272"/>
      <c r="K9" s="272"/>
      <c r="L9" s="272"/>
      <c r="M9" s="272"/>
    </row>
    <row r="10" spans="1:13">
      <c r="A10" s="272">
        <v>80</v>
      </c>
      <c r="B10" s="272">
        <v>400</v>
      </c>
      <c r="C10" s="272">
        <v>20</v>
      </c>
      <c r="D10" s="273">
        <v>0</v>
      </c>
      <c r="E10" s="272" t="s">
        <v>474</v>
      </c>
      <c r="F10" s="272"/>
      <c r="G10" s="272"/>
      <c r="H10" s="272"/>
      <c r="I10" s="272"/>
      <c r="J10" s="272"/>
      <c r="K10" s="272"/>
      <c r="L10" s="272"/>
      <c r="M10" s="272"/>
    </row>
    <row r="11" spans="1:13">
      <c r="A11" s="272">
        <v>80</v>
      </c>
      <c r="B11" s="272">
        <v>400</v>
      </c>
      <c r="C11" s="272">
        <v>20</v>
      </c>
      <c r="D11" s="273">
        <v>0</v>
      </c>
      <c r="E11" s="272" t="s">
        <v>474</v>
      </c>
      <c r="F11" s="272"/>
      <c r="G11" s="272"/>
      <c r="H11" s="272"/>
      <c r="I11" s="272"/>
      <c r="J11" s="272"/>
      <c r="K11" s="272"/>
      <c r="L11" s="272"/>
      <c r="M11" s="272"/>
    </row>
    <row r="12" spans="1:13">
      <c r="A12" s="272">
        <v>80</v>
      </c>
      <c r="B12" s="272">
        <v>400</v>
      </c>
      <c r="C12" s="272">
        <v>20</v>
      </c>
      <c r="D12" s="273">
        <v>0</v>
      </c>
      <c r="E12" s="272" t="s">
        <v>474</v>
      </c>
      <c r="F12" s="272"/>
      <c r="G12" s="272"/>
      <c r="H12" s="272"/>
      <c r="I12" s="272"/>
      <c r="J12" s="272"/>
      <c r="K12" s="272"/>
      <c r="L12" s="272"/>
      <c r="M12" s="272"/>
    </row>
    <row r="13" spans="1:13">
      <c r="A13" s="272">
        <v>80</v>
      </c>
      <c r="B13" s="272">
        <v>400</v>
      </c>
      <c r="C13" s="272">
        <v>20</v>
      </c>
      <c r="D13" s="273">
        <v>3</v>
      </c>
      <c r="E13" s="272" t="s">
        <v>474</v>
      </c>
      <c r="F13" s="272"/>
      <c r="G13" s="272"/>
      <c r="H13" s="272"/>
      <c r="I13" s="272"/>
      <c r="J13" s="272"/>
      <c r="K13" s="272"/>
      <c r="L13" s="272"/>
      <c r="M13" s="272"/>
    </row>
    <row r="14" spans="1:13">
      <c r="A14" s="272">
        <v>80</v>
      </c>
      <c r="B14" s="272">
        <v>400</v>
      </c>
      <c r="C14" s="272">
        <v>20</v>
      </c>
      <c r="D14" s="273">
        <v>3</v>
      </c>
      <c r="E14" s="272" t="s">
        <v>474</v>
      </c>
      <c r="F14" s="272"/>
      <c r="G14" s="272"/>
      <c r="H14" s="272"/>
      <c r="I14" s="272"/>
      <c r="J14" s="272"/>
      <c r="K14" s="272"/>
      <c r="L14" s="272"/>
      <c r="M14" s="272"/>
    </row>
    <row r="15" spans="1:13">
      <c r="A15" s="272">
        <v>80</v>
      </c>
      <c r="B15" s="272">
        <v>400</v>
      </c>
      <c r="C15" s="272">
        <v>20</v>
      </c>
      <c r="D15" s="273">
        <v>4</v>
      </c>
      <c r="E15" s="272" t="s">
        <v>474</v>
      </c>
      <c r="F15" s="272"/>
      <c r="G15" s="272"/>
      <c r="H15" s="272"/>
      <c r="I15" s="272"/>
      <c r="J15" s="272"/>
      <c r="K15" s="272"/>
      <c r="L15" s="272"/>
      <c r="M15" s="272"/>
    </row>
    <row r="16" spans="1:13">
      <c r="A16" s="272">
        <v>80</v>
      </c>
      <c r="B16" s="272">
        <v>400</v>
      </c>
      <c r="C16" s="272">
        <v>20</v>
      </c>
      <c r="D16" s="273">
        <v>4</v>
      </c>
      <c r="E16" s="272" t="s">
        <v>474</v>
      </c>
      <c r="F16" s="272"/>
      <c r="G16" s="272"/>
      <c r="H16" s="272"/>
      <c r="I16" s="272"/>
      <c r="J16" s="272"/>
      <c r="K16" s="272"/>
      <c r="L16" s="272"/>
      <c r="M16" s="272"/>
    </row>
    <row r="17" spans="1:13">
      <c r="A17" s="272">
        <v>80</v>
      </c>
      <c r="B17" s="272">
        <v>400</v>
      </c>
      <c r="C17" s="272">
        <v>20</v>
      </c>
      <c r="D17" s="273">
        <v>5</v>
      </c>
      <c r="E17" s="272" t="s">
        <v>474</v>
      </c>
      <c r="F17" s="272"/>
      <c r="G17" s="272"/>
      <c r="H17" s="272"/>
      <c r="I17" s="272"/>
      <c r="J17" s="272"/>
      <c r="K17" s="272"/>
      <c r="L17" s="272"/>
      <c r="M17" s="272"/>
    </row>
    <row r="18" spans="1:13">
      <c r="A18" s="272">
        <v>80</v>
      </c>
      <c r="B18" s="272">
        <v>400</v>
      </c>
      <c r="C18" s="272">
        <v>20</v>
      </c>
      <c r="D18" s="273">
        <v>5</v>
      </c>
      <c r="E18" s="272" t="s">
        <v>474</v>
      </c>
      <c r="F18" s="272"/>
      <c r="G18" s="272"/>
      <c r="H18" s="272"/>
      <c r="I18" s="272"/>
      <c r="J18" s="272"/>
      <c r="K18" s="272"/>
      <c r="L18" s="272"/>
      <c r="M18" s="272"/>
    </row>
    <row r="19" spans="1:13">
      <c r="A19" s="272">
        <v>80</v>
      </c>
      <c r="B19" s="272">
        <v>500</v>
      </c>
      <c r="C19" s="272">
        <v>25</v>
      </c>
      <c r="D19" s="273">
        <v>0</v>
      </c>
      <c r="E19" s="272" t="s">
        <v>474</v>
      </c>
      <c r="F19" s="272"/>
      <c r="G19" s="272"/>
      <c r="H19" s="272"/>
      <c r="I19" s="272"/>
      <c r="J19" s="272"/>
      <c r="K19" s="272"/>
      <c r="L19" s="272"/>
      <c r="M19" s="272"/>
    </row>
    <row r="20" spans="1:13">
      <c r="A20" s="272">
        <v>80</v>
      </c>
      <c r="B20" s="272">
        <v>50</v>
      </c>
      <c r="C20" s="272">
        <v>2.5</v>
      </c>
      <c r="D20" s="273">
        <v>0</v>
      </c>
      <c r="E20" s="272" t="s">
        <v>474</v>
      </c>
      <c r="F20" s="272"/>
      <c r="G20" s="272"/>
      <c r="H20" s="272"/>
      <c r="I20" s="272"/>
      <c r="J20" s="272"/>
      <c r="K20" s="272"/>
      <c r="L20" s="272"/>
      <c r="M20" s="272"/>
    </row>
    <row r="21" spans="1:13">
      <c r="A21" s="272">
        <v>80</v>
      </c>
      <c r="B21" s="272">
        <v>720</v>
      </c>
      <c r="C21" s="272">
        <v>40</v>
      </c>
      <c r="D21" s="273">
        <v>0</v>
      </c>
      <c r="E21" s="272" t="s">
        <v>474</v>
      </c>
      <c r="F21" s="272"/>
      <c r="G21" s="272"/>
      <c r="H21" s="272"/>
      <c r="I21" s="272"/>
      <c r="J21" s="272"/>
      <c r="K21" s="272"/>
      <c r="L21" s="272"/>
      <c r="M21" s="272"/>
    </row>
    <row r="22" spans="1:13">
      <c r="A22" s="272">
        <v>80</v>
      </c>
      <c r="B22" s="272">
        <v>250</v>
      </c>
      <c r="C22" s="272">
        <v>12.5</v>
      </c>
      <c r="D22" s="273">
        <v>0</v>
      </c>
      <c r="E22" s="272" t="s">
        <v>474</v>
      </c>
      <c r="F22" s="272"/>
      <c r="G22" s="272"/>
      <c r="H22" s="272"/>
      <c r="I22" s="272"/>
      <c r="J22" s="272"/>
      <c r="K22" s="272"/>
      <c r="L22" s="272"/>
      <c r="M22" s="272"/>
    </row>
    <row r="23" spans="1:13">
      <c r="A23" s="272">
        <v>90</v>
      </c>
      <c r="B23" s="272">
        <v>200</v>
      </c>
      <c r="C23" s="272">
        <v>10</v>
      </c>
      <c r="D23" s="273">
        <v>0</v>
      </c>
      <c r="E23" s="272" t="s">
        <v>474</v>
      </c>
      <c r="F23" s="272"/>
      <c r="G23" s="272"/>
      <c r="H23" s="272"/>
      <c r="I23" s="272"/>
      <c r="J23" s="272"/>
      <c r="K23" s="272"/>
      <c r="L23" s="272"/>
      <c r="M23" s="272"/>
    </row>
    <row r="24" spans="1:13">
      <c r="A24" s="272">
        <v>100</v>
      </c>
      <c r="B24" s="272">
        <v>400</v>
      </c>
      <c r="C24" s="272">
        <v>20</v>
      </c>
      <c r="D24" s="273">
        <v>0</v>
      </c>
      <c r="E24" s="272" t="s">
        <v>474</v>
      </c>
      <c r="F24" s="272"/>
      <c r="G24" s="272"/>
      <c r="H24" s="272"/>
      <c r="I24" s="272"/>
      <c r="J24" s="272"/>
      <c r="K24" s="272"/>
      <c r="L24" s="272"/>
      <c r="M24" s="272"/>
    </row>
    <row r="25" spans="1:13">
      <c r="A25" s="272">
        <v>110</v>
      </c>
      <c r="B25" s="272">
        <v>400</v>
      </c>
      <c r="C25" s="272">
        <v>10</v>
      </c>
      <c r="D25" s="273">
        <v>0</v>
      </c>
      <c r="E25" s="272" t="s">
        <v>474</v>
      </c>
      <c r="F25" s="272"/>
      <c r="G25" s="272"/>
      <c r="H25" s="272"/>
      <c r="I25" s="272"/>
      <c r="J25" s="272"/>
      <c r="K25" s="272"/>
      <c r="L25" s="272"/>
      <c r="M25" s="272"/>
    </row>
    <row r="26" spans="1:13">
      <c r="A26" s="272">
        <v>120</v>
      </c>
      <c r="B26" s="272">
        <v>400</v>
      </c>
      <c r="C26" s="272">
        <v>20</v>
      </c>
      <c r="D26" s="273">
        <v>0</v>
      </c>
      <c r="E26" s="272" t="s">
        <v>474</v>
      </c>
      <c r="F26" s="272"/>
      <c r="G26" s="272"/>
      <c r="H26" s="272"/>
      <c r="I26" s="272"/>
      <c r="J26" s="272"/>
      <c r="K26" s="272"/>
      <c r="L26" s="272"/>
      <c r="M26" s="272"/>
    </row>
    <row r="27" spans="1:13">
      <c r="A27" s="272">
        <v>130</v>
      </c>
      <c r="B27" s="272">
        <v>400</v>
      </c>
      <c r="C27" s="272">
        <v>10</v>
      </c>
      <c r="D27" s="273">
        <v>0</v>
      </c>
      <c r="E27" s="272" t="s">
        <v>474</v>
      </c>
      <c r="F27" s="272"/>
      <c r="G27" s="272"/>
      <c r="H27" s="272"/>
      <c r="I27" s="272"/>
      <c r="J27" s="272"/>
      <c r="K27" s="272"/>
      <c r="L27" s="272"/>
      <c r="M27" s="272"/>
    </row>
    <row r="28" spans="1:13">
      <c r="A28" s="272">
        <v>140</v>
      </c>
      <c r="B28" s="272">
        <v>400</v>
      </c>
      <c r="C28" s="272">
        <v>20</v>
      </c>
      <c r="D28" s="273">
        <v>0</v>
      </c>
      <c r="E28" s="272" t="s">
        <v>474</v>
      </c>
      <c r="F28" s="272"/>
      <c r="G28" s="272"/>
      <c r="H28" s="272"/>
      <c r="I28" s="272"/>
      <c r="J28" s="272"/>
      <c r="K28" s="272"/>
      <c r="L28" s="272"/>
      <c r="M28" s="27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78A82-5F75-4BC7-97DD-684FB7447284}">
  <dimension ref="A1:G13"/>
  <sheetViews>
    <sheetView workbookViewId="0">
      <selection activeCell="E4" sqref="E4"/>
    </sheetView>
  </sheetViews>
  <sheetFormatPr defaultColWidth="8.88671875" defaultRowHeight="13.8"/>
  <sheetData>
    <row r="1" spans="1:7">
      <c r="A1" s="270" t="s">
        <v>460</v>
      </c>
    </row>
    <row r="3" spans="1:7">
      <c r="A3" s="271" t="s">
        <v>753</v>
      </c>
      <c r="B3" s="271" t="s">
        <v>751</v>
      </c>
      <c r="C3" s="271" t="s">
        <v>461</v>
      </c>
      <c r="D3" s="271" t="s">
        <v>462</v>
      </c>
      <c r="E3" s="271" t="s">
        <v>468</v>
      </c>
      <c r="F3" s="271" t="s">
        <v>752</v>
      </c>
      <c r="G3" s="271" t="s">
        <v>748</v>
      </c>
    </row>
    <row r="4" spans="1:7">
      <c r="A4" s="272" t="s">
        <v>371</v>
      </c>
      <c r="B4" s="272">
        <v>10</v>
      </c>
      <c r="C4" s="272"/>
      <c r="D4" s="272"/>
      <c r="E4" s="272"/>
      <c r="F4" s="272"/>
      <c r="G4" s="272"/>
    </row>
    <row r="5" spans="1:7">
      <c r="A5" s="272" t="s">
        <v>371</v>
      </c>
      <c r="B5" s="272">
        <v>20</v>
      </c>
      <c r="C5" s="272"/>
      <c r="D5" s="272"/>
      <c r="E5" s="272"/>
      <c r="F5" s="272"/>
      <c r="G5" s="272"/>
    </row>
    <row r="6" spans="1:7">
      <c r="A6" s="272" t="s">
        <v>371</v>
      </c>
      <c r="B6" s="272">
        <v>20</v>
      </c>
      <c r="C6" s="272"/>
      <c r="D6" s="272"/>
      <c r="E6" s="272"/>
      <c r="F6" s="272"/>
      <c r="G6" s="272"/>
    </row>
    <row r="7" spans="1:7">
      <c r="A7" s="272" t="s">
        <v>371</v>
      </c>
      <c r="B7" s="272">
        <v>20</v>
      </c>
      <c r="C7" s="272"/>
      <c r="D7" s="272"/>
      <c r="E7" s="272"/>
      <c r="F7" s="272"/>
      <c r="G7" s="272"/>
    </row>
    <row r="8" spans="1:7">
      <c r="A8" s="272" t="s">
        <v>371</v>
      </c>
      <c r="B8" s="272">
        <v>30</v>
      </c>
      <c r="C8" s="272"/>
      <c r="D8" s="272"/>
      <c r="E8" s="272"/>
      <c r="F8" s="272"/>
      <c r="G8" s="272"/>
    </row>
    <row r="9" spans="1:7">
      <c r="A9" s="272" t="s">
        <v>373</v>
      </c>
      <c r="B9" s="272">
        <v>10</v>
      </c>
      <c r="C9" s="272"/>
      <c r="D9" s="272"/>
      <c r="E9" s="272"/>
      <c r="F9" s="272"/>
      <c r="G9" s="272"/>
    </row>
    <row r="10" spans="1:7">
      <c r="A10" s="272" t="s">
        <v>373</v>
      </c>
      <c r="B10" s="272">
        <v>20</v>
      </c>
      <c r="C10" s="272"/>
      <c r="D10" s="272"/>
      <c r="E10" s="272"/>
      <c r="F10" s="272"/>
      <c r="G10" s="272"/>
    </row>
    <row r="11" spans="1:7">
      <c r="A11" s="272" t="s">
        <v>373</v>
      </c>
      <c r="B11" s="272">
        <v>20</v>
      </c>
      <c r="C11" s="272"/>
      <c r="D11" s="272"/>
      <c r="E11" s="272"/>
      <c r="F11" s="272"/>
      <c r="G11" s="272"/>
    </row>
    <row r="12" spans="1:7">
      <c r="A12" s="272" t="s">
        <v>373</v>
      </c>
      <c r="B12" s="272">
        <v>20</v>
      </c>
      <c r="C12" s="272"/>
      <c r="D12" s="272"/>
      <c r="E12" s="272"/>
      <c r="F12" s="272"/>
      <c r="G12" s="272"/>
    </row>
    <row r="13" spans="1:7">
      <c r="A13" s="272" t="s">
        <v>373</v>
      </c>
      <c r="B13" s="272">
        <v>30</v>
      </c>
      <c r="C13" s="272"/>
      <c r="D13" s="272"/>
      <c r="E13" s="272"/>
      <c r="F13" s="272"/>
      <c r="G13" s="27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E1EDE-6DD5-4793-B88F-C51249427C45}">
  <dimension ref="A1:I11"/>
  <sheetViews>
    <sheetView workbookViewId="0">
      <selection activeCell="G3" sqref="G3"/>
    </sheetView>
  </sheetViews>
  <sheetFormatPr defaultRowHeight="13.8"/>
  <sheetData>
    <row r="1" spans="1:9">
      <c r="A1" s="270" t="s">
        <v>460</v>
      </c>
    </row>
    <row r="3" spans="1:9">
      <c r="A3" s="271" t="s">
        <v>753</v>
      </c>
      <c r="B3" s="271" t="s">
        <v>461</v>
      </c>
      <c r="C3" s="271" t="s">
        <v>462</v>
      </c>
      <c r="D3" s="271" t="s">
        <v>754</v>
      </c>
      <c r="E3" s="271" t="s">
        <v>463</v>
      </c>
      <c r="F3" s="271" t="s">
        <v>755</v>
      </c>
      <c r="G3" s="271" t="s">
        <v>756</v>
      </c>
      <c r="H3" s="271" t="s">
        <v>757</v>
      </c>
      <c r="I3" s="271" t="s">
        <v>758</v>
      </c>
    </row>
    <row r="4" spans="1:9">
      <c r="A4" s="272" t="s">
        <v>371</v>
      </c>
      <c r="B4" s="272">
        <v>60</v>
      </c>
      <c r="C4" s="272">
        <v>100</v>
      </c>
      <c r="D4" s="272">
        <v>0.1</v>
      </c>
      <c r="E4" s="272">
        <v>10</v>
      </c>
      <c r="F4" s="272"/>
      <c r="G4" s="272"/>
      <c r="H4" s="272"/>
      <c r="I4" s="272"/>
    </row>
    <row r="5" spans="1:9">
      <c r="A5" s="272" t="s">
        <v>371</v>
      </c>
      <c r="B5" s="272">
        <v>80</v>
      </c>
      <c r="C5" s="272">
        <v>50</v>
      </c>
      <c r="D5" s="272">
        <v>0.2</v>
      </c>
      <c r="E5" s="272">
        <v>10</v>
      </c>
      <c r="F5" s="272"/>
      <c r="G5" s="272"/>
      <c r="H5" s="272"/>
      <c r="I5" s="272"/>
    </row>
    <row r="6" spans="1:9">
      <c r="A6" s="272" t="s">
        <v>371</v>
      </c>
      <c r="B6" s="272">
        <v>100</v>
      </c>
      <c r="C6" s="272">
        <v>50</v>
      </c>
      <c r="D6" s="272">
        <v>0.2</v>
      </c>
      <c r="E6" s="272">
        <v>10</v>
      </c>
      <c r="F6" s="272"/>
      <c r="G6" s="272"/>
      <c r="H6" s="272"/>
      <c r="I6" s="272"/>
    </row>
    <row r="7" spans="1:9">
      <c r="A7" s="272" t="s">
        <v>371</v>
      </c>
      <c r="B7" s="272">
        <v>120</v>
      </c>
      <c r="C7" s="272">
        <v>25</v>
      </c>
      <c r="D7" s="272">
        <v>0.4</v>
      </c>
      <c r="E7" s="272">
        <v>10</v>
      </c>
      <c r="F7" s="272"/>
      <c r="G7" s="272"/>
      <c r="H7" s="272"/>
      <c r="I7" s="272"/>
    </row>
    <row r="8" spans="1:9">
      <c r="A8" s="272" t="s">
        <v>373</v>
      </c>
      <c r="B8" s="272">
        <v>60</v>
      </c>
      <c r="C8" s="272">
        <v>100</v>
      </c>
      <c r="D8" s="272">
        <v>0.1</v>
      </c>
      <c r="E8" s="272">
        <v>10</v>
      </c>
      <c r="F8" s="272"/>
      <c r="G8" s="272"/>
      <c r="H8" s="272"/>
      <c r="I8" s="272"/>
    </row>
    <row r="9" spans="1:9">
      <c r="A9" s="272" t="s">
        <v>373</v>
      </c>
      <c r="B9" s="272">
        <v>80</v>
      </c>
      <c r="C9" s="272">
        <v>50</v>
      </c>
      <c r="D9" s="272">
        <v>0.2</v>
      </c>
      <c r="E9" s="272">
        <v>10</v>
      </c>
      <c r="F9" s="272"/>
      <c r="G9" s="272"/>
      <c r="H9" s="272"/>
      <c r="I9" s="272"/>
    </row>
    <row r="10" spans="1:9">
      <c r="A10" s="272" t="s">
        <v>373</v>
      </c>
      <c r="B10" s="272">
        <v>100</v>
      </c>
      <c r="C10" s="272">
        <v>50</v>
      </c>
      <c r="D10" s="272">
        <v>0.2</v>
      </c>
      <c r="E10" s="272">
        <v>10</v>
      </c>
      <c r="F10" s="272"/>
      <c r="G10" s="272"/>
      <c r="H10" s="272"/>
      <c r="I10" s="272"/>
    </row>
    <row r="11" spans="1:9">
      <c r="A11" s="272" t="s">
        <v>373</v>
      </c>
      <c r="B11" s="272">
        <v>120</v>
      </c>
      <c r="C11" s="272">
        <v>25</v>
      </c>
      <c r="D11" s="272">
        <v>0.4</v>
      </c>
      <c r="E11" s="272">
        <v>10</v>
      </c>
      <c r="F11" s="272"/>
      <c r="G11" s="272"/>
      <c r="H11" s="272"/>
      <c r="I11" s="27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AB210-DACE-4E8F-A466-C8A58FD82728}">
  <dimension ref="A1:G73"/>
  <sheetViews>
    <sheetView workbookViewId="0"/>
  </sheetViews>
  <sheetFormatPr defaultColWidth="8.88671875" defaultRowHeight="15.6"/>
  <cols>
    <col min="1" max="1" width="8.88671875" style="366"/>
    <col min="2" max="2" width="11.5546875" style="366" bestFit="1" customWidth="1"/>
    <col min="3" max="16384" width="8.88671875" style="366"/>
  </cols>
  <sheetData>
    <row r="1" spans="1:2">
      <c r="A1" s="365" t="s">
        <v>244</v>
      </c>
    </row>
    <row r="2" spans="1:2">
      <c r="A2" s="365" t="s">
        <v>245</v>
      </c>
      <c r="B2" s="365" t="s">
        <v>246</v>
      </c>
    </row>
    <row r="3" spans="1:2">
      <c r="A3" s="365" t="s">
        <v>247</v>
      </c>
      <c r="B3" s="365" t="s">
        <v>248</v>
      </c>
    </row>
    <row r="5" spans="1:2">
      <c r="A5" s="365" t="s">
        <v>249</v>
      </c>
    </row>
    <row r="6" spans="1:2">
      <c r="A6" s="365" t="s">
        <v>250</v>
      </c>
      <c r="B6" s="367" t="s">
        <v>251</v>
      </c>
    </row>
    <row r="7" spans="1:2">
      <c r="A7" s="365" t="s">
        <v>252</v>
      </c>
      <c r="B7" s="367" t="s">
        <v>253</v>
      </c>
    </row>
    <row r="9" spans="1:2">
      <c r="A9" s="840" t="s">
        <v>254</v>
      </c>
      <c r="B9" s="840"/>
    </row>
    <row r="10" spans="1:2">
      <c r="B10" s="366" t="s">
        <v>255</v>
      </c>
    </row>
    <row r="11" spans="1:2">
      <c r="A11" s="366" t="s">
        <v>256</v>
      </c>
      <c r="B11" s="366">
        <v>0.1</v>
      </c>
    </row>
    <row r="12" spans="1:2">
      <c r="A12" s="366" t="s">
        <v>257</v>
      </c>
      <c r="B12" s="366">
        <v>1</v>
      </c>
    </row>
    <row r="13" spans="1:2">
      <c r="A13" s="366" t="s">
        <v>258</v>
      </c>
      <c r="B13" s="366">
        <v>10</v>
      </c>
    </row>
    <row r="14" spans="1:2">
      <c r="A14" s="366" t="s">
        <v>259</v>
      </c>
      <c r="B14" s="366">
        <v>100</v>
      </c>
    </row>
    <row r="15" spans="1:2">
      <c r="A15" s="366" t="s">
        <v>255</v>
      </c>
      <c r="B15" s="366">
        <v>1</v>
      </c>
    </row>
    <row r="17" spans="1:7">
      <c r="A17" s="368" t="s">
        <v>226</v>
      </c>
    </row>
    <row r="18" spans="1:7">
      <c r="B18" s="369"/>
      <c r="C18" s="369"/>
      <c r="D18" s="842" t="s">
        <v>227</v>
      </c>
      <c r="E18" s="842"/>
      <c r="F18" s="842" t="s">
        <v>227</v>
      </c>
      <c r="G18" s="842"/>
    </row>
    <row r="19" spans="1:7">
      <c r="A19" s="370"/>
      <c r="B19" s="370"/>
      <c r="C19" s="369" t="s">
        <v>228</v>
      </c>
      <c r="D19" s="369" t="s">
        <v>229</v>
      </c>
      <c r="E19" s="369">
        <v>400</v>
      </c>
      <c r="F19" s="369" t="s">
        <v>229</v>
      </c>
      <c r="G19" s="369">
        <v>400</v>
      </c>
    </row>
    <row r="20" spans="1:7">
      <c r="A20" s="369" t="s">
        <v>230</v>
      </c>
      <c r="B20" s="369"/>
      <c r="C20" s="369" t="s">
        <v>202</v>
      </c>
      <c r="D20" s="369" t="s">
        <v>231</v>
      </c>
      <c r="E20" s="369"/>
      <c r="F20" s="369" t="s">
        <v>232</v>
      </c>
      <c r="G20" s="369"/>
    </row>
    <row r="21" spans="1:7">
      <c r="A21" s="368" t="s">
        <v>233</v>
      </c>
      <c r="B21" s="368"/>
      <c r="C21" s="369">
        <v>23</v>
      </c>
      <c r="D21" s="369">
        <v>38</v>
      </c>
      <c r="E21" s="369">
        <v>23</v>
      </c>
      <c r="F21" s="369">
        <f t="shared" ref="F21:F31" si="0">D21*0.00876</f>
        <v>0.33288000000000001</v>
      </c>
      <c r="G21" s="369">
        <f t="shared" ref="G21:G31" si="1">E21*0.00876</f>
        <v>0.20148000000000002</v>
      </c>
    </row>
    <row r="22" spans="1:7">
      <c r="A22" s="368" t="s">
        <v>234</v>
      </c>
      <c r="B22" s="368"/>
      <c r="C22" s="369">
        <v>23</v>
      </c>
      <c r="D22" s="369">
        <v>23</v>
      </c>
      <c r="E22" s="369">
        <v>8</v>
      </c>
      <c r="F22" s="369">
        <f t="shared" si="0"/>
        <v>0.20148000000000002</v>
      </c>
      <c r="G22" s="369">
        <f t="shared" si="1"/>
        <v>7.0080000000000003E-2</v>
      </c>
    </row>
    <row r="23" spans="1:7">
      <c r="A23" s="368" t="s">
        <v>235</v>
      </c>
      <c r="B23" s="368"/>
      <c r="C23" s="369">
        <v>23</v>
      </c>
      <c r="D23" s="369">
        <v>735</v>
      </c>
      <c r="E23" s="369">
        <v>450</v>
      </c>
      <c r="F23" s="369">
        <f t="shared" si="0"/>
        <v>6.4386000000000001</v>
      </c>
      <c r="G23" s="369">
        <f t="shared" si="1"/>
        <v>3.9420000000000002</v>
      </c>
    </row>
    <row r="24" spans="1:7">
      <c r="A24" s="368" t="s">
        <v>236</v>
      </c>
      <c r="B24" s="368"/>
      <c r="C24" s="369">
        <v>23</v>
      </c>
      <c r="D24" s="369">
        <v>675</v>
      </c>
      <c r="E24" s="369">
        <v>525</v>
      </c>
      <c r="F24" s="369">
        <f t="shared" si="0"/>
        <v>5.9130000000000003</v>
      </c>
      <c r="G24" s="369">
        <f t="shared" si="1"/>
        <v>4.5990000000000002</v>
      </c>
    </row>
    <row r="25" spans="1:7">
      <c r="A25" s="368" t="s">
        <v>237</v>
      </c>
      <c r="B25" s="368"/>
      <c r="C25" s="369">
        <v>23</v>
      </c>
      <c r="D25" s="369">
        <v>390</v>
      </c>
      <c r="E25" s="369">
        <v>218</v>
      </c>
      <c r="F25" s="369">
        <f t="shared" si="0"/>
        <v>3.4164000000000003</v>
      </c>
      <c r="G25" s="369">
        <f t="shared" si="1"/>
        <v>1.90968</v>
      </c>
    </row>
    <row r="26" spans="1:7">
      <c r="A26" s="368" t="s">
        <v>238</v>
      </c>
      <c r="B26" s="368"/>
      <c r="C26" s="369">
        <v>13</v>
      </c>
      <c r="D26" s="369">
        <v>203</v>
      </c>
      <c r="E26" s="369">
        <v>142</v>
      </c>
      <c r="F26" s="369">
        <f t="shared" si="0"/>
        <v>1.7782800000000001</v>
      </c>
      <c r="G26" s="369">
        <f t="shared" si="1"/>
        <v>1.2439200000000001</v>
      </c>
    </row>
    <row r="27" spans="1:7">
      <c r="A27" s="368" t="s">
        <v>239</v>
      </c>
      <c r="B27" s="368"/>
      <c r="C27" s="369">
        <v>15</v>
      </c>
      <c r="D27" s="369">
        <v>218</v>
      </c>
      <c r="E27" s="369">
        <v>105</v>
      </c>
      <c r="F27" s="369">
        <f t="shared" si="0"/>
        <v>1.90968</v>
      </c>
      <c r="G27" s="369">
        <f t="shared" si="1"/>
        <v>0.91980000000000006</v>
      </c>
    </row>
    <row r="28" spans="1:7">
      <c r="A28" s="368" t="s">
        <v>240</v>
      </c>
      <c r="B28" s="368"/>
      <c r="C28" s="369">
        <v>23</v>
      </c>
      <c r="D28" s="369">
        <v>893</v>
      </c>
      <c r="E28" s="369">
        <v>893</v>
      </c>
      <c r="F28" s="369">
        <f t="shared" si="0"/>
        <v>7.8226800000000001</v>
      </c>
      <c r="G28" s="369">
        <f t="shared" si="1"/>
        <v>7.8226800000000001</v>
      </c>
    </row>
    <row r="29" spans="1:7">
      <c r="A29" s="368" t="s">
        <v>241</v>
      </c>
      <c r="B29" s="368"/>
      <c r="C29" s="369">
        <v>23</v>
      </c>
      <c r="D29" s="369">
        <v>612</v>
      </c>
      <c r="E29" s="369">
        <v>612</v>
      </c>
      <c r="F29" s="369">
        <f t="shared" si="0"/>
        <v>5.3611200000000006</v>
      </c>
      <c r="G29" s="369">
        <f t="shared" si="1"/>
        <v>5.3611200000000006</v>
      </c>
    </row>
    <row r="30" spans="1:7">
      <c r="A30" s="368" t="s">
        <v>242</v>
      </c>
      <c r="B30" s="368"/>
      <c r="C30" s="369">
        <v>8</v>
      </c>
      <c r="D30" s="369">
        <v>111</v>
      </c>
      <c r="E30" s="369">
        <v>111</v>
      </c>
      <c r="F30" s="369">
        <f t="shared" si="0"/>
        <v>0.97236</v>
      </c>
      <c r="G30" s="369">
        <f t="shared" si="1"/>
        <v>0.97236</v>
      </c>
    </row>
    <row r="31" spans="1:7">
      <c r="A31" s="841" t="s">
        <v>243</v>
      </c>
      <c r="B31" s="841"/>
      <c r="C31" s="369">
        <v>15</v>
      </c>
      <c r="D31" s="369">
        <v>45</v>
      </c>
      <c r="E31" s="369">
        <v>45</v>
      </c>
      <c r="F31" s="369">
        <f t="shared" si="0"/>
        <v>0.39419999999999999</v>
      </c>
      <c r="G31" s="369">
        <f t="shared" si="1"/>
        <v>0.39419999999999999</v>
      </c>
    </row>
    <row r="33" spans="1:4">
      <c r="A33" s="371" t="s">
        <v>506</v>
      </c>
      <c r="B33" s="365"/>
      <c r="C33" s="365"/>
      <c r="D33" s="365"/>
    </row>
    <row r="34" spans="1:4">
      <c r="A34" s="372"/>
      <c r="B34" s="373" t="s">
        <v>504</v>
      </c>
      <c r="C34"/>
    </row>
    <row r="35" spans="1:4">
      <c r="A35" s="374" t="s">
        <v>203</v>
      </c>
      <c r="B35" s="382" t="s">
        <v>505</v>
      </c>
      <c r="C35"/>
    </row>
    <row r="36" spans="1:4">
      <c r="A36" s="374">
        <v>30</v>
      </c>
      <c r="B36" s="375">
        <v>0.3</v>
      </c>
      <c r="C36"/>
    </row>
    <row r="37" spans="1:4">
      <c r="A37" s="374">
        <v>40</v>
      </c>
      <c r="B37" s="375">
        <v>0.4</v>
      </c>
      <c r="C37"/>
    </row>
    <row r="38" spans="1:4" ht="16.2" thickBot="1">
      <c r="A38" s="376">
        <v>50</v>
      </c>
      <c r="B38" s="377">
        <v>0.5</v>
      </c>
      <c r="C38"/>
    </row>
    <row r="39" spans="1:4">
      <c r="A39" s="378">
        <v>51</v>
      </c>
      <c r="B39" s="379">
        <v>1.3</v>
      </c>
      <c r="C39"/>
    </row>
    <row r="40" spans="1:4">
      <c r="A40" s="374">
        <v>60</v>
      </c>
      <c r="B40" s="375">
        <v>1.5</v>
      </c>
      <c r="C40"/>
    </row>
    <row r="41" spans="1:4" ht="16.2" thickBot="1">
      <c r="A41" s="380">
        <v>70</v>
      </c>
      <c r="B41" s="381">
        <v>1.8</v>
      </c>
      <c r="C41"/>
    </row>
    <row r="42" spans="1:4">
      <c r="A42" s="372">
        <v>71</v>
      </c>
      <c r="B42" s="373">
        <v>2.5</v>
      </c>
      <c r="C42"/>
    </row>
    <row r="43" spans="1:4">
      <c r="A43" s="374">
        <v>80</v>
      </c>
      <c r="B43" s="375">
        <v>2.9</v>
      </c>
      <c r="C43"/>
    </row>
    <row r="44" spans="1:4">
      <c r="A44" s="374">
        <v>90</v>
      </c>
      <c r="B44" s="375">
        <v>3.2</v>
      </c>
      <c r="C44"/>
    </row>
    <row r="45" spans="1:4">
      <c r="A45" s="374">
        <v>100</v>
      </c>
      <c r="B45" s="375">
        <v>3.6</v>
      </c>
      <c r="C45"/>
    </row>
    <row r="46" spans="1:4">
      <c r="A46" s="374">
        <v>110</v>
      </c>
      <c r="B46" s="375">
        <v>3.9</v>
      </c>
      <c r="C46"/>
    </row>
    <row r="47" spans="1:4">
      <c r="A47" s="374">
        <v>120</v>
      </c>
      <c r="B47" s="375">
        <v>4.3</v>
      </c>
      <c r="C47"/>
    </row>
    <row r="48" spans="1:4">
      <c r="A48" s="374">
        <v>130</v>
      </c>
      <c r="B48" s="375">
        <v>4.7</v>
      </c>
      <c r="C48"/>
    </row>
    <row r="49" spans="1:3">
      <c r="A49" s="374">
        <v>140</v>
      </c>
      <c r="B49" s="375">
        <v>5</v>
      </c>
      <c r="C49"/>
    </row>
    <row r="50" spans="1:3">
      <c r="A50" s="376">
        <v>150</v>
      </c>
      <c r="B50" s="377">
        <v>5.4</v>
      </c>
      <c r="C50"/>
    </row>
    <row r="52" spans="1:3">
      <c r="A52" s="754" t="s">
        <v>747</v>
      </c>
      <c r="B52" s="754"/>
    </row>
    <row r="53" spans="1:3">
      <c r="A53" s="2">
        <v>1.1000000000000001</v>
      </c>
      <c r="B53" s="2">
        <v>0.5</v>
      </c>
    </row>
    <row r="54" spans="1:3">
      <c r="A54" s="2">
        <v>1.2</v>
      </c>
      <c r="B54" s="2">
        <v>0.56000000000000005</v>
      </c>
    </row>
    <row r="55" spans="1:3">
      <c r="A55" s="2">
        <v>1.3</v>
      </c>
      <c r="B55" s="2">
        <v>0.63</v>
      </c>
    </row>
    <row r="56" spans="1:3">
      <c r="A56" s="2">
        <v>2.1</v>
      </c>
      <c r="B56" s="2">
        <v>0.71</v>
      </c>
    </row>
    <row r="57" spans="1:3">
      <c r="A57" s="2">
        <v>2.2000000000000002</v>
      </c>
      <c r="B57" s="2">
        <v>0.8</v>
      </c>
    </row>
    <row r="58" spans="1:3">
      <c r="A58" s="2">
        <v>2.2999999999999998</v>
      </c>
      <c r="B58" s="2">
        <v>0.9</v>
      </c>
    </row>
    <row r="59" spans="1:3">
      <c r="A59" s="2">
        <v>3.1</v>
      </c>
      <c r="B59" s="2">
        <v>1</v>
      </c>
    </row>
    <row r="60" spans="1:3">
      <c r="A60" s="2">
        <v>3.2</v>
      </c>
      <c r="B60" s="2">
        <v>1.1200000000000001</v>
      </c>
    </row>
    <row r="61" spans="1:3">
      <c r="A61" s="2">
        <v>3.3</v>
      </c>
      <c r="B61" s="2">
        <v>1.25</v>
      </c>
    </row>
    <row r="62" spans="1:3">
      <c r="A62" s="2">
        <v>4.0999999999999996</v>
      </c>
      <c r="B62" s="2">
        <v>1.4</v>
      </c>
    </row>
    <row r="63" spans="1:3">
      <c r="A63" s="2">
        <v>4.2</v>
      </c>
      <c r="B63" s="2">
        <v>1.6</v>
      </c>
    </row>
    <row r="64" spans="1:3">
      <c r="A64" s="2">
        <v>4.3</v>
      </c>
      <c r="B64" s="2">
        <v>1.8</v>
      </c>
    </row>
    <row r="65" spans="1:2">
      <c r="A65" s="2">
        <v>5.0999999999999996</v>
      </c>
      <c r="B65" s="2">
        <v>2</v>
      </c>
    </row>
    <row r="66" spans="1:2">
      <c r="A66" s="2">
        <v>5.2</v>
      </c>
      <c r="B66" s="2">
        <v>2.2400000000000002</v>
      </c>
    </row>
    <row r="67" spans="1:2">
      <c r="A67" s="2">
        <v>5.3</v>
      </c>
      <c r="B67" s="2">
        <v>2.5</v>
      </c>
    </row>
    <row r="68" spans="1:2">
      <c r="A68" s="2">
        <v>6.1</v>
      </c>
      <c r="B68" s="2">
        <v>2.8</v>
      </c>
    </row>
    <row r="69" spans="1:2">
      <c r="A69" s="2">
        <v>6.2</v>
      </c>
      <c r="B69" s="2">
        <v>3.15</v>
      </c>
    </row>
    <row r="70" spans="1:2">
      <c r="A70" s="2">
        <v>6.3</v>
      </c>
      <c r="B70" s="2">
        <v>3.55</v>
      </c>
    </row>
    <row r="71" spans="1:2">
      <c r="A71" s="2">
        <v>7.1</v>
      </c>
      <c r="B71" s="2">
        <v>4</v>
      </c>
    </row>
    <row r="72" spans="1:2">
      <c r="A72" s="2">
        <v>7.2</v>
      </c>
      <c r="B72" s="2">
        <v>4.5</v>
      </c>
    </row>
    <row r="73" spans="1:2">
      <c r="A73" s="2">
        <v>7.3</v>
      </c>
      <c r="B73" s="2">
        <v>5</v>
      </c>
    </row>
  </sheetData>
  <mergeCells count="5">
    <mergeCell ref="A9:B9"/>
    <mergeCell ref="A31:B31"/>
    <mergeCell ref="D18:E18"/>
    <mergeCell ref="F18:G18"/>
    <mergeCell ref="A52:B52"/>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40</vt:i4>
      </vt:variant>
    </vt:vector>
  </HeadingPairs>
  <TitlesOfParts>
    <vt:vector size="46" baseType="lpstr">
      <vt:lpstr>Sheet1</vt:lpstr>
      <vt:lpstr>Frontal Gen</vt:lpstr>
      <vt:lpstr>Lateral Gen</vt:lpstr>
      <vt:lpstr>AEC</vt:lpstr>
      <vt:lpstr>DAP</vt:lpstr>
      <vt:lpstr>Tables</vt:lpstr>
      <vt:lpstr>AEC_KAP</vt:lpstr>
      <vt:lpstr>BLD</vt:lpstr>
      <vt:lpstr>COMPG2</vt:lpstr>
      <vt:lpstr>COMPG3</vt:lpstr>
      <vt:lpstr>EXP</vt:lpstr>
      <vt:lpstr>F_ALUM</vt:lpstr>
      <vt:lpstr>F_ALUM_0</vt:lpstr>
      <vt:lpstr>F_ALUM_1</vt:lpstr>
      <vt:lpstr>F_ALUM_2</vt:lpstr>
      <vt:lpstr>F_ALUM_3</vt:lpstr>
      <vt:lpstr>F_ALUMHIGH</vt:lpstr>
      <vt:lpstr>F_ALUMLOW</vt:lpstr>
      <vt:lpstr>F_DHALF</vt:lpstr>
      <vt:lpstr>F_EXP_0</vt:lpstr>
      <vt:lpstr>F_EXP_1</vt:lpstr>
      <vt:lpstr>F_EXP_2</vt:lpstr>
      <vt:lpstr>F_EXP_3</vt:lpstr>
      <vt:lpstr>F_HVL</vt:lpstr>
      <vt:lpstr>F_LNEXP</vt:lpstr>
      <vt:lpstr>FIRST</vt:lpstr>
      <vt:lpstr>FrontalMAS</vt:lpstr>
      <vt:lpstr>KV_REPRO</vt:lpstr>
      <vt:lpstr>L_ALUM</vt:lpstr>
      <vt:lpstr>L_ALUM_0</vt:lpstr>
      <vt:lpstr>L_ALUM_1</vt:lpstr>
      <vt:lpstr>L_ALUM_2</vt:lpstr>
      <vt:lpstr>L_ALUM_3</vt:lpstr>
      <vt:lpstr>L_ALUMHIGH</vt:lpstr>
      <vt:lpstr>L_ALUMLOW</vt:lpstr>
      <vt:lpstr>L_DHALF</vt:lpstr>
      <vt:lpstr>L_EXP_0</vt:lpstr>
      <vt:lpstr>L_EXP_1</vt:lpstr>
      <vt:lpstr>L_EXP_2</vt:lpstr>
      <vt:lpstr>L_EXP_3</vt:lpstr>
      <vt:lpstr>L_HVL</vt:lpstr>
      <vt:lpstr>L_LNEXP</vt:lpstr>
      <vt:lpstr>LAST</vt:lpstr>
      <vt:lpstr>LateralMAS</vt:lpstr>
      <vt:lpstr>LIN_HVL</vt:lpstr>
      <vt:lpstr>Sheet1!Print_Area</vt:lpstr>
    </vt:vector>
  </TitlesOfParts>
  <Company>MUSC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 Eugene</dc:creator>
  <cp:lastModifiedBy>Mah, Eugene</cp:lastModifiedBy>
  <cp:lastPrinted>2026-04-15T13:39:47Z</cp:lastPrinted>
  <dcterms:created xsi:type="dcterms:W3CDTF">2026-03-25T13:20:29Z</dcterms:created>
  <dcterms:modified xsi:type="dcterms:W3CDTF">2026-04-15T14:15:46Z</dcterms:modified>
</cp:coreProperties>
</file>