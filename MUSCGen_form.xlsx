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3CA2E3A0-9EF4-48C0-A7B7-A58018F14AB4}"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1211" i="1" l="1"/>
  <c r="G1210" i="1" s="1"/>
  <c r="D1211" i="1" l="1"/>
  <c r="Q1206" i="1" l="1"/>
  <c r="Q1205" i="1"/>
  <c r="Q1204" i="1"/>
  <c r="Q1203" i="1"/>
  <c r="P1206" i="1"/>
  <c r="O1206" i="1"/>
  <c r="P1205" i="1"/>
  <c r="O1205" i="1"/>
  <c r="E1204" i="1" s="1"/>
  <c r="P1204" i="1"/>
  <c r="O1204" i="1"/>
  <c r="F1205" i="1"/>
  <c r="E1205" i="1"/>
  <c r="D1205" i="1"/>
  <c r="F1204" i="1"/>
  <c r="D1204" i="1"/>
  <c r="F1203" i="1"/>
  <c r="E1203" i="1"/>
  <c r="D1203" i="1"/>
  <c r="F1202" i="1"/>
  <c r="E1202" i="1"/>
  <c r="D1202" i="1"/>
  <c r="C1202" i="1"/>
  <c r="P1203"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3" i="1" l="1"/>
  <c r="G1204" i="1"/>
  <c r="G1205" i="1"/>
  <c r="Q1207" i="1"/>
  <c r="Q1208" i="1"/>
  <c r="Q1209" i="1"/>
  <c r="Q1210" i="1"/>
  <c r="G1202" i="1"/>
  <c r="E1201"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3" i="1" l="1"/>
  <c r="C1204" i="1"/>
  <c r="C1205" i="1"/>
  <c r="C1206" i="1"/>
  <c r="D1206" i="1"/>
  <c r="C1207" i="1"/>
  <c r="D1207" i="1"/>
  <c r="C1208" i="1"/>
  <c r="D1208" i="1"/>
  <c r="C1209" i="1"/>
  <c r="D1209" i="1"/>
  <c r="C1201" i="1"/>
  <c r="M1198" i="1"/>
  <c r="F1207" i="1"/>
  <c r="F1206" i="1"/>
  <c r="E1208" i="1"/>
  <c r="E1209" i="1"/>
  <c r="G1209" i="1" l="1"/>
  <c r="E1207" i="1"/>
  <c r="F1209" i="1"/>
  <c r="F1208" i="1"/>
  <c r="G1206" i="1"/>
  <c r="G1208" i="1"/>
  <c r="E1206"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7" i="1" l="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O542" i="1"/>
  <c r="AD112" i="1" s="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7"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4" i="1"/>
  <c r="K57" i="1"/>
  <c r="K62" i="1"/>
  <c r="J123" i="1"/>
  <c r="J125" i="1"/>
  <c r="J127" i="1"/>
  <c r="C407" i="1"/>
  <c r="C411" i="1"/>
  <c r="R623" i="1"/>
  <c r="F623" i="1" s="1"/>
  <c r="D863" i="1"/>
  <c r="J914" i="1"/>
  <c r="J102" i="1" s="1"/>
  <c r="J104" i="1"/>
  <c r="K105" i="1"/>
  <c r="K107" i="1"/>
  <c r="P583" i="1"/>
  <c r="O56"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R560" i="1"/>
  <c r="F560" i="1" s="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T640" i="1" l="1"/>
  <c r="W640" i="1" s="1"/>
  <c r="G638" i="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F949" i="1" s="1"/>
  <c r="S955" i="1" a="1"/>
  <c r="S955" i="1" s="1"/>
  <c r="F948" i="1" s="1"/>
  <c r="O1401" i="1"/>
  <c r="O939" i="1"/>
  <c r="F947" i="1"/>
  <c r="E947" i="1"/>
  <c r="S950" i="1"/>
  <c r="AD480" i="1" s="1"/>
  <c r="AC480" i="1" s="1"/>
  <c r="I937" i="1"/>
  <c r="M976" i="1" s="1"/>
  <c r="E949" i="1"/>
  <c r="F937" i="1"/>
  <c r="E948" i="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1"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<sst xmlns="http://schemas.openxmlformats.org/spreadsheetml/2006/main" count="6275" uniqueCount="1227">
  <si>
    <t>For PBL, x-ray field length/width and film size are equal to within 3% SID.</t>
  </si>
  <si>
    <t>DHEC RHB 4.3.9.1</t>
  </si>
  <si>
    <t>DHEC RHB 4.3.9.3</t>
  </si>
  <si>
    <t>DHEC RHB 4.3.7</t>
  </si>
  <si>
    <t>DHEC RHB 4.7.4.2.1</t>
  </si>
  <si>
    <t>DHEC RHB 4.7.4.2.2</t>
  </si>
  <si>
    <t>DHEC RHB 4.7.4.2.4</t>
  </si>
  <si>
    <t>DHEC RHB 4.7.5</t>
  </si>
  <si>
    <t>DHEC RHB 4.7.7</t>
  </si>
  <si>
    <t>DHEC RHB 4.7.8</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</si>
  <si>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</si>
  <si>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</si>
  <si>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</si>
  <si>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</si>
  <si>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</si>
  <si>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</si>
  <si>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Change to DHEC Standards?</t>
  </si>
  <si>
    <t>(Type 1 to base acceptance on DHEC criteria)</t>
  </si>
  <si>
    <t>RADIOGRAPHIC UNITS (MUSC CRITERIA)</t>
  </si>
  <si>
    <t>thick. (cm)</t>
  </si>
  <si>
    <t>Yes</t>
  </si>
  <si>
    <t>CXR</t>
  </si>
  <si>
    <t>14x17</t>
  </si>
  <si>
    <t>Accession Number:</t>
  </si>
  <si>
    <t>Site Number:</t>
  </si>
  <si>
    <t>Ribs</t>
  </si>
  <si>
    <t>10x12</t>
  </si>
  <si>
    <t>No</t>
  </si>
  <si>
    <t>T15</t>
  </si>
  <si>
    <t>Center of x-ray field to center of image receptor &lt;= 2% SID.</t>
  </si>
  <si>
    <t>**A technique chart was not posted in the room.  A technique chart reflecting techniques currently used with the CR system must be provided (DHEC RHB 4.2.8).</t>
  </si>
  <si>
    <t>The measured HVL meets DHEC minimum requirements.</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</si>
  <si>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</si>
  <si>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</si>
  <si>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</si>
  <si>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</si>
  <si>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</si>
  <si>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</si>
  <si>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</si>
  <si>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</si>
  <si>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</si>
  <si>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</si>
  <si>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</si>
  <si>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</si>
  <si>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DHEC form SC-RHA-20 "Notice to Employees" posted or referenced.</t>
  </si>
  <si>
    <t>Projection</t>
  </si>
  <si>
    <t>Skull</t>
  </si>
  <si>
    <t>Pregnancy Warning sign is posted</t>
  </si>
  <si>
    <t>DHEC RHB 4.7.1.1</t>
  </si>
  <si>
    <t>DHEC RHB 4.7.1.4</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</si>
  <si>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</si>
  <si>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</si>
  <si>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</si>
  <si>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</si>
  <si>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</si>
  <si>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</si>
  <si>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</si>
  <si>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</si>
  <si>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</si>
  <si>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</si>
  <si>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</si>
  <si>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</si>
  <si>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</si>
  <si>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</si>
  <si>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</si>
  <si>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</si>
  <si>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</si>
  <si>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</si>
  <si>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</si>
  <si>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</si>
  <si>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</si>
  <si>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</si>
  <si>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</si>
  <si>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</si>
  <si>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</si>
  <si>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</si>
  <si>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</si>
  <si>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</si>
  <si>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</si>
  <si>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</si>
  <si>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</si>
  <si>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</si>
  <si>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</si>
  <si>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</si>
  <si>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</si>
  <si>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</si>
  <si>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</si>
  <si>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</si>
  <si>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</si>
  <si>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</si>
  <si>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</si>
  <si>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</si>
  <si>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</si>
  <si>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</si>
  <si>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</si>
  <si>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</si>
  <si>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</si>
  <si>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</si>
  <si>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</si>
  <si>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</si>
  <si>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</si>
  <si>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</si>
  <si>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</si>
  <si>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</si>
  <si>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</si>
  <si>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</si>
  <si>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</si>
  <si>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</si>
  <si>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</si>
  <si>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</si>
  <si>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</si>
  <si>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</si>
  <si>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</si>
  <si>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</si>
  <si>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</si>
  <si>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</si>
  <si>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</si>
  <si>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</si>
  <si>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</si>
  <si>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</si>
  <si>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</si>
  <si>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</si>
  <si>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</si>
  <si>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</si>
  <si>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</si>
  <si>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</si>
  <si>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</si>
  <si>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</si>
  <si>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</si>
  <si>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</si>
  <si>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</si>
  <si>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</si>
  <si>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</si>
  <si>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</si>
  <si>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</si>
  <si>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</si>
  <si>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</si>
  <si>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</si>
  <si>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</si>
  <si>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</si>
  <si>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</si>
  <si>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</si>
  <si>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</si>
  <si>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</si>
  <si>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</si>
  <si>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</si>
  <si>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</si>
  <si>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</si>
  <si>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</si>
  <si>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</si>
  <si>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</si>
  <si>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</si>
  <si>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</si>
  <si>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</si>
  <si>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</si>
  <si>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</si>
  <si>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</si>
  <si>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</si>
  <si>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</si>
  <si>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</si>
  <si>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</si>
  <si>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</si>
  <si>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</si>
  <si>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</si>
  <si>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</si>
  <si>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</si>
  <si>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</si>
  <si>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</si>
  <si>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</si>
  <si>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</si>
  <si>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</si>
  <si>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</si>
  <si>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</si>
  <si>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</si>
  <si>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</si>
  <si>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</si>
  <si>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</si>
  <si>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</si>
  <si>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</si>
  <si>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</si>
  <si>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</si>
  <si>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</si>
  <si>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</si>
  <si>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</si>
  <si>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</si>
  <si>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</si>
  <si>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</si>
  <si>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</si>
  <si>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</si>
  <si>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</si>
  <si>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</si>
  <si>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</si>
  <si>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</si>
  <si>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</si>
  <si>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</si>
  <si>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</si>
  <si>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</si>
  <si>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</si>
  <si>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</si>
  <si>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</si>
  <si>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</si>
  <si>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</si>
  <si>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</si>
  <si>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</si>
  <si>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</si>
  <si>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</si>
  <si>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</si>
  <si>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</si>
  <si>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</si>
  <si>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</si>
  <si>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</si>
  <si>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</si>
  <si>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</si>
  <si>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</si>
  <si>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</si>
  <si>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</si>
  <si>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</si>
  <si>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</si>
  <si>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</si>
  <si>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</si>
  <si>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</si>
  <si>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</si>
  <si>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</si>
  <si>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</si>
  <si>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</si>
  <si>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</si>
  <si>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</si>
  <si>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</si>
  <si>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</si>
  <si>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</si>
  <si>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</si>
  <si>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</si>
  <si>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</si>
  <si>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</si>
  <si>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</si>
  <si>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</si>
  <si>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</si>
  <si>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</si>
  <si>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</si>
  <si>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</si>
  <si>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</si>
  <si>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</si>
  <si>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</si>
  <si>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</si>
  <si>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</si>
  <si>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</si>
  <si>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</si>
  <si>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</si>
  <si>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</si>
  <si>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</si>
  <si>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</si>
  <si>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</si>
  <si>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</si>
  <si>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</si>
  <si>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</si>
  <si>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</si>
  <si>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</si>
  <si>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</si>
  <si>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</si>
  <si>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</si>
  <si>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</si>
  <si>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</si>
  <si>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</si>
  <si>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</si>
  <si>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</si>
  <si>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</si>
  <si>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</si>
  <si>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</si>
  <si>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</si>
  <si>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</si>
  <si>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</si>
  <si>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</si>
  <si>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</si>
  <si>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</si>
  <si>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</si>
  <si>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</si>
  <si>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</si>
  <si>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</si>
  <si>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</si>
  <si>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</si>
  <si>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</si>
  <si>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</si>
  <si>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</si>
  <si>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</si>
  <si>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</si>
  <si>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</si>
  <si>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</si>
  <si>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</si>
  <si>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</si>
  <si>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</si>
  <si>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</si>
  <si>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</si>
  <si>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</si>
  <si>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</si>
  <si>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</si>
  <si>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</si>
  <si>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</si>
  <si>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</si>
  <si>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</si>
  <si>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</si>
  <si>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</si>
  <si>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</si>
  <si>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</si>
  <si>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</si>
  <si>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</si>
  <si>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</si>
  <si>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</si>
  <si>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</si>
  <si>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</si>
  <si>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</si>
  <si>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</si>
  <si>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</si>
  <si>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</si>
  <si>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</si>
  <si>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</si>
  <si>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</si>
  <si>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</si>
  <si>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</si>
  <si>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</si>
  <si>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</si>
  <si>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</si>
  <si>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</si>
  <si>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</si>
  <si>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</si>
  <si>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</si>
  <si>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</si>
  <si>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</si>
  <si>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</si>
  <si>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</si>
  <si>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</si>
  <si>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</si>
  <si>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</si>
  <si>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</si>
  <si>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</si>
  <si>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</si>
  <si>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</si>
  <si>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</si>
  <si>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</si>
  <si>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</si>
  <si>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</si>
  <si>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</si>
  <si>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</si>
  <si>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</si>
  <si>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</si>
  <si>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</si>
  <si>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</si>
  <si>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</si>
  <si>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</si>
  <si>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</si>
  <si>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</si>
  <si>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</si>
  <si>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</si>
  <si>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</si>
  <si>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</si>
  <si>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</si>
  <si>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</si>
  <si>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</si>
  <si>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</si>
  <si>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</si>
  <si>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</si>
  <si>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</si>
  <si>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</si>
  <si>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</si>
  <si>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</si>
  <si>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</si>
  <si>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</si>
  <si>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</si>
  <si>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</si>
  <si>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</si>
  <si>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</si>
  <si>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</si>
  <si>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</si>
  <si>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</si>
  <si>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</si>
  <si>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</si>
  <si>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</si>
  <si>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</si>
  <si>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</si>
  <si>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</si>
  <si>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</si>
  <si>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</si>
  <si>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</si>
  <si>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</si>
  <si>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</si>
  <si>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</si>
  <si>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</si>
  <si>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</si>
  <si>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</si>
  <si>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</si>
  <si>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</si>
  <si>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</si>
  <si>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</si>
  <si>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</si>
  <si>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</si>
  <si>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</si>
  <si>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</si>
  <si>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</si>
  <si>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</si>
  <si>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</si>
  <si>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</si>
  <si>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</si>
  <si>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</si>
  <si>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</si>
  <si>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</si>
  <si>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</si>
  <si>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</si>
  <si>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</si>
  <si>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</si>
  <si>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</si>
  <si>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</si>
  <si>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</si>
  <si>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</si>
  <si>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</si>
  <si>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</si>
  <si>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</si>
  <si>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</si>
  <si>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</si>
  <si>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</si>
  <si>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</si>
  <si>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</si>
  <si>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</si>
  <si>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</si>
  <si>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</si>
  <si>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</si>
  <si>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</si>
  <si>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</si>
  <si>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</si>
  <si>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</si>
  <si>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</si>
  <si>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</si>
  <si>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</si>
  <si>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</si>
  <si>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</si>
  <si>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</si>
  <si>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</si>
  <si>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</si>
  <si>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</si>
  <si>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</si>
  <si>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</si>
  <si>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</si>
  <si>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</si>
  <si>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</si>
  <si>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</si>
  <si>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</si>
  <si>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</si>
  <si>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</si>
  <si>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</si>
  <si>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</si>
  <si>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</si>
  <si>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</si>
  <si>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</si>
  <si>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</si>
  <si>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</si>
  <si>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</si>
  <si>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</si>
  <si>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</si>
  <si>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</si>
  <si>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</si>
  <si>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</si>
  <si>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</si>
  <si>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</si>
  <si>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</si>
  <si>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</si>
  <si>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</si>
  <si>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</si>
  <si>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</si>
  <si>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</si>
  <si>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</si>
  <si>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</si>
  <si>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</si>
  <si>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</si>
  <si>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</si>
  <si>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</si>
  <si>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</si>
  <si>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</si>
  <si>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</si>
  <si>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</si>
  <si>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</si>
  <si>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</si>
  <si>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</si>
  <si>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</si>
  <si>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</si>
  <si>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</si>
  <si>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</si>
  <si>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</si>
  <si>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</si>
  <si>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</si>
  <si>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</si>
  <si>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</si>
  <si>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</si>
  <si>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</si>
  <si>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</si>
  <si>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</si>
  <si>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</si>
  <si>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</si>
  <si>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</si>
  <si>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</si>
  <si>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</si>
  <si>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</si>
  <si>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</si>
  <si>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</si>
  <si>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</si>
  <si>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</si>
  <si>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</si>
  <si>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</si>
  <si>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</si>
  <si>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</si>
  <si>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</si>
  <si>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</si>
  <si>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</si>
  <si>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</si>
  <si>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</si>
  <si>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</si>
  <si>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</si>
  <si>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</si>
  <si>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</si>
  <si>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</si>
  <si>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</si>
  <si>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</si>
  <si>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</si>
  <si>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</si>
  <si>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</si>
  <si>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</si>
  <si>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</si>
  <si>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</si>
  <si>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</si>
  <si>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</si>
  <si>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</si>
  <si>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</si>
  <si>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</si>
  <si>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</si>
  <si>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</si>
  <si>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</si>
  <si>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</si>
  <si>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</si>
  <si>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</si>
  <si>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</si>
  <si>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</si>
  <si>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</si>
  <si>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</si>
  <si>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</si>
  <si>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</si>
  <si>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</si>
  <si>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</si>
  <si>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</si>
  <si>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</si>
  <si>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</si>
  <si>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</si>
  <si>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</si>
  <si>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</si>
  <si>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</si>
  <si>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</si>
  <si>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</si>
  <si>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</si>
  <si>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</si>
  <si>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</si>
  <si>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</si>
  <si>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</si>
  <si>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</si>
  <si>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</si>
  <si>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</si>
  <si>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</si>
  <si>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</si>
  <si>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</si>
  <si>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</si>
  <si>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</si>
  <si>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</si>
  <si>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</si>
  <si>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</si>
  <si>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</si>
  <si>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</si>
  <si>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</si>
  <si>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</si>
  <si>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</si>
  <si>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</si>
  <si>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</si>
  <si>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</si>
  <si>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</si>
  <si>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</si>
  <si>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</si>
  <si>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</si>
  <si>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</si>
  <si>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</si>
  <si>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</si>
  <si>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</si>
  <si>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</si>
  <si>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</si>
  <si>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</si>
  <si>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</si>
  <si>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</si>
  <si>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</si>
  <si>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</si>
  <si>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</si>
  <si>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</si>
  <si>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</si>
  <si>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</si>
  <si>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</si>
  <si>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</si>
  <si>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</si>
  <si>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</si>
  <si>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</si>
  <si>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</si>
  <si>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</si>
  <si>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</si>
  <si>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</si>
  <si>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</si>
  <si>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</si>
  <si>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</si>
  <si>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</si>
  <si>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</si>
  <si>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</si>
  <si>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</si>
  <si>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</si>
  <si>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</si>
  <si>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</si>
  <si>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</si>
  <si>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</si>
  <si>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</si>
  <si>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</si>
  <si>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</si>
  <si>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</si>
  <si>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</si>
  <si>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</si>
  <si>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</si>
  <si>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</si>
  <si>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</si>
  <si>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</si>
  <si>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</si>
  <si>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</si>
  <si>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</si>
  <si>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</si>
  <si>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</si>
  <si>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</si>
  <si>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</si>
  <si>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</si>
  <si>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</si>
  <si>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</si>
  <si>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</si>
  <si>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</si>
  <si>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</si>
  <si>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</si>
  <si>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</si>
  <si>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</si>
  <si>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</si>
  <si>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</si>
  <si>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</si>
  <si>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</si>
  <si>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</si>
  <si>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</si>
  <si>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</si>
  <si>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</si>
  <si>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</si>
  <si>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</si>
  <si>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</si>
  <si>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</si>
  <si>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</si>
  <si>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</si>
  <si>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</si>
  <si>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</si>
  <si>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</si>
  <si>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</si>
  <si>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</si>
  <si>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</si>
  <si>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</si>
  <si>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</si>
  <si>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</si>
  <si>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</si>
  <si>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</si>
  <si>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</si>
  <si>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</si>
  <si>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</si>
  <si>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</si>
  <si>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</si>
  <si>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</si>
  <si>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</si>
  <si>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</si>
  <si>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</si>
  <si>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</si>
  <si>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</si>
  <si>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</si>
  <si>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</si>
  <si>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</si>
  <si>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</si>
  <si>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</si>
  <si>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</si>
  <si>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</si>
  <si>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</si>
  <si>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</si>
  <si>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</si>
  <si>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</si>
  <si>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</si>
  <si>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</si>
  <si>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</si>
  <si>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</si>
  <si>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</si>
  <si>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</si>
  <si>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</si>
  <si>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</si>
  <si>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</si>
  <si>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</si>
  <si>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</si>
  <si>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</si>
  <si>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</si>
  <si>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</si>
  <si>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</si>
  <si>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</si>
  <si>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</si>
  <si>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</si>
  <si>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</si>
  <si>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</si>
  <si>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</si>
  <si>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</si>
  <si>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</si>
  <si>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</si>
  <si>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</si>
  <si>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</si>
  <si>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</si>
  <si>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</si>
  <si>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</si>
  <si>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</si>
  <si>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</si>
  <si>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</si>
  <si>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</si>
  <si>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</si>
  <si>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</si>
  <si>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</si>
  <si>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</si>
  <si>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</si>
  <si>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</si>
  <si>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</si>
  <si>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</si>
  <si>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</si>
  <si>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</si>
  <si>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</si>
  <si>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</si>
  <si>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</si>
  <si>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</si>
  <si>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</si>
  <si>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</si>
  <si>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</si>
  <si>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</si>
  <si>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</si>
  <si>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</si>
  <si>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</si>
  <si>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</si>
  <si>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</si>
  <si>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</si>
  <si>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</si>
  <si>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</si>
  <si>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</si>
  <si>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</si>
  <si>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</si>
  <si>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</si>
  <si>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</si>
  <si>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</si>
  <si>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</si>
  <si>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</si>
  <si>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</si>
  <si>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</si>
  <si>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</si>
  <si>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</si>
  <si>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</si>
  <si>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</si>
  <si>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</si>
  <si>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</si>
  <si>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</si>
  <si>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</si>
  <si>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</si>
  <si>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</si>
  <si>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</si>
  <si>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</si>
  <si>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</si>
  <si>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</si>
  <si>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</si>
  <si>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</si>
  <si>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</si>
  <si>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</si>
  <si>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</si>
  <si>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</si>
  <si>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</si>
  <si>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</si>
  <si>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</si>
  <si>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</si>
  <si>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</si>
  <si>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</si>
  <si>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</si>
  <si>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</si>
  <si>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</si>
  <si>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</si>
  <si>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</si>
  <si>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</si>
  <si>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</si>
  <si>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</si>
  <si>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</si>
  <si>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</si>
  <si>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</si>
  <si>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</si>
  <si>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</si>
  <si>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</si>
  <si>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</si>
  <si>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</si>
  <si>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</si>
  <si>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</si>
  <si>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</si>
  <si>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</si>
  <si>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</si>
  <si>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</si>
  <si>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</si>
  <si>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</si>
  <si>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</si>
  <si>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</si>
  <si>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</si>
  <si>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</si>
  <si>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</si>
  <si>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</si>
  <si>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</si>
  <si>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</si>
  <si>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</si>
  <si>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</si>
  <si>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</si>
  <si>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</si>
  <si>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</si>
  <si>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</si>
  <si>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</si>
  <si>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</si>
  <si>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</si>
  <si>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</si>
  <si>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</si>
  <si>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</si>
  <si>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</si>
  <si>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</si>
  <si>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</si>
  <si>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</si>
  <si>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</si>
  <si>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</si>
  <si>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</si>
  <si>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</si>
  <si>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</si>
  <si>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</si>
  <si>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</si>
  <si>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</si>
  <si>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</si>
  <si>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</si>
  <si>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</si>
  <si>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</si>
  <si>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</si>
  <si>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</si>
  <si>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</si>
  <si>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</si>
  <si>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</si>
  <si>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</si>
  <si>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</si>
  <si>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</si>
  <si>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</si>
  <si>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</si>
  <si>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</si>
  <si>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</si>
  <si>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</si>
  <si>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</si>
  <si>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</si>
  <si>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</si>
  <si>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</si>
  <si>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</si>
  <si>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</si>
  <si>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</si>
  <si>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</si>
  <si>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</si>
  <si>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</si>
  <si>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</si>
  <si>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</si>
  <si>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</si>
  <si>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</si>
  <si>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</si>
  <si>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</si>
  <si>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</si>
  <si>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</si>
  <si>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</si>
  <si>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</si>
  <si>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</si>
  <si>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</si>
  <si>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</si>
  <si>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</si>
  <si>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</si>
  <si>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</si>
  <si>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</si>
  <si>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</si>
  <si>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</si>
  <si>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</si>
  <si>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</si>
  <si>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</si>
  <si>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</si>
  <si>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</si>
  <si>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</si>
  <si>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</si>
  <si>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</si>
  <si>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</si>
  <si>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</si>
  <si>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</si>
  <si>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</si>
  <si>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</si>
  <si>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</si>
  <si>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</si>
  <si>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</si>
  <si>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</si>
  <si>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</si>
  <si>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</si>
  <si>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</si>
  <si>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</si>
  <si>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</si>
  <si>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</si>
  <si>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</si>
  <si>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</si>
  <si>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</si>
  <si>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</si>
  <si>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</si>
  <si>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</si>
  <si>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</si>
  <si>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</si>
  <si>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</si>
  <si>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</si>
  <si>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</si>
  <si>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</si>
  <si>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</si>
  <si>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</si>
  <si>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</si>
  <si>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</si>
  <si>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</si>
  <si>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</si>
  <si>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</si>
  <si>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</si>
  <si>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</si>
  <si>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</si>
  <si>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</si>
  <si>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</si>
  <si>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</si>
  <si>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</si>
  <si>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</si>
  <si>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</si>
  <si>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</si>
  <si>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</si>
  <si>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</si>
  <si>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</si>
  <si>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</si>
  <si>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</si>
  <si>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</si>
  <si>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</si>
  <si>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</si>
  <si>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</si>
  <si>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</si>
  <si>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</si>
  <si>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</si>
  <si>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</si>
  <si>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</si>
  <si>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</si>
  <si>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</si>
  <si>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</si>
  <si>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</si>
  <si>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</si>
  <si>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</si>
  <si>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</si>
  <si>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</si>
  <si>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</si>
  <si>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</si>
  <si>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</si>
  <si>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</si>
  <si>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</si>
  <si>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</si>
  <si>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</si>
  <si>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</si>
  <si>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</si>
  <si>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</si>
  <si>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</si>
  <si>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</si>
  <si>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</si>
  <si>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</si>
  <si>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</si>
  <si>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</si>
  <si>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</si>
  <si>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</si>
  <si>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</si>
  <si>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</si>
  <si>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</si>
  <si>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</si>
  <si>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</si>
  <si>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</si>
  <si>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</si>
  <si>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</si>
  <si>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</si>
  <si>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</si>
  <si>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</si>
  <si>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</si>
  <si>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</si>
  <si>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</si>
  <si>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</si>
  <si>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</si>
  <si>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</si>
  <si>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</si>
  <si>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</si>
  <si>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</si>
  <si>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</si>
  <si>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</si>
  <si>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</si>
  <si>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</si>
  <si>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</si>
  <si>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</si>
  <si>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</si>
  <si>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</si>
  <si>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</si>
  <si>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</si>
  <si>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</si>
  <si>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</si>
  <si>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</si>
  <si>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</si>
  <si>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</si>
  <si>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</si>
  <si>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</si>
  <si>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</si>
  <si>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</si>
  <si>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</si>
  <si>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</si>
  <si>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</si>
  <si>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</si>
  <si>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</si>
  <si>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</si>
  <si>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</si>
  <si>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</si>
  <si>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</si>
  <si>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</si>
  <si>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</si>
  <si>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</si>
  <si>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</si>
  <si>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</si>
  <si>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</si>
  <si>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</si>
  <si>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</si>
  <si>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</si>
  <si>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</si>
  <si>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</si>
  <si>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</si>
  <si>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</si>
  <si>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</si>
  <si>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</si>
  <si>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</si>
  <si>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</si>
  <si>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</si>
  <si>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</si>
  <si>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</si>
  <si>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</si>
  <si>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</si>
  <si>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</si>
  <si>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</si>
  <si>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</si>
  <si>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</si>
  <si>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</si>
  <si>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</si>
  <si>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</si>
  <si>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</si>
  <si>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</si>
  <si>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</si>
  <si>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</si>
  <si>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</si>
  <si>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</si>
  <si>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</si>
  <si>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</si>
  <si>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DHEC RHB 4.7.1.5</t>
  </si>
  <si>
    <t>DHEC RHB 4.3.6</t>
  </si>
  <si>
    <t>DHEC RHB 4.3.5</t>
  </si>
  <si>
    <t>DHEC RHB 4.7.1.3</t>
  </si>
  <si>
    <t>DHEC RHB 4.7.1.7</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</si>
  <si>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</si>
  <si>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</si>
  <si>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</si>
  <si>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</si>
  <si>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</si>
  <si>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</si>
  <si>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</si>
  <si>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</si>
  <si>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</si>
  <si>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</si>
  <si>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</si>
  <si>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</si>
  <si>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</si>
  <si>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</si>
  <si>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</si>
  <si>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</si>
  <si>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</si>
  <si>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</si>
  <si>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</si>
  <si>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</si>
  <si>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</si>
  <si>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</si>
  <si>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</si>
  <si>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</si>
  <si>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</si>
  <si>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</si>
  <si>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</si>
  <si>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</si>
  <si>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</si>
  <si>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</si>
  <si>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</si>
  <si>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</si>
  <si>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</si>
  <si>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</si>
  <si>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</si>
  <si>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</si>
  <si>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</si>
  <si>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</si>
  <si>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</si>
  <si>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</si>
  <si>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</si>
  <si>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</si>
  <si>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</si>
  <si>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</si>
  <si>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</si>
  <si>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</si>
  <si>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DHEC RHB 4.2.7</t>
  </si>
  <si>
    <t>DHEC RHB 4.2.6</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</si>
  <si>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</si>
  <si>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</si>
  <si>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</si>
  <si>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</si>
  <si>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</si>
  <si>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</si>
  <si>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</si>
  <si>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</si>
  <si>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</si>
  <si>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</si>
  <si>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</si>
  <si>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</si>
  <si>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</si>
  <si>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</si>
  <si>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</si>
  <si>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</si>
  <si>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</si>
  <si>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</si>
  <si>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</si>
  <si>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</si>
  <si>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</si>
  <si>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</si>
  <si>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</si>
  <si>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</si>
  <si>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</si>
  <si>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</si>
  <si>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</si>
  <si>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</si>
  <si>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</si>
  <si>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</si>
  <si>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</si>
  <si>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</si>
  <si>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</si>
  <si>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</si>
  <si>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</si>
  <si>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</si>
  <si>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</si>
  <si>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</si>
  <si>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</si>
  <si>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</si>
  <si>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</si>
  <si>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</si>
  <si>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</si>
  <si>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</si>
  <si>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</si>
  <si>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</si>
  <si>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</si>
  <si>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</si>
  <si>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</si>
  <si>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</si>
  <si>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</si>
  <si>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</si>
  <si>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</si>
  <si>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</si>
  <si>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</si>
  <si>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</si>
  <si>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</si>
  <si>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</si>
  <si>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</si>
  <si>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</si>
  <si>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</si>
  <si>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</si>
  <si>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</si>
  <si>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</si>
  <si>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</si>
  <si>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</si>
  <si>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</si>
  <si>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</si>
  <si>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</si>
  <si>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</si>
  <si>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DHEC RHB 4.7.11</t>
  </si>
  <si>
    <t>DHEC RHB 4.7.14</t>
  </si>
  <si>
    <t>DHEC RHB 4.7.12.1</t>
  </si>
  <si>
    <t>DHEC RHB 4.7.4.2.3</t>
  </si>
  <si>
    <t>DHEC RHB 4.7.6</t>
  </si>
  <si>
    <t>DHEC RHB 4.7.4.2.6</t>
  </si>
  <si>
    <t>DHEC RHB 4.2.12.7</t>
  </si>
  <si>
    <t>DHEC RHB 4.2.13.2</t>
  </si>
  <si>
    <t>DHEC RHB 4.2.8</t>
  </si>
  <si>
    <t>DHEC RHB 4.7.4.2.5.1</t>
  </si>
  <si>
    <t>DHEC RHB 4.7.4.2.5.4</t>
  </si>
  <si>
    <t>DHEC RHB 4.7.4.2.5.5</t>
  </si>
  <si>
    <t>DHEC RHB 4.8.11</t>
  </si>
  <si>
    <t>DHEC RHB 11.2.3</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</si>
  <si>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</si>
  <si>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</si>
  <si>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</si>
  <si>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</si>
  <si>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</si>
  <si>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</si>
  <si>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</si>
  <si>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</si>
  <si>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</si>
  <si>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</si>
  <si>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</si>
  <si>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</si>
  <si>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</si>
  <si>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</si>
  <si>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</si>
  <si>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</si>
  <si>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</si>
  <si>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</si>
  <si>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</si>
  <si>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</si>
  <si>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</si>
  <si>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</si>
  <si>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</si>
  <si>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</si>
  <si>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Revision 101.4.1-20251118  (Has 39 data records)</t>
  </si>
  <si>
    <t>Kerma area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</si>
</sst>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2">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2" fontId="3" fillId="0" borderId="82" xfId="0" applyFont="1" applyBorder="1">
      <alignment horizontal="center" vertical="center"/>
    </xf>
    <xf numFmtId="2" fontId="3" fillId="0" borderId="25"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3" fillId="15" borderId="82" xfId="0" applyFont="1" applyFill="1" applyBorder="1">
      <alignment horizontal="center" vertical="center"/>
    </xf>
    <xf numFmtId="2" fontId="3" fillId="0" borderId="50"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xf numFmtId="10" fontId="9" fillId="0" borderId="153" xfId="0" applyNumberFormat="1" applyFont="1" applyBorder="1">
      <alignment horizontal="center" vertical="center"/>
    </xf>
    <xf numFmtId="10" fontId="9" fillId="0" borderId="161" xfId="0" applyNumberFormat="1" applyFont="1" applyBorder="1">
      <alignment horizontal="center" vertical="center"/>
    </xf>
    <xf numFmtId="10" fontId="9" fillId="0" borderId="57" xfId="0" applyNumberFormat="1" applyFont="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9" fillId="0" borderId="0" xfId="0" applyFont="1" applyAlignment="1">
      <alignment vertical="center"/>
    </xf>
    <xf numFmtId="2" fontId="0" fillId="0" borderId="0" xfId="0">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0" xfId="0" applyFont="1" applyAlignment="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26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ill>
        <patternFill patternType="mediumGray">
          <fgColor indexed="29"/>
          <bgColor indexed="10"/>
        </patternFill>
      </fill>
    </dxf>
    <dxf>
      <font>
        <condense val="0"/>
        <extend val="0"/>
        <color auto="1"/>
      </font>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ill>
        <patternFill patternType="mediumGray">
          <fgColor indexed="29"/>
          <bgColor indexed="10"/>
        </patternFill>
      </fill>
    </dxf>
    <dxf>
      <font>
        <condense val="0"/>
        <extend val="0"/>
        <color auto="1"/>
      </font>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ill>
        <patternFill patternType="mediumGray">
          <fgColor indexed="29"/>
          <bgColor indexed="10"/>
        </patternFill>
      </fill>
    </dxf>
    <dxf>
      <font>
        <condense val="0"/>
        <extend val="0"/>
        <color auto="1"/>
      </font>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432</v>
      </c>
      <c r="M1" s="1089" t="s">
        <v>1225</v>
      </c>
      <c r="N1" s="84"/>
      <c r="O1" s="84"/>
      <c r="P1" s="84"/>
      <c r="Q1" s="84"/>
      <c r="R1" s="84"/>
      <c r="S1" s="84"/>
      <c r="T1" s="979" t="str">
        <f t="shared" ref="T1:T6" si="0">IF(OR(AB538="",AB538=0),"",AB538)</f>
        <v/>
      </c>
      <c r="U1" s="987"/>
      <c r="V1" s="987"/>
      <c r="W1" s="988"/>
      <c r="X1" s="664" t="s">
        <v>432</v>
      </c>
      <c r="Y1" s="456" t="s">
        <v>382</v>
      </c>
      <c r="AE1"/>
    </row>
    <row r="2" spans="1:35" ht="11.25" customHeight="1">
      <c r="A2" s="611">
        <v>2</v>
      </c>
      <c r="B2" s="91"/>
      <c r="C2" s="1"/>
      <c r="D2" s="1"/>
      <c r="E2" s="1"/>
      <c r="F2" s="81" t="s">
        <v>1058</v>
      </c>
      <c r="G2" s="1"/>
      <c r="H2" s="1"/>
      <c r="I2" s="1"/>
      <c r="J2" s="1"/>
      <c r="K2" s="90"/>
      <c r="L2" s="676" t="s">
        <v>432</v>
      </c>
      <c r="M2" s="89"/>
      <c r="N2" s="1"/>
      <c r="O2" s="1"/>
      <c r="P2" s="1"/>
      <c r="Q2" s="126" t="str">
        <f>$F$2</f>
        <v>Medical University of South Carolina</v>
      </c>
      <c r="S2" s="1"/>
      <c r="T2" s="980" t="str">
        <f t="shared" si="0"/>
        <v/>
      </c>
      <c r="U2" s="977"/>
      <c r="V2" s="989"/>
      <c r="W2" s="990"/>
      <c r="X2" s="664" t="s">
        <v>432</v>
      </c>
      <c r="Y2" s="650" t="s">
        <v>1134</v>
      </c>
      <c r="AE2"/>
    </row>
    <row r="3" spans="1:35" ht="11.25" customHeight="1">
      <c r="A3" s="611">
        <v>3</v>
      </c>
      <c r="B3" s="91"/>
      <c r="C3" s="1"/>
      <c r="D3" s="1"/>
      <c r="E3" s="1"/>
      <c r="F3" s="81" t="s">
        <v>1059</v>
      </c>
      <c r="G3" s="1"/>
      <c r="H3" s="1"/>
      <c r="I3" s="1"/>
      <c r="J3" s="1"/>
      <c r="K3" s="90"/>
      <c r="L3" s="676" t="s">
        <v>432</v>
      </c>
      <c r="M3" s="89"/>
      <c r="N3" s="1"/>
      <c r="O3" s="1"/>
      <c r="P3" s="1"/>
      <c r="Q3" s="81" t="str">
        <f>$F$3</f>
        <v>Charleston, South Carolina</v>
      </c>
      <c r="S3" s="1"/>
      <c r="T3" s="980" t="str">
        <f t="shared" si="0"/>
        <v/>
      </c>
      <c r="U3" s="977"/>
      <c r="V3" s="989"/>
      <c r="W3" s="990"/>
      <c r="X3" s="664" t="s">
        <v>432</v>
      </c>
      <c r="Y3" s="37" t="s">
        <v>383</v>
      </c>
      <c r="Z3" s="50" t="s">
        <v>1186</v>
      </c>
    </row>
    <row r="4" spans="1:35" ht="11.25" customHeight="1">
      <c r="A4" s="611">
        <v>4</v>
      </c>
      <c r="B4" s="91"/>
      <c r="K4" s="90"/>
      <c r="L4" s="676" t="s">
        <v>432</v>
      </c>
      <c r="M4" s="89"/>
      <c r="T4" s="980" t="str">
        <f t="shared" si="0"/>
        <v/>
      </c>
      <c r="U4" s="977"/>
      <c r="V4" s="989"/>
      <c r="W4" s="990"/>
      <c r="X4" s="664" t="s">
        <v>432</v>
      </c>
      <c r="Y4" s="457"/>
      <c r="AA4" s="554" t="s">
        <v>384</v>
      </c>
      <c r="AB4" s="666" t="s">
        <v>1028</v>
      </c>
      <c r="AC4" s="457"/>
      <c r="AD4" s="457"/>
    </row>
    <row r="5" spans="1:35" ht="11.25" customHeight="1">
      <c r="A5" s="611">
        <v>5</v>
      </c>
      <c r="B5" s="91"/>
      <c r="E5" s="1"/>
      <c r="F5" s="82" t="s">
        <v>385</v>
      </c>
      <c r="I5" s="1"/>
      <c r="J5" s="1"/>
      <c r="K5" s="92"/>
      <c r="L5" s="676" t="s">
        <v>432</v>
      </c>
      <c r="M5" s="89"/>
      <c r="P5" s="82" t="str">
        <f>$F$5</f>
        <v>Radiographic System Compliance Inspection</v>
      </c>
      <c r="T5" s="980" t="str">
        <f t="shared" si="0"/>
        <v/>
      </c>
      <c r="U5" s="977"/>
      <c r="V5" s="989"/>
      <c r="W5" s="990"/>
      <c r="X5" s="664" t="s">
        <v>432</v>
      </c>
      <c r="Y5" s="457"/>
      <c r="AB5" s="666" t="s">
        <v>386</v>
      </c>
    </row>
    <row r="6" spans="1:35" ht="11.25" customHeight="1" thickBot="1">
      <c r="A6" s="611">
        <v>6</v>
      </c>
      <c r="B6" s="93"/>
      <c r="C6" s="94"/>
      <c r="D6" s="94"/>
      <c r="E6" s="94"/>
      <c r="F6" s="95"/>
      <c r="G6" s="94"/>
      <c r="H6" s="94"/>
      <c r="I6" s="94"/>
      <c r="J6" s="94"/>
      <c r="K6" s="96"/>
      <c r="L6" s="676" t="s">
        <v>432</v>
      </c>
      <c r="M6" s="97"/>
      <c r="N6" s="95"/>
      <c r="O6" s="95"/>
      <c r="P6" s="95"/>
      <c r="Q6" s="95"/>
      <c r="R6" s="95"/>
      <c r="S6" s="95"/>
      <c r="T6" s="981" t="str">
        <f t="shared" si="0"/>
        <v/>
      </c>
      <c r="U6" s="991"/>
      <c r="V6" s="991"/>
      <c r="W6" s="992"/>
      <c r="X6" s="664" t="s">
        <v>432</v>
      </c>
      <c r="Y6" s="457"/>
      <c r="Z6" s="457"/>
      <c r="AB6" s="549" t="s">
        <v>387</v>
      </c>
      <c r="AC6" s="586" t="s">
        <v>1029</v>
      </c>
      <c r="AD6" s="99" t="s">
        <v>388</v>
      </c>
    </row>
    <row r="7" spans="1:35" ht="11.25" customHeight="1" thickTop="1" thickBot="1">
      <c r="A7" s="611">
        <v>7</v>
      </c>
      <c r="B7" s="49"/>
      <c r="G7" s="49"/>
      <c r="H7" s="49"/>
      <c r="I7" s="49"/>
      <c r="J7" s="49"/>
      <c r="K7" s="49"/>
      <c r="L7" s="676" t="s">
        <v>432</v>
      </c>
      <c r="M7" s="1"/>
      <c r="T7" s="37"/>
      <c r="U7" s="1"/>
      <c r="V7" s="1"/>
      <c r="W7" s="1"/>
      <c r="X7" s="664" t="s">
        <v>432</v>
      </c>
      <c r="Y7" s="462"/>
      <c r="Z7" s="462"/>
      <c r="AA7" s="132" t="s">
        <v>389</v>
      </c>
      <c r="AB7" s="550" t="s">
        <v>390</v>
      </c>
      <c r="AD7" s="515" t="s">
        <v>390</v>
      </c>
      <c r="AE7" s="556" t="s">
        <v>391</v>
      </c>
      <c r="AF7" s="587" t="s">
        <v>392</v>
      </c>
      <c r="AG7" s="588" t="s">
        <v>1030</v>
      </c>
    </row>
    <row r="8" spans="1:35" ht="11.25" customHeight="1">
      <c r="A8" s="611">
        <v>8</v>
      </c>
      <c r="B8" s="49"/>
      <c r="F8" s="82" t="s">
        <v>393</v>
      </c>
      <c r="G8" s="53"/>
      <c r="H8" s="49"/>
      <c r="I8" s="54"/>
      <c r="J8" s="49"/>
      <c r="K8" s="49"/>
      <c r="L8" s="676" t="s">
        <v>432</v>
      </c>
      <c r="M8" s="1"/>
      <c r="N8" s="37" t="s">
        <v>394</v>
      </c>
      <c r="O8" s="1131"/>
      <c r="R8" s="82" t="str">
        <f>$F$8</f>
        <v>System Information</v>
      </c>
      <c r="U8" s="37" t="s">
        <v>395</v>
      </c>
      <c r="V8" s="761" t="s">
        <v>15</v>
      </c>
      <c r="W8" s="1"/>
      <c r="X8" s="664" t="s">
        <v>432</v>
      </c>
      <c r="Y8" s="462"/>
      <c r="Z8" s="462"/>
      <c r="AA8" s="462" t="s">
        <v>396</v>
      </c>
      <c r="AB8" s="985"/>
      <c r="AC8" s="551" t="str">
        <f>IF(AND(OR(AB8="",AB8=0),OR(AD8="",AD8=0)),"",IF(AB8&lt;&gt;AD8,"Change",""))</f>
        <v>Change</v>
      </c>
      <c r="AD8" s="1050" t="str">
        <f>IF(Y2="","",Y2)</f>
        <v>FIRST,EXP,BLD,TB,WB,FS_KV,REPRO,TIM,LIN,HALFVAL,PT_DEN,PT_TB,PT_WB,KAP_AK,LAST</v>
      </c>
      <c r="AE8" s="555" t="s">
        <v>704</v>
      </c>
      <c r="AG8" s="588" t="s">
        <v>1031</v>
      </c>
    </row>
    <row r="9" spans="1:35" ht="11.25" customHeight="1" thickBot="1">
      <c r="A9" s="611">
        <v>9</v>
      </c>
      <c r="B9" s="49"/>
      <c r="H9" s="49"/>
      <c r="I9" s="49"/>
      <c r="J9" s="49"/>
      <c r="K9" s="49"/>
      <c r="L9" s="676" t="s">
        <v>432</v>
      </c>
      <c r="M9" s="1"/>
      <c r="N9" s="834" t="s">
        <v>397</v>
      </c>
      <c r="O9" s="1132" t="str">
        <f>IF(OR(AB9=0,AB9=""),"",AB9)</f>
        <v/>
      </c>
      <c r="P9" s="1"/>
      <c r="Q9" s="1"/>
      <c r="R9" s="1"/>
      <c r="S9" s="1"/>
      <c r="T9" s="1"/>
      <c r="U9" s="835" t="s">
        <v>397</v>
      </c>
      <c r="V9" s="758" t="str">
        <f>IF(OR(AB10=0,AB10=""),"",AB10)</f>
        <v/>
      </c>
      <c r="W9" s="1"/>
      <c r="X9" s="664"/>
      <c r="Y9" s="462"/>
      <c r="AA9" s="462" t="s">
        <v>394</v>
      </c>
      <c r="AB9" s="1184"/>
      <c r="AC9" s="551" t="str">
        <f t="shared" ref="AC9:AC53" si="1">IF(AND(OR(AB9="",AB9=0),OR(AD9="",AD9=0)),"",IF(AB9&lt;&gt;AD9,"Change",""))</f>
        <v/>
      </c>
      <c r="AD9" s="1138" t="str">
        <f>IF(O8="","",O8)</f>
        <v/>
      </c>
      <c r="AE9" s="555" t="s">
        <v>705</v>
      </c>
    </row>
    <row r="10" spans="1:35" ht="11.25" customHeight="1" thickTop="1">
      <c r="A10" s="611">
        <v>10</v>
      </c>
      <c r="B10" s="64"/>
      <c r="C10" s="112" t="s">
        <v>398</v>
      </c>
      <c r="D10" s="62"/>
      <c r="E10" s="62"/>
      <c r="F10" s="62"/>
      <c r="G10" s="62"/>
      <c r="H10" s="113"/>
      <c r="I10" s="113"/>
      <c r="J10" s="113"/>
      <c r="K10" s="65"/>
      <c r="L10" s="676" t="s">
        <v>432</v>
      </c>
      <c r="M10" s="64"/>
      <c r="N10" s="112" t="s">
        <v>398</v>
      </c>
      <c r="O10" s="113"/>
      <c r="P10" s="113"/>
      <c r="Q10" s="759" t="s">
        <v>304</v>
      </c>
      <c r="R10" s="760"/>
      <c r="S10" s="113"/>
      <c r="T10" s="113"/>
      <c r="U10" s="759" t="s">
        <v>304</v>
      </c>
      <c r="V10" s="760"/>
      <c r="W10" s="65"/>
      <c r="X10" s="664" t="s">
        <v>432</v>
      </c>
      <c r="Y10" s="462"/>
      <c r="Z10" s="462"/>
      <c r="AA10" s="462" t="s">
        <v>395</v>
      </c>
      <c r="AB10" s="985"/>
      <c r="AC10" s="551" t="str">
        <f t="shared" si="1"/>
        <v>Change</v>
      </c>
      <c r="AD10" s="1050" t="str">
        <f>IF(V8="","",V8)</f>
        <v>Eugene Mah</v>
      </c>
      <c r="AE10" s="555" t="s">
        <v>706</v>
      </c>
      <c r="AF10"/>
      <c r="AG10"/>
      <c r="AH10"/>
      <c r="AI10"/>
    </row>
    <row r="11" spans="1:35" ht="11.25" customHeight="1">
      <c r="A11" s="611">
        <v>11</v>
      </c>
      <c r="B11" s="66"/>
      <c r="D11" s="54" t="s">
        <v>399</v>
      </c>
      <c r="E11" s="57" t="str">
        <f>IF(P11="","",P11)</f>
        <v/>
      </c>
      <c r="F11" s="48"/>
      <c r="G11" s="49"/>
      <c r="H11" s="54" t="s">
        <v>1061</v>
      </c>
      <c r="I11" s="1035" t="str">
        <f>IF(T11="","",T11)</f>
        <v/>
      </c>
      <c r="K11" s="69"/>
      <c r="L11" s="676" t="s">
        <v>432</v>
      </c>
      <c r="M11" s="66"/>
      <c r="N11" s="49"/>
      <c r="O11" s="54" t="s">
        <v>399</v>
      </c>
      <c r="P11" s="691" t="str">
        <f>IF(Q11&lt;&gt;"",Q11,IF(OR(AB11=0,AB11=""),"",AB11))</f>
        <v/>
      </c>
      <c r="Q11" s="762"/>
      <c r="R11" s="50"/>
      <c r="S11" s="54" t="s">
        <v>24</v>
      </c>
      <c r="T11" s="691" t="str">
        <f>IF(U11&lt;&gt;"",U11,IF(OR(AB48=0,AB48=""),"",AB48))</f>
        <v/>
      </c>
      <c r="U11" s="764"/>
      <c r="V11" s="50"/>
      <c r="W11" s="69"/>
      <c r="X11" s="664" t="s">
        <v>432</v>
      </c>
      <c r="Y11" s="462"/>
      <c r="Z11" s="462"/>
      <c r="AA11" s="462" t="str">
        <f>IF(O11="","",O11)</f>
        <v>Facility:</v>
      </c>
      <c r="AB11" s="985"/>
      <c r="AC11" s="551" t="str">
        <f t="shared" si="1"/>
        <v/>
      </c>
      <c r="AD11" s="1033" t="str">
        <f t="shared" ref="AD11:AD25" si="2">IF(P11="","",P11)</f>
        <v/>
      </c>
      <c r="AE11" s="555" t="s">
        <v>707</v>
      </c>
      <c r="AF11"/>
      <c r="AG11"/>
      <c r="AH11"/>
      <c r="AI11"/>
    </row>
    <row r="12" spans="1:35" ht="11.25" customHeight="1">
      <c r="A12" s="611">
        <v>12</v>
      </c>
      <c r="B12" s="66"/>
      <c r="D12" s="54" t="s">
        <v>400</v>
      </c>
      <c r="E12" s="57" t="str">
        <f>IF(P12="","",P12)</f>
        <v/>
      </c>
      <c r="F12" s="48"/>
      <c r="H12" s="54" t="s">
        <v>401</v>
      </c>
      <c r="I12" s="57" t="str">
        <f>IF(T12="","",T12)</f>
        <v/>
      </c>
      <c r="J12" s="48"/>
      <c r="K12" s="70"/>
      <c r="L12" s="676" t="s">
        <v>432</v>
      </c>
      <c r="M12" s="66"/>
      <c r="N12" s="49"/>
      <c r="O12" s="54" t="s">
        <v>400</v>
      </c>
      <c r="P12" s="691" t="str">
        <f>IF(Q12&lt;&gt;"",Q12,IF(OR(AB12=0,AB12=""),"",AB12))</f>
        <v/>
      </c>
      <c r="Q12" s="763"/>
      <c r="R12" s="49"/>
      <c r="S12" s="54" t="s">
        <v>401</v>
      </c>
      <c r="T12" s="691" t="str">
        <f>IF(U12&lt;&gt;"",U12,IF(OR(AB49=0,AB49=""),"",AB49))</f>
        <v/>
      </c>
      <c r="U12" s="1072"/>
      <c r="V12" s="49"/>
      <c r="W12" s="69"/>
      <c r="X12" s="664" t="s">
        <v>432</v>
      </c>
      <c r="Y12" s="462"/>
      <c r="Z12" s="462"/>
      <c r="AA12" s="462" t="str">
        <f t="shared" ref="AA12:AA27" si="3">IF(O12="","",O12)</f>
        <v>Department:</v>
      </c>
      <c r="AB12" s="985"/>
      <c r="AC12" s="551" t="str">
        <f t="shared" si="1"/>
        <v/>
      </c>
      <c r="AD12" s="1033" t="str">
        <f t="shared" si="2"/>
        <v/>
      </c>
      <c r="AE12" s="555" t="s">
        <v>708</v>
      </c>
      <c r="AF12"/>
      <c r="AG12"/>
      <c r="AH12"/>
      <c r="AI12"/>
    </row>
    <row r="13" spans="1:35" ht="11.25" customHeight="1">
      <c r="A13" s="611">
        <v>13</v>
      </c>
      <c r="B13" s="66"/>
      <c r="D13" s="54" t="s">
        <v>402</v>
      </c>
      <c r="E13" s="57" t="str">
        <f>IF(P13="","",P13)</f>
        <v/>
      </c>
      <c r="F13" s="48"/>
      <c r="G13" s="49"/>
      <c r="H13" s="54" t="s">
        <v>403</v>
      </c>
      <c r="I13" s="1080" t="str">
        <f>IF(T13="","",T13)</f>
        <v/>
      </c>
      <c r="J13" s="49"/>
      <c r="K13" s="69"/>
      <c r="L13" s="676" t="s">
        <v>432</v>
      </c>
      <c r="M13" s="66"/>
      <c r="N13" s="49"/>
      <c r="O13" s="54" t="s">
        <v>402</v>
      </c>
      <c r="P13" s="691" t="str">
        <f>IF(Q13&lt;&gt;"",Q13,IF(OR(AB13=0,AB13=""),"",AB13))</f>
        <v/>
      </c>
      <c r="Q13" s="1072"/>
      <c r="R13" s="49"/>
      <c r="S13" s="54" t="s">
        <v>403</v>
      </c>
      <c r="T13" s="1076" t="str">
        <f>IF(U13&lt;&gt;"",U13,IF(OR(AB50=0,AB50=""),"",AB50))</f>
        <v/>
      </c>
      <c r="U13" s="1075"/>
      <c r="V13" s="49"/>
      <c r="W13" s="69"/>
      <c r="X13" s="664" t="s">
        <v>432</v>
      </c>
      <c r="Y13" s="462"/>
      <c r="Z13" s="462"/>
      <c r="AA13" s="462" t="str">
        <f t="shared" si="3"/>
        <v>Area/Division:</v>
      </c>
      <c r="AB13" s="985"/>
      <c r="AC13" s="551" t="str">
        <f t="shared" si="1"/>
        <v/>
      </c>
      <c r="AD13" s="1033" t="str">
        <f t="shared" si="2"/>
        <v/>
      </c>
      <c r="AE13" s="555" t="s">
        <v>709</v>
      </c>
      <c r="AF13"/>
      <c r="AG13"/>
      <c r="AH13"/>
      <c r="AI13"/>
    </row>
    <row r="14" spans="1:35" ht="11.25" customHeight="1">
      <c r="A14" s="611">
        <v>14</v>
      </c>
      <c r="B14" s="66"/>
      <c r="C14" s="49"/>
      <c r="D14" s="54" t="s">
        <v>1060</v>
      </c>
      <c r="E14" s="1035" t="str">
        <f>IF(P14="","",P14)</f>
        <v/>
      </c>
      <c r="H14" s="54" t="s">
        <v>404</v>
      </c>
      <c r="I14" s="61" t="str">
        <f>IF(T14="","",T14)</f>
        <v/>
      </c>
      <c r="J14" s="49"/>
      <c r="K14" s="69"/>
      <c r="L14" s="676" t="s">
        <v>432</v>
      </c>
      <c r="M14" s="66"/>
      <c r="N14" s="49"/>
      <c r="O14" s="54" t="s">
        <v>1060</v>
      </c>
      <c r="P14" s="691" t="str">
        <f>IF(Q14&lt;&gt;"",Q14,IF(OR(AB14=0,AB14=""),"",AB14))</f>
        <v/>
      </c>
      <c r="Q14" s="763"/>
      <c r="R14" s="49"/>
      <c r="S14" s="54" t="s">
        <v>404</v>
      </c>
      <c r="T14" s="692" t="str">
        <f>IF(U14&lt;&gt;"",U14,IF(OR(AB51=0,AB51=""),"",AB51))</f>
        <v/>
      </c>
      <c r="U14" s="765"/>
      <c r="V14" s="49"/>
      <c r="W14" s="69"/>
      <c r="X14" s="664" t="s">
        <v>432</v>
      </c>
      <c r="Y14" s="462"/>
      <c r="Z14" s="462"/>
      <c r="AA14" s="462" t="str">
        <f t="shared" si="3"/>
        <v>Survey ID:</v>
      </c>
      <c r="AB14" s="985"/>
      <c r="AC14" s="551" t="str">
        <f t="shared" si="1"/>
        <v/>
      </c>
      <c r="AD14" s="1033" t="str">
        <f t="shared" si="2"/>
        <v/>
      </c>
      <c r="AE14" s="555" t="s">
        <v>710</v>
      </c>
      <c r="AF14"/>
      <c r="AG14"/>
      <c r="AH14"/>
      <c r="AI14"/>
    </row>
    <row r="15" spans="1:35" ht="11.25" customHeight="1">
      <c r="A15" s="611">
        <v>15</v>
      </c>
      <c r="B15" s="66"/>
      <c r="C15" s="49"/>
      <c r="D15" s="54"/>
      <c r="E15" s="58"/>
      <c r="F15" s="49"/>
      <c r="J15" s="49"/>
      <c r="K15" s="69"/>
      <c r="L15" s="676" t="s">
        <v>432</v>
      </c>
      <c r="M15" s="66"/>
      <c r="N15" s="49"/>
      <c r="O15" s="54" t="s">
        <v>405</v>
      </c>
      <c r="P15" s="691" t="str">
        <f>IF(Q15&lt;&gt;"",Q15,IF(OR(AB15=0,AB15=""),"",AB15))</f>
        <v/>
      </c>
      <c r="Q15" s="1072"/>
      <c r="R15" s="49"/>
      <c r="S15" s="54" t="s">
        <v>23</v>
      </c>
      <c r="T15" s="692" t="str">
        <f>IF(U15&lt;&gt;"",U15,IF(OR(AB52=0,AB52=""),"",AB52))</f>
        <v/>
      </c>
      <c r="U15" s="765"/>
      <c r="V15" s="50"/>
      <c r="W15" s="69"/>
      <c r="X15" s="664" t="s">
        <v>432</v>
      </c>
      <c r="Y15" s="462"/>
      <c r="Z15" s="462"/>
      <c r="AA15" s="462" t="str">
        <f t="shared" si="3"/>
        <v>Room Number:</v>
      </c>
      <c r="AB15" s="985"/>
      <c r="AC15" s="551" t="str">
        <f t="shared" si="1"/>
        <v/>
      </c>
      <c r="AD15" s="1033" t="str">
        <f t="shared" si="2"/>
        <v/>
      </c>
      <c r="AE15" s="555" t="s">
        <v>711</v>
      </c>
    </row>
    <row r="16" spans="1:35" ht="11.25" customHeight="1">
      <c r="A16" s="611">
        <v>16</v>
      </c>
      <c r="B16" s="67"/>
      <c r="C16" s="75"/>
      <c r="D16" s="63"/>
      <c r="E16" s="63"/>
      <c r="F16" s="63"/>
      <c r="G16" s="63"/>
      <c r="H16" s="75"/>
      <c r="I16" s="76"/>
      <c r="J16" s="76"/>
      <c r="K16" s="77"/>
      <c r="L16" s="676" t="s">
        <v>432</v>
      </c>
      <c r="M16" s="66"/>
      <c r="N16" s="49"/>
      <c r="O16" s="49"/>
      <c r="P16" s="49"/>
      <c r="Q16" s="49"/>
      <c r="R16" s="49"/>
      <c r="S16" s="49"/>
      <c r="T16" s="49"/>
      <c r="U16" s="49"/>
      <c r="V16" s="49"/>
      <c r="W16" s="69"/>
      <c r="X16" s="664" t="s">
        <v>432</v>
      </c>
      <c r="Y16" s="462"/>
      <c r="AA16" s="462" t="str">
        <f t="shared" si="3"/>
        <v/>
      </c>
      <c r="AB16" s="54"/>
      <c r="AC16" s="551" t="str">
        <f t="shared" si="1"/>
        <v/>
      </c>
      <c r="AD16" s="457"/>
      <c r="AG16" s="1070"/>
      <c r="AH16" s="1070"/>
      <c r="AI16" s="1070"/>
    </row>
    <row r="17" spans="1:35" ht="11.25" customHeight="1">
      <c r="A17" s="611">
        <v>17</v>
      </c>
      <c r="B17" s="66"/>
      <c r="C17" s="100" t="s">
        <v>406</v>
      </c>
      <c r="D17" s="99"/>
      <c r="H17" s="49"/>
      <c r="I17" s="54"/>
      <c r="J17" s="50"/>
      <c r="K17" s="70"/>
      <c r="L17" s="676" t="s">
        <v>432</v>
      </c>
      <c r="M17" s="66"/>
      <c r="N17" s="100" t="s">
        <v>406</v>
      </c>
      <c r="O17" s="99"/>
      <c r="P17" s="49"/>
      <c r="Q17" s="49"/>
      <c r="R17" s="49"/>
      <c r="S17" s="49"/>
      <c r="T17" s="49"/>
      <c r="U17" s="49"/>
      <c r="V17" s="49"/>
      <c r="W17" s="69"/>
      <c r="X17" s="664" t="s">
        <v>432</v>
      </c>
      <c r="Y17" s="462"/>
      <c r="Z17" s="462"/>
      <c r="AA17" s="132" t="s">
        <v>406</v>
      </c>
      <c r="AB17" s="54"/>
      <c r="AC17" s="551" t="str">
        <f t="shared" si="1"/>
        <v/>
      </c>
      <c r="AD17" s="462"/>
      <c r="AG17" s="1070"/>
      <c r="AH17" s="1070"/>
      <c r="AI17" s="1070"/>
    </row>
    <row r="18" spans="1:35" ht="11.25" customHeight="1">
      <c r="A18" s="611">
        <v>18</v>
      </c>
      <c r="B18" s="66"/>
      <c r="C18" s="49"/>
      <c r="D18" s="54" t="s">
        <v>407</v>
      </c>
      <c r="E18" s="57" t="str">
        <f>IF(P18="","",P18)</f>
        <v/>
      </c>
      <c r="F18" s="49"/>
      <c r="H18" s="54" t="s">
        <v>408</v>
      </c>
      <c r="I18" s="1080" t="str">
        <f>IF(T18="","",T18)</f>
        <v/>
      </c>
      <c r="J18" s="50"/>
      <c r="K18" s="69"/>
      <c r="L18" s="676" t="s">
        <v>432</v>
      </c>
      <c r="M18" s="66"/>
      <c r="N18" s="49"/>
      <c r="O18" s="54" t="s">
        <v>407</v>
      </c>
      <c r="P18" s="691" t="str">
        <f>IF(Q18&lt;&gt;"",Q18,IF(OR(AB18=0,AB18=""),"",AB18))</f>
        <v/>
      </c>
      <c r="Q18" s="1034"/>
      <c r="R18" s="49"/>
      <c r="S18" s="54" t="s">
        <v>408</v>
      </c>
      <c r="T18" s="1076" t="str">
        <f>IF(U18&lt;&gt;"",U18,IF(OR(AB54=0,AB54=""),"",AB54))</f>
        <v/>
      </c>
      <c r="U18" s="1077"/>
      <c r="V18" s="49"/>
      <c r="W18" s="69"/>
      <c r="X18" s="664" t="s">
        <v>432</v>
      </c>
      <c r="Y18" s="462"/>
      <c r="Z18" s="462"/>
      <c r="AA18" s="462" t="str">
        <f t="shared" si="3"/>
        <v>Manufacturer:</v>
      </c>
      <c r="AB18" s="985"/>
      <c r="AC18" s="551" t="str">
        <f t="shared" si="1"/>
        <v/>
      </c>
      <c r="AD18" s="1033" t="str">
        <f t="shared" si="2"/>
        <v/>
      </c>
      <c r="AE18" s="555" t="s">
        <v>712</v>
      </c>
      <c r="AG18" s="1070"/>
      <c r="AH18" s="1070"/>
      <c r="AI18" s="1070"/>
    </row>
    <row r="19" spans="1:35" ht="11.25" customHeight="1">
      <c r="A19" s="611">
        <v>19</v>
      </c>
      <c r="B19" s="66"/>
      <c r="C19" s="49"/>
      <c r="D19" s="54" t="s">
        <v>409</v>
      </c>
      <c r="E19" s="57" t="str">
        <f>IF(P19="","",P19)</f>
        <v/>
      </c>
      <c r="F19" s="49"/>
      <c r="H19" s="54" t="s">
        <v>410</v>
      </c>
      <c r="I19" s="1035" t="str">
        <f>IF(T19="","",T19)</f>
        <v/>
      </c>
      <c r="J19" s="56"/>
      <c r="K19" s="69"/>
      <c r="L19" s="676" t="s">
        <v>432</v>
      </c>
      <c r="M19" s="66"/>
      <c r="N19" s="49"/>
      <c r="O19" s="54" t="s">
        <v>409</v>
      </c>
      <c r="P19" s="691" t="str">
        <f>IF(Q19&lt;&gt;"",Q19,IF(OR(AB19=0,AB19=""),"",AB19))</f>
        <v/>
      </c>
      <c r="Q19" s="1072"/>
      <c r="R19" s="49"/>
      <c r="S19" s="54" t="s">
        <v>410</v>
      </c>
      <c r="T19" s="985" t="str">
        <f>IF(U19&lt;&gt;"",U19,IF(OR(AB55=0,AB55=""),"",AB55))</f>
        <v/>
      </c>
      <c r="U19" s="1073"/>
      <c r="V19" s="49"/>
      <c r="W19" s="69"/>
      <c r="X19" s="664" t="s">
        <v>432</v>
      </c>
      <c r="Y19" s="462"/>
      <c r="Z19" s="462"/>
      <c r="AA19" s="462" t="str">
        <f t="shared" si="3"/>
        <v>Model:</v>
      </c>
      <c r="AB19" s="985"/>
      <c r="AC19" s="551" t="str">
        <f t="shared" si="1"/>
        <v/>
      </c>
      <c r="AD19" s="1033" t="str">
        <f t="shared" si="2"/>
        <v/>
      </c>
      <c r="AE19" s="555" t="s">
        <v>713</v>
      </c>
      <c r="AF19" s="556"/>
      <c r="AG19" s="1070"/>
      <c r="AH19" s="1070"/>
      <c r="AI19" s="1070"/>
    </row>
    <row r="20" spans="1:35" ht="11.25" customHeight="1">
      <c r="A20" s="611">
        <v>20</v>
      </c>
      <c r="B20" s="66"/>
      <c r="C20" s="49"/>
      <c r="D20" s="54" t="s">
        <v>411</v>
      </c>
      <c r="E20" s="61" t="str">
        <f>IF(P20="","",P20)</f>
        <v/>
      </c>
      <c r="F20" s="49"/>
      <c r="G20" s="49"/>
      <c r="H20" s="54" t="s">
        <v>412</v>
      </c>
      <c r="I20" s="61" t="str">
        <f>IF(T20="","",T20)</f>
        <v/>
      </c>
      <c r="J20" s="49"/>
      <c r="K20" s="69"/>
      <c r="L20" s="676" t="s">
        <v>432</v>
      </c>
      <c r="M20" s="66"/>
      <c r="N20" s="49"/>
      <c r="O20" s="54" t="s">
        <v>411</v>
      </c>
      <c r="P20" s="692" t="str">
        <f>IF(Q20&lt;&gt;"",Q20,IF(OR(AB20=0,AB20=""),"",AB20))</f>
        <v/>
      </c>
      <c r="Q20" s="765"/>
      <c r="R20" s="49"/>
      <c r="S20" s="54" t="s">
        <v>412</v>
      </c>
      <c r="T20" s="692" t="str">
        <f>IF(U20&lt;&gt;"",U20,IF(OR(AB56=0,AB56=""),"",AB56))</f>
        <v/>
      </c>
      <c r="U20" s="765"/>
      <c r="W20" s="69"/>
      <c r="X20" s="664" t="s">
        <v>432</v>
      </c>
      <c r="Y20" s="462"/>
      <c r="Z20" s="462"/>
      <c r="AA20" s="462" t="str">
        <f t="shared" si="3"/>
        <v>Max. kVp:</v>
      </c>
      <c r="AB20" s="985"/>
      <c r="AC20" s="551" t="str">
        <f t="shared" si="1"/>
        <v/>
      </c>
      <c r="AD20" s="1051" t="str">
        <f t="shared" si="2"/>
        <v/>
      </c>
      <c r="AE20" s="555" t="s">
        <v>714</v>
      </c>
      <c r="AG20" s="1070"/>
      <c r="AH20" s="1070"/>
      <c r="AI20" s="1070"/>
    </row>
    <row r="21" spans="1:35" ht="11.25" customHeight="1">
      <c r="A21" s="611">
        <v>21</v>
      </c>
      <c r="B21" s="66"/>
      <c r="C21" s="49"/>
      <c r="D21" s="54" t="s">
        <v>1100</v>
      </c>
      <c r="E21" s="61" t="str">
        <f>IF(P21="","",P21)</f>
        <v/>
      </c>
      <c r="F21" s="49"/>
      <c r="G21" s="49"/>
      <c r="H21" s="49"/>
      <c r="I21" s="49"/>
      <c r="J21" s="50"/>
      <c r="K21" s="69"/>
      <c r="L21" s="676" t="s">
        <v>432</v>
      </c>
      <c r="M21" s="66"/>
      <c r="N21" s="49"/>
      <c r="O21" s="54" t="s">
        <v>1100</v>
      </c>
      <c r="P21" s="692" t="str">
        <f>IF(Q21&lt;&gt;"",Q21,IF(OR(AB21=0,AB21=""),"",AB21))</f>
        <v/>
      </c>
      <c r="Q21" s="765"/>
      <c r="R21" s="49"/>
      <c r="S21" s="49"/>
      <c r="T21" s="54"/>
      <c r="U21" s="58"/>
      <c r="V21" s="49"/>
      <c r="W21" s="69"/>
      <c r="X21" s="664" t="s">
        <v>432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432</v>
      </c>
      <c r="M22" s="66"/>
      <c r="N22" s="49"/>
      <c r="O22" s="54"/>
      <c r="P22" s="49"/>
      <c r="Q22" s="49"/>
      <c r="R22" s="49"/>
      <c r="S22" s="49"/>
      <c r="T22" s="50"/>
      <c r="U22" s="50"/>
      <c r="V22" s="49"/>
      <c r="W22" s="69"/>
      <c r="X22" s="664" t="s">
        <v>432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413</v>
      </c>
      <c r="J23" s="50"/>
      <c r="K23" s="69"/>
      <c r="L23" s="676" t="s">
        <v>432</v>
      </c>
      <c r="M23" s="66"/>
      <c r="N23" s="100" t="s">
        <v>414</v>
      </c>
      <c r="O23" s="49"/>
      <c r="P23" s="49"/>
      <c r="Q23" s="49"/>
      <c r="R23" s="49"/>
      <c r="S23" s="49"/>
      <c r="T23" s="99" t="s">
        <v>415</v>
      </c>
      <c r="U23" s="50"/>
      <c r="V23" s="49"/>
      <c r="W23" s="69"/>
      <c r="X23" s="664" t="s">
        <v>432</v>
      </c>
      <c r="Y23" s="462"/>
      <c r="Z23" s="462"/>
      <c r="AA23" s="132" t="s">
        <v>414</v>
      </c>
      <c r="AB23" s="54"/>
      <c r="AC23" s="551" t="str">
        <f t="shared" si="1"/>
        <v/>
      </c>
      <c r="AD23" s="457"/>
      <c r="AG23" s="1070"/>
      <c r="AH23" s="1070"/>
      <c r="AI23" s="1071"/>
    </row>
    <row r="24" spans="1:35" ht="11.25" customHeight="1">
      <c r="A24" s="611">
        <v>24</v>
      </c>
      <c r="B24" s="66"/>
      <c r="C24" s="49"/>
      <c r="D24" s="54" t="s">
        <v>416</v>
      </c>
      <c r="E24" s="57" t="str">
        <f>IF(P24="","",P24)</f>
        <v/>
      </c>
      <c r="F24" s="49"/>
      <c r="H24" s="54" t="str">
        <f t="shared" ref="H24:I26" si="5">IF(S24="","",S24)</f>
        <v>Large:</v>
      </c>
      <c r="I24" s="355" t="str">
        <f t="shared" si="5"/>
        <v/>
      </c>
      <c r="J24" s="50"/>
      <c r="K24" s="69"/>
      <c r="L24" s="676" t="s">
        <v>432</v>
      </c>
      <c r="M24" s="66"/>
      <c r="N24" s="49"/>
      <c r="O24" s="54" t="s">
        <v>416</v>
      </c>
      <c r="P24" s="691" t="str">
        <f>IF(Q24&lt;&gt;"",Q24,IF(OR(AB24=0,AB24=""),"",AB24))</f>
        <v/>
      </c>
      <c r="Q24" s="1034"/>
      <c r="R24" s="49"/>
      <c r="S24" s="54" t="s">
        <v>417</v>
      </c>
      <c r="T24" s="686" t="str">
        <f>IF(U24&lt;&gt;"",U24,IF(OR(AB59=0,AB59=""),"",AB59))</f>
        <v/>
      </c>
      <c r="U24" s="766"/>
      <c r="V24" s="49"/>
      <c r="W24" s="69"/>
      <c r="X24" s="664" t="s">
        <v>432</v>
      </c>
      <c r="Y24" s="462"/>
      <c r="Z24" s="462"/>
      <c r="AA24" s="462" t="str">
        <f t="shared" si="3"/>
        <v>Tube Designation/Use:</v>
      </c>
      <c r="AB24" s="985"/>
      <c r="AC24" s="551" t="str">
        <f t="shared" si="1"/>
        <v/>
      </c>
      <c r="AD24" s="1033" t="str">
        <f t="shared" si="2"/>
        <v/>
      </c>
      <c r="AE24" s="555" t="s">
        <v>715</v>
      </c>
      <c r="AG24" s="1070"/>
      <c r="AH24" s="1070"/>
      <c r="AI24" s="1070"/>
    </row>
    <row r="25" spans="1:35" ht="11.25" customHeight="1">
      <c r="A25" s="611">
        <v>25</v>
      </c>
      <c r="B25" s="66"/>
      <c r="C25" s="49"/>
      <c r="D25" s="54" t="s">
        <v>408</v>
      </c>
      <c r="E25" s="1080" t="str">
        <f>IF(P25="","",P25)</f>
        <v/>
      </c>
      <c r="F25" s="49"/>
      <c r="H25" s="54" t="str">
        <f t="shared" si="5"/>
        <v>Small:</v>
      </c>
      <c r="I25" s="355" t="str">
        <f t="shared" si="5"/>
        <v/>
      </c>
      <c r="J25" s="50"/>
      <c r="K25" s="69"/>
      <c r="L25" s="676" t="s">
        <v>432</v>
      </c>
      <c r="M25" s="66"/>
      <c r="N25" s="49"/>
      <c r="O25" s="54" t="s">
        <v>408</v>
      </c>
      <c r="P25" s="1076" t="str">
        <f>IF(Q25&lt;&gt;"",Q25,IF(OR(AB25=0,AB25=""),"",AB25))</f>
        <v/>
      </c>
      <c r="Q25" s="1075"/>
      <c r="R25" s="49"/>
      <c r="S25" s="54" t="s">
        <v>418</v>
      </c>
      <c r="T25" s="686" t="str">
        <f>IF(U25&lt;&gt;"",U25,IF(OR(AB60=0,AB60=""),"",AB60))</f>
        <v/>
      </c>
      <c r="U25" s="767"/>
      <c r="V25" s="49"/>
      <c r="W25" s="69"/>
      <c r="X25" s="664" t="s">
        <v>432</v>
      </c>
      <c r="Y25" s="462"/>
      <c r="Z25" s="462"/>
      <c r="AA25" s="462" t="str">
        <f t="shared" si="3"/>
        <v>Date of Manufacture:</v>
      </c>
      <c r="AB25" s="1185"/>
      <c r="AC25" s="551" t="str">
        <f t="shared" si="1"/>
        <v/>
      </c>
      <c r="AD25" s="1074" t="str">
        <f t="shared" si="2"/>
        <v/>
      </c>
      <c r="AE25" s="555" t="s">
        <v>716</v>
      </c>
      <c r="AG25" s="1070"/>
      <c r="AH25" s="1070"/>
      <c r="AI25" s="1070"/>
    </row>
    <row r="26" spans="1:35" ht="11.25" customHeight="1">
      <c r="A26" s="611">
        <v>26</v>
      </c>
      <c r="B26" s="66"/>
      <c r="C26" s="49"/>
      <c r="D26" s="54"/>
      <c r="H26" s="54" t="str">
        <f>IF(T26="","",S26)</f>
        <v/>
      </c>
      <c r="I26" s="355" t="str">
        <f t="shared" si="5"/>
        <v/>
      </c>
      <c r="J26" s="50"/>
      <c r="K26" s="69"/>
      <c r="L26" s="676" t="s">
        <v>432</v>
      </c>
      <c r="M26" s="66"/>
      <c r="N26" s="49"/>
      <c r="O26" s="54"/>
      <c r="P26" s="49"/>
      <c r="Q26" s="49"/>
      <c r="R26" s="49"/>
      <c r="S26" s="54" t="s">
        <v>419</v>
      </c>
      <c r="T26" s="686" t="str">
        <f>IF(U26&lt;&gt;"",U26,IF(OR(AB61=0,AB61=""),"",AB61))</f>
        <v/>
      </c>
      <c r="U26" s="767"/>
      <c r="V26" s="49"/>
      <c r="W26" s="69"/>
      <c r="X26" s="664" t="s">
        <v>432</v>
      </c>
      <c r="Y26" s="462"/>
      <c r="Z26" s="462"/>
      <c r="AA26" s="462" t="str">
        <f t="shared" si="3"/>
        <v/>
      </c>
      <c r="AB26" s="54"/>
      <c r="AC26" s="551" t="str">
        <f t="shared" si="1"/>
        <v/>
      </c>
      <c r="AD26" s="462"/>
      <c r="AG26" s="1070"/>
      <c r="AH26" s="1070"/>
      <c r="AI26" s="1070"/>
    </row>
    <row r="27" spans="1:35" ht="11.25" customHeight="1">
      <c r="A27" s="611">
        <v>27</v>
      </c>
      <c r="B27" s="66"/>
      <c r="C27" s="49"/>
      <c r="D27" s="54" t="s">
        <v>420</v>
      </c>
      <c r="E27" s="57" t="str">
        <f>IF(P27="","",P27)</f>
        <v/>
      </c>
      <c r="F27" s="49"/>
      <c r="I27" s="99" t="s">
        <v>421</v>
      </c>
      <c r="K27" s="69"/>
      <c r="L27" s="676" t="s">
        <v>432</v>
      </c>
      <c r="M27" s="66"/>
      <c r="N27" s="49"/>
      <c r="O27" s="54" t="s">
        <v>420</v>
      </c>
      <c r="P27" s="691" t="str">
        <f>IF(Q27&lt;&gt;"",Q27,IF(OR(AB27=0,AB27=""),"",AB27))</f>
        <v/>
      </c>
      <c r="Q27" s="1034"/>
      <c r="R27" s="49"/>
      <c r="S27" s="49"/>
      <c r="T27" s="99" t="s">
        <v>421</v>
      </c>
      <c r="U27" s="50"/>
      <c r="V27" s="49"/>
      <c r="W27" s="69"/>
      <c r="X27" s="664" t="s">
        <v>432</v>
      </c>
      <c r="Y27" s="462"/>
      <c r="Z27" s="462"/>
      <c r="AA27" s="462" t="str">
        <f t="shared" si="3"/>
        <v>Insert Manufacturer:</v>
      </c>
      <c r="AB27" s="985"/>
      <c r="AC27" s="551" t="str">
        <f t="shared" si="1"/>
        <v/>
      </c>
      <c r="AD27" s="1033" t="str">
        <f t="shared" ref="AD27:AD42" si="6">IF(P27="","",P27)</f>
        <v/>
      </c>
      <c r="AE27" s="555" t="s">
        <v>717</v>
      </c>
      <c r="AG27" s="1070"/>
      <c r="AH27" s="1070"/>
      <c r="AI27" s="1070"/>
    </row>
    <row r="28" spans="1:35" ht="11.25" customHeight="1">
      <c r="A28" s="611">
        <v>28</v>
      </c>
      <c r="B28" s="66"/>
      <c r="C28" s="54"/>
      <c r="D28" s="54" t="s">
        <v>422</v>
      </c>
      <c r="E28" s="60" t="str">
        <f>IF(P28="","",P28)</f>
        <v/>
      </c>
      <c r="F28" s="49"/>
      <c r="G28" s="49"/>
      <c r="H28" s="54" t="s">
        <v>423</v>
      </c>
      <c r="I28" s="1069" t="str">
        <f>IF(T28="","",T28)</f>
        <v/>
      </c>
      <c r="K28" s="69"/>
      <c r="L28" s="676" t="s">
        <v>432</v>
      </c>
      <c r="M28" s="66"/>
      <c r="N28" s="54"/>
      <c r="O28" s="54" t="s">
        <v>422</v>
      </c>
      <c r="P28" s="691" t="str">
        <f>IF(Q28&lt;&gt;"",Q28,IF(OR(AB28=0,AB28=""),"",AB28))</f>
        <v/>
      </c>
      <c r="Q28" s="763"/>
      <c r="R28" s="49"/>
      <c r="S28" s="54" t="s">
        <v>423</v>
      </c>
      <c r="T28" s="693" t="str">
        <f>IF(U28&lt;&gt;"",U28,IF(OR(AB63=0,AB63=""),"",AB63))</f>
        <v/>
      </c>
      <c r="U28" s="1034"/>
      <c r="V28" s="50"/>
      <c r="W28" s="69"/>
      <c r="X28" s="664" t="s">
        <v>432</v>
      </c>
      <c r="Y28" s="462"/>
      <c r="Z28" s="462"/>
      <c r="AA28" s="462" t="str">
        <f t="shared" ref="AA28:AA43" si="7">IF(O28="","",O28)</f>
        <v>Insert Model:</v>
      </c>
      <c r="AB28" s="985"/>
      <c r="AC28" s="551" t="str">
        <f t="shared" si="1"/>
        <v/>
      </c>
      <c r="AD28" s="1051" t="str">
        <f t="shared" si="6"/>
        <v/>
      </c>
      <c r="AE28" s="555" t="s">
        <v>718</v>
      </c>
      <c r="AG28" s="1070"/>
      <c r="AH28" s="1070"/>
      <c r="AI28" s="1070"/>
    </row>
    <row r="29" spans="1:35" ht="11.25" customHeight="1">
      <c r="A29" s="611">
        <v>29</v>
      </c>
      <c r="B29" s="66"/>
      <c r="C29" s="49"/>
      <c r="D29" s="54" t="s">
        <v>424</v>
      </c>
      <c r="E29" s="60" t="str">
        <f>IF(P29="","",P29)</f>
        <v/>
      </c>
      <c r="F29" s="49"/>
      <c r="G29" s="49"/>
      <c r="H29" s="54" t="s">
        <v>425</v>
      </c>
      <c r="I29" s="1069" t="str">
        <f>IF(T29="","",T29)</f>
        <v/>
      </c>
      <c r="J29" s="50"/>
      <c r="K29" s="70"/>
      <c r="L29" s="676" t="s">
        <v>432</v>
      </c>
      <c r="M29" s="66"/>
      <c r="N29" s="49"/>
      <c r="O29" s="54" t="s">
        <v>424</v>
      </c>
      <c r="P29" s="691" t="str">
        <f>IF(Q29&lt;&gt;"",Q29,IF(OR(AB29=0,AB29=""),"",AB29))</f>
        <v/>
      </c>
      <c r="Q29" s="1072"/>
      <c r="R29" s="49"/>
      <c r="S29" s="54" t="s">
        <v>425</v>
      </c>
      <c r="T29" s="693" t="str">
        <f>IF(U29&lt;&gt;"",U29,IF(OR(AB64=0,AB64=""),"",AB64))</f>
        <v/>
      </c>
      <c r="U29" s="763"/>
      <c r="V29" s="50"/>
      <c r="W29" s="69"/>
      <c r="X29" s="664" t="s">
        <v>432</v>
      </c>
      <c r="Y29" s="462"/>
      <c r="Z29" s="462"/>
      <c r="AA29" s="462" t="str">
        <f t="shared" si="7"/>
        <v>Insert Serial Number:</v>
      </c>
      <c r="AB29" s="985"/>
      <c r="AC29" s="551" t="str">
        <f t="shared" si="1"/>
        <v/>
      </c>
      <c r="AD29" s="1051" t="str">
        <f t="shared" si="6"/>
        <v/>
      </c>
      <c r="AE29" s="555" t="s">
        <v>719</v>
      </c>
      <c r="AG29" s="1070"/>
      <c r="AH29" s="1070"/>
      <c r="AI29" s="1070"/>
    </row>
    <row r="30" spans="1:35" ht="11.25" customHeight="1">
      <c r="A30" s="611">
        <v>30</v>
      </c>
      <c r="B30" s="66"/>
      <c r="D30" s="49"/>
      <c r="E30" s="49"/>
      <c r="F30" s="49"/>
      <c r="G30" s="55"/>
      <c r="H30" s="49"/>
      <c r="I30" s="50"/>
      <c r="J30" s="50"/>
      <c r="K30" s="70"/>
      <c r="L30" s="676" t="s">
        <v>432</v>
      </c>
      <c r="M30" s="66"/>
      <c r="N30" s="49"/>
      <c r="O30" s="49"/>
      <c r="P30" s="49"/>
      <c r="Q30" s="49"/>
      <c r="R30" s="49"/>
      <c r="S30" s="54"/>
      <c r="T30" s="49"/>
      <c r="U30" s="49"/>
      <c r="V30" s="49"/>
      <c r="W30" s="69"/>
      <c r="X30" s="664" t="s">
        <v>432</v>
      </c>
      <c r="Y30" s="462"/>
      <c r="Z30" s="462"/>
      <c r="AA30" s="462" t="str">
        <f t="shared" si="7"/>
        <v/>
      </c>
      <c r="AB30" s="54"/>
      <c r="AC30" s="551" t="str">
        <f t="shared" si="1"/>
        <v/>
      </c>
      <c r="AD30" s="457"/>
      <c r="AG30" s="1070"/>
      <c r="AH30" s="1070"/>
      <c r="AI30" s="1070"/>
    </row>
    <row r="31" spans="1:35" ht="11.25" customHeight="1">
      <c r="A31" s="611">
        <v>31</v>
      </c>
      <c r="B31" s="66"/>
      <c r="C31" s="54"/>
      <c r="D31" s="54" t="s">
        <v>426</v>
      </c>
      <c r="E31" s="57" t="str">
        <f>IF(P31="","",P31)</f>
        <v/>
      </c>
      <c r="F31" s="49"/>
      <c r="I31" s="101" t="s">
        <v>427</v>
      </c>
      <c r="J31" s="53"/>
      <c r="K31" s="69"/>
      <c r="L31" s="676" t="s">
        <v>432</v>
      </c>
      <c r="M31" s="66"/>
      <c r="N31" s="54"/>
      <c r="O31" s="54" t="s">
        <v>426</v>
      </c>
      <c r="P31" s="691" t="str">
        <f>IF(Q31&lt;&gt;"",Q31,IF(OR(AB31=0,AB31=""),"",AB31))</f>
        <v/>
      </c>
      <c r="Q31" s="1034"/>
      <c r="R31" s="55"/>
      <c r="S31" s="49"/>
      <c r="T31" s="99" t="s">
        <v>427</v>
      </c>
      <c r="U31" s="128"/>
      <c r="V31" s="50"/>
      <c r="W31" s="69"/>
      <c r="X31" s="664" t="s">
        <v>432</v>
      </c>
      <c r="Y31" s="462"/>
      <c r="Z31" s="462"/>
      <c r="AA31" s="462" t="str">
        <f t="shared" si="7"/>
        <v>Housing Manufacturer:</v>
      </c>
      <c r="AB31" s="985"/>
      <c r="AC31" s="551" t="str">
        <f t="shared" si="1"/>
        <v/>
      </c>
      <c r="AD31" s="1033" t="str">
        <f t="shared" si="6"/>
        <v/>
      </c>
      <c r="AE31" s="555" t="s">
        <v>720</v>
      </c>
      <c r="AG31" s="1070"/>
      <c r="AH31" s="1070"/>
      <c r="AI31" s="1070"/>
    </row>
    <row r="32" spans="1:35" ht="11.25" customHeight="1">
      <c r="A32" s="611">
        <v>32</v>
      </c>
      <c r="B32" s="66"/>
      <c r="C32" s="49"/>
      <c r="D32" s="54" t="s">
        <v>428</v>
      </c>
      <c r="E32" s="60" t="str">
        <f>IF(P32="","",P32)</f>
        <v/>
      </c>
      <c r="F32" s="49"/>
      <c r="H32" s="54" t="s">
        <v>429</v>
      </c>
      <c r="I32" s="57" t="str">
        <f>IF(T32="","",T32)</f>
        <v/>
      </c>
      <c r="J32" s="48"/>
      <c r="K32" s="70"/>
      <c r="L32" s="676" t="s">
        <v>432</v>
      </c>
      <c r="M32" s="66"/>
      <c r="N32" s="49"/>
      <c r="O32" s="54" t="s">
        <v>428</v>
      </c>
      <c r="P32" s="691" t="str">
        <f>IF(Q32&lt;&gt;"",Q32,IF(OR(AB32=0,AB32=""),"",AB32))</f>
        <v/>
      </c>
      <c r="Q32" s="763"/>
      <c r="R32" s="49"/>
      <c r="S32" s="54" t="s">
        <v>429</v>
      </c>
      <c r="T32" s="693" t="str">
        <f>IF(U32&lt;&gt;"",U32,IF(OR(AB67=0,AB67=""),"",AB67))</f>
        <v/>
      </c>
      <c r="U32" s="1034"/>
      <c r="W32" s="69"/>
      <c r="X32" s="664" t="s">
        <v>432</v>
      </c>
      <c r="Y32" s="462"/>
      <c r="Z32" s="462"/>
      <c r="AA32" s="462" t="str">
        <f t="shared" si="7"/>
        <v>Housing Model:</v>
      </c>
      <c r="AB32" s="985"/>
      <c r="AC32" s="551" t="str">
        <f t="shared" si="1"/>
        <v/>
      </c>
      <c r="AD32" s="1033" t="str">
        <f t="shared" si="6"/>
        <v/>
      </c>
      <c r="AE32" s="555" t="s">
        <v>721</v>
      </c>
      <c r="AG32" s="1070"/>
      <c r="AH32" s="1070"/>
      <c r="AI32" s="1070"/>
    </row>
    <row r="33" spans="1:35" ht="11.25" customHeight="1">
      <c r="A33" s="611">
        <v>33</v>
      </c>
      <c r="B33" s="66"/>
      <c r="C33" s="49"/>
      <c r="D33" s="54" t="s">
        <v>430</v>
      </c>
      <c r="E33" s="60" t="str">
        <f>IF(P33="","",P33)</f>
        <v/>
      </c>
      <c r="F33" s="49"/>
      <c r="H33" s="54" t="s">
        <v>431</v>
      </c>
      <c r="I33" s="57" t="str">
        <f>IF(T33="","",T33)</f>
        <v/>
      </c>
      <c r="J33" s="48"/>
      <c r="K33" s="69"/>
      <c r="L33" s="676" t="s">
        <v>432</v>
      </c>
      <c r="M33" s="66"/>
      <c r="N33" s="49"/>
      <c r="O33" s="54" t="s">
        <v>430</v>
      </c>
      <c r="P33" s="691" t="str">
        <f>IF(Q33&lt;&gt;"",Q33,IF(OR(AB33=0,AB33=""),"",AB33))</f>
        <v/>
      </c>
      <c r="Q33" s="1072"/>
      <c r="R33" s="49"/>
      <c r="S33" s="54" t="s">
        <v>431</v>
      </c>
      <c r="T33" s="693" t="str">
        <f>IF(U33&lt;&gt;"",U33,IF(OR(AB68=0,AB68=""),"",AB68))</f>
        <v/>
      </c>
      <c r="U33" s="763"/>
      <c r="W33" s="69"/>
      <c r="X33" s="664" t="s">
        <v>432</v>
      </c>
      <c r="Y33" s="462"/>
      <c r="Z33" s="462"/>
      <c r="AA33" s="462" t="str">
        <f t="shared" si="7"/>
        <v>Housing Serial Number:</v>
      </c>
      <c r="AB33" s="985"/>
      <c r="AC33" s="551" t="str">
        <f t="shared" si="1"/>
        <v/>
      </c>
      <c r="AD33" s="1033" t="str">
        <f t="shared" si="6"/>
        <v/>
      </c>
      <c r="AE33" s="555" t="s">
        <v>722</v>
      </c>
      <c r="AG33" s="1070"/>
      <c r="AH33" s="1070"/>
      <c r="AI33" s="1071"/>
    </row>
    <row r="34" spans="1:35" ht="11.25" customHeight="1">
      <c r="A34" s="611">
        <v>34</v>
      </c>
      <c r="B34" s="66"/>
      <c r="C34" s="49"/>
      <c r="D34" s="54"/>
      <c r="E34" s="54"/>
      <c r="F34" s="49"/>
      <c r="G34" s="49"/>
      <c r="H34" s="54"/>
      <c r="I34" s="49"/>
      <c r="K34" s="69"/>
      <c r="L34" s="676" t="s">
        <v>432</v>
      </c>
      <c r="M34" s="66"/>
      <c r="N34" s="49"/>
      <c r="O34" s="54"/>
      <c r="P34" s="49"/>
      <c r="Q34" s="49"/>
      <c r="R34" s="49"/>
      <c r="S34" s="49"/>
      <c r="T34" s="49" t="s">
        <v>432</v>
      </c>
      <c r="U34" s="49"/>
      <c r="V34" s="49"/>
      <c r="W34" s="69"/>
      <c r="X34" s="664" t="s">
        <v>432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432</v>
      </c>
      <c r="M35" s="66"/>
      <c r="N35" s="49"/>
      <c r="O35" s="54"/>
      <c r="P35" s="49"/>
      <c r="Q35" s="49"/>
      <c r="R35" s="49"/>
      <c r="S35" s="54"/>
      <c r="T35" s="49" t="s">
        <v>432</v>
      </c>
      <c r="U35" s="49"/>
      <c r="V35" s="49"/>
      <c r="W35" s="69"/>
      <c r="X35" s="664" t="s">
        <v>432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413</v>
      </c>
      <c r="J36" s="49"/>
      <c r="K36" s="69"/>
      <c r="L36" s="676" t="s">
        <v>432</v>
      </c>
      <c r="M36" s="66"/>
      <c r="N36" s="100" t="s">
        <v>433</v>
      </c>
      <c r="O36" s="54"/>
      <c r="P36" s="49"/>
      <c r="Q36" s="49"/>
      <c r="R36" s="49"/>
      <c r="S36" s="50"/>
      <c r="T36" s="99" t="s">
        <v>415</v>
      </c>
      <c r="U36" s="49"/>
      <c r="V36" s="50"/>
      <c r="W36" s="69"/>
      <c r="X36" s="664" t="s">
        <v>432</v>
      </c>
      <c r="Y36" s="462"/>
      <c r="Z36" s="462"/>
      <c r="AA36" s="132" t="s">
        <v>433</v>
      </c>
      <c r="AB36" s="54"/>
      <c r="AC36" s="551" t="str">
        <f t="shared" si="1"/>
        <v/>
      </c>
      <c r="AD36" s="462"/>
      <c r="AG36" s="1070"/>
      <c r="AH36" s="1070"/>
      <c r="AI36" s="1070"/>
    </row>
    <row r="37" spans="1:35" ht="11.25" customHeight="1">
      <c r="A37" s="611">
        <v>37</v>
      </c>
      <c r="B37" s="66"/>
      <c r="C37" s="54"/>
      <c r="D37" s="54" t="s">
        <v>416</v>
      </c>
      <c r="E37" s="60" t="str">
        <f>IF(P37="","",P37)</f>
        <v/>
      </c>
      <c r="F37" s="49"/>
      <c r="H37" s="54" t="str">
        <f t="shared" ref="H37:I39" si="8">IF(S37="","",S37)</f>
        <v>Large:</v>
      </c>
      <c r="I37" s="355" t="str">
        <f t="shared" si="8"/>
        <v/>
      </c>
      <c r="J37" s="50"/>
      <c r="K37" s="71"/>
      <c r="L37" s="676" t="s">
        <v>432</v>
      </c>
      <c r="M37" s="66"/>
      <c r="N37" s="54"/>
      <c r="O37" s="54" t="s">
        <v>416</v>
      </c>
      <c r="P37" s="691" t="str">
        <f>IF(Q37&lt;&gt;"",Q37,IF(OR(AB37=0,AB37=""),"",AB37))</f>
        <v/>
      </c>
      <c r="Q37" s="764"/>
      <c r="R37" s="49"/>
      <c r="S37" s="54" t="s">
        <v>417</v>
      </c>
      <c r="T37" s="686" t="str">
        <f>IF(U37&lt;&gt;"",U37,IF(OR(AB71=0,AB71=""),"",AB71))</f>
        <v/>
      </c>
      <c r="U37" s="766"/>
      <c r="V37" s="50"/>
      <c r="W37" s="69"/>
      <c r="X37" s="664" t="s">
        <v>432</v>
      </c>
      <c r="Y37" s="462"/>
      <c r="Z37" s="462"/>
      <c r="AA37" s="462" t="str">
        <f t="shared" si="7"/>
        <v>Tube Designation/Use:</v>
      </c>
      <c r="AB37" s="985"/>
      <c r="AC37" s="551" t="str">
        <f t="shared" si="1"/>
        <v/>
      </c>
      <c r="AD37" s="1033" t="str">
        <f t="shared" si="6"/>
        <v/>
      </c>
      <c r="AE37" s="555" t="s">
        <v>723</v>
      </c>
      <c r="AG37" s="1070"/>
      <c r="AH37" s="1070"/>
      <c r="AI37" s="1071"/>
    </row>
    <row r="38" spans="1:35" ht="11.25" customHeight="1">
      <c r="A38" s="611">
        <v>38</v>
      </c>
      <c r="B38" s="66"/>
      <c r="C38" s="54"/>
      <c r="D38" s="54" t="s">
        <v>408</v>
      </c>
      <c r="E38" s="1080" t="str">
        <f>IF(P38="","",P38)</f>
        <v/>
      </c>
      <c r="F38" s="49"/>
      <c r="H38" s="54" t="str">
        <f t="shared" si="8"/>
        <v>Small:</v>
      </c>
      <c r="I38" s="355" t="str">
        <f t="shared" si="8"/>
        <v/>
      </c>
      <c r="J38" s="50"/>
      <c r="K38" s="71"/>
      <c r="L38" s="676" t="s">
        <v>432</v>
      </c>
      <c r="M38" s="66"/>
      <c r="N38" s="54"/>
      <c r="O38" s="54" t="s">
        <v>408</v>
      </c>
      <c r="P38" s="1076" t="str">
        <f>IF(Q38&lt;&gt;"",Q38,IF(OR(AB38=0,AB38=""),"",AB38))</f>
        <v/>
      </c>
      <c r="Q38" s="1075"/>
      <c r="R38" s="49"/>
      <c r="S38" s="54" t="s">
        <v>418</v>
      </c>
      <c r="T38" s="686" t="str">
        <f>IF(U38&lt;&gt;"",U38,IF(OR(AB72=0,AB72=""),"",AB72))</f>
        <v/>
      </c>
      <c r="U38" s="767"/>
      <c r="V38" s="50"/>
      <c r="W38" s="69"/>
      <c r="X38" s="664" t="s">
        <v>432</v>
      </c>
      <c r="Y38" s="462"/>
      <c r="Z38" s="462"/>
      <c r="AA38" s="462" t="str">
        <f t="shared" si="7"/>
        <v>Date of Manufacture:</v>
      </c>
      <c r="AB38" s="1185"/>
      <c r="AC38" s="551" t="str">
        <f t="shared" si="1"/>
        <v/>
      </c>
      <c r="AD38" s="1074" t="str">
        <f t="shared" si="6"/>
        <v/>
      </c>
      <c r="AE38" s="555" t="s">
        <v>724</v>
      </c>
      <c r="AG38" s="1070"/>
      <c r="AH38" s="1070"/>
      <c r="AI38" s="1070"/>
    </row>
    <row r="39" spans="1:35" ht="11.25" customHeight="1">
      <c r="A39" s="611">
        <v>39</v>
      </c>
      <c r="B39" s="66"/>
      <c r="C39" s="54"/>
      <c r="D39" s="54"/>
      <c r="H39" s="54" t="str">
        <f>IF(T39="","",S39)</f>
        <v/>
      </c>
      <c r="I39" s="355" t="str">
        <f t="shared" si="8"/>
        <v/>
      </c>
      <c r="J39" s="50" t="str">
        <f>IF(T39="","",U39)</f>
        <v/>
      </c>
      <c r="K39" s="71"/>
      <c r="L39" s="676" t="s">
        <v>432</v>
      </c>
      <c r="M39" s="66"/>
      <c r="N39" s="54"/>
      <c r="O39" s="54"/>
      <c r="P39" s="49"/>
      <c r="Q39" s="49"/>
      <c r="R39" s="49"/>
      <c r="S39" s="54" t="s">
        <v>419</v>
      </c>
      <c r="T39" s="686" t="str">
        <f>IF(U39&lt;&gt;"",U39,IF(OR(AB73=0,AB73=""),"",AB73))</f>
        <v/>
      </c>
      <c r="U39" s="767"/>
      <c r="V39" s="49"/>
      <c r="W39" s="69"/>
      <c r="X39" s="664" t="s">
        <v>432</v>
      </c>
      <c r="Y39" s="462"/>
      <c r="Z39" s="462"/>
      <c r="AA39" s="462" t="str">
        <f t="shared" si="7"/>
        <v/>
      </c>
      <c r="AB39" s="54"/>
      <c r="AC39" s="551" t="str">
        <f t="shared" si="1"/>
        <v/>
      </c>
      <c r="AD39" s="457"/>
      <c r="AG39" s="1070"/>
      <c r="AH39" s="1070"/>
      <c r="AI39" s="1070"/>
    </row>
    <row r="40" spans="1:35" ht="11.25" customHeight="1">
      <c r="A40" s="611">
        <v>40</v>
      </c>
      <c r="B40" s="66"/>
      <c r="C40" s="54"/>
      <c r="D40" s="54" t="s">
        <v>420</v>
      </c>
      <c r="E40" s="57" t="str">
        <f>IF(P40="","",P40)</f>
        <v/>
      </c>
      <c r="F40" s="49"/>
      <c r="I40" s="99" t="s">
        <v>421</v>
      </c>
      <c r="J40" s="49"/>
      <c r="K40" s="69"/>
      <c r="L40" s="676" t="s">
        <v>432</v>
      </c>
      <c r="M40" s="66"/>
      <c r="N40" s="54"/>
      <c r="O40" s="54" t="s">
        <v>420</v>
      </c>
      <c r="P40" s="691" t="str">
        <f>IF(Q40&lt;&gt;"",Q40,IF(OR(AB40=0,AB40=""),"",AB40))</f>
        <v/>
      </c>
      <c r="Q40" s="764"/>
      <c r="R40" s="49"/>
      <c r="S40" s="49"/>
      <c r="T40" s="99" t="s">
        <v>421</v>
      </c>
      <c r="U40" s="49"/>
      <c r="V40" s="49"/>
      <c r="W40" s="69"/>
      <c r="X40" s="664" t="s">
        <v>432</v>
      </c>
      <c r="Y40" s="462"/>
      <c r="Z40" s="462"/>
      <c r="AA40" s="462" t="str">
        <f t="shared" si="7"/>
        <v>Insert Manufacturer:</v>
      </c>
      <c r="AB40" s="985"/>
      <c r="AC40" s="551" t="str">
        <f t="shared" si="1"/>
        <v/>
      </c>
      <c r="AD40" s="1033" t="str">
        <f t="shared" si="6"/>
        <v/>
      </c>
      <c r="AE40" s="555" t="s">
        <v>725</v>
      </c>
      <c r="AG40" s="1070"/>
      <c r="AH40" s="1070"/>
      <c r="AI40" s="1070"/>
    </row>
    <row r="41" spans="1:35" ht="11.25" customHeight="1">
      <c r="A41" s="611">
        <v>41</v>
      </c>
      <c r="B41" s="66"/>
      <c r="C41" s="54"/>
      <c r="D41" s="54" t="s">
        <v>422</v>
      </c>
      <c r="E41" s="60" t="str">
        <f>IF(P41="","",P41)</f>
        <v/>
      </c>
      <c r="F41" s="49"/>
      <c r="H41" s="54" t="s">
        <v>423</v>
      </c>
      <c r="I41" s="355" t="str">
        <f>IF(T41="","",T41)</f>
        <v/>
      </c>
      <c r="J41" s="49"/>
      <c r="K41" s="69"/>
      <c r="L41" s="676" t="s">
        <v>432</v>
      </c>
      <c r="M41" s="66"/>
      <c r="N41" s="54"/>
      <c r="O41" s="54" t="s">
        <v>422</v>
      </c>
      <c r="P41" s="691" t="str">
        <f>IF(Q41&lt;&gt;"",Q41,IF(OR(AB41=0,AB41=""),"",AB41))</f>
        <v/>
      </c>
      <c r="Q41" s="763"/>
      <c r="R41" s="49"/>
      <c r="S41" s="54" t="s">
        <v>423</v>
      </c>
      <c r="T41" s="686" t="str">
        <f>IF(U41&lt;&gt;"",U41,IF(OR(AB76=0,AB76=""),"",AB76))</f>
        <v/>
      </c>
      <c r="U41" s="764"/>
      <c r="V41" s="50"/>
      <c r="W41" s="69"/>
      <c r="X41" s="664" t="s">
        <v>432</v>
      </c>
      <c r="Y41" s="462"/>
      <c r="Z41" s="462"/>
      <c r="AA41" s="462" t="str">
        <f t="shared" si="7"/>
        <v>Insert Model:</v>
      </c>
      <c r="AB41" s="985"/>
      <c r="AC41" s="551" t="str">
        <f t="shared" si="1"/>
        <v/>
      </c>
      <c r="AD41" s="1033" t="str">
        <f t="shared" si="6"/>
        <v/>
      </c>
      <c r="AE41" s="555" t="s">
        <v>726</v>
      </c>
      <c r="AG41" s="1070"/>
      <c r="AH41" s="1070"/>
      <c r="AI41" s="1070"/>
    </row>
    <row r="42" spans="1:35" ht="11.25" customHeight="1">
      <c r="A42" s="611">
        <v>42</v>
      </c>
      <c r="B42" s="66"/>
      <c r="C42" s="54"/>
      <c r="D42" s="54" t="s">
        <v>424</v>
      </c>
      <c r="E42" s="60" t="str">
        <f>IF(P42="","",P42)</f>
        <v/>
      </c>
      <c r="F42" s="49"/>
      <c r="G42" s="49"/>
      <c r="H42" s="54" t="s">
        <v>425</v>
      </c>
      <c r="I42" s="355" t="str">
        <f>IF(T42="","",T42)</f>
        <v/>
      </c>
      <c r="K42" s="70"/>
      <c r="L42" s="676" t="s">
        <v>432</v>
      </c>
      <c r="M42" s="66"/>
      <c r="N42" s="54"/>
      <c r="O42" s="54" t="s">
        <v>424</v>
      </c>
      <c r="P42" s="691" t="str">
        <f>IF(Q42&lt;&gt;"",Q42,IF(OR(AB42=0,AB42=""),"",AB42))</f>
        <v/>
      </c>
      <c r="Q42" s="763"/>
      <c r="R42" s="49"/>
      <c r="S42" s="54" t="s">
        <v>425</v>
      </c>
      <c r="T42" s="686" t="str">
        <f>IF(U42&lt;&gt;"",U42,IF(OR(AB77=0,AB77=""),"",AB77))</f>
        <v/>
      </c>
      <c r="U42" s="763"/>
      <c r="V42" s="50"/>
      <c r="W42" s="69"/>
      <c r="X42" s="664" t="s">
        <v>432</v>
      </c>
      <c r="Y42" s="462"/>
      <c r="Z42" s="462"/>
      <c r="AA42" s="462" t="str">
        <f t="shared" si="7"/>
        <v>Insert Serial Number:</v>
      </c>
      <c r="AB42" s="985"/>
      <c r="AC42" s="551" t="str">
        <f t="shared" si="1"/>
        <v/>
      </c>
      <c r="AD42" s="1033" t="str">
        <f t="shared" si="6"/>
        <v/>
      </c>
      <c r="AE42" s="555" t="s">
        <v>727</v>
      </c>
      <c r="AG42" s="1070"/>
      <c r="AH42" s="1070"/>
      <c r="AI42" s="1070"/>
    </row>
    <row r="43" spans="1:35" ht="11.25" customHeight="1">
      <c r="A43" s="611">
        <v>43</v>
      </c>
      <c r="B43" s="66"/>
      <c r="C43" s="54"/>
      <c r="D43" s="54"/>
      <c r="E43" s="49"/>
      <c r="F43" s="49"/>
      <c r="G43" s="49"/>
      <c r="H43" s="49"/>
      <c r="I43" s="49"/>
      <c r="K43" s="70"/>
      <c r="L43" s="676" t="s">
        <v>432</v>
      </c>
      <c r="M43" s="66"/>
      <c r="N43" s="54"/>
      <c r="O43" s="54"/>
      <c r="P43" s="49"/>
      <c r="Q43" s="49"/>
      <c r="R43" s="49"/>
      <c r="S43" s="49"/>
      <c r="T43" s="49"/>
      <c r="U43" s="49"/>
      <c r="V43" s="50"/>
      <c r="W43" s="69"/>
      <c r="X43" s="664" t="s">
        <v>432</v>
      </c>
      <c r="Y43" s="462"/>
      <c r="Z43" s="462"/>
      <c r="AA43" s="462" t="str">
        <f t="shared" si="7"/>
        <v/>
      </c>
      <c r="AB43" s="54"/>
      <c r="AC43" s="551" t="str">
        <f t="shared" si="1"/>
        <v/>
      </c>
      <c r="AD43" s="457"/>
      <c r="AG43" s="1070"/>
      <c r="AH43" s="1070"/>
      <c r="AI43" s="1070"/>
    </row>
    <row r="44" spans="1:35" ht="11.25" customHeight="1">
      <c r="A44" s="611">
        <v>44</v>
      </c>
      <c r="B44" s="66"/>
      <c r="C44" s="54"/>
      <c r="D44" s="54" t="s">
        <v>426</v>
      </c>
      <c r="E44" s="57" t="str">
        <f>IF(P44="","",P44)</f>
        <v/>
      </c>
      <c r="F44" s="49"/>
      <c r="I44" s="101" t="s">
        <v>427</v>
      </c>
      <c r="J44" s="53"/>
      <c r="K44" s="70"/>
      <c r="L44" s="676" t="s">
        <v>432</v>
      </c>
      <c r="M44" s="66"/>
      <c r="N44" s="54"/>
      <c r="O44" s="54" t="s">
        <v>426</v>
      </c>
      <c r="P44" s="691" t="str">
        <f>IF(Q44&lt;&gt;"",Q44,IF(OR(AB44=0,AB44=""),"",AB44))</f>
        <v/>
      </c>
      <c r="Q44" s="764"/>
      <c r="R44" s="49"/>
      <c r="S44" s="49"/>
      <c r="T44" s="99" t="s">
        <v>427</v>
      </c>
      <c r="U44" s="128"/>
      <c r="V44" s="49"/>
      <c r="W44" s="69"/>
      <c r="X44" s="664" t="s">
        <v>432</v>
      </c>
      <c r="Y44" s="462"/>
      <c r="Z44" s="462"/>
      <c r="AA44" s="462" t="str">
        <f>IF(O44="","",O44)</f>
        <v>Housing Manufacturer:</v>
      </c>
      <c r="AB44" s="985"/>
      <c r="AC44" s="551" t="str">
        <f t="shared" si="1"/>
        <v/>
      </c>
      <c r="AD44" s="1033" t="str">
        <f>IF(P44="","",P44)</f>
        <v/>
      </c>
      <c r="AE44" s="555" t="s">
        <v>728</v>
      </c>
      <c r="AG44" s="1070"/>
      <c r="AH44" s="1070"/>
      <c r="AI44" s="1071"/>
    </row>
    <row r="45" spans="1:35" ht="11.25" customHeight="1">
      <c r="A45" s="611">
        <v>45</v>
      </c>
      <c r="B45" s="66"/>
      <c r="C45" s="54"/>
      <c r="D45" s="54" t="s">
        <v>428</v>
      </c>
      <c r="E45" s="60" t="str">
        <f>IF(P45="","",P45)</f>
        <v/>
      </c>
      <c r="F45" s="49"/>
      <c r="H45" s="54" t="s">
        <v>429</v>
      </c>
      <c r="I45" s="60" t="str">
        <f>IF(T45="","",T45)</f>
        <v/>
      </c>
      <c r="J45" s="47"/>
      <c r="K45" s="69"/>
      <c r="L45" s="676" t="s">
        <v>432</v>
      </c>
      <c r="M45" s="66"/>
      <c r="N45" s="54"/>
      <c r="O45" s="54" t="s">
        <v>428</v>
      </c>
      <c r="P45" s="691" t="str">
        <f>IF(Q45&lt;&gt;"",Q45,IF(OR(AB45=0,AB45=""),"",AB45))</f>
        <v/>
      </c>
      <c r="Q45" s="763"/>
      <c r="R45" s="49"/>
      <c r="S45" s="54" t="s">
        <v>429</v>
      </c>
      <c r="T45" s="693" t="str">
        <f>IF(U45&lt;&gt;"",U45,IF(OR(AB80=0,AB80=""),"",AB80))</f>
        <v/>
      </c>
      <c r="U45" s="1034"/>
      <c r="V45" s="49"/>
      <c r="W45" s="69"/>
      <c r="X45" s="664" t="s">
        <v>432</v>
      </c>
      <c r="Y45" s="462"/>
      <c r="Z45" s="462"/>
      <c r="AA45" s="462" t="str">
        <f>IF(O45="","",O45)</f>
        <v>Housing Model:</v>
      </c>
      <c r="AB45" s="985"/>
      <c r="AC45" s="551" t="str">
        <f t="shared" si="1"/>
        <v/>
      </c>
      <c r="AD45" s="1033" t="str">
        <f>IF(P45="","",P45)</f>
        <v/>
      </c>
      <c r="AE45" s="555" t="s">
        <v>729</v>
      </c>
      <c r="AG45" s="1070"/>
      <c r="AH45" s="1070"/>
      <c r="AI45" s="1071"/>
    </row>
    <row r="46" spans="1:35" ht="11.25" customHeight="1">
      <c r="A46" s="611">
        <v>46</v>
      </c>
      <c r="B46" s="66"/>
      <c r="C46" s="54"/>
      <c r="D46" s="54" t="s">
        <v>430</v>
      </c>
      <c r="E46" s="60" t="str">
        <f>IF(P46="","",P46)</f>
        <v/>
      </c>
      <c r="F46" s="49"/>
      <c r="H46" s="54" t="s">
        <v>431</v>
      </c>
      <c r="I46" s="60" t="str">
        <f>IF(T46="","",T46)</f>
        <v/>
      </c>
      <c r="J46" s="47"/>
      <c r="K46" s="69"/>
      <c r="L46" s="676" t="s">
        <v>432</v>
      </c>
      <c r="M46" s="66"/>
      <c r="N46" s="54"/>
      <c r="O46" s="54" t="s">
        <v>430</v>
      </c>
      <c r="P46" s="691" t="str">
        <f>IF(Q46&lt;&gt;"",Q46,IF(OR(AB46=0,AB46=""),"",AB46))</f>
        <v/>
      </c>
      <c r="Q46" s="763"/>
      <c r="R46" s="49"/>
      <c r="S46" s="54" t="s">
        <v>431</v>
      </c>
      <c r="T46" s="693" t="str">
        <f>IF(U46&lt;&gt;"",U46,IF(OR(AB81=0,AB81=""),"",AB81))</f>
        <v/>
      </c>
      <c r="U46" s="763"/>
      <c r="V46" s="49"/>
      <c r="W46" s="69"/>
      <c r="X46" s="664" t="s">
        <v>432</v>
      </c>
      <c r="Y46" s="462"/>
      <c r="Z46" s="462"/>
      <c r="AA46" s="462" t="str">
        <f>IF(O46="","",O46)</f>
        <v>Housing Serial Number:</v>
      </c>
      <c r="AB46" s="985"/>
      <c r="AC46" s="551" t="str">
        <f t="shared" si="1"/>
        <v/>
      </c>
      <c r="AD46" s="1033" t="str">
        <f>IF(P46="","",P46)</f>
        <v/>
      </c>
      <c r="AE46" s="555" t="s">
        <v>730</v>
      </c>
    </row>
    <row r="47" spans="1:35" ht="11.25" customHeight="1" thickBot="1">
      <c r="A47" s="611">
        <v>47</v>
      </c>
      <c r="B47" s="72"/>
      <c r="C47" s="83"/>
      <c r="D47" s="83"/>
      <c r="E47" s="83"/>
      <c r="F47" s="83"/>
      <c r="G47" s="83"/>
      <c r="H47" s="83"/>
      <c r="I47" s="83"/>
      <c r="J47" s="73"/>
      <c r="K47" s="74"/>
      <c r="L47" s="676" t="s">
        <v>432</v>
      </c>
      <c r="M47" s="72"/>
      <c r="N47" s="133"/>
      <c r="O47" s="73"/>
      <c r="P47" s="73"/>
      <c r="Q47" s="73"/>
      <c r="R47" s="134"/>
      <c r="S47" s="73"/>
      <c r="T47" s="135"/>
      <c r="U47" s="135"/>
      <c r="V47" s="135"/>
      <c r="W47" s="74"/>
      <c r="X47" s="664" t="s">
        <v>432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432</v>
      </c>
      <c r="M48" s="1"/>
      <c r="N48" s="1"/>
      <c r="O48" s="1"/>
      <c r="P48" s="1"/>
      <c r="Q48" s="1"/>
      <c r="R48" s="1"/>
      <c r="S48" s="1"/>
      <c r="T48" s="1"/>
      <c r="U48" s="1"/>
      <c r="V48" s="1"/>
      <c r="W48" s="1"/>
      <c r="X48" s="664" t="s">
        <v>432</v>
      </c>
      <c r="Y48" s="462"/>
      <c r="Z48" s="49"/>
      <c r="AA48" s="462" t="str">
        <f>IF(S11="","",S11)</f>
        <v>Site Number:</v>
      </c>
      <c r="AB48" s="985"/>
      <c r="AC48" s="551" t="str">
        <f t="shared" si="1"/>
        <v/>
      </c>
      <c r="AD48" s="1033" t="str">
        <f>IF(T11="","",T11)</f>
        <v/>
      </c>
      <c r="AE48" s="555" t="s">
        <v>731</v>
      </c>
    </row>
    <row r="49" spans="1:31" ht="11.25" customHeight="1">
      <c r="A49" s="611">
        <v>49</v>
      </c>
      <c r="F49" s="82" t="s">
        <v>434</v>
      </c>
      <c r="L49" s="676" t="s">
        <v>432</v>
      </c>
      <c r="M49" s="49"/>
      <c r="R49" s="82" t="str">
        <f>$F$49</f>
        <v>Inspection Results</v>
      </c>
      <c r="X49" s="664" t="s">
        <v>432</v>
      </c>
      <c r="Y49" s="462"/>
      <c r="Z49" s="49"/>
      <c r="AA49" s="462" t="str">
        <f t="shared" ref="AA49:AA53" si="9">IF(S12="","",S12)</f>
        <v>Authorized Use:</v>
      </c>
      <c r="AB49" s="985"/>
      <c r="AC49" s="551" t="str">
        <f t="shared" si="1"/>
        <v/>
      </c>
      <c r="AD49" s="1033" t="str">
        <f>IF(T12="","",T12)</f>
        <v/>
      </c>
      <c r="AE49" s="555" t="s">
        <v>732</v>
      </c>
    </row>
    <row r="50" spans="1:31" ht="11.25" customHeight="1" thickBot="1">
      <c r="A50" s="611">
        <v>50</v>
      </c>
      <c r="L50" s="676" t="s">
        <v>432</v>
      </c>
      <c r="N50" s="87"/>
      <c r="O50" s="87"/>
      <c r="P50" s="1"/>
      <c r="X50" s="664" t="s">
        <v>432</v>
      </c>
      <c r="Y50" s="462"/>
      <c r="Z50" s="49"/>
      <c r="AA50" s="462" t="str">
        <f t="shared" si="9"/>
        <v>Date of Installation:</v>
      </c>
      <c r="AB50" s="1185"/>
      <c r="AC50" s="551" t="str">
        <f t="shared" si="1"/>
        <v/>
      </c>
      <c r="AD50" s="1052" t="str">
        <f>IF(T13="","",T13)</f>
        <v/>
      </c>
      <c r="AE50" s="555" t="s">
        <v>733</v>
      </c>
    </row>
    <row r="51" spans="1:31" ht="11.25" customHeight="1" thickTop="1">
      <c r="A51" s="611">
        <v>51</v>
      </c>
      <c r="B51" s="64"/>
      <c r="C51" s="113"/>
      <c r="D51" s="113"/>
      <c r="E51" s="113"/>
      <c r="F51" s="113"/>
      <c r="G51" s="113"/>
      <c r="H51" s="113"/>
      <c r="I51" s="113"/>
      <c r="J51" s="113"/>
      <c r="K51" s="65"/>
      <c r="L51" s="676" t="s">
        <v>432</v>
      </c>
      <c r="M51" s="130" t="s">
        <v>438</v>
      </c>
      <c r="N51" s="113"/>
      <c r="O51" s="113"/>
      <c r="P51" s="113"/>
      <c r="Q51" s="113"/>
      <c r="R51" s="113"/>
      <c r="S51" s="113"/>
      <c r="T51" s="113"/>
      <c r="U51" s="113"/>
      <c r="V51" s="113"/>
      <c r="W51" s="65"/>
      <c r="X51" s="664" t="s">
        <v>432</v>
      </c>
      <c r="Y51" s="462"/>
      <c r="Z51" s="49"/>
      <c r="AA51" s="462" t="str">
        <f>IF(S14="","",S14)</f>
        <v>Number of X-ray Tubes:</v>
      </c>
      <c r="AB51" s="1186"/>
      <c r="AC51" s="551" t="str">
        <f t="shared" si="1"/>
        <v/>
      </c>
      <c r="AD51" s="1051" t="str">
        <f>IF(T14="","",T14)</f>
        <v/>
      </c>
      <c r="AE51" s="555" t="s">
        <v>734</v>
      </c>
    </row>
    <row r="52" spans="1:31" ht="11.25" customHeight="1">
      <c r="A52" s="611">
        <v>52</v>
      </c>
      <c r="B52" s="108" t="s">
        <v>435</v>
      </c>
      <c r="C52" s="128"/>
      <c r="D52" s="49"/>
      <c r="E52" s="49"/>
      <c r="F52" s="99" t="s">
        <v>436</v>
      </c>
      <c r="G52" s="49"/>
      <c r="H52" s="49"/>
      <c r="I52" s="49"/>
      <c r="J52" s="262" t="s">
        <v>437</v>
      </c>
      <c r="K52" s="186"/>
      <c r="L52" s="676" t="s">
        <v>432</v>
      </c>
      <c r="M52" s="836">
        <f>IF(N52&lt;&gt;"",N52,IF(OR(AB82=0,AB82=""),"",AB82))</f>
        <v>2</v>
      </c>
      <c r="N52" s="757">
        <v>2</v>
      </c>
      <c r="O52" s="326" t="s">
        <v>1149</v>
      </c>
      <c r="P52" s="49"/>
      <c r="R52" s="733"/>
      <c r="S52" s="733" t="s">
        <v>334</v>
      </c>
      <c r="T52" s="585" t="s">
        <v>439</v>
      </c>
      <c r="U52" s="732"/>
      <c r="V52" s="49"/>
      <c r="W52" s="69"/>
      <c r="X52" s="664" t="s">
        <v>432</v>
      </c>
      <c r="Y52" s="462"/>
      <c r="Z52" s="49"/>
      <c r="AA52" s="462" t="str">
        <f t="shared" si="9"/>
        <v>Accession Number:</v>
      </c>
      <c r="AB52" s="1186"/>
      <c r="AC52" s="551" t="str">
        <f t="shared" si="1"/>
        <v/>
      </c>
      <c r="AD52" s="1051" t="str">
        <f>IF(T15="","",T15)</f>
        <v/>
      </c>
      <c r="AE52" s="555" t="s">
        <v>28</v>
      </c>
    </row>
    <row r="53" spans="1:31" ht="11.25" customHeight="1">
      <c r="A53" s="611">
        <v>53</v>
      </c>
      <c r="B53" s="110"/>
      <c r="C53" s="128"/>
      <c r="D53" s="50"/>
      <c r="E53" s="49"/>
      <c r="F53" s="49"/>
      <c r="G53" s="49"/>
      <c r="H53" s="49"/>
      <c r="I53" s="49"/>
      <c r="J53" s="394"/>
      <c r="K53" s="343" t="str">
        <f>IF($M$53=1,"",IF(M55=2,"NO",""))</f>
        <v/>
      </c>
      <c r="L53" s="676" t="s">
        <v>432</v>
      </c>
      <c r="M53" s="836">
        <f>IF(N53&lt;&gt;"",N53,IF(OR(AB83=0,AB83=""),"",AB83))</f>
        <v>2</v>
      </c>
      <c r="N53" s="757">
        <v>2</v>
      </c>
      <c r="O53" s="50" t="s">
        <v>1074</v>
      </c>
      <c r="W53" s="71"/>
      <c r="X53" s="664" t="s">
        <v>432</v>
      </c>
      <c r="Y53" s="462"/>
      <c r="Z53" s="49"/>
      <c r="AA53" s="462" t="str">
        <f t="shared" si="9"/>
        <v/>
      </c>
      <c r="AB53" s="49"/>
      <c r="AC53" s="551" t="str">
        <f t="shared" si="1"/>
        <v/>
      </c>
      <c r="AD53" s="457"/>
    </row>
    <row r="54" spans="1:31" ht="11.25" customHeight="1">
      <c r="A54" s="611">
        <v>54</v>
      </c>
      <c r="B54" s="110" t="s">
        <v>50</v>
      </c>
      <c r="C54" s="128"/>
      <c r="D54" s="50" t="s">
        <v>51</v>
      </c>
      <c r="E54" s="49"/>
      <c r="F54" s="49"/>
      <c r="G54" s="49"/>
      <c r="H54" s="49"/>
      <c r="I54" s="49"/>
      <c r="J54" s="114" t="str">
        <f>IF($M$53=1,$T$52,IF(M56="","TBD",IF(M56=1,"YES",IF(M56=3,"NA",""))))</f>
        <v>TBD</v>
      </c>
      <c r="K54" s="343" t="str">
        <f>IF($M$53=1,"",IF(M56=2,"NO",""))</f>
        <v/>
      </c>
      <c r="L54" s="676" t="s">
        <v>432</v>
      </c>
      <c r="M54" s="127"/>
      <c r="Q54" s="99" t="s">
        <v>436</v>
      </c>
      <c r="T54" s="757">
        <v>1</v>
      </c>
      <c r="U54" s="837">
        <f>IF(T54&lt;&gt;"",T54,IF(OR(AB84=0,AB84=""),"",AB84))</f>
        <v>1</v>
      </c>
      <c r="V54" s="100" t="s">
        <v>440</v>
      </c>
      <c r="W54" s="71"/>
      <c r="X54" s="664" t="s">
        <v>432</v>
      </c>
      <c r="Y54" s="462"/>
      <c r="Z54" s="49"/>
      <c r="AA54" s="462" t="str">
        <f>IF(S18="","",S18)</f>
        <v>Date of Manufacture:</v>
      </c>
      <c r="AB54" s="1185"/>
      <c r="AC54" s="551" t="str">
        <f t="shared" ref="AC54:AC73" si="10">IF(AND(OR(AB54="",AB54=0),OR(AD54="",AD54=0)),"",IF(AB54&lt;&gt;AD54,"Change",""))</f>
        <v/>
      </c>
      <c r="AD54" s="1052" t="str">
        <f>IF(T18="","",T18)</f>
        <v/>
      </c>
      <c r="AE54" s="555" t="s">
        <v>735</v>
      </c>
    </row>
    <row r="55" spans="1:31" ht="11.25" customHeight="1">
      <c r="A55" s="611">
        <v>55</v>
      </c>
      <c r="B55" s="110" t="s">
        <v>1200</v>
      </c>
      <c r="C55" s="128"/>
      <c r="D55" s="50" t="s">
        <v>44</v>
      </c>
      <c r="E55" s="49"/>
      <c r="F55" s="49"/>
      <c r="G55" s="49"/>
      <c r="H55" s="49"/>
      <c r="I55" s="49"/>
      <c r="J55" s="114" t="str">
        <f>IF($M$53=1,$T$52,IF(M57="","TBD",IF(M57=1,"YES",IF(M57=3,"NA",""))))</f>
        <v>TBD</v>
      </c>
      <c r="K55" s="343" t="str">
        <f>IF($M$53=1,"",IF(M57=2,"NO",""))</f>
        <v/>
      </c>
      <c r="L55" s="676" t="s">
        <v>432</v>
      </c>
      <c r="M55" s="617"/>
      <c r="N55" s="50"/>
      <c r="O55" s="50"/>
      <c r="P55" s="49"/>
      <c r="Q55" s="49"/>
      <c r="R55" s="49"/>
      <c r="S55" s="49"/>
      <c r="T55" s="49"/>
      <c r="V55" s="100" t="s">
        <v>441</v>
      </c>
      <c r="W55" s="69"/>
      <c r="X55" s="664" t="s">
        <v>432</v>
      </c>
      <c r="Y55" s="462"/>
      <c r="Z55" s="49"/>
      <c r="AA55" s="462" t="str">
        <f>IF(S19="","",S19)</f>
        <v>Serial Number:</v>
      </c>
      <c r="AB55" s="1186"/>
      <c r="AC55" s="551" t="str">
        <f t="shared" si="10"/>
        <v/>
      </c>
      <c r="AD55" s="1033" t="str">
        <f>IF(T19="","",T19)</f>
        <v/>
      </c>
      <c r="AE55" s="555" t="s">
        <v>736</v>
      </c>
    </row>
    <row r="56" spans="1:31" ht="11.25" customHeight="1">
      <c r="A56" s="611">
        <v>56</v>
      </c>
      <c r="B56" s="110" t="s">
        <v>1115</v>
      </c>
      <c r="C56" s="128"/>
      <c r="D56" s="50" t="s">
        <v>47</v>
      </c>
      <c r="E56" s="49"/>
      <c r="F56" s="49"/>
      <c r="G56" s="49"/>
      <c r="H56" s="49"/>
      <c r="I56" s="49"/>
      <c r="J56" s="114" t="str">
        <f>IF($M$53=1,$T$52,IF(M58="","TBD",IF(M58=1,"YES",IF(M58=3,"NA",""))))</f>
        <v>TBD</v>
      </c>
      <c r="K56" s="343" t="str">
        <f>IF($M$53=1,"",IF(M58=2,"NO",""))</f>
        <v/>
      </c>
      <c r="L56" s="676" t="s">
        <v>432</v>
      </c>
      <c r="M56" s="617"/>
      <c r="N56" s="50"/>
      <c r="O56" s="50" t="str">
        <f>IF(M53=1,"","DHEC registration sticker is present, clearly visible and legible.")</f>
        <v>DHEC registration sticker is present, clearly visible and legible.</v>
      </c>
      <c r="P56" s="49"/>
      <c r="Q56" s="49"/>
      <c r="R56" s="49"/>
      <c r="S56" s="49"/>
      <c r="T56" s="49"/>
      <c r="V56" s="100" t="s">
        <v>442</v>
      </c>
      <c r="W56" s="69"/>
      <c r="X56" s="664" t="s">
        <v>432</v>
      </c>
      <c r="Y56" s="462"/>
      <c r="Z56" s="49"/>
      <c r="AA56" s="462" t="str">
        <f>IF(S20="","",S20)</f>
        <v>Max. mA:</v>
      </c>
      <c r="AB56" s="1186"/>
      <c r="AC56" s="551" t="str">
        <f t="shared" si="10"/>
        <v/>
      </c>
      <c r="AD56" s="1051" t="str">
        <f>IF(T20="","",T20)</f>
        <v/>
      </c>
      <c r="AE56" s="555" t="s">
        <v>737</v>
      </c>
    </row>
    <row r="57" spans="1:31" ht="11.25" customHeight="1">
      <c r="A57" s="611">
        <v>57</v>
      </c>
      <c r="B57" s="110" t="s">
        <v>1062</v>
      </c>
      <c r="C57" s="128"/>
      <c r="D57" s="50" t="s">
        <v>443</v>
      </c>
      <c r="E57" s="49"/>
      <c r="F57" s="49"/>
      <c r="G57" s="49"/>
      <c r="H57" s="49"/>
      <c r="I57" s="49"/>
      <c r="J57" s="114" t="str">
        <f>IF($M$53=1,$T$52,IF(M59="","TBD",IF(M59=1,"YES",IF(M59=3,"NA",""))))</f>
        <v>TBD</v>
      </c>
      <c r="K57" s="343" t="str">
        <f>IF($M$53=1,"",IF(M59=2,"NO",""))</f>
        <v/>
      </c>
      <c r="L57" s="676" t="s">
        <v>432</v>
      </c>
      <c r="M57" s="617"/>
      <c r="N57" s="50"/>
      <c r="O57" s="50" t="str">
        <f>IF(M53=1,"","DHEC form SC-RHA-20 ""Notice to Employees"" posted or referenced.")</f>
        <v>DHEC form SC-RHA-20 "Notice to Employees" posted or referenced.</v>
      </c>
      <c r="P57" s="49"/>
      <c r="Q57" s="49"/>
      <c r="R57" s="49"/>
      <c r="S57" s="49"/>
      <c r="T57" s="49"/>
      <c r="U57" s="50" t="s">
        <v>444</v>
      </c>
      <c r="V57" s="49"/>
      <c r="W57" s="69"/>
      <c r="X57" s="664" t="s">
        <v>432</v>
      </c>
      <c r="Y57" s="462"/>
      <c r="Z57" s="49"/>
      <c r="AA57" s="462" t="str">
        <f>IF(S21="","",S21)</f>
        <v/>
      </c>
      <c r="AB57" s="49"/>
      <c r="AC57" s="551" t="str">
        <f t="shared" si="10"/>
        <v/>
      </c>
      <c r="AD57" s="490"/>
    </row>
    <row r="58" spans="1:31" ht="11.25" customHeight="1" thickBot="1">
      <c r="A58" s="611">
        <v>58</v>
      </c>
      <c r="B58" s="110" t="s">
        <v>1116</v>
      </c>
      <c r="C58" s="128"/>
      <c r="D58" s="50" t="s">
        <v>445</v>
      </c>
      <c r="E58" s="49"/>
      <c r="F58" s="49"/>
      <c r="G58" s="49"/>
      <c r="H58" s="396" t="s">
        <v>446</v>
      </c>
      <c r="I58" s="1134" t="str">
        <f>IF(O60="","",O60)</f>
        <v/>
      </c>
      <c r="J58" s="114" t="str">
        <f>IF(M60="","TBD",IF(M60=1,"YES",IF(M60=3,"NA","")))</f>
        <v>TBD</v>
      </c>
      <c r="K58" s="343" t="str">
        <f>IF(M60=2,"NO","")</f>
        <v/>
      </c>
      <c r="L58" s="676" t="s">
        <v>432</v>
      </c>
      <c r="M58" s="617"/>
      <c r="N58" s="49"/>
      <c r="O58" s="50" t="s">
        <v>47</v>
      </c>
      <c r="P58" s="49"/>
      <c r="Q58" s="49"/>
      <c r="R58" s="49"/>
      <c r="S58" s="49"/>
      <c r="T58" s="49"/>
      <c r="U58" s="50" t="s">
        <v>447</v>
      </c>
      <c r="V58" s="49"/>
      <c r="W58" s="69"/>
      <c r="X58" s="664" t="s">
        <v>432</v>
      </c>
      <c r="Y58" s="462"/>
      <c r="Z58" s="49"/>
      <c r="AA58" s="132" t="s">
        <v>413</v>
      </c>
      <c r="AB58" s="49"/>
      <c r="AC58" s="551" t="str">
        <f t="shared" si="10"/>
        <v/>
      </c>
      <c r="AD58" s="901"/>
    </row>
    <row r="59" spans="1:31" ht="11.25" customHeight="1" thickTop="1">
      <c r="A59" s="611">
        <v>59</v>
      </c>
      <c r="B59" s="110" t="s">
        <v>1063</v>
      </c>
      <c r="C59" s="128"/>
      <c r="D59" s="50" t="s">
        <v>448</v>
      </c>
      <c r="E59" s="49"/>
      <c r="F59" s="49"/>
      <c r="G59" s="49"/>
      <c r="H59" s="397" t="s">
        <v>446</v>
      </c>
      <c r="I59" s="1134" t="str">
        <f>IF(O61="","",O61)</f>
        <v/>
      </c>
      <c r="J59" s="114" t="str">
        <f>IF(M61="","TBD",IF(M61=1,"YES",IF(M61=3,"NA","")))</f>
        <v>TBD</v>
      </c>
      <c r="K59" s="343" t="str">
        <f>IF(M61=2,"NO","")</f>
        <v/>
      </c>
      <c r="L59" s="676" t="s">
        <v>432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432</v>
      </c>
      <c r="Y59" s="462"/>
      <c r="Z59" s="49"/>
      <c r="AA59" s="462" t="str">
        <f>IF(S24="","",S24)</f>
        <v>Large:</v>
      </c>
      <c r="AB59" s="1186"/>
      <c r="AC59" s="551" t="str">
        <f t="shared" si="10"/>
        <v/>
      </c>
      <c r="AD59" s="1051" t="str">
        <f>IF(T24="","",T24)</f>
        <v/>
      </c>
      <c r="AE59" s="555" t="s">
        <v>738</v>
      </c>
    </row>
    <row r="60" spans="1:31" ht="11.25" customHeight="1">
      <c r="A60" s="611">
        <v>60</v>
      </c>
      <c r="B60" s="110"/>
      <c r="C60" s="128"/>
      <c r="D60" s="50" t="s">
        <v>449</v>
      </c>
      <c r="E60" s="49"/>
      <c r="F60" s="49"/>
      <c r="G60" s="49"/>
      <c r="H60" s="49"/>
      <c r="I60" s="49"/>
      <c r="J60" s="114" t="str">
        <f>IF(M62="","TBD",IF(M62=1,"YES",IF(M62=3,"NA","")))</f>
        <v>TBD</v>
      </c>
      <c r="K60" s="343" t="str">
        <f>IF(M62=2,"NO","")</f>
        <v/>
      </c>
      <c r="L60" s="676" t="s">
        <v>432</v>
      </c>
      <c r="M60" s="617"/>
      <c r="N60" s="54" t="s">
        <v>446</v>
      </c>
      <c r="O60" s="1135"/>
      <c r="P60" s="50" t="s">
        <v>450</v>
      </c>
      <c r="Q60" s="49"/>
      <c r="R60" s="49"/>
      <c r="S60" s="49"/>
      <c r="T60" s="49"/>
      <c r="U60" s="840" t="str">
        <f>IF(U69&lt;&gt;"",U69,IF(AB457="","AP",AB457))</f>
        <v>AP</v>
      </c>
      <c r="V60" s="841">
        <f>IF(V69&lt;&gt;"",V69,IF(AB465="",3,AB465))</f>
        <v>3</v>
      </c>
      <c r="W60" s="499"/>
      <c r="X60" s="664" t="s">
        <v>432</v>
      </c>
      <c r="Y60" s="462"/>
      <c r="Z60" s="49"/>
      <c r="AA60" s="462" t="str">
        <f>IF(S25="","",S25)</f>
        <v>Small:</v>
      </c>
      <c r="AB60" s="1186"/>
      <c r="AC60" s="551" t="str">
        <f t="shared" si="10"/>
        <v/>
      </c>
      <c r="AD60" s="1051" t="str">
        <f>IF(T25="","",T25)</f>
        <v/>
      </c>
      <c r="AE60" s="555" t="s">
        <v>739</v>
      </c>
    </row>
    <row r="61" spans="1:31" ht="11.25" customHeight="1">
      <c r="A61" s="611">
        <v>61</v>
      </c>
      <c r="B61" s="110"/>
      <c r="C61" s="128"/>
      <c r="D61" s="50" t="s">
        <v>451</v>
      </c>
      <c r="E61" s="49"/>
      <c r="F61" s="49"/>
      <c r="G61" s="49"/>
      <c r="H61" s="49"/>
      <c r="I61" s="49"/>
      <c r="J61" s="114" t="str">
        <f>IF(M63="","TBD",IF(M63=1,"YES",IF(M63=3,"NA","")))</f>
        <v>TBD</v>
      </c>
      <c r="K61" s="343" t="str">
        <f>IF(M63=2,"NO","")</f>
        <v/>
      </c>
      <c r="L61" s="676" t="s">
        <v>432</v>
      </c>
      <c r="M61" s="617"/>
      <c r="N61" s="54" t="s">
        <v>446</v>
      </c>
      <c r="O61" s="1135"/>
      <c r="P61" s="50" t="s">
        <v>452</v>
      </c>
      <c r="Q61" s="49"/>
      <c r="R61" s="49"/>
      <c r="S61" s="49"/>
      <c r="T61" s="49"/>
      <c r="U61" s="840" t="str">
        <f>IF(U70&lt;&gt;"",U70,IF(AB458="","Front",AB458))</f>
        <v>Front</v>
      </c>
      <c r="V61" s="841" t="str">
        <f>IF(V70&lt;&gt;"",V70,IF(AB466="","Lat",AB466))</f>
        <v>Lat</v>
      </c>
      <c r="W61" s="499"/>
      <c r="X61" s="664" t="s">
        <v>432</v>
      </c>
      <c r="Y61" s="462"/>
      <c r="Z61" s="49"/>
      <c r="AA61" s="462" t="str">
        <f>IF(S26="","",S26)</f>
        <v>Micro:</v>
      </c>
      <c r="AB61" s="1186"/>
      <c r="AC61" s="551" t="str">
        <f t="shared" si="10"/>
        <v/>
      </c>
      <c r="AD61" s="1051" t="str">
        <f>IF(T26="","",T26)</f>
        <v/>
      </c>
      <c r="AE61" s="555" t="s">
        <v>740</v>
      </c>
    </row>
    <row r="62" spans="1:31" ht="11.25" customHeight="1">
      <c r="A62" s="611">
        <v>62</v>
      </c>
      <c r="B62" s="110"/>
      <c r="C62" s="128"/>
      <c r="D62" s="50" t="s">
        <v>453</v>
      </c>
      <c r="E62" s="49"/>
      <c r="F62" s="49"/>
      <c r="G62" s="49"/>
      <c r="H62" s="49"/>
      <c r="I62" s="49"/>
      <c r="J62" s="114" t="str">
        <f>IF($M$53=1,$T$52,IF(M64="","TBD",IF(M64=1,"YES",IF(M64=3,"NA",""))))</f>
        <v>TBD</v>
      </c>
      <c r="K62" s="343" t="str">
        <f>IF($M$53=1,"",IF(M64=2,"NO",""))</f>
        <v/>
      </c>
      <c r="L62" s="676" t="s">
        <v>432</v>
      </c>
      <c r="M62" s="617"/>
      <c r="N62" s="50"/>
      <c r="O62" s="50" t="s">
        <v>449</v>
      </c>
      <c r="P62" s="49"/>
      <c r="Q62" s="49"/>
      <c r="R62" s="49"/>
      <c r="S62" s="49"/>
      <c r="T62" s="49"/>
      <c r="U62" s="840" t="str">
        <f>IF(U71&lt;&gt;"",U71,IF(AB459="","Frontal",AB459))</f>
        <v>Frontal</v>
      </c>
      <c r="V62" s="841" t="str">
        <f>IF(V71&lt;&gt;"",V71,IF(AB467="","Lateral",AB467))</f>
        <v>Lateral</v>
      </c>
      <c r="W62" s="499"/>
      <c r="X62" s="664" t="s">
        <v>432</v>
      </c>
      <c r="Y62" s="462"/>
      <c r="Z62" s="49"/>
      <c r="AA62" s="132" t="s">
        <v>421</v>
      </c>
      <c r="AB62" s="49"/>
      <c r="AC62" s="551" t="str">
        <f t="shared" si="10"/>
        <v/>
      </c>
      <c r="AD62" s="901"/>
    </row>
    <row r="63" spans="1:31" ht="11.25" customHeight="1">
      <c r="A63" s="611">
        <v>63</v>
      </c>
      <c r="B63" s="110"/>
      <c r="C63" s="128"/>
      <c r="D63" s="50" t="s">
        <v>454</v>
      </c>
      <c r="E63" s="49"/>
      <c r="F63" s="49"/>
      <c r="G63" s="49"/>
      <c r="H63" s="49"/>
      <c r="I63" s="49"/>
      <c r="J63" s="114" t="str">
        <f>IF($M$53=1,$T$52,IF(M65="","TBD",IF(M65=1,"YES",IF(M65=3,"NA",""))))</f>
        <v>TBD</v>
      </c>
      <c r="K63" s="343" t="str">
        <f>IF($M$53=1,"",IF(M65=2,"NO",""))</f>
        <v/>
      </c>
      <c r="L63" s="676" t="s">
        <v>432</v>
      </c>
      <c r="M63" s="617"/>
      <c r="N63" s="49"/>
      <c r="O63" s="50" t="s">
        <v>451</v>
      </c>
      <c r="P63" s="49"/>
      <c r="Q63" s="49"/>
      <c r="R63" s="49"/>
      <c r="S63" s="49"/>
      <c r="T63" s="49"/>
      <c r="U63" s="840" t="str">
        <f>IF(U72&lt;&gt;"",U72,IF(AB460="","Ceph",AB460))</f>
        <v>Ceph</v>
      </c>
      <c r="V63" s="841" t="str">
        <f>IF(V72&lt;&gt;"",V72,IF(AB468="","Pan",AB468))</f>
        <v>Pan</v>
      </c>
      <c r="W63" s="499"/>
      <c r="X63" s="664" t="s">
        <v>432</v>
      </c>
      <c r="Y63" s="462"/>
      <c r="Z63" s="49"/>
      <c r="AA63" s="462" t="str">
        <f>IF(S28="","",S28)</f>
        <v>Inherent:</v>
      </c>
      <c r="AB63" s="1186"/>
      <c r="AC63" s="551" t="str">
        <f t="shared" si="10"/>
        <v/>
      </c>
      <c r="AD63" s="1033" t="str">
        <f>IF(T28="","",T28)</f>
        <v/>
      </c>
      <c r="AE63" s="555" t="s">
        <v>741</v>
      </c>
    </row>
    <row r="64" spans="1:31" ht="11.25" customHeight="1" thickBot="1">
      <c r="A64" s="611">
        <v>64</v>
      </c>
      <c r="B64" s="98"/>
      <c r="C64" s="83"/>
      <c r="D64" s="83"/>
      <c r="E64" s="83"/>
      <c r="F64" s="83"/>
      <c r="G64" s="83"/>
      <c r="H64" s="83"/>
      <c r="I64" s="83"/>
      <c r="J64" s="139"/>
      <c r="K64" s="651"/>
      <c r="L64" s="676" t="s">
        <v>432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432</v>
      </c>
      <c r="Y64" s="462"/>
      <c r="Z64" s="49"/>
      <c r="AA64" s="462" t="str">
        <f>IF(S29="","",S29)</f>
        <v>Added:</v>
      </c>
      <c r="AB64" s="1186"/>
      <c r="AC64" s="551" t="str">
        <f t="shared" si="10"/>
        <v/>
      </c>
      <c r="AD64" s="1033" t="str">
        <f>IF(T29="","",T29)</f>
        <v/>
      </c>
      <c r="AE64" s="555" t="s">
        <v>742</v>
      </c>
    </row>
    <row r="65" spans="1:36" ht="11.25" customHeight="1" thickTop="1" thickBot="1">
      <c r="A65" s="611">
        <v>65</v>
      </c>
      <c r="B65" s="52" t="s">
        <v>394</v>
      </c>
      <c r="C65" s="1133" t="str">
        <f>IF($O$8="","",$O$8)</f>
        <v/>
      </c>
      <c r="G65" t="str">
        <f>""</f>
        <v/>
      </c>
      <c r="H65" t="str">
        <f>""</f>
        <v/>
      </c>
      <c r="I65" s="52" t="s">
        <v>395</v>
      </c>
      <c r="J65" s="421" t="str">
        <f>IF($V$8="","",$V$8)</f>
        <v>Eugene Mah</v>
      </c>
      <c r="L65" s="676" t="s">
        <v>432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432</v>
      </c>
      <c r="Y65" s="462"/>
      <c r="Z65" s="49"/>
      <c r="AA65" s="462" t="str">
        <f>IF(S30="","",S30)</f>
        <v/>
      </c>
      <c r="AB65" s="49"/>
      <c r="AC65" s="551" t="str">
        <f t="shared" si="10"/>
        <v/>
      </c>
      <c r="AD65" s="457"/>
    </row>
    <row r="66" spans="1:36" ht="11.25" customHeight="1" thickTop="1" thickBot="1">
      <c r="A66" s="611">
        <v>66</v>
      </c>
      <c r="B66" s="52" t="s">
        <v>405</v>
      </c>
      <c r="C66" s="373" t="str">
        <f>IF($P$15="","",$P$15&amp;IF(U54="",""," - Tube "&amp;U54))</f>
        <v/>
      </c>
      <c r="I66" s="52" t="s">
        <v>1060</v>
      </c>
      <c r="J66" s="1045" t="str">
        <f>IF($E$14="","",$E$14)</f>
        <v/>
      </c>
      <c r="L66" s="676" t="s">
        <v>432</v>
      </c>
      <c r="M66" s="72"/>
      <c r="N66" s="83"/>
      <c r="O66" s="83"/>
      <c r="P66" s="83"/>
      <c r="Q66" s="83"/>
      <c r="R66" s="83"/>
      <c r="S66" s="83"/>
      <c r="T66" s="83"/>
      <c r="U66" s="512"/>
      <c r="V66" s="512"/>
      <c r="W66" s="513"/>
      <c r="X66" s="664" t="s">
        <v>432</v>
      </c>
      <c r="Y66" s="462"/>
      <c r="Z66" s="49"/>
      <c r="AA66" s="132" t="s">
        <v>427</v>
      </c>
      <c r="AB66" s="49"/>
      <c r="AC66" s="551" t="str">
        <f t="shared" si="10"/>
        <v/>
      </c>
      <c r="AD66" s="901"/>
    </row>
    <row r="67" spans="1:36" ht="11.25" customHeight="1" thickTop="1">
      <c r="A67" s="611">
        <v>1</v>
      </c>
      <c r="K67" s="131" t="str">
        <f>$F$2</f>
        <v>Medical University of South Carolina</v>
      </c>
      <c r="L67" s="676" t="s">
        <v>432</v>
      </c>
      <c r="U67" s="1267" t="s">
        <v>311</v>
      </c>
      <c r="V67" s="1268"/>
      <c r="X67" s="664" t="s">
        <v>432</v>
      </c>
      <c r="Y67" s="462"/>
      <c r="Z67" s="55"/>
      <c r="AA67" s="462" t="str">
        <f>IF(S32="","",S32)</f>
        <v>Film:</v>
      </c>
      <c r="AB67" s="985"/>
      <c r="AC67" s="551" t="str">
        <f t="shared" si="10"/>
        <v/>
      </c>
      <c r="AD67" s="1033" t="str">
        <f>IF(T32="","",T32)</f>
        <v/>
      </c>
      <c r="AE67" s="555" t="s">
        <v>743</v>
      </c>
    </row>
    <row r="68" spans="1:36" ht="11.25" customHeight="1">
      <c r="A68" s="611">
        <v>2</v>
      </c>
      <c r="F68" s="82" t="str">
        <f>$F$49</f>
        <v>Inspection Results</v>
      </c>
      <c r="K68" s="132" t="str">
        <f>$F$5</f>
        <v>Radiographic System Compliance Inspection</v>
      </c>
      <c r="L68" s="676" t="s">
        <v>432</v>
      </c>
      <c r="U68" s="710"/>
      <c r="V68" s="711"/>
      <c r="X68" s="664" t="s">
        <v>432</v>
      </c>
      <c r="Y68" s="462"/>
      <c r="Z68" s="49"/>
      <c r="AA68" s="462" t="str">
        <f>IF(S33="","",S33)</f>
        <v>Screen:</v>
      </c>
      <c r="AB68" s="985"/>
      <c r="AC68" s="551" t="str">
        <f t="shared" si="10"/>
        <v/>
      </c>
      <c r="AD68" s="1033" t="str">
        <f>IF(T33="","",T33)</f>
        <v/>
      </c>
      <c r="AE68" s="555" t="s">
        <v>744</v>
      </c>
    </row>
    <row r="69" spans="1:36" ht="11.25" customHeight="1" thickBot="1">
      <c r="A69" s="611">
        <v>3</v>
      </c>
      <c r="K69" s="132"/>
      <c r="L69" s="676" t="s">
        <v>432</v>
      </c>
      <c r="P69" s="1004"/>
      <c r="U69" s="706"/>
      <c r="V69" s="707"/>
      <c r="X69" s="664" t="s">
        <v>432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432</v>
      </c>
      <c r="U70" s="706"/>
      <c r="V70" s="707"/>
      <c r="X70" s="664" t="s">
        <v>432</v>
      </c>
      <c r="Y70" s="462"/>
      <c r="Z70" s="49"/>
      <c r="AA70" s="132" t="s">
        <v>413</v>
      </c>
      <c r="AB70" s="49"/>
      <c r="AC70" s="551" t="str">
        <f t="shared" si="10"/>
        <v/>
      </c>
      <c r="AD70" s="901"/>
    </row>
    <row r="71" spans="1:36" ht="11.25" customHeight="1">
      <c r="A71" s="611">
        <v>5</v>
      </c>
      <c r="B71" s="108" t="s">
        <v>435</v>
      </c>
      <c r="C71" s="109"/>
      <c r="F71" s="99" t="s">
        <v>455</v>
      </c>
      <c r="G71" s="1"/>
      <c r="H71" s="1"/>
      <c r="I71" s="1"/>
      <c r="J71" s="262" t="s">
        <v>437</v>
      </c>
      <c r="K71" s="395"/>
      <c r="L71" s="676" t="s">
        <v>432</v>
      </c>
      <c r="U71" s="706"/>
      <c r="V71" s="707"/>
      <c r="X71" s="664" t="s">
        <v>432</v>
      </c>
      <c r="Y71" s="462"/>
      <c r="Z71" s="49"/>
      <c r="AA71" s="462" t="str">
        <f>IF(S37="","",S37)</f>
        <v>Large:</v>
      </c>
      <c r="AB71" s="1186"/>
      <c r="AC71" s="551" t="str">
        <f t="shared" si="10"/>
        <v/>
      </c>
      <c r="AD71" s="1051" t="str">
        <f>IF(T37="","",T37)</f>
        <v/>
      </c>
      <c r="AE71" s="555" t="s">
        <v>745</v>
      </c>
    </row>
    <row r="72" spans="1:36" ht="11.25" customHeight="1">
      <c r="A72" s="611">
        <v>6</v>
      </c>
      <c r="B72" s="110" t="s">
        <v>48</v>
      </c>
      <c r="C72" s="111"/>
      <c r="D72" s="50" t="s">
        <v>456</v>
      </c>
      <c r="J72" s="114" t="str">
        <f t="shared" ref="J72:K75" si="11">J468</f>
        <v>TBD</v>
      </c>
      <c r="K72" s="343" t="str">
        <f t="shared" si="11"/>
        <v/>
      </c>
      <c r="L72" s="676" t="s">
        <v>432</v>
      </c>
      <c r="U72" s="706"/>
      <c r="V72" s="707"/>
      <c r="X72" s="664" t="s">
        <v>432</v>
      </c>
      <c r="Y72" s="462"/>
      <c r="Z72" s="49"/>
      <c r="AA72" s="462" t="str">
        <f>IF(S38="","",S38)</f>
        <v>Small:</v>
      </c>
      <c r="AB72" s="1186"/>
      <c r="AC72" s="551" t="str">
        <f t="shared" si="10"/>
        <v/>
      </c>
      <c r="AD72" s="1051" t="str">
        <f>IF(T38="","",T38)</f>
        <v/>
      </c>
      <c r="AE72" s="555" t="s">
        <v>746</v>
      </c>
    </row>
    <row r="73" spans="1:36" ht="11.25" customHeight="1">
      <c r="A73" s="611">
        <v>7</v>
      </c>
      <c r="B73" s="110"/>
      <c r="C73" s="128"/>
      <c r="D73" s="50" t="s">
        <v>457</v>
      </c>
      <c r="J73" s="114" t="str">
        <f t="shared" si="11"/>
        <v>NA</v>
      </c>
      <c r="K73" s="343" t="str">
        <f t="shared" si="11"/>
        <v/>
      </c>
      <c r="L73" s="676" t="s">
        <v>432</v>
      </c>
      <c r="U73" s="706"/>
      <c r="V73" s="707"/>
      <c r="X73" s="664" t="s">
        <v>432</v>
      </c>
      <c r="Y73" s="462"/>
      <c r="Z73" s="49"/>
      <c r="AA73" s="462" t="str">
        <f>IF(S39="","",S39)</f>
        <v>Micro:</v>
      </c>
      <c r="AB73" s="1186"/>
      <c r="AC73" s="551" t="str">
        <f t="shared" si="10"/>
        <v/>
      </c>
      <c r="AD73" s="1051" t="str">
        <f>IF(T39="","",T39)</f>
        <v/>
      </c>
      <c r="AE73" s="555" t="s">
        <v>747</v>
      </c>
    </row>
    <row r="74" spans="1:36" ht="11.25" customHeight="1" thickBot="1">
      <c r="A74" s="611">
        <v>8</v>
      </c>
      <c r="B74" s="110" t="s">
        <v>49</v>
      </c>
      <c r="C74" s="111"/>
      <c r="D74" s="50" t="s">
        <v>458</v>
      </c>
      <c r="E74" s="50"/>
      <c r="F74" s="50"/>
      <c r="G74" s="50"/>
      <c r="H74" s="50"/>
      <c r="I74" s="50"/>
      <c r="J74" s="114" t="str">
        <f t="shared" si="11"/>
        <v>TBD</v>
      </c>
      <c r="K74" s="343" t="str">
        <f t="shared" si="11"/>
        <v/>
      </c>
      <c r="L74" s="676" t="s">
        <v>432</v>
      </c>
      <c r="U74" s="708"/>
      <c r="V74" s="709"/>
      <c r="X74" s="664" t="s">
        <v>432</v>
      </c>
      <c r="Y74" s="462"/>
      <c r="Z74" s="49"/>
    </row>
    <row r="75" spans="1:36" ht="11.25" customHeight="1" thickTop="1">
      <c r="A75" s="611">
        <v>9</v>
      </c>
      <c r="B75" s="110" t="s">
        <v>1065</v>
      </c>
      <c r="C75" s="111"/>
      <c r="D75" s="50" t="s">
        <v>459</v>
      </c>
      <c r="E75" s="49"/>
      <c r="F75" s="49"/>
      <c r="G75" s="49"/>
      <c r="H75" s="49"/>
      <c r="I75" s="49"/>
      <c r="J75" s="114" t="str">
        <f t="shared" si="11"/>
        <v>TBD</v>
      </c>
      <c r="K75" s="343" t="str">
        <f t="shared" si="11"/>
        <v/>
      </c>
      <c r="L75" s="676" t="s">
        <v>432</v>
      </c>
      <c r="X75" s="664" t="s">
        <v>432</v>
      </c>
      <c r="Y75" s="462"/>
      <c r="Z75" s="49"/>
      <c r="AA75" s="132" t="s">
        <v>421</v>
      </c>
      <c r="AB75" s="49"/>
      <c r="AC75" s="551" t="str">
        <f t="shared" ref="AC75:AC86" si="12">IF(AND(OR(AB75="",AB75=0),OR(AD75="",AD75=0)),"",IF(AB75&lt;&gt;AD75,"Change",""))</f>
        <v/>
      </c>
      <c r="AD75" s="901"/>
    </row>
    <row r="76" spans="1:36" ht="11.25" customHeight="1">
      <c r="A76" s="611">
        <v>10</v>
      </c>
      <c r="B76" s="110" t="s">
        <v>1187</v>
      </c>
      <c r="C76" s="111"/>
      <c r="D76" s="50" t="s">
        <v>460</v>
      </c>
      <c r="E76" s="49"/>
      <c r="F76" s="49"/>
      <c r="G76" s="49"/>
      <c r="H76" s="49"/>
      <c r="I76" s="49"/>
      <c r="J76" s="114" t="str">
        <f>IF(OR(K472="NO",G482="NO"),"",G482)</f>
        <v/>
      </c>
      <c r="K76" s="343" t="str">
        <f>IF(OR(K472="NO",G482="NO"),"NO","")</f>
        <v/>
      </c>
      <c r="L76" s="676" t="s">
        <v>432</v>
      </c>
      <c r="M76" s="1"/>
      <c r="N76" s="1"/>
      <c r="O76" s="1"/>
      <c r="P76" s="1"/>
      <c r="Q76" s="1"/>
      <c r="R76" s="1"/>
      <c r="S76" s="1"/>
      <c r="T76" s="1"/>
      <c r="U76" s="1"/>
      <c r="V76" s="1"/>
      <c r="W76" s="131" t="str">
        <f>$F$2</f>
        <v>Medical University of South Carolina</v>
      </c>
      <c r="X76" s="664" t="s">
        <v>432</v>
      </c>
      <c r="Y76" s="462"/>
      <c r="Z76" s="49"/>
      <c r="AA76" s="462" t="str">
        <f>IF(S41="","",S41)</f>
        <v>Inherent:</v>
      </c>
      <c r="AB76" s="1186"/>
      <c r="AC76" s="551" t="str">
        <f t="shared" si="12"/>
        <v/>
      </c>
      <c r="AD76" s="1033" t="str">
        <f>IF(T41="","",T41)</f>
        <v/>
      </c>
      <c r="AE76" s="555" t="s">
        <v>748</v>
      </c>
    </row>
    <row r="77" spans="1:36" ht="11.25" customHeight="1">
      <c r="A77" s="611">
        <v>11</v>
      </c>
      <c r="B77" s="110" t="s">
        <v>1188</v>
      </c>
      <c r="C77" s="111"/>
      <c r="D77" s="50" t="s">
        <v>461</v>
      </c>
      <c r="J77" s="114" t="str">
        <f>IF(J494="NO","",J494)</f>
        <v>TBD</v>
      </c>
      <c r="K77" s="343" t="str">
        <f>IF(J494="NO","NO","")</f>
        <v/>
      </c>
      <c r="L77" s="676" t="s">
        <v>432</v>
      </c>
      <c r="M77" s="1"/>
      <c r="N77" s="1"/>
      <c r="O77" s="1"/>
      <c r="P77" s="1"/>
      <c r="Q77" s="1"/>
      <c r="R77" s="1"/>
      <c r="S77" s="1"/>
      <c r="T77" s="1"/>
      <c r="U77" s="1"/>
      <c r="V77" s="1"/>
      <c r="W77" s="132" t="str">
        <f>$F$5</f>
        <v>Radiographic System Compliance Inspection</v>
      </c>
      <c r="X77" s="664" t="s">
        <v>432</v>
      </c>
      <c r="Y77" s="462"/>
      <c r="Z77" s="49"/>
      <c r="AA77" s="462" t="str">
        <f>IF(S42="","",S42)</f>
        <v>Added:</v>
      </c>
      <c r="AB77" s="1186"/>
      <c r="AC77" s="551" t="str">
        <f t="shared" si="12"/>
        <v/>
      </c>
      <c r="AD77" s="1033" t="str">
        <f>IF(T42="","",T42)</f>
        <v/>
      </c>
      <c r="AE77" s="555" t="s">
        <v>749</v>
      </c>
      <c r="AF77" s="667"/>
      <c r="AG77" s="667"/>
      <c r="AH77" s="667"/>
      <c r="AI77" s="667"/>
    </row>
    <row r="78" spans="1:36" ht="11.25" customHeight="1" thickBot="1">
      <c r="A78" s="611">
        <v>12</v>
      </c>
      <c r="B78" s="110" t="s">
        <v>9</v>
      </c>
      <c r="C78" s="111"/>
      <c r="D78" s="50" t="s">
        <v>462</v>
      </c>
      <c r="E78" s="49"/>
      <c r="F78" s="49"/>
      <c r="G78" s="49"/>
      <c r="H78" s="49"/>
      <c r="I78" s="49"/>
      <c r="J78" s="114" t="str">
        <f>IF(J506="NO","",J506)</f>
        <v>TBD</v>
      </c>
      <c r="K78" s="343" t="str">
        <f>IF(J506="NO","NO","")</f>
        <v/>
      </c>
      <c r="L78" s="676" t="s">
        <v>432</v>
      </c>
      <c r="M78" s="1"/>
      <c r="N78" s="665" t="s">
        <v>330</v>
      </c>
      <c r="O78" s="1"/>
      <c r="P78" s="1"/>
      <c r="Q78" s="1"/>
      <c r="R78" s="1"/>
      <c r="S78" s="1"/>
      <c r="T78" s="1"/>
      <c r="U78" s="1"/>
      <c r="V78" s="1"/>
      <c r="W78" s="1"/>
      <c r="X78" s="664" t="s">
        <v>432</v>
      </c>
      <c r="Y78" s="462"/>
      <c r="Z78" s="49"/>
      <c r="AA78" s="462" t="str">
        <f>IF(S43="","",S43)</f>
        <v/>
      </c>
      <c r="AB78" s="49"/>
      <c r="AC78" s="551" t="str">
        <f t="shared" si="12"/>
        <v/>
      </c>
      <c r="AD78" s="457"/>
      <c r="AF78" s="667"/>
      <c r="AG78" s="667"/>
      <c r="AH78" s="667"/>
      <c r="AI78" s="667"/>
    </row>
    <row r="79" spans="1:36" ht="11.25" customHeight="1" thickTop="1">
      <c r="A79" s="611">
        <v>13</v>
      </c>
      <c r="B79" s="110" t="s">
        <v>1066</v>
      </c>
      <c r="C79" s="111"/>
      <c r="D79" s="50" t="s">
        <v>31</v>
      </c>
      <c r="E79" s="49"/>
      <c r="F79" s="49"/>
      <c r="G79" s="49"/>
      <c r="H79" s="49"/>
      <c r="I79" s="49"/>
      <c r="J79" s="114" t="str">
        <f>IF($I$939="NO","",$I$939)</f>
        <v>TBD</v>
      </c>
      <c r="K79" s="343" t="str">
        <f>IF($I$939="NO","NO","")</f>
        <v/>
      </c>
      <c r="L79" s="676" t="s">
        <v>432</v>
      </c>
      <c r="M79" s="832">
        <f>IF(N79&lt;&gt;"",N79,IF($M$409=1,$M$421,IF(OR(AB233=0,AB233=""),10,AB233)))</f>
        <v>10</v>
      </c>
      <c r="N79" s="700" t="str">
        <f>M421</f>
        <v/>
      </c>
      <c r="O79" s="438" t="s">
        <v>289</v>
      </c>
      <c r="P79" s="298"/>
      <c r="Q79" s="298"/>
      <c r="R79" s="298"/>
      <c r="S79" s="298"/>
      <c r="T79" s="298"/>
      <c r="U79" s="298"/>
      <c r="V79" s="298"/>
      <c r="W79" s="299"/>
      <c r="X79" s="664" t="s">
        <v>432</v>
      </c>
      <c r="Y79" s="462"/>
      <c r="Z79" s="49"/>
      <c r="AA79" s="132" t="s">
        <v>427</v>
      </c>
      <c r="AB79" s="49"/>
      <c r="AC79" s="551" t="str">
        <f t="shared" si="12"/>
        <v/>
      </c>
      <c r="AD79" s="901"/>
      <c r="AF79" s="667"/>
      <c r="AG79" s="668"/>
      <c r="AH79" s="667"/>
      <c r="AI79" s="668"/>
    </row>
    <row r="80" spans="1:36" ht="11.25" customHeight="1">
      <c r="A80" s="611">
        <v>14</v>
      </c>
      <c r="B80" s="127"/>
      <c r="J80" s="129"/>
      <c r="K80" s="399"/>
      <c r="L80" s="676" t="s">
        <v>432</v>
      </c>
      <c r="M80" s="833">
        <f>IF(N80&lt;&gt;"",N80,IF(OR(AB234=0,AB234=""),200,AB234))</f>
        <v>400</v>
      </c>
      <c r="N80" s="701">
        <v>400</v>
      </c>
      <c r="O80" s="50" t="s">
        <v>290</v>
      </c>
      <c r="P80" s="1"/>
      <c r="Q80" s="1"/>
      <c r="R80" s="1"/>
      <c r="S80" s="1"/>
      <c r="T80" s="1"/>
      <c r="U80" s="1"/>
      <c r="V80" s="1"/>
      <c r="W80" s="39"/>
      <c r="X80" s="664" t="s">
        <v>432</v>
      </c>
      <c r="Y80" s="462"/>
      <c r="Z80" s="49"/>
      <c r="AA80" s="462" t="str">
        <f>IF(S45="","",S45)</f>
        <v>Film:</v>
      </c>
      <c r="AB80" s="1186"/>
      <c r="AC80" s="551" t="str">
        <f t="shared" si="12"/>
        <v/>
      </c>
      <c r="AD80" s="1033" t="str">
        <f>IF(T45="","",T45)</f>
        <v/>
      </c>
      <c r="AE80" s="555" t="s">
        <v>750</v>
      </c>
      <c r="AF80" s="667"/>
      <c r="AG80" s="668"/>
      <c r="AH80" s="667"/>
      <c r="AI80" s="668"/>
      <c r="AJ80" s="209"/>
    </row>
    <row r="81" spans="1:35" ht="11.25" customHeight="1">
      <c r="A81" s="611">
        <v>15</v>
      </c>
      <c r="B81" s="127"/>
      <c r="F81" s="99" t="s">
        <v>463</v>
      </c>
      <c r="J81" s="114"/>
      <c r="K81" s="343"/>
      <c r="L81" s="676" t="s">
        <v>432</v>
      </c>
      <c r="M81" s="833">
        <f>IF(N81&lt;&gt;"",N81,IF(OR(AB235=0,AB235=""),100,AB235))</f>
        <v>200</v>
      </c>
      <c r="N81" s="701">
        <v>200</v>
      </c>
      <c r="O81" s="50" t="s">
        <v>291</v>
      </c>
      <c r="P81" s="49"/>
      <c r="Q81" s="49"/>
      <c r="R81" s="107" t="s">
        <v>560</v>
      </c>
      <c r="S81" s="49"/>
      <c r="T81" s="49"/>
      <c r="U81" s="49"/>
      <c r="V81" s="49"/>
      <c r="W81" s="69"/>
      <c r="X81" s="664" t="s">
        <v>432</v>
      </c>
      <c r="Y81" s="457"/>
      <c r="Z81" s="49"/>
      <c r="AA81" s="462" t="str">
        <f>IF(S46="","",S46)</f>
        <v>Screen:</v>
      </c>
      <c r="AB81" s="1186"/>
      <c r="AC81" s="551" t="str">
        <f t="shared" si="12"/>
        <v/>
      </c>
      <c r="AD81" s="1033" t="str">
        <f>IF(T46="","",T46)</f>
        <v/>
      </c>
      <c r="AE81" s="555" t="s">
        <v>751</v>
      </c>
      <c r="AF81" s="667"/>
      <c r="AG81" s="667"/>
      <c r="AH81" s="667"/>
      <c r="AI81" s="667"/>
    </row>
    <row r="82" spans="1:35" ht="11.25" customHeight="1" thickBot="1">
      <c r="A82" s="611">
        <v>16</v>
      </c>
      <c r="B82" s="110"/>
      <c r="C82" s="128"/>
      <c r="D82" s="50" t="s">
        <v>464</v>
      </c>
      <c r="E82" s="50"/>
      <c r="F82" s="50"/>
      <c r="G82" s="50"/>
      <c r="H82" s="50"/>
      <c r="I82" s="50"/>
      <c r="J82" s="114" t="str">
        <f>IF($J$537="NO","",$J$537)</f>
        <v>NA</v>
      </c>
      <c r="K82" s="343" t="str">
        <f>IF($J$537="NO","NO","")</f>
        <v/>
      </c>
      <c r="L82" s="676" t="s">
        <v>432</v>
      </c>
      <c r="M82" s="127"/>
      <c r="N82" s="49"/>
      <c r="O82" s="49"/>
      <c r="P82" s="49"/>
      <c r="Q82" s="49"/>
      <c r="R82" s="49"/>
      <c r="S82" s="49"/>
      <c r="T82" s="49"/>
      <c r="U82" s="49"/>
      <c r="V82" s="49"/>
      <c r="W82" s="69"/>
      <c r="X82" s="664" t="s">
        <v>432</v>
      </c>
      <c r="Y82" s="457"/>
      <c r="Z82" s="49"/>
      <c r="AA82" s="54" t="s">
        <v>1150</v>
      </c>
      <c r="AB82" s="1186"/>
      <c r="AC82" s="551" t="str">
        <f t="shared" ref="AC82" si="13">IF(AND(OR(AB82="",AB82=0),OR(AD82="",AD82=0)),"",IF(AB82&lt;&gt;AD82,"Change",""))</f>
        <v>Change</v>
      </c>
      <c r="AD82" s="1051">
        <f>IF(M52="","",M52)</f>
        <v>2</v>
      </c>
      <c r="AE82" s="555" t="s">
        <v>1151</v>
      </c>
      <c r="AF82" s="667"/>
      <c r="AG82" s="667"/>
      <c r="AH82" s="667"/>
      <c r="AI82" s="667"/>
    </row>
    <row r="83" spans="1:35" ht="11.25" customHeight="1" thickTop="1">
      <c r="A83" s="611">
        <v>17</v>
      </c>
      <c r="B83" s="110" t="s">
        <v>1068</v>
      </c>
      <c r="C83" s="111"/>
      <c r="D83" s="50" t="s">
        <v>1069</v>
      </c>
      <c r="E83" s="49"/>
      <c r="F83" s="49"/>
      <c r="G83" s="49"/>
      <c r="H83" s="49"/>
      <c r="I83" s="49"/>
      <c r="J83" s="114" t="str">
        <f>IF($J$547="NO","",$J$547)</f>
        <v>TBD</v>
      </c>
      <c r="K83" s="343" t="str">
        <f>IF($J$547="NO","NO","")</f>
        <v/>
      </c>
      <c r="L83" s="676" t="s">
        <v>432</v>
      </c>
      <c r="M83" s="449" t="s">
        <v>561</v>
      </c>
      <c r="N83" s="446" t="str">
        <f>IF(AND($T$32="",$T$45=""),"??",IF(OR($T$32="",$U$54=2,$U$54="LAT",$U$54="LATERAL"),$T$45,$T$32))&amp;IF(AND(T33="",T46=""),""," / ")&amp;IF(OR($T$33="",$U$54=2,$U$54="LAT",$U$54="LATERAL"),$T$46,$T$33)</f>
        <v>??</v>
      </c>
      <c r="O83" s="450"/>
      <c r="P83" s="113"/>
      <c r="Q83" s="113"/>
      <c r="R83" s="113"/>
      <c r="S83" s="121"/>
      <c r="T83" s="448" t="s">
        <v>394</v>
      </c>
      <c r="U83" s="1091" t="str">
        <f>IF($O$8="","",$O$8)</f>
        <v/>
      </c>
      <c r="V83" s="80"/>
      <c r="W83" s="69"/>
      <c r="X83" s="664" t="s">
        <v>432</v>
      </c>
      <c r="Y83" s="457"/>
      <c r="Z83" s="457"/>
      <c r="AA83" s="462" t="s">
        <v>466</v>
      </c>
      <c r="AB83" s="1186"/>
      <c r="AC83" s="551" t="str">
        <f t="shared" si="12"/>
        <v>Change</v>
      </c>
      <c r="AD83" s="1051">
        <f>IF(M53="","",M53)</f>
        <v>2</v>
      </c>
      <c r="AE83" s="555" t="s">
        <v>752</v>
      </c>
      <c r="AG83" s="667"/>
      <c r="AH83" s="667"/>
      <c r="AI83" s="667"/>
    </row>
    <row r="84" spans="1:35" ht="11.25" customHeight="1">
      <c r="A84" s="611">
        <v>18</v>
      </c>
      <c r="B84" s="110" t="s">
        <v>1064</v>
      </c>
      <c r="C84" s="111"/>
      <c r="D84" s="50" t="s">
        <v>465</v>
      </c>
      <c r="E84" s="49"/>
      <c r="F84" s="49"/>
      <c r="G84" s="49"/>
      <c r="H84" s="49"/>
      <c r="I84" s="49"/>
      <c r="J84" s="114" t="str">
        <f>IF(OR($H$560="NO",$I$560="NO",$H$561="NO",$I$561="NO"),"",IF(OR($H$560="NA",$I$560="NA"),"NA",IF(OR($H$560="TBD",$I$560="TBD",$H$561="TBD",$I$561="TBD"),"TBD","YES")))</f>
        <v>NA</v>
      </c>
      <c r="K84" s="343" t="str">
        <f>IF(OR($H$560="NO",$I$560="NO",$H$561="NO",$I$561="NO"),"NO","")</f>
        <v/>
      </c>
      <c r="L84" s="676" t="s">
        <v>432</v>
      </c>
      <c r="M84" s="66"/>
      <c r="N84" s="49"/>
      <c r="O84" s="49"/>
      <c r="P84" s="117" t="s">
        <v>562</v>
      </c>
      <c r="Q84" s="49"/>
      <c r="R84" s="49"/>
      <c r="S84" s="49"/>
      <c r="T84" s="49"/>
      <c r="U84" s="1092" t="s">
        <v>563</v>
      </c>
      <c r="V84" s="71"/>
      <c r="W84" s="69"/>
      <c r="X84" s="664" t="s">
        <v>432</v>
      </c>
      <c r="Y84" s="457"/>
      <c r="Z84" s="457"/>
      <c r="AA84" s="54" t="s">
        <v>468</v>
      </c>
      <c r="AB84" s="1186"/>
      <c r="AC84" s="551" t="str">
        <f t="shared" si="12"/>
        <v>Change</v>
      </c>
      <c r="AD84" s="1051">
        <f>IF(U54="","",U54)</f>
        <v>1</v>
      </c>
      <c r="AE84" s="555" t="s">
        <v>753</v>
      </c>
      <c r="AF84" s="667"/>
      <c r="AG84" s="668"/>
      <c r="AH84" s="667"/>
      <c r="AI84" s="668"/>
    </row>
    <row r="85" spans="1:35" ht="11.25" customHeight="1">
      <c r="A85" s="611">
        <v>19</v>
      </c>
      <c r="B85" s="110" t="s">
        <v>1067</v>
      </c>
      <c r="C85" s="111"/>
      <c r="D85" s="50" t="s">
        <v>467</v>
      </c>
      <c r="J85" s="114" t="str">
        <f>IF(OR($J$560="NO",$K$560="NO",$J$561="NO",$K$561="NO"),"",IF(OR($J$560="NA",$K$560="NA"),"NA",IF(OR($J$560="TBD",$K$560="TBD",$J$561="TBD",$K$561="TBD"),"TBD","YES")))</f>
        <v>NA</v>
      </c>
      <c r="K85" s="343" t="str">
        <f>IF(OR($J$560="NO",$K$560="NO",$J$561="NO",$K$561="NO"),"NO","")</f>
        <v/>
      </c>
      <c r="L85" s="676" t="s">
        <v>432</v>
      </c>
      <c r="M85" s="123"/>
      <c r="N85" s="117"/>
      <c r="O85" s="117" t="s">
        <v>533</v>
      </c>
      <c r="P85" s="117" t="s">
        <v>564</v>
      </c>
      <c r="Q85" s="117" t="s">
        <v>565</v>
      </c>
      <c r="R85" s="117"/>
      <c r="S85" s="117"/>
      <c r="T85" s="117"/>
      <c r="U85" s="117" t="s">
        <v>566</v>
      </c>
      <c r="V85" s="69" t="s">
        <v>1090</v>
      </c>
      <c r="W85" s="69"/>
      <c r="X85" s="664" t="s">
        <v>432</v>
      </c>
      <c r="Y85" s="457"/>
      <c r="Z85" s="457"/>
      <c r="AA85" s="54"/>
      <c r="AB85" s="49"/>
      <c r="AC85" s="551" t="str">
        <f t="shared" si="12"/>
        <v/>
      </c>
      <c r="AD85" s="457"/>
      <c r="AF85" s="669"/>
      <c r="AH85" s="667"/>
      <c r="AI85" s="668"/>
    </row>
    <row r="86" spans="1:35" ht="11.25" customHeight="1">
      <c r="A86" s="611">
        <v>20</v>
      </c>
      <c r="B86" s="110" t="s">
        <v>1189</v>
      </c>
      <c r="C86" s="111"/>
      <c r="D86" s="50" t="s">
        <v>0</v>
      </c>
      <c r="E86" s="49"/>
      <c r="F86" s="49"/>
      <c r="G86" s="49"/>
      <c r="H86" s="49"/>
      <c r="I86" s="49"/>
      <c r="J86" s="114" t="str">
        <f>IF(AND($I$575="NA",$J$575="NA"),"NA",IF(OR($I$575="TBD",$J$575="TBD",$I$576="TBD",$J$576="TBD"),"TBD",IF(OR($I$575="NO",$J$575="NO",$I$576="NO",$J$576="NO"),"","YES")))</f>
        <v>NA</v>
      </c>
      <c r="K86" s="343" t="str">
        <f>IF(OR($I$575="NO",$J$575="NO",$I$576="NO",$J$576="NO"),"NO","")</f>
        <v/>
      </c>
      <c r="L86" s="676" t="s">
        <v>432</v>
      </c>
      <c r="M86" s="124" t="s">
        <v>568</v>
      </c>
      <c r="N86" s="118" t="s">
        <v>569</v>
      </c>
      <c r="O86" s="118" t="s">
        <v>570</v>
      </c>
      <c r="P86" s="118" t="s">
        <v>571</v>
      </c>
      <c r="Q86" s="118" t="s">
        <v>570</v>
      </c>
      <c r="R86" s="118" t="s">
        <v>486</v>
      </c>
      <c r="S86" s="8" t="str">
        <f>IF(MIN($U$694:$U$701)&gt;0,LFMAS,IF(MIN($U$712:$U$717)&gt;0,SFMAS,"mA/mAs"))</f>
        <v>mA/mAs</v>
      </c>
      <c r="T86" s="118" t="s">
        <v>572</v>
      </c>
      <c r="U86" s="118" t="s">
        <v>1083</v>
      </c>
      <c r="V86" s="69" t="s">
        <v>1091</v>
      </c>
      <c r="W86" s="69" t="s">
        <v>596</v>
      </c>
      <c r="X86" s="664" t="s">
        <v>432</v>
      </c>
      <c r="Y86" s="457"/>
      <c r="Z86" s="457"/>
      <c r="AA86" s="54" t="s">
        <v>471</v>
      </c>
      <c r="AB86" s="1186"/>
      <c r="AC86" s="551" t="str">
        <f t="shared" si="12"/>
        <v>Change</v>
      </c>
      <c r="AD86" s="1053">
        <f>IF(M469="","",M469)</f>
        <v>3</v>
      </c>
      <c r="AE86" s="555" t="s">
        <v>754</v>
      </c>
      <c r="AF86" s="670"/>
      <c r="AG86" s="667"/>
      <c r="AH86" s="667"/>
      <c r="AI86" s="667"/>
    </row>
    <row r="87" spans="1:35" ht="11.25" customHeight="1">
      <c r="A87" s="611">
        <v>21</v>
      </c>
      <c r="B87" s="110"/>
      <c r="C87" s="111"/>
      <c r="D87" s="50" t="s">
        <v>470</v>
      </c>
      <c r="E87" s="49"/>
      <c r="F87" s="49"/>
      <c r="G87" s="49"/>
      <c r="H87" s="49"/>
      <c r="I87" s="49"/>
      <c r="J87" s="114" t="str">
        <f>J586</f>
        <v>TBD</v>
      </c>
      <c r="K87" s="343" t="str">
        <f>K586</f>
        <v/>
      </c>
      <c r="L87" s="676" t="s">
        <v>432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432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432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432</v>
      </c>
      <c r="Y88" s="457"/>
      <c r="Z88" s="457"/>
      <c r="AA88" s="132" t="s">
        <v>1143</v>
      </c>
      <c r="AB88" s="1186"/>
      <c r="AC88" s="551" t="str">
        <f t="shared" ref="AC88:AC90" si="25">IF(AND(OR(AB88="",AB88=0),OR(AD88="",AD88=0)),"",IF(AB88&lt;&gt;AD88,"Change",""))</f>
        <v/>
      </c>
      <c r="AD88" s="1053" t="str">
        <f>IF(Q482="","",Q482)</f>
        <v/>
      </c>
      <c r="AE88" s="555" t="s">
        <v>1144</v>
      </c>
      <c r="AG88" s="671"/>
      <c r="AH88" s="668"/>
      <c r="AI88" s="667"/>
    </row>
    <row r="89" spans="1:35" ht="11.25" customHeight="1">
      <c r="A89" s="611">
        <v>23</v>
      </c>
      <c r="B89" s="127"/>
      <c r="K89" s="343"/>
      <c r="L89" s="676" t="s">
        <v>432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432</v>
      </c>
      <c r="Y89" s="457"/>
      <c r="Z89" s="457"/>
      <c r="AA89" s="462"/>
      <c r="AB89" s="1186"/>
      <c r="AC89" s="551" t="str">
        <f t="shared" si="25"/>
        <v/>
      </c>
      <c r="AD89" s="1053" t="str">
        <f>IF(Q483="","",Q483)</f>
        <v/>
      </c>
      <c r="AE89" s="49" t="s">
        <v>1145</v>
      </c>
      <c r="AF89" s="667"/>
      <c r="AG89" s="557"/>
      <c r="AH89" s="668"/>
      <c r="AI89" s="668"/>
    </row>
    <row r="90" spans="1:35" ht="11.25" customHeight="1">
      <c r="A90" s="611">
        <v>24</v>
      </c>
      <c r="B90" s="127"/>
      <c r="J90" s="129"/>
      <c r="K90" s="399"/>
      <c r="L90" s="676" t="s">
        <v>432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432</v>
      </c>
      <c r="Y90" s="457"/>
      <c r="Z90" s="457"/>
      <c r="AB90" s="1186"/>
      <c r="AC90" s="551" t="str">
        <f t="shared" si="25"/>
        <v/>
      </c>
      <c r="AD90" s="1053" t="str">
        <f>IF(Q484="","",Q484)</f>
        <v/>
      </c>
      <c r="AE90" s="555" t="s">
        <v>1146</v>
      </c>
      <c r="AF90" s="667"/>
      <c r="AG90" s="668"/>
      <c r="AH90" s="667"/>
      <c r="AI90" s="668"/>
    </row>
    <row r="91" spans="1:35" ht="11.25" customHeight="1">
      <c r="A91" s="611">
        <v>25</v>
      </c>
      <c r="B91" s="127"/>
      <c r="F91" s="99" t="s">
        <v>474</v>
      </c>
      <c r="J91" s="114"/>
      <c r="K91" s="343"/>
      <c r="L91" s="676" t="s">
        <v>432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432</v>
      </c>
      <c r="Y91" s="457"/>
      <c r="Z91" s="457"/>
      <c r="AF91" s="667"/>
      <c r="AG91" s="667"/>
      <c r="AH91" s="667"/>
      <c r="AI91" s="667"/>
    </row>
    <row r="92" spans="1:35" ht="11.25" customHeight="1">
      <c r="A92" s="611">
        <v>26</v>
      </c>
      <c r="B92" s="110" t="s">
        <v>1068</v>
      </c>
      <c r="C92" s="111"/>
      <c r="D92" s="50" t="s">
        <v>1069</v>
      </c>
      <c r="E92" s="49"/>
      <c r="F92" s="49"/>
      <c r="G92" s="49"/>
      <c r="H92" s="49"/>
      <c r="I92" s="49"/>
      <c r="J92" s="114" t="str">
        <f>IF($J$608="NO","",$J$608)</f>
        <v>TBD</v>
      </c>
      <c r="K92" s="343" t="str">
        <f>IF($J$608="NO","NO","")</f>
        <v/>
      </c>
      <c r="L92" s="676" t="s">
        <v>432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432</v>
      </c>
      <c r="Y92" s="457"/>
      <c r="Z92" s="457"/>
      <c r="AA92" s="54" t="s">
        <v>472</v>
      </c>
      <c r="AB92" s="1187"/>
      <c r="AC92" s="551" t="str">
        <f t="shared" ref="AC92:AC124" si="26">IF(AND(OR(AB92="",AB92=0),OR(AD92="",AD92=0)),"",IF(AB92&lt;&gt;AD92,"Change",""))</f>
        <v/>
      </c>
      <c r="AD92" s="1054" t="str">
        <f>IF(Q494="","",Q494)</f>
        <v/>
      </c>
      <c r="AE92" s="555" t="s">
        <v>755</v>
      </c>
      <c r="AF92" s="667"/>
      <c r="AG92" s="667"/>
      <c r="AH92" s="667"/>
      <c r="AI92" s="667"/>
    </row>
    <row r="93" spans="1:35" ht="11.25" customHeight="1">
      <c r="A93" s="611">
        <v>27</v>
      </c>
      <c r="B93" s="110" t="s">
        <v>1064</v>
      </c>
      <c r="C93" s="111"/>
      <c r="D93" s="50" t="s">
        <v>465</v>
      </c>
      <c r="E93" s="49"/>
      <c r="F93" s="49"/>
      <c r="G93" s="49"/>
      <c r="H93" s="49"/>
      <c r="I93" s="49"/>
      <c r="J93" s="114" t="str">
        <f>IF(OR($H$622="NO",$I$622="NO",$H$623="NO",$I$623="NO"),"",IF(OR($H$622="NA",$I$622="NA"),"NA",IF(OR($H$622="TBD",$I$622="TBD",$H$623="TBD",$I$623="TBD"),"TBD","YES")))</f>
        <v>NA</v>
      </c>
      <c r="K93" s="343" t="str">
        <f>IF(OR($H$622="NO",$I$622="NO",$H$623="NO",$I$623="NO"),"NO","")</f>
        <v/>
      </c>
      <c r="L93" s="676" t="s">
        <v>432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432</v>
      </c>
      <c r="Y93" s="457"/>
      <c r="Z93" s="457"/>
      <c r="AA93" s="54" t="s">
        <v>473</v>
      </c>
      <c r="AB93" s="1187"/>
      <c r="AC93" s="551" t="str">
        <f t="shared" si="26"/>
        <v/>
      </c>
      <c r="AD93" s="1054" t="str">
        <f>IF(R494="","",R494)</f>
        <v/>
      </c>
      <c r="AE93" s="555" t="s">
        <v>756</v>
      </c>
      <c r="AF93" s="667"/>
      <c r="AG93" s="668"/>
      <c r="AH93" s="667"/>
      <c r="AI93" s="667"/>
    </row>
    <row r="94" spans="1:35" ht="11.25" customHeight="1">
      <c r="A94" s="611">
        <v>28</v>
      </c>
      <c r="B94" s="110" t="s">
        <v>1067</v>
      </c>
      <c r="C94" s="111"/>
      <c r="D94" s="50" t="s">
        <v>467</v>
      </c>
      <c r="J94" s="114" t="str">
        <f>IF(OR($J$622="NO",$K$622="NO",$J$623="NO",$K$623="NO"),"",IF(OR($J$622="NA",$K$622="NA"),"NA",IF(OR($J$622="TBD",$K$622="TBD",$J$623="TBD",$K$623="TBD"),"TBD","YES")))</f>
        <v>NA</v>
      </c>
      <c r="K94" s="343" t="str">
        <f>IF(OR($J$622="NO",$K$622="NO",$J$623="NO",$K$623="NO"),"NO","")</f>
        <v/>
      </c>
      <c r="L94" s="676" t="s">
        <v>432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432</v>
      </c>
      <c r="Y94" s="457"/>
      <c r="Z94" s="457"/>
      <c r="AA94" s="457"/>
      <c r="AB94" s="49"/>
      <c r="AC94" s="551" t="str">
        <f t="shared" si="26"/>
        <v/>
      </c>
      <c r="AD94" s="457"/>
      <c r="AE94" s="457"/>
      <c r="AF94" s="667"/>
      <c r="AG94" s="668"/>
      <c r="AH94" s="667"/>
      <c r="AI94" s="668"/>
    </row>
    <row r="95" spans="1:35" ht="11.25" customHeight="1">
      <c r="A95" s="611">
        <v>29</v>
      </c>
      <c r="B95" s="110" t="s">
        <v>1189</v>
      </c>
      <c r="C95" s="111"/>
      <c r="D95" s="50" t="s">
        <v>469</v>
      </c>
      <c r="E95" s="49"/>
      <c r="F95" s="49"/>
      <c r="G95" s="49"/>
      <c r="H95" s="49"/>
      <c r="I95" s="49"/>
      <c r="J95" s="114" t="str">
        <f>IF(AND($J$637="NA",$K$637="NA"),"NA",IF(OR($J$637="TBD",$K$637="TBD",$J$638="TBD",$K$638="TBD"),"TBD",IF(OR($J$637="NO",$K$637="NO",$J$638="NO",$K$638="NO"),"","YES")))</f>
        <v>NA</v>
      </c>
      <c r="K95" s="343" t="str">
        <f>IF(OR($J$637="NO",$K$637="NO",$J$638="NO",$K$638="NO"),"NO","")</f>
        <v/>
      </c>
      <c r="L95" s="676" t="s">
        <v>432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432</v>
      </c>
      <c r="Y95" s="457"/>
      <c r="Z95" s="457"/>
      <c r="AA95" s="132" t="s">
        <v>463</v>
      </c>
      <c r="AB95" s="49"/>
      <c r="AC95" s="551" t="str">
        <f t="shared" si="26"/>
        <v/>
      </c>
      <c r="AD95" s="457"/>
      <c r="AF95" s="667"/>
      <c r="AG95" s="667"/>
      <c r="AH95" s="667"/>
      <c r="AI95" s="668"/>
    </row>
    <row r="96" spans="1:35" ht="11.25" customHeight="1">
      <c r="A96" s="611">
        <v>30</v>
      </c>
      <c r="B96" s="110"/>
      <c r="C96" s="111"/>
      <c r="D96" s="50" t="s">
        <v>470</v>
      </c>
      <c r="E96" s="49"/>
      <c r="F96" s="49"/>
      <c r="G96" s="49"/>
      <c r="H96" s="49"/>
      <c r="I96" s="49"/>
      <c r="J96" s="114" t="str">
        <f>J649</f>
        <v>TBD</v>
      </c>
      <c r="K96" s="343" t="str">
        <f>K649</f>
        <v/>
      </c>
      <c r="L96" s="676" t="s">
        <v>432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432</v>
      </c>
      <c r="Y96" s="457"/>
      <c r="Z96" s="462"/>
      <c r="AA96" s="49" t="s">
        <v>475</v>
      </c>
      <c r="AB96" s="1186"/>
      <c r="AC96" s="551" t="str">
        <f t="shared" si="26"/>
        <v/>
      </c>
      <c r="AD96" s="1053" t="str">
        <f>M409</f>
        <v/>
      </c>
      <c r="AE96" s="557" t="s">
        <v>351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432</v>
      </c>
      <c r="M97" s="66"/>
      <c r="N97" s="49"/>
      <c r="P97" s="49"/>
      <c r="Q97" s="49"/>
      <c r="R97" s="49"/>
      <c r="S97" s="49"/>
      <c r="T97" s="49"/>
      <c r="U97" s="49"/>
      <c r="V97" s="71"/>
      <c r="W97" s="69"/>
      <c r="X97" s="664" t="s">
        <v>432</v>
      </c>
      <c r="Y97" s="457"/>
      <c r="Z97" s="462"/>
      <c r="AA97" s="54" t="s">
        <v>476</v>
      </c>
      <c r="AB97" s="1186"/>
      <c r="AC97" s="551" t="str">
        <f t="shared" si="26"/>
        <v/>
      </c>
      <c r="AD97" s="1053" t="str">
        <f>M410</f>
        <v/>
      </c>
      <c r="AE97" s="557" t="s">
        <v>352</v>
      </c>
      <c r="AF97" s="667"/>
      <c r="AG97" s="667"/>
      <c r="AH97" s="667"/>
      <c r="AI97" s="667"/>
    </row>
    <row r="98" spans="1:35" ht="11.25" customHeight="1">
      <c r="A98" s="611">
        <v>32</v>
      </c>
      <c r="B98" s="127"/>
      <c r="K98" s="71"/>
      <c r="L98" s="676" t="s">
        <v>432</v>
      </c>
      <c r="M98" s="127"/>
      <c r="N98" s="577" t="s">
        <v>573</v>
      </c>
      <c r="O98" s="713" t="str">
        <f>IF(O100&lt;&gt;"",O100,IF(OR(AB452=0,AB452=""),"",AB452))</f>
        <v/>
      </c>
      <c r="P98" s="48"/>
      <c r="Q98" s="48"/>
      <c r="R98" s="48"/>
      <c r="S98" s="48"/>
      <c r="T98" s="48"/>
      <c r="U98" s="48"/>
      <c r="V98" s="71"/>
      <c r="W98" s="69"/>
      <c r="X98" s="664" t="s">
        <v>432</v>
      </c>
      <c r="Y98" s="457"/>
      <c r="Z98" s="462"/>
      <c r="AA98" s="462"/>
      <c r="AB98" s="49"/>
      <c r="AC98" s="551" t="str">
        <f t="shared" si="26"/>
        <v/>
      </c>
      <c r="AD98" s="457"/>
      <c r="AF98" s="667"/>
      <c r="AG98" s="668"/>
      <c r="AH98" s="667"/>
      <c r="AI98" s="667"/>
    </row>
    <row r="99" spans="1:35" ht="11.25" customHeight="1">
      <c r="A99" s="611">
        <v>33</v>
      </c>
      <c r="B99" s="127"/>
      <c r="J99" s="129"/>
      <c r="K99" s="399"/>
      <c r="L99" s="676" t="s">
        <v>432</v>
      </c>
      <c r="M99" s="85"/>
      <c r="N99" s="609" t="s">
        <v>303</v>
      </c>
      <c r="O99" s="59"/>
      <c r="P99" s="921">
        <f>LEN(O98)</f>
        <v>0</v>
      </c>
      <c r="Q99" s="59"/>
      <c r="R99" s="59"/>
      <c r="S99" s="59"/>
      <c r="T99" s="59"/>
      <c r="U99" s="59"/>
      <c r="V99" s="71"/>
      <c r="W99" s="70"/>
      <c r="X99" s="664" t="s">
        <v>432</v>
      </c>
      <c r="Y99" s="457"/>
      <c r="Z99" s="462"/>
      <c r="AA99" s="132" t="s">
        <v>477</v>
      </c>
      <c r="AB99" s="49"/>
      <c r="AC99" s="551" t="str">
        <f t="shared" si="26"/>
        <v/>
      </c>
      <c r="AD99" s="457"/>
      <c r="AF99" s="667"/>
      <c r="AG99" s="668"/>
      <c r="AH99" s="667"/>
      <c r="AI99" s="668"/>
    </row>
    <row r="100" spans="1:35" ht="11.25" customHeight="1">
      <c r="A100" s="611">
        <v>34</v>
      </c>
      <c r="B100" s="127"/>
      <c r="F100" s="99" t="s">
        <v>481</v>
      </c>
      <c r="J100" s="114"/>
      <c r="K100" s="343"/>
      <c r="L100" s="676" t="s">
        <v>432</v>
      </c>
      <c r="M100" s="66"/>
      <c r="N100" s="1024" t="s">
        <v>640</v>
      </c>
      <c r="O100" s="1026"/>
      <c r="P100" s="48"/>
      <c r="Q100" s="48"/>
      <c r="R100" s="48"/>
      <c r="S100" s="48"/>
      <c r="T100" s="48"/>
      <c r="U100" s="48"/>
      <c r="V100" s="71"/>
      <c r="W100" s="69"/>
      <c r="X100" s="664" t="s">
        <v>432</v>
      </c>
      <c r="Y100" s="457"/>
      <c r="Z100" s="462"/>
      <c r="AA100" s="462" t="s">
        <v>478</v>
      </c>
      <c r="AB100" s="1186"/>
      <c r="AC100" s="551" t="str">
        <f t="shared" si="26"/>
        <v/>
      </c>
      <c r="AD100" s="1055" t="str">
        <f>P414</f>
        <v/>
      </c>
      <c r="AE100" s="557" t="s">
        <v>353</v>
      </c>
      <c r="AF100" s="667"/>
      <c r="AG100" s="667"/>
      <c r="AH100" s="667"/>
      <c r="AI100" s="668"/>
    </row>
    <row r="101" spans="1:35" ht="11.25" customHeight="1" thickBot="1">
      <c r="A101" s="611">
        <v>35</v>
      </c>
      <c r="B101" s="110" t="s">
        <v>1</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432</v>
      </c>
      <c r="M101" s="72"/>
      <c r="N101" s="73"/>
      <c r="O101" s="73"/>
      <c r="P101" s="73"/>
      <c r="Q101" s="73"/>
      <c r="R101" s="73"/>
      <c r="S101" s="73"/>
      <c r="T101" s="73"/>
      <c r="U101" s="73"/>
      <c r="V101" s="86"/>
      <c r="W101" s="69"/>
      <c r="X101" s="664" t="s">
        <v>432</v>
      </c>
      <c r="Y101" s="457"/>
      <c r="Z101" s="462"/>
      <c r="AA101" s="462" t="s">
        <v>479</v>
      </c>
      <c r="AB101" s="1186"/>
      <c r="AC101" s="551" t="str">
        <f t="shared" si="26"/>
        <v/>
      </c>
      <c r="AD101" s="1055" t="str">
        <f>Q414</f>
        <v/>
      </c>
      <c r="AE101" s="555" t="s">
        <v>354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432</v>
      </c>
      <c r="M102" s="66"/>
      <c r="N102" s="49"/>
      <c r="O102" s="49"/>
      <c r="P102" s="49"/>
      <c r="Q102" s="49"/>
      <c r="R102" s="49"/>
      <c r="S102" s="49"/>
      <c r="T102" s="49"/>
      <c r="U102" s="49"/>
      <c r="V102" s="49"/>
      <c r="W102" s="69"/>
      <c r="X102" s="664" t="s">
        <v>432</v>
      </c>
      <c r="Y102" s="457"/>
      <c r="Z102" s="462"/>
      <c r="AA102" s="132" t="s">
        <v>480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432</v>
      </c>
      <c r="M103" s="213"/>
      <c r="N103" s="37" t="str">
        <f>"Note:  "&amp;$M$79</f>
        <v>Note:  10</v>
      </c>
      <c r="O103" s="3" t="s">
        <v>292</v>
      </c>
      <c r="Q103" s="1"/>
      <c r="R103" s="1"/>
      <c r="S103" s="1"/>
      <c r="T103" s="1"/>
      <c r="U103" s="1"/>
      <c r="V103" s="1"/>
      <c r="W103" s="39"/>
      <c r="X103" s="664" t="s">
        <v>432</v>
      </c>
      <c r="Y103" s="457"/>
      <c r="Z103" s="462"/>
      <c r="AA103" s="462" t="s">
        <v>478</v>
      </c>
      <c r="AB103" s="1186"/>
      <c r="AC103" s="551" t="str">
        <f t="shared" si="26"/>
        <v/>
      </c>
      <c r="AD103" s="1055" t="str">
        <f>P415</f>
        <v/>
      </c>
      <c r="AE103" s="557" t="s">
        <v>355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432</v>
      </c>
      <c r="M104" s="45"/>
      <c r="N104" s="1"/>
      <c r="O104" s="1"/>
      <c r="P104" s="1"/>
      <c r="Q104" s="1"/>
      <c r="R104" s="1"/>
      <c r="S104" s="1"/>
      <c r="T104" s="1"/>
      <c r="U104" s="1"/>
      <c r="V104" s="1"/>
      <c r="W104" s="39"/>
      <c r="X104" s="664" t="s">
        <v>432</v>
      </c>
      <c r="Y104" s="457"/>
      <c r="AA104" s="462" t="s">
        <v>479</v>
      </c>
      <c r="AB104" s="1186"/>
      <c r="AC104" s="551" t="str">
        <f t="shared" si="26"/>
        <v/>
      </c>
      <c r="AD104" s="1055" t="str">
        <f>Q415</f>
        <v/>
      </c>
      <c r="AE104" s="555" t="s">
        <v>356</v>
      </c>
    </row>
    <row r="105" spans="1:35" ht="11.25" customHeight="1" thickBot="1">
      <c r="A105" s="611">
        <v>39</v>
      </c>
      <c r="B105" s="110" t="s">
        <v>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432</v>
      </c>
      <c r="M105" s="34"/>
      <c r="N105" s="289"/>
      <c r="O105" s="289"/>
      <c r="P105" s="289"/>
      <c r="Q105" s="289"/>
      <c r="R105" s="289"/>
      <c r="S105" s="289"/>
      <c r="T105" s="289"/>
      <c r="U105" s="289"/>
      <c r="V105" s="289"/>
      <c r="W105" s="290"/>
      <c r="X105" s="664" t="s">
        <v>432</v>
      </c>
      <c r="Y105" s="457"/>
      <c r="Z105" s="457"/>
      <c r="AB105" s="49"/>
      <c r="AC105" s="551" t="str">
        <f t="shared" si="26"/>
        <v/>
      </c>
      <c r="AD105" s="457"/>
    </row>
    <row r="106" spans="1:35" ht="11.25" customHeight="1" thickTop="1">
      <c r="A106" s="611">
        <v>40</v>
      </c>
      <c r="B106" s="110" t="s">
        <v>2</v>
      </c>
      <c r="C106" s="53"/>
      <c r="D106" s="50" t="str">
        <f t="shared" si="27"/>
        <v>Visible "beam on" indicator present and operational.</v>
      </c>
      <c r="F106" s="49"/>
      <c r="G106" s="49"/>
      <c r="H106" s="49"/>
      <c r="I106" s="49"/>
      <c r="J106" s="114" t="str">
        <f t="shared" si="28"/>
        <v>TBD</v>
      </c>
      <c r="K106" s="343" t="str">
        <f t="shared" si="29"/>
        <v/>
      </c>
      <c r="L106" s="676" t="s">
        <v>432</v>
      </c>
      <c r="M106" s="1"/>
      <c r="N106" s="1"/>
      <c r="O106" s="1"/>
      <c r="P106" s="1"/>
      <c r="Q106" s="1"/>
      <c r="R106" s="1"/>
      <c r="S106" s="1"/>
      <c r="T106" s="1"/>
      <c r="U106" s="1"/>
      <c r="V106" s="1"/>
      <c r="W106" s="1"/>
      <c r="X106" s="664" t="s">
        <v>432</v>
      </c>
      <c r="Y106" s="457"/>
      <c r="Z106" s="457"/>
      <c r="AA106" s="54" t="s">
        <v>482</v>
      </c>
      <c r="AB106" s="1187"/>
      <c r="AC106" s="551" t="str">
        <f t="shared" si="26"/>
        <v/>
      </c>
      <c r="AD106" s="1056" t="str">
        <f>M420</f>
        <v/>
      </c>
      <c r="AE106" s="555" t="s">
        <v>357</v>
      </c>
    </row>
    <row r="107" spans="1:35" ht="11.25" customHeight="1" thickBot="1">
      <c r="A107" s="611">
        <v>41</v>
      </c>
      <c r="B107" s="110" t="s">
        <v>1190</v>
      </c>
      <c r="C107" s="53"/>
      <c r="D107" s="50" t="str">
        <f t="shared" si="27"/>
        <v>Audible exposure end indicator present and operational.</v>
      </c>
      <c r="F107" s="49"/>
      <c r="G107" s="49"/>
      <c r="H107" s="49"/>
      <c r="I107" s="49"/>
      <c r="J107" s="114" t="str">
        <f t="shared" si="28"/>
        <v>TBD</v>
      </c>
      <c r="K107" s="343" t="str">
        <f t="shared" si="29"/>
        <v/>
      </c>
      <c r="L107" s="676" t="s">
        <v>432</v>
      </c>
      <c r="M107" s="1"/>
      <c r="X107" s="664" t="s">
        <v>432</v>
      </c>
      <c r="Y107" s="457"/>
      <c r="Z107" s="457"/>
      <c r="AA107" s="54" t="s">
        <v>483</v>
      </c>
      <c r="AB107" s="1187"/>
      <c r="AC107" s="551" t="str">
        <f t="shared" si="26"/>
        <v/>
      </c>
      <c r="AD107" s="1056" t="str">
        <f>M421</f>
        <v/>
      </c>
      <c r="AE107" s="555" t="s">
        <v>358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432</v>
      </c>
      <c r="V108" s="687" t="s">
        <v>387</v>
      </c>
      <c r="X108" s="664" t="s">
        <v>432</v>
      </c>
      <c r="Y108" s="457"/>
      <c r="Z108" s="457"/>
      <c r="AA108" s="50"/>
      <c r="AB108" s="49"/>
      <c r="AC108" s="551" t="str">
        <f t="shared" si="26"/>
        <v/>
      </c>
      <c r="AD108" s="457"/>
      <c r="AF108" s="555" t="str">
        <f>X423</f>
        <v/>
      </c>
    </row>
    <row r="109" spans="1:35" ht="11.25" customHeight="1" thickTop="1">
      <c r="A109" s="611">
        <v>43</v>
      </c>
      <c r="B109" s="110" t="s">
        <v>1191</v>
      </c>
      <c r="C109" s="111"/>
      <c r="D109" s="50" t="s">
        <v>487</v>
      </c>
      <c r="E109" s="49"/>
      <c r="F109" s="49"/>
      <c r="G109" s="49"/>
      <c r="H109" s="49"/>
      <c r="I109" s="49"/>
      <c r="J109" s="1109" t="str">
        <f>IF(AND($E$716="TBD",$J$716="TBD"),"TBD",IF(OR($E$716="NO",$J$716="NO"),"","YES"))</f>
        <v>TBD</v>
      </c>
      <c r="K109" s="400" t="str">
        <f>IF(AND($E$716="TBD",$J$716="TBD"),"",IF(OR($E$716="NO",$J$716="NO"),"NO",""))</f>
        <v/>
      </c>
      <c r="L109" s="676" t="s">
        <v>432</v>
      </c>
      <c r="M109" s="79"/>
      <c r="N109" s="62"/>
      <c r="O109" s="62"/>
      <c r="P109" s="1145" t="s">
        <v>653</v>
      </c>
      <c r="Q109" s="1146"/>
      <c r="R109" s="62"/>
      <c r="S109" s="62"/>
      <c r="V109" s="688" t="s">
        <v>390</v>
      </c>
      <c r="X109" s="664" t="s">
        <v>432</v>
      </c>
      <c r="Y109" s="457"/>
      <c r="Z109" s="457"/>
      <c r="AA109" s="462" t="s">
        <v>484</v>
      </c>
      <c r="AB109" s="1186"/>
      <c r="AC109" s="551" t="str">
        <f t="shared" si="26"/>
        <v>Change</v>
      </c>
      <c r="AD109" s="1051" t="str">
        <f>V423</f>
        <v>cm</v>
      </c>
      <c r="AE109" s="555" t="s">
        <v>757</v>
      </c>
      <c r="AF109" s="555" t="str">
        <f>X424</f>
        <v/>
      </c>
    </row>
    <row r="110" spans="1:35" ht="11.25" customHeight="1" thickBot="1">
      <c r="A110" s="611">
        <v>44</v>
      </c>
      <c r="B110" s="110" t="s">
        <v>7</v>
      </c>
      <c r="C110" s="111"/>
      <c r="D110" s="50" t="s">
        <v>1136</v>
      </c>
      <c r="E110" s="49"/>
      <c r="F110" s="49"/>
      <c r="G110" s="49"/>
      <c r="H110" s="49"/>
      <c r="I110" s="49"/>
      <c r="J110" s="1109" t="str">
        <f>IF(AND($E$760="NA",$F$760="NA",$I$760="NA",$J$760="NA"),"NA",IF(OR($E$760="NO",$F$760="NO",$I$760="NO",$J$760="NO"),"","YES"))</f>
        <v>NA</v>
      </c>
      <c r="K110" s="400" t="str">
        <f>IF(AND($E$760="TBD",$F$760="TBD",$I$760="TBD",$J$760="TBD"),"",IF(OR($E$760="NO",$F$760="NO",$I$760="NO",$J$760="NO"),"NO",""))</f>
        <v/>
      </c>
      <c r="L110" s="676" t="s">
        <v>432</v>
      </c>
      <c r="M110" s="66"/>
      <c r="N110" s="49"/>
      <c r="O110" s="49"/>
      <c r="P110" s="117" t="s">
        <v>562</v>
      </c>
      <c r="Q110" s="49"/>
      <c r="R110" s="49"/>
      <c r="S110" s="1"/>
      <c r="T110" s="1092" t="s">
        <v>563</v>
      </c>
      <c r="U110" s="49" t="s">
        <v>1167</v>
      </c>
      <c r="V110" s="689" t="s">
        <v>563</v>
      </c>
      <c r="X110" s="664" t="s">
        <v>432</v>
      </c>
      <c r="Y110" s="457"/>
      <c r="Z110" s="457"/>
      <c r="AA110" s="462" t="s">
        <v>485</v>
      </c>
      <c r="AB110" s="1187"/>
      <c r="AC110" s="551" t="str">
        <f t="shared" si="26"/>
        <v/>
      </c>
      <c r="AD110" s="1056" t="str">
        <f>U423</f>
        <v/>
      </c>
      <c r="AE110" s="555" t="s">
        <v>758</v>
      </c>
      <c r="AF110" s="555" t="str">
        <f>X425</f>
        <v/>
      </c>
    </row>
    <row r="111" spans="1:35" ht="11.25" customHeight="1">
      <c r="A111" s="611">
        <v>45</v>
      </c>
      <c r="B111" s="110" t="s">
        <v>1191</v>
      </c>
      <c r="C111" s="111"/>
      <c r="D111" s="50" t="s">
        <v>10</v>
      </c>
      <c r="E111" s="49"/>
      <c r="F111" s="49"/>
      <c r="G111" s="49"/>
      <c r="H111" s="49"/>
      <c r="I111" s="49"/>
      <c r="J111" s="1109" t="str">
        <f>IF(M53=1,$T$52,IF($H$829="NA","NA",IF(OR($H$829="",$H$829="TBD"),"TBD",IF($H$829="YES","YES",""))))</f>
        <v>NA</v>
      </c>
      <c r="K111" s="400" t="str">
        <f>IF($M$53=1,"",IF(OR($H$829="",$H$829="TBD",$H$829="NA"),"",IF($H$829="YES","","NO")))</f>
        <v/>
      </c>
      <c r="L111" s="676" t="s">
        <v>432</v>
      </c>
      <c r="M111" s="123"/>
      <c r="N111" s="117"/>
      <c r="O111" s="117" t="s">
        <v>533</v>
      </c>
      <c r="P111" s="117" t="s">
        <v>564</v>
      </c>
      <c r="Q111" s="117" t="s">
        <v>565</v>
      </c>
      <c r="R111" s="117"/>
      <c r="S111" s="1"/>
      <c r="T111" s="117" t="s">
        <v>566</v>
      </c>
      <c r="U111" s="218" t="s">
        <v>1168</v>
      </c>
      <c r="V111" s="689" t="s">
        <v>566</v>
      </c>
      <c r="W111" s="983" t="s">
        <v>585</v>
      </c>
      <c r="X111" s="664" t="s">
        <v>432</v>
      </c>
      <c r="Y111" s="457"/>
      <c r="Z111" s="457"/>
      <c r="AA111" s="457"/>
      <c r="AB111" s="49"/>
      <c r="AC111" s="551" t="str">
        <f t="shared" si="26"/>
        <v/>
      </c>
      <c r="AD111" s="457"/>
    </row>
    <row r="112" spans="1:35" ht="11.25" customHeight="1" thickBot="1">
      <c r="A112" s="611">
        <v>46</v>
      </c>
      <c r="B112" s="110" t="s">
        <v>1192</v>
      </c>
      <c r="C112" s="111"/>
      <c r="D112" s="50" t="s">
        <v>491</v>
      </c>
      <c r="E112" s="49"/>
      <c r="F112" s="49"/>
      <c r="G112" s="49"/>
      <c r="H112" s="49"/>
      <c r="I112" s="49"/>
      <c r="J112" s="1109" t="str">
        <f>IF(M53=1,$T$52,IF($K$829="NA","NA",IF(OR($K$829="",$K$829="TBD"),"TBD",IF($K$829="YES","YES",""))))</f>
        <v>NA</v>
      </c>
      <c r="K112" s="400" t="str">
        <f>IF($M$53=1,"",IF(OR($K$829="",$K$829="TBD", $K$829="NA"),"",IF($K$829="YES","","NO")))</f>
        <v/>
      </c>
      <c r="L112" s="676" t="s">
        <v>432</v>
      </c>
      <c r="M112" s="124" t="s">
        <v>568</v>
      </c>
      <c r="N112" s="118" t="s">
        <v>569</v>
      </c>
      <c r="O112" s="118" t="s">
        <v>570</v>
      </c>
      <c r="P112" s="118" t="s">
        <v>571</v>
      </c>
      <c r="Q112" s="118" t="s">
        <v>570</v>
      </c>
      <c r="R112" s="118" t="s">
        <v>486</v>
      </c>
      <c r="S112" s="117" t="s">
        <v>596</v>
      </c>
      <c r="T112" s="117" t="s">
        <v>1083</v>
      </c>
      <c r="U112" s="117" t="s">
        <v>1169</v>
      </c>
      <c r="V112" s="690" t="s">
        <v>1083</v>
      </c>
      <c r="W112" s="984" t="s">
        <v>280</v>
      </c>
      <c r="X112" s="664" t="s">
        <v>432</v>
      </c>
      <c r="Y112" s="457"/>
      <c r="Z112" s="457"/>
      <c r="AA112" s="462" t="s">
        <v>486</v>
      </c>
      <c r="AB112" s="1186"/>
      <c r="AC112" s="551" t="str">
        <f t="shared" si="26"/>
        <v/>
      </c>
      <c r="AD112" s="1057" t="str">
        <f>O542</f>
        <v/>
      </c>
      <c r="AE112" s="555" t="s">
        <v>759</v>
      </c>
    </row>
    <row r="113" spans="1:31" ht="11.25" customHeight="1">
      <c r="A113" s="611">
        <v>47</v>
      </c>
      <c r="B113" s="110" t="s">
        <v>8</v>
      </c>
      <c r="C113" s="111"/>
      <c r="D113" s="50" t="s">
        <v>492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432</v>
      </c>
      <c r="M113" s="1164" t="s">
        <v>21</v>
      </c>
      <c r="N113" s="1156" t="s">
        <v>20</v>
      </c>
      <c r="O113" s="1156">
        <v>72</v>
      </c>
      <c r="P113" s="1165">
        <v>23</v>
      </c>
      <c r="Q113" s="1156" t="s">
        <v>22</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432</v>
      </c>
      <c r="Y113" s="457"/>
      <c r="Z113" s="457"/>
      <c r="AA113" s="462" t="s">
        <v>488</v>
      </c>
      <c r="AB113" s="1186"/>
      <c r="AC113" s="551" t="str">
        <f t="shared" si="26"/>
        <v/>
      </c>
      <c r="AD113" s="1058" t="str">
        <f>Q542</f>
        <v/>
      </c>
      <c r="AE113" s="555" t="s">
        <v>760</v>
      </c>
    </row>
    <row r="114" spans="1:31" ht="11.25" customHeight="1">
      <c r="A114" s="611">
        <v>48</v>
      </c>
      <c r="B114" s="127"/>
      <c r="J114" s="129"/>
      <c r="K114" s="399"/>
      <c r="L114" s="676" t="s">
        <v>432</v>
      </c>
      <c r="M114" s="1164" t="s">
        <v>37</v>
      </c>
      <c r="N114" s="1156" t="s">
        <v>20</v>
      </c>
      <c r="O114" s="1156">
        <v>40</v>
      </c>
      <c r="P114" s="1165">
        <v>23</v>
      </c>
      <c r="Q114" s="1156" t="s">
        <v>22</v>
      </c>
      <c r="R114" s="1156">
        <v>76</v>
      </c>
      <c r="S114" s="1166">
        <v>30</v>
      </c>
      <c r="T114" s="119" t="str">
        <f t="shared" ref="T114:T122" si="32">IF(U88="","",U88)</f>
        <v/>
      </c>
      <c r="U114" s="119" t="str">
        <f>IF(U88="","",IF(U88&lt;=R129,"Pass","Fail"))</f>
        <v/>
      </c>
      <c r="V114" s="1177" t="str">
        <f t="shared" si="30"/>
        <v/>
      </c>
      <c r="W114" s="1178" t="str">
        <f t="shared" si="31"/>
        <v/>
      </c>
      <c r="X114" s="664" t="s">
        <v>432</v>
      </c>
      <c r="Y114" s="457"/>
      <c r="Z114" s="457"/>
      <c r="AA114" s="462" t="s">
        <v>489</v>
      </c>
      <c r="AB114" s="1188"/>
      <c r="AC114" s="551" t="str">
        <f t="shared" si="26"/>
        <v/>
      </c>
      <c r="AD114" s="1059" t="str">
        <f>S542</f>
        <v/>
      </c>
      <c r="AE114" s="555" t="s">
        <v>761</v>
      </c>
    </row>
    <row r="115" spans="1:31" ht="11.25" customHeight="1">
      <c r="A115" s="611">
        <v>49</v>
      </c>
      <c r="B115" s="127"/>
      <c r="F115" s="99" t="s">
        <v>496</v>
      </c>
      <c r="J115" s="114"/>
      <c r="K115" s="343"/>
      <c r="L115" s="676" t="s">
        <v>432</v>
      </c>
      <c r="M115" s="1164" t="s">
        <v>25</v>
      </c>
      <c r="N115" s="1156" t="s">
        <v>20</v>
      </c>
      <c r="O115" s="1156">
        <v>40</v>
      </c>
      <c r="P115" s="1165">
        <v>20</v>
      </c>
      <c r="Q115" s="1156" t="s">
        <v>22</v>
      </c>
      <c r="R115" s="1156">
        <v>66</v>
      </c>
      <c r="S115" s="1166">
        <v>12</v>
      </c>
      <c r="T115" s="119" t="str">
        <f t="shared" si="32"/>
        <v/>
      </c>
      <c r="U115" s="119"/>
      <c r="V115" s="1177" t="str">
        <f t="shared" si="30"/>
        <v/>
      </c>
      <c r="W115" s="1178" t="str">
        <f t="shared" si="31"/>
        <v/>
      </c>
      <c r="X115" s="664" t="s">
        <v>432</v>
      </c>
      <c r="Y115" s="457"/>
      <c r="Z115" s="457"/>
      <c r="AA115" s="462" t="s">
        <v>490</v>
      </c>
      <c r="AB115" s="1186"/>
      <c r="AC115" s="551" t="str">
        <f t="shared" si="26"/>
        <v>Change</v>
      </c>
      <c r="AD115" s="1058">
        <f>IF(U543&lt;&gt;"",U543,U542)</f>
        <v>0.5</v>
      </c>
      <c r="AE115" s="555" t="str">
        <f>IF(U543&lt;&gt;"","U543","U542")</f>
        <v>U542</v>
      </c>
    </row>
    <row r="116" spans="1:31" ht="11.25" customHeight="1">
      <c r="A116" s="611">
        <v>50</v>
      </c>
      <c r="B116" s="110" t="s">
        <v>4</v>
      </c>
      <c r="C116" s="111"/>
      <c r="D116" s="50" t="s">
        <v>498</v>
      </c>
      <c r="E116" s="50"/>
      <c r="F116" s="50"/>
      <c r="G116" s="50"/>
      <c r="H116" s="50"/>
      <c r="I116" s="50"/>
      <c r="J116" s="114" t="str">
        <f t="shared" ref="J116:J121" si="33">IF(M1426="","TBD",IF(M1426=1,"YES",IF(M1426=3,"NA","")))</f>
        <v>TBD</v>
      </c>
      <c r="K116" s="343" t="str">
        <f t="shared" ref="K116:K121" si="34">IF(M1426=2,"NO","")</f>
        <v/>
      </c>
      <c r="L116" s="676" t="s">
        <v>432</v>
      </c>
      <c r="M116" s="1164" t="s">
        <v>36</v>
      </c>
      <c r="N116" s="1156" t="s">
        <v>20</v>
      </c>
      <c r="O116" s="1156">
        <v>40</v>
      </c>
      <c r="P116" s="1165">
        <v>13</v>
      </c>
      <c r="Q116" s="1156" t="s">
        <v>26</v>
      </c>
      <c r="R116" s="1156">
        <v>72</v>
      </c>
      <c r="S116" s="1166">
        <v>10</v>
      </c>
      <c r="T116" s="119" t="str">
        <f t="shared" si="32"/>
        <v/>
      </c>
      <c r="U116" s="119" t="str">
        <f>IF(U90="","",IF(U90&lt;=R132,"Pass","Fail"))</f>
        <v/>
      </c>
      <c r="V116" s="1177" t="str">
        <f t="shared" si="30"/>
        <v/>
      </c>
      <c r="W116" s="1178" t="str">
        <f t="shared" si="31"/>
        <v/>
      </c>
      <c r="X116" s="664" t="s">
        <v>432</v>
      </c>
      <c r="Y116" s="457"/>
      <c r="Z116" s="457"/>
      <c r="AA116" s="457"/>
      <c r="AB116" s="49"/>
      <c r="AC116" s="551" t="str">
        <f t="shared" si="26"/>
        <v/>
      </c>
      <c r="AD116" s="457"/>
    </row>
    <row r="117" spans="1:31" ht="11.25" customHeight="1">
      <c r="A117" s="611">
        <v>51</v>
      </c>
      <c r="B117" s="110"/>
      <c r="C117" s="159"/>
      <c r="D117" s="50" t="s">
        <v>1054</v>
      </c>
      <c r="J117" s="114" t="str">
        <f t="shared" si="33"/>
        <v>NA</v>
      </c>
      <c r="K117" s="343" t="str">
        <f t="shared" si="34"/>
        <v/>
      </c>
      <c r="L117" s="676" t="s">
        <v>432</v>
      </c>
      <c r="M117" s="1164" t="s">
        <v>46</v>
      </c>
      <c r="N117" s="1156" t="s">
        <v>20</v>
      </c>
      <c r="O117" s="1156">
        <v>40</v>
      </c>
      <c r="P117" s="1165">
        <v>15</v>
      </c>
      <c r="Q117" s="1156" t="s">
        <v>41</v>
      </c>
      <c r="R117" s="1156">
        <v>72</v>
      </c>
      <c r="S117" s="1166">
        <v>10</v>
      </c>
      <c r="T117" s="119" t="str">
        <f t="shared" si="32"/>
        <v/>
      </c>
      <c r="U117" s="119" t="str">
        <f>IF(U91="","",IF(U91&lt;=R133,"Pass","Fail"))</f>
        <v/>
      </c>
      <c r="V117" s="1177" t="str">
        <f t="shared" si="30"/>
        <v/>
      </c>
      <c r="W117" s="1178" t="str">
        <f t="shared" si="31"/>
        <v/>
      </c>
      <c r="X117" s="664" t="s">
        <v>432</v>
      </c>
      <c r="Y117" s="457"/>
      <c r="Z117" s="457"/>
      <c r="AA117" s="132" t="s">
        <v>493</v>
      </c>
      <c r="AB117" s="49"/>
      <c r="AC117" s="551" t="str">
        <f t="shared" si="26"/>
        <v/>
      </c>
      <c r="AD117" s="457"/>
    </row>
    <row r="118" spans="1:31" ht="11.25" customHeight="1">
      <c r="A118" s="611">
        <v>52</v>
      </c>
      <c r="B118" s="110"/>
      <c r="C118" s="159"/>
      <c r="D118" s="50" t="s">
        <v>1055</v>
      </c>
      <c r="J118" s="114" t="str">
        <f t="shared" si="33"/>
        <v>NA</v>
      </c>
      <c r="K118" s="343" t="str">
        <f t="shared" si="34"/>
        <v/>
      </c>
      <c r="L118" s="676" t="s">
        <v>432</v>
      </c>
      <c r="M118" s="1164" t="s">
        <v>32</v>
      </c>
      <c r="N118" s="1156" t="s">
        <v>27</v>
      </c>
      <c r="O118" s="1156">
        <v>40</v>
      </c>
      <c r="P118" s="1165">
        <v>8</v>
      </c>
      <c r="Q118" s="1156" t="s">
        <v>41</v>
      </c>
      <c r="R118" s="1156">
        <v>60</v>
      </c>
      <c r="S118" s="1166">
        <v>2.5</v>
      </c>
      <c r="T118" s="119" t="str">
        <f t="shared" si="32"/>
        <v/>
      </c>
      <c r="U118" s="119" t="str">
        <f>IF(U92="","",IF(U92&lt;=R136,"Pass","Fail"))</f>
        <v/>
      </c>
      <c r="V118" s="1177" t="str">
        <f t="shared" si="30"/>
        <v/>
      </c>
      <c r="W118" s="1178" t="str">
        <f t="shared" si="31"/>
        <v/>
      </c>
      <c r="X118" s="664" t="s">
        <v>432</v>
      </c>
      <c r="Y118" s="457"/>
      <c r="Z118" s="457"/>
      <c r="AA118" s="462" t="s">
        <v>494</v>
      </c>
      <c r="AB118" s="1186"/>
      <c r="AC118" s="551" t="str">
        <f t="shared" si="26"/>
        <v/>
      </c>
      <c r="AD118" s="1058" t="str">
        <f>M554</f>
        <v/>
      </c>
      <c r="AE118" s="555" t="s">
        <v>762</v>
      </c>
    </row>
    <row r="119" spans="1:31" ht="11.25" customHeight="1">
      <c r="A119" s="611">
        <v>53</v>
      </c>
      <c r="B119" s="110" t="s">
        <v>1057</v>
      </c>
      <c r="C119" s="159"/>
      <c r="D119" s="50" t="s">
        <v>1056</v>
      </c>
      <c r="J119" s="114" t="str">
        <f t="shared" si="33"/>
        <v>NA</v>
      </c>
      <c r="K119" s="343" t="str">
        <f t="shared" si="34"/>
        <v/>
      </c>
      <c r="L119" s="676" t="s">
        <v>432</v>
      </c>
      <c r="M119" s="1164" t="s">
        <v>33</v>
      </c>
      <c r="N119" s="1156" t="s">
        <v>27</v>
      </c>
      <c r="O119" s="1156">
        <v>40</v>
      </c>
      <c r="P119" s="1165">
        <v>12</v>
      </c>
      <c r="Q119" s="1156" t="s">
        <v>26</v>
      </c>
      <c r="R119" s="1156">
        <v>66</v>
      </c>
      <c r="S119" s="1166">
        <v>8</v>
      </c>
      <c r="T119" s="119" t="str">
        <f t="shared" si="32"/>
        <v/>
      </c>
      <c r="U119" s="119"/>
      <c r="V119" s="1177" t="str">
        <f t="shared" si="30"/>
        <v/>
      </c>
      <c r="W119" s="1178" t="str">
        <f t="shared" si="31"/>
        <v/>
      </c>
      <c r="X119" s="664" t="s">
        <v>432</v>
      </c>
      <c r="Y119" s="457"/>
      <c r="Z119" s="457"/>
      <c r="AA119" s="462" t="s">
        <v>495</v>
      </c>
      <c r="AB119" s="1186"/>
      <c r="AC119" s="551" t="str">
        <f t="shared" si="26"/>
        <v/>
      </c>
      <c r="AD119" s="1058" t="str">
        <f>N554</f>
        <v/>
      </c>
      <c r="AE119" s="555" t="s">
        <v>763</v>
      </c>
    </row>
    <row r="120" spans="1:31" ht="11.25" customHeight="1">
      <c r="A120" s="611">
        <v>54</v>
      </c>
      <c r="B120" s="110" t="s">
        <v>5</v>
      </c>
      <c r="C120" s="111"/>
      <c r="D120" s="50" t="s">
        <v>500</v>
      </c>
      <c r="E120" s="49"/>
      <c r="F120" s="49"/>
      <c r="G120" s="49"/>
      <c r="H120" s="49"/>
      <c r="I120" s="49"/>
      <c r="J120" s="114" t="str">
        <f t="shared" si="33"/>
        <v>TBD</v>
      </c>
      <c r="K120" s="343" t="str">
        <f t="shared" si="34"/>
        <v/>
      </c>
      <c r="L120" s="676" t="s">
        <v>432</v>
      </c>
      <c r="M120" s="1164" t="s">
        <v>38</v>
      </c>
      <c r="N120" s="1156" t="s">
        <v>20</v>
      </c>
      <c r="O120" s="1156">
        <v>40</v>
      </c>
      <c r="P120" s="1165">
        <v>20</v>
      </c>
      <c r="Q120" s="1156" t="s">
        <v>22</v>
      </c>
      <c r="R120" s="1156">
        <v>78</v>
      </c>
      <c r="S120" s="1166">
        <v>30</v>
      </c>
      <c r="T120" s="119" t="str">
        <f t="shared" si="32"/>
        <v/>
      </c>
      <c r="U120" s="119"/>
      <c r="V120" s="1177" t="str">
        <f t="shared" si="30"/>
        <v/>
      </c>
      <c r="W120" s="1178" t="str">
        <f t="shared" si="31"/>
        <v/>
      </c>
      <c r="X120" s="664" t="s">
        <v>432</v>
      </c>
      <c r="Y120" s="457"/>
      <c r="Z120" s="457"/>
      <c r="AA120" s="462" t="s">
        <v>497</v>
      </c>
      <c r="AB120" s="1186"/>
      <c r="AC120" s="551" t="str">
        <f t="shared" si="26"/>
        <v/>
      </c>
      <c r="AD120" s="1058" t="str">
        <f>M555</f>
        <v/>
      </c>
      <c r="AE120" s="555" t="s">
        <v>679</v>
      </c>
    </row>
    <row r="121" spans="1:31" ht="11.25" customHeight="1">
      <c r="A121" s="611">
        <v>55</v>
      </c>
      <c r="B121" s="110" t="s">
        <v>6</v>
      </c>
      <c r="C121" s="111"/>
      <c r="D121" s="50" t="s">
        <v>501</v>
      </c>
      <c r="J121" s="114" t="str">
        <f t="shared" si="33"/>
        <v>TBD</v>
      </c>
      <c r="K121" s="343" t="str">
        <f t="shared" si="34"/>
        <v/>
      </c>
      <c r="L121" s="676" t="s">
        <v>432</v>
      </c>
      <c r="M121" s="1164" t="s">
        <v>39</v>
      </c>
      <c r="N121" s="1156" t="s">
        <v>20</v>
      </c>
      <c r="O121" s="1156">
        <v>40</v>
      </c>
      <c r="P121" s="1165">
        <v>15</v>
      </c>
      <c r="Q121" s="1156" t="s">
        <v>26</v>
      </c>
      <c r="R121" s="1156">
        <v>74</v>
      </c>
      <c r="S121" s="1166">
        <v>14</v>
      </c>
      <c r="T121" s="119" t="str">
        <f t="shared" si="32"/>
        <v/>
      </c>
      <c r="U121" s="119"/>
      <c r="V121" s="1177" t="str">
        <f t="shared" si="30"/>
        <v/>
      </c>
      <c r="W121" s="1178" t="str">
        <f t="shared" si="31"/>
        <v/>
      </c>
      <c r="X121" s="664" t="s">
        <v>432</v>
      </c>
      <c r="Y121" s="457"/>
      <c r="Z121" s="457"/>
      <c r="AA121" s="462" t="s">
        <v>499</v>
      </c>
      <c r="AB121" s="1186"/>
      <c r="AC121" s="551" t="str">
        <f t="shared" si="26"/>
        <v/>
      </c>
      <c r="AD121" s="1058" t="str">
        <f>N555</f>
        <v/>
      </c>
      <c r="AE121" s="555" t="s">
        <v>764</v>
      </c>
    </row>
    <row r="122" spans="1:31" ht="11.25" customHeight="1" thickBot="1">
      <c r="A122" s="611">
        <v>56</v>
      </c>
      <c r="B122" s="110" t="s">
        <v>1193</v>
      </c>
      <c r="C122" s="111"/>
      <c r="D122" s="50" t="s">
        <v>503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432</v>
      </c>
      <c r="M122" s="1167" t="s">
        <v>40</v>
      </c>
      <c r="N122" s="1168" t="s">
        <v>20</v>
      </c>
      <c r="O122" s="1168">
        <v>40</v>
      </c>
      <c r="P122" s="1169">
        <v>23</v>
      </c>
      <c r="Q122" s="1168" t="s">
        <v>26</v>
      </c>
      <c r="R122" s="1168">
        <v>78</v>
      </c>
      <c r="S122" s="1170">
        <v>25</v>
      </c>
      <c r="T122" s="238" t="str">
        <f t="shared" si="32"/>
        <v/>
      </c>
      <c r="U122" s="238"/>
      <c r="V122" s="1179" t="str">
        <f t="shared" si="30"/>
        <v/>
      </c>
      <c r="W122" s="1180" t="str">
        <f t="shared" si="31"/>
        <v/>
      </c>
      <c r="X122" s="664" t="s">
        <v>432</v>
      </c>
      <c r="Y122" s="457"/>
      <c r="Z122" s="457"/>
      <c r="AA122" s="457"/>
      <c r="AB122" s="49"/>
      <c r="AC122" s="551" t="str">
        <f t="shared" si="26"/>
        <v/>
      </c>
      <c r="AD122" s="457"/>
    </row>
    <row r="123" spans="1:31" ht="11.25" customHeight="1" thickTop="1" thickBot="1">
      <c r="A123" s="611">
        <v>57</v>
      </c>
      <c r="B123" s="110" t="s">
        <v>1193</v>
      </c>
      <c r="C123" s="111"/>
      <c r="D123" s="50" t="s">
        <v>505</v>
      </c>
      <c r="E123" s="50"/>
      <c r="F123" s="50"/>
      <c r="G123" s="54" t="s">
        <v>506</v>
      </c>
      <c r="H123" s="61">
        <f>IF(R1433="","",R1433)</f>
        <v>0</v>
      </c>
      <c r="J123" s="114" t="str">
        <f t="shared" si="35"/>
        <v>TBD</v>
      </c>
      <c r="K123" s="343" t="str">
        <f t="shared" si="36"/>
        <v/>
      </c>
      <c r="L123" s="676" t="s">
        <v>432</v>
      </c>
      <c r="T123" s="54" t="s">
        <v>1152</v>
      </c>
      <c r="U123" s="1172" t="str">
        <f>IF(ISNA(MATCH("Fail",U113:U122,0)),"Pass","Fail")</f>
        <v>Pass</v>
      </c>
      <c r="X123" s="664" t="s">
        <v>432</v>
      </c>
      <c r="Y123" s="457"/>
      <c r="Z123" s="457"/>
      <c r="AA123" s="462" t="s">
        <v>502</v>
      </c>
      <c r="AB123" s="1186"/>
      <c r="AC123" s="551" t="str">
        <f t="shared" si="26"/>
        <v/>
      </c>
      <c r="AD123" s="1057" t="str">
        <f>M572</f>
        <v/>
      </c>
      <c r="AE123" s="555" t="s">
        <v>765</v>
      </c>
    </row>
    <row r="124" spans="1:31" ht="11.25" customHeight="1">
      <c r="A124" s="611">
        <v>58</v>
      </c>
      <c r="B124" s="110"/>
      <c r="C124" s="111"/>
      <c r="D124" s="50" t="s">
        <v>507</v>
      </c>
      <c r="E124" s="49"/>
      <c r="F124" s="49"/>
      <c r="G124" s="49"/>
      <c r="H124" s="49"/>
      <c r="I124" s="49"/>
      <c r="J124" s="114" t="str">
        <f t="shared" si="35"/>
        <v>TBD</v>
      </c>
      <c r="K124" s="343" t="str">
        <f t="shared" si="36"/>
        <v/>
      </c>
      <c r="L124" s="676" t="s">
        <v>432</v>
      </c>
      <c r="M124" s="326" t="s">
        <v>1164</v>
      </c>
      <c r="N124" s="49"/>
      <c r="O124" s="49"/>
      <c r="P124" s="1282" t="s">
        <v>1166</v>
      </c>
      <c r="Q124" s="1282"/>
      <c r="R124" s="1282" t="s">
        <v>1166</v>
      </c>
      <c r="S124" s="1282"/>
      <c r="V124" s="457"/>
      <c r="W124" s="457"/>
      <c r="X124" s="664" t="s">
        <v>432</v>
      </c>
      <c r="Y124" s="457"/>
      <c r="AA124" s="462" t="s">
        <v>504</v>
      </c>
      <c r="AB124" s="1186"/>
      <c r="AC124" s="551" t="str">
        <f t="shared" si="26"/>
        <v/>
      </c>
      <c r="AD124" s="1057" t="str">
        <f>M589</f>
        <v/>
      </c>
      <c r="AE124" s="555" t="s">
        <v>766</v>
      </c>
    </row>
    <row r="125" spans="1:31" ht="11.25" customHeight="1">
      <c r="A125" s="611">
        <v>59</v>
      </c>
      <c r="B125" s="110" t="s">
        <v>1195</v>
      </c>
      <c r="C125" s="111"/>
      <c r="D125" s="50" t="s">
        <v>508</v>
      </c>
      <c r="J125" s="114" t="str">
        <f t="shared" si="35"/>
        <v>TBD</v>
      </c>
      <c r="K125" s="343" t="str">
        <f t="shared" si="36"/>
        <v/>
      </c>
      <c r="L125" s="676" t="s">
        <v>432</v>
      </c>
      <c r="O125" s="49" t="s">
        <v>222</v>
      </c>
      <c r="P125" s="49" t="s">
        <v>1165</v>
      </c>
      <c r="Q125" s="1163">
        <v>400</v>
      </c>
      <c r="R125" s="49" t="s">
        <v>1165</v>
      </c>
      <c r="S125" s="1163">
        <v>400</v>
      </c>
      <c r="U125" s="457"/>
      <c r="V125" s="457"/>
      <c r="W125" s="457"/>
      <c r="X125" s="664" t="s">
        <v>432</v>
      </c>
      <c r="Y125" s="457"/>
      <c r="AB125" s="49"/>
      <c r="AC125" s="551" t="str">
        <f t="shared" ref="AC125:AC136" si="37">IF(AND(OR(AB125="",AB125=0),OR(AD125="",AD125=0)),"",IF(AB125&lt;&gt;AD125,"Change",""))</f>
        <v/>
      </c>
      <c r="AD125" s="457"/>
    </row>
    <row r="126" spans="1:31" ht="11.25" customHeight="1">
      <c r="A126" s="611">
        <v>60</v>
      </c>
      <c r="B126" s="110"/>
      <c r="C126" s="111"/>
      <c r="D126" s="50" t="s">
        <v>509</v>
      </c>
      <c r="E126" s="49"/>
      <c r="F126" s="49"/>
      <c r="G126" s="49"/>
      <c r="H126" s="54"/>
      <c r="I126" s="49"/>
      <c r="J126" s="114" t="str">
        <f t="shared" si="35"/>
        <v>TBD</v>
      </c>
      <c r="K126" s="343" t="str">
        <f t="shared" si="36"/>
        <v/>
      </c>
      <c r="L126" s="676" t="s">
        <v>432</v>
      </c>
      <c r="M126" s="1282" t="s">
        <v>45</v>
      </c>
      <c r="N126" s="1282"/>
      <c r="O126" s="49" t="s">
        <v>571</v>
      </c>
      <c r="P126" s="1282" t="s">
        <v>1170</v>
      </c>
      <c r="Q126" s="1282"/>
      <c r="R126" s="1282" t="s">
        <v>1080</v>
      </c>
      <c r="S126" s="1282"/>
      <c r="U126" s="457"/>
      <c r="V126" s="457"/>
      <c r="W126" s="457"/>
      <c r="X126" s="664" t="s">
        <v>432</v>
      </c>
      <c r="Y126" s="457"/>
      <c r="Z126" s="457"/>
      <c r="AA126" s="132" t="s">
        <v>474</v>
      </c>
      <c r="AB126" s="49"/>
      <c r="AC126" s="551" t="str">
        <f t="shared" si="37"/>
        <v/>
      </c>
      <c r="AD126" s="457"/>
    </row>
    <row r="127" spans="1:31" ht="11.25" customHeight="1">
      <c r="A127" s="611">
        <v>61</v>
      </c>
      <c r="B127" s="110" t="s">
        <v>1193</v>
      </c>
      <c r="C127" s="111"/>
      <c r="D127" s="50" t="s">
        <v>511</v>
      </c>
      <c r="E127" s="49"/>
      <c r="F127" s="49"/>
      <c r="G127" s="49"/>
      <c r="H127" s="49"/>
      <c r="I127" s="49"/>
      <c r="J127" s="114" t="str">
        <f t="shared" si="35"/>
        <v>TBD</v>
      </c>
      <c r="K127" s="343" t="str">
        <f t="shared" si="36"/>
        <v/>
      </c>
      <c r="L127" s="676" t="s">
        <v>432</v>
      </c>
      <c r="M127" s="1291" t="s">
        <v>1153</v>
      </c>
      <c r="N127" s="1291"/>
      <c r="O127" s="49">
        <v>23</v>
      </c>
      <c r="P127" s="1163">
        <v>38</v>
      </c>
      <c r="Q127" s="1163">
        <v>23</v>
      </c>
      <c r="R127" s="49">
        <f>P127*0.00876</f>
        <v>0.33288000000000001</v>
      </c>
      <c r="S127" s="49">
        <f>Q127*0.00876</f>
        <v>0.20148000000000002</v>
      </c>
      <c r="U127" s="457"/>
      <c r="V127" s="457"/>
      <c r="W127" s="457"/>
      <c r="X127" s="664" t="s">
        <v>432</v>
      </c>
      <c r="Y127" s="457"/>
      <c r="Z127" s="457"/>
      <c r="AA127" s="49" t="s">
        <v>510</v>
      </c>
      <c r="AB127" s="1186"/>
      <c r="AC127" s="551" t="str">
        <f t="shared" si="37"/>
        <v/>
      </c>
      <c r="AD127" s="1057" t="str">
        <f>M434</f>
        <v/>
      </c>
      <c r="AE127" s="555" t="s">
        <v>767</v>
      </c>
    </row>
    <row r="128" spans="1:31" ht="11.25" customHeight="1">
      <c r="A128" s="611">
        <v>62</v>
      </c>
      <c r="B128" s="110"/>
      <c r="C128" s="111"/>
      <c r="D128" s="50" t="s">
        <v>512</v>
      </c>
      <c r="E128" s="49"/>
      <c r="F128" s="49"/>
      <c r="G128" s="49"/>
      <c r="H128" s="49"/>
      <c r="I128" s="49"/>
      <c r="J128" s="114" t="str">
        <f>IF(M1438="","TBD",IF(M1438=1,"YES",IF(M1438=3,"NA","")))</f>
        <v>TBD</v>
      </c>
      <c r="K128" s="343" t="str">
        <f>IF(M1438=2,"NO","")</f>
        <v/>
      </c>
      <c r="L128" s="676" t="s">
        <v>432</v>
      </c>
      <c r="M128" s="1291" t="s">
        <v>1154</v>
      </c>
      <c r="N128" s="1291"/>
      <c r="O128" s="49">
        <v>23</v>
      </c>
      <c r="P128" s="1163">
        <v>23</v>
      </c>
      <c r="Q128" s="1163">
        <v>8</v>
      </c>
      <c r="R128" s="49">
        <f t="shared" ref="R128:S137" si="38">P128*0.00876</f>
        <v>0.20148000000000002</v>
      </c>
      <c r="S128" s="49">
        <f t="shared" si="38"/>
        <v>7.0080000000000003E-2</v>
      </c>
      <c r="U128" s="457"/>
      <c r="V128" s="457"/>
      <c r="W128" s="457"/>
      <c r="X128" s="664" t="s">
        <v>432</v>
      </c>
      <c r="Y128" s="457"/>
      <c r="Z128" s="462"/>
      <c r="AA128" s="462"/>
      <c r="AB128" s="49"/>
      <c r="AC128" s="551" t="str">
        <f t="shared" si="37"/>
        <v/>
      </c>
      <c r="AD128" s="457"/>
    </row>
    <row r="129" spans="1:31" ht="11.25" customHeight="1">
      <c r="A129" s="611">
        <v>63</v>
      </c>
      <c r="B129" s="110" t="s">
        <v>1194</v>
      </c>
      <c r="C129" s="159"/>
      <c r="D129" s="50" t="s">
        <v>1171</v>
      </c>
      <c r="J129" s="114" t="str">
        <f>IF(U123="","TBD",IF(U123="Pass","YES",""))</f>
        <v>YES</v>
      </c>
      <c r="K129" s="343" t="str">
        <f>IF(U123="Fail","NO","")</f>
        <v/>
      </c>
      <c r="L129" s="676" t="s">
        <v>432</v>
      </c>
      <c r="M129" s="1291" t="s">
        <v>1155</v>
      </c>
      <c r="N129" s="1291"/>
      <c r="O129" s="49">
        <v>23</v>
      </c>
      <c r="P129" s="1163">
        <v>735</v>
      </c>
      <c r="Q129" s="1163">
        <v>450</v>
      </c>
      <c r="R129" s="49">
        <f t="shared" si="38"/>
        <v>6.4386000000000001</v>
      </c>
      <c r="S129" s="49">
        <f t="shared" si="38"/>
        <v>3.9420000000000002</v>
      </c>
      <c r="U129" s="457"/>
      <c r="V129" s="457"/>
      <c r="W129" s="457"/>
      <c r="X129" s="664" t="s">
        <v>432</v>
      </c>
      <c r="Y129" s="457"/>
      <c r="Z129" s="462"/>
      <c r="AA129" s="132" t="s">
        <v>477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432</v>
      </c>
      <c r="M130" s="1291" t="s">
        <v>1156</v>
      </c>
      <c r="N130" s="1291"/>
      <c r="O130" s="49">
        <v>23</v>
      </c>
      <c r="P130" s="1163">
        <v>675</v>
      </c>
      <c r="Q130" s="1163">
        <v>525</v>
      </c>
      <c r="R130" s="49">
        <f t="shared" si="38"/>
        <v>5.9130000000000003</v>
      </c>
      <c r="S130" s="49">
        <f t="shared" si="38"/>
        <v>4.5990000000000002</v>
      </c>
      <c r="U130" s="457"/>
      <c r="V130" s="457"/>
      <c r="W130" s="457"/>
      <c r="X130" s="664" t="s">
        <v>432</v>
      </c>
      <c r="Y130" s="457"/>
      <c r="Z130" s="462"/>
      <c r="AA130" s="462" t="s">
        <v>478</v>
      </c>
      <c r="AB130" s="1186"/>
      <c r="AC130" s="551" t="str">
        <f t="shared" si="37"/>
        <v/>
      </c>
      <c r="AD130" s="1055" t="str">
        <f>P438</f>
        <v/>
      </c>
      <c r="AE130" s="555" t="s">
        <v>768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432</v>
      </c>
      <c r="M131" s="1291" t="s">
        <v>1157</v>
      </c>
      <c r="N131" s="1291"/>
      <c r="O131" s="49">
        <v>23</v>
      </c>
      <c r="P131" s="1163">
        <v>390</v>
      </c>
      <c r="Q131" s="1163">
        <v>218</v>
      </c>
      <c r="R131" s="49">
        <f t="shared" si="38"/>
        <v>3.4164000000000003</v>
      </c>
      <c r="S131" s="49">
        <f t="shared" si="38"/>
        <v>1.90968</v>
      </c>
      <c r="U131" s="457"/>
      <c r="V131" s="457"/>
      <c r="W131" s="457"/>
      <c r="X131" s="664" t="s">
        <v>432</v>
      </c>
      <c r="Y131" s="457"/>
      <c r="Z131" s="462"/>
      <c r="AA131" s="462" t="s">
        <v>479</v>
      </c>
      <c r="AB131" s="1186"/>
      <c r="AC131" s="551" t="str">
        <f t="shared" si="37"/>
        <v/>
      </c>
      <c r="AD131" s="1055" t="str">
        <f>Q438</f>
        <v/>
      </c>
      <c r="AE131" s="555" t="s">
        <v>769</v>
      </c>
    </row>
    <row r="132" spans="1:31" ht="11.25" customHeight="1">
      <c r="A132" s="611">
        <v>66</v>
      </c>
      <c r="B132" s="52" t="str">
        <v>Room Number:</v>
      </c>
      <c r="C132" s="373" t="str">
        <v/>
      </c>
      <c r="E132" s="51"/>
      <c r="F132" s="51"/>
      <c r="G132" s="51"/>
      <c r="H132" s="51"/>
      <c r="I132" s="52" t="str">
        <v>Survey ID:</v>
      </c>
      <c r="J132" s="1045" t="str">
        <v/>
      </c>
      <c r="L132" s="676" t="s">
        <v>432</v>
      </c>
      <c r="M132" s="1291" t="s">
        <v>1158</v>
      </c>
      <c r="N132" s="1291"/>
      <c r="O132" s="49">
        <v>13</v>
      </c>
      <c r="P132" s="1163">
        <v>203</v>
      </c>
      <c r="Q132" s="1163">
        <v>142</v>
      </c>
      <c r="R132" s="49">
        <f t="shared" si="38"/>
        <v>1.7782800000000001</v>
      </c>
      <c r="S132" s="49">
        <f t="shared" si="38"/>
        <v>1.2439200000000001</v>
      </c>
      <c r="X132" s="664" t="s">
        <v>432</v>
      </c>
      <c r="Y132" s="457"/>
      <c r="Z132" s="462"/>
      <c r="AA132" s="132" t="s">
        <v>480</v>
      </c>
      <c r="AB132" s="49"/>
      <c r="AC132" s="551" t="str">
        <f t="shared" si="37"/>
        <v/>
      </c>
      <c r="AD132" s="457"/>
    </row>
    <row r="133" spans="1:31" ht="11.25" customHeight="1">
      <c r="A133" s="611">
        <v>1</v>
      </c>
      <c r="K133" s="131" t="str">
        <f>$F$2</f>
        <v>Medical University of South Carolina</v>
      </c>
      <c r="L133" s="676" t="s">
        <v>432</v>
      </c>
      <c r="M133" s="1291" t="s">
        <v>1159</v>
      </c>
      <c r="N133" s="1291"/>
      <c r="O133" s="49">
        <v>15</v>
      </c>
      <c r="P133" s="1163">
        <v>218</v>
      </c>
      <c r="Q133" s="1163">
        <v>105</v>
      </c>
      <c r="R133" s="49">
        <f t="shared" si="38"/>
        <v>1.90968</v>
      </c>
      <c r="S133" s="49">
        <f t="shared" si="38"/>
        <v>0.91980000000000006</v>
      </c>
      <c r="X133" s="664" t="s">
        <v>432</v>
      </c>
      <c r="Y133" s="457"/>
      <c r="Z133" s="462"/>
      <c r="AA133" s="462" t="s">
        <v>478</v>
      </c>
      <c r="AB133" s="1186"/>
      <c r="AC133" s="551" t="str">
        <f t="shared" si="37"/>
        <v/>
      </c>
      <c r="AD133" s="1055" t="str">
        <f>P439</f>
        <v/>
      </c>
      <c r="AE133" s="555" t="s">
        <v>770</v>
      </c>
    </row>
    <row r="134" spans="1:31" ht="11.25" customHeight="1">
      <c r="A134" s="611">
        <v>2</v>
      </c>
      <c r="F134" s="82" t="str">
        <f>$F$49</f>
        <v>Inspection Results</v>
      </c>
      <c r="K134" s="132" t="str">
        <f>$F$5</f>
        <v>Radiographic System Compliance Inspection</v>
      </c>
      <c r="L134" s="676" t="s">
        <v>432</v>
      </c>
      <c r="M134" s="1291" t="s">
        <v>1160</v>
      </c>
      <c r="N134" s="1291"/>
      <c r="O134" s="49">
        <v>23</v>
      </c>
      <c r="P134" s="1163">
        <v>893</v>
      </c>
      <c r="Q134" s="1163">
        <v>893</v>
      </c>
      <c r="R134" s="49">
        <f t="shared" si="38"/>
        <v>7.8226800000000001</v>
      </c>
      <c r="S134" s="49">
        <f t="shared" si="38"/>
        <v>7.8226800000000001</v>
      </c>
      <c r="X134" s="664" t="s">
        <v>432</v>
      </c>
      <c r="Y134" s="457"/>
      <c r="Z134" s="462"/>
      <c r="AA134" s="462" t="s">
        <v>479</v>
      </c>
      <c r="AB134" s="1186"/>
      <c r="AC134" s="551" t="str">
        <f t="shared" si="37"/>
        <v/>
      </c>
      <c r="AD134" s="1055" t="str">
        <f>Q439</f>
        <v/>
      </c>
      <c r="AE134" s="555" t="s">
        <v>771</v>
      </c>
    </row>
    <row r="135" spans="1:31" ht="11.25" customHeight="1" thickBot="1">
      <c r="A135" s="611">
        <v>3</v>
      </c>
      <c r="L135" s="676" t="s">
        <v>432</v>
      </c>
      <c r="M135" s="1291" t="s">
        <v>1161</v>
      </c>
      <c r="N135" s="1291"/>
      <c r="O135" s="49">
        <v>23</v>
      </c>
      <c r="P135" s="1163">
        <v>612</v>
      </c>
      <c r="Q135" s="1163">
        <v>612</v>
      </c>
      <c r="R135" s="49">
        <f t="shared" si="38"/>
        <v>5.3611200000000006</v>
      </c>
      <c r="S135" s="49">
        <f t="shared" si="38"/>
        <v>5.3611200000000006</v>
      </c>
      <c r="X135" s="664" t="s">
        <v>432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432</v>
      </c>
      <c r="M136" s="1291" t="s">
        <v>1162</v>
      </c>
      <c r="N136" s="1291"/>
      <c r="O136" s="49">
        <v>8</v>
      </c>
      <c r="P136" s="1163">
        <v>111</v>
      </c>
      <c r="Q136" s="1163">
        <v>111</v>
      </c>
      <c r="R136" s="49">
        <f t="shared" si="38"/>
        <v>0.97236</v>
      </c>
      <c r="S136" s="49">
        <f t="shared" si="38"/>
        <v>0.97236</v>
      </c>
      <c r="X136" s="664" t="s">
        <v>432</v>
      </c>
      <c r="Y136" s="457"/>
      <c r="Z136" s="462"/>
      <c r="AA136" s="462" t="s">
        <v>486</v>
      </c>
      <c r="AB136" s="1186"/>
      <c r="AC136" s="551" t="str">
        <f t="shared" si="37"/>
        <v/>
      </c>
      <c r="AD136" s="1057" t="str">
        <f>O601</f>
        <v/>
      </c>
      <c r="AE136" s="555" t="s">
        <v>772</v>
      </c>
    </row>
    <row r="137" spans="1:31" ht="11.25" customHeight="1">
      <c r="A137" s="611">
        <v>5</v>
      </c>
      <c r="B137" s="127"/>
      <c r="F137" s="99" t="s">
        <v>513</v>
      </c>
      <c r="J137" s="262" t="s">
        <v>437</v>
      </c>
      <c r="K137" s="395"/>
      <c r="L137" s="676" t="s">
        <v>432</v>
      </c>
      <c r="M137" s="1291" t="s">
        <v>1163</v>
      </c>
      <c r="N137" s="1291"/>
      <c r="O137" s="49">
        <v>15</v>
      </c>
      <c r="P137" s="1163">
        <v>45</v>
      </c>
      <c r="Q137" s="1163">
        <v>45</v>
      </c>
      <c r="R137" s="49">
        <f t="shared" si="38"/>
        <v>0.39419999999999999</v>
      </c>
      <c r="S137" s="49">
        <f t="shared" si="38"/>
        <v>0.39419999999999999</v>
      </c>
      <c r="X137" s="664" t="s">
        <v>432</v>
      </c>
      <c r="Y137" s="457"/>
      <c r="Z137" s="462"/>
      <c r="AA137" s="462" t="s">
        <v>488</v>
      </c>
      <c r="AB137" s="1186"/>
      <c r="AC137" s="551" t="str">
        <f t="shared" ref="AC137:AC200" si="39">IF(AND(OR(AB137="",AB137=0),OR(AD137="",AD137=0)),"",IF(AB137&lt;&gt;AD137,"Change",""))</f>
        <v/>
      </c>
      <c r="AD137" s="1058" t="str">
        <f>Q601</f>
        <v/>
      </c>
      <c r="AE137" s="555" t="s">
        <v>773</v>
      </c>
    </row>
    <row r="138" spans="1:31" ht="11.25" customHeight="1">
      <c r="A138" s="611">
        <v>6</v>
      </c>
      <c r="B138" s="127"/>
      <c r="D138" s="50" t="s">
        <v>514</v>
      </c>
      <c r="J138" s="114" t="str">
        <f>IF($J$679="NO","",$J$679)</f>
        <v>NA</v>
      </c>
      <c r="K138" s="343" t="str">
        <f>IF($J$679="NO","NO","")</f>
        <v/>
      </c>
      <c r="L138" s="676" t="s">
        <v>432</v>
      </c>
      <c r="M138" s="49"/>
      <c r="N138" s="49"/>
      <c r="O138" s="49"/>
      <c r="P138" s="49"/>
      <c r="Q138" s="49"/>
      <c r="R138" s="49"/>
      <c r="S138" s="49"/>
      <c r="X138" s="664" t="s">
        <v>432</v>
      </c>
      <c r="Y138" s="457"/>
      <c r="Z138" s="457"/>
      <c r="AA138" s="462" t="s">
        <v>489</v>
      </c>
      <c r="AB138" s="1186"/>
      <c r="AC138" s="551" t="str">
        <f t="shared" si="39"/>
        <v/>
      </c>
      <c r="AD138" s="1059" t="str">
        <f>S601</f>
        <v/>
      </c>
      <c r="AE138" s="555" t="s">
        <v>774</v>
      </c>
    </row>
    <row r="139" spans="1:31" ht="11.25" customHeight="1">
      <c r="A139" s="611">
        <v>7</v>
      </c>
      <c r="B139" s="110"/>
      <c r="C139" s="111"/>
      <c r="D139" s="50" t="s">
        <v>515</v>
      </c>
      <c r="E139" s="49"/>
      <c r="F139" s="49"/>
      <c r="G139" s="49"/>
      <c r="H139" s="49"/>
      <c r="I139" s="49"/>
      <c r="J139" s="114" t="str">
        <f>IF(OR(J1401="NO",J1412="NO"),"",IF(AND(J1401="NA",J1412="NA"),"NA",IF(OR(J1401="YES",J1412="YES"),"YES","TBD")))</f>
        <v>NA</v>
      </c>
      <c r="K139" s="343" t="str">
        <f>IF(OR(J1401="NO",J1412="NO"),"NO","")</f>
        <v/>
      </c>
      <c r="L139" s="676" t="s">
        <v>432</v>
      </c>
      <c r="M139" s="49"/>
      <c r="N139" s="49"/>
      <c r="O139" s="49"/>
      <c r="P139" s="49"/>
      <c r="Q139" s="49"/>
      <c r="R139" s="49"/>
      <c r="S139" s="49"/>
      <c r="X139" s="664" t="s">
        <v>432</v>
      </c>
      <c r="Z139" s="457"/>
      <c r="AA139" s="462" t="s">
        <v>490</v>
      </c>
      <c r="AB139" s="1189"/>
      <c r="AC139" s="551" t="str">
        <f t="shared" si="39"/>
        <v>Change</v>
      </c>
      <c r="AD139" s="1055">
        <f>IF(U602&lt;&gt;"",U602,U601)</f>
        <v>2</v>
      </c>
      <c r="AE139" s="555" t="str">
        <f>IF(U602&lt;&gt;"","U602","U601")</f>
        <v>U601</v>
      </c>
    </row>
    <row r="140" spans="1:31" ht="11.25" customHeight="1">
      <c r="A140" s="611">
        <v>8</v>
      </c>
      <c r="B140" s="127"/>
      <c r="K140" s="71"/>
      <c r="L140" s="676" t="s">
        <v>432</v>
      </c>
      <c r="M140" s="49"/>
      <c r="N140" s="49"/>
      <c r="O140" s="49"/>
      <c r="P140" s="49"/>
      <c r="Q140" s="49"/>
      <c r="R140" s="49"/>
      <c r="S140" s="49"/>
      <c r="X140" s="664" t="s">
        <v>432</v>
      </c>
      <c r="Z140" s="457"/>
      <c r="AB140" s="49"/>
      <c r="AC140" s="551" t="str">
        <f t="shared" si="39"/>
        <v/>
      </c>
      <c r="AD140" s="457"/>
    </row>
    <row r="141" spans="1:31" ht="11.25" customHeight="1">
      <c r="A141" s="611">
        <v>9</v>
      </c>
      <c r="B141" s="127"/>
      <c r="F141" s="99" t="s">
        <v>516</v>
      </c>
      <c r="J141" s="129"/>
      <c r="K141" s="399"/>
      <c r="L141" s="676" t="s">
        <v>432</v>
      </c>
      <c r="M141" s="49"/>
      <c r="N141" s="49"/>
      <c r="O141" s="49"/>
      <c r="P141" s="49"/>
      <c r="Q141" s="49"/>
      <c r="R141" s="49"/>
      <c r="S141" s="49"/>
      <c r="X141" s="664" t="s">
        <v>432</v>
      </c>
      <c r="Z141" s="457"/>
      <c r="AA141" s="462" t="s">
        <v>517</v>
      </c>
      <c r="AB141" s="1186"/>
      <c r="AC141" s="551" t="str">
        <f t="shared" si="39"/>
        <v>Change</v>
      </c>
      <c r="AD141" s="1051" t="str">
        <f>V448</f>
        <v>cm</v>
      </c>
      <c r="AE141" s="555" t="s">
        <v>775</v>
      </c>
    </row>
    <row r="142" spans="1:31" ht="11.25" customHeight="1">
      <c r="A142" s="611">
        <v>10</v>
      </c>
      <c r="B142" s="110" t="s">
        <v>1196</v>
      </c>
      <c r="C142" s="53"/>
      <c r="D142" s="50" t="s">
        <v>518</v>
      </c>
      <c r="F142" s="49"/>
      <c r="G142" s="49"/>
      <c r="H142" s="49"/>
      <c r="I142" s="49"/>
      <c r="J142" s="114" t="str">
        <f>IF(OR(J1026="TBD",J1026="NA"),"NA",IF(J1026&lt;&gt;"",J1026,""))</f>
        <v>NA</v>
      </c>
      <c r="K142" s="343" t="str">
        <f>IF(K1224&lt;&gt;"",K1224,K1026)</f>
        <v/>
      </c>
      <c r="L142" s="676" t="s">
        <v>432</v>
      </c>
      <c r="X142" s="664" t="s">
        <v>432</v>
      </c>
      <c r="Z142" s="457"/>
      <c r="AA142" s="462" t="s">
        <v>519</v>
      </c>
      <c r="AB142" s="1186"/>
      <c r="AC142" s="551" t="str">
        <f t="shared" si="39"/>
        <v/>
      </c>
      <c r="AD142" s="1058" t="str">
        <f>M616</f>
        <v/>
      </c>
      <c r="AE142" s="555" t="s">
        <v>776</v>
      </c>
    </row>
    <row r="143" spans="1:31" ht="11.25" customHeight="1">
      <c r="A143" s="611">
        <v>11</v>
      </c>
      <c r="B143" s="110" t="s">
        <v>1197</v>
      </c>
      <c r="C143" s="53"/>
      <c r="D143" s="50" t="s">
        <v>520</v>
      </c>
      <c r="F143" s="49"/>
      <c r="G143" s="49"/>
      <c r="H143" s="49" t="s">
        <v>521</v>
      </c>
      <c r="I143" s="48" t="str">
        <f>IF(AND($I$1027="",$I$1225=""),"",IF($I$1225&lt;&gt;"",$I$1225,$I$1027))</f>
        <v/>
      </c>
      <c r="J143" s="114" t="str">
        <f>IF(OR(J1027="TBD",J1027="NA"),"NA",IF(J1027&lt;&gt;"",J1027,""))</f>
        <v>NA</v>
      </c>
      <c r="K143" s="343" t="str">
        <f>IF(K1225&lt;&gt;"",K1225,K1027)</f>
        <v/>
      </c>
      <c r="L143" s="676" t="s">
        <v>432</v>
      </c>
      <c r="X143" s="664" t="s">
        <v>432</v>
      </c>
      <c r="Z143" s="457"/>
      <c r="AA143" s="462" t="s">
        <v>522</v>
      </c>
      <c r="AB143" s="1186"/>
      <c r="AC143" s="551" t="str">
        <f t="shared" si="39"/>
        <v/>
      </c>
      <c r="AD143" s="1058" t="str">
        <f>M617</f>
        <v/>
      </c>
      <c r="AE143" s="555" t="s">
        <v>777</v>
      </c>
    </row>
    <row r="144" spans="1:31" ht="11.25" customHeight="1">
      <c r="A144" s="611">
        <v>12</v>
      </c>
      <c r="B144" s="110" t="s">
        <v>1198</v>
      </c>
      <c r="C144" s="53"/>
      <c r="D144" s="50" t="s">
        <v>523</v>
      </c>
      <c r="F144" s="49"/>
      <c r="G144" s="49"/>
      <c r="H144" s="49"/>
      <c r="I144" s="49"/>
      <c r="J144" s="114" t="str">
        <f>IF(OR(J1028="TBD",J1028="NA"),"NA",IF(J1028&lt;&gt;"",J1028,""))</f>
        <v>NA</v>
      </c>
      <c r="K144" s="343" t="str">
        <f>IF(K1226&lt;&gt;"",K1226,K1028)</f>
        <v/>
      </c>
      <c r="L144" s="676" t="s">
        <v>432</v>
      </c>
      <c r="X144" s="664" t="s">
        <v>432</v>
      </c>
      <c r="Z144" s="457"/>
      <c r="AA144" s="457"/>
      <c r="AB144" s="49"/>
      <c r="AC144" s="551" t="str">
        <f t="shared" si="39"/>
        <v/>
      </c>
      <c r="AD144" s="457"/>
    </row>
    <row r="145" spans="1:31" ht="11.25" customHeight="1">
      <c r="A145" s="611">
        <v>13</v>
      </c>
      <c r="B145" s="110"/>
      <c r="C145" s="128"/>
      <c r="D145" s="50" t="s">
        <v>11</v>
      </c>
      <c r="J145" s="114" t="str">
        <f>IF(K1012="TBD","NA",IF(K1012="NO","",K1012))</f>
        <v>NA</v>
      </c>
      <c r="K145" s="343" t="str">
        <f>IF($K$1012="NO","NO","")</f>
        <v/>
      </c>
      <c r="L145" s="676" t="s">
        <v>432</v>
      </c>
      <c r="X145" s="664" t="s">
        <v>432</v>
      </c>
      <c r="Z145" s="457"/>
      <c r="AA145" s="132" t="s">
        <v>493</v>
      </c>
      <c r="AB145" s="49"/>
      <c r="AC145" s="551" t="str">
        <f t="shared" si="39"/>
        <v/>
      </c>
      <c r="AD145" s="457"/>
    </row>
    <row r="146" spans="1:31" ht="11.25" customHeight="1">
      <c r="A146" s="611">
        <v>14</v>
      </c>
      <c r="B146" s="127"/>
      <c r="K146" s="71"/>
      <c r="L146" s="676" t="s">
        <v>432</v>
      </c>
      <c r="X146" s="664" t="s">
        <v>432</v>
      </c>
      <c r="Z146" s="457"/>
      <c r="AA146" s="462" t="s">
        <v>494</v>
      </c>
      <c r="AB146" s="1186"/>
      <c r="AC146" s="551" t="str">
        <f t="shared" si="39"/>
        <v/>
      </c>
      <c r="AD146" s="1058" t="str">
        <f>N616</f>
        <v/>
      </c>
      <c r="AE146" s="555" t="s">
        <v>778</v>
      </c>
    </row>
    <row r="147" spans="1:31" ht="11.25" customHeight="1">
      <c r="A147" s="611">
        <v>15</v>
      </c>
      <c r="B147" s="127"/>
      <c r="F147" s="99" t="s">
        <v>524</v>
      </c>
      <c r="K147" s="71"/>
      <c r="L147" s="676" t="s">
        <v>432</v>
      </c>
      <c r="X147" s="664" t="s">
        <v>432</v>
      </c>
      <c r="Z147" s="457"/>
      <c r="AA147" s="462" t="s">
        <v>525</v>
      </c>
      <c r="AB147" s="1186"/>
      <c r="AC147" s="551" t="str">
        <f t="shared" si="39"/>
        <v/>
      </c>
      <c r="AD147" s="1058" t="str">
        <f>O616</f>
        <v/>
      </c>
      <c r="AE147" s="555" t="s">
        <v>779</v>
      </c>
    </row>
    <row r="148" spans="1:31" ht="11.25" customHeight="1">
      <c r="A148" s="611">
        <v>16</v>
      </c>
      <c r="B148" s="110"/>
      <c r="C148" s="128"/>
      <c r="D148" s="50" t="s">
        <v>12</v>
      </c>
      <c r="H148" s="54"/>
      <c r="I148" s="48" t="str">
        <f>IF(W1261&lt;&gt;"",H1262,H1063)</f>
        <v>O.D.:_____</v>
      </c>
      <c r="J148" s="114" t="str">
        <f>IF(J1063="TBD","NA",IF(J1063="NO","",J1063))</f>
        <v>NA</v>
      </c>
      <c r="K148" s="343" t="str">
        <f>IF(J148="","NO","")</f>
        <v/>
      </c>
      <c r="L148" s="676" t="s">
        <v>432</v>
      </c>
      <c r="X148" s="664" t="s">
        <v>432</v>
      </c>
      <c r="Z148" s="457"/>
      <c r="AA148" s="462" t="s">
        <v>497</v>
      </c>
      <c r="AB148" s="1186"/>
      <c r="AC148" s="551" t="str">
        <f t="shared" si="39"/>
        <v/>
      </c>
      <c r="AD148" s="1058" t="str">
        <f>N617</f>
        <v/>
      </c>
      <c r="AE148" s="555" t="s">
        <v>780</v>
      </c>
    </row>
    <row r="149" spans="1:31" ht="11.25" customHeight="1">
      <c r="A149" s="611">
        <v>17</v>
      </c>
      <c r="B149" s="110"/>
      <c r="C149" s="128"/>
      <c r="D149" s="50" t="s">
        <v>13</v>
      </c>
      <c r="E149" s="50"/>
      <c r="F149" s="50"/>
      <c r="G149" s="50"/>
      <c r="H149" s="50"/>
      <c r="I149" s="50"/>
      <c r="J149" s="114" t="str">
        <f>IF(J1081="TBD","NA",IF(J1081="NO","",J1081))</f>
        <v>NA</v>
      </c>
      <c r="K149" s="343" t="str">
        <f>IF(J149="","NO","")</f>
        <v/>
      </c>
      <c r="L149" s="676" t="s">
        <v>432</v>
      </c>
      <c r="X149" s="664" t="s">
        <v>432</v>
      </c>
      <c r="Z149" s="457"/>
      <c r="AA149" s="462" t="s">
        <v>526</v>
      </c>
      <c r="AB149" s="1186"/>
      <c r="AC149" s="551" t="str">
        <f t="shared" si="39"/>
        <v/>
      </c>
      <c r="AD149" s="1058" t="str">
        <f>O617</f>
        <v/>
      </c>
      <c r="AE149" s="555" t="s">
        <v>781</v>
      </c>
    </row>
    <row r="150" spans="1:31" ht="11.25" customHeight="1">
      <c r="A150" s="611">
        <v>18</v>
      </c>
      <c r="B150" s="110"/>
      <c r="C150" s="128"/>
      <c r="D150" s="50" t="s">
        <v>527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432</v>
      </c>
      <c r="X150" s="664" t="s">
        <v>432</v>
      </c>
      <c r="Z150" s="457"/>
      <c r="AA150" s="457"/>
      <c r="AB150" s="49"/>
      <c r="AC150" s="551" t="str">
        <f t="shared" si="39"/>
        <v/>
      </c>
      <c r="AD150" s="457"/>
    </row>
    <row r="151" spans="1:31" ht="11.25" customHeight="1">
      <c r="A151" s="611">
        <v>19</v>
      </c>
      <c r="B151" s="110"/>
      <c r="C151" s="128"/>
      <c r="D151" s="50" t="s">
        <v>14</v>
      </c>
      <c r="E151" s="50"/>
      <c r="F151" s="50"/>
      <c r="G151" s="50"/>
      <c r="H151" s="50"/>
      <c r="I151" s="50"/>
      <c r="J151" s="114" t="str">
        <f>IF(I1100="TBD","NA",IF(OR(I1100="NO",C1097="NO",E1097="NO",G1097="NO",I1097="NO",C1099="NO",E1099="NO",G1099="NO",I1099="NO"),"",I1100))</f>
        <v>NA</v>
      </c>
      <c r="K151" s="343" t="str">
        <f>IF(J151="","NO","")</f>
        <v/>
      </c>
      <c r="L151" s="676" t="s">
        <v>432</v>
      </c>
      <c r="X151" s="664" t="s">
        <v>432</v>
      </c>
      <c r="Y151" s="462"/>
      <c r="Z151" s="457"/>
      <c r="AA151" s="462" t="s">
        <v>502</v>
      </c>
      <c r="AB151" s="1186"/>
      <c r="AC151" s="551" t="str">
        <f t="shared" si="39"/>
        <v/>
      </c>
      <c r="AD151" s="1057" t="str">
        <f>M635</f>
        <v/>
      </c>
      <c r="AE151" s="555" t="s">
        <v>782</v>
      </c>
    </row>
    <row r="152" spans="1:31" ht="11.25" customHeight="1">
      <c r="A152" s="611">
        <v>20</v>
      </c>
      <c r="B152" s="127"/>
      <c r="K152" s="399"/>
      <c r="L152" s="676" t="s">
        <v>432</v>
      </c>
      <c r="X152" s="664" t="s">
        <v>432</v>
      </c>
      <c r="Y152" s="462"/>
      <c r="AA152" s="462" t="s">
        <v>504</v>
      </c>
      <c r="AB152" s="1186"/>
      <c r="AC152" s="551" t="str">
        <f t="shared" si="39"/>
        <v/>
      </c>
      <c r="AD152" s="1057" t="str">
        <f>M653</f>
        <v/>
      </c>
      <c r="AE152" s="555" t="s">
        <v>783</v>
      </c>
    </row>
    <row r="153" spans="1:31" ht="11.25" customHeight="1">
      <c r="A153" s="611">
        <v>21</v>
      </c>
      <c r="B153" s="127"/>
      <c r="F153" s="99" t="s">
        <v>528</v>
      </c>
      <c r="J153" s="114"/>
      <c r="K153" s="343"/>
      <c r="L153" s="676" t="s">
        <v>432</v>
      </c>
      <c r="X153" s="664" t="s">
        <v>432</v>
      </c>
      <c r="Y153" s="462"/>
      <c r="Z153" s="462"/>
      <c r="AA153" s="462"/>
      <c r="AB153" s="49"/>
      <c r="AC153" s="551" t="str">
        <f t="shared" si="39"/>
        <v/>
      </c>
      <c r="AD153" s="462"/>
    </row>
    <row r="154" spans="1:31" ht="11.25" customHeight="1">
      <c r="A154" s="611">
        <v>22</v>
      </c>
      <c r="B154" s="110"/>
      <c r="C154" s="128"/>
      <c r="D154" s="50" t="s">
        <v>12</v>
      </c>
      <c r="H154" s="54"/>
      <c r="I154" s="48" t="str">
        <f>IF(W1327&lt;&gt;"",H1328,H1129)</f>
        <v>O.D.:_____</v>
      </c>
      <c r="J154" s="114" t="str">
        <f>IF(J1129="TBD","NA",IF(J1129="NO","",J1129))</f>
        <v>NA</v>
      </c>
      <c r="K154" s="343" t="str">
        <f>IF(J154="","NO","")</f>
        <v/>
      </c>
      <c r="L154" s="676" t="s">
        <v>432</v>
      </c>
      <c r="X154" s="664" t="s">
        <v>432</v>
      </c>
      <c r="Y154" s="462"/>
      <c r="Z154" s="462"/>
      <c r="AA154" s="132" t="s">
        <v>529</v>
      </c>
      <c r="AB154" s="49"/>
      <c r="AC154" s="551" t="str">
        <f t="shared" si="39"/>
        <v/>
      </c>
      <c r="AD154" s="462"/>
    </row>
    <row r="155" spans="1:31" ht="11.25" customHeight="1">
      <c r="A155" s="611">
        <v>23</v>
      </c>
      <c r="B155" s="110"/>
      <c r="C155" s="128"/>
      <c r="D155" s="50" t="s">
        <v>13</v>
      </c>
      <c r="E155" s="50"/>
      <c r="F155" s="50"/>
      <c r="G155" s="50"/>
      <c r="H155" s="50"/>
      <c r="I155" s="50"/>
      <c r="J155" s="114" t="str">
        <f>IF(J1147="TBD","NA",IF(J1147="NO","",J1147))</f>
        <v>NA</v>
      </c>
      <c r="K155" s="343" t="str">
        <f>IF(J155="","NO","")</f>
        <v/>
      </c>
      <c r="L155" s="676" t="s">
        <v>432</v>
      </c>
      <c r="X155" s="664" t="s">
        <v>432</v>
      </c>
      <c r="Y155" s="462"/>
      <c r="Z155" s="462" t="s">
        <v>530</v>
      </c>
      <c r="AA155" s="462" t="s">
        <v>531</v>
      </c>
      <c r="AB155" s="1186"/>
      <c r="AC155" s="551" t="str">
        <f t="shared" si="39"/>
        <v>Change</v>
      </c>
      <c r="AD155" s="1051" t="str">
        <f>P667</f>
        <v>mA</v>
      </c>
      <c r="AE155" s="555" t="s">
        <v>784</v>
      </c>
    </row>
    <row r="156" spans="1:31" ht="11.25" customHeight="1">
      <c r="A156" s="611">
        <v>24</v>
      </c>
      <c r="B156" s="110"/>
      <c r="C156" s="128"/>
      <c r="D156" s="50" t="s">
        <v>527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432</v>
      </c>
      <c r="X156" s="664" t="s">
        <v>432</v>
      </c>
      <c r="Y156" s="462"/>
      <c r="Z156" s="462"/>
      <c r="AA156" s="462" t="s">
        <v>486</v>
      </c>
      <c r="AB156" s="1186"/>
      <c r="AC156" s="551" t="str">
        <f t="shared" si="39"/>
        <v/>
      </c>
      <c r="AD156" s="1053" t="str">
        <f>O669</f>
        <v/>
      </c>
      <c r="AE156" s="555" t="s">
        <v>785</v>
      </c>
    </row>
    <row r="157" spans="1:31" ht="11.25" customHeight="1">
      <c r="A157" s="611">
        <v>25</v>
      </c>
      <c r="B157" s="110"/>
      <c r="C157" s="128"/>
      <c r="D157" s="50" t="s">
        <v>14</v>
      </c>
      <c r="E157" s="50"/>
      <c r="F157" s="50"/>
      <c r="G157" s="50"/>
      <c r="H157" s="50"/>
      <c r="I157" s="50"/>
      <c r="J157" s="114" t="str">
        <f>IF(I1166="TBD","NA",IF(OR(I1166="NO",C1163="NO",E1163="NO",G1163="NO",I1163="NO",C1165="NO",E1165="NO",G1165="NO",I1165="NO"),"",I1166))</f>
        <v>NA</v>
      </c>
      <c r="K157" s="343" t="str">
        <f>IF(J157="","NO","")</f>
        <v/>
      </c>
      <c r="L157" s="676" t="s">
        <v>432</v>
      </c>
      <c r="X157" s="664" t="s">
        <v>432</v>
      </c>
      <c r="Y157" s="462"/>
      <c r="Z157" s="462"/>
      <c r="AA157" s="462" t="s">
        <v>488</v>
      </c>
      <c r="AB157" s="1186"/>
      <c r="AC157" s="551" t="str">
        <f t="shared" si="39"/>
        <v/>
      </c>
      <c r="AD157" s="1053" t="str">
        <f>P669</f>
        <v/>
      </c>
      <c r="AE157" s="555" t="s">
        <v>786</v>
      </c>
    </row>
    <row r="158" spans="1:31" ht="11.25" customHeight="1">
      <c r="A158" s="611">
        <v>26</v>
      </c>
      <c r="B158" s="127"/>
      <c r="K158" s="399"/>
      <c r="L158" s="676" t="s">
        <v>432</v>
      </c>
      <c r="X158" s="664" t="s">
        <v>432</v>
      </c>
      <c r="Y158" s="462"/>
      <c r="Z158" s="462"/>
      <c r="AA158" s="462" t="s">
        <v>489</v>
      </c>
      <c r="AB158" s="1188"/>
      <c r="AC158" s="551" t="str">
        <f t="shared" si="39"/>
        <v/>
      </c>
      <c r="AD158" s="1059" t="str">
        <f>Q669</f>
        <v/>
      </c>
      <c r="AE158" s="555" t="s">
        <v>787</v>
      </c>
    </row>
    <row r="159" spans="1:31" ht="11.25" customHeight="1">
      <c r="A159" s="611">
        <v>27</v>
      </c>
      <c r="B159" s="127"/>
      <c r="F159" s="99" t="s">
        <v>532</v>
      </c>
      <c r="J159" s="114"/>
      <c r="K159" s="343"/>
      <c r="L159" s="676" t="s">
        <v>432</v>
      </c>
      <c r="X159" s="664" t="s">
        <v>432</v>
      </c>
      <c r="Y159" s="462"/>
      <c r="Z159" s="462"/>
      <c r="AA159" s="462" t="s">
        <v>533</v>
      </c>
      <c r="AB159" s="1187"/>
      <c r="AC159" s="551" t="str">
        <f t="shared" si="39"/>
        <v/>
      </c>
      <c r="AD159" s="1056" t="str">
        <f>R669</f>
        <v/>
      </c>
      <c r="AE159" s="555" t="s">
        <v>788</v>
      </c>
    </row>
    <row r="160" spans="1:31" ht="11.25" customHeight="1">
      <c r="A160" s="611">
        <v>28</v>
      </c>
      <c r="B160" s="110"/>
      <c r="C160" s="111"/>
      <c r="D160" s="50" t="s">
        <v>534</v>
      </c>
      <c r="E160" s="49"/>
      <c r="F160" s="49"/>
      <c r="G160" s="49"/>
      <c r="H160" s="49"/>
      <c r="I160" s="49"/>
      <c r="J160" s="114" t="str">
        <f t="shared" ref="J160:J167" si="40">IF(M1441="","TBD",IF(M1441=1,"YES",IF(M1441=3,"NA","")))</f>
        <v>TBD</v>
      </c>
      <c r="K160" s="343" t="str">
        <f t="shared" ref="K160:K168" si="41">IF(M1441=2,"NO","")</f>
        <v/>
      </c>
      <c r="L160" s="676" t="s">
        <v>432</v>
      </c>
      <c r="X160" s="664" t="s">
        <v>432</v>
      </c>
      <c r="Y160" s="462"/>
      <c r="Z160" s="462"/>
      <c r="AA160" s="462" t="s">
        <v>535</v>
      </c>
      <c r="AB160" s="1187"/>
      <c r="AC160" s="551" t="str">
        <f t="shared" si="39"/>
        <v/>
      </c>
      <c r="AD160" s="1056" t="str">
        <f>S669</f>
        <v/>
      </c>
      <c r="AE160" s="555" t="s">
        <v>789</v>
      </c>
    </row>
    <row r="161" spans="1:32" ht="11.25" customHeight="1">
      <c r="A161" s="611">
        <v>29</v>
      </c>
      <c r="B161" s="110"/>
      <c r="C161" s="111"/>
      <c r="D161" s="50" t="s">
        <v>536</v>
      </c>
      <c r="E161" s="49"/>
      <c r="F161" s="49"/>
      <c r="G161" s="49"/>
      <c r="H161" s="49"/>
      <c r="I161" s="49"/>
      <c r="J161" s="114" t="str">
        <f t="shared" si="40"/>
        <v>TBD</v>
      </c>
      <c r="K161" s="343" t="str">
        <f t="shared" si="41"/>
        <v/>
      </c>
      <c r="L161" s="676" t="s">
        <v>432</v>
      </c>
      <c r="X161" s="664" t="s">
        <v>432</v>
      </c>
      <c r="Y161" s="462"/>
      <c r="Z161" s="462"/>
      <c r="AA161" s="462"/>
      <c r="AB161" s="49"/>
      <c r="AC161" s="551" t="str">
        <f t="shared" si="39"/>
        <v/>
      </c>
      <c r="AD161" s="462"/>
    </row>
    <row r="162" spans="1:32" ht="11.25" customHeight="1">
      <c r="A162" s="611">
        <v>30</v>
      </c>
      <c r="B162" s="110"/>
      <c r="C162" s="111"/>
      <c r="D162" s="50" t="s">
        <v>537</v>
      </c>
      <c r="E162" s="49"/>
      <c r="F162" s="49"/>
      <c r="G162" s="49"/>
      <c r="H162" s="49"/>
      <c r="I162" s="49"/>
      <c r="J162" s="114" t="str">
        <f t="shared" si="40"/>
        <v>TBD</v>
      </c>
      <c r="K162" s="343" t="str">
        <f t="shared" si="41"/>
        <v/>
      </c>
      <c r="L162" s="676" t="s">
        <v>432</v>
      </c>
      <c r="X162" s="664" t="s">
        <v>432</v>
      </c>
      <c r="Y162" s="462"/>
      <c r="Z162" s="462"/>
      <c r="AA162" s="462" t="s">
        <v>538</v>
      </c>
      <c r="AB162" s="1189"/>
      <c r="AC162" s="551" t="str">
        <f t="shared" si="39"/>
        <v/>
      </c>
      <c r="AD162" s="1055" t="str">
        <f>IF(U669="","",U669)</f>
        <v/>
      </c>
      <c r="AE162" s="555" t="s">
        <v>790</v>
      </c>
    </row>
    <row r="163" spans="1:32" ht="11.25" customHeight="1">
      <c r="A163" s="611">
        <v>31</v>
      </c>
      <c r="B163" s="110"/>
      <c r="C163" s="111"/>
      <c r="D163" s="50" t="s">
        <v>539</v>
      </c>
      <c r="E163" s="50"/>
      <c r="F163" s="50"/>
      <c r="G163" s="50"/>
      <c r="H163" s="50"/>
      <c r="I163" s="50"/>
      <c r="J163" s="114" t="str">
        <f t="shared" si="40"/>
        <v>TBD</v>
      </c>
      <c r="K163" s="343" t="str">
        <f t="shared" si="41"/>
        <v/>
      </c>
      <c r="L163" s="676" t="s">
        <v>432</v>
      </c>
      <c r="X163" s="664" t="s">
        <v>432</v>
      </c>
      <c r="Y163" s="462"/>
      <c r="Z163" s="462"/>
      <c r="AA163" s="462" t="s">
        <v>540</v>
      </c>
      <c r="AB163" s="1189"/>
      <c r="AC163" s="551" t="str">
        <f t="shared" si="39"/>
        <v/>
      </c>
      <c r="AD163" s="1055" t="str">
        <f>IF(V669="","",V669)</f>
        <v/>
      </c>
      <c r="AE163" s="555" t="s">
        <v>791</v>
      </c>
    </row>
    <row r="164" spans="1:32" ht="11.25" customHeight="1">
      <c r="A164" s="611">
        <v>32</v>
      </c>
      <c r="B164" s="110"/>
      <c r="C164" s="111"/>
      <c r="D164" s="50" t="s">
        <v>541</v>
      </c>
      <c r="E164" s="50"/>
      <c r="F164" s="50"/>
      <c r="G164" s="50"/>
      <c r="H164" s="50"/>
      <c r="I164" s="50"/>
      <c r="J164" s="114" t="str">
        <f t="shared" si="40"/>
        <v>TBD</v>
      </c>
      <c r="K164" s="343" t="str">
        <f t="shared" si="41"/>
        <v/>
      </c>
      <c r="L164" s="676" t="s">
        <v>432</v>
      </c>
      <c r="X164" s="664" t="s">
        <v>432</v>
      </c>
      <c r="Y164" s="462"/>
      <c r="Z164" s="462"/>
      <c r="AA164" s="462"/>
      <c r="AB164" s="49"/>
      <c r="AC164" s="551" t="str">
        <f t="shared" si="39"/>
        <v/>
      </c>
      <c r="AD164" s="462"/>
    </row>
    <row r="165" spans="1:32" ht="11.25" customHeight="1">
      <c r="A165" s="611">
        <v>33</v>
      </c>
      <c r="B165" s="110"/>
      <c r="C165" s="111"/>
      <c r="D165" s="50" t="s">
        <v>542</v>
      </c>
      <c r="E165" s="50"/>
      <c r="F165" s="50"/>
      <c r="G165" s="50"/>
      <c r="H165" s="50"/>
      <c r="I165" s="50"/>
      <c r="J165" s="114" t="str">
        <f t="shared" si="40"/>
        <v>TBD</v>
      </c>
      <c r="K165" s="343" t="str">
        <f t="shared" si="41"/>
        <v/>
      </c>
      <c r="L165" s="676" t="s">
        <v>432</v>
      </c>
      <c r="X165" s="664" t="s">
        <v>432</v>
      </c>
      <c r="Y165" s="462"/>
      <c r="Z165" s="462" t="s">
        <v>543</v>
      </c>
      <c r="AA165" s="462" t="s">
        <v>531</v>
      </c>
      <c r="AB165" s="1186"/>
      <c r="AC165" s="551" t="str">
        <f t="shared" si="39"/>
        <v>Change</v>
      </c>
      <c r="AD165" s="1051" t="str">
        <f>P672</f>
        <v>mA</v>
      </c>
      <c r="AE165" s="555" t="s">
        <v>792</v>
      </c>
    </row>
    <row r="166" spans="1:32" ht="11.25" customHeight="1">
      <c r="A166" s="611">
        <v>34</v>
      </c>
      <c r="B166" s="110"/>
      <c r="C166" s="111"/>
      <c r="D166" s="50" t="s">
        <v>544</v>
      </c>
      <c r="E166" s="50"/>
      <c r="F166" s="50"/>
      <c r="G166" s="50"/>
      <c r="H166" s="50"/>
      <c r="I166" s="50"/>
      <c r="J166" s="114" t="str">
        <f t="shared" si="40"/>
        <v>TBD</v>
      </c>
      <c r="K166" s="343" t="str">
        <f t="shared" si="41"/>
        <v/>
      </c>
      <c r="L166" s="676" t="s">
        <v>432</v>
      </c>
      <c r="X166" s="664" t="s">
        <v>432</v>
      </c>
      <c r="Y166" s="462"/>
      <c r="Z166" s="462"/>
      <c r="AA166" s="462" t="s">
        <v>486</v>
      </c>
      <c r="AB166" s="1186"/>
      <c r="AC166" s="551" t="str">
        <f t="shared" si="39"/>
        <v/>
      </c>
      <c r="AD166" s="1053" t="str">
        <f>O674</f>
        <v/>
      </c>
      <c r="AE166" s="555" t="s">
        <v>793</v>
      </c>
    </row>
    <row r="167" spans="1:32" ht="11.25" customHeight="1">
      <c r="A167" s="611">
        <v>35</v>
      </c>
      <c r="B167" s="110"/>
      <c r="C167" s="111"/>
      <c r="D167" s="50" t="s">
        <v>545</v>
      </c>
      <c r="E167" s="50"/>
      <c r="F167" s="50"/>
      <c r="G167" s="50"/>
      <c r="H167" s="50"/>
      <c r="I167" s="50"/>
      <c r="J167" s="114" t="str">
        <f t="shared" si="40"/>
        <v>TBD</v>
      </c>
      <c r="K167" s="343" t="str">
        <f t="shared" si="41"/>
        <v/>
      </c>
      <c r="L167" s="676" t="s">
        <v>432</v>
      </c>
      <c r="R167" s="190" t="s">
        <v>667</v>
      </c>
      <c r="X167" s="664" t="s">
        <v>432</v>
      </c>
      <c r="Y167" s="462"/>
      <c r="Z167" s="462"/>
      <c r="AA167" s="462" t="s">
        <v>488</v>
      </c>
      <c r="AB167" s="1186"/>
      <c r="AC167" s="551" t="str">
        <f t="shared" si="39"/>
        <v/>
      </c>
      <c r="AD167" s="1053" t="str">
        <f>P674</f>
        <v/>
      </c>
      <c r="AE167" s="555" t="s">
        <v>794</v>
      </c>
    </row>
    <row r="168" spans="1:32" ht="11.25" customHeight="1" thickBot="1">
      <c r="A168" s="611">
        <v>36</v>
      </c>
      <c r="B168" s="110"/>
      <c r="C168" s="111"/>
      <c r="D168" s="50" t="s">
        <v>546</v>
      </c>
      <c r="E168" s="49"/>
      <c r="F168" s="49"/>
      <c r="G168" s="49"/>
      <c r="H168" s="49"/>
      <c r="I168" s="49"/>
      <c r="J168" s="114" t="str">
        <f>IF(M1449="","TBD",IF(M1449=1,"YES",IF(M1449=3,"NA","")))</f>
        <v>TBD</v>
      </c>
      <c r="K168" s="343" t="str">
        <f t="shared" si="41"/>
        <v/>
      </c>
      <c r="L168" s="676" t="s">
        <v>432</v>
      </c>
      <c r="N168" s="135" t="s">
        <v>302</v>
      </c>
      <c r="X168" s="664" t="s">
        <v>432</v>
      </c>
      <c r="Y168" s="462"/>
      <c r="Z168" s="462"/>
      <c r="AA168" s="462" t="s">
        <v>489</v>
      </c>
      <c r="AB168" s="1188"/>
      <c r="AC168" s="551" t="str">
        <f t="shared" si="39"/>
        <v/>
      </c>
      <c r="AD168" s="1059" t="str">
        <f>Q674</f>
        <v/>
      </c>
      <c r="AE168" s="555" t="s">
        <v>795</v>
      </c>
    </row>
    <row r="169" spans="1:32" ht="11.25" customHeight="1" thickTop="1">
      <c r="A169" s="611">
        <v>37</v>
      </c>
      <c r="B169" s="127"/>
      <c r="D169" s="326" t="str">
        <f>O1450</f>
        <v/>
      </c>
      <c r="J169" s="114" t="str">
        <f>IF(M52=2,"",IF(OR(M52="",M1450=""),"TBD",IF(AND(M52=1,M1450=1),"YES",IF(OR(M52=2,M1450=3),"NA",""))))</f>
        <v/>
      </c>
      <c r="K169" s="343" t="str">
        <f>IF(AND(M52=1,M1450=2),"NO","")</f>
        <v/>
      </c>
      <c r="L169" s="676" t="s">
        <v>432</v>
      </c>
      <c r="M169" s="79"/>
      <c r="N169" s="62"/>
      <c r="O169" s="62"/>
      <c r="P169" s="439"/>
      <c r="Q169" s="683" t="s">
        <v>381</v>
      </c>
      <c r="R169" s="62"/>
      <c r="S169" s="62"/>
      <c r="T169" s="62"/>
      <c r="U169" s="62"/>
      <c r="V169" s="62"/>
      <c r="W169" s="80"/>
      <c r="X169" s="664" t="s">
        <v>432</v>
      </c>
      <c r="Y169" s="500"/>
      <c r="Z169" s="462"/>
      <c r="AA169" s="462" t="s">
        <v>533</v>
      </c>
      <c r="AB169" s="1187"/>
      <c r="AC169" s="551" t="str">
        <f t="shared" si="39"/>
        <v/>
      </c>
      <c r="AD169" s="1056" t="str">
        <f>R674</f>
        <v/>
      </c>
      <c r="AE169" s="555" t="s">
        <v>796</v>
      </c>
    </row>
    <row r="170" spans="1:32" ht="11.25" customHeight="1">
      <c r="A170" s="611">
        <v>38</v>
      </c>
      <c r="B170" s="102" t="s">
        <v>573</v>
      </c>
      <c r="C170" s="613" t="str">
        <f>IF(O170="","",IF(LEN(O170)&lt;=135,O170,IF(LEN(O170)&lt;=260,LEFT(O170,SEARCH(" ",O170,125)),LEFT(O170,SEARCH(" ",O170,130)))))</f>
        <v/>
      </c>
      <c r="D170" s="378"/>
      <c r="E170" s="378"/>
      <c r="F170" s="378"/>
      <c r="G170" s="378"/>
      <c r="H170" s="378"/>
      <c r="I170" s="378"/>
      <c r="J170" s="378"/>
      <c r="K170" s="69"/>
      <c r="L170" s="676" t="s">
        <v>432</v>
      </c>
      <c r="M170" s="652"/>
      <c r="N170" s="54" t="s">
        <v>573</v>
      </c>
      <c r="O170" s="1084"/>
      <c r="P170" s="440"/>
      <c r="Q170" s="677" t="str">
        <f>IF(OR(AB501=0,AB501=""),"",AB501)</f>
        <v/>
      </c>
      <c r="R170" s="48"/>
      <c r="S170" s="48"/>
      <c r="T170" s="48"/>
      <c r="U170" s="48"/>
      <c r="V170" s="48"/>
      <c r="W170" s="69"/>
      <c r="X170" s="664" t="s">
        <v>432</v>
      </c>
      <c r="Y170" s="500"/>
      <c r="Z170" s="462"/>
      <c r="AA170" s="462" t="s">
        <v>535</v>
      </c>
      <c r="AB170" s="1187"/>
      <c r="AC170" s="551" t="str">
        <f t="shared" si="39"/>
        <v/>
      </c>
      <c r="AD170" s="1056" t="str">
        <f>S674</f>
        <v/>
      </c>
      <c r="AE170" s="555" t="s">
        <v>797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432</v>
      </c>
      <c r="M171" s="85"/>
      <c r="N171" s="609" t="s">
        <v>303</v>
      </c>
      <c r="O171" s="1085"/>
      <c r="P171" s="610">
        <f>LEN(O170)</f>
        <v>0</v>
      </c>
      <c r="Q171" s="679"/>
      <c r="R171" s="682">
        <f>LEN(Q170)</f>
        <v>0</v>
      </c>
      <c r="S171" s="680" t="s">
        <v>52</v>
      </c>
      <c r="T171" s="59"/>
      <c r="U171" s="59"/>
      <c r="V171" s="59"/>
      <c r="W171" s="70"/>
      <c r="X171" s="664" t="s">
        <v>432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432</v>
      </c>
      <c r="M172" s="85"/>
      <c r="N172" s="54" t="s">
        <v>102</v>
      </c>
      <c r="O172" s="1084"/>
      <c r="P172" s="440"/>
      <c r="Q172" s="677" t="str">
        <f>IF(OR(AB503=0,AB503=""),"",AB503)</f>
        <v/>
      </c>
      <c r="R172" s="48"/>
      <c r="S172" s="48"/>
      <c r="T172" s="48"/>
      <c r="U172" s="48"/>
      <c r="V172" s="48"/>
      <c r="W172" s="69"/>
      <c r="X172" s="664" t="s">
        <v>432</v>
      </c>
      <c r="Y172" s="500"/>
      <c r="Z172" s="462"/>
      <c r="AA172" s="462" t="s">
        <v>547</v>
      </c>
      <c r="AB172" s="1189"/>
      <c r="AC172" s="551" t="str">
        <f t="shared" si="39"/>
        <v/>
      </c>
      <c r="AD172" s="1055">
        <f>U674</f>
        <v>0</v>
      </c>
      <c r="AE172" s="555" t="s">
        <v>798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432</v>
      </c>
      <c r="M173" s="85"/>
      <c r="N173" s="609" t="s">
        <v>303</v>
      </c>
      <c r="O173" s="1085"/>
      <c r="P173" s="610">
        <f>LEN(O172)</f>
        <v>0</v>
      </c>
      <c r="Q173" s="679"/>
      <c r="R173" s="682">
        <f>LEN(Q172)</f>
        <v>0</v>
      </c>
      <c r="S173" s="680" t="s">
        <v>30</v>
      </c>
      <c r="T173" s="48"/>
      <c r="U173" s="48"/>
      <c r="V173" s="48"/>
      <c r="W173" s="69"/>
      <c r="X173" s="664" t="s">
        <v>432</v>
      </c>
      <c r="Y173" s="500"/>
      <c r="Z173" s="462"/>
      <c r="AA173" s="462" t="s">
        <v>548</v>
      </c>
      <c r="AB173" s="1189"/>
      <c r="AC173" s="551" t="str">
        <f t="shared" si="39"/>
        <v/>
      </c>
      <c r="AD173" s="1055" t="str">
        <f>V674</f>
        <v/>
      </c>
      <c r="AE173" s="555" t="s">
        <v>799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432</v>
      </c>
      <c r="M174" s="160"/>
      <c r="N174" s="54" t="s">
        <v>102</v>
      </c>
      <c r="O174" s="1084"/>
      <c r="P174" s="440"/>
      <c r="Q174" s="677" t="str">
        <f>IF(OR(AB505=0,AB505=""),"",AB505)</f>
        <v/>
      </c>
      <c r="R174" s="59"/>
      <c r="S174" s="59"/>
      <c r="T174" s="59"/>
      <c r="U174" s="59"/>
      <c r="V174" s="59"/>
      <c r="W174" s="70"/>
      <c r="X174" s="664" t="s">
        <v>432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432</v>
      </c>
      <c r="M175" s="85"/>
      <c r="N175" s="609" t="s">
        <v>303</v>
      </c>
      <c r="O175" s="1085"/>
      <c r="P175" s="610">
        <f>LEN(O174)</f>
        <v>0</v>
      </c>
      <c r="Q175" s="679"/>
      <c r="R175" s="682">
        <f>LEN(Q174)</f>
        <v>0</v>
      </c>
      <c r="S175" s="680" t="s">
        <v>293</v>
      </c>
      <c r="T175" s="48"/>
      <c r="U175" s="48"/>
      <c r="V175" s="48"/>
      <c r="W175" s="69"/>
      <c r="X175" s="664" t="s">
        <v>432</v>
      </c>
      <c r="Y175" s="500"/>
      <c r="Z175" s="462"/>
      <c r="AA175" s="132" t="s">
        <v>549</v>
      </c>
      <c r="AB175" s="985"/>
      <c r="AC175" s="551" t="str">
        <f t="shared" si="39"/>
        <v>Change</v>
      </c>
      <c r="AD175" s="1033" t="str">
        <f>O687</f>
        <v>Piranha 1 CB2-17090320</v>
      </c>
      <c r="AE175" s="555" t="s">
        <v>800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432</v>
      </c>
      <c r="M176" s="85"/>
      <c r="N176" s="54" t="s">
        <v>102</v>
      </c>
      <c r="O176" s="1084"/>
      <c r="P176" s="440"/>
      <c r="Q176" s="677" t="str">
        <f>IF(OR(AB507=0,AB507=""),"",AB507)</f>
        <v/>
      </c>
      <c r="R176" s="48"/>
      <c r="S176" s="48"/>
      <c r="T176" s="48"/>
      <c r="U176" s="48"/>
      <c r="V176" s="48"/>
      <c r="W176" s="69"/>
      <c r="X176" s="664" t="s">
        <v>432</v>
      </c>
      <c r="Y176" s="663"/>
      <c r="Z176" s="553"/>
      <c r="AA176" s="672" t="s">
        <v>1120</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432</v>
      </c>
      <c r="M177" s="160"/>
      <c r="N177" s="609" t="s">
        <v>303</v>
      </c>
      <c r="O177" s="1085"/>
      <c r="P177" s="610">
        <f>LEN(O176)</f>
        <v>0</v>
      </c>
      <c r="Q177" s="679"/>
      <c r="R177" s="682">
        <f>LEN(Q176)</f>
        <v>0</v>
      </c>
      <c r="S177" s="680" t="s">
        <v>294</v>
      </c>
      <c r="T177" s="59"/>
      <c r="U177" s="59"/>
      <c r="V177" s="59"/>
      <c r="W177" s="70"/>
      <c r="X177" s="664" t="s">
        <v>432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432</v>
      </c>
      <c r="M178" s="85"/>
      <c r="N178" s="54" t="s">
        <v>102</v>
      </c>
      <c r="O178" s="1084"/>
      <c r="P178" s="440"/>
      <c r="Q178" s="677" t="str">
        <f>IF(OR(AB509=0,AB509=""),"",AB509)</f>
        <v/>
      </c>
      <c r="R178" s="48"/>
      <c r="S178" s="48"/>
      <c r="T178" s="48"/>
      <c r="U178" s="48"/>
      <c r="V178" s="48"/>
      <c r="W178" s="69"/>
      <c r="X178" s="664" t="s">
        <v>432</v>
      </c>
      <c r="Y178" s="500"/>
      <c r="Z178" s="462"/>
      <c r="AA178" s="132" t="s">
        <v>550</v>
      </c>
      <c r="AB178" s="1186"/>
      <c r="AC178" s="551" t="str">
        <f t="shared" si="39"/>
        <v>Change</v>
      </c>
      <c r="AD178" s="1051" t="str">
        <f>N693</f>
        <v>cm</v>
      </c>
      <c r="AE178" s="555" t="s">
        <v>801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432</v>
      </c>
      <c r="M179" s="85"/>
      <c r="N179" s="609" t="s">
        <v>303</v>
      </c>
      <c r="O179" s="1085"/>
      <c r="P179" s="610">
        <f>LEN(O178)</f>
        <v>0</v>
      </c>
      <c r="Q179" s="679"/>
      <c r="R179" s="682">
        <f>LEN(Q178)</f>
        <v>0</v>
      </c>
      <c r="S179" s="680" t="s">
        <v>295</v>
      </c>
      <c r="T179" s="48"/>
      <c r="U179" s="48"/>
      <c r="V179" s="48"/>
      <c r="W179" s="69"/>
      <c r="X179" s="664" t="s">
        <v>432</v>
      </c>
      <c r="Y179" s="500"/>
      <c r="Z179" s="462"/>
      <c r="AA179" s="132" t="s">
        <v>551</v>
      </c>
      <c r="AB179" s="1186"/>
      <c r="AC179" s="551" t="str">
        <f t="shared" si="39"/>
        <v>Change</v>
      </c>
      <c r="AD179" s="1051" t="str">
        <f>N711</f>
        <v>cm</v>
      </c>
      <c r="AE179" s="555" t="s">
        <v>802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432</v>
      </c>
      <c r="M180" s="160"/>
      <c r="N180" s="54" t="s">
        <v>102</v>
      </c>
      <c r="O180" s="1084"/>
      <c r="P180" s="440"/>
      <c r="Q180" s="677" t="str">
        <f>IF(OR(AB511=0,AB511=""),"",AB511)</f>
        <v/>
      </c>
      <c r="R180" s="59"/>
      <c r="S180" s="59"/>
      <c r="T180" s="59"/>
      <c r="U180" s="59"/>
      <c r="V180" s="59"/>
      <c r="W180" s="70"/>
      <c r="X180" s="664" t="s">
        <v>432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432</v>
      </c>
      <c r="M181" s="85"/>
      <c r="N181" s="609" t="s">
        <v>303</v>
      </c>
      <c r="O181" s="1085"/>
      <c r="P181" s="610">
        <f>LEN(O180)</f>
        <v>0</v>
      </c>
      <c r="Q181" s="679"/>
      <c r="R181" s="682">
        <f>LEN(Q180)</f>
        <v>0</v>
      </c>
      <c r="S181" s="680" t="s">
        <v>296</v>
      </c>
      <c r="T181" s="48"/>
      <c r="U181" s="48"/>
      <c r="V181" s="48"/>
      <c r="W181" s="69"/>
      <c r="X181" s="664" t="s">
        <v>432</v>
      </c>
      <c r="Y181" s="500"/>
      <c r="Z181" s="457"/>
      <c r="AA181" s="132" t="s">
        <v>552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432</v>
      </c>
      <c r="M182" s="85"/>
      <c r="N182" s="54" t="s">
        <v>102</v>
      </c>
      <c r="O182" s="1084"/>
      <c r="P182" s="440"/>
      <c r="Q182" s="677" t="str">
        <f>IF(OR(AB513=0,AB513=""),"",AB513)</f>
        <v/>
      </c>
      <c r="R182" s="48"/>
      <c r="S182" s="48"/>
      <c r="T182" s="48"/>
      <c r="U182" s="48"/>
      <c r="V182" s="48"/>
      <c r="W182" s="69"/>
      <c r="X182" s="664" t="s">
        <v>432</v>
      </c>
      <c r="Y182" s="500"/>
      <c r="Z182" s="457"/>
      <c r="AA182" s="462" t="s">
        <v>553</v>
      </c>
      <c r="AB182" s="1186"/>
      <c r="AC182" s="551" t="str">
        <f t="shared" si="39"/>
        <v>Change</v>
      </c>
      <c r="AD182" s="1051" t="str">
        <f>O805</f>
        <v>HF</v>
      </c>
      <c r="AE182" s="555" t="s">
        <v>803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432</v>
      </c>
      <c r="M183" s="160"/>
      <c r="N183" s="609" t="s">
        <v>303</v>
      </c>
      <c r="O183" s="1085"/>
      <c r="P183" s="610">
        <f>LEN(O182)</f>
        <v>0</v>
      </c>
      <c r="Q183" s="679"/>
      <c r="R183" s="682">
        <f>LEN(Q182)</f>
        <v>0</v>
      </c>
      <c r="S183" s="680" t="s">
        <v>54</v>
      </c>
      <c r="T183" s="59"/>
      <c r="U183" s="59"/>
      <c r="V183" s="59"/>
      <c r="W183" s="70"/>
      <c r="X183" s="664" t="s">
        <v>432</v>
      </c>
      <c r="Y183" s="500"/>
      <c r="Z183" s="457"/>
      <c r="AA183" s="462" t="s">
        <v>554</v>
      </c>
      <c r="AB183" s="1186"/>
      <c r="AC183" s="551" t="str">
        <f t="shared" si="39"/>
        <v/>
      </c>
      <c r="AD183" s="1053" t="str">
        <f>M806</f>
        <v/>
      </c>
      <c r="AE183" s="457" t="s">
        <v>804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432</v>
      </c>
      <c r="M184" s="85"/>
      <c r="N184" s="54" t="s">
        <v>102</v>
      </c>
      <c r="O184" s="1084"/>
      <c r="P184" s="440"/>
      <c r="Q184" s="677" t="str">
        <f>IF(OR(AB515=0,AB515=""),"",AB515)</f>
        <v/>
      </c>
      <c r="R184" s="48"/>
      <c r="S184" s="48"/>
      <c r="T184" s="48"/>
      <c r="U184" s="48"/>
      <c r="V184" s="48"/>
      <c r="W184" s="69"/>
      <c r="X184" s="664" t="s">
        <v>432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432</v>
      </c>
      <c r="M185" s="85"/>
      <c r="N185" s="609" t="s">
        <v>303</v>
      </c>
      <c r="O185" s="1085"/>
      <c r="P185" s="610">
        <f>LEN(O184)</f>
        <v>0</v>
      </c>
      <c r="Q185" s="679"/>
      <c r="R185" s="682">
        <f>LEN(Q184)</f>
        <v>0</v>
      </c>
      <c r="S185" s="681"/>
      <c r="T185" s="48"/>
      <c r="U185" s="48"/>
      <c r="V185" s="48"/>
      <c r="W185" s="69"/>
      <c r="X185" s="664" t="s">
        <v>432</v>
      </c>
      <c r="Y185" s="500"/>
      <c r="Z185" s="457"/>
      <c r="AA185" s="132" t="s">
        <v>555</v>
      </c>
      <c r="AB185" s="1190"/>
      <c r="AC185" s="551" t="str">
        <f t="shared" si="39"/>
        <v/>
      </c>
      <c r="AD185" s="1053" t="str">
        <f>IF(O1027="","",O1027)</f>
        <v/>
      </c>
      <c r="AE185" s="457" t="s">
        <v>805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432</v>
      </c>
      <c r="M186" s="160"/>
      <c r="N186" s="54" t="s">
        <v>102</v>
      </c>
      <c r="O186" s="1084"/>
      <c r="P186" s="440"/>
      <c r="Q186" s="677" t="str">
        <f>IF(OR(AB517=0,AB517=""),"",AB517)</f>
        <v/>
      </c>
      <c r="R186" s="59"/>
      <c r="S186" s="59"/>
      <c r="T186" s="59"/>
      <c r="U186" s="59"/>
      <c r="V186" s="59"/>
      <c r="W186" s="70"/>
      <c r="X186" s="664" t="s">
        <v>432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432</v>
      </c>
      <c r="M187" s="85"/>
      <c r="N187" s="609" t="s">
        <v>303</v>
      </c>
      <c r="O187" s="1085"/>
      <c r="P187" s="610">
        <f>LEN(O186)</f>
        <v>0</v>
      </c>
      <c r="Q187" s="679"/>
      <c r="R187" s="682">
        <f>LEN(Q186)</f>
        <v>0</v>
      </c>
      <c r="S187" s="681"/>
      <c r="T187" s="48"/>
      <c r="U187" s="48"/>
      <c r="V187" s="48"/>
      <c r="W187" s="69"/>
      <c r="X187" s="664" t="s">
        <v>432</v>
      </c>
      <c r="Y187" s="500"/>
      <c r="Z187" s="457"/>
      <c r="AA187" s="132" t="s">
        <v>556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432</v>
      </c>
      <c r="M188" s="85"/>
      <c r="N188" s="50"/>
      <c r="O188" s="578"/>
      <c r="P188" s="440"/>
      <c r="Q188" s="677"/>
      <c r="R188" s="49"/>
      <c r="S188" s="49"/>
      <c r="T188" s="49"/>
      <c r="U188" s="49"/>
      <c r="V188" s="49"/>
      <c r="W188" s="69"/>
      <c r="X188" s="664" t="s">
        <v>432</v>
      </c>
      <c r="Y188" s="500"/>
      <c r="Z188" s="457"/>
      <c r="AA188" s="462" t="s">
        <v>557</v>
      </c>
      <c r="AB188" s="1186"/>
      <c r="AC188" s="551" t="str">
        <f t="shared" si="39"/>
        <v/>
      </c>
      <c r="AD188" s="1058">
        <f>IF(AH688="",AB188,AH688/2.54)</f>
        <v>0</v>
      </c>
      <c r="AE188" s="555" t="s">
        <v>305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432</v>
      </c>
      <c r="M189" s="160"/>
      <c r="N189" s="579"/>
      <c r="O189" s="579"/>
      <c r="P189" s="509"/>
      <c r="Q189" s="506"/>
      <c r="R189" s="506"/>
      <c r="S189" s="506"/>
      <c r="T189" s="506"/>
      <c r="U189" s="506"/>
      <c r="V189" s="506"/>
      <c r="W189" s="70"/>
      <c r="X189" s="664" t="s">
        <v>432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432</v>
      </c>
      <c r="M190" s="85"/>
      <c r="N190" s="580"/>
      <c r="O190" s="580"/>
      <c r="P190" s="504"/>
      <c r="Q190" s="505"/>
      <c r="R190" s="505"/>
      <c r="S190" s="505"/>
      <c r="T190" s="505"/>
      <c r="U190" s="505"/>
      <c r="V190" s="505"/>
      <c r="W190" s="69"/>
      <c r="X190" s="664" t="s">
        <v>432</v>
      </c>
      <c r="Y190" s="500"/>
      <c r="Z190" s="457"/>
      <c r="AA190" s="99" t="s">
        <v>486</v>
      </c>
      <c r="AB190" s="1187"/>
      <c r="AC190" s="551" t="str">
        <f t="shared" si="39"/>
        <v/>
      </c>
      <c r="AD190" s="1056" t="str">
        <f>IF(P1397="","",P1397)</f>
        <v/>
      </c>
      <c r="AE190" s="457" t="s">
        <v>806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432</v>
      </c>
      <c r="M191" s="85"/>
      <c r="N191" s="580"/>
      <c r="O191" s="580"/>
      <c r="P191" s="504"/>
      <c r="Q191" s="505"/>
      <c r="R191" s="505"/>
      <c r="S191" s="505"/>
      <c r="T191" s="505"/>
      <c r="U191" s="505"/>
      <c r="V191" s="505"/>
      <c r="W191" s="69"/>
      <c r="X191" s="664" t="s">
        <v>432</v>
      </c>
      <c r="Y191" s="500"/>
      <c r="Z191" s="457"/>
      <c r="AA191" s="457"/>
      <c r="AB191" s="1187"/>
      <c r="AC191" s="551" t="str">
        <f t="shared" si="39"/>
        <v/>
      </c>
      <c r="AD191" s="1056" t="str">
        <f t="shared" ref="AD191:AD197" si="42">IF(P1398="","",P1398)</f>
        <v/>
      </c>
      <c r="AE191" s="457" t="s">
        <v>807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432</v>
      </c>
      <c r="M192" s="160"/>
      <c r="N192" s="580"/>
      <c r="O192" s="580"/>
      <c r="P192" s="504"/>
      <c r="Q192" s="376" t="s">
        <v>297</v>
      </c>
      <c r="R192" s="50"/>
      <c r="S192" s="50"/>
      <c r="T192" s="505"/>
      <c r="U192" s="505"/>
      <c r="V192" s="505"/>
      <c r="W192" s="70"/>
      <c r="X192" s="664" t="s">
        <v>432</v>
      </c>
      <c r="Y192" s="500"/>
      <c r="Z192" s="457"/>
      <c r="AA192" s="457"/>
      <c r="AB192" s="1187"/>
      <c r="AC192" s="551" t="str">
        <f t="shared" si="39"/>
        <v/>
      </c>
      <c r="AD192" s="1056" t="str">
        <f t="shared" si="42"/>
        <v/>
      </c>
      <c r="AE192" s="457" t="s">
        <v>808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432</v>
      </c>
      <c r="M193" s="85"/>
      <c r="N193" s="580"/>
      <c r="O193" s="580"/>
      <c r="P193" s="504"/>
      <c r="Q193" s="505"/>
      <c r="R193" s="504"/>
      <c r="S193" s="505"/>
      <c r="T193" s="504"/>
      <c r="U193" s="505"/>
      <c r="V193" s="505"/>
      <c r="W193" s="69"/>
      <c r="X193" s="664" t="s">
        <v>432</v>
      </c>
      <c r="Y193" s="500"/>
      <c r="Z193" s="457"/>
      <c r="AA193" s="457"/>
      <c r="AB193" s="1187"/>
      <c r="AC193" s="551" t="str">
        <f t="shared" si="39"/>
        <v/>
      </c>
      <c r="AD193" s="1056" t="str">
        <f t="shared" si="42"/>
        <v/>
      </c>
      <c r="AE193" s="457" t="s">
        <v>809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432</v>
      </c>
      <c r="M194" s="85"/>
      <c r="N194" s="580"/>
      <c r="O194" s="580"/>
      <c r="P194" s="504"/>
      <c r="Q194" s="505"/>
      <c r="R194" s="504"/>
      <c r="S194" s="505"/>
      <c r="T194" s="504"/>
      <c r="U194" s="505"/>
      <c r="V194" s="505"/>
      <c r="W194" s="69"/>
      <c r="X194" s="664" t="s">
        <v>432</v>
      </c>
      <c r="Y194" s="500"/>
      <c r="Z194" s="457"/>
      <c r="AA194" s="457"/>
      <c r="AB194" s="1187"/>
      <c r="AC194" s="551" t="str">
        <f t="shared" si="39"/>
        <v/>
      </c>
      <c r="AD194" s="1056" t="str">
        <f t="shared" si="42"/>
        <v/>
      </c>
      <c r="AE194" s="457" t="s">
        <v>810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432</v>
      </c>
      <c r="M195" s="160"/>
      <c r="N195" s="581"/>
      <c r="O195" s="581"/>
      <c r="P195" s="508"/>
      <c r="Q195" s="507"/>
      <c r="R195" s="508"/>
      <c r="S195" s="507"/>
      <c r="T195" s="508"/>
      <c r="U195" s="507"/>
      <c r="V195" s="507"/>
      <c r="W195" s="70"/>
      <c r="X195" s="664" t="s">
        <v>432</v>
      </c>
      <c r="Y195" s="500"/>
      <c r="Z195" s="457"/>
      <c r="AA195" s="457"/>
      <c r="AB195" s="1187"/>
      <c r="AC195" s="551" t="str">
        <f t="shared" si="39"/>
        <v/>
      </c>
      <c r="AD195" s="1056" t="str">
        <f t="shared" si="42"/>
        <v/>
      </c>
      <c r="AE195" s="457" t="s">
        <v>811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432</v>
      </c>
      <c r="M196" s="144"/>
      <c r="N196" s="73"/>
      <c r="O196" s="582"/>
      <c r="P196" s="441"/>
      <c r="Q196" s="73"/>
      <c r="R196" s="73"/>
      <c r="S196" s="73"/>
      <c r="T196" s="73"/>
      <c r="U196" s="73"/>
      <c r="V196" s="73"/>
      <c r="W196" s="74"/>
      <c r="X196" s="664" t="s">
        <v>432</v>
      </c>
      <c r="Y196" s="500"/>
      <c r="Z196" s="457"/>
      <c r="AA196" s="457"/>
      <c r="AB196" s="1187"/>
      <c r="AC196" s="551" t="str">
        <f t="shared" si="39"/>
        <v/>
      </c>
      <c r="AD196" s="1056" t="str">
        <f t="shared" si="42"/>
        <v/>
      </c>
      <c r="AE196" s="457" t="s">
        <v>812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432</v>
      </c>
      <c r="O197" s="578"/>
      <c r="P197" s="442"/>
      <c r="X197" s="664" t="s">
        <v>432</v>
      </c>
      <c r="Y197" s="500"/>
      <c r="Z197" s="457"/>
      <c r="AA197" s="457"/>
      <c r="AB197" s="1187"/>
      <c r="AC197" s="551" t="str">
        <f t="shared" si="39"/>
        <v/>
      </c>
      <c r="AD197" s="1056" t="str">
        <f t="shared" si="42"/>
        <v/>
      </c>
      <c r="AE197" s="457" t="s">
        <v>813</v>
      </c>
      <c r="AF197" s="457"/>
    </row>
    <row r="198" spans="1:32" ht="11.25" customHeight="1">
      <c r="A198" s="611">
        <v>66</v>
      </c>
      <c r="B198" s="52" t="str">
        <v>Room Number:</v>
      </c>
      <c r="C198" s="373" t="str">
        <v/>
      </c>
      <c r="E198" s="51"/>
      <c r="F198" s="51"/>
      <c r="G198" s="51"/>
      <c r="H198" s="51"/>
      <c r="I198" s="52" t="str">
        <v>Survey ID:</v>
      </c>
      <c r="J198" s="1045" t="str">
        <v/>
      </c>
      <c r="L198" s="676" t="s">
        <v>432</v>
      </c>
      <c r="O198" s="578"/>
      <c r="P198" s="442"/>
      <c r="X198" s="664" t="s">
        <v>432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432</v>
      </c>
      <c r="M199" s="1"/>
      <c r="N199" s="1"/>
      <c r="O199" s="583"/>
      <c r="P199" s="442"/>
      <c r="Q199" s="1"/>
      <c r="R199" s="1"/>
      <c r="S199" s="1"/>
      <c r="T199" s="1"/>
      <c r="U199" s="1"/>
      <c r="V199" s="1"/>
      <c r="W199" s="131" t="str">
        <f>$F$2</f>
        <v>Medical University of South Carolina</v>
      </c>
      <c r="X199" s="664" t="s">
        <v>432</v>
      </c>
      <c r="Y199" s="500"/>
      <c r="Z199" s="457"/>
      <c r="AA199" s="99" t="s">
        <v>1081</v>
      </c>
      <c r="AB199" s="1188"/>
      <c r="AC199" s="551" t="str">
        <f t="shared" si="39"/>
        <v/>
      </c>
      <c r="AD199" s="1108" t="str">
        <f t="shared" ref="AD199:AD206" si="43">IF(R1397="","",R1397)</f>
        <v/>
      </c>
      <c r="AE199" s="457" t="s">
        <v>814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432</v>
      </c>
      <c r="M200" s="1"/>
      <c r="N200" s="1"/>
      <c r="O200" s="583"/>
      <c r="P200" s="442"/>
      <c r="Q200" s="1"/>
      <c r="R200" s="1"/>
      <c r="S200" s="1"/>
      <c r="T200" s="1"/>
      <c r="U200" s="1"/>
      <c r="V200" s="1"/>
      <c r="W200" s="132" t="str">
        <f>$F$5</f>
        <v>Radiographic System Compliance Inspection</v>
      </c>
      <c r="X200" s="664" t="s">
        <v>432</v>
      </c>
      <c r="Y200" s="500"/>
      <c r="Z200" s="457"/>
      <c r="AA200" s="99" t="str">
        <f>"@ "&amp;ROUND(AD188,1)&amp;" in."</f>
        <v>@ 0 in.</v>
      </c>
      <c r="AB200" s="1188"/>
      <c r="AC200" s="551" t="str">
        <f t="shared" si="39"/>
        <v/>
      </c>
      <c r="AD200" s="1108" t="str">
        <f t="shared" si="43"/>
        <v/>
      </c>
      <c r="AE200" s="457" t="s">
        <v>815</v>
      </c>
      <c r="AF200" s="457"/>
    </row>
    <row r="201" spans="1:32" ht="11.25" customHeight="1">
      <c r="A201" s="611">
        <v>3</v>
      </c>
      <c r="L201" s="676" t="s">
        <v>432</v>
      </c>
      <c r="M201" s="1"/>
      <c r="N201" s="1"/>
      <c r="O201" s="583"/>
      <c r="P201" s="442"/>
      <c r="Q201" s="1"/>
      <c r="R201" s="1"/>
      <c r="S201" s="1"/>
      <c r="T201" s="1"/>
      <c r="U201" s="1"/>
      <c r="V201" s="1"/>
      <c r="W201" s="1"/>
      <c r="X201" s="664" t="s">
        <v>432</v>
      </c>
      <c r="Y201" s="500"/>
      <c r="Z201" s="457"/>
      <c r="AA201" s="457"/>
      <c r="AB201" s="1188"/>
      <c r="AC201" s="551" t="str">
        <f t="shared" ref="AC201:AC224" si="44">IF(AND(OR(AB201="",AB201=0),OR(AD201="",AD201=0)),"",IF(AB201&lt;&gt;AD201,"Change",""))</f>
        <v/>
      </c>
      <c r="AD201" s="1108" t="str">
        <f t="shared" si="43"/>
        <v/>
      </c>
      <c r="AE201" s="457" t="s">
        <v>816</v>
      </c>
      <c r="AF201" s="457"/>
    </row>
    <row r="202" spans="1:32" ht="11.25" customHeight="1">
      <c r="A202" s="611">
        <v>4</v>
      </c>
      <c r="F202" s="190" t="str">
        <f>$R$202</f>
        <v>COMMENTS PAGE 2</v>
      </c>
      <c r="L202" s="676" t="s">
        <v>432</v>
      </c>
      <c r="O202" s="578"/>
      <c r="P202" s="442"/>
      <c r="R202" s="190" t="s">
        <v>298</v>
      </c>
      <c r="X202" s="664" t="s">
        <v>432</v>
      </c>
      <c r="Y202" s="500"/>
      <c r="Z202" s="457"/>
      <c r="AA202" s="457"/>
      <c r="AB202" s="1188"/>
      <c r="AC202" s="551" t="str">
        <f t="shared" si="44"/>
        <v/>
      </c>
      <c r="AD202" s="1108" t="str">
        <f t="shared" si="43"/>
        <v/>
      </c>
      <c r="AE202" s="457" t="s">
        <v>817</v>
      </c>
      <c r="AF202" s="457"/>
    </row>
    <row r="203" spans="1:32" ht="11.25" customHeight="1" thickBot="1">
      <c r="A203" s="611">
        <v>5</v>
      </c>
      <c r="L203" s="676" t="s">
        <v>432</v>
      </c>
      <c r="O203" s="578"/>
      <c r="P203" s="442"/>
      <c r="X203" s="664" t="s">
        <v>432</v>
      </c>
      <c r="Y203" s="500"/>
      <c r="Z203" s="457"/>
      <c r="AA203" s="457"/>
      <c r="AB203" s="1188"/>
      <c r="AC203" s="551" t="str">
        <f t="shared" si="44"/>
        <v/>
      </c>
      <c r="AD203" s="1108" t="str">
        <f t="shared" si="43"/>
        <v/>
      </c>
      <c r="AE203" s="457" t="s">
        <v>818</v>
      </c>
      <c r="AF203" s="457"/>
    </row>
    <row r="204" spans="1:32" ht="11.25" customHeight="1" thickTop="1">
      <c r="A204" s="611">
        <v>6</v>
      </c>
      <c r="B204" s="79"/>
      <c r="C204" s="62"/>
      <c r="D204" s="62"/>
      <c r="E204" s="62"/>
      <c r="F204" s="62"/>
      <c r="G204" s="62"/>
      <c r="H204" s="62"/>
      <c r="I204" s="62"/>
      <c r="J204" s="62"/>
      <c r="K204" s="80"/>
      <c r="L204" s="676" t="s">
        <v>432</v>
      </c>
      <c r="M204" s="79"/>
      <c r="N204" s="62"/>
      <c r="O204" s="584"/>
      <c r="P204" s="439"/>
      <c r="Q204" s="683" t="s">
        <v>381</v>
      </c>
      <c r="R204" s="62"/>
      <c r="S204" s="62"/>
      <c r="T204" s="62"/>
      <c r="U204" s="62"/>
      <c r="V204" s="62"/>
      <c r="W204" s="80"/>
      <c r="X204" s="664" t="s">
        <v>432</v>
      </c>
      <c r="Y204" s="500"/>
      <c r="Z204" s="457"/>
      <c r="AA204" s="457"/>
      <c r="AB204" s="1188"/>
      <c r="AC204" s="551" t="str">
        <f t="shared" si="44"/>
        <v/>
      </c>
      <c r="AD204" s="1108" t="str">
        <f t="shared" si="43"/>
        <v/>
      </c>
      <c r="AE204" s="457" t="s">
        <v>819</v>
      </c>
      <c r="AF204" s="457"/>
    </row>
    <row r="205" spans="1:32" ht="11.25" customHeight="1">
      <c r="A205" s="611">
        <v>7</v>
      </c>
      <c r="B205" s="102" t="s">
        <v>573</v>
      </c>
      <c r="C205" s="613" t="str">
        <f>IF(O205="","",IF(LEN(O205)&lt;=135,O205,IF(LEN(O205)&lt;=260,LEFT(O205,SEARCH(" ",O205,125)),LEFT(O205,SEARCH(" ",O205,130)))))</f>
        <v/>
      </c>
      <c r="D205" s="377"/>
      <c r="E205" s="377"/>
      <c r="F205" s="377"/>
      <c r="G205" s="377"/>
      <c r="H205" s="377"/>
      <c r="I205" s="377"/>
      <c r="J205" s="377"/>
      <c r="K205" s="71"/>
      <c r="L205" s="676" t="s">
        <v>432</v>
      </c>
      <c r="M205" s="127"/>
      <c r="N205" s="54" t="s">
        <v>573</v>
      </c>
      <c r="O205" s="1084"/>
      <c r="P205" s="440"/>
      <c r="Q205" s="677" t="str">
        <f>IF(OR(AB314=0,AB314=""),"",AB314)</f>
        <v/>
      </c>
      <c r="R205" s="48"/>
      <c r="S205" s="48"/>
      <c r="T205" s="48"/>
      <c r="U205" s="48"/>
      <c r="V205" s="48"/>
      <c r="W205" s="69"/>
      <c r="X205" s="664" t="s">
        <v>432</v>
      </c>
      <c r="Y205" s="500"/>
      <c r="Z205" s="457"/>
      <c r="AA205" s="457"/>
      <c r="AB205" s="1188"/>
      <c r="AC205" s="551" t="str">
        <f t="shared" si="44"/>
        <v/>
      </c>
      <c r="AD205" s="1108" t="str">
        <f t="shared" si="43"/>
        <v/>
      </c>
      <c r="AE205" s="457" t="s">
        <v>820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432</v>
      </c>
      <c r="M206" s="85"/>
      <c r="N206" s="609" t="s">
        <v>303</v>
      </c>
      <c r="O206" s="1085"/>
      <c r="P206" s="610">
        <f>LEN(O205)</f>
        <v>0</v>
      </c>
      <c r="Q206" s="679"/>
      <c r="R206" s="682">
        <f>LEN(Q205)</f>
        <v>0</v>
      </c>
      <c r="S206" s="59"/>
      <c r="T206" s="59"/>
      <c r="U206" s="59"/>
      <c r="V206" s="59"/>
      <c r="W206" s="70"/>
      <c r="X206" s="664" t="s">
        <v>432</v>
      </c>
      <c r="Y206" s="500"/>
      <c r="Z206" s="457"/>
      <c r="AA206" s="457"/>
      <c r="AB206" s="1188"/>
      <c r="AC206" s="551" t="str">
        <f t="shared" si="44"/>
        <v/>
      </c>
      <c r="AD206" s="1108" t="str">
        <f t="shared" si="43"/>
        <v/>
      </c>
      <c r="AE206" s="457" t="s">
        <v>821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432</v>
      </c>
      <c r="M207" s="66"/>
      <c r="N207" s="54" t="s">
        <v>102</v>
      </c>
      <c r="O207" s="1084"/>
      <c r="P207" s="440"/>
      <c r="Q207" s="677" t="str">
        <f>IF(OR(AB316=0,AB316=""),"",AB316)</f>
        <v/>
      </c>
      <c r="R207" s="48"/>
      <c r="S207" s="48"/>
      <c r="T207" s="48"/>
      <c r="U207" s="48"/>
      <c r="V207" s="48"/>
      <c r="W207" s="69"/>
      <c r="X207" s="664" t="s">
        <v>432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432</v>
      </c>
      <c r="M208" s="85"/>
      <c r="N208" s="609" t="s">
        <v>303</v>
      </c>
      <c r="O208" s="1085"/>
      <c r="P208" s="610">
        <f>LEN(O207)</f>
        <v>0</v>
      </c>
      <c r="Q208" s="679"/>
      <c r="R208" s="682">
        <f>LEN(Q207)</f>
        <v>0</v>
      </c>
      <c r="S208" s="48"/>
      <c r="T208" s="48"/>
      <c r="U208" s="48"/>
      <c r="V208" s="48"/>
      <c r="W208" s="69"/>
      <c r="X208" s="664" t="s">
        <v>432</v>
      </c>
      <c r="Y208" s="500"/>
      <c r="Z208" s="457"/>
      <c r="AA208" s="132" t="s">
        <v>567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432</v>
      </c>
      <c r="M209" s="213"/>
      <c r="N209" s="54" t="s">
        <v>102</v>
      </c>
      <c r="O209" s="1084"/>
      <c r="P209" s="440"/>
      <c r="Q209" s="677" t="str">
        <f>IF(OR(AB318=0,AB318=""),"",AB318)</f>
        <v/>
      </c>
      <c r="R209" s="48"/>
      <c r="S209" s="59"/>
      <c r="T209" s="59"/>
      <c r="U209" s="59"/>
      <c r="V209" s="59"/>
      <c r="W209" s="70"/>
      <c r="X209" s="664" t="s">
        <v>432</v>
      </c>
      <c r="Y209" s="500"/>
      <c r="Z209" s="457"/>
      <c r="AA209" s="462" t="s">
        <v>557</v>
      </c>
      <c r="AB209" s="1187"/>
      <c r="AC209" s="551" t="str">
        <f t="shared" si="44"/>
        <v/>
      </c>
      <c r="AD209" s="1058">
        <f>IF(AH710="",AB209,AH710/2.54)</f>
        <v>0</v>
      </c>
      <c r="AE209" s="555" t="s">
        <v>306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432</v>
      </c>
      <c r="M210" s="66"/>
      <c r="N210" s="609" t="s">
        <v>303</v>
      </c>
      <c r="O210" s="1085"/>
      <c r="P210" s="610">
        <f>LEN(O209)</f>
        <v>0</v>
      </c>
      <c r="Q210" s="679"/>
      <c r="R210" s="682">
        <f>LEN(Q209)</f>
        <v>0</v>
      </c>
      <c r="S210" s="48"/>
      <c r="T210" s="48"/>
      <c r="U210" s="48"/>
      <c r="V210" s="48"/>
      <c r="W210" s="69"/>
      <c r="X210" s="664" t="s">
        <v>432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432</v>
      </c>
      <c r="M211" s="85"/>
      <c r="N211" s="54" t="s">
        <v>102</v>
      </c>
      <c r="O211" s="1084"/>
      <c r="P211" s="440"/>
      <c r="Q211" s="677" t="str">
        <f>IF(OR(AB320=0,AB320=""),"",AB320)</f>
        <v/>
      </c>
      <c r="R211" s="48"/>
      <c r="S211" s="48"/>
      <c r="T211" s="48"/>
      <c r="U211" s="48"/>
      <c r="V211" s="48"/>
      <c r="W211" s="69"/>
      <c r="X211" s="664" t="s">
        <v>432</v>
      </c>
      <c r="Y211" s="500"/>
      <c r="Z211" s="457"/>
      <c r="AA211" s="99" t="s">
        <v>486</v>
      </c>
      <c r="AB211" s="1187"/>
      <c r="AC211" s="551" t="str">
        <f t="shared" si="44"/>
        <v/>
      </c>
      <c r="AD211" s="1060" t="str">
        <f t="shared" ref="AD211:AD216" si="45">IF(P1414="","",P1414)</f>
        <v/>
      </c>
      <c r="AE211" s="457" t="s">
        <v>822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432</v>
      </c>
      <c r="M212" s="213"/>
      <c r="N212" s="609" t="s">
        <v>303</v>
      </c>
      <c r="O212" s="1085"/>
      <c r="P212" s="610">
        <f>LEN(O211)</f>
        <v>0</v>
      </c>
      <c r="Q212" s="679"/>
      <c r="R212" s="682">
        <f>LEN(Q211)</f>
        <v>0</v>
      </c>
      <c r="S212" s="59"/>
      <c r="T212" s="59"/>
      <c r="U212" s="59"/>
      <c r="V212" s="59"/>
      <c r="W212" s="70"/>
      <c r="X212" s="664" t="s">
        <v>432</v>
      </c>
      <c r="Y212" s="500"/>
      <c r="Z212" s="457"/>
      <c r="AA212" s="457"/>
      <c r="AB212" s="1187"/>
      <c r="AC212" s="551" t="str">
        <f t="shared" si="44"/>
        <v/>
      </c>
      <c r="AD212" s="1060" t="str">
        <f t="shared" si="45"/>
        <v/>
      </c>
      <c r="AE212" s="457" t="s">
        <v>823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432</v>
      </c>
      <c r="M213" s="66"/>
      <c r="N213" s="54" t="s">
        <v>102</v>
      </c>
      <c r="O213" s="1084"/>
      <c r="P213" s="440"/>
      <c r="Q213" s="677" t="str">
        <f>IF(OR(AB322=0,AB322=""),"",AB322)</f>
        <v/>
      </c>
      <c r="R213" s="48"/>
      <c r="S213" s="48"/>
      <c r="T213" s="48"/>
      <c r="U213" s="48"/>
      <c r="V213" s="48"/>
      <c r="W213" s="69"/>
      <c r="X213" s="664" t="s">
        <v>432</v>
      </c>
      <c r="Y213" s="500"/>
      <c r="Z213" s="457"/>
      <c r="AA213" s="457"/>
      <c r="AB213" s="1187"/>
      <c r="AC213" s="551" t="str">
        <f t="shared" si="44"/>
        <v/>
      </c>
      <c r="AD213" s="1060" t="str">
        <f t="shared" si="45"/>
        <v/>
      </c>
      <c r="AE213" s="457" t="s">
        <v>824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432</v>
      </c>
      <c r="M214" s="85"/>
      <c r="N214" s="609" t="s">
        <v>303</v>
      </c>
      <c r="O214" s="1085"/>
      <c r="P214" s="610">
        <f>LEN(O213)</f>
        <v>0</v>
      </c>
      <c r="Q214" s="679"/>
      <c r="R214" s="682">
        <f>LEN(Q213)</f>
        <v>0</v>
      </c>
      <c r="S214" s="48"/>
      <c r="T214" s="48"/>
      <c r="U214" s="48"/>
      <c r="V214" s="48"/>
      <c r="W214" s="69"/>
      <c r="X214" s="664" t="s">
        <v>432</v>
      </c>
      <c r="Y214" s="500"/>
      <c r="Z214" s="457"/>
      <c r="AA214" s="457"/>
      <c r="AB214" s="1187"/>
      <c r="AC214" s="551" t="str">
        <f t="shared" si="44"/>
        <v/>
      </c>
      <c r="AD214" s="1060" t="str">
        <f t="shared" si="45"/>
        <v/>
      </c>
      <c r="AE214" s="457" t="s">
        <v>825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432</v>
      </c>
      <c r="M215" s="213"/>
      <c r="N215" s="54" t="s">
        <v>102</v>
      </c>
      <c r="O215" s="1084"/>
      <c r="P215" s="440"/>
      <c r="Q215" s="677" t="str">
        <f>IF(OR(AB324=0,AB324=""),"",AB324)</f>
        <v/>
      </c>
      <c r="R215" s="48"/>
      <c r="S215" s="59"/>
      <c r="T215" s="59"/>
      <c r="U215" s="59"/>
      <c r="V215" s="59"/>
      <c r="W215" s="70"/>
      <c r="X215" s="664" t="s">
        <v>432</v>
      </c>
      <c r="Y215" s="500"/>
      <c r="Z215" s="457"/>
      <c r="AA215" s="457"/>
      <c r="AB215" s="1187"/>
      <c r="AC215" s="551" t="str">
        <f t="shared" si="44"/>
        <v/>
      </c>
      <c r="AD215" s="1060" t="str">
        <f t="shared" si="45"/>
        <v/>
      </c>
      <c r="AE215" s="457" t="s">
        <v>826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432</v>
      </c>
      <c r="M216" s="66"/>
      <c r="N216" s="609" t="s">
        <v>303</v>
      </c>
      <c r="O216" s="1085"/>
      <c r="P216" s="610">
        <f>LEN(O215)</f>
        <v>0</v>
      </c>
      <c r="Q216" s="679"/>
      <c r="R216" s="682">
        <f>LEN(Q215)</f>
        <v>0</v>
      </c>
      <c r="S216" s="48"/>
      <c r="T216" s="48"/>
      <c r="U216" s="48"/>
      <c r="V216" s="48"/>
      <c r="W216" s="69"/>
      <c r="X216" s="664" t="s">
        <v>432</v>
      </c>
      <c r="Y216" s="500"/>
      <c r="Z216" s="457"/>
      <c r="AA216" s="457"/>
      <c r="AB216" s="1187"/>
      <c r="AC216" s="551" t="str">
        <f t="shared" si="44"/>
        <v/>
      </c>
      <c r="AD216" s="1060" t="str">
        <f t="shared" si="45"/>
        <v/>
      </c>
      <c r="AE216" s="457" t="s">
        <v>827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432</v>
      </c>
      <c r="M217" s="85"/>
      <c r="N217" s="54" t="s">
        <v>102</v>
      </c>
      <c r="O217" s="1084"/>
      <c r="P217" s="440"/>
      <c r="Q217" s="677" t="str">
        <f>IF(OR(AB326=0,AB326=""),"",AB326)</f>
        <v/>
      </c>
      <c r="R217" s="48"/>
      <c r="S217" s="48"/>
      <c r="T217" s="48"/>
      <c r="U217" s="48"/>
      <c r="V217" s="48"/>
      <c r="W217" s="69"/>
      <c r="X217" s="664" t="s">
        <v>432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432</v>
      </c>
      <c r="M218" s="213"/>
      <c r="N218" s="609" t="s">
        <v>303</v>
      </c>
      <c r="O218" s="1085"/>
      <c r="P218" s="610">
        <f>LEN(O217)</f>
        <v>0</v>
      </c>
      <c r="Q218" s="679"/>
      <c r="R218" s="682">
        <f>LEN(Q217)</f>
        <v>0</v>
      </c>
      <c r="S218" s="59"/>
      <c r="T218" s="59"/>
      <c r="U218" s="59"/>
      <c r="V218" s="59"/>
      <c r="W218" s="70"/>
      <c r="X218" s="664" t="s">
        <v>432</v>
      </c>
      <c r="Y218" s="500"/>
      <c r="Z218" s="457"/>
      <c r="AA218" s="99" t="s">
        <v>1081</v>
      </c>
      <c r="AB218" s="1188"/>
      <c r="AC218" s="551" t="str">
        <f t="shared" si="44"/>
        <v/>
      </c>
      <c r="AD218" s="1108" t="str">
        <f t="shared" ref="AD218:AD223" si="46">IF(R1414="","",R1414)</f>
        <v/>
      </c>
      <c r="AE218" s="457" t="s">
        <v>828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432</v>
      </c>
      <c r="M219" s="66"/>
      <c r="N219" s="54" t="s">
        <v>102</v>
      </c>
      <c r="O219" s="1084"/>
      <c r="P219" s="440"/>
      <c r="Q219" s="677" t="str">
        <f>IF(OR(AB328=0,AB328=""),"",AB328)</f>
        <v/>
      </c>
      <c r="R219" s="48"/>
      <c r="S219" s="48"/>
      <c r="T219" s="48"/>
      <c r="U219" s="48"/>
      <c r="V219" s="48"/>
      <c r="W219" s="69"/>
      <c r="X219" s="664" t="s">
        <v>432</v>
      </c>
      <c r="Y219" s="500"/>
      <c r="Z219" s="457"/>
      <c r="AA219" s="99" t="str">
        <f>"@ "&amp;ROUND(AD209,1)&amp;" in."</f>
        <v>@ 0 in.</v>
      </c>
      <c r="AB219" s="1188"/>
      <c r="AC219" s="551" t="str">
        <f t="shared" si="44"/>
        <v/>
      </c>
      <c r="AD219" s="1108" t="str">
        <f t="shared" si="46"/>
        <v/>
      </c>
      <c r="AE219" s="457" t="s">
        <v>829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432</v>
      </c>
      <c r="M220" s="85"/>
      <c r="N220" s="609" t="s">
        <v>303</v>
      </c>
      <c r="O220" s="1085"/>
      <c r="P220" s="610">
        <f>LEN(O219)</f>
        <v>0</v>
      </c>
      <c r="Q220" s="679"/>
      <c r="R220" s="682">
        <f>LEN(Q219)</f>
        <v>0</v>
      </c>
      <c r="S220" s="48"/>
      <c r="T220" s="48"/>
      <c r="U220" s="48"/>
      <c r="V220" s="48"/>
      <c r="W220" s="69"/>
      <c r="X220" s="664" t="s">
        <v>432</v>
      </c>
      <c r="Y220" s="500"/>
      <c r="Z220" s="457"/>
      <c r="AA220" s="457"/>
      <c r="AB220" s="1188"/>
      <c r="AC220" s="551" t="str">
        <f t="shared" si="44"/>
        <v/>
      </c>
      <c r="AD220" s="1108" t="str">
        <f t="shared" si="46"/>
        <v/>
      </c>
      <c r="AE220" s="457" t="s">
        <v>830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432</v>
      </c>
      <c r="M221" s="213"/>
      <c r="N221" s="54" t="s">
        <v>102</v>
      </c>
      <c r="O221" s="1084"/>
      <c r="P221" s="440"/>
      <c r="Q221" s="677" t="str">
        <f>IF(OR(AB330=0,AB330=""),"",AB330)</f>
        <v/>
      </c>
      <c r="R221" s="48"/>
      <c r="S221" s="59"/>
      <c r="T221" s="59"/>
      <c r="U221" s="59"/>
      <c r="V221" s="59"/>
      <c r="W221" s="70"/>
      <c r="X221" s="664" t="s">
        <v>432</v>
      </c>
      <c r="Y221" s="500"/>
      <c r="Z221" s="457"/>
      <c r="AA221" s="457"/>
      <c r="AB221" s="1188"/>
      <c r="AC221" s="551" t="str">
        <f t="shared" si="44"/>
        <v/>
      </c>
      <c r="AD221" s="1108" t="str">
        <f t="shared" si="46"/>
        <v/>
      </c>
      <c r="AE221" s="457" t="s">
        <v>831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432</v>
      </c>
      <c r="M222" s="66"/>
      <c r="N222" s="609" t="s">
        <v>303</v>
      </c>
      <c r="O222" s="1085"/>
      <c r="P222" s="610">
        <f>LEN(O221)</f>
        <v>0</v>
      </c>
      <c r="Q222" s="679"/>
      <c r="R222" s="682">
        <f>LEN(Q221)</f>
        <v>0</v>
      </c>
      <c r="S222" s="48"/>
      <c r="T222" s="48"/>
      <c r="U222" s="48"/>
      <c r="V222" s="48"/>
      <c r="W222" s="69"/>
      <c r="X222" s="664" t="s">
        <v>432</v>
      </c>
      <c r="Y222" s="500"/>
      <c r="Z222" s="457"/>
      <c r="AA222" s="457"/>
      <c r="AB222" s="1188"/>
      <c r="AC222" s="551" t="str">
        <f t="shared" si="44"/>
        <v/>
      </c>
      <c r="AD222" s="1108" t="str">
        <f t="shared" si="46"/>
        <v/>
      </c>
      <c r="AE222" s="457" t="s">
        <v>832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432</v>
      </c>
      <c r="M223" s="85"/>
      <c r="N223" s="54" t="s">
        <v>102</v>
      </c>
      <c r="O223" s="1084"/>
      <c r="P223" s="440"/>
      <c r="Q223" s="677" t="str">
        <f>IF(OR(AB332=0,AB332=""),"",AB332)</f>
        <v/>
      </c>
      <c r="R223" s="48"/>
      <c r="S223" s="48"/>
      <c r="T223" s="48"/>
      <c r="U223" s="48"/>
      <c r="V223" s="48"/>
      <c r="W223" s="69"/>
      <c r="X223" s="664" t="s">
        <v>432</v>
      </c>
      <c r="Y223" s="500"/>
      <c r="Z223" s="457"/>
      <c r="AA223" s="457"/>
      <c r="AB223" s="1188"/>
      <c r="AC223" s="551" t="str">
        <f t="shared" si="44"/>
        <v/>
      </c>
      <c r="AD223" s="1108" t="str">
        <f t="shared" si="46"/>
        <v/>
      </c>
      <c r="AE223" s="457" t="s">
        <v>833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432</v>
      </c>
      <c r="M224" s="213"/>
      <c r="N224" s="609" t="s">
        <v>303</v>
      </c>
      <c r="O224" s="1085"/>
      <c r="P224" s="610">
        <f>LEN(O223)</f>
        <v>0</v>
      </c>
      <c r="Q224" s="679"/>
      <c r="R224" s="682">
        <f>LEN(Q223)</f>
        <v>0</v>
      </c>
      <c r="S224" s="59"/>
      <c r="T224" s="59"/>
      <c r="U224" s="59"/>
      <c r="V224" s="59"/>
      <c r="W224" s="70"/>
      <c r="X224" s="664" t="s">
        <v>432</v>
      </c>
      <c r="Y224" s="500"/>
      <c r="Z224" s="457"/>
      <c r="AA224" s="132" t="s">
        <v>1084</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432</v>
      </c>
      <c r="M225" s="66"/>
      <c r="N225" s="54" t="s">
        <v>102</v>
      </c>
      <c r="O225" s="1084"/>
      <c r="P225" s="440"/>
      <c r="Q225" s="677" t="str">
        <f>IF(OR(AB334=0,AB334=""),"",AB334)</f>
        <v/>
      </c>
      <c r="R225" s="48"/>
      <c r="S225" s="48"/>
      <c r="T225" s="48"/>
      <c r="U225" s="48"/>
      <c r="V225" s="48"/>
      <c r="W225" s="69"/>
      <c r="X225" s="664" t="s">
        <v>432</v>
      </c>
      <c r="Y225" s="500"/>
      <c r="Z225" s="457"/>
      <c r="AA225" s="462" t="s">
        <v>55</v>
      </c>
      <c r="AB225" s="1191"/>
      <c r="AC225" s="551" t="str">
        <f t="shared" ref="AC225:AC232" si="47">IF(AND(OR(AB225="",AB225=0),OR(AD225="",AD225=0)),"",IF(AB225&lt;&gt;AD225,"Change",""))</f>
        <v>Change</v>
      </c>
      <c r="AD225" s="1061" t="str">
        <f>IF(Q1406="","",Q1406)</f>
        <v>NA</v>
      </c>
      <c r="AE225" s="457" t="s">
        <v>61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432</v>
      </c>
      <c r="M226" s="85"/>
      <c r="N226" s="609" t="s">
        <v>303</v>
      </c>
      <c r="O226" s="1085"/>
      <c r="P226" s="610">
        <f>LEN(O225)</f>
        <v>0</v>
      </c>
      <c r="Q226" s="679"/>
      <c r="R226" s="682">
        <f>LEN(Q225)</f>
        <v>0</v>
      </c>
      <c r="S226" s="48"/>
      <c r="T226" s="48"/>
      <c r="U226" s="48"/>
      <c r="V226" s="48"/>
      <c r="W226" s="69"/>
      <c r="X226" s="664" t="s">
        <v>432</v>
      </c>
      <c r="Y226" s="500"/>
      <c r="Z226" s="457"/>
      <c r="AA226" s="462" t="s">
        <v>56</v>
      </c>
      <c r="AB226" s="1191"/>
      <c r="AC226" s="551" t="str">
        <f t="shared" si="47"/>
        <v>Change</v>
      </c>
      <c r="AD226" s="1061" t="str">
        <f>IF(R1406="","",R1406)</f>
        <v>NA</v>
      </c>
      <c r="AE226" s="457" t="s">
        <v>62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432</v>
      </c>
      <c r="M227" s="213"/>
      <c r="N227" s="54" t="s">
        <v>102</v>
      </c>
      <c r="O227" s="1084"/>
      <c r="P227" s="440"/>
      <c r="Q227" s="677" t="str">
        <f>IF(OR(AB336=0,AB336=""),"",AB336)</f>
        <v/>
      </c>
      <c r="R227" s="48"/>
      <c r="S227" s="59"/>
      <c r="T227" s="59"/>
      <c r="U227" s="59"/>
      <c r="V227" s="59"/>
      <c r="W227" s="70"/>
      <c r="X227" s="664" t="s">
        <v>432</v>
      </c>
      <c r="Y227" s="500"/>
      <c r="Z227" s="457"/>
      <c r="AA227" s="462" t="s">
        <v>57</v>
      </c>
      <c r="AB227" s="1191"/>
      <c r="AC227" s="551" t="str">
        <f t="shared" si="47"/>
        <v>Change</v>
      </c>
      <c r="AD227" s="1061" t="str">
        <f>IF(S1406="","",S1406)</f>
        <v>NA</v>
      </c>
      <c r="AE227" s="457" t="s">
        <v>63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432</v>
      </c>
      <c r="M228" s="66"/>
      <c r="N228" s="609" t="s">
        <v>303</v>
      </c>
      <c r="O228" s="1085"/>
      <c r="P228" s="610">
        <f>LEN(O227)</f>
        <v>0</v>
      </c>
      <c r="Q228" s="679"/>
      <c r="R228" s="682">
        <f>LEN(Q227)</f>
        <v>0</v>
      </c>
      <c r="S228" s="48"/>
      <c r="T228" s="48"/>
      <c r="U228" s="48"/>
      <c r="V228" s="48"/>
      <c r="W228" s="69"/>
      <c r="X228" s="664" t="s">
        <v>432</v>
      </c>
      <c r="Y228" s="500"/>
      <c r="Z228" s="457"/>
      <c r="AA228" s="462" t="s">
        <v>58</v>
      </c>
      <c r="AB228" s="1191"/>
      <c r="AC228" s="551" t="str">
        <f t="shared" si="47"/>
        <v>Change</v>
      </c>
      <c r="AD228" s="1061" t="str">
        <f>IF(Q1421="","",Q1421)</f>
        <v>NA</v>
      </c>
      <c r="AE228" s="457" t="s">
        <v>64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432</v>
      </c>
      <c r="M229" s="85"/>
      <c r="N229" s="54" t="s">
        <v>102</v>
      </c>
      <c r="O229" s="1084"/>
      <c r="P229" s="440"/>
      <c r="Q229" s="677" t="str">
        <f>IF(OR(AB338=0,AB338=""),"",AB338)</f>
        <v/>
      </c>
      <c r="R229" s="48"/>
      <c r="S229" s="48"/>
      <c r="T229" s="48"/>
      <c r="U229" s="48"/>
      <c r="V229" s="48"/>
      <c r="W229" s="69"/>
      <c r="X229" s="664" t="s">
        <v>432</v>
      </c>
      <c r="Y229" s="500"/>
      <c r="Z229" s="457"/>
      <c r="AA229" s="462" t="s">
        <v>59</v>
      </c>
      <c r="AB229" s="1191"/>
      <c r="AC229" s="551" t="str">
        <f t="shared" si="47"/>
        <v>Change</v>
      </c>
      <c r="AD229" s="1061" t="str">
        <f>IF(R1421="","",R1421)</f>
        <v>NA</v>
      </c>
      <c r="AE229" s="457" t="s">
        <v>65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432</v>
      </c>
      <c r="M230" s="213"/>
      <c r="N230" s="609" t="s">
        <v>303</v>
      </c>
      <c r="O230" s="1085"/>
      <c r="P230" s="610">
        <f>LEN(O229)</f>
        <v>0</v>
      </c>
      <c r="Q230" s="679"/>
      <c r="R230" s="682">
        <f>LEN(Q229)</f>
        <v>0</v>
      </c>
      <c r="S230" s="59"/>
      <c r="T230" s="59"/>
      <c r="U230" s="59"/>
      <c r="V230" s="59"/>
      <c r="W230" s="70"/>
      <c r="X230" s="664" t="s">
        <v>432</v>
      </c>
      <c r="Y230" s="500"/>
      <c r="Z230" s="457"/>
      <c r="AA230" s="462" t="s">
        <v>60</v>
      </c>
      <c r="AB230" s="1191"/>
      <c r="AC230" s="551" t="str">
        <f t="shared" si="47"/>
        <v>Change</v>
      </c>
      <c r="AD230" s="1061" t="str">
        <f>IF(S1421="","",S1421)</f>
        <v>NA</v>
      </c>
      <c r="AE230" s="457" t="s">
        <v>66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432</v>
      </c>
      <c r="M231" s="127"/>
      <c r="N231" s="54" t="s">
        <v>102</v>
      </c>
      <c r="O231" s="1084"/>
      <c r="P231" s="440"/>
      <c r="Q231" s="677" t="str">
        <f>IF(OR(AB340=0,AB340=""),"",AB340)</f>
        <v/>
      </c>
      <c r="R231" s="48"/>
      <c r="S231" s="59"/>
      <c r="T231" s="59"/>
      <c r="U231" s="59"/>
      <c r="V231" s="59"/>
      <c r="W231" s="71"/>
      <c r="X231" s="664" t="s">
        <v>432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432</v>
      </c>
      <c r="M232" s="127"/>
      <c r="N232" s="609" t="s">
        <v>303</v>
      </c>
      <c r="O232" s="1085"/>
      <c r="P232" s="610">
        <f>LEN(O231)</f>
        <v>0</v>
      </c>
      <c r="Q232" s="679"/>
      <c r="R232" s="682">
        <f>LEN(Q231)</f>
        <v>0</v>
      </c>
      <c r="S232" s="48"/>
      <c r="T232" s="48"/>
      <c r="U232" s="48"/>
      <c r="V232" s="48"/>
      <c r="W232" s="71"/>
      <c r="X232" s="664" t="s">
        <v>432</v>
      </c>
      <c r="Y232" s="500"/>
      <c r="Z232" s="457"/>
      <c r="AA232" s="132" t="s">
        <v>574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432</v>
      </c>
      <c r="M233" s="127"/>
      <c r="N233" s="54" t="s">
        <v>102</v>
      </c>
      <c r="O233" s="1084"/>
      <c r="P233" s="440"/>
      <c r="Q233" s="677" t="str">
        <f>IF(OR(AB342=0,AB342=""),"",AB342)</f>
        <v/>
      </c>
      <c r="R233" s="48"/>
      <c r="S233" s="59"/>
      <c r="T233" s="59"/>
      <c r="U233" s="59"/>
      <c r="V233" s="59"/>
      <c r="W233" s="71"/>
      <c r="X233" s="664" t="s">
        <v>432</v>
      </c>
      <c r="Y233" s="500"/>
      <c r="Z233" s="457"/>
      <c r="AA233" s="462" t="s">
        <v>575</v>
      </c>
      <c r="AB233" s="1186"/>
      <c r="AC233" s="551" t="str">
        <f t="shared" ref="AC233:AC271" si="48">IF(AND(OR(AB233="",AB233=0),OR(AD233="",AD233=0)),"",IF(AB233&lt;&gt;AD233,"Change",""))</f>
        <v>Change</v>
      </c>
      <c r="AD233" s="1056">
        <f>M79</f>
        <v>10</v>
      </c>
      <c r="AE233" s="457" t="s">
        <v>307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432</v>
      </c>
      <c r="M234" s="127"/>
      <c r="N234" s="609" t="s">
        <v>303</v>
      </c>
      <c r="O234" s="1085"/>
      <c r="P234" s="610">
        <f>LEN(O233)</f>
        <v>0</v>
      </c>
      <c r="Q234" s="679"/>
      <c r="R234" s="682">
        <f>LEN(Q233)</f>
        <v>0</v>
      </c>
      <c r="S234" s="59"/>
      <c r="T234" s="59"/>
      <c r="U234" s="59"/>
      <c r="V234" s="59"/>
      <c r="W234" s="71"/>
      <c r="X234" s="664" t="s">
        <v>432</v>
      </c>
      <c r="Y234" s="500"/>
      <c r="Z234" s="457"/>
      <c r="AA234" s="457" t="s">
        <v>576</v>
      </c>
      <c r="AB234" s="1186"/>
      <c r="AC234" s="551" t="str">
        <f t="shared" si="48"/>
        <v>Change</v>
      </c>
      <c r="AD234" s="1053">
        <f>M80</f>
        <v>400</v>
      </c>
      <c r="AE234" s="457" t="s">
        <v>309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432</v>
      </c>
      <c r="M235" s="127"/>
      <c r="N235" s="54" t="s">
        <v>102</v>
      </c>
      <c r="O235" s="1084"/>
      <c r="P235" s="440"/>
      <c r="Q235" s="677" t="str">
        <f>IF(OR(AB344=0,AB344=""),"",AB344)</f>
        <v/>
      </c>
      <c r="R235" s="48"/>
      <c r="S235" s="48"/>
      <c r="T235" s="48"/>
      <c r="U235" s="48"/>
      <c r="V235" s="48"/>
      <c r="W235" s="71"/>
      <c r="X235" s="664" t="s">
        <v>432</v>
      </c>
      <c r="Y235" s="500"/>
      <c r="Z235" s="457"/>
      <c r="AA235" s="457" t="s">
        <v>577</v>
      </c>
      <c r="AB235" s="1186"/>
      <c r="AC235" s="551" t="str">
        <f t="shared" si="48"/>
        <v>Change</v>
      </c>
      <c r="AD235" s="1053">
        <f>M81</f>
        <v>200</v>
      </c>
      <c r="AE235" s="457" t="s">
        <v>310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432</v>
      </c>
      <c r="M236" s="127"/>
      <c r="N236" s="609" t="s">
        <v>303</v>
      </c>
      <c r="O236" s="1085"/>
      <c r="P236" s="610">
        <f>LEN(O235)</f>
        <v>0</v>
      </c>
      <c r="Q236" s="679"/>
      <c r="R236" s="682">
        <f>LEN(Q235)</f>
        <v>0</v>
      </c>
      <c r="S236" s="59"/>
      <c r="T236" s="59"/>
      <c r="U236" s="59"/>
      <c r="V236" s="59"/>
      <c r="W236" s="71"/>
      <c r="X236" s="664" t="s">
        <v>432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432</v>
      </c>
      <c r="M237" s="127"/>
      <c r="N237" s="54" t="s">
        <v>102</v>
      </c>
      <c r="O237" s="1084"/>
      <c r="P237" s="440"/>
      <c r="Q237" s="677" t="str">
        <f>IF(OR(AB346=0,AB346=""),"",AB346)</f>
        <v/>
      </c>
      <c r="R237" s="48"/>
      <c r="S237" s="59"/>
      <c r="T237" s="59"/>
      <c r="U237" s="59"/>
      <c r="V237" s="59"/>
      <c r="W237" s="71"/>
      <c r="X237" s="664" t="s">
        <v>432</v>
      </c>
      <c r="Y237" s="500"/>
      <c r="Z237" s="457"/>
      <c r="AA237" s="132" t="s">
        <v>568</v>
      </c>
      <c r="AB237" s="1186"/>
      <c r="AC237" s="551" t="str">
        <f t="shared" si="48"/>
        <v>Change</v>
      </c>
      <c r="AD237" s="1057" t="str">
        <f t="shared" ref="AD237:AD246" si="49">M87</f>
        <v>CXR</v>
      </c>
      <c r="AE237" s="457" t="s">
        <v>834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432</v>
      </c>
      <c r="M238" s="127"/>
      <c r="N238" s="609" t="s">
        <v>303</v>
      </c>
      <c r="O238" s="1085"/>
      <c r="P238" s="610">
        <f>LEN(O237)</f>
        <v>0</v>
      </c>
      <c r="Q238" s="679"/>
      <c r="R238" s="682">
        <f>LEN(Q237)</f>
        <v>0</v>
      </c>
      <c r="S238" s="48"/>
      <c r="T238" s="48"/>
      <c r="U238" s="48"/>
      <c r="V238" s="48"/>
      <c r="W238" s="71"/>
      <c r="X238" s="664" t="s">
        <v>432</v>
      </c>
      <c r="Y238" s="500"/>
      <c r="Z238" s="457"/>
      <c r="AA238" s="457"/>
      <c r="AB238" s="1186"/>
      <c r="AC238" s="551" t="str">
        <f t="shared" si="48"/>
        <v>Change</v>
      </c>
      <c r="AD238" s="1057" t="str">
        <f t="shared" si="49"/>
        <v>Abdomen AP</v>
      </c>
      <c r="AE238" s="457" t="s">
        <v>835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432</v>
      </c>
      <c r="M239" s="127"/>
      <c r="N239" s="54" t="s">
        <v>102</v>
      </c>
      <c r="O239" s="1084"/>
      <c r="P239" s="440"/>
      <c r="Q239" s="677" t="str">
        <f>IF(OR(AB348=0,AB348=""),"",AB348)</f>
        <v/>
      </c>
      <c r="R239" s="48"/>
      <c r="S239" s="59"/>
      <c r="T239" s="59"/>
      <c r="U239" s="59"/>
      <c r="V239" s="59"/>
      <c r="W239" s="71"/>
      <c r="X239" s="664" t="s">
        <v>432</v>
      </c>
      <c r="Y239" s="500"/>
      <c r="Z239" s="457"/>
      <c r="AA239" s="457"/>
      <c r="AB239" s="1186"/>
      <c r="AC239" s="551" t="str">
        <f t="shared" si="48"/>
        <v>Change</v>
      </c>
      <c r="AD239" s="1057" t="str">
        <f t="shared" si="49"/>
        <v>Ribs</v>
      </c>
      <c r="AE239" s="457" t="s">
        <v>836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432</v>
      </c>
      <c r="M240" s="127"/>
      <c r="N240" s="609" t="s">
        <v>303</v>
      </c>
      <c r="O240" s="1085"/>
      <c r="P240" s="610">
        <f>LEN(O239)</f>
        <v>0</v>
      </c>
      <c r="Q240" s="679"/>
      <c r="R240" s="682">
        <f>LEN(Q239)</f>
        <v>0</v>
      </c>
      <c r="S240" s="59"/>
      <c r="T240" s="59"/>
      <c r="U240" s="59"/>
      <c r="V240" s="59"/>
      <c r="W240" s="71"/>
      <c r="X240" s="664" t="s">
        <v>432</v>
      </c>
      <c r="Y240" s="500"/>
      <c r="Z240" s="457"/>
      <c r="AA240" s="457"/>
      <c r="AB240" s="1186"/>
      <c r="AC240" s="551" t="str">
        <f t="shared" si="48"/>
        <v>Change</v>
      </c>
      <c r="AD240" s="1057" t="str">
        <f t="shared" si="49"/>
        <v>C-Spine AP</v>
      </c>
      <c r="AE240" s="457" t="s">
        <v>837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432</v>
      </c>
      <c r="M241" s="127"/>
      <c r="N241" s="54" t="s">
        <v>102</v>
      </c>
      <c r="O241" s="1084"/>
      <c r="P241" s="440"/>
      <c r="Q241" s="677" t="str">
        <f>IF(OR(AB350=0,AB350=""),"",AB350)</f>
        <v/>
      </c>
      <c r="R241" s="48"/>
      <c r="S241" s="48"/>
      <c r="T241" s="48"/>
      <c r="U241" s="48"/>
      <c r="V241" s="48"/>
      <c r="W241" s="71"/>
      <c r="X241" s="664" t="s">
        <v>432</v>
      </c>
      <c r="Y241" s="500"/>
      <c r="Z241" s="457"/>
      <c r="AA241" s="457"/>
      <c r="AB241" s="1186"/>
      <c r="AC241" s="551" t="str">
        <f t="shared" si="48"/>
        <v>Change</v>
      </c>
      <c r="AD241" s="1057" t="str">
        <f t="shared" si="49"/>
        <v>Skull</v>
      </c>
      <c r="AE241" s="457" t="s">
        <v>838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432</v>
      </c>
      <c r="M242" s="127"/>
      <c r="N242" s="609" t="s">
        <v>303</v>
      </c>
      <c r="O242" s="610"/>
      <c r="P242" s="610">
        <f>LEN(O241)</f>
        <v>0</v>
      </c>
      <c r="Q242" s="679"/>
      <c r="R242" s="682">
        <f>LEN(Q241)</f>
        <v>0</v>
      </c>
      <c r="S242" s="59"/>
      <c r="T242" s="59"/>
      <c r="U242" s="59"/>
      <c r="V242" s="59"/>
      <c r="W242" s="71"/>
      <c r="X242" s="664" t="s">
        <v>432</v>
      </c>
      <c r="Y242" s="500"/>
      <c r="Z242" s="457"/>
      <c r="AA242" s="457"/>
      <c r="AB242" s="1186"/>
      <c r="AC242" s="551" t="str">
        <f t="shared" si="48"/>
        <v>Change</v>
      </c>
      <c r="AD242" s="1057" t="str">
        <f t="shared" si="49"/>
        <v>Foot</v>
      </c>
      <c r="AE242" s="457" t="s">
        <v>839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432</v>
      </c>
      <c r="M243" s="127"/>
      <c r="N243" s="509"/>
      <c r="O243" s="509"/>
      <c r="P243" s="509"/>
      <c r="Q243" s="506"/>
      <c r="R243" s="506"/>
      <c r="S243" s="506"/>
      <c r="T243" s="506"/>
      <c r="U243" s="506"/>
      <c r="V243" s="506"/>
      <c r="W243" s="71"/>
      <c r="X243" s="664" t="s">
        <v>432</v>
      </c>
      <c r="Y243" s="500"/>
      <c r="Z243" s="457"/>
      <c r="AA243" s="457"/>
      <c r="AB243" s="1186"/>
      <c r="AC243" s="551" t="str">
        <f t="shared" si="48"/>
        <v>Change</v>
      </c>
      <c r="AD243" s="1057" t="str">
        <f t="shared" si="49"/>
        <v>Knee</v>
      </c>
      <c r="AE243" s="457" t="s">
        <v>840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432</v>
      </c>
      <c r="M244" s="127"/>
      <c r="N244" s="504"/>
      <c r="O244" s="504"/>
      <c r="P244" s="504"/>
      <c r="Q244" s="505"/>
      <c r="R244" s="505"/>
      <c r="S244" s="505"/>
      <c r="T244" s="505"/>
      <c r="U244" s="505"/>
      <c r="V244" s="505"/>
      <c r="W244" s="71"/>
      <c r="X244" s="664" t="s">
        <v>432</v>
      </c>
      <c r="Y244" s="500"/>
      <c r="Z244" s="457"/>
      <c r="AA244" s="457"/>
      <c r="AB244" s="1186"/>
      <c r="AC244" s="551" t="str">
        <f t="shared" si="48"/>
        <v>Change</v>
      </c>
      <c r="AD244" s="1057" t="str">
        <f t="shared" si="49"/>
        <v>Pelvis AP</v>
      </c>
      <c r="AE244" s="457" t="s">
        <v>841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432</v>
      </c>
      <c r="M245" s="127"/>
      <c r="N245" s="504"/>
      <c r="O245" s="504"/>
      <c r="P245" s="504"/>
      <c r="Q245" s="505"/>
      <c r="R245" s="505"/>
      <c r="S245" s="505"/>
      <c r="T245" s="505"/>
      <c r="U245" s="505"/>
      <c r="V245" s="505"/>
      <c r="W245" s="71"/>
      <c r="X245" s="664" t="s">
        <v>432</v>
      </c>
      <c r="Y245" s="500"/>
      <c r="Z245" s="457"/>
      <c r="AA245" s="457"/>
      <c r="AB245" s="1186"/>
      <c r="AC245" s="551" t="str">
        <f t="shared" si="48"/>
        <v>Change</v>
      </c>
      <c r="AD245" s="1057" t="str">
        <f t="shared" si="49"/>
        <v>Shoulder</v>
      </c>
      <c r="AE245" s="457" t="s">
        <v>842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432</v>
      </c>
      <c r="M246" s="127"/>
      <c r="N246" s="504"/>
      <c r="O246" s="504"/>
      <c r="P246" s="504"/>
      <c r="Q246" s="505"/>
      <c r="R246" s="505"/>
      <c r="S246" s="505"/>
      <c r="T246" s="505"/>
      <c r="U246" s="505"/>
      <c r="V246" s="505"/>
      <c r="W246" s="71"/>
      <c r="X246" s="664" t="s">
        <v>432</v>
      </c>
      <c r="Y246" s="500"/>
      <c r="Z246" s="457"/>
      <c r="AA246" s="457"/>
      <c r="AB246" s="1186"/>
      <c r="AC246" s="551" t="str">
        <f t="shared" si="48"/>
        <v>Change</v>
      </c>
      <c r="AD246" s="1057" t="str">
        <f t="shared" si="49"/>
        <v>LS Spine AP</v>
      </c>
      <c r="AE246" s="457" t="s">
        <v>843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432</v>
      </c>
      <c r="M247" s="127"/>
      <c r="N247" s="504"/>
      <c r="O247" s="504"/>
      <c r="P247" s="504"/>
      <c r="Q247" s="376" t="s">
        <v>297</v>
      </c>
      <c r="R247" s="50"/>
      <c r="S247" s="50"/>
      <c r="T247" s="504"/>
      <c r="U247" s="505"/>
      <c r="V247" s="505"/>
      <c r="W247" s="71"/>
      <c r="X247" s="664" t="s">
        <v>432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432</v>
      </c>
      <c r="M248" s="127"/>
      <c r="N248" s="504"/>
      <c r="O248" s="504"/>
      <c r="P248" s="504"/>
      <c r="Q248" s="505"/>
      <c r="R248" s="504"/>
      <c r="S248" s="505"/>
      <c r="T248" s="504"/>
      <c r="U248" s="505"/>
      <c r="V248" s="505"/>
      <c r="W248" s="71"/>
      <c r="X248" s="664" t="s">
        <v>432</v>
      </c>
      <c r="Y248" s="500"/>
      <c r="Z248" s="457"/>
      <c r="AA248" s="132" t="s">
        <v>569</v>
      </c>
      <c r="AB248" s="1186"/>
      <c r="AC248" s="551" t="str">
        <f t="shared" si="48"/>
        <v>Change</v>
      </c>
      <c r="AD248" s="1057" t="str">
        <f t="shared" ref="AD248:AD257" si="50">N87</f>
        <v>Yes</v>
      </c>
      <c r="AE248" s="457" t="s">
        <v>844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432</v>
      </c>
      <c r="M249" s="127"/>
      <c r="N249" s="504"/>
      <c r="O249" s="504"/>
      <c r="P249" s="504"/>
      <c r="Q249" s="505"/>
      <c r="R249" s="504"/>
      <c r="S249" s="505"/>
      <c r="T249" s="504"/>
      <c r="U249" s="505"/>
      <c r="V249" s="505"/>
      <c r="W249" s="71"/>
      <c r="X249" s="664" t="s">
        <v>432</v>
      </c>
      <c r="Y249" s="500"/>
      <c r="Z249" s="457"/>
      <c r="AA249" s="457"/>
      <c r="AB249" s="1186"/>
      <c r="AC249" s="551" t="str">
        <f t="shared" si="48"/>
        <v>Change</v>
      </c>
      <c r="AD249" s="1057" t="str">
        <f t="shared" si="50"/>
        <v>Yes</v>
      </c>
      <c r="AE249" s="457" t="s">
        <v>845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432</v>
      </c>
      <c r="M250" s="127"/>
      <c r="N250" s="504"/>
      <c r="O250" s="504"/>
      <c r="P250" s="504"/>
      <c r="Q250" s="505"/>
      <c r="R250" s="504"/>
      <c r="S250" s="505"/>
      <c r="T250" s="504"/>
      <c r="U250" s="505"/>
      <c r="V250" s="505"/>
      <c r="W250" s="71"/>
      <c r="X250" s="664" t="s">
        <v>432</v>
      </c>
      <c r="Y250" s="500"/>
      <c r="Z250" s="457"/>
      <c r="AA250" s="457"/>
      <c r="AB250" s="1186"/>
      <c r="AC250" s="551" t="str">
        <f t="shared" si="48"/>
        <v>Change</v>
      </c>
      <c r="AD250" s="1057" t="str">
        <f t="shared" si="50"/>
        <v>Yes</v>
      </c>
      <c r="AE250" s="457" t="s">
        <v>846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432</v>
      </c>
      <c r="M251" s="127"/>
      <c r="N251" s="504"/>
      <c r="O251" s="504"/>
      <c r="P251" s="504"/>
      <c r="Q251" s="505"/>
      <c r="R251" s="504"/>
      <c r="S251" s="505"/>
      <c r="T251" s="504"/>
      <c r="U251" s="505"/>
      <c r="V251" s="505"/>
      <c r="W251" s="71"/>
      <c r="X251" s="664" t="s">
        <v>432</v>
      </c>
      <c r="Y251" s="500"/>
      <c r="Z251" s="457"/>
      <c r="AA251" s="457"/>
      <c r="AB251" s="1186"/>
      <c r="AC251" s="551" t="str">
        <f t="shared" si="48"/>
        <v>Change</v>
      </c>
      <c r="AD251" s="1057" t="str">
        <f t="shared" si="50"/>
        <v>Yes</v>
      </c>
      <c r="AE251" s="457" t="s">
        <v>847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432</v>
      </c>
      <c r="M252" s="127"/>
      <c r="N252" s="504"/>
      <c r="O252" s="504"/>
      <c r="P252" s="504"/>
      <c r="Q252" s="505"/>
      <c r="R252" s="504"/>
      <c r="S252" s="505"/>
      <c r="T252" s="504"/>
      <c r="U252" s="505"/>
      <c r="V252" s="505"/>
      <c r="W252" s="71"/>
      <c r="X252" s="664" t="s">
        <v>432</v>
      </c>
      <c r="Y252" s="500"/>
      <c r="Z252" s="457"/>
      <c r="AA252" s="457"/>
      <c r="AB252" s="1186"/>
      <c r="AC252" s="551" t="str">
        <f t="shared" si="48"/>
        <v>Change</v>
      </c>
      <c r="AD252" s="1057" t="str">
        <f t="shared" si="50"/>
        <v>Yes</v>
      </c>
      <c r="AE252" s="457" t="s">
        <v>848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432</v>
      </c>
      <c r="M253" s="127"/>
      <c r="N253" s="504"/>
      <c r="O253" s="504"/>
      <c r="P253" s="504"/>
      <c r="Q253" s="505"/>
      <c r="R253" s="504"/>
      <c r="S253" s="505"/>
      <c r="T253" s="504"/>
      <c r="U253" s="505"/>
      <c r="V253" s="505"/>
      <c r="W253" s="71"/>
      <c r="X253" s="664" t="s">
        <v>432</v>
      </c>
      <c r="Y253" s="500"/>
      <c r="Z253" s="457"/>
      <c r="AA253" s="457"/>
      <c r="AB253" s="1186"/>
      <c r="AC253" s="551" t="str">
        <f t="shared" si="48"/>
        <v>Change</v>
      </c>
      <c r="AD253" s="1057" t="str">
        <f t="shared" si="50"/>
        <v>No</v>
      </c>
      <c r="AE253" s="457" t="s">
        <v>849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432</v>
      </c>
      <c r="M254" s="127"/>
      <c r="N254" s="504"/>
      <c r="O254" s="504"/>
      <c r="P254" s="504"/>
      <c r="Q254" s="505"/>
      <c r="R254" s="504"/>
      <c r="S254" s="505"/>
      <c r="T254" s="504"/>
      <c r="U254" s="505"/>
      <c r="V254" s="505"/>
      <c r="W254" s="71"/>
      <c r="X254" s="664" t="s">
        <v>432</v>
      </c>
      <c r="Y254" s="500"/>
      <c r="Z254" s="457"/>
      <c r="AA254" s="457"/>
      <c r="AB254" s="1186"/>
      <c r="AC254" s="551" t="str">
        <f t="shared" si="48"/>
        <v>Change</v>
      </c>
      <c r="AD254" s="1057" t="str">
        <f t="shared" si="50"/>
        <v>No</v>
      </c>
      <c r="AE254" s="457" t="s">
        <v>850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432</v>
      </c>
      <c r="M255" s="127"/>
      <c r="N255" s="504"/>
      <c r="O255" s="504"/>
      <c r="P255" s="504"/>
      <c r="Q255" s="505"/>
      <c r="R255" s="504"/>
      <c r="S255" s="505"/>
      <c r="T255" s="504"/>
      <c r="U255" s="505"/>
      <c r="V255" s="505"/>
      <c r="W255" s="71"/>
      <c r="X255" s="664" t="s">
        <v>432</v>
      </c>
      <c r="Y255" s="500"/>
      <c r="Z255" s="457"/>
      <c r="AA255" s="457"/>
      <c r="AB255" s="1186"/>
      <c r="AC255" s="551" t="str">
        <f t="shared" si="48"/>
        <v>Change</v>
      </c>
      <c r="AD255" s="1057" t="str">
        <f t="shared" si="50"/>
        <v>Yes</v>
      </c>
      <c r="AE255" s="457" t="s">
        <v>851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432</v>
      </c>
      <c r="M256" s="127"/>
      <c r="N256" s="504"/>
      <c r="O256" s="504"/>
      <c r="P256" s="504"/>
      <c r="Q256" s="505"/>
      <c r="R256" s="504"/>
      <c r="S256" s="505"/>
      <c r="T256" s="504"/>
      <c r="U256" s="505"/>
      <c r="V256" s="505"/>
      <c r="W256" s="71"/>
      <c r="X256" s="664" t="s">
        <v>432</v>
      </c>
      <c r="Y256" s="500"/>
      <c r="Z256" s="457"/>
      <c r="AA256" s="457"/>
      <c r="AB256" s="1186"/>
      <c r="AC256" s="551" t="str">
        <f t="shared" si="48"/>
        <v>Change</v>
      </c>
      <c r="AD256" s="1057" t="str">
        <f t="shared" si="50"/>
        <v>Yes</v>
      </c>
      <c r="AE256" s="457" t="s">
        <v>852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432</v>
      </c>
      <c r="M257" s="127"/>
      <c r="N257" s="504"/>
      <c r="O257" s="504"/>
      <c r="P257" s="504"/>
      <c r="Q257" s="505"/>
      <c r="R257" s="504"/>
      <c r="S257" s="505"/>
      <c r="T257" s="504"/>
      <c r="U257" s="505"/>
      <c r="V257" s="505"/>
      <c r="W257" s="71"/>
      <c r="X257" s="664" t="s">
        <v>432</v>
      </c>
      <c r="Y257" s="500"/>
      <c r="Z257" s="457"/>
      <c r="AA257" s="457"/>
      <c r="AB257" s="1186"/>
      <c r="AC257" s="551" t="str">
        <f t="shared" si="48"/>
        <v>Change</v>
      </c>
      <c r="AD257" s="1057" t="str">
        <f t="shared" si="50"/>
        <v>Yes</v>
      </c>
      <c r="AE257" s="457" t="s">
        <v>853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432</v>
      </c>
      <c r="M258" s="127"/>
      <c r="N258" s="504"/>
      <c r="O258" s="504"/>
      <c r="P258" s="504"/>
      <c r="Q258" s="505"/>
      <c r="R258" s="504"/>
      <c r="S258" s="505"/>
      <c r="T258" s="504"/>
      <c r="U258" s="505"/>
      <c r="V258" s="505"/>
      <c r="W258" s="71"/>
      <c r="X258" s="664" t="s">
        <v>432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432</v>
      </c>
      <c r="M259" s="127"/>
      <c r="N259" s="504"/>
      <c r="O259" s="504"/>
      <c r="P259" s="504"/>
      <c r="Q259" s="505"/>
      <c r="R259" s="504"/>
      <c r="S259" s="505"/>
      <c r="T259" s="504"/>
      <c r="U259" s="505"/>
      <c r="V259" s="505"/>
      <c r="W259" s="71"/>
      <c r="X259" s="664" t="s">
        <v>432</v>
      </c>
      <c r="Y259" s="500"/>
      <c r="Z259" s="457"/>
      <c r="AA259" s="132" t="s">
        <v>578</v>
      </c>
      <c r="AB259" s="1186"/>
      <c r="AC259" s="551" t="str">
        <f t="shared" si="48"/>
        <v>Change</v>
      </c>
      <c r="AD259" s="1057">
        <f t="shared" ref="AD259:AD268" si="51">O87</f>
        <v>72</v>
      </c>
      <c r="AE259" s="457" t="s">
        <v>854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432</v>
      </c>
      <c r="M260" s="127"/>
      <c r="N260" s="504"/>
      <c r="O260" s="504"/>
      <c r="P260" s="504"/>
      <c r="Q260" s="505"/>
      <c r="R260" s="504"/>
      <c r="S260" s="505"/>
      <c r="T260" s="504"/>
      <c r="U260" s="505"/>
      <c r="V260" s="505"/>
      <c r="W260" s="71"/>
      <c r="X260" s="664" t="s">
        <v>432</v>
      </c>
      <c r="Y260" s="500"/>
      <c r="Z260" s="457"/>
      <c r="AA260" s="457"/>
      <c r="AB260" s="1186"/>
      <c r="AC260" s="551" t="str">
        <f t="shared" si="48"/>
        <v>Change</v>
      </c>
      <c r="AD260" s="1057">
        <f t="shared" si="51"/>
        <v>40</v>
      </c>
      <c r="AE260" s="457" t="s">
        <v>855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432</v>
      </c>
      <c r="M261" s="127"/>
      <c r="N261" s="508"/>
      <c r="O261" s="581"/>
      <c r="P261" s="508"/>
      <c r="Q261" s="507"/>
      <c r="R261" s="508"/>
      <c r="S261" s="507"/>
      <c r="T261" s="508"/>
      <c r="U261" s="507"/>
      <c r="V261" s="507"/>
      <c r="W261" s="71"/>
      <c r="X261" s="664" t="s">
        <v>432</v>
      </c>
      <c r="Y261" s="500"/>
      <c r="Z261" s="457"/>
      <c r="AA261" s="457"/>
      <c r="AB261" s="1186"/>
      <c r="AC261" s="551" t="str">
        <f t="shared" si="48"/>
        <v>Change</v>
      </c>
      <c r="AD261" s="1057">
        <f t="shared" si="51"/>
        <v>40</v>
      </c>
      <c r="AE261" s="457" t="s">
        <v>856</v>
      </c>
      <c r="AF261" s="457"/>
    </row>
    <row r="262" spans="1:32" ht="11.25" customHeight="1" thickBot="1">
      <c r="A262" s="611">
        <v>64</v>
      </c>
      <c r="B262" s="98"/>
      <c r="C262" s="83"/>
      <c r="D262" s="83"/>
      <c r="E262" s="83"/>
      <c r="F262" s="83"/>
      <c r="G262" s="83"/>
      <c r="H262" s="83"/>
      <c r="I262" s="83"/>
      <c r="J262" s="83"/>
      <c r="K262" s="86"/>
      <c r="L262" s="676" t="s">
        <v>432</v>
      </c>
      <c r="M262" s="72"/>
      <c r="N262" s="73"/>
      <c r="O262" s="582"/>
      <c r="P262" s="441"/>
      <c r="Q262" s="73"/>
      <c r="R262" s="73"/>
      <c r="S262" s="73"/>
      <c r="T262" s="73"/>
      <c r="U262" s="73"/>
      <c r="V262" s="73"/>
      <c r="W262" s="74"/>
      <c r="X262" s="664" t="s">
        <v>432</v>
      </c>
      <c r="Y262" s="500"/>
      <c r="Z262" s="457"/>
      <c r="AA262" s="457"/>
      <c r="AB262" s="1186"/>
      <c r="AC262" s="551" t="str">
        <f t="shared" si="48"/>
        <v>Change</v>
      </c>
      <c r="AD262" s="1057">
        <f t="shared" si="51"/>
        <v>40</v>
      </c>
      <c r="AE262" s="457" t="s">
        <v>857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432</v>
      </c>
      <c r="O263" s="578"/>
      <c r="P263" s="442"/>
      <c r="X263" s="664" t="s">
        <v>432</v>
      </c>
      <c r="Y263" s="500"/>
      <c r="Z263" s="457"/>
      <c r="AA263" s="457"/>
      <c r="AB263" s="1186"/>
      <c r="AC263" s="551" t="str">
        <f t="shared" si="48"/>
        <v>Change</v>
      </c>
      <c r="AD263" s="1057">
        <f t="shared" si="51"/>
        <v>40</v>
      </c>
      <c r="AE263" s="457" t="s">
        <v>858</v>
      </c>
      <c r="AF263" s="457"/>
    </row>
    <row r="264" spans="1:32" ht="11.25" customHeight="1">
      <c r="A264" s="611">
        <v>66</v>
      </c>
      <c r="B264" s="52" t="str">
        <v>Room Number:</v>
      </c>
      <c r="C264" s="373" t="str">
        <v/>
      </c>
      <c r="E264" s="51"/>
      <c r="F264" s="51"/>
      <c r="G264" s="51"/>
      <c r="H264" s="51"/>
      <c r="I264" s="52" t="str">
        <v>Survey ID:</v>
      </c>
      <c r="J264" s="1045" t="str">
        <v/>
      </c>
      <c r="L264" s="676" t="s">
        <v>432</v>
      </c>
      <c r="O264" s="578"/>
      <c r="P264" s="442"/>
      <c r="X264" s="664" t="s">
        <v>432</v>
      </c>
      <c r="Y264" s="500"/>
      <c r="Z264" s="457"/>
      <c r="AA264" s="457"/>
      <c r="AB264" s="1186"/>
      <c r="AC264" s="551" t="str">
        <f t="shared" si="48"/>
        <v>Change</v>
      </c>
      <c r="AD264" s="1057">
        <f t="shared" si="51"/>
        <v>40</v>
      </c>
      <c r="AE264" s="457" t="s">
        <v>859</v>
      </c>
      <c r="AF264" s="457"/>
    </row>
    <row r="265" spans="1:32" ht="11.25" customHeight="1">
      <c r="A265" s="611">
        <v>1</v>
      </c>
      <c r="B265" s="1"/>
      <c r="C265" s="1"/>
      <c r="D265" s="1"/>
      <c r="E265" s="1"/>
      <c r="F265" s="1"/>
      <c r="G265" s="1"/>
      <c r="H265" s="1"/>
      <c r="I265" s="1"/>
      <c r="J265" s="1"/>
      <c r="K265" s="131" t="str">
        <f>$F$2</f>
        <v>Medical University of South Carolina</v>
      </c>
      <c r="L265" s="676" t="s">
        <v>432</v>
      </c>
      <c r="M265" s="1"/>
      <c r="N265" s="1"/>
      <c r="O265" s="583"/>
      <c r="P265" s="442"/>
      <c r="Q265" s="1"/>
      <c r="R265" s="1"/>
      <c r="S265" s="1"/>
      <c r="T265" s="1"/>
      <c r="U265" s="1"/>
      <c r="V265" s="1"/>
      <c r="W265" s="131" t="str">
        <f>$F$2</f>
        <v>Medical University of South Carolina</v>
      </c>
      <c r="X265" s="664" t="s">
        <v>432</v>
      </c>
      <c r="Y265" s="500"/>
      <c r="Z265" s="457"/>
      <c r="AA265" s="457"/>
      <c r="AB265" s="1186"/>
      <c r="AC265" s="551" t="str">
        <f t="shared" si="48"/>
        <v>Change</v>
      </c>
      <c r="AD265" s="1057">
        <f t="shared" si="51"/>
        <v>40</v>
      </c>
      <c r="AE265" s="457" t="s">
        <v>860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432</v>
      </c>
      <c r="M266" s="1"/>
      <c r="N266" s="1"/>
      <c r="O266" s="583"/>
      <c r="P266" s="442"/>
      <c r="Q266" s="1"/>
      <c r="R266" s="1"/>
      <c r="S266" s="1"/>
      <c r="T266" s="1"/>
      <c r="U266" s="1"/>
      <c r="V266" s="1"/>
      <c r="W266" s="132" t="str">
        <f>$F$5</f>
        <v>Radiographic System Compliance Inspection</v>
      </c>
      <c r="X266" s="664" t="s">
        <v>432</v>
      </c>
      <c r="Y266" s="500"/>
      <c r="Z266" s="457"/>
      <c r="AA266" s="457"/>
      <c r="AB266" s="1186"/>
      <c r="AC266" s="551" t="str">
        <f t="shared" si="48"/>
        <v>Change</v>
      </c>
      <c r="AD266" s="1057">
        <f t="shared" si="51"/>
        <v>40</v>
      </c>
      <c r="AE266" s="457" t="s">
        <v>861</v>
      </c>
      <c r="AF266" s="457"/>
    </row>
    <row r="267" spans="1:32" ht="11.25" customHeight="1">
      <c r="A267" s="611">
        <v>3</v>
      </c>
      <c r="L267" s="676" t="s">
        <v>432</v>
      </c>
      <c r="M267" s="1"/>
      <c r="N267" s="1"/>
      <c r="O267" s="583"/>
      <c r="P267" s="442"/>
      <c r="Q267" s="1"/>
      <c r="R267" s="1"/>
      <c r="S267" s="1"/>
      <c r="T267" s="1"/>
      <c r="U267" s="1"/>
      <c r="V267" s="1"/>
      <c r="W267" s="1"/>
      <c r="X267" s="664" t="s">
        <v>432</v>
      </c>
      <c r="Y267" s="500"/>
      <c r="Z267" s="457"/>
      <c r="AA267" s="457"/>
      <c r="AB267" s="1186"/>
      <c r="AC267" s="551" t="str">
        <f t="shared" si="48"/>
        <v>Change</v>
      </c>
      <c r="AD267" s="1057">
        <f t="shared" si="51"/>
        <v>40</v>
      </c>
      <c r="AE267" s="457" t="s">
        <v>862</v>
      </c>
      <c r="AF267" s="457"/>
    </row>
    <row r="268" spans="1:32" ht="11.25" customHeight="1">
      <c r="A268" s="611">
        <v>4</v>
      </c>
      <c r="F268" s="190" t="str">
        <f>$R$268</f>
        <v>COMMENTS PAGE 2</v>
      </c>
      <c r="L268" s="676" t="s">
        <v>432</v>
      </c>
      <c r="O268" s="578"/>
      <c r="P268" s="442"/>
      <c r="R268" s="190" t="str">
        <f>"COMMENTS"&amp;IF(OR($O$205=0,$O$205="")," PAGE 2"," PAGE 3")</f>
        <v>COMMENTS PAGE 2</v>
      </c>
      <c r="X268" s="664" t="s">
        <v>432</v>
      </c>
      <c r="Y268" s="500"/>
      <c r="Z268" s="457"/>
      <c r="AA268" s="457"/>
      <c r="AB268" s="1186"/>
      <c r="AC268" s="551" t="str">
        <f t="shared" si="48"/>
        <v>Change</v>
      </c>
      <c r="AD268" s="1057">
        <f t="shared" si="51"/>
        <v>40</v>
      </c>
      <c r="AE268" s="457" t="s">
        <v>863</v>
      </c>
      <c r="AF268" s="457"/>
    </row>
    <row r="269" spans="1:32" ht="11.25" customHeight="1" thickBot="1">
      <c r="A269" s="611">
        <v>5</v>
      </c>
      <c r="L269" s="676" t="s">
        <v>432</v>
      </c>
      <c r="O269" s="578"/>
      <c r="P269" s="442"/>
      <c r="X269" s="664" t="s">
        <v>432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432</v>
      </c>
      <c r="M270" s="79"/>
      <c r="N270" s="62"/>
      <c r="O270" s="584"/>
      <c r="P270" s="439"/>
      <c r="Q270" s="683" t="s">
        <v>381</v>
      </c>
      <c r="R270" s="62"/>
      <c r="S270" s="62"/>
      <c r="T270" s="62"/>
      <c r="U270" s="62"/>
      <c r="V270" s="62"/>
      <c r="W270" s="80"/>
      <c r="X270" s="664" t="s">
        <v>432</v>
      </c>
      <c r="Y270" s="500"/>
      <c r="Z270" s="457"/>
      <c r="AA270" s="132" t="s">
        <v>579</v>
      </c>
      <c r="AB270" s="1186"/>
      <c r="AC270" s="551" t="str">
        <f t="shared" si="48"/>
        <v>Change</v>
      </c>
      <c r="AD270" s="1058">
        <f t="shared" ref="AD270:AD279" si="52">P87</f>
        <v>23</v>
      </c>
      <c r="AE270" s="457" t="s">
        <v>864</v>
      </c>
      <c r="AF270" s="457"/>
    </row>
    <row r="271" spans="1:32" ht="11.25" customHeight="1">
      <c r="A271" s="611">
        <v>7</v>
      </c>
      <c r="B271" s="102" t="s">
        <v>573</v>
      </c>
      <c r="C271" s="613" t="str">
        <f>IF(O271="","",IF(LEN(O271)&lt;=135,O271,IF(LEN(O271)&lt;=260,LEFT(O271,SEARCH(" ",O271,125)),LEFT(O271,SEARCH(" ",O271,130)))))</f>
        <v/>
      </c>
      <c r="D271" s="377"/>
      <c r="E271" s="377"/>
      <c r="F271" s="377"/>
      <c r="G271" s="377"/>
      <c r="H271" s="377"/>
      <c r="I271" s="377"/>
      <c r="J271" s="377"/>
      <c r="K271" s="71"/>
      <c r="L271" s="676" t="s">
        <v>432</v>
      </c>
      <c r="M271" s="127"/>
      <c r="N271" s="54" t="s">
        <v>573</v>
      </c>
      <c r="O271" s="1084"/>
      <c r="P271" s="440"/>
      <c r="Q271" s="677" t="str">
        <f>IF(OR(AB352=0,AB352=""),"",AB352)</f>
        <v/>
      </c>
      <c r="R271" s="48"/>
      <c r="S271" s="48"/>
      <c r="T271" s="48"/>
      <c r="U271" s="48"/>
      <c r="V271" s="48"/>
      <c r="W271" s="69"/>
      <c r="X271" s="664" t="s">
        <v>432</v>
      </c>
      <c r="Y271" s="500"/>
      <c r="Z271" s="457"/>
      <c r="AA271" s="457"/>
      <c r="AB271" s="1186"/>
      <c r="AC271" s="551" t="str">
        <f t="shared" si="48"/>
        <v>Change</v>
      </c>
      <c r="AD271" s="1058">
        <f t="shared" si="52"/>
        <v>23</v>
      </c>
      <c r="AE271" s="457" t="s">
        <v>865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432</v>
      </c>
      <c r="M272" s="85"/>
      <c r="N272" s="609" t="s">
        <v>303</v>
      </c>
      <c r="O272" s="1085"/>
      <c r="P272" s="610">
        <f>LEN(O271)</f>
        <v>0</v>
      </c>
      <c r="Q272" s="679"/>
      <c r="R272" s="682">
        <f>LEN(Q271)</f>
        <v>0</v>
      </c>
      <c r="S272" s="59"/>
      <c r="T272" s="59"/>
      <c r="U272" s="59"/>
      <c r="V272" s="59"/>
      <c r="W272" s="70"/>
      <c r="X272" s="664" t="s">
        <v>432</v>
      </c>
      <c r="Y272" s="500"/>
      <c r="Z272" s="457"/>
      <c r="AA272" s="457"/>
      <c r="AB272" s="1186"/>
      <c r="AC272" s="551" t="str">
        <f t="shared" ref="AC272:AC335" si="53">IF(AND(OR(AB272="",AB272=0),OR(AD272="",AD272=0)),"",IF(AB272&lt;&gt;AD272,"Change",""))</f>
        <v>Change</v>
      </c>
      <c r="AD272" s="1058">
        <f t="shared" si="52"/>
        <v>20</v>
      </c>
      <c r="AE272" s="457" t="s">
        <v>866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432</v>
      </c>
      <c r="M273" s="66"/>
      <c r="N273" s="54" t="s">
        <v>102</v>
      </c>
      <c r="O273" s="1084"/>
      <c r="P273" s="440"/>
      <c r="Q273" s="677" t="str">
        <f>IF(OR(AB354=0,AB354=""),"",AB354)</f>
        <v/>
      </c>
      <c r="R273" s="48"/>
      <c r="S273" s="48"/>
      <c r="T273" s="48"/>
      <c r="U273" s="48"/>
      <c r="V273" s="48"/>
      <c r="W273" s="69"/>
      <c r="X273" s="664" t="s">
        <v>432</v>
      </c>
      <c r="Y273" s="500"/>
      <c r="Z273" s="457"/>
      <c r="AA273" s="457"/>
      <c r="AB273" s="1186"/>
      <c r="AC273" s="551" t="str">
        <f t="shared" si="53"/>
        <v>Change</v>
      </c>
      <c r="AD273" s="1058">
        <f t="shared" si="52"/>
        <v>13</v>
      </c>
      <c r="AE273" s="457" t="s">
        <v>867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432</v>
      </c>
      <c r="M274" s="85"/>
      <c r="N274" s="609" t="s">
        <v>303</v>
      </c>
      <c r="O274" s="1085"/>
      <c r="P274" s="610">
        <f>LEN(O273)</f>
        <v>0</v>
      </c>
      <c r="Q274" s="679"/>
      <c r="R274" s="682">
        <f>LEN(Q273)</f>
        <v>0</v>
      </c>
      <c r="S274" s="48"/>
      <c r="T274" s="48"/>
      <c r="U274" s="48"/>
      <c r="V274" s="48"/>
      <c r="W274" s="69"/>
      <c r="X274" s="664" t="s">
        <v>432</v>
      </c>
      <c r="Y274" s="500"/>
      <c r="Z274" s="457"/>
      <c r="AA274" s="457"/>
      <c r="AB274" s="1186"/>
      <c r="AC274" s="551" t="str">
        <f t="shared" si="53"/>
        <v>Change</v>
      </c>
      <c r="AD274" s="1058">
        <f t="shared" si="52"/>
        <v>15</v>
      </c>
      <c r="AE274" s="457" t="s">
        <v>868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432</v>
      </c>
      <c r="M275" s="213"/>
      <c r="N275" s="54" t="s">
        <v>102</v>
      </c>
      <c r="O275" s="1084"/>
      <c r="P275" s="440"/>
      <c r="Q275" s="677" t="str">
        <f>IF(OR(AB356=0,AB356=""),"",AB356)</f>
        <v/>
      </c>
      <c r="R275" s="48"/>
      <c r="S275" s="59"/>
      <c r="T275" s="59"/>
      <c r="U275" s="59"/>
      <c r="V275" s="59"/>
      <c r="W275" s="70"/>
      <c r="X275" s="664" t="s">
        <v>432</v>
      </c>
      <c r="Y275" s="500"/>
      <c r="Z275" s="457"/>
      <c r="AA275" s="457"/>
      <c r="AB275" s="1186"/>
      <c r="AC275" s="551" t="str">
        <f t="shared" si="53"/>
        <v>Change</v>
      </c>
      <c r="AD275" s="1058">
        <f t="shared" si="52"/>
        <v>8</v>
      </c>
      <c r="AE275" s="457" t="s">
        <v>869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432</v>
      </c>
      <c r="M276" s="66"/>
      <c r="N276" s="609" t="s">
        <v>303</v>
      </c>
      <c r="O276" s="1085"/>
      <c r="P276" s="610">
        <f>LEN(O275)</f>
        <v>0</v>
      </c>
      <c r="Q276" s="679"/>
      <c r="R276" s="682">
        <f>LEN(Q275)</f>
        <v>0</v>
      </c>
      <c r="S276" s="48"/>
      <c r="T276" s="48"/>
      <c r="U276" s="48"/>
      <c r="V276" s="48"/>
      <c r="W276" s="69"/>
      <c r="X276" s="664" t="s">
        <v>432</v>
      </c>
      <c r="Y276" s="500"/>
      <c r="Z276" s="457"/>
      <c r="AA276" s="457"/>
      <c r="AB276" s="1186"/>
      <c r="AC276" s="551" t="str">
        <f t="shared" si="53"/>
        <v>Change</v>
      </c>
      <c r="AD276" s="1058">
        <f t="shared" si="52"/>
        <v>12</v>
      </c>
      <c r="AE276" s="457" t="s">
        <v>870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432</v>
      </c>
      <c r="M277" s="85"/>
      <c r="N277" s="54" t="s">
        <v>102</v>
      </c>
      <c r="O277" s="1084"/>
      <c r="P277" s="440"/>
      <c r="Q277" s="677" t="str">
        <f>IF(OR(AB358=0,AB358=""),"",AB358)</f>
        <v/>
      </c>
      <c r="R277" s="48"/>
      <c r="S277" s="48"/>
      <c r="T277" s="48"/>
      <c r="U277" s="48"/>
      <c r="V277" s="48"/>
      <c r="W277" s="69"/>
      <c r="X277" s="664" t="s">
        <v>432</v>
      </c>
      <c r="Y277" s="500"/>
      <c r="Z277" s="457"/>
      <c r="AA277" s="457"/>
      <c r="AB277" s="1186"/>
      <c r="AC277" s="551" t="str">
        <f t="shared" si="53"/>
        <v>Change</v>
      </c>
      <c r="AD277" s="1058">
        <f t="shared" si="52"/>
        <v>20</v>
      </c>
      <c r="AE277" s="457" t="s">
        <v>871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432</v>
      </c>
      <c r="M278" s="213"/>
      <c r="N278" s="609" t="s">
        <v>303</v>
      </c>
      <c r="O278" s="1085"/>
      <c r="P278" s="610">
        <f>LEN(O277)</f>
        <v>0</v>
      </c>
      <c r="Q278" s="679"/>
      <c r="R278" s="682">
        <f>LEN(Q277)</f>
        <v>0</v>
      </c>
      <c r="S278" s="59"/>
      <c r="T278" s="59"/>
      <c r="U278" s="59"/>
      <c r="V278" s="59"/>
      <c r="W278" s="70"/>
      <c r="X278" s="664" t="s">
        <v>432</v>
      </c>
      <c r="Y278" s="500"/>
      <c r="Z278" s="457"/>
      <c r="AA278" s="457"/>
      <c r="AB278" s="1186"/>
      <c r="AC278" s="551" t="str">
        <f t="shared" si="53"/>
        <v>Change</v>
      </c>
      <c r="AD278" s="1058">
        <f t="shared" si="52"/>
        <v>15</v>
      </c>
      <c r="AE278" s="457" t="s">
        <v>872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432</v>
      </c>
      <c r="M279" s="66"/>
      <c r="N279" s="54" t="s">
        <v>102</v>
      </c>
      <c r="O279" s="1084"/>
      <c r="P279" s="440"/>
      <c r="Q279" s="677" t="str">
        <f>IF(OR(AB360=0,AB360=""),"",AB360)</f>
        <v/>
      </c>
      <c r="R279" s="48"/>
      <c r="S279" s="48"/>
      <c r="T279" s="48"/>
      <c r="U279" s="48"/>
      <c r="V279" s="48"/>
      <c r="W279" s="69"/>
      <c r="X279" s="664" t="s">
        <v>432</v>
      </c>
      <c r="Y279" s="500"/>
      <c r="Z279" s="457"/>
      <c r="AA279" s="457"/>
      <c r="AB279" s="1186"/>
      <c r="AC279" s="551" t="str">
        <f t="shared" si="53"/>
        <v>Change</v>
      </c>
      <c r="AD279" s="1058">
        <f t="shared" si="52"/>
        <v>23</v>
      </c>
      <c r="AE279" s="457" t="s">
        <v>873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432</v>
      </c>
      <c r="M280" s="85"/>
      <c r="N280" s="609" t="s">
        <v>303</v>
      </c>
      <c r="O280" s="1085"/>
      <c r="P280" s="610">
        <f>LEN(O279)</f>
        <v>0</v>
      </c>
      <c r="Q280" s="679"/>
      <c r="R280" s="682">
        <f>LEN(Q279)</f>
        <v>0</v>
      </c>
      <c r="S280" s="48"/>
      <c r="T280" s="48"/>
      <c r="U280" s="48"/>
      <c r="V280" s="48"/>
      <c r="W280" s="69"/>
      <c r="X280" s="664" t="s">
        <v>432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432</v>
      </c>
      <c r="M281" s="213"/>
      <c r="N281" s="54" t="s">
        <v>102</v>
      </c>
      <c r="O281" s="1084"/>
      <c r="P281" s="440"/>
      <c r="Q281" s="677" t="str">
        <f>IF(OR(AB362=0,AB362=""),"",AB362)</f>
        <v/>
      </c>
      <c r="R281" s="48"/>
      <c r="S281" s="59"/>
      <c r="T281" s="59"/>
      <c r="U281" s="59"/>
      <c r="V281" s="59"/>
      <c r="W281" s="70"/>
      <c r="X281" s="664" t="s">
        <v>432</v>
      </c>
      <c r="Y281" s="500"/>
      <c r="Z281" s="457"/>
      <c r="AA281" s="132" t="s">
        <v>582</v>
      </c>
      <c r="AB281" s="1186"/>
      <c r="AC281" s="551" t="str">
        <f t="shared" si="53"/>
        <v>Change</v>
      </c>
      <c r="AD281" s="1057" t="str">
        <f t="shared" ref="AD281:AD290" si="54">Q87</f>
        <v>14x17</v>
      </c>
      <c r="AE281" s="457" t="s">
        <v>874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432</v>
      </c>
      <c r="M282" s="66"/>
      <c r="N282" s="609" t="s">
        <v>303</v>
      </c>
      <c r="O282" s="1085"/>
      <c r="P282" s="610">
        <f>LEN(O281)</f>
        <v>0</v>
      </c>
      <c r="Q282" s="679"/>
      <c r="R282" s="682">
        <f>LEN(Q281)</f>
        <v>0</v>
      </c>
      <c r="S282" s="48"/>
      <c r="T282" s="48"/>
      <c r="U282" s="48"/>
      <c r="V282" s="48"/>
      <c r="W282" s="69"/>
      <c r="X282" s="664" t="s">
        <v>432</v>
      </c>
      <c r="Y282" s="500"/>
      <c r="Z282" s="457"/>
      <c r="AA282" s="457"/>
      <c r="AB282" s="1186"/>
      <c r="AC282" s="551" t="str">
        <f t="shared" si="53"/>
        <v>Change</v>
      </c>
      <c r="AD282" s="1057" t="str">
        <f t="shared" si="54"/>
        <v>14x17</v>
      </c>
      <c r="AE282" s="457" t="s">
        <v>875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432</v>
      </c>
      <c r="M283" s="85"/>
      <c r="N283" s="54" t="s">
        <v>102</v>
      </c>
      <c r="O283" s="1084"/>
      <c r="P283" s="440"/>
      <c r="Q283" s="677" t="str">
        <f>IF(OR(AB364=0,AB364=""),"",AB364)</f>
        <v/>
      </c>
      <c r="R283" s="48"/>
      <c r="S283" s="48"/>
      <c r="T283" s="48"/>
      <c r="U283" s="48"/>
      <c r="V283" s="48"/>
      <c r="W283" s="69"/>
      <c r="X283" s="664" t="s">
        <v>432</v>
      </c>
      <c r="Y283" s="500"/>
      <c r="Z283" s="457"/>
      <c r="AA283" s="457"/>
      <c r="AB283" s="1186"/>
      <c r="AC283" s="551" t="str">
        <f t="shared" si="53"/>
        <v>Change</v>
      </c>
      <c r="AD283" s="1057" t="str">
        <f t="shared" si="54"/>
        <v>14x17</v>
      </c>
      <c r="AE283" s="457" t="s">
        <v>876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432</v>
      </c>
      <c r="M284" s="213"/>
      <c r="N284" s="609" t="s">
        <v>303</v>
      </c>
      <c r="O284" s="1085"/>
      <c r="P284" s="610">
        <f>LEN(O283)</f>
        <v>0</v>
      </c>
      <c r="Q284" s="679"/>
      <c r="R284" s="682">
        <f>LEN(Q283)</f>
        <v>0</v>
      </c>
      <c r="S284" s="59"/>
      <c r="T284" s="59"/>
      <c r="U284" s="59"/>
      <c r="V284" s="59"/>
      <c r="W284" s="70"/>
      <c r="X284" s="664" t="s">
        <v>432</v>
      </c>
      <c r="Y284" s="500"/>
      <c r="Z284" s="457"/>
      <c r="AA284" s="457"/>
      <c r="AB284" s="1186"/>
      <c r="AC284" s="551" t="str">
        <f t="shared" si="53"/>
        <v>Change</v>
      </c>
      <c r="AD284" s="1057" t="str">
        <f t="shared" si="54"/>
        <v>10x12</v>
      </c>
      <c r="AE284" s="457" t="s">
        <v>877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432</v>
      </c>
      <c r="M285" s="66"/>
      <c r="N285" s="54" t="s">
        <v>102</v>
      </c>
      <c r="O285" s="1084"/>
      <c r="P285" s="440"/>
      <c r="Q285" s="677" t="str">
        <f>IF(OR(AB366=0,AB366=""),"",AB366)</f>
        <v/>
      </c>
      <c r="R285" s="48"/>
      <c r="S285" s="48"/>
      <c r="T285" s="48"/>
      <c r="U285" s="48"/>
      <c r="V285" s="48"/>
      <c r="W285" s="69"/>
      <c r="X285" s="664" t="s">
        <v>432</v>
      </c>
      <c r="Y285" s="500"/>
      <c r="Z285" s="457"/>
      <c r="AA285" s="457"/>
      <c r="AB285" s="1186"/>
      <c r="AC285" s="551" t="str">
        <f t="shared" si="53"/>
        <v>Change</v>
      </c>
      <c r="AD285" s="1057" t="str">
        <f t="shared" si="54"/>
        <v>8x10</v>
      </c>
      <c r="AE285" s="457" t="s">
        <v>878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432</v>
      </c>
      <c r="M286" s="85"/>
      <c r="N286" s="609" t="s">
        <v>303</v>
      </c>
      <c r="O286" s="1085"/>
      <c r="P286" s="610">
        <f>LEN(O285)</f>
        <v>0</v>
      </c>
      <c r="Q286" s="679"/>
      <c r="R286" s="682">
        <f>LEN(Q285)</f>
        <v>0</v>
      </c>
      <c r="S286" s="48"/>
      <c r="T286" s="48"/>
      <c r="U286" s="48"/>
      <c r="V286" s="48"/>
      <c r="W286" s="69"/>
      <c r="X286" s="664" t="s">
        <v>432</v>
      </c>
      <c r="Y286" s="500"/>
      <c r="Z286" s="457"/>
      <c r="AA286" s="457"/>
      <c r="AB286" s="1186"/>
      <c r="AC286" s="551" t="str">
        <f t="shared" si="53"/>
        <v>Change</v>
      </c>
      <c r="AD286" s="1057" t="str">
        <f t="shared" si="54"/>
        <v>8x10</v>
      </c>
      <c r="AE286" s="457" t="s">
        <v>879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432</v>
      </c>
      <c r="M287" s="213"/>
      <c r="N287" s="54" t="s">
        <v>102</v>
      </c>
      <c r="O287" s="1084"/>
      <c r="P287" s="440"/>
      <c r="Q287" s="677" t="str">
        <f>IF(OR(AB368=0,AB368=""),"",AB368)</f>
        <v/>
      </c>
      <c r="R287" s="48"/>
      <c r="S287" s="59"/>
      <c r="T287" s="59"/>
      <c r="U287" s="59"/>
      <c r="V287" s="59"/>
      <c r="W287" s="70"/>
      <c r="X287" s="664" t="s">
        <v>432</v>
      </c>
      <c r="Y287" s="500"/>
      <c r="Z287" s="457"/>
      <c r="AA287" s="457"/>
      <c r="AB287" s="1186"/>
      <c r="AC287" s="551" t="str">
        <f t="shared" si="53"/>
        <v>Change</v>
      </c>
      <c r="AD287" s="1057" t="str">
        <f t="shared" si="54"/>
        <v>10x12</v>
      </c>
      <c r="AE287" s="457" t="s">
        <v>880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432</v>
      </c>
      <c r="M288" s="66"/>
      <c r="N288" s="609" t="s">
        <v>303</v>
      </c>
      <c r="O288" s="1085"/>
      <c r="P288" s="610">
        <f>LEN(O287)</f>
        <v>0</v>
      </c>
      <c r="Q288" s="679"/>
      <c r="R288" s="682">
        <f>LEN(Q287)</f>
        <v>0</v>
      </c>
      <c r="S288" s="48"/>
      <c r="T288" s="48"/>
      <c r="U288" s="48"/>
      <c r="V288" s="48"/>
      <c r="W288" s="69"/>
      <c r="X288" s="664" t="s">
        <v>432</v>
      </c>
      <c r="Y288" s="500"/>
      <c r="Z288" s="457"/>
      <c r="AA288" s="457"/>
      <c r="AB288" s="1186"/>
      <c r="AC288" s="551" t="str">
        <f t="shared" si="53"/>
        <v>Change</v>
      </c>
      <c r="AD288" s="1057" t="str">
        <f t="shared" si="54"/>
        <v>14x17</v>
      </c>
      <c r="AE288" s="457" t="s">
        <v>881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432</v>
      </c>
      <c r="M289" s="85"/>
      <c r="N289" s="54" t="s">
        <v>102</v>
      </c>
      <c r="O289" s="1084"/>
      <c r="P289" s="440"/>
      <c r="Q289" s="677" t="str">
        <f>IF(OR(AB370=0,AB370=""),"",AB370)</f>
        <v/>
      </c>
      <c r="R289" s="48"/>
      <c r="S289" s="48"/>
      <c r="T289" s="48"/>
      <c r="U289" s="48"/>
      <c r="V289" s="48"/>
      <c r="W289" s="69"/>
      <c r="X289" s="664" t="s">
        <v>432</v>
      </c>
      <c r="Y289" s="500"/>
      <c r="Z289" s="457"/>
      <c r="AA289" s="457"/>
      <c r="AB289" s="1186"/>
      <c r="AC289" s="551" t="str">
        <f t="shared" si="53"/>
        <v>Change</v>
      </c>
      <c r="AD289" s="1057" t="str">
        <f t="shared" si="54"/>
        <v>10x12</v>
      </c>
      <c r="AE289" s="457" t="s">
        <v>882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432</v>
      </c>
      <c r="M290" s="213"/>
      <c r="N290" s="609" t="s">
        <v>303</v>
      </c>
      <c r="O290" s="1085"/>
      <c r="P290" s="610">
        <f>LEN(O289)</f>
        <v>0</v>
      </c>
      <c r="Q290" s="679"/>
      <c r="R290" s="682">
        <f>LEN(Q289)</f>
        <v>0</v>
      </c>
      <c r="S290" s="59"/>
      <c r="T290" s="59"/>
      <c r="U290" s="59"/>
      <c r="V290" s="59"/>
      <c r="W290" s="70"/>
      <c r="X290" s="664" t="s">
        <v>432</v>
      </c>
      <c r="Y290" s="500"/>
      <c r="Z290" s="457"/>
      <c r="AA290" s="457"/>
      <c r="AB290" s="1186"/>
      <c r="AC290" s="551" t="str">
        <f t="shared" si="53"/>
        <v>Change</v>
      </c>
      <c r="AD290" s="1057" t="str">
        <f t="shared" si="54"/>
        <v>10x12</v>
      </c>
      <c r="AE290" s="457" t="s">
        <v>883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432</v>
      </c>
      <c r="M291" s="66"/>
      <c r="N291" s="54" t="s">
        <v>102</v>
      </c>
      <c r="O291" s="1084"/>
      <c r="P291" s="440"/>
      <c r="Q291" s="677" t="str">
        <f>IF(OR(AB372=0,AB372=""),"",AB372)</f>
        <v/>
      </c>
      <c r="R291" s="48"/>
      <c r="S291" s="48"/>
      <c r="T291" s="48"/>
      <c r="U291" s="48"/>
      <c r="V291" s="48"/>
      <c r="W291" s="69"/>
      <c r="X291" s="664" t="s">
        <v>432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432</v>
      </c>
      <c r="M292" s="85"/>
      <c r="N292" s="609" t="s">
        <v>303</v>
      </c>
      <c r="O292" s="1085"/>
      <c r="P292" s="610">
        <f>LEN(O291)</f>
        <v>0</v>
      </c>
      <c r="Q292" s="679"/>
      <c r="R292" s="682">
        <f>LEN(Q291)</f>
        <v>0</v>
      </c>
      <c r="S292" s="48"/>
      <c r="T292" s="48"/>
      <c r="U292" s="48"/>
      <c r="V292" s="48"/>
      <c r="W292" s="69"/>
      <c r="X292" s="664" t="s">
        <v>432</v>
      </c>
      <c r="Y292" s="500"/>
      <c r="Z292" s="457"/>
      <c r="AA292" s="132" t="s">
        <v>486</v>
      </c>
      <c r="AB292" s="1186"/>
      <c r="AC292" s="551" t="str">
        <f t="shared" si="53"/>
        <v>Change</v>
      </c>
      <c r="AD292" s="1057">
        <f t="shared" ref="AD292:AD301" si="55">R87</f>
        <v>120</v>
      </c>
      <c r="AE292" s="457" t="s">
        <v>884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432</v>
      </c>
      <c r="M293" s="213"/>
      <c r="N293" s="54" t="s">
        <v>102</v>
      </c>
      <c r="O293" s="1084"/>
      <c r="P293" s="440"/>
      <c r="Q293" s="677" t="str">
        <f>IF(OR(AB374=0,AB374=""),"",AB374)</f>
        <v/>
      </c>
      <c r="R293" s="48"/>
      <c r="S293" s="59"/>
      <c r="T293" s="59"/>
      <c r="U293" s="59"/>
      <c r="V293" s="59"/>
      <c r="W293" s="70"/>
      <c r="X293" s="664" t="s">
        <v>432</v>
      </c>
      <c r="Y293" s="500"/>
      <c r="Z293" s="457"/>
      <c r="AA293" s="457"/>
      <c r="AB293" s="1186"/>
      <c r="AC293" s="551" t="str">
        <f t="shared" si="53"/>
        <v>Change</v>
      </c>
      <c r="AD293" s="1057">
        <f t="shared" si="55"/>
        <v>76</v>
      </c>
      <c r="AE293" s="457" t="s">
        <v>885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432</v>
      </c>
      <c r="M294" s="66"/>
      <c r="N294" s="609" t="s">
        <v>303</v>
      </c>
      <c r="O294" s="1085"/>
      <c r="P294" s="610">
        <f>LEN(O293)</f>
        <v>0</v>
      </c>
      <c r="Q294" s="679"/>
      <c r="R294" s="682">
        <f>LEN(Q293)</f>
        <v>0</v>
      </c>
      <c r="S294" s="48"/>
      <c r="T294" s="48"/>
      <c r="U294" s="48"/>
      <c r="V294" s="48"/>
      <c r="W294" s="69"/>
      <c r="X294" s="664" t="s">
        <v>432</v>
      </c>
      <c r="Y294" s="500"/>
      <c r="Z294" s="457"/>
      <c r="AA294" s="457"/>
      <c r="AB294" s="1186"/>
      <c r="AC294" s="551" t="str">
        <f t="shared" si="53"/>
        <v>Change</v>
      </c>
      <c r="AD294" s="1057">
        <f t="shared" si="55"/>
        <v>66</v>
      </c>
      <c r="AE294" s="457" t="s">
        <v>886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432</v>
      </c>
      <c r="M295" s="85"/>
      <c r="N295" s="54" t="s">
        <v>102</v>
      </c>
      <c r="O295" s="1084"/>
      <c r="P295" s="440"/>
      <c r="Q295" s="677" t="str">
        <f>IF(OR(AB376=0,AB376=""),"",AB376)</f>
        <v/>
      </c>
      <c r="R295" s="48"/>
      <c r="S295" s="48"/>
      <c r="T295" s="48"/>
      <c r="U295" s="48"/>
      <c r="V295" s="48"/>
      <c r="W295" s="69"/>
      <c r="X295" s="664" t="s">
        <v>432</v>
      </c>
      <c r="Y295" s="500"/>
      <c r="Z295" s="457"/>
      <c r="AA295" s="457"/>
      <c r="AB295" s="1186"/>
      <c r="AC295" s="551" t="str">
        <f t="shared" si="53"/>
        <v>Change</v>
      </c>
      <c r="AD295" s="1057">
        <f t="shared" si="55"/>
        <v>72</v>
      </c>
      <c r="AE295" s="457" t="s">
        <v>887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432</v>
      </c>
      <c r="M296" s="213"/>
      <c r="N296" s="609" t="s">
        <v>303</v>
      </c>
      <c r="O296" s="1085"/>
      <c r="P296" s="610">
        <f>LEN(O295)</f>
        <v>0</v>
      </c>
      <c r="Q296" s="679"/>
      <c r="R296" s="682">
        <f>LEN(Q295)</f>
        <v>0</v>
      </c>
      <c r="S296" s="59"/>
      <c r="T296" s="59"/>
      <c r="U296" s="59"/>
      <c r="V296" s="59"/>
      <c r="W296" s="70"/>
      <c r="X296" s="664" t="s">
        <v>432</v>
      </c>
      <c r="Y296" s="500"/>
      <c r="Z296" s="457"/>
      <c r="AA296" s="457"/>
      <c r="AB296" s="1186"/>
      <c r="AC296" s="551" t="str">
        <f t="shared" si="53"/>
        <v>Change</v>
      </c>
      <c r="AD296" s="1057">
        <f t="shared" si="55"/>
        <v>72</v>
      </c>
      <c r="AE296" s="457" t="s">
        <v>888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432</v>
      </c>
      <c r="M297" s="127"/>
      <c r="N297" s="54" t="s">
        <v>102</v>
      </c>
      <c r="O297" s="1084"/>
      <c r="P297" s="440"/>
      <c r="Q297" s="677" t="str">
        <f>IF(OR(AB378=0,AB378=""),"",AB378)</f>
        <v/>
      </c>
      <c r="R297" s="48"/>
      <c r="S297" s="59"/>
      <c r="T297" s="59"/>
      <c r="U297" s="59"/>
      <c r="V297" s="59"/>
      <c r="W297" s="71"/>
      <c r="X297" s="664" t="s">
        <v>432</v>
      </c>
      <c r="Y297" s="500"/>
      <c r="Z297" s="457"/>
      <c r="AA297" s="457"/>
      <c r="AB297" s="1186"/>
      <c r="AC297" s="551" t="str">
        <f t="shared" si="53"/>
        <v>Change</v>
      </c>
      <c r="AD297" s="1057">
        <f t="shared" si="55"/>
        <v>60</v>
      </c>
      <c r="AE297" s="457" t="s">
        <v>889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432</v>
      </c>
      <c r="M298" s="127"/>
      <c r="N298" s="609" t="s">
        <v>303</v>
      </c>
      <c r="O298" s="1085"/>
      <c r="P298" s="610">
        <f>LEN(O297)</f>
        <v>0</v>
      </c>
      <c r="Q298" s="679"/>
      <c r="R298" s="682">
        <f>LEN(Q297)</f>
        <v>0</v>
      </c>
      <c r="S298" s="48"/>
      <c r="T298" s="48"/>
      <c r="U298" s="48"/>
      <c r="V298" s="48"/>
      <c r="W298" s="71"/>
      <c r="X298" s="664" t="s">
        <v>432</v>
      </c>
      <c r="Y298" s="500"/>
      <c r="Z298" s="457"/>
      <c r="AA298" s="457"/>
      <c r="AB298" s="1186"/>
      <c r="AC298" s="551" t="str">
        <f t="shared" si="53"/>
        <v>Change</v>
      </c>
      <c r="AD298" s="1057">
        <f t="shared" si="55"/>
        <v>66</v>
      </c>
      <c r="AE298" s="457" t="s">
        <v>890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432</v>
      </c>
      <c r="M299" s="127"/>
      <c r="N299" s="54" t="s">
        <v>102</v>
      </c>
      <c r="O299" s="1084"/>
      <c r="P299" s="440"/>
      <c r="Q299" s="677" t="str">
        <f>IF(OR(AB380=0,AB380=""),"",AB380)</f>
        <v/>
      </c>
      <c r="R299" s="48"/>
      <c r="S299" s="59"/>
      <c r="T299" s="59"/>
      <c r="U299" s="59"/>
      <c r="V299" s="59"/>
      <c r="W299" s="71"/>
      <c r="X299" s="664" t="s">
        <v>432</v>
      </c>
      <c r="Y299" s="500"/>
      <c r="Z299" s="457"/>
      <c r="AA299" s="457"/>
      <c r="AB299" s="1186"/>
      <c r="AC299" s="551" t="str">
        <f t="shared" si="53"/>
        <v>Change</v>
      </c>
      <c r="AD299" s="1057">
        <f t="shared" si="55"/>
        <v>78</v>
      </c>
      <c r="AE299" s="457" t="s">
        <v>891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432</v>
      </c>
      <c r="M300" s="127"/>
      <c r="N300" s="609" t="s">
        <v>303</v>
      </c>
      <c r="O300" s="1085"/>
      <c r="P300" s="610">
        <f>LEN(O299)</f>
        <v>0</v>
      </c>
      <c r="Q300" s="679"/>
      <c r="R300" s="682">
        <f>LEN(Q299)</f>
        <v>0</v>
      </c>
      <c r="S300" s="59"/>
      <c r="T300" s="59"/>
      <c r="U300" s="59"/>
      <c r="V300" s="59"/>
      <c r="W300" s="71"/>
      <c r="X300" s="664" t="s">
        <v>432</v>
      </c>
      <c r="Y300" s="500"/>
      <c r="Z300" s="457"/>
      <c r="AA300" s="457"/>
      <c r="AB300" s="1186"/>
      <c r="AC300" s="551" t="str">
        <f t="shared" si="53"/>
        <v>Change</v>
      </c>
      <c r="AD300" s="1057">
        <f t="shared" si="55"/>
        <v>74</v>
      </c>
      <c r="AE300" s="457" t="s">
        <v>892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432</v>
      </c>
      <c r="M301" s="127"/>
      <c r="N301" s="54" t="s">
        <v>102</v>
      </c>
      <c r="O301" s="1084"/>
      <c r="P301" s="440"/>
      <c r="Q301" s="677" t="str">
        <f>IF(OR(AB382=0,AB382=""),"",AB382)</f>
        <v/>
      </c>
      <c r="R301" s="48"/>
      <c r="S301" s="48"/>
      <c r="T301" s="48"/>
      <c r="U301" s="48"/>
      <c r="V301" s="48"/>
      <c r="W301" s="71"/>
      <c r="X301" s="664" t="s">
        <v>432</v>
      </c>
      <c r="Y301" s="500"/>
      <c r="Z301" s="457"/>
      <c r="AA301" s="457"/>
      <c r="AB301" s="1186"/>
      <c r="AC301" s="551" t="str">
        <f t="shared" si="53"/>
        <v>Change</v>
      </c>
      <c r="AD301" s="1057">
        <f t="shared" si="55"/>
        <v>78</v>
      </c>
      <c r="AE301" s="457" t="s">
        <v>893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432</v>
      </c>
      <c r="M302" s="127"/>
      <c r="N302" s="609" t="s">
        <v>303</v>
      </c>
      <c r="O302" s="1085"/>
      <c r="P302" s="610">
        <f>LEN(O301)</f>
        <v>0</v>
      </c>
      <c r="Q302" s="679"/>
      <c r="R302" s="682">
        <f>LEN(Q301)</f>
        <v>0</v>
      </c>
      <c r="S302" s="59"/>
      <c r="T302" s="59"/>
      <c r="U302" s="59"/>
      <c r="V302" s="59"/>
      <c r="W302" s="71"/>
      <c r="X302" s="664" t="s">
        <v>432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432</v>
      </c>
      <c r="M303" s="127"/>
      <c r="N303" s="54" t="s">
        <v>102</v>
      </c>
      <c r="O303" s="1084"/>
      <c r="P303" s="440"/>
      <c r="Q303" s="677" t="str">
        <f>IF(OR(AB384=0,AB384=""),"",AB384)</f>
        <v/>
      </c>
      <c r="R303" s="48"/>
      <c r="S303" s="59"/>
      <c r="T303" s="59"/>
      <c r="U303" s="59"/>
      <c r="V303" s="59"/>
      <c r="W303" s="71"/>
      <c r="X303" s="664" t="s">
        <v>432</v>
      </c>
      <c r="Y303" s="500"/>
      <c r="Z303" s="457"/>
      <c r="AA303" s="132" t="s">
        <v>596</v>
      </c>
      <c r="AB303" s="1189"/>
      <c r="AC303" s="551" t="str">
        <f t="shared" si="53"/>
        <v>Change</v>
      </c>
      <c r="AD303" s="1055">
        <f t="shared" ref="AD303:AD312" si="56">W87</f>
        <v>2</v>
      </c>
      <c r="AE303" s="457" t="s">
        <v>894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432</v>
      </c>
      <c r="M304" s="127"/>
      <c r="N304" s="609" t="s">
        <v>303</v>
      </c>
      <c r="O304" s="1085"/>
      <c r="P304" s="610">
        <f>LEN(O303)</f>
        <v>0</v>
      </c>
      <c r="Q304" s="679"/>
      <c r="R304" s="682">
        <f>LEN(Q303)</f>
        <v>0</v>
      </c>
      <c r="S304" s="48"/>
      <c r="T304" s="48"/>
      <c r="U304" s="48"/>
      <c r="V304" s="48"/>
      <c r="W304" s="71"/>
      <c r="X304" s="664" t="s">
        <v>432</v>
      </c>
      <c r="Y304" s="500"/>
      <c r="Z304" s="457"/>
      <c r="AA304" s="457"/>
      <c r="AB304" s="1189"/>
      <c r="AC304" s="551" t="str">
        <f t="shared" si="53"/>
        <v>Change</v>
      </c>
      <c r="AD304" s="1055">
        <f t="shared" si="56"/>
        <v>30</v>
      </c>
      <c r="AE304" s="457" t="s">
        <v>895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432</v>
      </c>
      <c r="M305" s="127"/>
      <c r="N305" s="54" t="s">
        <v>102</v>
      </c>
      <c r="O305" s="1084"/>
      <c r="P305" s="440"/>
      <c r="Q305" s="677" t="str">
        <f>IF(OR(AB386=0,AB386=""),"",AB386)</f>
        <v/>
      </c>
      <c r="R305" s="48"/>
      <c r="S305" s="59"/>
      <c r="T305" s="59"/>
      <c r="U305" s="59"/>
      <c r="V305" s="59"/>
      <c r="W305" s="71"/>
      <c r="X305" s="664" t="s">
        <v>432</v>
      </c>
      <c r="Y305" s="500"/>
      <c r="Z305" s="457"/>
      <c r="AA305" s="457"/>
      <c r="AB305" s="1189"/>
      <c r="AC305" s="551" t="str">
        <f t="shared" si="53"/>
        <v>Change</v>
      </c>
      <c r="AD305" s="1055">
        <f t="shared" si="56"/>
        <v>12</v>
      </c>
      <c r="AE305" s="457" t="s">
        <v>896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432</v>
      </c>
      <c r="M306" s="127"/>
      <c r="N306" s="609" t="s">
        <v>303</v>
      </c>
      <c r="O306" s="1085"/>
      <c r="P306" s="610">
        <f>LEN(O305)</f>
        <v>0</v>
      </c>
      <c r="Q306" s="679"/>
      <c r="R306" s="682">
        <f>LEN(Q305)</f>
        <v>0</v>
      </c>
      <c r="S306" s="59"/>
      <c r="T306" s="59"/>
      <c r="U306" s="59"/>
      <c r="V306" s="59"/>
      <c r="W306" s="71"/>
      <c r="X306" s="664" t="s">
        <v>432</v>
      </c>
      <c r="Y306" s="500"/>
      <c r="Z306" s="457"/>
      <c r="AA306" s="457"/>
      <c r="AB306" s="1189"/>
      <c r="AC306" s="551" t="str">
        <f t="shared" si="53"/>
        <v>Change</v>
      </c>
      <c r="AD306" s="1055">
        <f t="shared" si="56"/>
        <v>10</v>
      </c>
      <c r="AE306" s="457" t="s">
        <v>897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432</v>
      </c>
      <c r="M307" s="127"/>
      <c r="N307" s="54" t="s">
        <v>102</v>
      </c>
      <c r="O307" s="1084"/>
      <c r="P307" s="440"/>
      <c r="Q307" s="677" t="str">
        <f>IF(OR(AB388=0,AB388=""),"",AB388)</f>
        <v/>
      </c>
      <c r="R307" s="48"/>
      <c r="S307" s="48"/>
      <c r="T307" s="48"/>
      <c r="U307" s="48"/>
      <c r="V307" s="48"/>
      <c r="W307" s="71"/>
      <c r="X307" s="664" t="s">
        <v>432</v>
      </c>
      <c r="Y307" s="500"/>
      <c r="Z307" s="457"/>
      <c r="AA307" s="457"/>
      <c r="AB307" s="1189"/>
      <c r="AC307" s="551" t="str">
        <f t="shared" si="53"/>
        <v>Change</v>
      </c>
      <c r="AD307" s="1055">
        <f t="shared" si="56"/>
        <v>10</v>
      </c>
      <c r="AE307" s="457" t="s">
        <v>898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432</v>
      </c>
      <c r="M308" s="127"/>
      <c r="N308" s="609" t="s">
        <v>303</v>
      </c>
      <c r="O308" s="610"/>
      <c r="P308" s="610">
        <f>LEN(O307)</f>
        <v>0</v>
      </c>
      <c r="Q308" s="679"/>
      <c r="R308" s="682">
        <f>LEN(Q307)</f>
        <v>0</v>
      </c>
      <c r="S308" s="59"/>
      <c r="T308" s="59"/>
      <c r="U308" s="59"/>
      <c r="V308" s="59"/>
      <c r="W308" s="71"/>
      <c r="X308" s="664" t="s">
        <v>432</v>
      </c>
      <c r="Y308" s="500"/>
      <c r="Z308" s="457"/>
      <c r="AA308" s="457"/>
      <c r="AB308" s="1189"/>
      <c r="AC308" s="551" t="str">
        <f t="shared" si="53"/>
        <v>Change</v>
      </c>
      <c r="AD308" s="1055">
        <f t="shared" si="56"/>
        <v>2.5</v>
      </c>
      <c r="AE308" s="457" t="s">
        <v>899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432</v>
      </c>
      <c r="M309" s="127"/>
      <c r="N309" s="509"/>
      <c r="O309" s="579"/>
      <c r="P309" s="509"/>
      <c r="Q309" s="506"/>
      <c r="R309" s="506"/>
      <c r="S309" s="506"/>
      <c r="T309" s="506"/>
      <c r="U309" s="506"/>
      <c r="V309" s="506"/>
      <c r="W309" s="71"/>
      <c r="X309" s="664" t="s">
        <v>432</v>
      </c>
      <c r="Y309" s="500"/>
      <c r="Z309" s="457"/>
      <c r="AA309" s="457"/>
      <c r="AB309" s="1189"/>
      <c r="AC309" s="551" t="str">
        <f t="shared" si="53"/>
        <v>Change</v>
      </c>
      <c r="AD309" s="1055">
        <f t="shared" si="56"/>
        <v>8</v>
      </c>
      <c r="AE309" s="457" t="s">
        <v>900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432</v>
      </c>
      <c r="M310" s="127"/>
      <c r="N310" s="504"/>
      <c r="O310" s="580"/>
      <c r="P310" s="504"/>
      <c r="Q310" s="505"/>
      <c r="R310" s="505"/>
      <c r="S310" s="505"/>
      <c r="T310" s="505"/>
      <c r="U310" s="505"/>
      <c r="V310" s="505"/>
      <c r="W310" s="71"/>
      <c r="X310" s="664" t="s">
        <v>432</v>
      </c>
      <c r="Y310" s="500"/>
      <c r="Z310" s="457"/>
      <c r="AA310" s="457"/>
      <c r="AB310" s="1189"/>
      <c r="AC310" s="551" t="str">
        <f t="shared" si="53"/>
        <v>Change</v>
      </c>
      <c r="AD310" s="1055">
        <f t="shared" si="56"/>
        <v>30</v>
      </c>
      <c r="AE310" s="457" t="s">
        <v>901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432</v>
      </c>
      <c r="M311" s="127"/>
      <c r="N311" s="504"/>
      <c r="O311" s="580"/>
      <c r="P311" s="504"/>
      <c r="Q311" s="505"/>
      <c r="R311" s="505"/>
      <c r="S311" s="505"/>
      <c r="T311" s="505"/>
      <c r="U311" s="505"/>
      <c r="V311" s="505"/>
      <c r="W311" s="71"/>
      <c r="X311" s="664" t="s">
        <v>432</v>
      </c>
      <c r="Y311" s="500"/>
      <c r="Z311" s="457"/>
      <c r="AA311" s="457"/>
      <c r="AB311" s="1189"/>
      <c r="AC311" s="551" t="str">
        <f t="shared" si="53"/>
        <v>Change</v>
      </c>
      <c r="AD311" s="1055">
        <f t="shared" si="56"/>
        <v>14</v>
      </c>
      <c r="AE311" s="457" t="s">
        <v>902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432</v>
      </c>
      <c r="M312" s="127"/>
      <c r="N312" s="504"/>
      <c r="O312" s="580"/>
      <c r="P312" s="504"/>
      <c r="Q312" s="505"/>
      <c r="R312" s="505"/>
      <c r="S312" s="505"/>
      <c r="T312" s="505"/>
      <c r="U312" s="505"/>
      <c r="V312" s="505"/>
      <c r="W312" s="71"/>
      <c r="X312" s="664" t="s">
        <v>432</v>
      </c>
      <c r="Y312" s="500"/>
      <c r="Z312" s="457"/>
      <c r="AA312" s="457"/>
      <c r="AB312" s="1189"/>
      <c r="AC312" s="551" t="str">
        <f t="shared" si="53"/>
        <v>Change</v>
      </c>
      <c r="AD312" s="1055">
        <f t="shared" si="56"/>
        <v>25</v>
      </c>
      <c r="AE312" s="457" t="s">
        <v>903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432</v>
      </c>
      <c r="M313" s="127"/>
      <c r="N313" s="504"/>
      <c r="O313" s="580"/>
      <c r="P313" s="504"/>
      <c r="Q313" s="376" t="s">
        <v>297</v>
      </c>
      <c r="R313" s="50"/>
      <c r="S313" s="50"/>
      <c r="T313" s="504"/>
      <c r="U313" s="505"/>
      <c r="V313" s="505"/>
      <c r="W313" s="71"/>
      <c r="X313" s="664" t="s">
        <v>432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432</v>
      </c>
      <c r="M314" s="127"/>
      <c r="N314" s="504"/>
      <c r="O314" s="580"/>
      <c r="P314" s="504"/>
      <c r="Q314" s="505"/>
      <c r="R314" s="504"/>
      <c r="S314" s="505"/>
      <c r="T314" s="504"/>
      <c r="U314" s="505"/>
      <c r="V314" s="505"/>
      <c r="W314" s="71"/>
      <c r="X314" s="664" t="s">
        <v>432</v>
      </c>
      <c r="Y314" s="500"/>
      <c r="Z314" s="457"/>
      <c r="AA314" s="132" t="s">
        <v>606</v>
      </c>
      <c r="AB314" s="985"/>
      <c r="AC314" s="551" t="str">
        <f t="shared" si="53"/>
        <v/>
      </c>
      <c r="AD314" s="1062">
        <f>O205</f>
        <v>0</v>
      </c>
      <c r="AE314" s="576" t="s">
        <v>904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432</v>
      </c>
      <c r="M315" s="127"/>
      <c r="N315" s="504"/>
      <c r="O315" s="580"/>
      <c r="P315" s="504"/>
      <c r="Q315" s="505"/>
      <c r="R315" s="504"/>
      <c r="S315" s="505"/>
      <c r="T315" s="504"/>
      <c r="U315" s="505"/>
      <c r="V315" s="505"/>
      <c r="W315" s="71"/>
      <c r="X315" s="664" t="s">
        <v>432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432</v>
      </c>
      <c r="M316" s="127"/>
      <c r="N316" s="504"/>
      <c r="O316" s="580"/>
      <c r="P316" s="504"/>
      <c r="Q316" s="505"/>
      <c r="R316" s="504"/>
      <c r="S316" s="505"/>
      <c r="T316" s="504"/>
      <c r="U316" s="505"/>
      <c r="V316" s="505"/>
      <c r="W316" s="71"/>
      <c r="X316" s="664" t="s">
        <v>432</v>
      </c>
      <c r="Y316" s="500"/>
      <c r="Z316" s="457"/>
      <c r="AA316" s="457"/>
      <c r="AB316" s="985"/>
      <c r="AC316" s="551" t="str">
        <f t="shared" si="53"/>
        <v/>
      </c>
      <c r="AD316" s="1062">
        <f>O207</f>
        <v>0</v>
      </c>
      <c r="AE316" s="576" t="s">
        <v>905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432</v>
      </c>
      <c r="M317" s="127"/>
      <c r="N317" s="504"/>
      <c r="O317" s="580"/>
      <c r="P317" s="504"/>
      <c r="Q317" s="505"/>
      <c r="R317" s="504"/>
      <c r="S317" s="505"/>
      <c r="T317" s="504"/>
      <c r="U317" s="505"/>
      <c r="V317" s="505"/>
      <c r="W317" s="71"/>
      <c r="X317" s="664" t="s">
        <v>432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432</v>
      </c>
      <c r="M318" s="127"/>
      <c r="N318" s="504"/>
      <c r="O318" s="580"/>
      <c r="P318" s="504"/>
      <c r="Q318" s="505"/>
      <c r="R318" s="504"/>
      <c r="S318" s="505"/>
      <c r="T318" s="504"/>
      <c r="U318" s="505"/>
      <c r="V318" s="505"/>
      <c r="W318" s="71"/>
      <c r="X318" s="664" t="s">
        <v>432</v>
      </c>
      <c r="Y318" s="500"/>
      <c r="Z318" s="457"/>
      <c r="AA318" s="457"/>
      <c r="AB318" s="985"/>
      <c r="AC318" s="551" t="str">
        <f t="shared" si="53"/>
        <v/>
      </c>
      <c r="AD318" s="1062">
        <f>O209</f>
        <v>0</v>
      </c>
      <c r="AE318" s="576" t="s">
        <v>906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432</v>
      </c>
      <c r="M319" s="127"/>
      <c r="N319" s="504"/>
      <c r="O319" s="580"/>
      <c r="P319" s="504"/>
      <c r="Q319" s="505"/>
      <c r="R319" s="504"/>
      <c r="S319" s="505"/>
      <c r="T319" s="504"/>
      <c r="U319" s="505"/>
      <c r="V319" s="505"/>
      <c r="W319" s="71"/>
      <c r="X319" s="664" t="s">
        <v>432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432</v>
      </c>
      <c r="M320" s="127"/>
      <c r="N320" s="504"/>
      <c r="O320" s="580"/>
      <c r="P320" s="504"/>
      <c r="Q320" s="505"/>
      <c r="R320" s="504"/>
      <c r="S320" s="505"/>
      <c r="T320" s="504"/>
      <c r="U320" s="505"/>
      <c r="V320" s="505"/>
      <c r="W320" s="71"/>
      <c r="X320" s="664" t="s">
        <v>432</v>
      </c>
      <c r="Y320" s="500"/>
      <c r="Z320" s="457"/>
      <c r="AA320" s="457"/>
      <c r="AB320" s="985"/>
      <c r="AC320" s="551" t="str">
        <f t="shared" si="53"/>
        <v/>
      </c>
      <c r="AD320" s="1062">
        <f>O211</f>
        <v>0</v>
      </c>
      <c r="AE320" s="576" t="s">
        <v>907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432</v>
      </c>
      <c r="M321" s="127"/>
      <c r="N321" s="504"/>
      <c r="O321" s="580"/>
      <c r="P321" s="504"/>
      <c r="Q321" s="505"/>
      <c r="R321" s="504"/>
      <c r="S321" s="505"/>
      <c r="T321" s="504"/>
      <c r="U321" s="505"/>
      <c r="V321" s="505"/>
      <c r="W321" s="71"/>
      <c r="X321" s="664" t="s">
        <v>432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432</v>
      </c>
      <c r="M322" s="127"/>
      <c r="N322" s="504"/>
      <c r="O322" s="580"/>
      <c r="P322" s="504"/>
      <c r="Q322" s="505"/>
      <c r="R322" s="504"/>
      <c r="S322" s="505"/>
      <c r="T322" s="504"/>
      <c r="U322" s="505"/>
      <c r="V322" s="505"/>
      <c r="W322" s="71"/>
      <c r="X322" s="664" t="s">
        <v>432</v>
      </c>
      <c r="Y322" s="500"/>
      <c r="Z322" s="457"/>
      <c r="AA322" s="457"/>
      <c r="AB322" s="985"/>
      <c r="AC322" s="551" t="str">
        <f t="shared" si="53"/>
        <v/>
      </c>
      <c r="AD322" s="1062">
        <f>O213</f>
        <v>0</v>
      </c>
      <c r="AE322" s="576" t="s">
        <v>908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432</v>
      </c>
      <c r="M323" s="127"/>
      <c r="N323" s="504"/>
      <c r="O323" s="580"/>
      <c r="P323" s="504"/>
      <c r="Q323" s="505"/>
      <c r="R323" s="504"/>
      <c r="S323" s="505"/>
      <c r="T323" s="504"/>
      <c r="U323" s="505"/>
      <c r="V323" s="505"/>
      <c r="W323" s="71"/>
      <c r="X323" s="664" t="s">
        <v>432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432</v>
      </c>
      <c r="M324" s="127"/>
      <c r="N324" s="504"/>
      <c r="O324" s="580"/>
      <c r="P324" s="504"/>
      <c r="Q324" s="505"/>
      <c r="R324" s="504"/>
      <c r="S324" s="505"/>
      <c r="T324" s="504"/>
      <c r="U324" s="505"/>
      <c r="V324" s="505"/>
      <c r="W324" s="71"/>
      <c r="X324" s="664" t="s">
        <v>432</v>
      </c>
      <c r="Y324" s="500"/>
      <c r="Z324" s="457"/>
      <c r="AA324" s="457"/>
      <c r="AB324" s="985"/>
      <c r="AC324" s="551" t="str">
        <f t="shared" si="53"/>
        <v/>
      </c>
      <c r="AD324" s="1062">
        <f>O215</f>
        <v>0</v>
      </c>
      <c r="AE324" s="576" t="s">
        <v>909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432</v>
      </c>
      <c r="M325" s="127"/>
      <c r="N325" s="504"/>
      <c r="O325" s="580"/>
      <c r="P325" s="504"/>
      <c r="Q325" s="505"/>
      <c r="R325" s="504"/>
      <c r="S325" s="505"/>
      <c r="T325" s="504"/>
      <c r="U325" s="505"/>
      <c r="V325" s="505"/>
      <c r="W325" s="71"/>
      <c r="X325" s="664" t="s">
        <v>432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432</v>
      </c>
      <c r="M326" s="127"/>
      <c r="N326" s="504"/>
      <c r="O326" s="580"/>
      <c r="P326" s="504"/>
      <c r="Q326" s="505"/>
      <c r="R326" s="504"/>
      <c r="S326" s="505"/>
      <c r="T326" s="504"/>
      <c r="U326" s="505"/>
      <c r="V326" s="505"/>
      <c r="W326" s="71"/>
      <c r="X326" s="664" t="s">
        <v>432</v>
      </c>
      <c r="Y326" s="500"/>
      <c r="Z326" s="457"/>
      <c r="AA326" s="457"/>
      <c r="AB326" s="985"/>
      <c r="AC326" s="551" t="str">
        <f t="shared" si="53"/>
        <v/>
      </c>
      <c r="AD326" s="1062">
        <f>O217</f>
        <v>0</v>
      </c>
      <c r="AE326" s="576" t="s">
        <v>910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432</v>
      </c>
      <c r="M327" s="127"/>
      <c r="N327" s="508"/>
      <c r="O327" s="581"/>
      <c r="P327" s="508"/>
      <c r="Q327" s="507"/>
      <c r="R327" s="508"/>
      <c r="S327" s="507"/>
      <c r="T327" s="508"/>
      <c r="U327" s="507"/>
      <c r="V327" s="507"/>
      <c r="W327" s="71"/>
      <c r="X327" s="664" t="s">
        <v>432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432</v>
      </c>
      <c r="M328" s="72"/>
      <c r="N328" s="73"/>
      <c r="O328" s="582"/>
      <c r="P328" s="441"/>
      <c r="Q328" s="73"/>
      <c r="R328" s="73"/>
      <c r="S328" s="73"/>
      <c r="T328" s="73"/>
      <c r="U328" s="73"/>
      <c r="V328" s="73"/>
      <c r="W328" s="74"/>
      <c r="X328" s="664" t="s">
        <v>432</v>
      </c>
      <c r="Y328" s="500"/>
      <c r="Z328" s="457"/>
      <c r="AA328" s="457"/>
      <c r="AB328" s="985"/>
      <c r="AC328" s="551" t="str">
        <f t="shared" si="53"/>
        <v/>
      </c>
      <c r="AD328" s="1062">
        <f>O219</f>
        <v>0</v>
      </c>
      <c r="AE328" s="576" t="s">
        <v>911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432</v>
      </c>
      <c r="O329" s="578"/>
      <c r="X329" s="664" t="s">
        <v>432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432</v>
      </c>
      <c r="O330" s="578"/>
      <c r="X330" s="664" t="s">
        <v>432</v>
      </c>
      <c r="Y330" s="500"/>
      <c r="Z330" s="457"/>
      <c r="AA330" s="457"/>
      <c r="AB330" s="985"/>
      <c r="AC330" s="551" t="str">
        <f t="shared" si="53"/>
        <v/>
      </c>
      <c r="AD330" s="1062">
        <f>O221</f>
        <v>0</v>
      </c>
      <c r="AE330" s="576" t="s">
        <v>912</v>
      </c>
      <c r="AF330" s="457"/>
    </row>
    <row r="331" spans="1:32" ht="11.25" customHeight="1">
      <c r="A331" s="611">
        <v>1</v>
      </c>
      <c r="B331" s="1"/>
      <c r="C331" s="1"/>
      <c r="D331" s="1"/>
      <c r="E331" s="1"/>
      <c r="F331" s="1"/>
      <c r="G331" s="1"/>
      <c r="H331" s="1"/>
      <c r="I331" s="1"/>
      <c r="J331" s="1"/>
      <c r="K331" s="131" t="str">
        <f>$F$2</f>
        <v>Medical University of South Carolina</v>
      </c>
      <c r="L331" s="676" t="s">
        <v>432</v>
      </c>
      <c r="M331" s="1"/>
      <c r="N331" s="1"/>
      <c r="O331" s="583"/>
      <c r="P331" s="442"/>
      <c r="Q331" s="1"/>
      <c r="R331" s="1"/>
      <c r="S331" s="1"/>
      <c r="T331" s="1"/>
      <c r="U331" s="1"/>
      <c r="V331" s="1"/>
      <c r="W331" s="131" t="str">
        <f>$F$2</f>
        <v>Medical University of South Carolina</v>
      </c>
      <c r="X331" s="664" t="s">
        <v>432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432</v>
      </c>
      <c r="M332" s="1"/>
      <c r="N332" s="1"/>
      <c r="O332" s="583"/>
      <c r="P332" s="442"/>
      <c r="Q332" s="1"/>
      <c r="R332" s="1"/>
      <c r="S332" s="1"/>
      <c r="T332" s="1"/>
      <c r="U332" s="1"/>
      <c r="V332" s="1"/>
      <c r="W332" s="132" t="str">
        <f>$F$5</f>
        <v>Radiographic System Compliance Inspection</v>
      </c>
      <c r="X332" s="664" t="s">
        <v>432</v>
      </c>
      <c r="Y332" s="500"/>
      <c r="Z332" s="457"/>
      <c r="AA332" s="457"/>
      <c r="AB332" s="985"/>
      <c r="AC332" s="551" t="str">
        <f t="shared" si="53"/>
        <v/>
      </c>
      <c r="AD332" s="1062">
        <f>O223</f>
        <v>0</v>
      </c>
      <c r="AE332" s="576" t="s">
        <v>913</v>
      </c>
    </row>
    <row r="333" spans="1:32" ht="11.25" customHeight="1">
      <c r="A333" s="611">
        <v>3</v>
      </c>
      <c r="L333" s="676" t="s">
        <v>432</v>
      </c>
      <c r="M333" s="1"/>
      <c r="N333" s="1"/>
      <c r="O333" s="583"/>
      <c r="P333" s="442"/>
      <c r="Q333" s="1"/>
      <c r="R333" s="1"/>
      <c r="S333" s="1"/>
      <c r="T333" s="1"/>
      <c r="U333" s="1"/>
      <c r="V333" s="1"/>
      <c r="W333" s="1"/>
      <c r="X333" s="664" t="s">
        <v>432</v>
      </c>
      <c r="Y333" s="500"/>
      <c r="Z333" s="457"/>
      <c r="AA333" s="457"/>
      <c r="AB333" s="54"/>
      <c r="AC333" s="551" t="str">
        <f t="shared" si="53"/>
        <v/>
      </c>
      <c r="AD333" s="575"/>
      <c r="AE333" s="576"/>
    </row>
    <row r="334" spans="1:32" ht="11.25" customHeight="1">
      <c r="A334" s="611">
        <v>4</v>
      </c>
      <c r="F334" s="190" t="str">
        <f>$R$334</f>
        <v>COMMENTS PAGE 3</v>
      </c>
      <c r="L334" s="676" t="s">
        <v>432</v>
      </c>
      <c r="O334" s="578"/>
      <c r="P334" s="442"/>
      <c r="R334" s="190" t="str">
        <f>"COMMENTS"&amp;IF(OR($O$205=0,$O$205="")," PAGE 3"," PAGE 4")</f>
        <v>COMMENTS PAGE 3</v>
      </c>
      <c r="X334" s="664" t="s">
        <v>432</v>
      </c>
      <c r="Y334" s="500"/>
      <c r="Z334" s="457"/>
      <c r="AA334" s="457"/>
      <c r="AB334" s="985"/>
      <c r="AC334" s="551" t="str">
        <f t="shared" si="53"/>
        <v/>
      </c>
      <c r="AD334" s="1062">
        <f>O225</f>
        <v>0</v>
      </c>
      <c r="AE334" s="576" t="s">
        <v>914</v>
      </c>
    </row>
    <row r="335" spans="1:32" ht="11.25" customHeight="1" thickBot="1">
      <c r="A335" s="611">
        <v>5</v>
      </c>
      <c r="L335" s="676" t="s">
        <v>432</v>
      </c>
      <c r="O335" s="578"/>
      <c r="P335" s="442"/>
      <c r="X335" s="664" t="s">
        <v>432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432</v>
      </c>
      <c r="M336" s="79"/>
      <c r="N336" s="62"/>
      <c r="O336" s="584"/>
      <c r="P336" s="439"/>
      <c r="Q336" s="683" t="s">
        <v>381</v>
      </c>
      <c r="R336" s="62"/>
      <c r="S336" s="62"/>
      <c r="T336" s="62"/>
      <c r="U336" s="62"/>
      <c r="V336" s="62"/>
      <c r="W336" s="80"/>
      <c r="X336" s="664" t="s">
        <v>432</v>
      </c>
      <c r="Y336" s="500"/>
      <c r="Z336" s="457"/>
      <c r="AA336" s="457"/>
      <c r="AB336" s="985"/>
      <c r="AC336" s="551" t="str">
        <f t="shared" ref="AC336:AC399" si="57">IF(AND(OR(AB336="",AB336=0),OR(AD336="",AD336=0)),"",IF(AB336&lt;&gt;AD336,"Change",""))</f>
        <v/>
      </c>
      <c r="AD336" s="1062">
        <f>O227</f>
        <v>0</v>
      </c>
      <c r="AE336" s="576" t="s">
        <v>915</v>
      </c>
    </row>
    <row r="337" spans="1:31" ht="11.25" customHeight="1">
      <c r="A337" s="611">
        <v>7</v>
      </c>
      <c r="B337" s="102" t="s">
        <v>573</v>
      </c>
      <c r="C337" s="613" t="str">
        <f>IF(O337="","",IF(LEN(O337)&lt;=135,O337,IF(LEN(O337)&lt;=260,LEFT(O337,SEARCH(" ",O337,125)),LEFT(O337,SEARCH(" ",O337,130)))))</f>
        <v/>
      </c>
      <c r="D337" s="377"/>
      <c r="E337" s="377"/>
      <c r="F337" s="377"/>
      <c r="G337" s="377"/>
      <c r="H337" s="377"/>
      <c r="I337" s="377"/>
      <c r="J337" s="377"/>
      <c r="K337" s="71"/>
      <c r="L337" s="676" t="s">
        <v>432</v>
      </c>
      <c r="M337" s="127"/>
      <c r="N337" s="54" t="s">
        <v>573</v>
      </c>
      <c r="O337" s="1084"/>
      <c r="P337" s="440"/>
      <c r="Q337" s="678" t="str">
        <f>IF(OR(AB390=0,AB390=""),"",AB390)</f>
        <v/>
      </c>
      <c r="R337" s="48"/>
      <c r="S337" s="48"/>
      <c r="T337" s="48"/>
      <c r="U337" s="48"/>
      <c r="V337" s="48"/>
      <c r="W337" s="69"/>
      <c r="X337" s="664" t="s">
        <v>432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432</v>
      </c>
      <c r="M338" s="85"/>
      <c r="N338" s="609" t="s">
        <v>303</v>
      </c>
      <c r="O338" s="1085"/>
      <c r="P338" s="610">
        <f>LEN(O337)</f>
        <v>0</v>
      </c>
      <c r="Q338" s="679"/>
      <c r="R338" s="682">
        <f>LEN(Q337)</f>
        <v>0</v>
      </c>
      <c r="S338" s="59"/>
      <c r="T338" s="59"/>
      <c r="U338" s="59"/>
      <c r="V338" s="59"/>
      <c r="W338" s="70"/>
      <c r="X338" s="664" t="s">
        <v>432</v>
      </c>
      <c r="Y338" s="500"/>
      <c r="Z338" s="457"/>
      <c r="AA338" s="457"/>
      <c r="AB338" s="985"/>
      <c r="AC338" s="551" t="str">
        <f t="shared" si="57"/>
        <v/>
      </c>
      <c r="AD338" s="1062">
        <f>O229</f>
        <v>0</v>
      </c>
      <c r="AE338" s="576" t="s">
        <v>916</v>
      </c>
    </row>
    <row r="339" spans="1:31" ht="11.25" customHeight="1">
      <c r="A339" s="611">
        <v>9</v>
      </c>
      <c r="B339" s="85"/>
      <c r="C339" s="613" t="str">
        <f>IF(LEN(O337)&lt;=265,"",RIGHT(O337,LEN(O337)-SEARCH(" ",O337,255)))</f>
        <v/>
      </c>
      <c r="D339" s="377"/>
      <c r="E339" s="377"/>
      <c r="F339" s="377"/>
      <c r="G339" s="377"/>
      <c r="H339" s="377"/>
      <c r="I339" s="377"/>
      <c r="J339" s="377"/>
      <c r="K339" s="71"/>
      <c r="L339" s="676" t="s">
        <v>432</v>
      </c>
      <c r="M339" s="66"/>
      <c r="N339" s="54" t="s">
        <v>102</v>
      </c>
      <c r="O339" s="1084"/>
      <c r="P339" s="440"/>
      <c r="Q339" s="678" t="str">
        <f>IF(OR(AB392=0,AB392=""),"",AB392)</f>
        <v/>
      </c>
      <c r="R339" s="48"/>
      <c r="S339" s="48"/>
      <c r="T339" s="48"/>
      <c r="U339" s="48"/>
      <c r="V339" s="48"/>
      <c r="W339" s="69"/>
      <c r="X339" s="664" t="s">
        <v>432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432</v>
      </c>
      <c r="M340" s="85"/>
      <c r="N340" s="609" t="s">
        <v>303</v>
      </c>
      <c r="O340" s="1085"/>
      <c r="P340" s="610">
        <f>LEN(O339)</f>
        <v>0</v>
      </c>
      <c r="Q340" s="679"/>
      <c r="R340" s="682">
        <f>LEN(Q339)</f>
        <v>0</v>
      </c>
      <c r="S340" s="48"/>
      <c r="T340" s="48"/>
      <c r="U340" s="48"/>
      <c r="V340" s="48"/>
      <c r="W340" s="69"/>
      <c r="X340" s="664" t="s">
        <v>432</v>
      </c>
      <c r="Y340" s="500"/>
      <c r="Z340" s="457"/>
      <c r="AA340" s="457"/>
      <c r="AB340" s="985"/>
      <c r="AC340" s="551" t="str">
        <f t="shared" si="57"/>
        <v/>
      </c>
      <c r="AD340" s="1062">
        <f>O231</f>
        <v>0</v>
      </c>
      <c r="AE340" s="576" t="s">
        <v>917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432</v>
      </c>
      <c r="M341" s="213"/>
      <c r="N341" s="54" t="s">
        <v>102</v>
      </c>
      <c r="O341" s="1084"/>
      <c r="P341" s="440"/>
      <c r="Q341" s="678" t="str">
        <f>IF(OR(AB394=0,AB394=""),"",AB394)</f>
        <v/>
      </c>
      <c r="R341" s="48"/>
      <c r="S341" s="59"/>
      <c r="T341" s="59"/>
      <c r="U341" s="59"/>
      <c r="V341" s="59"/>
      <c r="W341" s="70"/>
      <c r="X341" s="664" t="s">
        <v>432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432</v>
      </c>
      <c r="M342" s="66"/>
      <c r="N342" s="609" t="s">
        <v>303</v>
      </c>
      <c r="O342" s="1085"/>
      <c r="P342" s="610">
        <f>LEN(O341)</f>
        <v>0</v>
      </c>
      <c r="Q342" s="679"/>
      <c r="R342" s="682">
        <f>LEN(Q341)</f>
        <v>0</v>
      </c>
      <c r="S342" s="48"/>
      <c r="T342" s="48"/>
      <c r="U342" s="48"/>
      <c r="V342" s="48"/>
      <c r="W342" s="69"/>
      <c r="X342" s="664" t="s">
        <v>432</v>
      </c>
      <c r="Y342" s="500"/>
      <c r="AA342" s="457"/>
      <c r="AB342" s="985"/>
      <c r="AC342" s="551" t="str">
        <f t="shared" si="57"/>
        <v/>
      </c>
      <c r="AD342" s="1062">
        <f>O233</f>
        <v>0</v>
      </c>
      <c r="AE342" s="576" t="s">
        <v>918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432</v>
      </c>
      <c r="M343" s="85"/>
      <c r="N343" s="54" t="s">
        <v>102</v>
      </c>
      <c r="O343" s="1084"/>
      <c r="P343" s="440"/>
      <c r="Q343" s="678" t="str">
        <f>IF(OR(AB396=0,AB396=""),"",AB396)</f>
        <v/>
      </c>
      <c r="R343" s="48"/>
      <c r="S343" s="48"/>
      <c r="T343" s="48"/>
      <c r="U343" s="48"/>
      <c r="V343" s="48"/>
      <c r="W343" s="69"/>
      <c r="X343" s="664" t="s">
        <v>432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432</v>
      </c>
      <c r="M344" s="213"/>
      <c r="N344" s="609" t="s">
        <v>303</v>
      </c>
      <c r="O344" s="1085"/>
      <c r="P344" s="610">
        <f>LEN(O343)</f>
        <v>0</v>
      </c>
      <c r="Q344" s="679"/>
      <c r="R344" s="682">
        <f>LEN(Q343)</f>
        <v>0</v>
      </c>
      <c r="S344" s="59"/>
      <c r="T344" s="59"/>
      <c r="U344" s="59"/>
      <c r="V344" s="59"/>
      <c r="W344" s="70"/>
      <c r="X344" s="664" t="s">
        <v>432</v>
      </c>
      <c r="Y344" s="500"/>
      <c r="AA344" s="457"/>
      <c r="AB344" s="985"/>
      <c r="AC344" s="551" t="str">
        <f t="shared" si="57"/>
        <v/>
      </c>
      <c r="AD344" s="1062">
        <f>O235</f>
        <v>0</v>
      </c>
      <c r="AE344" s="576" t="s">
        <v>919</v>
      </c>
    </row>
    <row r="345" spans="1:31" ht="11.25" customHeight="1">
      <c r="A345" s="611">
        <v>15</v>
      </c>
      <c r="B345" s="127"/>
      <c r="C345" s="613" t="str">
        <f>IF(LEN(O341)&lt;=265,"",RIGHT(O341,LEN(O341)-SEARCH(" ",O341,255)))</f>
        <v/>
      </c>
      <c r="D345" s="377"/>
      <c r="E345" s="377"/>
      <c r="F345" s="377"/>
      <c r="G345" s="377"/>
      <c r="H345" s="377"/>
      <c r="I345" s="377"/>
      <c r="J345" s="377"/>
      <c r="K345" s="71"/>
      <c r="L345" s="676" t="s">
        <v>432</v>
      </c>
      <c r="M345" s="66"/>
      <c r="N345" s="54" t="s">
        <v>102</v>
      </c>
      <c r="O345" s="1084"/>
      <c r="P345" s="440"/>
      <c r="Q345" s="678" t="str">
        <f>IF(OR(AB398=0,AB398=""),"",AB398)</f>
        <v/>
      </c>
      <c r="R345" s="48"/>
      <c r="S345" s="48"/>
      <c r="T345" s="48"/>
      <c r="U345" s="48"/>
      <c r="V345" s="48"/>
      <c r="W345" s="69"/>
      <c r="X345" s="664" t="s">
        <v>432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432</v>
      </c>
      <c r="M346" s="85"/>
      <c r="N346" s="609" t="s">
        <v>303</v>
      </c>
      <c r="O346" s="1085"/>
      <c r="P346" s="610">
        <f>LEN(O345)</f>
        <v>0</v>
      </c>
      <c r="Q346" s="679"/>
      <c r="R346" s="682">
        <f>LEN(Q345)</f>
        <v>0</v>
      </c>
      <c r="S346" s="48"/>
      <c r="T346" s="48"/>
      <c r="U346" s="48"/>
      <c r="V346" s="48"/>
      <c r="W346" s="69"/>
      <c r="X346" s="664" t="s">
        <v>432</v>
      </c>
      <c r="Y346" s="500"/>
      <c r="Z346" s="457"/>
      <c r="AA346" s="457"/>
      <c r="AB346" s="985"/>
      <c r="AC346" s="551" t="str">
        <f t="shared" si="57"/>
        <v/>
      </c>
      <c r="AD346" s="1062">
        <f>O237</f>
        <v>0</v>
      </c>
      <c r="AE346" s="576" t="s">
        <v>920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432</v>
      </c>
      <c r="M347" s="213"/>
      <c r="N347" s="54" t="s">
        <v>102</v>
      </c>
      <c r="O347" s="1084"/>
      <c r="P347" s="440"/>
      <c r="Q347" s="678" t="str">
        <f>IF(OR(AB400=0,AB400=""),"",AB400)</f>
        <v/>
      </c>
      <c r="R347" s="48"/>
      <c r="S347" s="59"/>
      <c r="T347" s="59"/>
      <c r="U347" s="59"/>
      <c r="V347" s="59"/>
      <c r="W347" s="70"/>
      <c r="X347" s="664" t="s">
        <v>432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432</v>
      </c>
      <c r="M348" s="66"/>
      <c r="N348" s="609" t="s">
        <v>303</v>
      </c>
      <c r="O348" s="1085"/>
      <c r="P348" s="610">
        <f>LEN(O347)</f>
        <v>0</v>
      </c>
      <c r="Q348" s="679"/>
      <c r="R348" s="682">
        <f>LEN(Q347)</f>
        <v>0</v>
      </c>
      <c r="S348" s="48"/>
      <c r="T348" s="48"/>
      <c r="U348" s="48"/>
      <c r="V348" s="48"/>
      <c r="W348" s="69"/>
      <c r="X348" s="664" t="s">
        <v>432</v>
      </c>
      <c r="Y348" s="500"/>
      <c r="Z348" s="457"/>
      <c r="AB348" s="985"/>
      <c r="AC348" s="551" t="str">
        <f t="shared" si="57"/>
        <v/>
      </c>
      <c r="AD348" s="1062">
        <f>O239</f>
        <v>0</v>
      </c>
      <c r="AE348" s="576" t="s">
        <v>921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432</v>
      </c>
      <c r="M349" s="85"/>
      <c r="N349" s="54" t="s">
        <v>102</v>
      </c>
      <c r="O349" s="1084"/>
      <c r="P349" s="440"/>
      <c r="Q349" s="678" t="str">
        <f>IF(OR(AB402=0,AB402=""),"",AB402)</f>
        <v/>
      </c>
      <c r="R349" s="48"/>
      <c r="S349" s="48"/>
      <c r="T349" s="48"/>
      <c r="U349" s="48"/>
      <c r="V349" s="48"/>
      <c r="W349" s="69"/>
      <c r="X349" s="664" t="s">
        <v>432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432</v>
      </c>
      <c r="M350" s="213"/>
      <c r="N350" s="609" t="s">
        <v>303</v>
      </c>
      <c r="O350" s="1085"/>
      <c r="P350" s="610">
        <f>LEN(O349)</f>
        <v>0</v>
      </c>
      <c r="Q350" s="679"/>
      <c r="R350" s="682">
        <f>LEN(Q349)</f>
        <v>0</v>
      </c>
      <c r="S350" s="59"/>
      <c r="T350" s="59"/>
      <c r="U350" s="59"/>
      <c r="V350" s="59"/>
      <c r="W350" s="70"/>
      <c r="X350" s="664" t="s">
        <v>432</v>
      </c>
      <c r="Y350" s="500"/>
      <c r="Z350" s="457"/>
      <c r="AB350" s="985"/>
      <c r="AC350" s="551" t="str">
        <f t="shared" si="57"/>
        <v/>
      </c>
      <c r="AD350" s="1062">
        <f>O241</f>
        <v>0</v>
      </c>
      <c r="AE350" s="576" t="s">
        <v>922</v>
      </c>
    </row>
    <row r="351" spans="1:31" ht="11.25" customHeight="1">
      <c r="A351" s="611">
        <v>21</v>
      </c>
      <c r="B351" s="127"/>
      <c r="C351" s="613" t="str">
        <f>IF(LEN(O345)&lt;=265,"",RIGHT(O345,LEN(O345)-SEARCH(" ",O345,255)))</f>
        <v/>
      </c>
      <c r="D351" s="377"/>
      <c r="E351" s="377"/>
      <c r="F351" s="377"/>
      <c r="G351" s="377"/>
      <c r="H351" s="377"/>
      <c r="I351" s="377"/>
      <c r="J351" s="377"/>
      <c r="K351" s="71"/>
      <c r="L351" s="676" t="s">
        <v>432</v>
      </c>
      <c r="M351" s="66"/>
      <c r="N351" s="54" t="s">
        <v>102</v>
      </c>
      <c r="O351" s="1084"/>
      <c r="P351" s="440"/>
      <c r="Q351" s="678" t="str">
        <f>IF(OR(AB404=0,AB404=""),"",AB404)</f>
        <v/>
      </c>
      <c r="R351" s="48"/>
      <c r="S351" s="48"/>
      <c r="T351" s="48"/>
      <c r="U351" s="48"/>
      <c r="V351" s="48"/>
      <c r="W351" s="69"/>
      <c r="X351" s="664" t="s">
        <v>432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432</v>
      </c>
      <c r="M352" s="85"/>
      <c r="N352" s="609" t="s">
        <v>303</v>
      </c>
      <c r="O352" s="1085"/>
      <c r="P352" s="610">
        <f>LEN(O351)</f>
        <v>0</v>
      </c>
      <c r="Q352" s="679"/>
      <c r="R352" s="682">
        <f>LEN(Q351)</f>
        <v>0</v>
      </c>
      <c r="S352" s="48"/>
      <c r="T352" s="48"/>
      <c r="U352" s="48"/>
      <c r="V352" s="48"/>
      <c r="W352" s="69"/>
      <c r="X352" s="664" t="s">
        <v>432</v>
      </c>
      <c r="Y352" s="500"/>
      <c r="Z352" s="457"/>
      <c r="AA352" s="132" t="s">
        <v>632</v>
      </c>
      <c r="AB352" s="985"/>
      <c r="AC352" s="551" t="str">
        <f t="shared" si="57"/>
        <v/>
      </c>
      <c r="AD352" s="1062">
        <f>O271</f>
        <v>0</v>
      </c>
      <c r="AE352" s="576" t="s">
        <v>923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432</v>
      </c>
      <c r="M353" s="213"/>
      <c r="N353" s="54" t="s">
        <v>102</v>
      </c>
      <c r="O353" s="1084"/>
      <c r="P353" s="440"/>
      <c r="Q353" s="678" t="str">
        <f>IF(OR(AB406=0,AB406=""),"",AB406)</f>
        <v/>
      </c>
      <c r="R353" s="48"/>
      <c r="S353" s="59"/>
      <c r="T353" s="59"/>
      <c r="U353" s="59"/>
      <c r="V353" s="59"/>
      <c r="W353" s="70"/>
      <c r="X353" s="664" t="s">
        <v>432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432</v>
      </c>
      <c r="M354" s="66"/>
      <c r="N354" s="609" t="s">
        <v>303</v>
      </c>
      <c r="O354" s="1085"/>
      <c r="P354" s="610">
        <f>LEN(O353)</f>
        <v>0</v>
      </c>
      <c r="Q354" s="679"/>
      <c r="R354" s="682">
        <f>LEN(Q353)</f>
        <v>0</v>
      </c>
      <c r="S354" s="48"/>
      <c r="T354" s="48"/>
      <c r="U354" s="48"/>
      <c r="V354" s="48"/>
      <c r="W354" s="69"/>
      <c r="X354" s="664" t="s">
        <v>432</v>
      </c>
      <c r="Y354" s="500"/>
      <c r="Z354" s="457"/>
      <c r="AA354" s="457"/>
      <c r="AB354" s="985"/>
      <c r="AC354" s="551" t="str">
        <f t="shared" si="57"/>
        <v/>
      </c>
      <c r="AD354" s="1062">
        <f>O273</f>
        <v>0</v>
      </c>
      <c r="AE354" s="576" t="s">
        <v>924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432</v>
      </c>
      <c r="M355" s="85"/>
      <c r="N355" s="54" t="s">
        <v>102</v>
      </c>
      <c r="O355" s="1084"/>
      <c r="P355" s="440"/>
      <c r="Q355" s="678" t="str">
        <f>IF(OR(AB408=0,AB408=""),"",AB408)</f>
        <v/>
      </c>
      <c r="R355" s="48"/>
      <c r="S355" s="48"/>
      <c r="T355" s="48"/>
      <c r="U355" s="48"/>
      <c r="V355" s="48"/>
      <c r="W355" s="69"/>
      <c r="X355" s="664" t="s">
        <v>432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432</v>
      </c>
      <c r="M356" s="213"/>
      <c r="N356" s="609" t="s">
        <v>303</v>
      </c>
      <c r="O356" s="1085"/>
      <c r="P356" s="610">
        <f>LEN(O355)</f>
        <v>0</v>
      </c>
      <c r="Q356" s="679"/>
      <c r="R356" s="682">
        <f>LEN(Q355)</f>
        <v>0</v>
      </c>
      <c r="S356" s="59"/>
      <c r="T356" s="59"/>
      <c r="U356" s="59"/>
      <c r="V356" s="59"/>
      <c r="W356" s="70"/>
      <c r="X356" s="664" t="s">
        <v>432</v>
      </c>
      <c r="Y356" s="500"/>
      <c r="Z356" s="457"/>
      <c r="AA356" s="457"/>
      <c r="AB356" s="985"/>
      <c r="AC356" s="551" t="str">
        <f t="shared" si="57"/>
        <v/>
      </c>
      <c r="AD356" s="1062">
        <f>O275</f>
        <v>0</v>
      </c>
      <c r="AE356" s="576" t="s">
        <v>925</v>
      </c>
    </row>
    <row r="357" spans="1:31" ht="11.25" customHeight="1">
      <c r="A357" s="611">
        <v>27</v>
      </c>
      <c r="B357" s="127"/>
      <c r="C357" s="613" t="str">
        <f>IF(LEN(O349)&lt;=265,"",RIGHT(O349,LEN(O349)-SEARCH(" ",O349,255)))</f>
        <v/>
      </c>
      <c r="D357" s="377"/>
      <c r="E357" s="377"/>
      <c r="F357" s="377"/>
      <c r="G357" s="377"/>
      <c r="H357" s="377"/>
      <c r="I357" s="377"/>
      <c r="J357" s="377"/>
      <c r="K357" s="71"/>
      <c r="L357" s="676" t="s">
        <v>432</v>
      </c>
      <c r="M357" s="66"/>
      <c r="N357" s="54" t="s">
        <v>102</v>
      </c>
      <c r="O357" s="1084"/>
      <c r="P357" s="440"/>
      <c r="Q357" s="678" t="str">
        <f>IF(OR(AB410=0,AB410=""),"",AB410)</f>
        <v/>
      </c>
      <c r="R357" s="48"/>
      <c r="S357" s="48"/>
      <c r="T357" s="48"/>
      <c r="U357" s="48"/>
      <c r="V357" s="48"/>
      <c r="W357" s="69"/>
      <c r="X357" s="664" t="s">
        <v>432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432</v>
      </c>
      <c r="M358" s="85"/>
      <c r="N358" s="609" t="s">
        <v>303</v>
      </c>
      <c r="O358" s="1085"/>
      <c r="P358" s="610">
        <f>LEN(O357)</f>
        <v>0</v>
      </c>
      <c r="Q358" s="679"/>
      <c r="R358" s="682">
        <f>LEN(Q357)</f>
        <v>0</v>
      </c>
      <c r="S358" s="48"/>
      <c r="T358" s="48"/>
      <c r="U358" s="48"/>
      <c r="V358" s="48"/>
      <c r="W358" s="69"/>
      <c r="X358" s="664" t="s">
        <v>432</v>
      </c>
      <c r="Y358" s="500"/>
      <c r="Z358" s="457"/>
      <c r="AA358" s="457"/>
      <c r="AB358" s="985"/>
      <c r="AC358" s="551" t="str">
        <f t="shared" si="57"/>
        <v/>
      </c>
      <c r="AD358" s="1062">
        <f>O277</f>
        <v>0</v>
      </c>
      <c r="AE358" s="576" t="s">
        <v>926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432</v>
      </c>
      <c r="M359" s="213"/>
      <c r="N359" s="54" t="s">
        <v>102</v>
      </c>
      <c r="O359" s="1084"/>
      <c r="P359" s="440"/>
      <c r="Q359" s="678" t="str">
        <f>IF(OR(AB412=0,AB412=""),"",AB412)</f>
        <v/>
      </c>
      <c r="R359" s="48"/>
      <c r="S359" s="59"/>
      <c r="T359" s="59"/>
      <c r="U359" s="59"/>
      <c r="V359" s="59"/>
      <c r="W359" s="70"/>
      <c r="X359" s="664" t="s">
        <v>432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432</v>
      </c>
      <c r="M360" s="66"/>
      <c r="N360" s="609" t="s">
        <v>303</v>
      </c>
      <c r="O360" s="1085"/>
      <c r="P360" s="610">
        <f>LEN(O359)</f>
        <v>0</v>
      </c>
      <c r="Q360" s="679"/>
      <c r="R360" s="682">
        <f>LEN(Q359)</f>
        <v>0</v>
      </c>
      <c r="S360" s="48"/>
      <c r="T360" s="48"/>
      <c r="U360" s="48"/>
      <c r="V360" s="48"/>
      <c r="W360" s="69"/>
      <c r="X360" s="664" t="s">
        <v>432</v>
      </c>
      <c r="Y360" s="500"/>
      <c r="Z360" s="457"/>
      <c r="AA360" s="457"/>
      <c r="AB360" s="985"/>
      <c r="AC360" s="551" t="str">
        <f t="shared" si="57"/>
        <v/>
      </c>
      <c r="AD360" s="1062">
        <f>O279</f>
        <v>0</v>
      </c>
      <c r="AE360" s="576" t="s">
        <v>927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432</v>
      </c>
      <c r="M361" s="85"/>
      <c r="N361" s="54" t="s">
        <v>102</v>
      </c>
      <c r="O361" s="1084"/>
      <c r="P361" s="440"/>
      <c r="Q361" s="678" t="str">
        <f>IF(OR(AB414=0,AB414=""),"",AB414)</f>
        <v/>
      </c>
      <c r="R361" s="48"/>
      <c r="S361" s="48"/>
      <c r="T361" s="48"/>
      <c r="U361" s="48"/>
      <c r="V361" s="48"/>
      <c r="W361" s="69"/>
      <c r="X361" s="664" t="s">
        <v>432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432</v>
      </c>
      <c r="M362" s="213"/>
      <c r="N362" s="609" t="s">
        <v>303</v>
      </c>
      <c r="O362" s="1085"/>
      <c r="P362" s="610">
        <f>LEN(O361)</f>
        <v>0</v>
      </c>
      <c r="Q362" s="679"/>
      <c r="R362" s="682">
        <f>LEN(Q361)</f>
        <v>0</v>
      </c>
      <c r="S362" s="59"/>
      <c r="T362" s="59"/>
      <c r="U362" s="59"/>
      <c r="V362" s="59"/>
      <c r="W362" s="70"/>
      <c r="X362" s="664" t="s">
        <v>432</v>
      </c>
      <c r="Y362" s="500"/>
      <c r="Z362" s="457"/>
      <c r="AA362" s="457"/>
      <c r="AB362" s="985"/>
      <c r="AC362" s="551" t="str">
        <f t="shared" si="57"/>
        <v/>
      </c>
      <c r="AD362" s="1062">
        <f>O281</f>
        <v>0</v>
      </c>
      <c r="AE362" s="576" t="s">
        <v>928</v>
      </c>
    </row>
    <row r="363" spans="1:31" ht="11.25" customHeight="1">
      <c r="A363" s="611">
        <v>33</v>
      </c>
      <c r="B363" s="127"/>
      <c r="C363" s="613" t="str">
        <f>IF(LEN(O353)&lt;=265,"",RIGHT(O353,LEN(O353)-SEARCH(" ",O353,255)))</f>
        <v/>
      </c>
      <c r="D363" s="377"/>
      <c r="E363" s="377"/>
      <c r="F363" s="377"/>
      <c r="G363" s="377"/>
      <c r="H363" s="377"/>
      <c r="I363" s="377"/>
      <c r="J363" s="377"/>
      <c r="K363" s="71"/>
      <c r="L363" s="676" t="s">
        <v>432</v>
      </c>
      <c r="M363" s="127"/>
      <c r="N363" s="54" t="s">
        <v>102</v>
      </c>
      <c r="O363" s="1084"/>
      <c r="P363" s="440"/>
      <c r="Q363" s="678" t="str">
        <f>IF(OR(AB416=0,AB416=""),"",AB416)</f>
        <v/>
      </c>
      <c r="R363" s="48"/>
      <c r="S363" s="59"/>
      <c r="T363" s="59"/>
      <c r="U363" s="59"/>
      <c r="V363" s="59"/>
      <c r="W363" s="71"/>
      <c r="X363" s="664" t="s">
        <v>432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432</v>
      </c>
      <c r="M364" s="127"/>
      <c r="N364" s="609" t="s">
        <v>303</v>
      </c>
      <c r="O364" s="1085"/>
      <c r="P364" s="610">
        <f>LEN(O363)</f>
        <v>0</v>
      </c>
      <c r="Q364" s="679"/>
      <c r="R364" s="682">
        <f>LEN(Q363)</f>
        <v>0</v>
      </c>
      <c r="S364" s="48"/>
      <c r="T364" s="48"/>
      <c r="U364" s="48"/>
      <c r="V364" s="48"/>
      <c r="W364" s="71"/>
      <c r="X364" s="664" t="s">
        <v>432</v>
      </c>
      <c r="Y364" s="500"/>
      <c r="Z364" s="457"/>
      <c r="AA364" s="457"/>
      <c r="AB364" s="985"/>
      <c r="AC364" s="551" t="str">
        <f t="shared" si="57"/>
        <v/>
      </c>
      <c r="AD364" s="1062">
        <f>O283</f>
        <v>0</v>
      </c>
      <c r="AE364" s="576" t="s">
        <v>929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432</v>
      </c>
      <c r="M365" s="127"/>
      <c r="N365" s="54" t="s">
        <v>102</v>
      </c>
      <c r="O365" s="1084"/>
      <c r="P365" s="440"/>
      <c r="Q365" s="678" t="str">
        <f>IF(OR(AB418=0,AB418=""),"",AB418)</f>
        <v/>
      </c>
      <c r="R365" s="48"/>
      <c r="S365" s="59"/>
      <c r="T365" s="59"/>
      <c r="U365" s="59"/>
      <c r="V365" s="59"/>
      <c r="W365" s="71"/>
      <c r="X365" s="664" t="s">
        <v>432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432</v>
      </c>
      <c r="M366" s="127"/>
      <c r="N366" s="609" t="s">
        <v>303</v>
      </c>
      <c r="O366" s="1085"/>
      <c r="P366" s="610">
        <f>LEN(O365)</f>
        <v>0</v>
      </c>
      <c r="Q366" s="679"/>
      <c r="R366" s="682">
        <f>LEN(Q365)</f>
        <v>0</v>
      </c>
      <c r="S366" s="59"/>
      <c r="T366" s="59"/>
      <c r="U366" s="59"/>
      <c r="V366" s="59"/>
      <c r="W366" s="71"/>
      <c r="X366" s="664" t="s">
        <v>432</v>
      </c>
      <c r="Y366" s="500"/>
      <c r="Z366" s="457"/>
      <c r="AA366" s="457"/>
      <c r="AB366" s="985"/>
      <c r="AC366" s="551" t="str">
        <f t="shared" si="57"/>
        <v/>
      </c>
      <c r="AD366" s="1062">
        <f>O285</f>
        <v>0</v>
      </c>
      <c r="AE366" s="576" t="s">
        <v>930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432</v>
      </c>
      <c r="M367" s="127"/>
      <c r="N367" s="54" t="s">
        <v>102</v>
      </c>
      <c r="O367" s="1084"/>
      <c r="P367" s="440"/>
      <c r="Q367" s="678" t="str">
        <f>IF(OR(AB420=0,AB420=""),"",AB420)</f>
        <v/>
      </c>
      <c r="R367" s="48"/>
      <c r="S367" s="48"/>
      <c r="T367" s="48"/>
      <c r="U367" s="48"/>
      <c r="V367" s="48"/>
      <c r="W367" s="71"/>
      <c r="X367" s="664" t="s">
        <v>432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432</v>
      </c>
      <c r="M368" s="127"/>
      <c r="N368" s="609" t="s">
        <v>303</v>
      </c>
      <c r="O368" s="1085"/>
      <c r="P368" s="610">
        <f>LEN(O367)</f>
        <v>0</v>
      </c>
      <c r="Q368" s="679"/>
      <c r="R368" s="682">
        <f>LEN(Q367)</f>
        <v>0</v>
      </c>
      <c r="S368" s="59"/>
      <c r="T368" s="59"/>
      <c r="U368" s="59"/>
      <c r="V368" s="59"/>
      <c r="W368" s="71"/>
      <c r="X368" s="664" t="s">
        <v>432</v>
      </c>
      <c r="Y368" s="500"/>
      <c r="Z368" s="457"/>
      <c r="AA368" s="457"/>
      <c r="AB368" s="985"/>
      <c r="AC368" s="551" t="str">
        <f t="shared" si="57"/>
        <v/>
      </c>
      <c r="AD368" s="1062">
        <f>O287</f>
        <v>0</v>
      </c>
      <c r="AE368" s="576" t="s">
        <v>931</v>
      </c>
    </row>
    <row r="369" spans="1:31" ht="11.25" customHeight="1">
      <c r="A369" s="611">
        <v>39</v>
      </c>
      <c r="B369" s="127"/>
      <c r="C369" s="613" t="str">
        <f>IF(LEN(O357)&lt;=265,"",RIGHT(O357,LEN(O357)-SEARCH(" ",O357,255)))</f>
        <v/>
      </c>
      <c r="D369" s="377"/>
      <c r="E369" s="377"/>
      <c r="F369" s="377"/>
      <c r="G369" s="377"/>
      <c r="H369" s="377"/>
      <c r="I369" s="377"/>
      <c r="J369" s="377"/>
      <c r="K369" s="71"/>
      <c r="L369" s="676" t="s">
        <v>432</v>
      </c>
      <c r="M369" s="127"/>
      <c r="N369" s="54" t="s">
        <v>102</v>
      </c>
      <c r="O369" s="1084"/>
      <c r="P369" s="440"/>
      <c r="Q369" s="678" t="str">
        <f>IF(OR(AB422=0,AB422=""),"",AB422)</f>
        <v/>
      </c>
      <c r="R369" s="48"/>
      <c r="S369" s="59"/>
      <c r="T369" s="59"/>
      <c r="U369" s="59"/>
      <c r="V369" s="59"/>
      <c r="W369" s="71"/>
      <c r="X369" s="664" t="s">
        <v>432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432</v>
      </c>
      <c r="M370" s="127"/>
      <c r="N370" s="609" t="s">
        <v>303</v>
      </c>
      <c r="O370" s="1085"/>
      <c r="P370" s="610">
        <f>LEN(O369)</f>
        <v>0</v>
      </c>
      <c r="Q370" s="679"/>
      <c r="R370" s="682">
        <f>LEN(Q369)</f>
        <v>0</v>
      </c>
      <c r="S370" s="48"/>
      <c r="T370" s="48"/>
      <c r="U370" s="48"/>
      <c r="V370" s="48"/>
      <c r="W370" s="71"/>
      <c r="X370" s="664" t="s">
        <v>432</v>
      </c>
      <c r="Y370" s="500"/>
      <c r="Z370" s="457"/>
      <c r="AA370" s="457"/>
      <c r="AB370" s="985"/>
      <c r="AC370" s="551" t="str">
        <f t="shared" si="57"/>
        <v/>
      </c>
      <c r="AD370" s="1062">
        <f>O289</f>
        <v>0</v>
      </c>
      <c r="AE370" s="576" t="s">
        <v>932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432</v>
      </c>
      <c r="M371" s="127"/>
      <c r="N371" s="54" t="s">
        <v>102</v>
      </c>
      <c r="O371" s="1084"/>
      <c r="P371" s="440"/>
      <c r="Q371" s="678" t="str">
        <f>IF(OR(AB424=0,AB424=""),"",AB424)</f>
        <v/>
      </c>
      <c r="R371" s="48"/>
      <c r="S371" s="59"/>
      <c r="T371" s="59"/>
      <c r="U371" s="59"/>
      <c r="V371" s="59"/>
      <c r="W371" s="71"/>
      <c r="X371" s="664" t="s">
        <v>432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432</v>
      </c>
      <c r="M372" s="127"/>
      <c r="N372" s="609" t="s">
        <v>303</v>
      </c>
      <c r="O372" s="1085"/>
      <c r="P372" s="610">
        <f>LEN(O371)</f>
        <v>0</v>
      </c>
      <c r="Q372" s="679"/>
      <c r="R372" s="682">
        <f>LEN(Q371)</f>
        <v>0</v>
      </c>
      <c r="S372" s="59"/>
      <c r="T372" s="59"/>
      <c r="U372" s="59"/>
      <c r="V372" s="59"/>
      <c r="W372" s="71"/>
      <c r="X372" s="664" t="s">
        <v>432</v>
      </c>
      <c r="Y372" s="500"/>
      <c r="Z372" s="457"/>
      <c r="AA372" s="457"/>
      <c r="AB372" s="985"/>
      <c r="AC372" s="551" t="str">
        <f t="shared" si="57"/>
        <v/>
      </c>
      <c r="AD372" s="1062">
        <f>O291</f>
        <v>0</v>
      </c>
      <c r="AE372" s="576" t="s">
        <v>933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432</v>
      </c>
      <c r="M373" s="127"/>
      <c r="N373" s="54" t="s">
        <v>102</v>
      </c>
      <c r="O373" s="1084"/>
      <c r="P373" s="440"/>
      <c r="Q373" s="678" t="str">
        <f>IF(OR(AB426=0,AB426=""),"",AB426)</f>
        <v/>
      </c>
      <c r="R373" s="48"/>
      <c r="S373" s="48"/>
      <c r="T373" s="48"/>
      <c r="U373" s="48"/>
      <c r="V373" s="48"/>
      <c r="W373" s="71"/>
      <c r="X373" s="664" t="s">
        <v>432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432</v>
      </c>
      <c r="M374" s="127"/>
      <c r="N374" s="609" t="s">
        <v>303</v>
      </c>
      <c r="O374" s="610"/>
      <c r="P374" s="610">
        <f>LEN(O373)</f>
        <v>0</v>
      </c>
      <c r="Q374" s="679"/>
      <c r="R374" s="682">
        <f>LEN(Q373)</f>
        <v>0</v>
      </c>
      <c r="S374" s="59"/>
      <c r="T374" s="59"/>
      <c r="U374" s="59"/>
      <c r="V374" s="59"/>
      <c r="W374" s="71"/>
      <c r="X374" s="664" t="s">
        <v>432</v>
      </c>
      <c r="Y374" s="500"/>
      <c r="Z374" s="457"/>
      <c r="AA374" s="457"/>
      <c r="AB374" s="985"/>
      <c r="AC374" s="551" t="str">
        <f t="shared" si="57"/>
        <v/>
      </c>
      <c r="AD374" s="1062">
        <f>O293</f>
        <v>0</v>
      </c>
      <c r="AE374" s="576" t="s">
        <v>934</v>
      </c>
    </row>
    <row r="375" spans="1:31" ht="11.25" customHeight="1">
      <c r="A375" s="611">
        <v>45</v>
      </c>
      <c r="B375" s="127"/>
      <c r="C375" s="613" t="str">
        <f>IF(LEN(O361)&lt;=265,"",RIGHT(O361,LEN(O361)-SEARCH(" ",O361,255)))</f>
        <v/>
      </c>
      <c r="D375" s="377"/>
      <c r="E375" s="377"/>
      <c r="F375" s="377"/>
      <c r="G375" s="377"/>
      <c r="H375" s="377"/>
      <c r="I375" s="377"/>
      <c r="J375" s="377"/>
      <c r="K375" s="71"/>
      <c r="L375" s="676" t="s">
        <v>432</v>
      </c>
      <c r="M375" s="127"/>
      <c r="N375" s="509"/>
      <c r="O375" s="509"/>
      <c r="P375" s="509"/>
      <c r="Q375" s="506"/>
      <c r="R375" s="506"/>
      <c r="S375" s="506"/>
      <c r="T375" s="506"/>
      <c r="U375" s="506"/>
      <c r="V375" s="506"/>
      <c r="W375" s="71"/>
      <c r="X375" s="664" t="s">
        <v>432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432</v>
      </c>
      <c r="M376" s="127"/>
      <c r="N376" s="504"/>
      <c r="O376" s="504"/>
      <c r="P376" s="504"/>
      <c r="Q376" s="505"/>
      <c r="R376" s="505"/>
      <c r="S376" s="505"/>
      <c r="T376" s="505"/>
      <c r="U376" s="505"/>
      <c r="V376" s="505"/>
      <c r="W376" s="71"/>
      <c r="X376" s="664" t="s">
        <v>432</v>
      </c>
      <c r="Y376" s="457"/>
      <c r="Z376" s="457"/>
      <c r="AA376" s="457"/>
      <c r="AB376" s="985"/>
      <c r="AC376" s="551" t="str">
        <f t="shared" si="57"/>
        <v/>
      </c>
      <c r="AD376" s="1062">
        <f>O295</f>
        <v>0</v>
      </c>
      <c r="AE376" s="576" t="s">
        <v>935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432</v>
      </c>
      <c r="M377" s="127"/>
      <c r="N377" s="504"/>
      <c r="O377" s="504"/>
      <c r="P377" s="504"/>
      <c r="Q377" s="505"/>
      <c r="R377" s="505"/>
      <c r="S377" s="505"/>
      <c r="T377" s="505"/>
      <c r="U377" s="505"/>
      <c r="V377" s="505"/>
      <c r="W377" s="71"/>
      <c r="X377" s="664" t="s">
        <v>432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432</v>
      </c>
      <c r="M378" s="127"/>
      <c r="N378" s="504"/>
      <c r="O378" s="504"/>
      <c r="P378" s="504"/>
      <c r="Q378" s="505"/>
      <c r="R378" s="505"/>
      <c r="S378" s="505"/>
      <c r="T378" s="505"/>
      <c r="U378" s="505"/>
      <c r="V378" s="505"/>
      <c r="W378" s="71"/>
      <c r="X378" s="664" t="s">
        <v>432</v>
      </c>
      <c r="Y378" s="457"/>
      <c r="Z378" s="457"/>
      <c r="AA378" s="457"/>
      <c r="AB378" s="985"/>
      <c r="AC378" s="551" t="str">
        <f t="shared" si="57"/>
        <v/>
      </c>
      <c r="AD378" s="1062">
        <f>O297</f>
        <v>0</v>
      </c>
      <c r="AE378" s="576" t="s">
        <v>936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432</v>
      </c>
      <c r="M379" s="127"/>
      <c r="N379" s="504"/>
      <c r="O379" s="504"/>
      <c r="P379" s="504"/>
      <c r="Q379" s="376" t="s">
        <v>297</v>
      </c>
      <c r="R379" s="50"/>
      <c r="S379" s="50"/>
      <c r="T379" s="504"/>
      <c r="U379" s="505"/>
      <c r="V379" s="505"/>
      <c r="W379" s="71"/>
      <c r="X379" s="664" t="s">
        <v>432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432</v>
      </c>
      <c r="M380" s="127"/>
      <c r="N380" s="504"/>
      <c r="O380" s="504"/>
      <c r="P380" s="504"/>
      <c r="Q380" s="505"/>
      <c r="R380" s="504"/>
      <c r="S380" s="505"/>
      <c r="T380" s="504"/>
      <c r="U380" s="505"/>
      <c r="V380" s="505"/>
      <c r="W380" s="71"/>
      <c r="X380" s="664" t="s">
        <v>432</v>
      </c>
      <c r="Y380" s="457"/>
      <c r="Z380" s="457"/>
      <c r="AA380" s="457"/>
      <c r="AB380" s="985"/>
      <c r="AC380" s="551" t="str">
        <f t="shared" si="57"/>
        <v/>
      </c>
      <c r="AD380" s="1062">
        <f>O299</f>
        <v>0</v>
      </c>
      <c r="AE380" s="576" t="s">
        <v>937</v>
      </c>
    </row>
    <row r="381" spans="1:31" ht="11.25" customHeight="1">
      <c r="A381" s="611">
        <v>51</v>
      </c>
      <c r="B381" s="127"/>
      <c r="C381" s="613" t="str">
        <f>IF(LEN(O365)&lt;=265,"",RIGHT(O365,LEN(O365)-SEARCH(" ",O365,255)))</f>
        <v/>
      </c>
      <c r="D381" s="377"/>
      <c r="E381" s="377"/>
      <c r="F381" s="377"/>
      <c r="G381" s="377"/>
      <c r="H381" s="377"/>
      <c r="I381" s="377"/>
      <c r="J381" s="377"/>
      <c r="K381" s="71"/>
      <c r="L381" s="676" t="s">
        <v>432</v>
      </c>
      <c r="M381" s="127"/>
      <c r="N381" s="504"/>
      <c r="O381" s="504"/>
      <c r="P381" s="504"/>
      <c r="Q381" s="505"/>
      <c r="R381" s="504"/>
      <c r="S381" s="505"/>
      <c r="T381" s="504"/>
      <c r="U381" s="505"/>
      <c r="V381" s="505"/>
      <c r="W381" s="71"/>
      <c r="X381" s="664" t="s">
        <v>432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432</v>
      </c>
      <c r="M382" s="127"/>
      <c r="N382" s="504"/>
      <c r="O382" s="504"/>
      <c r="P382" s="504"/>
      <c r="Q382" s="505"/>
      <c r="R382" s="504"/>
      <c r="S382" s="505"/>
      <c r="T382" s="504"/>
      <c r="U382" s="505"/>
      <c r="V382" s="505"/>
      <c r="W382" s="71"/>
      <c r="X382" s="664" t="s">
        <v>432</v>
      </c>
      <c r="Y382" s="457"/>
      <c r="Z382" s="457"/>
      <c r="AA382" s="457"/>
      <c r="AB382" s="985"/>
      <c r="AC382" s="551" t="str">
        <f t="shared" si="57"/>
        <v/>
      </c>
      <c r="AD382" s="1062">
        <f>O301</f>
        <v>0</v>
      </c>
      <c r="AE382" s="576" t="s">
        <v>938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432</v>
      </c>
      <c r="M383" s="127"/>
      <c r="N383" s="504"/>
      <c r="O383" s="504"/>
      <c r="P383" s="504"/>
      <c r="Q383" s="505"/>
      <c r="R383" s="504"/>
      <c r="S383" s="505"/>
      <c r="T383" s="504"/>
      <c r="U383" s="505"/>
      <c r="V383" s="505"/>
      <c r="W383" s="71"/>
      <c r="X383" s="664" t="s">
        <v>432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432</v>
      </c>
      <c r="M384" s="127"/>
      <c r="N384" s="504"/>
      <c r="O384" s="504"/>
      <c r="P384" s="504"/>
      <c r="Q384" s="505"/>
      <c r="R384" s="504"/>
      <c r="S384" s="505"/>
      <c r="T384" s="504"/>
      <c r="U384" s="505"/>
      <c r="V384" s="505"/>
      <c r="W384" s="71"/>
      <c r="X384" s="664" t="s">
        <v>432</v>
      </c>
      <c r="Y384" s="457"/>
      <c r="Z384" s="457"/>
      <c r="AA384" s="457"/>
      <c r="AB384" s="985"/>
      <c r="AC384" s="551" t="str">
        <f t="shared" si="57"/>
        <v/>
      </c>
      <c r="AD384" s="1062">
        <f>O303</f>
        <v>0</v>
      </c>
      <c r="AE384" s="576" t="s">
        <v>939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432</v>
      </c>
      <c r="M385" s="127"/>
      <c r="N385" s="504"/>
      <c r="O385" s="504"/>
      <c r="P385" s="504"/>
      <c r="Q385" s="505"/>
      <c r="R385" s="504"/>
      <c r="S385" s="505"/>
      <c r="T385" s="504"/>
      <c r="U385" s="505"/>
      <c r="V385" s="505"/>
      <c r="W385" s="71"/>
      <c r="X385" s="664" t="s">
        <v>432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432</v>
      </c>
      <c r="M386" s="127"/>
      <c r="N386" s="504"/>
      <c r="O386" s="504"/>
      <c r="P386" s="504"/>
      <c r="Q386" s="505"/>
      <c r="R386" s="504"/>
      <c r="S386" s="505"/>
      <c r="T386" s="504"/>
      <c r="U386" s="505"/>
      <c r="V386" s="505"/>
      <c r="W386" s="71"/>
      <c r="X386" s="664" t="s">
        <v>432</v>
      </c>
      <c r="Y386" s="457"/>
      <c r="Z386" s="457"/>
      <c r="AB386" s="985"/>
      <c r="AC386" s="551" t="str">
        <f t="shared" si="57"/>
        <v/>
      </c>
      <c r="AD386" s="1062">
        <f>O305</f>
        <v>0</v>
      </c>
      <c r="AE386" s="576" t="s">
        <v>940</v>
      </c>
    </row>
    <row r="387" spans="1:31" ht="11.25" customHeight="1">
      <c r="A387" s="611">
        <v>57</v>
      </c>
      <c r="B387" s="127"/>
      <c r="C387" s="613" t="str">
        <f>IF(LEN(O369)&lt;=265,"",RIGHT(O369,LEN(O369)-SEARCH(" ",O369,255)))</f>
        <v/>
      </c>
      <c r="D387" s="377"/>
      <c r="E387" s="377"/>
      <c r="F387" s="377"/>
      <c r="G387" s="377"/>
      <c r="H387" s="377"/>
      <c r="I387" s="377"/>
      <c r="J387" s="377"/>
      <c r="K387" s="71"/>
      <c r="L387" s="676" t="s">
        <v>432</v>
      </c>
      <c r="M387" s="127"/>
      <c r="N387" s="504"/>
      <c r="O387" s="504"/>
      <c r="P387" s="504"/>
      <c r="Q387" s="505"/>
      <c r="R387" s="504"/>
      <c r="S387" s="505"/>
      <c r="T387" s="504"/>
      <c r="U387" s="505"/>
      <c r="V387" s="505"/>
      <c r="W387" s="71"/>
      <c r="X387" s="664" t="s">
        <v>432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432</v>
      </c>
      <c r="M388" s="127"/>
      <c r="N388" s="504"/>
      <c r="O388" s="504"/>
      <c r="P388" s="504"/>
      <c r="Q388" s="505"/>
      <c r="R388" s="504"/>
      <c r="S388" s="505"/>
      <c r="T388" s="504"/>
      <c r="U388" s="505"/>
      <c r="V388" s="505"/>
      <c r="W388" s="71"/>
      <c r="X388" s="664" t="s">
        <v>432</v>
      </c>
      <c r="Y388" s="457"/>
      <c r="Z388" s="457"/>
      <c r="AB388" s="985"/>
      <c r="AC388" s="551" t="str">
        <f t="shared" si="57"/>
        <v/>
      </c>
      <c r="AD388" s="1062">
        <f>O307</f>
        <v>0</v>
      </c>
      <c r="AE388" s="576" t="s">
        <v>941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432</v>
      </c>
      <c r="M389" s="127"/>
      <c r="N389" s="504"/>
      <c r="O389" s="504"/>
      <c r="P389" s="504"/>
      <c r="Q389" s="505"/>
      <c r="R389" s="504"/>
      <c r="S389" s="505"/>
      <c r="T389" s="504"/>
      <c r="U389" s="505"/>
      <c r="V389" s="505"/>
      <c r="W389" s="71"/>
      <c r="X389" s="664" t="s">
        <v>432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432</v>
      </c>
      <c r="M390" s="127"/>
      <c r="N390" s="504"/>
      <c r="O390" s="504"/>
      <c r="P390" s="504"/>
      <c r="Q390" s="505"/>
      <c r="R390" s="504"/>
      <c r="S390" s="505"/>
      <c r="T390" s="504"/>
      <c r="U390" s="505"/>
      <c r="V390" s="505"/>
      <c r="W390" s="71"/>
      <c r="X390" s="664" t="s">
        <v>432</v>
      </c>
      <c r="Y390" s="457"/>
      <c r="Z390" s="457"/>
      <c r="AA390" s="132" t="s">
        <v>659</v>
      </c>
      <c r="AB390" s="985"/>
      <c r="AC390" s="551" t="str">
        <f t="shared" si="57"/>
        <v/>
      </c>
      <c r="AD390" s="1062">
        <f>O337</f>
        <v>0</v>
      </c>
      <c r="AE390" s="576" t="s">
        <v>942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432</v>
      </c>
      <c r="M391" s="127"/>
      <c r="N391" s="504"/>
      <c r="O391" s="504"/>
      <c r="P391" s="504"/>
      <c r="Q391" s="505"/>
      <c r="R391" s="504"/>
      <c r="S391" s="505"/>
      <c r="T391" s="504"/>
      <c r="U391" s="505"/>
      <c r="V391" s="505"/>
      <c r="W391" s="71"/>
      <c r="X391" s="664" t="s">
        <v>432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432</v>
      </c>
      <c r="M392" s="127"/>
      <c r="N392" s="504"/>
      <c r="O392" s="504"/>
      <c r="P392" s="504"/>
      <c r="Q392" s="505"/>
      <c r="R392" s="504"/>
      <c r="S392" s="505"/>
      <c r="T392" s="504"/>
      <c r="U392" s="505"/>
      <c r="V392" s="505"/>
      <c r="W392" s="71"/>
      <c r="X392" s="664" t="s">
        <v>432</v>
      </c>
      <c r="Y392" s="457"/>
      <c r="Z392" s="457"/>
      <c r="AA392" s="457"/>
      <c r="AB392" s="985"/>
      <c r="AC392" s="551" t="str">
        <f t="shared" si="57"/>
        <v/>
      </c>
      <c r="AD392" s="1062">
        <f>O339</f>
        <v>0</v>
      </c>
      <c r="AE392" s="576" t="s">
        <v>943</v>
      </c>
    </row>
    <row r="393" spans="1:31" ht="11.25" customHeight="1">
      <c r="A393" s="611">
        <v>63</v>
      </c>
      <c r="B393" s="127"/>
      <c r="C393" s="613" t="str">
        <f>IF(LEN(O373)&lt;=265,"",RIGHT(O373,LEN(O373)-SEARCH(" ",O373,255)))</f>
        <v/>
      </c>
      <c r="D393" s="377"/>
      <c r="E393" s="377"/>
      <c r="F393" s="377"/>
      <c r="G393" s="377"/>
      <c r="H393" s="377"/>
      <c r="I393" s="377"/>
      <c r="J393" s="377"/>
      <c r="K393" s="71"/>
      <c r="L393" s="676" t="s">
        <v>432</v>
      </c>
      <c r="M393" s="127"/>
      <c r="N393" s="508"/>
      <c r="O393" s="508"/>
      <c r="P393" s="508"/>
      <c r="Q393" s="507"/>
      <c r="R393" s="508"/>
      <c r="S393" s="507"/>
      <c r="T393" s="508"/>
      <c r="U393" s="507"/>
      <c r="V393" s="507"/>
      <c r="W393" s="71"/>
      <c r="X393" s="664" t="s">
        <v>432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432</v>
      </c>
      <c r="M394" s="72"/>
      <c r="N394" s="73"/>
      <c r="O394" s="73"/>
      <c r="P394" s="441"/>
      <c r="Q394" s="73"/>
      <c r="R394" s="73"/>
      <c r="S394" s="73"/>
      <c r="T394" s="73"/>
      <c r="U394" s="73"/>
      <c r="V394" s="73"/>
      <c r="W394" s="74"/>
      <c r="X394" s="664" t="s">
        <v>432</v>
      </c>
      <c r="Y394" s="457"/>
      <c r="Z394" s="457"/>
      <c r="AA394" s="457"/>
      <c r="AB394" s="985"/>
      <c r="AC394" s="551" t="str">
        <f t="shared" si="57"/>
        <v/>
      </c>
      <c r="AD394" s="1062">
        <f>O341</f>
        <v>0</v>
      </c>
      <c r="AE394" s="576" t="s">
        <v>944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432</v>
      </c>
      <c r="X395" s="664" t="s">
        <v>432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432</v>
      </c>
      <c r="X396" s="664" t="s">
        <v>432</v>
      </c>
      <c r="Y396" s="457"/>
      <c r="Z396" s="457"/>
      <c r="AA396" s="457"/>
      <c r="AB396" s="985"/>
      <c r="AC396" s="551" t="str">
        <f t="shared" si="57"/>
        <v/>
      </c>
      <c r="AD396" s="1062">
        <f>O343</f>
        <v>0</v>
      </c>
      <c r="AE396" s="576" t="s">
        <v>945</v>
      </c>
    </row>
    <row r="397" spans="1:31" ht="11.25" customHeight="1" thickTop="1">
      <c r="A397" s="611">
        <v>1</v>
      </c>
      <c r="B397" s="1"/>
      <c r="C397" s="1"/>
      <c r="D397" s="1"/>
      <c r="E397" s="1"/>
      <c r="F397" s="1"/>
      <c r="G397" s="1"/>
      <c r="H397" s="1"/>
      <c r="I397" s="1"/>
      <c r="J397" s="1"/>
      <c r="K397" s="131" t="str">
        <f>$F$2</f>
        <v>Medical University of South Carolina</v>
      </c>
      <c r="L397" s="676" t="s">
        <v>432</v>
      </c>
      <c r="M397" s="64"/>
      <c r="N397" s="62"/>
      <c r="O397" s="62"/>
      <c r="P397" s="62"/>
      <c r="Q397" s="62"/>
      <c r="R397" s="62"/>
      <c r="S397" s="62"/>
      <c r="T397" s="62"/>
      <c r="U397" s="62"/>
      <c r="V397" s="62"/>
      <c r="W397" s="876" t="str">
        <f>$F$2</f>
        <v>Medical University of South Carolina</v>
      </c>
      <c r="X397" s="664" t="s">
        <v>432</v>
      </c>
      <c r="Y397" s="457"/>
      <c r="Z397" s="457"/>
      <c r="AA397" s="457"/>
      <c r="AB397" s="54"/>
      <c r="AC397" s="551" t="str">
        <f t="shared" si="57"/>
        <v/>
      </c>
      <c r="AD397" s="575"/>
      <c r="AE397" s="576"/>
    </row>
    <row r="398" spans="1:31" ht="11.25" customHeight="1">
      <c r="A398" s="611">
        <v>2</v>
      </c>
      <c r="B398" s="1"/>
      <c r="C398" s="1"/>
      <c r="D398" s="1"/>
      <c r="E398" s="1"/>
      <c r="F398" s="107" t="s">
        <v>560</v>
      </c>
      <c r="G398" s="1"/>
      <c r="H398" s="1"/>
      <c r="I398" s="1"/>
      <c r="J398" s="1"/>
      <c r="K398" s="132" t="str">
        <f>$F$5</f>
        <v>Radiographic System Compliance Inspection</v>
      </c>
      <c r="L398" s="676" t="s">
        <v>432</v>
      </c>
      <c r="M398" s="127"/>
      <c r="N398" s="87"/>
      <c r="O398" s="87"/>
      <c r="P398" s="1"/>
      <c r="R398" s="82" t="str">
        <f>$F$464</f>
        <v>Measurement Data</v>
      </c>
      <c r="W398" s="877" t="str">
        <f>$F$5</f>
        <v>Radiographic System Compliance Inspection</v>
      </c>
      <c r="X398" s="664" t="s">
        <v>432</v>
      </c>
      <c r="Y398" s="457"/>
      <c r="Z398" s="457"/>
      <c r="AA398" s="457"/>
      <c r="AB398" s="985"/>
      <c r="AC398" s="551" t="str">
        <f t="shared" si="57"/>
        <v/>
      </c>
      <c r="AD398" s="1062">
        <f>O345</f>
        <v>0</v>
      </c>
      <c r="AE398" s="576" t="s">
        <v>946</v>
      </c>
    </row>
    <row r="399" spans="1:31" ht="11.25" customHeight="1" thickBot="1">
      <c r="A399" s="611">
        <v>3</v>
      </c>
      <c r="B399" s="1"/>
      <c r="C399" s="1"/>
      <c r="D399" s="1"/>
      <c r="E399" s="1"/>
      <c r="G399" s="1"/>
      <c r="H399" s="1"/>
      <c r="I399" s="1"/>
      <c r="J399" s="1"/>
      <c r="L399" s="676" t="s">
        <v>432</v>
      </c>
      <c r="M399" s="127"/>
      <c r="W399" s="71"/>
      <c r="X399" s="664" t="s">
        <v>432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432</v>
      </c>
      <c r="M400" s="127"/>
      <c r="N400" s="861"/>
      <c r="O400" s="84"/>
      <c r="P400" s="84"/>
      <c r="Q400" s="84"/>
      <c r="R400" s="84"/>
      <c r="S400" s="84"/>
      <c r="T400" s="84"/>
      <c r="U400" s="84"/>
      <c r="V400" s="88"/>
      <c r="W400" s="71"/>
      <c r="X400" s="664" t="s">
        <v>432</v>
      </c>
      <c r="Y400" s="457"/>
      <c r="Z400" s="457"/>
      <c r="AA400" s="457"/>
      <c r="AB400" s="985"/>
      <c r="AC400" s="551" t="str">
        <f t="shared" ref="AC400:AC463" si="58">IF(AND(OR(AB400="",AB400=0),OR(AD400="",AD400=0)),"",IF(AB400&lt;&gt;AD400,"Change",""))</f>
        <v/>
      </c>
      <c r="AD400" s="1062">
        <f>O347</f>
        <v>0</v>
      </c>
      <c r="AE400" s="576" t="s">
        <v>947</v>
      </c>
    </row>
    <row r="401" spans="1:32" ht="11.25" customHeight="1">
      <c r="A401" s="611">
        <v>5</v>
      </c>
      <c r="B401" s="102" t="s">
        <v>561</v>
      </c>
      <c r="C401" s="917" t="str">
        <f>$N$83</f>
        <v>??</v>
      </c>
      <c r="D401" s="50"/>
      <c r="E401" s="49"/>
      <c r="F401" s="49"/>
      <c r="G401" s="49"/>
      <c r="H401" s="397" t="s">
        <v>394</v>
      </c>
      <c r="I401" s="1133" t="str">
        <f>$U$83</f>
        <v/>
      </c>
      <c r="K401" s="69"/>
      <c r="L401" s="676" t="s">
        <v>432</v>
      </c>
      <c r="M401" s="127"/>
      <c r="N401" s="91"/>
      <c r="R401" s="594" t="s">
        <v>347</v>
      </c>
      <c r="V401" s="90"/>
      <c r="W401" s="71"/>
      <c r="X401" s="664" t="s">
        <v>432</v>
      </c>
      <c r="Y401" s="457"/>
      <c r="Z401" s="457"/>
      <c r="AA401" s="457"/>
      <c r="AB401" s="54"/>
      <c r="AC401" s="551" t="str">
        <f t="shared" si="58"/>
        <v/>
      </c>
      <c r="AD401" s="575"/>
      <c r="AE401" s="576"/>
    </row>
    <row r="402" spans="1:32" ht="11.25" customHeight="1" thickBot="1">
      <c r="A402" s="611">
        <v>6</v>
      </c>
      <c r="B402" s="66"/>
      <c r="C402" s="49"/>
      <c r="D402" s="49"/>
      <c r="E402" s="49" t="s">
        <v>562</v>
      </c>
      <c r="F402" s="49"/>
      <c r="G402" s="49"/>
      <c r="H402" s="49"/>
      <c r="I402" s="49"/>
      <c r="J402" s="49" t="s">
        <v>563</v>
      </c>
      <c r="K402" s="69"/>
      <c r="L402" s="676" t="s">
        <v>432</v>
      </c>
      <c r="M402" s="127"/>
      <c r="N402" s="93"/>
      <c r="O402" s="95"/>
      <c r="P402" s="95"/>
      <c r="Q402" s="95"/>
      <c r="R402" s="95"/>
      <c r="S402" s="95"/>
      <c r="T402" s="95"/>
      <c r="U402" s="95"/>
      <c r="V402" s="862"/>
      <c r="W402" s="71"/>
      <c r="X402" s="664" t="s">
        <v>432</v>
      </c>
      <c r="Y402" s="457"/>
      <c r="Z402" s="457"/>
      <c r="AA402" s="457"/>
      <c r="AB402" s="985"/>
      <c r="AC402" s="551" t="str">
        <f t="shared" si="58"/>
        <v/>
      </c>
      <c r="AD402" s="1062">
        <f>O349</f>
        <v>0</v>
      </c>
      <c r="AE402" s="576" t="s">
        <v>948</v>
      </c>
    </row>
    <row r="403" spans="1:32" ht="11.25" customHeight="1" thickTop="1">
      <c r="A403" s="611">
        <v>7</v>
      </c>
      <c r="B403" s="66"/>
      <c r="C403" s="49"/>
      <c r="D403" s="49" t="s">
        <v>533</v>
      </c>
      <c r="E403" s="49" t="s">
        <v>564</v>
      </c>
      <c r="F403" s="49" t="s">
        <v>565</v>
      </c>
      <c r="G403" s="49"/>
      <c r="H403" s="49"/>
      <c r="I403" s="49"/>
      <c r="J403" s="49" t="s">
        <v>1089</v>
      </c>
      <c r="K403" s="69" t="s">
        <v>1090</v>
      </c>
      <c r="L403" s="676" t="s">
        <v>432</v>
      </c>
      <c r="M403" s="127"/>
      <c r="W403" s="71"/>
      <c r="X403" s="664" t="s">
        <v>432</v>
      </c>
      <c r="Y403" s="457"/>
      <c r="Z403" s="457"/>
      <c r="AA403" s="457"/>
      <c r="AB403" s="54"/>
      <c r="AC403" s="551" t="str">
        <f t="shared" si="58"/>
        <v/>
      </c>
      <c r="AD403" s="575"/>
      <c r="AE403" s="576"/>
    </row>
    <row r="404" spans="1:32" ht="11.25" customHeight="1">
      <c r="A404" s="611">
        <v>8</v>
      </c>
      <c r="B404" s="106" t="s">
        <v>568</v>
      </c>
      <c r="C404" s="48" t="s">
        <v>569</v>
      </c>
      <c r="D404" s="48" t="s">
        <v>570</v>
      </c>
      <c r="E404" s="48" t="s">
        <v>571</v>
      </c>
      <c r="F404" s="48" t="s">
        <v>570</v>
      </c>
      <c r="G404" s="48" t="s">
        <v>486</v>
      </c>
      <c r="H404" s="48" t="str">
        <f>IF(LFMAS="","mA/mAs",LFMAS)</f>
        <v>mA</v>
      </c>
      <c r="I404" s="48" t="s">
        <v>572</v>
      </c>
      <c r="J404" s="48" t="s">
        <v>1083</v>
      </c>
      <c r="K404" s="69" t="s">
        <v>1091</v>
      </c>
      <c r="L404" s="676" t="s">
        <v>432</v>
      </c>
      <c r="M404" s="127"/>
      <c r="W404" s="71"/>
      <c r="X404" s="664" t="s">
        <v>432</v>
      </c>
      <c r="Y404" s="457"/>
      <c r="Z404" s="457"/>
      <c r="AA404" s="457"/>
      <c r="AB404" s="985"/>
      <c r="AC404" s="551" t="str">
        <f t="shared" si="58"/>
        <v/>
      </c>
      <c r="AD404" s="1062">
        <f>O351</f>
        <v>0</v>
      </c>
      <c r="AE404" s="576" t="s">
        <v>949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432</v>
      </c>
      <c r="M405" s="878" t="s">
        <v>335</v>
      </c>
      <c r="W405" s="71"/>
      <c r="X405" s="664" t="s">
        <v>432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432</v>
      </c>
      <c r="M406" s="127"/>
      <c r="W406" s="71"/>
      <c r="X406" s="664" t="s">
        <v>432</v>
      </c>
      <c r="Y406" s="457"/>
      <c r="Z406" s="457"/>
      <c r="AA406" s="457"/>
      <c r="AB406" s="985"/>
      <c r="AC406" s="551" t="str">
        <f t="shared" si="58"/>
        <v/>
      </c>
      <c r="AD406" s="1062">
        <f>O353</f>
        <v>0</v>
      </c>
      <c r="AE406" s="576" t="s">
        <v>318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432</v>
      </c>
      <c r="M407" s="79"/>
      <c r="N407" s="62"/>
      <c r="O407" s="62"/>
      <c r="P407" s="62"/>
      <c r="Q407" s="62"/>
      <c r="R407" s="62"/>
      <c r="S407" s="62"/>
      <c r="T407" s="62"/>
      <c r="U407" s="62"/>
      <c r="V407" s="62"/>
      <c r="W407" s="80"/>
      <c r="X407" s="664" t="s">
        <v>432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432</v>
      </c>
      <c r="M408" s="202" t="s">
        <v>608</v>
      </c>
      <c r="N408" s="49"/>
      <c r="O408" s="49"/>
      <c r="P408" s="49"/>
      <c r="R408" s="190"/>
      <c r="S408" s="49"/>
      <c r="W408" s="71"/>
      <c r="X408" s="664" t="s">
        <v>432</v>
      </c>
      <c r="Y408" s="457"/>
      <c r="Z408" s="457"/>
      <c r="AA408" s="457"/>
      <c r="AB408" s="985"/>
      <c r="AC408" s="551" t="str">
        <f t="shared" si="58"/>
        <v/>
      </c>
      <c r="AD408" s="1062">
        <f>O355</f>
        <v>0</v>
      </c>
      <c r="AE408" s="576" t="s">
        <v>950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432</v>
      </c>
      <c r="M409" s="808" t="str">
        <f>IF(N409&lt;&gt;"",N409,IF(OR(AB96=0,AB96=""),"",AB96))</f>
        <v/>
      </c>
      <c r="N409" s="701"/>
      <c r="O409" s="100" t="s">
        <v>610</v>
      </c>
      <c r="P409" s="49"/>
      <c r="Q409" s="49"/>
      <c r="R409" s="49"/>
      <c r="S409" s="49"/>
      <c r="W409" s="71"/>
      <c r="X409" s="664" t="s">
        <v>432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432</v>
      </c>
      <c r="M410" s="808" t="str">
        <f>IF(N410&lt;&gt;"",N410,IF(OR(AB97=0,AB97=""),"",AB97))</f>
        <v/>
      </c>
      <c r="N410" s="701"/>
      <c r="O410" s="100" t="s">
        <v>348</v>
      </c>
      <c r="W410" s="71"/>
      <c r="X410" s="664" t="s">
        <v>432</v>
      </c>
      <c r="Y410" s="457"/>
      <c r="Z410" s="457"/>
      <c r="AA410" s="457"/>
      <c r="AB410" s="985"/>
      <c r="AC410" s="551" t="str">
        <f t="shared" si="58"/>
        <v/>
      </c>
      <c r="AD410" s="1062">
        <f>O357</f>
        <v>0</v>
      </c>
      <c r="AE410" s="576" t="s">
        <v>951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432</v>
      </c>
      <c r="M411" s="127"/>
      <c r="W411" s="71"/>
      <c r="X411" s="664" t="s">
        <v>432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432</v>
      </c>
      <c r="M412" s="127"/>
      <c r="W412" s="71"/>
      <c r="X412" s="664" t="s">
        <v>432</v>
      </c>
      <c r="Y412" s="457"/>
      <c r="Z412" s="457"/>
      <c r="AA412" s="457"/>
      <c r="AB412" s="985"/>
      <c r="AC412" s="551" t="str">
        <f t="shared" si="58"/>
        <v/>
      </c>
      <c r="AD412" s="1062">
        <f>O359</f>
        <v>0</v>
      </c>
      <c r="AE412" s="576" t="s">
        <v>952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432</v>
      </c>
      <c r="M413" s="463"/>
      <c r="N413" s="525" t="s">
        <v>615</v>
      </c>
      <c r="O413" s="524"/>
      <c r="P413" s="521" t="s">
        <v>478</v>
      </c>
      <c r="Q413" s="523" t="s">
        <v>333</v>
      </c>
      <c r="R413" s="694"/>
      <c r="S413" s="521" t="s">
        <v>478</v>
      </c>
      <c r="T413" s="523" t="s">
        <v>333</v>
      </c>
      <c r="W413" s="71"/>
      <c r="X413" s="664" t="s">
        <v>432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432</v>
      </c>
      <c r="M414" s="463"/>
      <c r="N414" s="522"/>
      <c r="O414" s="859" t="s">
        <v>618</v>
      </c>
      <c r="P414" s="809" t="str">
        <f>IF(S414&lt;&gt;"",S414,IF(OR(AB100=0,AB100=""),"",AB100))</f>
        <v/>
      </c>
      <c r="Q414" s="809" t="str">
        <f>IF(T414&lt;&gt;"",T414,IF(OR(AB101=0,AB101=""),"",AB101))</f>
        <v/>
      </c>
      <c r="R414" s="526" t="s">
        <v>619</v>
      </c>
      <c r="S414" s="871"/>
      <c r="T414" s="872"/>
      <c r="U414" s="685" t="s">
        <v>640</v>
      </c>
      <c r="W414" s="71"/>
      <c r="X414" s="664" t="s">
        <v>432</v>
      </c>
      <c r="Y414" s="457"/>
      <c r="Z414" s="457"/>
      <c r="AA414" s="457"/>
      <c r="AB414" s="985"/>
      <c r="AC414" s="551" t="str">
        <f t="shared" si="58"/>
        <v/>
      </c>
      <c r="AD414" s="1062">
        <f>O361</f>
        <v>0</v>
      </c>
      <c r="AE414" s="576" t="s">
        <v>953</v>
      </c>
      <c r="AF414" s="457"/>
    </row>
    <row r="415" spans="1:32" ht="11.25" customHeight="1" thickBot="1">
      <c r="A415" s="611">
        <v>19</v>
      </c>
      <c r="B415" s="66"/>
      <c r="C415" s="49"/>
      <c r="D415" s="49"/>
      <c r="E415" s="49"/>
      <c r="F415" s="49"/>
      <c r="G415" s="49"/>
      <c r="H415" s="49"/>
      <c r="I415" s="49"/>
      <c r="J415" s="49"/>
      <c r="K415" s="69"/>
      <c r="L415" s="676" t="s">
        <v>432</v>
      </c>
      <c r="M415" s="463"/>
      <c r="N415" s="520"/>
      <c r="O415" s="860" t="s">
        <v>620</v>
      </c>
      <c r="P415" s="810" t="str">
        <f>IF(S415&lt;&gt;"",S415,IF(OR(AB103=0,AB103=""),"",AB103))</f>
        <v/>
      </c>
      <c r="Q415" s="810" t="str">
        <f>IF(T415&lt;&gt;"",T415,IF(OR(AB104=0,AB104=""),"",AB104))</f>
        <v/>
      </c>
      <c r="R415" s="527" t="s">
        <v>621</v>
      </c>
      <c r="S415" s="871"/>
      <c r="T415" s="871"/>
      <c r="U415" s="685" t="s">
        <v>640</v>
      </c>
      <c r="W415" s="71"/>
      <c r="X415" s="664" t="s">
        <v>432</v>
      </c>
      <c r="Y415" s="457"/>
      <c r="Z415" s="457"/>
      <c r="AA415" s="457"/>
      <c r="AB415" s="54"/>
      <c r="AC415" s="551" t="str">
        <f t="shared" si="58"/>
        <v/>
      </c>
      <c r="AD415" s="575"/>
      <c r="AE415" s="576"/>
      <c r="AF415" s="457"/>
    </row>
    <row r="416" spans="1:32" ht="11.25" customHeight="1" thickBot="1">
      <c r="A416" s="611">
        <v>20</v>
      </c>
      <c r="B416" s="102" t="s">
        <v>149</v>
      </c>
      <c r="C416" s="922" t="str">
        <f>IF(O98="","",IF(LEN(O98)&lt;=115,O98,IF(LEN(O98)&lt;=222,LEFT(O98,SEARCH(" ",O98,107)),LEFT(O98,SEARCH(" ",O98,111)))))</f>
        <v/>
      </c>
      <c r="D416" s="48"/>
      <c r="E416" s="48"/>
      <c r="F416" s="48"/>
      <c r="G416" s="48"/>
      <c r="H416" s="48"/>
      <c r="I416" s="48"/>
      <c r="J416" s="48"/>
      <c r="K416" s="69"/>
      <c r="L416" s="676" t="s">
        <v>432</v>
      </c>
      <c r="M416" s="463"/>
      <c r="N416" s="520"/>
      <c r="O416" s="860" t="s">
        <v>622</v>
      </c>
      <c r="P416" s="552" t="str">
        <f>IF(OR(P414="",P414=0,P415="",P415=0),"NA",P414/P415)</f>
        <v>NA</v>
      </c>
      <c r="Q416" s="552" t="str">
        <f>IF(OR(Q414="",Q414=0,Q415="",Q415=0),"NA",Q414/Q415)</f>
        <v>NA</v>
      </c>
      <c r="R416" s="528">
        <f>IF(AND(P416="NA",Q416="NA"),1,AVERAGE(P416:Q416))</f>
        <v>1</v>
      </c>
      <c r="S416" s="574"/>
      <c r="W416" s="71"/>
      <c r="X416" s="664" t="s">
        <v>432</v>
      </c>
      <c r="Y416" s="457"/>
      <c r="Z416" s="457"/>
      <c r="AA416" s="457"/>
      <c r="AB416" s="985"/>
      <c r="AC416" s="551" t="str">
        <f t="shared" si="58"/>
        <v/>
      </c>
      <c r="AD416" s="1062">
        <f>O363</f>
        <v>0</v>
      </c>
      <c r="AE416" s="576" t="s">
        <v>954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432</v>
      </c>
      <c r="M417" s="127"/>
      <c r="W417" s="71"/>
      <c r="X417" s="664" t="s">
        <v>432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432</v>
      </c>
      <c r="M418" s="127"/>
      <c r="W418" s="71"/>
      <c r="X418" s="664" t="s">
        <v>432</v>
      </c>
      <c r="Y418" s="457"/>
      <c r="Z418" s="457"/>
      <c r="AA418" s="457"/>
      <c r="AB418" s="985"/>
      <c r="AC418" s="551" t="str">
        <f t="shared" si="58"/>
        <v/>
      </c>
      <c r="AD418" s="1062">
        <f>O365</f>
        <v>0</v>
      </c>
      <c r="AE418" s="576" t="s">
        <v>955</v>
      </c>
      <c r="AF418" s="457"/>
      <c r="AH418" s="573"/>
    </row>
    <row r="419" spans="1:34" ht="11.25" customHeight="1">
      <c r="A419" s="611">
        <v>23</v>
      </c>
      <c r="B419" s="66"/>
      <c r="C419" s="49"/>
      <c r="D419" s="49"/>
      <c r="E419" s="49"/>
      <c r="F419" s="49"/>
      <c r="G419" s="49"/>
      <c r="H419" s="49"/>
      <c r="I419" s="49"/>
      <c r="J419" s="49"/>
      <c r="K419" s="69"/>
      <c r="L419" s="676" t="s">
        <v>432</v>
      </c>
      <c r="M419" s="191" t="s">
        <v>612</v>
      </c>
      <c r="N419" s="128"/>
      <c r="R419" s="844" t="s">
        <v>338</v>
      </c>
      <c r="S419" s="352" t="s">
        <v>337</v>
      </c>
      <c r="W419" s="71"/>
      <c r="X419" s="664" t="s">
        <v>432</v>
      </c>
      <c r="Y419" s="457"/>
      <c r="Z419" s="457"/>
      <c r="AA419" s="457"/>
      <c r="AB419" s="54"/>
      <c r="AC419" s="551" t="str">
        <f t="shared" si="58"/>
        <v/>
      </c>
      <c r="AD419" s="575"/>
      <c r="AE419" s="576"/>
      <c r="AF419" s="457"/>
    </row>
    <row r="420" spans="1:34" ht="11.25" customHeight="1" thickBot="1">
      <c r="A420" s="611">
        <v>24</v>
      </c>
      <c r="B420" s="102" t="str">
        <f t="array" ref="B420:C420">N103:O103</f>
        <v>Note:  10</v>
      </c>
      <c r="C420" s="50" t="str">
        <v>cm distance between patient and image receptor</v>
      </c>
      <c r="D420" s="3"/>
      <c r="E420" s="3"/>
      <c r="F420" s="49"/>
      <c r="G420" s="49"/>
      <c r="H420" s="49"/>
      <c r="I420" s="49"/>
      <c r="J420" s="49"/>
      <c r="K420" s="69"/>
      <c r="L420" s="676" t="s">
        <v>432</v>
      </c>
      <c r="M420" s="811" t="str">
        <f>IF(N420&lt;&gt;"",N420,IF(OR(AB106=0,AB106=""),"",ROUND(AB106,2)))</f>
        <v/>
      </c>
      <c r="N420" s="770"/>
      <c r="O420" s="857" t="s">
        <v>349</v>
      </c>
      <c r="S420" s="352" t="s">
        <v>336</v>
      </c>
      <c r="U420" s="716" t="s">
        <v>397</v>
      </c>
      <c r="V420" s="807" t="str">
        <f>IF(AB109="","??",AB109)</f>
        <v>??</v>
      </c>
      <c r="W420" s="71"/>
      <c r="X420" s="664" t="s">
        <v>432</v>
      </c>
      <c r="Y420" s="457"/>
      <c r="Z420" s="457"/>
      <c r="AA420" s="457"/>
      <c r="AB420" s="985"/>
      <c r="AC420" s="551" t="str">
        <f t="shared" si="58"/>
        <v/>
      </c>
      <c r="AD420" s="1062">
        <f>O367</f>
        <v>0</v>
      </c>
      <c r="AE420" s="576" t="s">
        <v>956</v>
      </c>
      <c r="AF420" s="457"/>
    </row>
    <row r="421" spans="1:34" ht="11.25" customHeight="1" thickBot="1">
      <c r="A421" s="611">
        <v>25</v>
      </c>
      <c r="B421" s="34"/>
      <c r="C421" s="289"/>
      <c r="D421" s="83"/>
      <c r="E421" s="83"/>
      <c r="F421" s="289"/>
      <c r="G421" s="289"/>
      <c r="H421" s="289"/>
      <c r="I421" s="289"/>
      <c r="J421" s="289"/>
      <c r="K421" s="86"/>
      <c r="L421" s="676" t="s">
        <v>432</v>
      </c>
      <c r="M421" s="812" t="str">
        <f>IF(N421&lt;&gt;"",N421,IF(OR(AB107=0,AB107=""),"",ROUND(AB107,2)))</f>
        <v/>
      </c>
      <c r="N421" s="769"/>
      <c r="O421" s="857" t="s">
        <v>350</v>
      </c>
      <c r="U421" s="354"/>
      <c r="V421" s="845"/>
      <c r="W421" s="71"/>
      <c r="X421" s="664" t="s">
        <v>432</v>
      </c>
      <c r="Y421" s="457"/>
      <c r="Z421" s="457"/>
      <c r="AA421" s="457"/>
      <c r="AB421" s="54"/>
      <c r="AC421" s="551" t="str">
        <f t="shared" si="58"/>
        <v/>
      </c>
      <c r="AD421" s="575"/>
      <c r="AE421" s="576"/>
      <c r="AF421" s="457"/>
    </row>
    <row r="422" spans="1:34" ht="11.25" customHeight="1" thickTop="1">
      <c r="A422" s="611">
        <v>26</v>
      </c>
      <c r="L422" s="676" t="s">
        <v>432</v>
      </c>
      <c r="M422" s="67"/>
      <c r="N422" s="855"/>
      <c r="O422" s="856"/>
      <c r="T422" s="159"/>
      <c r="U422" s="462" t="s">
        <v>634</v>
      </c>
      <c r="V422" s="845"/>
      <c r="W422" s="71"/>
      <c r="X422" s="664" t="s">
        <v>432</v>
      </c>
      <c r="Y422" s="457"/>
      <c r="Z422" s="457"/>
      <c r="AA422" s="457"/>
      <c r="AB422" s="985"/>
      <c r="AC422" s="551" t="str">
        <f t="shared" si="58"/>
        <v/>
      </c>
      <c r="AD422" s="1062">
        <f>O369</f>
        <v>0</v>
      </c>
      <c r="AE422" s="576" t="s">
        <v>957</v>
      </c>
      <c r="AF422" s="457"/>
    </row>
    <row r="423" spans="1:34" ht="11.25" customHeight="1" thickBot="1">
      <c r="A423" s="611">
        <v>27</v>
      </c>
      <c r="L423" s="676" t="s">
        <v>432</v>
      </c>
      <c r="M423" s="127"/>
      <c r="T423" s="675" t="s">
        <v>635</v>
      </c>
      <c r="U423" s="863" t="str">
        <f>IF($U$425&lt;&gt;"",$U$425,IF(AND($M$420&lt;&gt;"",$M$421&lt;&gt;""),IF(TBCM_IN="cm",$M$420+$M$421,ROUND(($M$420+$M$421)/2.54,2)),""))</f>
        <v/>
      </c>
      <c r="V423" s="866" t="s">
        <v>636</v>
      </c>
      <c r="W423" s="71"/>
      <c r="X423" s="664" t="s">
        <v>432</v>
      </c>
      <c r="Y423" s="457"/>
      <c r="Z423" s="457"/>
      <c r="AB423" s="54"/>
      <c r="AC423" s="551" t="str">
        <f t="shared" si="58"/>
        <v/>
      </c>
      <c r="AD423" s="575"/>
      <c r="AE423" s="576"/>
      <c r="AF423" s="457"/>
    </row>
    <row r="424" spans="1:34" ht="11.25" customHeight="1" thickBot="1">
      <c r="A424" s="611">
        <v>28</v>
      </c>
      <c r="L424" s="676" t="s">
        <v>432</v>
      </c>
      <c r="M424" s="127"/>
      <c r="T424" s="864" t="s">
        <v>637</v>
      </c>
      <c r="U424" s="865" t="str">
        <f>IF(OR(AB110=0,AB110=""),"",AB110)</f>
        <v/>
      </c>
      <c r="W424" s="71"/>
      <c r="X424" s="664" t="s">
        <v>432</v>
      </c>
      <c r="Y424" s="457"/>
      <c r="Z424" s="457"/>
      <c r="AB424" s="985"/>
      <c r="AC424" s="551" t="str">
        <f t="shared" si="58"/>
        <v/>
      </c>
      <c r="AD424" s="1062">
        <f>O371</f>
        <v>0</v>
      </c>
      <c r="AE424" s="576" t="s">
        <v>958</v>
      </c>
      <c r="AF424" s="457"/>
    </row>
    <row r="425" spans="1:34" ht="11.25" customHeight="1">
      <c r="A425" s="611">
        <v>29</v>
      </c>
      <c r="B425" s="1"/>
      <c r="C425" s="1"/>
      <c r="D425" s="1"/>
      <c r="E425" s="1"/>
      <c r="F425" s="1"/>
      <c r="G425" s="1"/>
      <c r="H425" s="1"/>
      <c r="I425" s="1"/>
      <c r="J425" s="1"/>
      <c r="L425" s="676" t="s">
        <v>432</v>
      </c>
      <c r="M425" s="127"/>
      <c r="T425" s="132" t="s">
        <v>640</v>
      </c>
      <c r="U425" s="858"/>
      <c r="W425" s="71"/>
      <c r="X425" s="664" t="s">
        <v>432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432</v>
      </c>
      <c r="M426" s="98"/>
      <c r="N426" s="83"/>
      <c r="O426" s="83"/>
      <c r="P426" s="83"/>
      <c r="Q426" s="83"/>
      <c r="R426" s="83"/>
      <c r="S426" s="83"/>
      <c r="T426" s="83"/>
      <c r="U426" s="83"/>
      <c r="V426" s="83"/>
      <c r="W426" s="86"/>
      <c r="X426" s="664" t="s">
        <v>432</v>
      </c>
      <c r="Y426" s="457"/>
      <c r="Z426" s="457"/>
      <c r="AB426" s="985"/>
      <c r="AC426" s="551" t="str">
        <f t="shared" si="58"/>
        <v/>
      </c>
      <c r="AD426" s="1062">
        <f>O373</f>
        <v>0</v>
      </c>
      <c r="AE426" s="576" t="s">
        <v>959</v>
      </c>
      <c r="AF426" s="457"/>
    </row>
    <row r="427" spans="1:34" ht="11.25" customHeight="1" thickTop="1">
      <c r="A427" s="611">
        <v>31</v>
      </c>
      <c r="B427" s="1"/>
      <c r="C427" s="1"/>
      <c r="D427" s="1"/>
      <c r="E427" s="1"/>
      <c r="F427" s="1"/>
      <c r="G427" s="1"/>
      <c r="H427" s="1"/>
      <c r="I427" s="1"/>
      <c r="J427" s="1"/>
      <c r="L427" s="676" t="s">
        <v>432</v>
      </c>
      <c r="M427" s="127"/>
      <c r="W427" s="71"/>
      <c r="X427" s="664" t="s">
        <v>432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432</v>
      </c>
      <c r="M428" s="127"/>
      <c r="W428" s="71"/>
      <c r="X428" s="664" t="s">
        <v>432</v>
      </c>
      <c r="Y428" s="457"/>
      <c r="Z428" s="457"/>
      <c r="AA428" s="132" t="s">
        <v>667</v>
      </c>
      <c r="AB428" s="54"/>
      <c r="AC428" s="551" t="str">
        <f t="shared" si="58"/>
        <v/>
      </c>
      <c r="AD428" s="574"/>
      <c r="AE428" s="576"/>
      <c r="AF428" s="457"/>
    </row>
    <row r="429" spans="1:34" ht="11.25" customHeight="1">
      <c r="A429" s="611">
        <v>33</v>
      </c>
      <c r="B429" s="1"/>
      <c r="C429" s="1"/>
      <c r="D429" s="1"/>
      <c r="E429" s="1"/>
      <c r="F429" s="1"/>
      <c r="G429" s="1"/>
      <c r="H429" s="1"/>
      <c r="I429" s="1"/>
      <c r="J429" s="1"/>
      <c r="L429" s="676" t="s">
        <v>432</v>
      </c>
      <c r="M429" s="127"/>
      <c r="W429" s="71"/>
      <c r="X429" s="664" t="s">
        <v>432</v>
      </c>
      <c r="Y429" s="457"/>
      <c r="Z429" s="457"/>
      <c r="AA429" s="462" t="s">
        <v>455</v>
      </c>
      <c r="AB429" s="985"/>
      <c r="AC429" s="551" t="str">
        <f t="shared" si="58"/>
        <v/>
      </c>
      <c r="AD429" s="1062" t="str">
        <f>IF(O476="","",O476)</f>
        <v/>
      </c>
      <c r="AE429" s="662" t="s">
        <v>960</v>
      </c>
      <c r="AF429" s="457"/>
    </row>
    <row r="430" spans="1:34" ht="11.25" customHeight="1">
      <c r="A430" s="611">
        <v>34</v>
      </c>
      <c r="B430" s="1"/>
      <c r="C430" s="1"/>
      <c r="D430" s="1"/>
      <c r="E430" s="1"/>
      <c r="F430" s="1"/>
      <c r="G430" s="1"/>
      <c r="H430" s="1"/>
      <c r="I430" s="1"/>
      <c r="J430" s="1"/>
      <c r="L430" s="676" t="s">
        <v>432</v>
      </c>
      <c r="M430" s="878" t="s">
        <v>346</v>
      </c>
      <c r="W430" s="71"/>
      <c r="X430" s="664" t="s">
        <v>432</v>
      </c>
      <c r="Y430" s="457"/>
      <c r="Z430" s="457"/>
      <c r="AA430" s="462" t="s">
        <v>584</v>
      </c>
      <c r="AB430" s="985"/>
      <c r="AC430" s="551" t="str">
        <f t="shared" si="58"/>
        <v/>
      </c>
      <c r="AD430" s="1062" t="str">
        <f>IF(O488="","",O488)</f>
        <v/>
      </c>
      <c r="AE430" s="662" t="s">
        <v>961</v>
      </c>
      <c r="AF430" s="457"/>
    </row>
    <row r="431" spans="1:34" ht="11.25" customHeight="1" thickBot="1">
      <c r="A431" s="611">
        <v>35</v>
      </c>
      <c r="B431" s="1"/>
      <c r="C431" s="1"/>
      <c r="D431" s="1"/>
      <c r="E431" s="1"/>
      <c r="F431" s="1"/>
      <c r="G431" s="1"/>
      <c r="H431" s="1"/>
      <c r="I431" s="1"/>
      <c r="J431" s="1"/>
      <c r="L431" s="676" t="s">
        <v>432</v>
      </c>
      <c r="M431" s="127"/>
      <c r="W431" s="71"/>
      <c r="X431" s="664" t="s">
        <v>432</v>
      </c>
      <c r="Y431" s="457"/>
      <c r="Z431" s="457"/>
      <c r="AA431" s="462" t="s">
        <v>668</v>
      </c>
      <c r="AB431" s="985"/>
      <c r="AC431" s="551" t="str">
        <f t="shared" si="58"/>
        <v/>
      </c>
      <c r="AD431" s="1062" t="str">
        <f>IF(O498="","",O498)</f>
        <v/>
      </c>
      <c r="AE431" s="662" t="s">
        <v>962</v>
      </c>
      <c r="AF431" s="457"/>
    </row>
    <row r="432" spans="1:34" ht="11.25" customHeight="1" thickTop="1">
      <c r="A432" s="611">
        <v>36</v>
      </c>
      <c r="B432" s="1"/>
      <c r="C432" s="1"/>
      <c r="D432" s="1"/>
      <c r="E432" s="1"/>
      <c r="F432" s="1"/>
      <c r="G432" s="1"/>
      <c r="H432" s="1"/>
      <c r="I432" s="1"/>
      <c r="J432" s="1"/>
      <c r="L432" s="676" t="s">
        <v>432</v>
      </c>
      <c r="M432" s="79"/>
      <c r="N432" s="62"/>
      <c r="O432" s="62"/>
      <c r="P432" s="62"/>
      <c r="Q432" s="62"/>
      <c r="R432" s="62"/>
      <c r="S432" s="62"/>
      <c r="T432" s="62"/>
      <c r="U432" s="62"/>
      <c r="V432" s="62"/>
      <c r="W432" s="80"/>
      <c r="X432" s="664" t="s">
        <v>432</v>
      </c>
      <c r="Y432" s="457"/>
      <c r="Z432" s="457"/>
      <c r="AA432" s="462" t="s">
        <v>669</v>
      </c>
      <c r="AB432" s="985"/>
      <c r="AC432" s="551" t="str">
        <f t="shared" si="58"/>
        <v/>
      </c>
      <c r="AD432" s="1062" t="str">
        <f>IF(O510="","",O510)</f>
        <v/>
      </c>
      <c r="AE432" s="662" t="s">
        <v>963</v>
      </c>
      <c r="AF432" s="457"/>
    </row>
    <row r="433" spans="1:32" ht="11.25" customHeight="1">
      <c r="A433" s="611">
        <v>37</v>
      </c>
      <c r="B433" s="1"/>
      <c r="C433" s="1"/>
      <c r="D433" s="1"/>
      <c r="E433" s="1"/>
      <c r="F433" s="1"/>
      <c r="G433" s="1"/>
      <c r="H433" s="1"/>
      <c r="I433" s="1"/>
      <c r="J433" s="1"/>
      <c r="L433" s="676" t="s">
        <v>432</v>
      </c>
      <c r="M433" s="202" t="s">
        <v>608</v>
      </c>
      <c r="N433" s="49"/>
      <c r="O433" s="49"/>
      <c r="P433" s="49"/>
      <c r="R433" s="190"/>
      <c r="S433" s="49"/>
      <c r="U433" s="49"/>
      <c r="V433" s="49"/>
      <c r="W433" s="71"/>
      <c r="X433" s="664" t="s">
        <v>432</v>
      </c>
      <c r="Y433" s="457"/>
      <c r="Z433" s="457"/>
      <c r="AA433" s="462" t="s">
        <v>670</v>
      </c>
      <c r="AB433" s="985"/>
      <c r="AC433" s="551" t="str">
        <f t="shared" si="58"/>
        <v/>
      </c>
      <c r="AD433" s="1062" t="str">
        <f>IF(O565="","",O565)</f>
        <v/>
      </c>
      <c r="AE433" s="662" t="s">
        <v>964</v>
      </c>
      <c r="AF433" s="457"/>
    </row>
    <row r="434" spans="1:32" ht="11.25" customHeight="1">
      <c r="A434" s="611">
        <v>38</v>
      </c>
      <c r="B434" s="1"/>
      <c r="C434" s="1"/>
      <c r="D434" s="1"/>
      <c r="E434" s="1"/>
      <c r="F434" s="1"/>
      <c r="G434" s="1"/>
      <c r="H434" s="1"/>
      <c r="I434" s="1"/>
      <c r="J434" s="1"/>
      <c r="L434" s="676" t="s">
        <v>432</v>
      </c>
      <c r="M434" s="816" t="str">
        <f>IF(N434&lt;&gt;"",N434,IF(OR(AB127=0,AB127=""),"",AB127))</f>
        <v/>
      </c>
      <c r="N434" s="701"/>
      <c r="O434" s="100" t="s">
        <v>662</v>
      </c>
      <c r="P434" s="49"/>
      <c r="Q434" s="49"/>
      <c r="R434" s="49"/>
      <c r="S434" s="49"/>
      <c r="U434" s="49"/>
      <c r="V434" s="49"/>
      <c r="W434" s="71"/>
      <c r="X434" s="664" t="s">
        <v>432</v>
      </c>
      <c r="Y434" s="457"/>
      <c r="Z434" s="457"/>
      <c r="AA434" s="462" t="s">
        <v>671</v>
      </c>
      <c r="AB434" s="985"/>
      <c r="AC434" s="551" t="str">
        <f t="shared" si="58"/>
        <v/>
      </c>
      <c r="AD434" s="1062" t="str">
        <f>IF(O582="","",O582)</f>
        <v/>
      </c>
      <c r="AE434" s="662" t="s">
        <v>965</v>
      </c>
      <c r="AF434" s="457"/>
    </row>
    <row r="435" spans="1:32" ht="11.25" customHeight="1">
      <c r="A435" s="611">
        <v>39</v>
      </c>
      <c r="B435" s="1"/>
      <c r="C435" s="1"/>
      <c r="D435" s="1"/>
      <c r="E435" s="1"/>
      <c r="F435" s="1"/>
      <c r="G435" s="1"/>
      <c r="H435" s="1"/>
      <c r="I435" s="1"/>
      <c r="J435" s="1"/>
      <c r="L435" s="676" t="s">
        <v>432</v>
      </c>
      <c r="M435" s="127"/>
      <c r="W435" s="71"/>
      <c r="X435" s="664" t="s">
        <v>432</v>
      </c>
      <c r="Y435" s="457"/>
      <c r="Z435" s="457"/>
      <c r="AA435" s="462" t="s">
        <v>672</v>
      </c>
      <c r="AB435" s="985"/>
      <c r="AC435" s="551" t="str">
        <f t="shared" si="58"/>
        <v/>
      </c>
      <c r="AD435" s="1062" t="str">
        <f>IF(O591="","",O591)</f>
        <v/>
      </c>
      <c r="AE435" s="662" t="s">
        <v>966</v>
      </c>
      <c r="AF435" s="457"/>
    </row>
    <row r="436" spans="1:32" ht="11.25" customHeight="1" thickBot="1">
      <c r="A436" s="611">
        <v>40</v>
      </c>
      <c r="B436" s="1"/>
      <c r="C436" s="1"/>
      <c r="D436" s="1"/>
      <c r="E436" s="1"/>
      <c r="F436" s="1"/>
      <c r="G436" s="1"/>
      <c r="H436" s="1"/>
      <c r="I436" s="1"/>
      <c r="J436" s="1"/>
      <c r="L436" s="676" t="s">
        <v>432</v>
      </c>
      <c r="M436" s="127"/>
      <c r="W436" s="71"/>
      <c r="X436" s="664" t="s">
        <v>432</v>
      </c>
      <c r="Y436" s="457"/>
      <c r="Z436" s="457"/>
      <c r="AA436" s="462" t="s">
        <v>673</v>
      </c>
      <c r="AB436" s="985"/>
      <c r="AC436" s="551" t="str">
        <f t="shared" si="58"/>
        <v/>
      </c>
      <c r="AD436" s="1062" t="str">
        <f>IF(O628="","",O628)</f>
        <v/>
      </c>
      <c r="AE436" s="662" t="s">
        <v>967</v>
      </c>
      <c r="AF436" s="457"/>
    </row>
    <row r="437" spans="1:32" ht="11.25" customHeight="1" thickBot="1">
      <c r="A437" s="611">
        <v>41</v>
      </c>
      <c r="B437" s="1"/>
      <c r="C437" s="1"/>
      <c r="D437" s="1"/>
      <c r="E437" s="1"/>
      <c r="F437" s="1"/>
      <c r="G437" s="1"/>
      <c r="H437" s="1"/>
      <c r="I437" s="1"/>
      <c r="J437" s="1"/>
      <c r="L437" s="676" t="s">
        <v>432</v>
      </c>
      <c r="M437" s="127"/>
      <c r="N437" s="525" t="s">
        <v>615</v>
      </c>
      <c r="O437" s="524"/>
      <c r="P437" s="521" t="s">
        <v>478</v>
      </c>
      <c r="Q437" s="523" t="s">
        <v>479</v>
      </c>
      <c r="R437" s="694"/>
      <c r="S437" s="521" t="s">
        <v>478</v>
      </c>
      <c r="T437" s="523" t="s">
        <v>479</v>
      </c>
      <c r="W437" s="71"/>
      <c r="X437" s="664" t="s">
        <v>432</v>
      </c>
      <c r="Y437" s="457"/>
      <c r="Z437" s="457"/>
      <c r="AA437" s="462" t="s">
        <v>674</v>
      </c>
      <c r="AB437" s="985"/>
      <c r="AC437" s="551" t="str">
        <f t="shared" si="58"/>
        <v/>
      </c>
      <c r="AD437" s="1062" t="str">
        <f>IF(O646="","",O646)</f>
        <v/>
      </c>
      <c r="AE437" s="662" t="s">
        <v>968</v>
      </c>
      <c r="AF437" s="457"/>
    </row>
    <row r="438" spans="1:32" ht="11.25" customHeight="1">
      <c r="A438" s="611">
        <v>42</v>
      </c>
      <c r="B438" s="1"/>
      <c r="C438" s="1"/>
      <c r="D438" s="1"/>
      <c r="E438" s="1"/>
      <c r="F438" s="1"/>
      <c r="G438" s="1"/>
      <c r="H438" s="1"/>
      <c r="I438" s="1"/>
      <c r="J438" s="1"/>
      <c r="L438" s="676" t="s">
        <v>432</v>
      </c>
      <c r="M438" s="127"/>
      <c r="N438" s="522"/>
      <c r="O438" s="859" t="s">
        <v>618</v>
      </c>
      <c r="P438" s="819" t="str">
        <f>IF(S438&lt;&gt;"",S438,IF(OR(AB130=0,AB130=""),"",AB130))</f>
        <v/>
      </c>
      <c r="Q438" s="819" t="str">
        <f>IF(T438&lt;&gt;"",T438,IF(OR(AB131=0,AB131=""),"",AB131))</f>
        <v/>
      </c>
      <c r="R438" s="526" t="s">
        <v>663</v>
      </c>
      <c r="S438" s="768"/>
      <c r="T438" s="768"/>
      <c r="U438" s="685" t="s">
        <v>640</v>
      </c>
      <c r="W438" s="71"/>
      <c r="X438" s="664" t="s">
        <v>432</v>
      </c>
      <c r="Y438" s="457"/>
      <c r="Z438" s="457"/>
      <c r="AA438" s="462" t="s">
        <v>675</v>
      </c>
      <c r="AB438" s="985"/>
      <c r="AC438" s="551" t="str">
        <f t="shared" si="58"/>
        <v/>
      </c>
      <c r="AD438" s="1062" t="str">
        <f>IF(O656="","",O656)</f>
        <v/>
      </c>
      <c r="AE438" s="662" t="s">
        <v>969</v>
      </c>
      <c r="AF438" s="457"/>
    </row>
    <row r="439" spans="1:32" ht="11.25" customHeight="1" thickBot="1">
      <c r="A439" s="611">
        <v>43</v>
      </c>
      <c r="B439" s="1"/>
      <c r="C439" s="1"/>
      <c r="D439" s="1"/>
      <c r="E439" s="1"/>
      <c r="F439" s="1"/>
      <c r="G439" s="1"/>
      <c r="H439" s="1"/>
      <c r="I439" s="1"/>
      <c r="J439" s="1"/>
      <c r="L439" s="676" t="s">
        <v>432</v>
      </c>
      <c r="M439" s="127"/>
      <c r="N439" s="520"/>
      <c r="O439" s="860" t="s">
        <v>620</v>
      </c>
      <c r="P439" s="820" t="str">
        <f>IF(S439&lt;&gt;"",S439,IF(OR(AB133=0,AB133=""),"",AB133))</f>
        <v/>
      </c>
      <c r="Q439" s="820" t="str">
        <f>IF(T439&lt;&gt;"",T439,IF(OR(AB134=0,AB134=""),"",AB134))</f>
        <v/>
      </c>
      <c r="R439" s="527" t="s">
        <v>664</v>
      </c>
      <c r="S439" s="768"/>
      <c r="T439" s="768"/>
      <c r="U439" s="685" t="s">
        <v>640</v>
      </c>
      <c r="W439" s="71"/>
      <c r="X439" s="664" t="s">
        <v>432</v>
      </c>
      <c r="Y439" s="457"/>
      <c r="Z439" s="457"/>
      <c r="AA439" s="462" t="s">
        <v>676</v>
      </c>
      <c r="AB439" s="985"/>
      <c r="AC439" s="551" t="str">
        <f t="shared" si="58"/>
        <v/>
      </c>
      <c r="AD439" s="1062" t="str">
        <f>IF(O683="","",O683)</f>
        <v/>
      </c>
      <c r="AE439" s="662" t="s">
        <v>970</v>
      </c>
      <c r="AF439" s="457"/>
    </row>
    <row r="440" spans="1:32" ht="11.25" customHeight="1" thickBot="1">
      <c r="A440" s="611">
        <v>44</v>
      </c>
      <c r="B440" s="1"/>
      <c r="C440" s="1"/>
      <c r="D440" s="1"/>
      <c r="E440" s="1"/>
      <c r="F440" s="1"/>
      <c r="G440" s="1"/>
      <c r="H440" s="1"/>
      <c r="I440" s="1"/>
      <c r="J440" s="1"/>
      <c r="L440" s="676" t="s">
        <v>432</v>
      </c>
      <c r="M440" s="127"/>
      <c r="N440" s="520"/>
      <c r="O440" s="860" t="s">
        <v>622</v>
      </c>
      <c r="P440" s="552" t="str">
        <f>IF(OR(P438="",P438=0,P439="",P439=0),"NA",P438/P439)</f>
        <v>NA</v>
      </c>
      <c r="Q440" s="552" t="str">
        <f>IF(OR(Q438="",Q438=0,Q439="",Q439=0),"NA",Q438/Q439)</f>
        <v>NA</v>
      </c>
      <c r="R440" s="528">
        <f>IF(AND(P440="NA",Q440="NA"),1,AVERAGE(P440:Q440))</f>
        <v>1</v>
      </c>
      <c r="W440" s="71"/>
      <c r="X440" s="664" t="s">
        <v>432</v>
      </c>
      <c r="Y440" s="457"/>
      <c r="Z440" s="457"/>
      <c r="AA440" s="462" t="s">
        <v>677</v>
      </c>
      <c r="AB440" s="985"/>
      <c r="AC440" s="551" t="str">
        <f t="shared" si="58"/>
        <v/>
      </c>
      <c r="AD440" s="1062" t="str">
        <f>IF(O703="","",O703)</f>
        <v/>
      </c>
      <c r="AE440" s="662" t="s">
        <v>971</v>
      </c>
      <c r="AF440" s="457"/>
    </row>
    <row r="441" spans="1:32" ht="11.25" customHeight="1">
      <c r="A441" s="611">
        <v>45</v>
      </c>
      <c r="L441" s="676" t="s">
        <v>432</v>
      </c>
      <c r="M441" s="127"/>
      <c r="W441" s="71"/>
      <c r="X441" s="664" t="s">
        <v>432</v>
      </c>
      <c r="Y441" s="457"/>
      <c r="Z441" s="457"/>
      <c r="AA441" s="462" t="s">
        <v>678</v>
      </c>
      <c r="AB441" s="985"/>
      <c r="AC441" s="551" t="str">
        <f t="shared" si="58"/>
        <v/>
      </c>
      <c r="AD441" s="1062" t="str">
        <f>IF(O719="","",O719)</f>
        <v/>
      </c>
      <c r="AE441" s="662" t="s">
        <v>972</v>
      </c>
      <c r="AF441" s="457"/>
    </row>
    <row r="442" spans="1:32" ht="11.25" customHeight="1">
      <c r="A442" s="611">
        <v>46</v>
      </c>
      <c r="L442" s="676" t="s">
        <v>432</v>
      </c>
      <c r="M442" s="127"/>
      <c r="W442" s="71"/>
      <c r="X442" s="664" t="s">
        <v>432</v>
      </c>
      <c r="Y442" s="457"/>
      <c r="Z442" s="457"/>
      <c r="AA442" s="462" t="s">
        <v>342</v>
      </c>
      <c r="AB442" s="985"/>
      <c r="AC442" s="551" t="str">
        <f t="shared" si="58"/>
        <v/>
      </c>
      <c r="AD442" s="1062" t="str">
        <f>IF(O751="","",O751)</f>
        <v/>
      </c>
      <c r="AE442" s="662" t="s">
        <v>973</v>
      </c>
      <c r="AF442" s="457"/>
    </row>
    <row r="443" spans="1:32" ht="11.25" customHeight="1">
      <c r="A443" s="611">
        <v>47</v>
      </c>
      <c r="B443" s="1"/>
      <c r="C443" s="1"/>
      <c r="D443" s="1"/>
      <c r="E443" s="1"/>
      <c r="F443" s="1"/>
      <c r="G443" s="1"/>
      <c r="H443" s="1"/>
      <c r="I443" s="1"/>
      <c r="J443" s="1"/>
      <c r="L443" s="676" t="s">
        <v>432</v>
      </c>
      <c r="M443" s="127"/>
      <c r="W443" s="71"/>
      <c r="X443" s="664" t="s">
        <v>432</v>
      </c>
      <c r="Y443" s="457"/>
      <c r="Z443" s="457"/>
      <c r="AA443" s="462" t="s">
        <v>343</v>
      </c>
      <c r="AB443" s="985"/>
      <c r="AC443" s="551" t="str">
        <f t="shared" si="58"/>
        <v/>
      </c>
      <c r="AD443" s="1062" t="str">
        <f>IF(O753="","",O753)</f>
        <v/>
      </c>
      <c r="AE443" s="662" t="s">
        <v>974</v>
      </c>
      <c r="AF443" s="457"/>
    </row>
    <row r="444" spans="1:32" ht="11.25" customHeight="1">
      <c r="A444" s="611">
        <v>48</v>
      </c>
      <c r="B444" s="1"/>
      <c r="C444" s="1"/>
      <c r="D444" s="1"/>
      <c r="E444" s="1"/>
      <c r="F444" s="1"/>
      <c r="G444" s="1"/>
      <c r="H444" s="1"/>
      <c r="I444" s="1"/>
      <c r="J444" s="1"/>
      <c r="L444" s="676" t="s">
        <v>432</v>
      </c>
      <c r="M444" s="127"/>
      <c r="R444" s="844" t="s">
        <v>338</v>
      </c>
      <c r="S444" s="352" t="s">
        <v>337</v>
      </c>
      <c r="W444" s="71"/>
      <c r="X444" s="664" t="s">
        <v>432</v>
      </c>
      <c r="Y444" s="457"/>
      <c r="Z444" s="457"/>
      <c r="AA444" s="462" t="s">
        <v>344</v>
      </c>
      <c r="AB444" s="985"/>
      <c r="AC444" s="551" t="str">
        <f t="shared" si="58"/>
        <v/>
      </c>
      <c r="AD444" s="1062" t="str">
        <f>IF(O770="","",O770)</f>
        <v/>
      </c>
      <c r="AE444" s="662" t="s">
        <v>1044</v>
      </c>
      <c r="AF444" s="457"/>
    </row>
    <row r="445" spans="1:32" ht="11.25" customHeight="1">
      <c r="A445" s="611">
        <v>49</v>
      </c>
      <c r="B445" s="1"/>
      <c r="C445" s="1"/>
      <c r="D445" s="1"/>
      <c r="E445" s="1"/>
      <c r="F445" s="1"/>
      <c r="G445" s="1"/>
      <c r="H445" s="1"/>
      <c r="I445" s="1"/>
      <c r="J445" s="1"/>
      <c r="L445" s="676" t="s">
        <v>432</v>
      </c>
      <c r="M445" s="127"/>
      <c r="S445" s="352" t="s">
        <v>336</v>
      </c>
      <c r="U445" s="716" t="s">
        <v>637</v>
      </c>
      <c r="V445" s="807" t="str">
        <f>IF(AB141="","??",AB141)</f>
        <v>??</v>
      </c>
      <c r="W445" s="71"/>
      <c r="X445" s="664" t="s">
        <v>432</v>
      </c>
      <c r="Y445" s="457"/>
      <c r="Z445" s="457"/>
      <c r="AA445" s="462" t="s">
        <v>345</v>
      </c>
      <c r="AB445" s="985"/>
      <c r="AC445" s="551" t="str">
        <f t="shared" si="58"/>
        <v/>
      </c>
      <c r="AD445" s="1062" t="str">
        <f>IF(O772="","",O772)</f>
        <v/>
      </c>
      <c r="AE445" s="662" t="s">
        <v>975</v>
      </c>
      <c r="AF445" s="457"/>
    </row>
    <row r="446" spans="1:32" ht="11.25" customHeight="1">
      <c r="A446" s="611">
        <v>50</v>
      </c>
      <c r="B446" s="1"/>
      <c r="C446" s="1"/>
      <c r="D446" s="1"/>
      <c r="E446" s="1"/>
      <c r="F446" s="1"/>
      <c r="G446" s="1"/>
      <c r="H446" s="1"/>
      <c r="I446" s="1"/>
      <c r="J446" s="1"/>
      <c r="L446" s="676" t="s">
        <v>432</v>
      </c>
      <c r="M446" s="127"/>
      <c r="W446" s="71"/>
      <c r="X446" s="664" t="s">
        <v>432</v>
      </c>
      <c r="Y446" s="457"/>
      <c r="Z446" s="457"/>
      <c r="AA446" s="462" t="s">
        <v>680</v>
      </c>
      <c r="AB446" s="985"/>
      <c r="AC446" s="551" t="str">
        <f t="shared" si="58"/>
        <v/>
      </c>
      <c r="AD446" s="1062" t="str">
        <f>IF(O824="","",O824)</f>
        <v/>
      </c>
      <c r="AE446" s="662" t="s">
        <v>976</v>
      </c>
      <c r="AF446" s="457"/>
    </row>
    <row r="447" spans="1:32" ht="11.25" customHeight="1">
      <c r="A447" s="611">
        <v>51</v>
      </c>
      <c r="B447" s="1"/>
      <c r="C447" s="1"/>
      <c r="D447" s="1"/>
      <c r="E447" s="1"/>
      <c r="F447" s="1"/>
      <c r="G447" s="1"/>
      <c r="H447" s="1"/>
      <c r="I447" s="1"/>
      <c r="J447" s="1"/>
      <c r="L447" s="676" t="s">
        <v>432</v>
      </c>
      <c r="M447" s="127"/>
      <c r="U447" s="462" t="s">
        <v>634</v>
      </c>
      <c r="W447" s="71"/>
      <c r="X447" s="664" t="s">
        <v>432</v>
      </c>
      <c r="Y447" s="457"/>
      <c r="Z447" s="457"/>
      <c r="AA447" s="462" t="s">
        <v>681</v>
      </c>
      <c r="AB447" s="985"/>
      <c r="AC447" s="551" t="str">
        <f t="shared" si="58"/>
        <v/>
      </c>
      <c r="AD447" s="1062" t="str">
        <f>IF(O877="","",O877)</f>
        <v/>
      </c>
      <c r="AE447" s="662" t="s">
        <v>977</v>
      </c>
      <c r="AF447" s="457"/>
    </row>
    <row r="448" spans="1:32" ht="11.25" customHeight="1" thickBot="1">
      <c r="A448" s="611">
        <v>52</v>
      </c>
      <c r="B448" s="1"/>
      <c r="C448" s="1"/>
      <c r="D448" s="1"/>
      <c r="E448" s="1"/>
      <c r="F448" s="1"/>
      <c r="G448" s="1"/>
      <c r="H448" s="1"/>
      <c r="I448" s="1"/>
      <c r="J448" s="1"/>
      <c r="L448" s="676" t="s">
        <v>432</v>
      </c>
      <c r="M448" s="127"/>
      <c r="V448" s="866" t="s">
        <v>636</v>
      </c>
      <c r="W448" s="71"/>
      <c r="X448" s="664" t="s">
        <v>432</v>
      </c>
      <c r="AA448" s="462" t="s">
        <v>682</v>
      </c>
      <c r="AB448" s="985"/>
      <c r="AC448" s="551" t="str">
        <f t="shared" si="58"/>
        <v/>
      </c>
      <c r="AD448" s="1062" t="str">
        <f>IF(O892="","",O892)</f>
        <v/>
      </c>
      <c r="AE448" s="662" t="s">
        <v>978</v>
      </c>
    </row>
    <row r="449" spans="1:31" ht="11.25" customHeight="1" thickBot="1">
      <c r="A449" s="611">
        <v>53</v>
      </c>
      <c r="B449" s="1"/>
      <c r="C449" s="1"/>
      <c r="D449" s="1"/>
      <c r="E449" s="1"/>
      <c r="F449" s="1"/>
      <c r="G449" s="1"/>
      <c r="H449" s="1"/>
      <c r="I449" s="1"/>
      <c r="J449" s="1"/>
      <c r="L449" s="676" t="s">
        <v>432</v>
      </c>
      <c r="M449" s="98"/>
      <c r="N449" s="83"/>
      <c r="O449" s="83"/>
      <c r="P449" s="83"/>
      <c r="Q449" s="83"/>
      <c r="R449" s="83"/>
      <c r="S449" s="83"/>
      <c r="T449" s="83"/>
      <c r="U449" s="83"/>
      <c r="V449" s="83"/>
      <c r="W449" s="86"/>
      <c r="X449" s="664" t="s">
        <v>432</v>
      </c>
      <c r="Y449" s="457"/>
      <c r="Z449" s="457"/>
      <c r="AA449" s="462" t="s">
        <v>683</v>
      </c>
      <c r="AB449" s="985"/>
      <c r="AC449" s="551" t="str">
        <f t="shared" si="58"/>
        <v/>
      </c>
      <c r="AD449" s="1062" t="str">
        <f>IF(O946="","",O946)</f>
        <v/>
      </c>
      <c r="AE449" s="662" t="s">
        <v>979</v>
      </c>
    </row>
    <row r="450" spans="1:31" ht="11.25" customHeight="1" thickTop="1">
      <c r="A450" s="611">
        <v>54</v>
      </c>
      <c r="B450" s="1"/>
      <c r="C450" s="1"/>
      <c r="D450" s="1"/>
      <c r="E450" s="1"/>
      <c r="F450" s="1"/>
      <c r="G450" s="1"/>
      <c r="H450" s="1"/>
      <c r="I450" s="1"/>
      <c r="J450" s="1"/>
      <c r="L450" s="676" t="s">
        <v>432</v>
      </c>
      <c r="M450" s="127"/>
      <c r="W450" s="71"/>
      <c r="X450" s="664" t="s">
        <v>432</v>
      </c>
      <c r="Y450" s="457"/>
      <c r="Z450" s="457"/>
      <c r="AA450" s="462" t="s">
        <v>684</v>
      </c>
      <c r="AB450" s="985"/>
      <c r="AC450" s="551" t="str">
        <f t="shared" si="58"/>
        <v>Change</v>
      </c>
      <c r="AD450" s="1062" t="str">
        <f>IF(O1105="","",O1105)</f>
        <v>Criteria: lgM - Max difference 0.2 lgM for individual kV or thickness; 0.2 lgM overall</v>
      </c>
      <c r="AE450" s="662" t="s">
        <v>980</v>
      </c>
    </row>
    <row r="451" spans="1:31" ht="11.25" customHeight="1">
      <c r="A451" s="611">
        <v>55</v>
      </c>
      <c r="B451" s="1"/>
      <c r="C451" s="1"/>
      <c r="D451" s="1"/>
      <c r="E451" s="1"/>
      <c r="F451" s="1"/>
      <c r="G451" s="1"/>
      <c r="H451" s="1"/>
      <c r="I451" s="1"/>
      <c r="J451" s="1"/>
      <c r="L451" s="676" t="s">
        <v>432</v>
      </c>
      <c r="M451" s="127"/>
      <c r="W451" s="71"/>
      <c r="X451" s="664" t="s">
        <v>432</v>
      </c>
      <c r="Y451" s="457"/>
      <c r="Z451" s="457"/>
      <c r="AA451" s="462" t="s">
        <v>685</v>
      </c>
      <c r="AB451" s="985"/>
      <c r="AC451" s="551" t="str">
        <f t="shared" si="58"/>
        <v>Change</v>
      </c>
      <c r="AD451" s="1062" t="str">
        <f>IF(O1171="","",O1171)</f>
        <v>Criteria: lgM - Max difference 0.2 lgM for individual kV or thickness; 0.2 lgM overall</v>
      </c>
      <c r="AE451" s="662" t="s">
        <v>981</v>
      </c>
    </row>
    <row r="452" spans="1:31" ht="11.25" customHeight="1">
      <c r="A452" s="611">
        <v>56</v>
      </c>
      <c r="B452" s="1"/>
      <c r="C452" s="1"/>
      <c r="D452" s="1"/>
      <c r="E452" s="1"/>
      <c r="F452" s="1"/>
      <c r="G452" s="1"/>
      <c r="H452" s="1"/>
      <c r="I452" s="1"/>
      <c r="J452" s="1"/>
      <c r="L452" s="676" t="s">
        <v>432</v>
      </c>
      <c r="M452" s="127"/>
      <c r="W452" s="71"/>
      <c r="X452" s="664" t="s">
        <v>432</v>
      </c>
      <c r="Y452" s="457"/>
      <c r="Z452" s="457"/>
      <c r="AA452" s="462" t="s">
        <v>686</v>
      </c>
      <c r="AB452" s="985"/>
      <c r="AC452" s="551" t="str">
        <f t="shared" si="58"/>
        <v/>
      </c>
      <c r="AD452" s="1062" t="str">
        <f>IF(O98="","",O98)</f>
        <v/>
      </c>
      <c r="AE452" s="662" t="s">
        <v>161</v>
      </c>
    </row>
    <row r="453" spans="1:31" ht="11.25" customHeight="1">
      <c r="A453" s="611">
        <v>57</v>
      </c>
      <c r="B453" s="1"/>
      <c r="C453" s="1"/>
      <c r="D453" s="1"/>
      <c r="E453" s="1"/>
      <c r="F453" s="1"/>
      <c r="G453" s="1"/>
      <c r="H453" s="1"/>
      <c r="I453" s="1"/>
      <c r="J453" s="1"/>
      <c r="L453" s="676" t="s">
        <v>432</v>
      </c>
      <c r="M453" s="127"/>
      <c r="W453" s="71"/>
      <c r="X453" s="664" t="s">
        <v>432</v>
      </c>
      <c r="Y453" s="457"/>
      <c r="Z453" s="457"/>
      <c r="AA453" s="462" t="s">
        <v>687</v>
      </c>
      <c r="AB453" s="985"/>
      <c r="AC453" s="551" t="str">
        <f t="shared" si="58"/>
        <v/>
      </c>
      <c r="AD453" s="1062" t="str">
        <f>IF(O1301="","",O1301)</f>
        <v/>
      </c>
      <c r="AE453" s="662" t="s">
        <v>982</v>
      </c>
    </row>
    <row r="454" spans="1:31" ht="11.25" customHeight="1">
      <c r="A454" s="611">
        <v>58</v>
      </c>
      <c r="B454" s="1"/>
      <c r="C454" s="1"/>
      <c r="D454" s="1"/>
      <c r="E454" s="1"/>
      <c r="F454" s="1"/>
      <c r="G454" s="1"/>
      <c r="H454" s="1"/>
      <c r="I454" s="1"/>
      <c r="J454" s="1"/>
      <c r="L454" s="676" t="s">
        <v>432</v>
      </c>
      <c r="M454" s="127"/>
      <c r="W454" s="71"/>
      <c r="X454" s="664" t="s">
        <v>432</v>
      </c>
      <c r="Y454" s="457"/>
      <c r="Z454" s="457"/>
      <c r="AA454" s="462" t="s">
        <v>688</v>
      </c>
      <c r="AB454" s="1192"/>
      <c r="AC454" s="551" t="str">
        <f t="shared" si="58"/>
        <v/>
      </c>
      <c r="AD454" s="1062" t="str">
        <f>IF(O1367="","",O1367)</f>
        <v/>
      </c>
      <c r="AE454" s="662" t="s">
        <v>983</v>
      </c>
    </row>
    <row r="455" spans="1:31" ht="11.25" customHeight="1">
      <c r="A455" s="611">
        <v>59</v>
      </c>
      <c r="B455" s="1"/>
      <c r="C455" s="1"/>
      <c r="D455" s="1"/>
      <c r="E455" s="1"/>
      <c r="F455" s="1"/>
      <c r="G455" s="1"/>
      <c r="H455" s="1"/>
      <c r="I455" s="1"/>
      <c r="J455" s="1"/>
      <c r="L455" s="676" t="s">
        <v>432</v>
      </c>
      <c r="M455" s="127"/>
      <c r="W455" s="71"/>
      <c r="X455" s="664" t="s">
        <v>432</v>
      </c>
      <c r="Y455" s="457"/>
      <c r="Z455" s="457"/>
      <c r="AB455" s="49"/>
      <c r="AC455" s="551" t="str">
        <f t="shared" si="58"/>
        <v/>
      </c>
      <c r="AD455" s="457"/>
    </row>
    <row r="456" spans="1:31" ht="11.25" customHeight="1">
      <c r="A456" s="611">
        <v>60</v>
      </c>
      <c r="B456" s="1"/>
      <c r="C456" s="1"/>
      <c r="D456" s="1"/>
      <c r="E456" s="1"/>
      <c r="F456" s="1"/>
      <c r="G456" s="1"/>
      <c r="H456" s="1"/>
      <c r="I456" s="1"/>
      <c r="J456" s="1"/>
      <c r="L456" s="676" t="s">
        <v>432</v>
      </c>
      <c r="M456" s="127"/>
      <c r="W456" s="71"/>
      <c r="X456" s="664" t="s">
        <v>432</v>
      </c>
      <c r="Y456" s="457"/>
      <c r="Z456" s="457"/>
      <c r="AA456" s="462" t="s">
        <v>312</v>
      </c>
      <c r="AB456" s="1193"/>
      <c r="AC456" s="551" t="str">
        <f t="shared" si="58"/>
        <v>Change</v>
      </c>
      <c r="AD456" s="1062">
        <f t="shared" ref="AD456:AD462" si="69">U59</f>
        <v>1</v>
      </c>
      <c r="AE456" s="576" t="s">
        <v>984</v>
      </c>
    </row>
    <row r="457" spans="1:31" ht="11.25" customHeight="1">
      <c r="A457" s="611">
        <v>61</v>
      </c>
      <c r="B457" s="1"/>
      <c r="C457" s="1"/>
      <c r="D457" s="1"/>
      <c r="E457" s="1"/>
      <c r="F457" s="1"/>
      <c r="G457" s="1"/>
      <c r="H457" s="1"/>
      <c r="I457" s="1"/>
      <c r="J457" s="1"/>
      <c r="L457" s="676" t="s">
        <v>432</v>
      </c>
      <c r="M457" s="127"/>
      <c r="W457" s="71"/>
      <c r="X457" s="664" t="s">
        <v>432</v>
      </c>
      <c r="Y457" s="457"/>
      <c r="Z457" s="457"/>
      <c r="AA457" s="457"/>
      <c r="AB457" s="1194"/>
      <c r="AC457" s="551" t="str">
        <f t="shared" si="58"/>
        <v>Change</v>
      </c>
      <c r="AD457" s="1062" t="str">
        <f t="shared" si="69"/>
        <v>AP</v>
      </c>
      <c r="AE457" s="576" t="s">
        <v>985</v>
      </c>
    </row>
    <row r="458" spans="1:31" ht="11.25" customHeight="1">
      <c r="A458" s="611">
        <v>62</v>
      </c>
      <c r="B458" s="1"/>
      <c r="C458" s="1"/>
      <c r="D458" s="1"/>
      <c r="E458" s="1"/>
      <c r="F458" s="1"/>
      <c r="G458" s="1"/>
      <c r="H458" s="1"/>
      <c r="I458" s="1"/>
      <c r="J458" s="1"/>
      <c r="L458" s="676" t="s">
        <v>432</v>
      </c>
      <c r="M458" s="127"/>
      <c r="W458" s="71"/>
      <c r="X458" s="664" t="s">
        <v>432</v>
      </c>
      <c r="Y458" s="457"/>
      <c r="Z458" s="457"/>
      <c r="AA458" s="457"/>
      <c r="AB458" s="1194"/>
      <c r="AC458" s="551" t="str">
        <f t="shared" si="58"/>
        <v>Change</v>
      </c>
      <c r="AD458" s="1062" t="str">
        <f t="shared" si="69"/>
        <v>Front</v>
      </c>
      <c r="AE458" s="576" t="s">
        <v>986</v>
      </c>
    </row>
    <row r="459" spans="1:31" ht="11.25" customHeight="1">
      <c r="A459" s="611">
        <v>63</v>
      </c>
      <c r="B459" s="1"/>
      <c r="C459" s="54" t="s">
        <v>1092</v>
      </c>
      <c r="D459" s="48" t="str">
        <f>IF(OR(Y1397="",W1397=""),"",SLOPE(Y1397:Y1404,W1397:W1404))</f>
        <v/>
      </c>
      <c r="F459" s="54" t="s">
        <v>1093</v>
      </c>
      <c r="G459" s="48" t="str">
        <f>IF(OR(Y1414="",W1414=""),"",SLOPE(Y1414:Y1419,W1414:W1419))</f>
        <v/>
      </c>
      <c r="I459" s="54" t="s">
        <v>1094</v>
      </c>
      <c r="J459" s="48" t="str">
        <f>IF(OR(AH1397="",AI1397=""),"",SLOPE(AI1397:AI1410,AH1397:AH1410))</f>
        <v/>
      </c>
      <c r="L459" s="676" t="s">
        <v>432</v>
      </c>
      <c r="M459" s="127"/>
      <c r="W459" s="71"/>
      <c r="X459" s="664" t="s">
        <v>432</v>
      </c>
      <c r="Y459" s="457"/>
      <c r="Z459" s="457"/>
      <c r="AB459" s="1194"/>
      <c r="AC459" s="551" t="str">
        <f t="shared" si="58"/>
        <v>Change</v>
      </c>
      <c r="AD459" s="1062" t="str">
        <f t="shared" si="69"/>
        <v>Frontal</v>
      </c>
      <c r="AE459" s="576" t="s">
        <v>987</v>
      </c>
    </row>
    <row r="460" spans="1:31" ht="11.25" customHeight="1">
      <c r="A460" s="611">
        <v>64</v>
      </c>
      <c r="B460" s="1"/>
      <c r="C460" s="1"/>
      <c r="I460" s="1"/>
      <c r="J460" s="1"/>
      <c r="L460" s="676" t="s">
        <v>432</v>
      </c>
      <c r="M460" s="127"/>
      <c r="W460" s="71"/>
      <c r="X460" s="664" t="s">
        <v>432</v>
      </c>
      <c r="Y460" s="457"/>
      <c r="Z460" s="457"/>
      <c r="AA460" s="457"/>
      <c r="AB460" s="1194"/>
      <c r="AC460" s="551" t="str">
        <f t="shared" si="58"/>
        <v>Change</v>
      </c>
      <c r="AD460" s="1062" t="str">
        <f t="shared" si="69"/>
        <v>Ceph</v>
      </c>
      <c r="AE460" s="576" t="s">
        <v>988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432</v>
      </c>
      <c r="M461" s="127"/>
      <c r="W461" s="71"/>
      <c r="X461" s="664" t="s">
        <v>432</v>
      </c>
      <c r="Y461" s="457"/>
      <c r="Z461" s="457"/>
      <c r="AA461" s="457"/>
      <c r="AB461" s="1194"/>
      <c r="AC461" s="551" t="str">
        <f t="shared" si="58"/>
        <v>Change</v>
      </c>
      <c r="AD461" s="1062" t="str">
        <f t="shared" si="69"/>
        <v>Mobile</v>
      </c>
      <c r="AE461" s="576" t="s">
        <v>989</v>
      </c>
    </row>
    <row r="462" spans="1:31" ht="11.25" customHeight="1" thickBot="1">
      <c r="A462" s="611">
        <v>66</v>
      </c>
      <c r="B462" s="52" t="str">
        <v>Room Number:</v>
      </c>
      <c r="C462" s="373" t="str">
        <v/>
      </c>
      <c r="E462" s="51"/>
      <c r="F462" s="51"/>
      <c r="G462" s="51"/>
      <c r="H462" s="51"/>
      <c r="I462" s="52" t="str">
        <v>Survey ID:</v>
      </c>
      <c r="J462" s="1045" t="str">
        <v/>
      </c>
      <c r="L462" s="676" t="s">
        <v>432</v>
      </c>
      <c r="M462" s="98"/>
      <c r="N462" s="83"/>
      <c r="O462" s="83"/>
      <c r="P462" s="83"/>
      <c r="Q462" s="83"/>
      <c r="R462" s="83"/>
      <c r="S462" s="83"/>
      <c r="T462" s="83"/>
      <c r="U462" s="83"/>
      <c r="V462" s="83"/>
      <c r="W462" s="86"/>
      <c r="X462" s="664" t="s">
        <v>432</v>
      </c>
      <c r="Y462" s="457"/>
      <c r="Z462" s="457"/>
      <c r="AA462" s="457"/>
      <c r="AB462" s="1194"/>
      <c r="AC462" s="551" t="str">
        <f t="shared" si="58"/>
        <v/>
      </c>
      <c r="AD462" s="1062" t="str">
        <f t="shared" si="69"/>
        <v/>
      </c>
      <c r="AE462" s="576" t="s">
        <v>990</v>
      </c>
    </row>
    <row r="463" spans="1:31" ht="11.25" customHeight="1" thickTop="1">
      <c r="A463" s="611">
        <v>1</v>
      </c>
      <c r="K463" s="131" t="str">
        <f>$F$2</f>
        <v>Medical University of South Carolina</v>
      </c>
      <c r="L463" s="676" t="s">
        <v>432</v>
      </c>
      <c r="M463" s="49"/>
      <c r="W463" s="131" t="str">
        <f>$F$2</f>
        <v>Medical University of South Carolina</v>
      </c>
      <c r="X463" s="664" t="s">
        <v>432</v>
      </c>
      <c r="AA463" s="457"/>
      <c r="AB463" s="49"/>
      <c r="AC463" s="551" t="str">
        <f t="shared" si="58"/>
        <v/>
      </c>
      <c r="AD463" s="457"/>
      <c r="AE463" s="457"/>
    </row>
    <row r="464" spans="1:31" ht="11.25" customHeight="1">
      <c r="A464" s="611">
        <v>2</v>
      </c>
      <c r="F464" s="82" t="s">
        <v>580</v>
      </c>
      <c r="K464" s="132" t="str">
        <f>$F$5</f>
        <v>Radiographic System Compliance Inspection</v>
      </c>
      <c r="L464" s="676" t="s">
        <v>432</v>
      </c>
      <c r="N464" s="87"/>
      <c r="O464" s="87"/>
      <c r="P464" s="1"/>
      <c r="R464" s="82" t="str">
        <f>$F$464</f>
        <v>Measurement Data</v>
      </c>
      <c r="W464" s="132" t="str">
        <f>$F$5</f>
        <v>Radiographic System Compliance Inspection</v>
      </c>
      <c r="X464" s="664" t="s">
        <v>432</v>
      </c>
      <c r="AA464" s="462" t="s">
        <v>313</v>
      </c>
      <c r="AB464" s="1193"/>
      <c r="AC464" s="551" t="str">
        <f t="shared" ref="AC464:AC518" si="70">IF(AND(OR(AB464="",AB464=0),OR(AD464="",AD464=0)),"",IF(AB464&lt;&gt;AD464,"Change",""))</f>
        <v>Change</v>
      </c>
      <c r="AD464" s="1062">
        <f t="shared" ref="AD464:AD470" si="71">V59</f>
        <v>2</v>
      </c>
      <c r="AE464" s="576" t="s">
        <v>991</v>
      </c>
    </row>
    <row r="465" spans="1:31" ht="11.25" customHeight="1" thickBot="1">
      <c r="A465" s="611">
        <v>3</v>
      </c>
      <c r="L465" s="676" t="s">
        <v>432</v>
      </c>
      <c r="X465" s="664" t="s">
        <v>432</v>
      </c>
      <c r="AA465" s="457"/>
      <c r="AB465" s="1194"/>
      <c r="AC465" s="551" t="str">
        <f t="shared" si="70"/>
        <v>Change</v>
      </c>
      <c r="AD465" s="1062">
        <f t="shared" si="71"/>
        <v>3</v>
      </c>
      <c r="AE465" s="576" t="s">
        <v>992</v>
      </c>
    </row>
    <row r="466" spans="1:31" ht="11.25" customHeight="1" thickTop="1">
      <c r="A466" s="611">
        <v>4</v>
      </c>
      <c r="B466" s="79"/>
      <c r="C466" s="62"/>
      <c r="D466" s="62"/>
      <c r="E466" s="62"/>
      <c r="F466" s="62"/>
      <c r="G466" s="62"/>
      <c r="H466" s="62"/>
      <c r="I466" s="62"/>
      <c r="J466" s="62"/>
      <c r="K466" s="80"/>
      <c r="L466" s="676" t="s">
        <v>432</v>
      </c>
      <c r="M466" s="130" t="s">
        <v>438</v>
      </c>
      <c r="N466" s="62"/>
      <c r="O466" s="62"/>
      <c r="P466" s="62"/>
      <c r="Q466" s="62"/>
      <c r="R466" s="62"/>
      <c r="S466" s="62"/>
      <c r="T466" s="62"/>
      <c r="U466" s="62"/>
      <c r="V466" s="62"/>
      <c r="W466" s="80"/>
      <c r="X466" s="664" t="s">
        <v>432</v>
      </c>
      <c r="AA466" s="457"/>
      <c r="AB466" s="1194"/>
      <c r="AC466" s="551" t="str">
        <f t="shared" si="70"/>
        <v>Change</v>
      </c>
      <c r="AD466" s="1062" t="str">
        <f t="shared" si="71"/>
        <v>Lat</v>
      </c>
      <c r="AE466" s="576" t="s">
        <v>993</v>
      </c>
    </row>
    <row r="467" spans="1:31" ht="11.25" customHeight="1">
      <c r="A467" s="611">
        <v>5</v>
      </c>
      <c r="B467" s="108" t="s">
        <v>435</v>
      </c>
      <c r="C467" s="109"/>
      <c r="F467" s="190" t="s">
        <v>455</v>
      </c>
      <c r="G467" s="1"/>
      <c r="H467" s="1"/>
      <c r="I467" s="1"/>
      <c r="J467" s="262" t="s">
        <v>437</v>
      </c>
      <c r="K467" s="395"/>
      <c r="L467" s="676" t="s">
        <v>432</v>
      </c>
      <c r="M467" s="127"/>
      <c r="Q467" s="1"/>
      <c r="R467" s="190" t="s">
        <v>455</v>
      </c>
      <c r="S467" s="1"/>
      <c r="T467" s="1"/>
      <c r="U467" s="1"/>
      <c r="V467" s="1"/>
      <c r="W467" s="71"/>
      <c r="X467" s="664" t="s">
        <v>432</v>
      </c>
      <c r="AA467" s="457"/>
      <c r="AB467" s="1194"/>
      <c r="AC467" s="551" t="str">
        <f t="shared" si="70"/>
        <v>Change</v>
      </c>
      <c r="AD467" s="1062" t="str">
        <f t="shared" si="71"/>
        <v>Lateral</v>
      </c>
      <c r="AE467" s="576" t="s">
        <v>994</v>
      </c>
    </row>
    <row r="468" spans="1:31" ht="11.25" customHeight="1">
      <c r="A468" s="611">
        <v>6</v>
      </c>
      <c r="B468" s="110" t="s">
        <v>48</v>
      </c>
      <c r="C468" s="111"/>
      <c r="D468" s="50" t="s">
        <v>456</v>
      </c>
      <c r="J468" s="114" t="str">
        <f t="shared" ref="J468:J474" si="72">IF($M468="","TBD",IF($M468=1,"YES",IF($M468=3,"NA","")))</f>
        <v>TBD</v>
      </c>
      <c r="K468" s="343" t="str">
        <f t="shared" ref="K468:K474" si="73">IF($M468=2,"NO","")</f>
        <v/>
      </c>
      <c r="L468" s="676" t="s">
        <v>432</v>
      </c>
      <c r="M468" s="617"/>
      <c r="O468" s="50" t="s">
        <v>456</v>
      </c>
      <c r="W468" s="71"/>
      <c r="X468" s="664" t="s">
        <v>432</v>
      </c>
      <c r="AA468" s="457"/>
      <c r="AB468" s="1194"/>
      <c r="AC468" s="551" t="str">
        <f t="shared" si="70"/>
        <v>Change</v>
      </c>
      <c r="AD468" s="1062" t="str">
        <f t="shared" si="71"/>
        <v>Pan</v>
      </c>
      <c r="AE468" s="576" t="s">
        <v>995</v>
      </c>
    </row>
    <row r="469" spans="1:31" ht="11.25" customHeight="1">
      <c r="A469" s="611">
        <v>7</v>
      </c>
      <c r="B469" s="110"/>
      <c r="C469" s="128"/>
      <c r="D469" s="50" t="s">
        <v>457</v>
      </c>
      <c r="J469" s="114" t="str">
        <f t="shared" si="72"/>
        <v>NA</v>
      </c>
      <c r="K469" s="343" t="str">
        <f t="shared" si="73"/>
        <v/>
      </c>
      <c r="L469" s="676" t="s">
        <v>432</v>
      </c>
      <c r="M469" s="816">
        <f>IF(N469&lt;&gt;"",N469,IF(OR(AB86=0,AB86=""),3,AB86))</f>
        <v>3</v>
      </c>
      <c r="N469" s="701">
        <v>3</v>
      </c>
      <c r="O469" s="50" t="s">
        <v>457</v>
      </c>
      <c r="W469" s="71"/>
      <c r="X469" s="664" t="s">
        <v>432</v>
      </c>
      <c r="AA469" s="457"/>
      <c r="AB469" s="1194"/>
      <c r="AC469" s="551" t="str">
        <f t="shared" si="70"/>
        <v>Change</v>
      </c>
      <c r="AD469" s="1062" t="str">
        <f t="shared" si="71"/>
        <v>BCM</v>
      </c>
      <c r="AE469" s="576" t="s">
        <v>996</v>
      </c>
    </row>
    <row r="470" spans="1:31" ht="11.25" customHeight="1">
      <c r="A470" s="611">
        <v>8</v>
      </c>
      <c r="B470" s="110" t="s">
        <v>49</v>
      </c>
      <c r="C470" s="111"/>
      <c r="D470" s="50" t="s">
        <v>458</v>
      </c>
      <c r="E470" s="50"/>
      <c r="F470" s="50"/>
      <c r="G470" s="50"/>
      <c r="H470" s="50"/>
      <c r="I470" s="50"/>
      <c r="J470" s="114" t="str">
        <f t="shared" si="72"/>
        <v>TBD</v>
      </c>
      <c r="K470" s="343" t="str">
        <f t="shared" si="73"/>
        <v/>
      </c>
      <c r="L470" s="676" t="s">
        <v>432</v>
      </c>
      <c r="M470" s="617"/>
      <c r="N470" s="50"/>
      <c r="O470" s="50" t="s">
        <v>458</v>
      </c>
      <c r="P470" s="50"/>
      <c r="Q470" s="50"/>
      <c r="R470" s="50"/>
      <c r="S470" s="50"/>
      <c r="T470" s="50"/>
      <c r="U470" s="50"/>
      <c r="V470" s="50"/>
      <c r="W470" s="71"/>
      <c r="X470" s="664" t="s">
        <v>432</v>
      </c>
      <c r="AB470" s="1194"/>
      <c r="AC470" s="551" t="str">
        <f t="shared" si="70"/>
        <v/>
      </c>
      <c r="AD470" s="1062" t="str">
        <f t="shared" si="71"/>
        <v/>
      </c>
      <c r="AE470" s="576" t="s">
        <v>997</v>
      </c>
    </row>
    <row r="471" spans="1:31" ht="11.25" customHeight="1">
      <c r="A471" s="611">
        <v>9</v>
      </c>
      <c r="B471" s="110" t="s">
        <v>1065</v>
      </c>
      <c r="C471" s="111"/>
      <c r="D471" s="50" t="s">
        <v>459</v>
      </c>
      <c r="E471" s="49"/>
      <c r="F471" s="49"/>
      <c r="G471" s="49"/>
      <c r="H471" s="49"/>
      <c r="I471" s="49"/>
      <c r="J471" s="114" t="str">
        <f t="shared" si="72"/>
        <v>TBD</v>
      </c>
      <c r="K471" s="343" t="str">
        <f t="shared" si="73"/>
        <v/>
      </c>
      <c r="L471" s="676" t="s">
        <v>432</v>
      </c>
      <c r="M471" s="617"/>
      <c r="N471" s="50"/>
      <c r="O471" s="50" t="s">
        <v>459</v>
      </c>
      <c r="P471" s="49"/>
      <c r="Q471" s="49"/>
      <c r="R471" s="49"/>
      <c r="S471" s="49"/>
      <c r="T471" s="49"/>
      <c r="U471" s="49"/>
      <c r="V471" s="49"/>
      <c r="W471" s="71"/>
      <c r="X471" s="664" t="s">
        <v>432</v>
      </c>
      <c r="AB471" s="49"/>
      <c r="AC471" s="551" t="str">
        <f t="shared" si="70"/>
        <v/>
      </c>
      <c r="AD471" s="457"/>
    </row>
    <row r="472" spans="1:31" ht="11.25" customHeight="1">
      <c r="A472" s="611">
        <v>10</v>
      </c>
      <c r="B472" s="110" t="s">
        <v>1187</v>
      </c>
      <c r="C472" s="111"/>
      <c r="D472" s="50" t="s">
        <v>581</v>
      </c>
      <c r="E472" s="49"/>
      <c r="F472" s="49"/>
      <c r="G472" s="49"/>
      <c r="H472" s="49"/>
      <c r="I472" s="49"/>
      <c r="J472" s="114" t="str">
        <f t="shared" si="72"/>
        <v>TBD</v>
      </c>
      <c r="K472" s="343" t="str">
        <f t="shared" si="73"/>
        <v/>
      </c>
      <c r="L472" s="676" t="s">
        <v>432</v>
      </c>
      <c r="M472" s="617"/>
      <c r="N472" s="49"/>
      <c r="O472" s="50" t="s">
        <v>581</v>
      </c>
      <c r="P472" s="49"/>
      <c r="Q472" s="49"/>
      <c r="R472" s="49"/>
      <c r="S472" s="49"/>
      <c r="T472" s="49"/>
      <c r="U472" s="49"/>
      <c r="V472" s="49"/>
      <c r="W472" s="71"/>
      <c r="X472" s="664" t="s">
        <v>432</v>
      </c>
      <c r="AA472" s="462" t="s">
        <v>314</v>
      </c>
      <c r="AB472" s="1195"/>
      <c r="AC472" s="551" t="str">
        <f t="shared" si="70"/>
        <v/>
      </c>
      <c r="AD472" s="1064" t="str">
        <f>S482</f>
        <v/>
      </c>
      <c r="AE472" s="1182" t="s">
        <v>1173</v>
      </c>
    </row>
    <row r="473" spans="1:31" ht="11.25" customHeight="1">
      <c r="A473" s="611">
        <v>11</v>
      </c>
      <c r="B473" s="127"/>
      <c r="D473" s="50" t="s">
        <v>583</v>
      </c>
      <c r="J473" s="114" t="str">
        <f t="shared" si="72"/>
        <v>TBD</v>
      </c>
      <c r="K473" s="343" t="str">
        <f t="shared" si="73"/>
        <v/>
      </c>
      <c r="L473" s="676" t="s">
        <v>432</v>
      </c>
      <c r="M473" s="617"/>
      <c r="N473" s="50"/>
      <c r="O473" s="50" t="s">
        <v>583</v>
      </c>
      <c r="W473" s="71"/>
      <c r="X473" s="664" t="s">
        <v>432</v>
      </c>
      <c r="AA473" s="462" t="s">
        <v>315</v>
      </c>
      <c r="AB473" s="1196"/>
      <c r="AC473" s="551" t="str">
        <f t="shared" si="70"/>
        <v>Change</v>
      </c>
      <c r="AD473" s="1065" t="str">
        <f>U504</f>
        <v>TBD</v>
      </c>
      <c r="AE473" s="576" t="s">
        <v>998</v>
      </c>
    </row>
    <row r="474" spans="1:31" ht="11.25" customHeight="1">
      <c r="A474" s="611">
        <v>12</v>
      </c>
      <c r="B474" s="110" t="s">
        <v>1199</v>
      </c>
      <c r="C474" s="159"/>
      <c r="D474" s="50" t="s">
        <v>1148</v>
      </c>
      <c r="J474" s="114" t="str">
        <f t="shared" si="72"/>
        <v>TBD</v>
      </c>
      <c r="K474" s="343" t="str">
        <f t="shared" si="73"/>
        <v/>
      </c>
      <c r="L474" s="676" t="s">
        <v>432</v>
      </c>
      <c r="M474" s="617"/>
      <c r="N474" s="49"/>
      <c r="O474" s="50" t="s">
        <v>1148</v>
      </c>
      <c r="W474" s="71"/>
      <c r="X474" s="664" t="s">
        <v>432</v>
      </c>
      <c r="AA474" s="462" t="s">
        <v>1072</v>
      </c>
      <c r="AB474" s="1197"/>
      <c r="AC474" s="551" t="str">
        <f>IF(AND(OR(AB474="",AB474=0),OR(AD474="",AD474=0)),"",IF(AB474&lt;&gt;AD474,"Change",""))</f>
        <v/>
      </c>
      <c r="AD474" s="1079" t="str">
        <f>O506</f>
        <v/>
      </c>
    </row>
    <row r="475" spans="1:31" ht="11.25" customHeight="1">
      <c r="A475" s="611">
        <v>13</v>
      </c>
      <c r="B475" s="127"/>
      <c r="K475" s="69"/>
      <c r="L475" s="676" t="s">
        <v>432</v>
      </c>
      <c r="M475" s="127"/>
      <c r="W475" s="71"/>
      <c r="X475" s="664" t="s">
        <v>432</v>
      </c>
      <c r="AA475" s="462" t="s">
        <v>316</v>
      </c>
      <c r="AB475" s="1198"/>
      <c r="AC475" s="551" t="str">
        <f t="shared" si="70"/>
        <v>Change</v>
      </c>
      <c r="AD475" s="1065" t="str">
        <f>R537</f>
        <v>NA</v>
      </c>
      <c r="AE475" s="576" t="s">
        <v>999</v>
      </c>
    </row>
    <row r="476" spans="1:31" ht="11.25" customHeight="1">
      <c r="A476" s="611">
        <v>14</v>
      </c>
      <c r="B476" s="102" t="s">
        <v>573</v>
      </c>
      <c r="C476" s="922" t="str">
        <f>IF(O476="","",IF(LEN(O476)&lt;=135,O476,IF(LEN(O476)&lt;=260,LEFT(O476,SEARCH(" ",O476,125)),LEFT(O476,SEARCH(" ",O476,130)))))</f>
        <v/>
      </c>
      <c r="D476" s="48"/>
      <c r="E476" s="48"/>
      <c r="F476" s="48"/>
      <c r="G476" s="48"/>
      <c r="H476" s="48"/>
      <c r="I476" s="48"/>
      <c r="J476" s="48"/>
      <c r="K476" s="69"/>
      <c r="L476" s="676" t="s">
        <v>432</v>
      </c>
      <c r="M476" s="85"/>
      <c r="N476" s="577" t="s">
        <v>573</v>
      </c>
      <c r="O476" s="713" t="str">
        <f>IF(O478&lt;&gt;"",O478,IF(OR(AB429=0,AB429=""),"",AB429))</f>
        <v/>
      </c>
      <c r="P476" s="48"/>
      <c r="Q476" s="48"/>
      <c r="R476" s="48"/>
      <c r="S476" s="48"/>
      <c r="T476" s="48"/>
      <c r="U476" s="48"/>
      <c r="V476" s="48"/>
      <c r="W476" s="103"/>
      <c r="X476" s="664" t="s">
        <v>432</v>
      </c>
      <c r="AA476" s="462" t="s">
        <v>317</v>
      </c>
      <c r="AB476" s="1197"/>
      <c r="AC476" s="551" t="str">
        <f t="shared" si="70"/>
        <v/>
      </c>
      <c r="AD476" s="1066" t="str">
        <f>IF(Q547="","",Q547)</f>
        <v/>
      </c>
      <c r="AE476" s="576" t="s">
        <v>1000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432</v>
      </c>
      <c r="M477" s="66"/>
      <c r="N477" s="609" t="s">
        <v>303</v>
      </c>
      <c r="O477" s="59"/>
      <c r="P477" s="921">
        <f>LEN(O476)</f>
        <v>0</v>
      </c>
      <c r="Q477" s="59"/>
      <c r="R477" s="59"/>
      <c r="S477" s="59"/>
      <c r="T477" s="59"/>
      <c r="U477" s="59"/>
      <c r="V477" s="59"/>
      <c r="W477" s="105"/>
      <c r="X477" s="664" t="s">
        <v>432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432</v>
      </c>
      <c r="M478" s="213"/>
      <c r="N478" s="1024" t="s">
        <v>640</v>
      </c>
      <c r="O478" s="1026"/>
      <c r="P478" s="59"/>
      <c r="Q478" s="59"/>
      <c r="R478" s="48"/>
      <c r="S478" s="48"/>
      <c r="T478" s="48"/>
      <c r="U478" s="48"/>
      <c r="V478" s="48"/>
      <c r="W478" s="103"/>
      <c r="X478" s="664" t="s">
        <v>432</v>
      </c>
      <c r="AA478" s="462" t="s">
        <v>319</v>
      </c>
      <c r="AB478" s="1198"/>
      <c r="AC478" s="551" t="str">
        <f t="shared" si="70"/>
        <v/>
      </c>
      <c r="AD478" s="1066" t="str">
        <f>IF(Q608="","",Q608)</f>
        <v/>
      </c>
      <c r="AE478" s="576" t="s">
        <v>1001</v>
      </c>
    </row>
    <row r="479" spans="1:31" ht="11.25" customHeight="1">
      <c r="A479" s="611">
        <v>17</v>
      </c>
      <c r="B479" s="85"/>
      <c r="C479" s="326"/>
      <c r="D479" s="49"/>
      <c r="E479" s="49"/>
      <c r="F479" s="49"/>
      <c r="G479" s="49"/>
      <c r="H479" s="49"/>
      <c r="I479" s="49"/>
      <c r="J479" s="49"/>
      <c r="K479" s="69"/>
      <c r="L479" s="676" t="s">
        <v>432</v>
      </c>
      <c r="M479" s="66"/>
      <c r="N479" s="49"/>
      <c r="O479" s="49"/>
      <c r="P479" s="49"/>
      <c r="Q479" s="49"/>
      <c r="R479" s="49"/>
      <c r="S479" s="49"/>
      <c r="T479" s="49"/>
      <c r="U479" s="49"/>
      <c r="V479" s="49"/>
      <c r="W479" s="69"/>
      <c r="X479" s="664" t="s">
        <v>432</v>
      </c>
      <c r="AA479" s="462"/>
      <c r="AB479" s="49"/>
      <c r="AC479" s="551" t="str">
        <f t="shared" si="70"/>
        <v/>
      </c>
      <c r="AD479" s="457"/>
    </row>
    <row r="480" spans="1:31" ht="11.25" customHeight="1" thickBot="1">
      <c r="A480" s="611">
        <v>18</v>
      </c>
      <c r="B480" s="191" t="s">
        <v>584</v>
      </c>
      <c r="D480" s="117" t="s">
        <v>533</v>
      </c>
      <c r="E480" s="117" t="s">
        <v>533</v>
      </c>
      <c r="F480" s="117" t="s">
        <v>585</v>
      </c>
      <c r="K480" s="71"/>
      <c r="L480" s="676" t="s">
        <v>432</v>
      </c>
      <c r="M480" s="127"/>
      <c r="P480" s="117" t="s">
        <v>1147</v>
      </c>
      <c r="Q480" s="117" t="s">
        <v>1142</v>
      </c>
      <c r="R480" s="117" t="s">
        <v>533</v>
      </c>
      <c r="S480" s="117" t="s">
        <v>585</v>
      </c>
      <c r="W480" s="71"/>
      <c r="X480" s="664" t="s">
        <v>432</v>
      </c>
      <c r="AA480" s="462" t="s">
        <v>320</v>
      </c>
      <c r="AB480" s="1198"/>
      <c r="AC480" s="551" t="str">
        <f t="shared" si="70"/>
        <v>Change</v>
      </c>
      <c r="AD480" s="1066" t="str">
        <f>S950</f>
        <v>HVL @80 kVp (Avg kV)</v>
      </c>
      <c r="AE480" s="576" t="s">
        <v>1002</v>
      </c>
    </row>
    <row r="481" spans="1:31" ht="11.25" customHeight="1" thickBot="1">
      <c r="A481" s="611">
        <v>19</v>
      </c>
      <c r="B481" s="191" t="s">
        <v>586</v>
      </c>
      <c r="C481" s="49"/>
      <c r="D481" s="146" t="s">
        <v>587</v>
      </c>
      <c r="E481" s="146" t="s">
        <v>588</v>
      </c>
      <c r="F481" s="138" t="s">
        <v>589</v>
      </c>
      <c r="G481" s="1153" t="s">
        <v>590</v>
      </c>
      <c r="K481" s="71"/>
      <c r="L481" s="676" t="s">
        <v>432</v>
      </c>
      <c r="M481" s="127"/>
      <c r="N481" s="194" t="s">
        <v>584</v>
      </c>
      <c r="P481" s="146" t="s">
        <v>587</v>
      </c>
      <c r="Q481" s="146" t="s">
        <v>587</v>
      </c>
      <c r="R481" s="146" t="s">
        <v>588</v>
      </c>
      <c r="S481" s="146" t="s">
        <v>589</v>
      </c>
      <c r="T481" s="1152" t="s">
        <v>590</v>
      </c>
      <c r="W481" s="71"/>
      <c r="X481" s="664" t="s">
        <v>432</v>
      </c>
      <c r="AA481" s="462" t="s">
        <v>321</v>
      </c>
      <c r="AB481" s="1197"/>
      <c r="AC481" s="551" t="e">
        <f t="shared" si="70"/>
        <v>#DIV/0!</v>
      </c>
      <c r="AD481" s="1066" t="e">
        <f>S951</f>
        <v>#DIV/0!</v>
      </c>
      <c r="AE481" s="576" t="s">
        <v>1003</v>
      </c>
    </row>
    <row r="482" spans="1:31" ht="11.25" customHeight="1">
      <c r="A482" s="611">
        <v>20</v>
      </c>
      <c r="B482" s="66"/>
      <c r="D482" s="154" t="str">
        <f>IF(Q482="","",Q482)</f>
        <v/>
      </c>
      <c r="E482" s="154" t="str">
        <f>IF(R482="","",R482)</f>
        <v/>
      </c>
      <c r="F482" s="1148" t="str">
        <f>S482</f>
        <v/>
      </c>
      <c r="G482" s="1154" t="str">
        <f>IF(K472="NO","NA",T482)</f>
        <v/>
      </c>
      <c r="I482" s="49"/>
      <c r="J482" s="49"/>
      <c r="K482" s="71"/>
      <c r="L482" s="676" t="s">
        <v>432</v>
      </c>
      <c r="M482" s="127"/>
      <c r="N482" s="194" t="s">
        <v>586</v>
      </c>
      <c r="P482" s="1147"/>
      <c r="Q482" s="1161" t="str">
        <f>IF(P482&lt;&gt;"",P482,IF(AB88="","",AB88))</f>
        <v/>
      </c>
      <c r="R482" s="1162"/>
      <c r="S482" s="1148" t="str">
        <f>IF(OR(P482="",R482=""),"",ABS(P482-R482)/R482)</f>
        <v/>
      </c>
      <c r="T482" s="1149" t="str">
        <f>IF(OR(M472=2,M472=3),"NA",IF(S482="","",IF(S482&lt;=0.02,"YES","NO")))</f>
        <v/>
      </c>
      <c r="U482" s="49"/>
      <c r="W482" s="71"/>
      <c r="X482" s="664" t="s">
        <v>432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432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432</v>
      </c>
      <c r="AA483" s="462" t="s">
        <v>322</v>
      </c>
      <c r="AB483" s="1198"/>
      <c r="AC483" s="551" t="str">
        <f t="shared" si="70"/>
        <v>Change</v>
      </c>
      <c r="AD483" s="1066" t="str">
        <f>IF(W1063="","",W1063)</f>
        <v>NA</v>
      </c>
      <c r="AE483" s="576" t="s">
        <v>1004</v>
      </c>
    </row>
    <row r="484" spans="1:31" ht="11.25" customHeight="1" thickBot="1">
      <c r="A484" s="611">
        <v>22</v>
      </c>
      <c r="B484" s="66"/>
      <c r="C484" s="49"/>
      <c r="D484" s="154" t="str">
        <f t="shared" si="74"/>
        <v/>
      </c>
      <c r="E484" s="154" t="str">
        <f>IF(R484="","",R484)</f>
        <v/>
      </c>
      <c r="F484" s="1148" t="str">
        <f>S484</f>
        <v/>
      </c>
      <c r="G484" s="1155" t="str">
        <f>IF(K472="NO","NA",T484)</f>
        <v/>
      </c>
      <c r="K484" s="71"/>
      <c r="L484" s="676" t="s">
        <v>432</v>
      </c>
      <c r="M484" s="66"/>
      <c r="N484" s="49"/>
      <c r="P484" s="1147"/>
      <c r="Q484" s="1161" t="str">
        <f t="shared" si="76"/>
        <v/>
      </c>
      <c r="R484" s="1162"/>
      <c r="S484" s="1148" t="str">
        <f t="shared" si="77"/>
        <v/>
      </c>
      <c r="T484" s="1151" t="str">
        <f>IF(OR(M472=2,M472=3),"NA",IF(S484="","",IF(S484&lt;=0.02,"YES","NO")))</f>
        <v/>
      </c>
      <c r="W484" s="71"/>
      <c r="X484" s="664" t="s">
        <v>432</v>
      </c>
      <c r="AA484" s="462" t="s">
        <v>323</v>
      </c>
      <c r="AB484" s="1197"/>
      <c r="AC484" s="551" t="str">
        <f t="shared" si="70"/>
        <v>Change</v>
      </c>
      <c r="AD484" s="1066" t="str">
        <f>IF(W1129="","",W1129)</f>
        <v>NA</v>
      </c>
      <c r="AE484" s="576" t="s">
        <v>1005</v>
      </c>
    </row>
    <row r="485" spans="1:31" ht="11.25" customHeight="1">
      <c r="A485" s="611">
        <v>23</v>
      </c>
      <c r="B485" s="66"/>
      <c r="C485" s="49"/>
      <c r="K485" s="71"/>
      <c r="L485" s="676" t="s">
        <v>432</v>
      </c>
      <c r="M485" s="66"/>
      <c r="N485" s="49"/>
      <c r="S485" s="712" t="s">
        <v>397</v>
      </c>
      <c r="T485" s="754" t="str">
        <f>IF(AB472="","",AB472)</f>
        <v/>
      </c>
      <c r="W485" s="71"/>
      <c r="X485" s="664" t="s">
        <v>432</v>
      </c>
      <c r="AA485" s="462"/>
      <c r="AB485" s="49"/>
      <c r="AC485" s="551" t="str">
        <f t="shared" si="70"/>
        <v/>
      </c>
      <c r="AD485" s="575"/>
      <c r="AE485" s="662"/>
    </row>
    <row r="486" spans="1:31" ht="11.25" customHeight="1">
      <c r="A486" s="611">
        <v>24</v>
      </c>
      <c r="B486" s="192" t="s">
        <v>591</v>
      </c>
      <c r="C486" s="100" t="s">
        <v>592</v>
      </c>
      <c r="K486" s="71"/>
      <c r="L486" s="676" t="s">
        <v>432</v>
      </c>
      <c r="M486" s="102"/>
      <c r="N486" s="132" t="s">
        <v>591</v>
      </c>
      <c r="O486" s="100" t="s">
        <v>592</v>
      </c>
      <c r="P486" s="49"/>
      <c r="Q486" s="49"/>
      <c r="R486" s="49"/>
      <c r="S486" s="49"/>
      <c r="U486" s="50"/>
      <c r="V486" s="49"/>
      <c r="W486" s="71"/>
      <c r="X486" s="664" t="s">
        <v>432</v>
      </c>
      <c r="AA486" s="462" t="s">
        <v>324</v>
      </c>
      <c r="AB486" s="1199"/>
      <c r="AC486" s="551" t="str">
        <f t="shared" si="70"/>
        <v/>
      </c>
      <c r="AD486" s="1057">
        <f>R1432</f>
        <v>0</v>
      </c>
      <c r="AE486" s="576" t="s">
        <v>1006</v>
      </c>
    </row>
    <row r="487" spans="1:31" ht="11.25" customHeight="1">
      <c r="A487" s="611">
        <v>25</v>
      </c>
      <c r="B487" s="85"/>
      <c r="D487" s="49"/>
      <c r="E487" s="49"/>
      <c r="F487" s="49"/>
      <c r="G487" s="49"/>
      <c r="H487" s="49"/>
      <c r="I487" s="49"/>
      <c r="J487" s="49"/>
      <c r="K487" s="71"/>
      <c r="L487" s="676" t="s">
        <v>432</v>
      </c>
      <c r="M487" s="127"/>
      <c r="O487" s="49"/>
      <c r="P487" s="49"/>
      <c r="Q487" s="49"/>
      <c r="R487" s="49"/>
      <c r="S487" s="49"/>
      <c r="U487" s="49"/>
      <c r="V487" s="49"/>
      <c r="W487" s="71"/>
      <c r="X487" s="664" t="s">
        <v>432</v>
      </c>
      <c r="AA487" s="462" t="s">
        <v>325</v>
      </c>
      <c r="AB487" s="1200"/>
      <c r="AC487" s="551" t="str">
        <f t="shared" si="70"/>
        <v/>
      </c>
      <c r="AD487" s="1057">
        <f>T1432</f>
        <v>0</v>
      </c>
      <c r="AE487" s="576" t="s">
        <v>1007</v>
      </c>
    </row>
    <row r="488" spans="1:31" ht="11.25" customHeight="1">
      <c r="A488" s="611">
        <v>26</v>
      </c>
      <c r="B488" s="102" t="s">
        <v>573</v>
      </c>
      <c r="C488" s="922" t="str">
        <f>IF(O488="","",IF(LEN(O488)&lt;=135,O488,IF(LEN(O488)&lt;=260,LEFT(O488,SEARCH(" ",O488,125)),LEFT(O488,SEARCH(" ",O488,130)))))</f>
        <v/>
      </c>
      <c r="D488" s="48"/>
      <c r="E488" s="48"/>
      <c r="F488" s="48"/>
      <c r="G488" s="48"/>
      <c r="H488" s="48"/>
      <c r="I488" s="48"/>
      <c r="J488" s="48"/>
      <c r="K488" s="71"/>
      <c r="L488" s="676" t="s">
        <v>432</v>
      </c>
      <c r="M488" s="127"/>
      <c r="N488" s="577" t="s">
        <v>573</v>
      </c>
      <c r="O488" s="713" t="str">
        <f>IF(O490&lt;&gt;"",O490,IF(OR(AB430=0,AB430=""),"",AB430))</f>
        <v/>
      </c>
      <c r="P488" s="48"/>
      <c r="Q488" s="48"/>
      <c r="R488" s="48"/>
      <c r="S488" s="48"/>
      <c r="T488" s="48"/>
      <c r="U488" s="48"/>
      <c r="V488" s="48"/>
      <c r="W488" s="103"/>
      <c r="X488" s="664" t="s">
        <v>432</v>
      </c>
      <c r="AA488" s="462" t="s">
        <v>326</v>
      </c>
      <c r="AB488" s="1200"/>
      <c r="AC488" s="551" t="str">
        <f t="shared" si="70"/>
        <v/>
      </c>
      <c r="AD488" s="1057">
        <f>R1433</f>
        <v>0</v>
      </c>
      <c r="AE488" s="576" t="s">
        <v>1008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432</v>
      </c>
      <c r="M489" s="85"/>
      <c r="N489" s="609" t="s">
        <v>303</v>
      </c>
      <c r="O489" s="59"/>
      <c r="P489" s="921">
        <f>LEN(O488)</f>
        <v>0</v>
      </c>
      <c r="Q489" s="59"/>
      <c r="R489" s="59"/>
      <c r="S489" s="59"/>
      <c r="T489" s="59"/>
      <c r="U489" s="59"/>
      <c r="V489" s="59"/>
      <c r="W489" s="105"/>
      <c r="X489" s="664" t="s">
        <v>432</v>
      </c>
      <c r="AA489" s="675" t="s">
        <v>327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432</v>
      </c>
      <c r="M490" s="66"/>
      <c r="N490" s="1024" t="s">
        <v>640</v>
      </c>
      <c r="O490" s="1026"/>
      <c r="P490" s="59"/>
      <c r="Q490" s="59"/>
      <c r="R490" s="48"/>
      <c r="S490" s="48"/>
      <c r="T490" s="48"/>
      <c r="U490" s="48"/>
      <c r="V490" s="48"/>
      <c r="W490" s="103"/>
      <c r="X490" s="664" t="s">
        <v>432</v>
      </c>
      <c r="AA490" s="462" t="str">
        <f t="shared" ref="AA490:AA499" si="78">IF(M87="","N/A",M87)</f>
        <v>CXR</v>
      </c>
      <c r="AB490" s="1201"/>
      <c r="AC490" s="551" t="str">
        <f t="shared" si="70"/>
        <v/>
      </c>
      <c r="AD490" s="1055" t="str">
        <f t="shared" ref="AD490:AD499" si="79">U87</f>
        <v/>
      </c>
      <c r="AE490" s="576" t="s">
        <v>1009</v>
      </c>
    </row>
    <row r="491" spans="1:31" ht="11.25" customHeight="1">
      <c r="A491" s="611">
        <v>29</v>
      </c>
      <c r="B491" s="127"/>
      <c r="K491" s="71"/>
      <c r="L491" s="676" t="s">
        <v>432</v>
      </c>
      <c r="M491" s="127"/>
      <c r="W491" s="71"/>
      <c r="X491" s="664" t="s">
        <v>432</v>
      </c>
      <c r="AA491" s="462" t="str">
        <f t="shared" si="78"/>
        <v>Abdomen AP</v>
      </c>
      <c r="AB491" s="1202"/>
      <c r="AC491" s="551" t="str">
        <f t="shared" si="70"/>
        <v/>
      </c>
      <c r="AD491" s="1055" t="str">
        <f t="shared" si="79"/>
        <v/>
      </c>
      <c r="AE491" s="576" t="s">
        <v>1010</v>
      </c>
    </row>
    <row r="492" spans="1:31" ht="11.25" customHeight="1">
      <c r="A492" s="611">
        <v>30</v>
      </c>
      <c r="B492" s="191" t="s">
        <v>593</v>
      </c>
      <c r="C492" s="49"/>
      <c r="D492" s="49"/>
      <c r="E492" s="49"/>
      <c r="F492" s="149" t="s">
        <v>594</v>
      </c>
      <c r="G492" s="150"/>
      <c r="H492" s="49"/>
      <c r="I492" s="49"/>
      <c r="J492" s="49"/>
      <c r="K492" s="71"/>
      <c r="L492" s="676" t="s">
        <v>432</v>
      </c>
      <c r="M492" s="127"/>
      <c r="N492" s="194" t="s">
        <v>593</v>
      </c>
      <c r="O492" s="49"/>
      <c r="P492" s="49"/>
      <c r="Q492" s="149" t="s">
        <v>594</v>
      </c>
      <c r="R492" s="150"/>
      <c r="S492" s="49"/>
      <c r="U492" s="49"/>
      <c r="V492" s="49"/>
      <c r="W492" s="71"/>
      <c r="X492" s="664" t="s">
        <v>432</v>
      </c>
      <c r="AA492" s="462" t="str">
        <f t="shared" si="78"/>
        <v>Ribs</v>
      </c>
      <c r="AB492" s="1202"/>
      <c r="AC492" s="551" t="str">
        <f t="shared" si="70"/>
        <v/>
      </c>
      <c r="AD492" s="1055" t="str">
        <f t="shared" si="79"/>
        <v/>
      </c>
      <c r="AE492" s="576" t="s">
        <v>1011</v>
      </c>
    </row>
    <row r="493" spans="1:31" ht="11.25" customHeight="1" thickBot="1">
      <c r="A493" s="611">
        <v>31</v>
      </c>
      <c r="B493" s="191" t="s">
        <v>595</v>
      </c>
      <c r="C493" s="49"/>
      <c r="D493" s="49"/>
      <c r="E493" s="49"/>
      <c r="F493" s="146" t="s">
        <v>479</v>
      </c>
      <c r="G493" s="146" t="s">
        <v>478</v>
      </c>
      <c r="H493" s="49"/>
      <c r="I493" s="49"/>
      <c r="J493" s="49"/>
      <c r="K493" s="71"/>
      <c r="L493" s="676" t="s">
        <v>432</v>
      </c>
      <c r="M493" s="127"/>
      <c r="N493" s="194" t="s">
        <v>595</v>
      </c>
      <c r="O493" s="49"/>
      <c r="P493" s="49"/>
      <c r="Q493" s="27" t="s">
        <v>479</v>
      </c>
      <c r="R493" s="27" t="s">
        <v>478</v>
      </c>
      <c r="S493" s="49"/>
      <c r="U493" s="49"/>
      <c r="V493" s="49"/>
      <c r="W493" s="71"/>
      <c r="X493" s="664" t="s">
        <v>432</v>
      </c>
      <c r="AA493" s="462" t="str">
        <f t="shared" si="78"/>
        <v>C-Spine AP</v>
      </c>
      <c r="AB493" s="1202"/>
      <c r="AC493" s="551" t="str">
        <f t="shared" si="70"/>
        <v/>
      </c>
      <c r="AD493" s="1055" t="str">
        <f t="shared" si="79"/>
        <v/>
      </c>
      <c r="AE493" s="576" t="s">
        <v>1012</v>
      </c>
    </row>
    <row r="494" spans="1:31" ht="11.25" customHeight="1" thickBot="1">
      <c r="A494" s="611">
        <v>32</v>
      </c>
      <c r="B494" s="127"/>
      <c r="C494" s="49"/>
      <c r="D494" s="49"/>
      <c r="E494" s="49"/>
      <c r="F494" s="118" t="str">
        <f>IF(Q494="","",Q494)</f>
        <v/>
      </c>
      <c r="G494" s="118" t="str">
        <f>IF(R494="","",R494)</f>
        <v/>
      </c>
      <c r="H494" s="49"/>
      <c r="I494" s="42" t="s">
        <v>590</v>
      </c>
      <c r="J494" s="141" t="str">
        <f>IF(V494="","",V494)</f>
        <v>TBD</v>
      </c>
      <c r="K494" s="71"/>
      <c r="L494" s="676" t="s">
        <v>432</v>
      </c>
      <c r="M494" s="66"/>
      <c r="N494" s="49"/>
      <c r="O494" s="49"/>
      <c r="P494" s="49"/>
      <c r="Q494" s="616"/>
      <c r="R494" s="616"/>
      <c r="S494" s="49"/>
      <c r="U494" s="749" t="s">
        <v>590</v>
      </c>
      <c r="V494" s="740" t="str">
        <f>IF(Q494="NA","NA",IF(OR(Q494="",R494=""),"TBD",IF(AND(Q494&lt;=5,R494&lt;=5),"YES","NO")))</f>
        <v>TBD</v>
      </c>
      <c r="W494" s="71"/>
      <c r="X494" s="664" t="s">
        <v>432</v>
      </c>
      <c r="AA494" s="462" t="str">
        <f t="shared" si="78"/>
        <v>Skull</v>
      </c>
      <c r="AB494" s="1202"/>
      <c r="AC494" s="551" t="str">
        <f t="shared" si="70"/>
        <v/>
      </c>
      <c r="AD494" s="1055" t="str">
        <f t="shared" si="79"/>
        <v/>
      </c>
      <c r="AE494" s="576" t="s">
        <v>1013</v>
      </c>
    </row>
    <row r="495" spans="1:31" ht="11.25" customHeight="1">
      <c r="A495" s="611">
        <v>33</v>
      </c>
      <c r="B495" s="66"/>
      <c r="C495" s="49"/>
      <c r="D495" s="49"/>
      <c r="E495" s="49"/>
      <c r="K495" s="71"/>
      <c r="L495" s="676" t="s">
        <v>432</v>
      </c>
      <c r="M495" s="66"/>
      <c r="N495" s="49"/>
      <c r="O495" s="49"/>
      <c r="P495" s="714" t="s">
        <v>397</v>
      </c>
      <c r="Q495" s="807" t="str">
        <f>IF(AB92="","",AB92)</f>
        <v/>
      </c>
      <c r="R495" s="807" t="str">
        <f>IF(AB93="","",AB93)</f>
        <v/>
      </c>
      <c r="W495" s="71"/>
      <c r="X495" s="664" t="s">
        <v>432</v>
      </c>
      <c r="AA495" s="462" t="str">
        <f t="shared" si="78"/>
        <v>Foot</v>
      </c>
      <c r="AB495" s="1202"/>
      <c r="AC495" s="551" t="str">
        <f t="shared" si="70"/>
        <v/>
      </c>
      <c r="AD495" s="1055" t="str">
        <f t="shared" si="79"/>
        <v/>
      </c>
      <c r="AE495" s="576" t="s">
        <v>1014</v>
      </c>
    </row>
    <row r="496" spans="1:31" ht="11.25" customHeight="1">
      <c r="A496" s="611">
        <v>34</v>
      </c>
      <c r="B496" s="192" t="s">
        <v>591</v>
      </c>
      <c r="C496" s="100" t="s">
        <v>597</v>
      </c>
      <c r="D496" s="49"/>
      <c r="E496" s="49"/>
      <c r="F496" s="49"/>
      <c r="G496" s="49"/>
      <c r="J496" s="49"/>
      <c r="K496" s="71"/>
      <c r="L496" s="676" t="s">
        <v>432</v>
      </c>
      <c r="M496" s="102"/>
      <c r="N496" s="132" t="s">
        <v>591</v>
      </c>
      <c r="O496" s="100" t="s">
        <v>597</v>
      </c>
      <c r="P496" s="49"/>
      <c r="Q496" s="49"/>
      <c r="R496" s="49"/>
      <c r="S496" s="49"/>
      <c r="U496" s="50"/>
      <c r="V496" s="49"/>
      <c r="W496" s="71"/>
      <c r="X496" s="664" t="s">
        <v>432</v>
      </c>
      <c r="AA496" s="462" t="str">
        <f t="shared" si="78"/>
        <v>Knee</v>
      </c>
      <c r="AB496" s="1202"/>
      <c r="AC496" s="551" t="str">
        <f t="shared" si="70"/>
        <v/>
      </c>
      <c r="AD496" s="1055" t="str">
        <f t="shared" si="79"/>
        <v/>
      </c>
      <c r="AE496" s="576" t="s">
        <v>1015</v>
      </c>
    </row>
    <row r="497" spans="1:31" ht="11.25" customHeight="1">
      <c r="A497" s="611">
        <v>35</v>
      </c>
      <c r="B497" s="127"/>
      <c r="D497" s="49"/>
      <c r="E497" s="49"/>
      <c r="F497" s="49"/>
      <c r="G497" s="49"/>
      <c r="H497" s="49"/>
      <c r="I497" s="49"/>
      <c r="J497" s="49"/>
      <c r="K497" s="71"/>
      <c r="L497" s="676" t="s">
        <v>432</v>
      </c>
      <c r="M497" s="127"/>
      <c r="W497" s="71"/>
      <c r="X497" s="664" t="s">
        <v>432</v>
      </c>
      <c r="AA497" s="462" t="str">
        <f t="shared" si="78"/>
        <v>Pelvis AP</v>
      </c>
      <c r="AB497" s="1202"/>
      <c r="AC497" s="551" t="str">
        <f t="shared" si="70"/>
        <v/>
      </c>
      <c r="AD497" s="1055" t="str">
        <f t="shared" si="79"/>
        <v/>
      </c>
      <c r="AE497" s="576" t="s">
        <v>1016</v>
      </c>
    </row>
    <row r="498" spans="1:31" ht="11.25" customHeight="1">
      <c r="A498" s="611">
        <v>36</v>
      </c>
      <c r="B498" s="102" t="s">
        <v>573</v>
      </c>
      <c r="C498" s="922" t="str">
        <f>IF(O498="","",IF(LEN(O498)&lt;=135,O498,IF(LEN(O498)&lt;=260,LEFT(O498,SEARCH(" ",O498,125)),LEFT(O498,SEARCH(" ",O498,130)))))</f>
        <v/>
      </c>
      <c r="D498" s="48"/>
      <c r="E498" s="48"/>
      <c r="F498" s="48"/>
      <c r="G498" s="48"/>
      <c r="H498" s="48"/>
      <c r="I498" s="48"/>
      <c r="J498" s="48"/>
      <c r="K498" s="71"/>
      <c r="L498" s="676" t="s">
        <v>432</v>
      </c>
      <c r="M498" s="127"/>
      <c r="N498" s="577" t="s">
        <v>573</v>
      </c>
      <c r="O498" s="713" t="str">
        <f>IF(O500&lt;&gt;"",O500,IF(OR(AB431=0,AB431=""),"",AB431))</f>
        <v/>
      </c>
      <c r="P498" s="48"/>
      <c r="Q498" s="48"/>
      <c r="R498" s="48"/>
      <c r="S498" s="48"/>
      <c r="T498" s="48"/>
      <c r="U498" s="48"/>
      <c r="V498" s="48"/>
      <c r="W498" s="103"/>
      <c r="X498" s="664" t="s">
        <v>432</v>
      </c>
      <c r="AA498" s="462" t="str">
        <f t="shared" si="78"/>
        <v>Shoulder</v>
      </c>
      <c r="AB498" s="1202"/>
      <c r="AC498" s="551" t="str">
        <f t="shared" si="70"/>
        <v/>
      </c>
      <c r="AD498" s="1055" t="str">
        <f t="shared" si="79"/>
        <v/>
      </c>
      <c r="AE498" s="576" t="s">
        <v>1017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432</v>
      </c>
      <c r="M499" s="85"/>
      <c r="N499" s="609" t="s">
        <v>303</v>
      </c>
      <c r="O499" s="59"/>
      <c r="P499" s="921">
        <f>LEN(O498)</f>
        <v>0</v>
      </c>
      <c r="Q499" s="59"/>
      <c r="R499" s="59"/>
      <c r="S499" s="59"/>
      <c r="T499" s="59"/>
      <c r="U499" s="59"/>
      <c r="V499" s="59"/>
      <c r="W499" s="105"/>
      <c r="X499" s="664" t="s">
        <v>432</v>
      </c>
      <c r="AA499" s="462" t="str">
        <f t="shared" si="78"/>
        <v>LS Spine AP</v>
      </c>
      <c r="AB499" s="1202"/>
      <c r="AC499" s="551" t="str">
        <f t="shared" si="70"/>
        <v/>
      </c>
      <c r="AD499" s="1055" t="str">
        <f t="shared" si="79"/>
        <v/>
      </c>
      <c r="AE499" s="576" t="s">
        <v>1018</v>
      </c>
    </row>
    <row r="500" spans="1:31" ht="11.25" customHeight="1">
      <c r="A500" s="611">
        <v>38</v>
      </c>
      <c r="B500" s="85"/>
      <c r="C500" s="922" t="str">
        <f>IF(LEN(O498)&lt;=265,"",RIGHT(O498,LEN(O498)-SEARCH(" ",O498,255)))</f>
        <v/>
      </c>
      <c r="D500" s="48"/>
      <c r="E500" s="48"/>
      <c r="F500" s="48"/>
      <c r="G500" s="48"/>
      <c r="H500" s="48"/>
      <c r="I500" s="48"/>
      <c r="J500" s="48"/>
      <c r="K500" s="71"/>
      <c r="L500" s="676" t="s">
        <v>432</v>
      </c>
      <c r="M500" s="66"/>
      <c r="N500" s="1024" t="s">
        <v>640</v>
      </c>
      <c r="O500" s="1026"/>
      <c r="P500" s="59"/>
      <c r="Q500" s="59"/>
      <c r="R500" s="48"/>
      <c r="S500" s="48"/>
      <c r="T500" s="48"/>
      <c r="U500" s="48"/>
      <c r="V500" s="48"/>
      <c r="W500" s="103"/>
      <c r="X500" s="664" t="s">
        <v>432</v>
      </c>
      <c r="AA500" s="462"/>
      <c r="AB500" s="49"/>
      <c r="AC500" s="551" t="str">
        <f t="shared" si="70"/>
        <v/>
      </c>
      <c r="AD500" s="457"/>
    </row>
    <row r="501" spans="1:31" ht="11.25" customHeight="1">
      <c r="A501" s="611">
        <v>39</v>
      </c>
      <c r="B501" s="127"/>
      <c r="K501" s="71"/>
      <c r="L501" s="676" t="s">
        <v>432</v>
      </c>
      <c r="M501" s="127"/>
      <c r="W501" s="71"/>
      <c r="X501" s="664" t="s">
        <v>432</v>
      </c>
      <c r="AA501" s="132" t="s">
        <v>328</v>
      </c>
      <c r="AB501" s="1193"/>
      <c r="AC501" s="551" t="str">
        <f t="shared" si="70"/>
        <v/>
      </c>
      <c r="AD501" s="1062">
        <f>O170</f>
        <v>0</v>
      </c>
      <c r="AE501" s="576" t="s">
        <v>1019</v>
      </c>
    </row>
    <row r="502" spans="1:31" ht="11.25" customHeight="1">
      <c r="A502" s="611">
        <v>40</v>
      </c>
      <c r="B502" s="191" t="s">
        <v>598</v>
      </c>
      <c r="C502" s="1"/>
      <c r="E502" s="128" t="str">
        <f>Q502</f>
        <v>Measurements (lux) at 100cm*</v>
      </c>
      <c r="F502" s="128"/>
      <c r="I502" s="128" t="s">
        <v>599</v>
      </c>
      <c r="J502" s="159"/>
      <c r="K502" s="71"/>
      <c r="L502" s="676" t="s">
        <v>432</v>
      </c>
      <c r="M502" s="127"/>
      <c r="N502" s="194" t="s">
        <v>598</v>
      </c>
      <c r="O502" s="1"/>
      <c r="Q502" s="128" t="str">
        <f>IF(OR(O507="",O507=2),"Measurements (lux) at 100cm*",IF(O507=1,"Measurements (Ft-cd) at 100cm*"))</f>
        <v>Measurements (lux) at 100cm*</v>
      </c>
      <c r="R502" s="128"/>
      <c r="U502" s="128" t="s">
        <v>599</v>
      </c>
      <c r="V502" s="159"/>
      <c r="W502" s="71"/>
      <c r="X502" s="664" t="s">
        <v>432</v>
      </c>
      <c r="AA502" s="457"/>
      <c r="AB502" s="49"/>
      <c r="AC502" s="551" t="str">
        <f t="shared" si="70"/>
        <v/>
      </c>
      <c r="AD502" s="575"/>
      <c r="AE502" s="576"/>
    </row>
    <row r="503" spans="1:31" ht="11.25" customHeight="1" thickBot="1">
      <c r="A503" s="611">
        <v>41</v>
      </c>
      <c r="B503" s="191" t="s">
        <v>600</v>
      </c>
      <c r="D503" s="138" t="s">
        <v>601</v>
      </c>
      <c r="E503" s="138" t="s">
        <v>602</v>
      </c>
      <c r="F503" s="138" t="s">
        <v>603</v>
      </c>
      <c r="G503" s="146" t="s">
        <v>604</v>
      </c>
      <c r="H503" s="1"/>
      <c r="I503" s="152" t="str">
        <f>U503</f>
        <v>(lux)</v>
      </c>
      <c r="J503" s="157"/>
      <c r="K503" s="71"/>
      <c r="L503" s="676" t="s">
        <v>432</v>
      </c>
      <c r="M503" s="127"/>
      <c r="N503" s="194" t="s">
        <v>600</v>
      </c>
      <c r="P503" s="6" t="s">
        <v>601</v>
      </c>
      <c r="Q503" s="6" t="s">
        <v>602</v>
      </c>
      <c r="R503" s="6" t="s">
        <v>603</v>
      </c>
      <c r="S503" s="27" t="s">
        <v>604</v>
      </c>
      <c r="U503" s="152" t="str">
        <f>IF(OR(O507="",O507=2),"(lux)",IF(O507=1,"(ft-cd)"))</f>
        <v>(lux)</v>
      </c>
      <c r="V503" s="157"/>
      <c r="W503" s="71"/>
      <c r="X503" s="664" t="s">
        <v>432</v>
      </c>
      <c r="AA503" s="457"/>
      <c r="AB503" s="1193"/>
      <c r="AC503" s="551" t="str">
        <f t="shared" si="70"/>
        <v/>
      </c>
      <c r="AD503" s="1062">
        <f>O172</f>
        <v>0</v>
      </c>
      <c r="AE503" s="576" t="s">
        <v>1020</v>
      </c>
    </row>
    <row r="504" spans="1:31" ht="11.25" customHeight="1">
      <c r="A504" s="611">
        <v>42</v>
      </c>
      <c r="B504" s="45"/>
      <c r="D504" s="14" t="str">
        <f>IF(P504="","",P504)</f>
        <v/>
      </c>
      <c r="E504" s="14" t="str">
        <f>IF(Q504="","",Q504)</f>
        <v/>
      </c>
      <c r="F504" s="14" t="str">
        <f>IF(R504="","",R504)</f>
        <v/>
      </c>
      <c r="G504" s="14" t="str">
        <f>IF(S504="","",S504)</f>
        <v/>
      </c>
      <c r="H504" s="1"/>
      <c r="I504" s="1284" t="str">
        <f>IF(U504="","",U504)</f>
        <v>TBD</v>
      </c>
      <c r="J504" s="1285"/>
      <c r="K504" s="71"/>
      <c r="L504" s="676" t="s">
        <v>432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432</v>
      </c>
      <c r="AA504" s="457"/>
      <c r="AB504" s="49"/>
      <c r="AC504" s="551" t="str">
        <f t="shared" si="70"/>
        <v/>
      </c>
      <c r="AD504" s="575"/>
      <c r="AE504" s="576"/>
    </row>
    <row r="505" spans="1:31" ht="11.25" customHeight="1" thickBot="1">
      <c r="A505" s="611">
        <v>43</v>
      </c>
      <c r="B505" s="45"/>
      <c r="D505" s="50" t="s">
        <v>605</v>
      </c>
      <c r="K505" s="71"/>
      <c r="L505" s="676" t="s">
        <v>432</v>
      </c>
      <c r="M505" s="45"/>
      <c r="P505" s="50" t="s">
        <v>605</v>
      </c>
      <c r="W505" s="71"/>
      <c r="X505" s="664" t="s">
        <v>432</v>
      </c>
      <c r="AA505" s="457"/>
      <c r="AB505" s="1193"/>
      <c r="AC505" s="551" t="str">
        <f t="shared" si="70"/>
        <v/>
      </c>
      <c r="AD505" s="1062">
        <f>O174</f>
        <v>0</v>
      </c>
      <c r="AE505" s="576" t="s">
        <v>1021</v>
      </c>
    </row>
    <row r="506" spans="1:31" ht="11.25" customHeight="1" thickBot="1">
      <c r="A506" s="611">
        <v>44</v>
      </c>
      <c r="B506" s="192" t="s">
        <v>591</v>
      </c>
      <c r="C506" s="100" t="str">
        <f>O508</f>
        <v>Average light field illumination &gt;= 160 lux.</v>
      </c>
      <c r="I506" s="42" t="s">
        <v>590</v>
      </c>
      <c r="J506" s="141" t="str">
        <f>IF(V506="","",V506)</f>
        <v>TBD</v>
      </c>
      <c r="K506" s="71"/>
      <c r="L506" s="676" t="s">
        <v>432</v>
      </c>
      <c r="M506" s="127"/>
      <c r="N506" s="462" t="s">
        <v>1070</v>
      </c>
      <c r="O506" s="1078" t="str">
        <f>IF(O507&lt;&gt;"",O507,IF(OR(AB474=0,AB474=""),"",AB474))</f>
        <v/>
      </c>
      <c r="P506" s="685" t="s">
        <v>1071</v>
      </c>
      <c r="U506" s="749" t="s">
        <v>590</v>
      </c>
      <c r="V506" s="740" t="str">
        <f>IF(OR(M473=2,M473=3,P504="NA"),"NA",IF(OR(P504="",Q504="",R504="",S504=""),"TBD",IF(O507=1,IF(AVERAGE(P504:S504)&gt;=15,"YES","NO"),IF(OR(O507="",O507=2),IF(AVERAGE(P504:S504)&gt;160,"YES","NO")))))</f>
        <v>TBD</v>
      </c>
      <c r="W506" s="71"/>
      <c r="X506" s="664" t="s">
        <v>432</v>
      </c>
      <c r="AA506" s="457"/>
      <c r="AB506" s="49"/>
      <c r="AC506" s="551" t="str">
        <f t="shared" si="70"/>
        <v/>
      </c>
      <c r="AD506" s="575"/>
      <c r="AE506" s="576"/>
    </row>
    <row r="507" spans="1:31" ht="11.25" customHeight="1">
      <c r="A507" s="611">
        <v>45</v>
      </c>
      <c r="B507" s="127"/>
      <c r="C507" s="54" t="s">
        <v>67</v>
      </c>
      <c r="D507" s="59" t="str">
        <f>IF($O$687="","",$O$687)</f>
        <v>Piranha 1 CB2-17090320</v>
      </c>
      <c r="E507" s="59"/>
      <c r="F507" s="49"/>
      <c r="G507" s="54" t="s">
        <v>1133</v>
      </c>
      <c r="H507" s="1143" t="str">
        <f>IF(H692="","",H692)</f>
        <v/>
      </c>
      <c r="J507" s="54" t="s">
        <v>1138</v>
      </c>
      <c r="K507" s="1144" t="str">
        <f>IF(K692="","",K692)</f>
        <v/>
      </c>
      <c r="L507" s="676" t="s">
        <v>432</v>
      </c>
      <c r="M507" s="102"/>
      <c r="O507" s="701"/>
      <c r="W507" s="71"/>
      <c r="X507" s="664" t="s">
        <v>432</v>
      </c>
      <c r="AA507" s="457"/>
      <c r="AB507" s="1193"/>
      <c r="AC507" s="551" t="str">
        <f t="shared" si="70"/>
        <v/>
      </c>
      <c r="AD507" s="1062">
        <f>O176</f>
        <v>0</v>
      </c>
      <c r="AE507" s="576" t="s">
        <v>1022</v>
      </c>
    </row>
    <row r="508" spans="1:31" ht="11.25" customHeight="1">
      <c r="A508" s="611">
        <v>46</v>
      </c>
      <c r="B508" s="127"/>
      <c r="K508" s="71"/>
      <c r="L508" s="676" t="s">
        <v>432</v>
      </c>
      <c r="M508" s="127"/>
      <c r="N508" s="132" t="s">
        <v>591</v>
      </c>
      <c r="O508" s="100" t="str">
        <f>IF(OR(O506="",O506=2),"Average light field illumination &gt;= 160 lux.",IF(O506=1,"Average light field illumination &gt;=15 ft-cd."))</f>
        <v>Average light field illumination &gt;= 160 lux.</v>
      </c>
      <c r="T508" s="50"/>
      <c r="W508" s="71"/>
      <c r="X508" s="664" t="s">
        <v>432</v>
      </c>
      <c r="AA508" s="457"/>
      <c r="AB508" s="49"/>
      <c r="AC508" s="551" t="str">
        <f t="shared" si="70"/>
        <v/>
      </c>
      <c r="AD508" s="575"/>
      <c r="AE508" s="576"/>
    </row>
    <row r="509" spans="1:31" ht="11.25" customHeight="1" thickBot="1">
      <c r="A509" s="611">
        <v>47</v>
      </c>
      <c r="B509" s="102" t="s">
        <v>573</v>
      </c>
      <c r="C509" s="922" t="str">
        <f>IF(O510="","",IF(LEN(O510)&lt;=135,O510,IF(LEN(O510)&lt;=260,LEFT(O510,SEARCH(" ",O510,125)),LEFT(O510,SEARCH(" ",O510,130)))))</f>
        <v/>
      </c>
      <c r="D509" s="48"/>
      <c r="E509" s="48"/>
      <c r="F509" s="48"/>
      <c r="G509" s="48"/>
      <c r="H509" s="48"/>
      <c r="I509" s="48"/>
      <c r="J509" s="48"/>
      <c r="K509" s="69"/>
      <c r="L509" s="676" t="s">
        <v>432</v>
      </c>
      <c r="M509" s="127"/>
      <c r="T509" s="714" t="s">
        <v>397</v>
      </c>
      <c r="U509" s="1269" t="str">
        <f>IF(OR(AB473=0,AB473=""),"",AB473)</f>
        <v/>
      </c>
      <c r="V509" s="1270"/>
      <c r="W509" s="71"/>
      <c r="X509" s="664" t="s">
        <v>432</v>
      </c>
      <c r="AA509" s="457"/>
      <c r="AB509" s="1193"/>
      <c r="AC509" s="551" t="str">
        <f t="shared" si="70"/>
        <v/>
      </c>
      <c r="AD509" s="1062">
        <f>O178</f>
        <v>0</v>
      </c>
      <c r="AE509" s="576" t="s">
        <v>1023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432</v>
      </c>
      <c r="M510" s="85"/>
      <c r="N510" s="577" t="s">
        <v>573</v>
      </c>
      <c r="O510" s="713" t="str">
        <f>IF(O512&lt;&gt;"",O512,IF(OR(AB432=0,AB432=""),"",AB432))</f>
        <v/>
      </c>
      <c r="P510" s="48"/>
      <c r="Q510" s="48"/>
      <c r="R510" s="48"/>
      <c r="S510" s="48"/>
      <c r="T510" s="48"/>
      <c r="U510" s="48"/>
      <c r="V510" s="48"/>
      <c r="W510" s="103"/>
      <c r="X510" s="664" t="s">
        <v>432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432</v>
      </c>
      <c r="M511" s="66"/>
      <c r="N511" s="609" t="s">
        <v>303</v>
      </c>
      <c r="O511" s="59"/>
      <c r="P511" s="921">
        <f>LEN(O510)</f>
        <v>0</v>
      </c>
      <c r="Q511" s="59"/>
      <c r="R511" s="59"/>
      <c r="S511" s="59"/>
      <c r="T511" s="59"/>
      <c r="U511" s="59"/>
      <c r="V511" s="59"/>
      <c r="W511" s="105"/>
      <c r="X511" s="664" t="s">
        <v>432</v>
      </c>
      <c r="AA511" s="457"/>
      <c r="AB511" s="1193"/>
      <c r="AC511" s="551" t="str">
        <f t="shared" si="70"/>
        <v/>
      </c>
      <c r="AD511" s="1062">
        <f>O180</f>
        <v>0</v>
      </c>
      <c r="AE511" s="576" t="s">
        <v>1024</v>
      </c>
    </row>
    <row r="512" spans="1:31" ht="11.25" customHeight="1">
      <c r="A512" s="611">
        <v>50</v>
      </c>
      <c r="B512" s="127"/>
      <c r="K512" s="71"/>
      <c r="L512" s="676" t="s">
        <v>432</v>
      </c>
      <c r="M512" s="127"/>
      <c r="N512" s="1024" t="s">
        <v>640</v>
      </c>
      <c r="O512" s="1026"/>
      <c r="P512" s="59"/>
      <c r="Q512" s="59"/>
      <c r="R512" s="48"/>
      <c r="S512" s="48"/>
      <c r="T512" s="48"/>
      <c r="U512" s="48"/>
      <c r="V512" s="48"/>
      <c r="W512" s="103"/>
      <c r="X512" s="664" t="s">
        <v>432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432</v>
      </c>
      <c r="M513" s="127"/>
      <c r="W513" s="69"/>
      <c r="X513" s="664" t="s">
        <v>432</v>
      </c>
      <c r="AA513" s="457"/>
      <c r="AB513" s="1193"/>
      <c r="AC513" s="551" t="str">
        <f t="shared" si="70"/>
        <v/>
      </c>
      <c r="AD513" s="1062">
        <f>O182</f>
        <v>0</v>
      </c>
      <c r="AE513" s="576" t="s">
        <v>1025</v>
      </c>
    </row>
    <row r="514" spans="1:31" ht="11.25" customHeight="1">
      <c r="A514" s="611">
        <v>52</v>
      </c>
      <c r="B514" s="191"/>
      <c r="C514" s="49"/>
      <c r="D514" s="109"/>
      <c r="E514" s="111"/>
      <c r="F514" s="109"/>
      <c r="G514" s="111"/>
      <c r="H514" s="49"/>
      <c r="I514" s="128"/>
      <c r="J514" s="53"/>
      <c r="K514" s="69"/>
      <c r="L514" s="676" t="s">
        <v>432</v>
      </c>
      <c r="M514" s="127"/>
      <c r="W514" s="69"/>
      <c r="X514" s="664" t="s">
        <v>432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432</v>
      </c>
      <c r="M515" s="66"/>
      <c r="W515" s="69"/>
      <c r="X515" s="664" t="s">
        <v>432</v>
      </c>
      <c r="AA515" s="457"/>
      <c r="AB515" s="1193"/>
      <c r="AC515" s="551" t="str">
        <f t="shared" si="70"/>
        <v/>
      </c>
      <c r="AD515" s="1062">
        <f>O184</f>
        <v>0</v>
      </c>
      <c r="AE515" s="576" t="s">
        <v>1026</v>
      </c>
    </row>
    <row r="516" spans="1:31" ht="11.25" customHeight="1">
      <c r="A516" s="611">
        <v>54</v>
      </c>
      <c r="B516" s="66"/>
      <c r="C516" s="49"/>
      <c r="D516" s="50"/>
      <c r="E516" s="49"/>
      <c r="F516" s="49"/>
      <c r="G516" s="49"/>
      <c r="H516" s="49"/>
      <c r="I516" s="49"/>
      <c r="J516" s="49"/>
      <c r="K516" s="69"/>
      <c r="L516" s="676" t="s">
        <v>432</v>
      </c>
      <c r="M516" s="66"/>
      <c r="W516" s="69"/>
      <c r="X516" s="664" t="s">
        <v>432</v>
      </c>
      <c r="AA516" s="457"/>
      <c r="AB516" s="49"/>
      <c r="AC516" s="551" t="str">
        <f t="shared" si="70"/>
        <v/>
      </c>
      <c r="AD516" s="575"/>
      <c r="AE516" s="576"/>
    </row>
    <row r="517" spans="1:31" ht="11.25" customHeight="1">
      <c r="A517" s="611">
        <v>55</v>
      </c>
      <c r="B517" s="66"/>
      <c r="C517" s="49"/>
      <c r="H517" s="49"/>
      <c r="I517" s="37"/>
      <c r="J517" s="49"/>
      <c r="K517" s="69"/>
      <c r="L517" s="676" t="s">
        <v>432</v>
      </c>
      <c r="M517" s="66"/>
      <c r="W517" s="69"/>
      <c r="X517" s="664" t="s">
        <v>432</v>
      </c>
      <c r="AA517" s="457"/>
      <c r="AB517" s="1193"/>
      <c r="AC517" s="551" t="str">
        <f t="shared" si="70"/>
        <v/>
      </c>
      <c r="AD517" s="1062">
        <f>O186</f>
        <v>0</v>
      </c>
      <c r="AE517" s="576" t="s">
        <v>1027</v>
      </c>
    </row>
    <row r="518" spans="1:31" ht="11.25" customHeight="1">
      <c r="A518" s="611">
        <v>56</v>
      </c>
      <c r="B518" s="192"/>
      <c r="C518" s="100"/>
      <c r="D518" s="49"/>
      <c r="E518" s="49"/>
      <c r="F518" s="49"/>
      <c r="K518" s="69"/>
      <c r="L518" s="676" t="s">
        <v>432</v>
      </c>
      <c r="M518" s="102"/>
      <c r="W518" s="69"/>
      <c r="X518" s="664" t="s">
        <v>432</v>
      </c>
      <c r="AA518" s="462"/>
      <c r="AB518" s="49"/>
      <c r="AC518" s="551" t="str">
        <f t="shared" si="70"/>
        <v/>
      </c>
      <c r="AD518" s="575"/>
      <c r="AE518" s="576"/>
    </row>
    <row r="519" spans="1:31" ht="11.25" customHeight="1">
      <c r="A519" s="611">
        <v>57</v>
      </c>
      <c r="B519" s="127"/>
      <c r="K519" s="71"/>
      <c r="L519" s="676" t="s">
        <v>432</v>
      </c>
      <c r="M519" s="127"/>
      <c r="W519" s="69"/>
      <c r="X519" s="664" t="s">
        <v>432</v>
      </c>
      <c r="AA519" s="675" t="s">
        <v>377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432</v>
      </c>
      <c r="M520" s="127"/>
      <c r="N520" s="54"/>
      <c r="O520" s="375"/>
      <c r="P520" s="49"/>
      <c r="Q520" s="49"/>
      <c r="R520" s="49"/>
      <c r="S520" s="49"/>
      <c r="T520" s="49"/>
      <c r="U520" s="49"/>
      <c r="V520" s="49"/>
      <c r="W520" s="69"/>
      <c r="X520" s="664" t="s">
        <v>432</v>
      </c>
      <c r="AA520" s="462" t="s">
        <v>631</v>
      </c>
      <c r="AB520" s="1199"/>
      <c r="AC520" s="551" t="str">
        <f>IF(AND(OR(AB520="",AB520=0),OR(AD520="",AD520=0)),"",IF(AB520&lt;&gt;AD520,"Change",""))</f>
        <v/>
      </c>
      <c r="AD520" s="1057" t="str">
        <f>IF(OR(M1003=0,M1003=""),"",M1003)</f>
        <v/>
      </c>
      <c r="AE520" s="576" t="s">
        <v>366</v>
      </c>
    </row>
    <row r="521" spans="1:31" ht="11.25" customHeight="1">
      <c r="A521" s="611">
        <v>59</v>
      </c>
      <c r="B521" s="85"/>
      <c r="C521" s="374"/>
      <c r="D521" s="49"/>
      <c r="E521" s="49"/>
      <c r="F521" s="49"/>
      <c r="G521" s="49"/>
      <c r="H521" s="49"/>
      <c r="I521" s="49"/>
      <c r="J521" s="49"/>
      <c r="K521" s="69"/>
      <c r="L521" s="676" t="s">
        <v>432</v>
      </c>
      <c r="M521" s="85"/>
      <c r="N521" s="50"/>
      <c r="O521" s="50"/>
      <c r="P521" s="50"/>
      <c r="Q521" s="50"/>
      <c r="R521" s="50"/>
      <c r="S521" s="50"/>
      <c r="T521" s="50"/>
      <c r="U521" s="50"/>
      <c r="V521" s="50"/>
      <c r="W521" s="70"/>
      <c r="X521" s="664" t="s">
        <v>432</v>
      </c>
      <c r="AA521" s="462" t="s">
        <v>251</v>
      </c>
      <c r="AB521" s="1200"/>
      <c r="AC521" s="551" t="str">
        <f>IF(AND(OR(AB521="",AB521=0),OR(AD521="",AD521=0)),"",IF(AB521&lt;&gt;AD521,"Change",""))</f>
        <v>Change</v>
      </c>
      <c r="AD521" s="1051" t="str">
        <f>IF(OR(N1003=0,N1003=""),"",N1003)</f>
        <v>C</v>
      </c>
      <c r="AE521" s="576" t="s">
        <v>558</v>
      </c>
    </row>
    <row r="522" spans="1:31" ht="11.25" customHeight="1">
      <c r="A522" s="611">
        <v>60</v>
      </c>
      <c r="B522" s="85"/>
      <c r="C522" s="374"/>
      <c r="D522" s="49"/>
      <c r="E522" s="49"/>
      <c r="F522" s="49"/>
      <c r="G522" s="49"/>
      <c r="H522" s="49"/>
      <c r="I522" s="49"/>
      <c r="J522" s="49"/>
      <c r="K522" s="69"/>
      <c r="L522" s="676" t="s">
        <v>432</v>
      </c>
      <c r="M522" s="66"/>
      <c r="N522" s="49"/>
      <c r="O522" s="50"/>
      <c r="P522" s="50"/>
      <c r="Q522" s="50"/>
      <c r="R522" s="49"/>
      <c r="S522" s="49"/>
      <c r="T522" s="49"/>
      <c r="U522" s="49"/>
      <c r="V522" s="49"/>
      <c r="W522" s="69"/>
      <c r="X522" s="664" t="s">
        <v>432</v>
      </c>
      <c r="AA522" s="462" t="s">
        <v>627</v>
      </c>
      <c r="AB522" s="1200"/>
      <c r="AC522" s="551" t="str">
        <f>IF(AND(OR(AB522="",AB522=0),OR(AD522="",AD522=0)),"",IF(AB522&lt;&gt;AD522,"Change",""))</f>
        <v/>
      </c>
      <c r="AD522" s="1057" t="str">
        <f>IF(OR(M1008=0,M1008=""),"",M1008)</f>
        <v/>
      </c>
      <c r="AE522" s="576" t="s">
        <v>367</v>
      </c>
    </row>
    <row r="523" spans="1:31" ht="11.25" customHeight="1" thickBot="1">
      <c r="A523" s="611">
        <v>61</v>
      </c>
      <c r="B523" s="193"/>
      <c r="C523" s="83"/>
      <c r="D523" s="83"/>
      <c r="E523" s="83"/>
      <c r="F523" s="83"/>
      <c r="G523" s="83"/>
      <c r="H523" s="83"/>
      <c r="I523" s="83"/>
      <c r="J523" s="83"/>
      <c r="K523" s="86"/>
      <c r="L523" s="676" t="s">
        <v>432</v>
      </c>
      <c r="M523" s="98"/>
      <c r="N523" s="83"/>
      <c r="O523" s="83"/>
      <c r="P523" s="83"/>
      <c r="Q523" s="83"/>
      <c r="R523" s="83"/>
      <c r="S523" s="83"/>
      <c r="T523" s="83"/>
      <c r="U523" s="83"/>
      <c r="V523" s="83"/>
      <c r="W523" s="86"/>
      <c r="X523" s="664" t="s">
        <v>432</v>
      </c>
      <c r="AA523" s="462" t="s">
        <v>365</v>
      </c>
      <c r="AB523" s="1202"/>
      <c r="AC523" s="551" t="str">
        <f>IF(AND(OR(AB523="",AB523=0),OR(AD523="",AD523=0)),"",IF(AB523&lt;&gt;AD523,"Change",""))</f>
        <v>Change</v>
      </c>
      <c r="AD523" s="1067">
        <f>IF(OR(N1008=0,N1008=""),"",N1008)</f>
        <v>7.8740157480314963</v>
      </c>
      <c r="AE523" s="576" t="s">
        <v>559</v>
      </c>
    </row>
    <row r="524" spans="1:31" ht="11.25" customHeight="1" thickTop="1">
      <c r="A524" s="611">
        <v>62</v>
      </c>
      <c r="L524" s="676" t="s">
        <v>432</v>
      </c>
      <c r="X524" s="664" t="s">
        <v>432</v>
      </c>
      <c r="AB524" s="49"/>
      <c r="AD524" s="457"/>
    </row>
    <row r="525" spans="1:31" ht="11.25" customHeight="1">
      <c r="A525" s="611">
        <v>63</v>
      </c>
      <c r="L525" s="676" t="s">
        <v>432</v>
      </c>
      <c r="X525" s="664" t="s">
        <v>432</v>
      </c>
      <c r="AA525" s="675" t="s">
        <v>378</v>
      </c>
      <c r="AB525" s="49"/>
      <c r="AC525" s="551" t="str">
        <f>IF(AND(OR(AB525="",AB525=0),OR(AD525="",AD525=0)),"",IF(AB525&lt;&gt;AD525,"Change",""))</f>
        <v/>
      </c>
      <c r="AD525" s="457"/>
      <c r="AE525" s="576"/>
    </row>
    <row r="526" spans="1:31" ht="11.25" customHeight="1">
      <c r="A526" s="611">
        <v>64</v>
      </c>
      <c r="L526" s="676" t="s">
        <v>432</v>
      </c>
      <c r="X526" s="664" t="s">
        <v>432</v>
      </c>
      <c r="AA526" s="462" t="s">
        <v>631</v>
      </c>
      <c r="AB526" s="1199"/>
      <c r="AC526" s="551" t="str">
        <f>IF(AND(OR(AB526="",AB526=0),OR(AD526="",AD526=0)),"",IF(AB526&lt;&gt;AD526,"Change",""))</f>
        <v/>
      </c>
      <c r="AD526" s="1056" t="str">
        <f>IF(OR(Q1063=0,Q1063=""),"",Q1063)</f>
        <v/>
      </c>
      <c r="AE526" s="576" t="s">
        <v>373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432</v>
      </c>
      <c r="M527" s="49"/>
      <c r="N527" s="49"/>
      <c r="O527" s="49"/>
      <c r="P527" s="49"/>
      <c r="Q527" s="49"/>
      <c r="R527" s="49"/>
      <c r="S527" s="49"/>
      <c r="T527" s="49"/>
      <c r="U527" s="49"/>
      <c r="V527" s="49"/>
      <c r="W527" s="49"/>
      <c r="X527" s="664" t="s">
        <v>432</v>
      </c>
      <c r="AA527" s="462" t="s">
        <v>251</v>
      </c>
      <c r="AB527" s="1200"/>
      <c r="AC527" s="551" t="str">
        <f>IF(AND(OR(AB527="",AB527=0),OR(AD527="",AD527=0)),"",IF(AB527&lt;&gt;AD527,"Change",""))</f>
        <v>Change</v>
      </c>
      <c r="AD527" s="1068" t="str">
        <f>IF(OR(Q1064=0,Q1064=""),"",Q1064)</f>
        <v>C</v>
      </c>
      <c r="AE527" s="576" t="s">
        <v>374</v>
      </c>
    </row>
    <row r="528" spans="1:31" ht="11.25" customHeight="1">
      <c r="A528" s="611">
        <v>66</v>
      </c>
      <c r="B528" s="52" t="str">
        <v>Room Number:</v>
      </c>
      <c r="C528" s="373" t="str">
        <v/>
      </c>
      <c r="D528" s="49"/>
      <c r="E528" s="49"/>
      <c r="F528" s="49"/>
      <c r="G528" s="49"/>
      <c r="H528" s="49"/>
      <c r="I528" s="52" t="str">
        <v>Survey ID:</v>
      </c>
      <c r="J528" s="1045" t="str">
        <v/>
      </c>
      <c r="L528" s="676" t="s">
        <v>432</v>
      </c>
      <c r="M528" s="49"/>
      <c r="N528" s="49"/>
      <c r="O528" s="49"/>
      <c r="P528" s="49"/>
      <c r="Q528" s="49"/>
      <c r="R528" s="49"/>
      <c r="S528" s="49"/>
      <c r="T528" s="49"/>
      <c r="U528" s="49"/>
      <c r="V528" s="49"/>
      <c r="W528" s="49"/>
      <c r="X528" s="664" t="s">
        <v>432</v>
      </c>
      <c r="AA528" s="462" t="s">
        <v>627</v>
      </c>
      <c r="AB528" s="1200"/>
      <c r="AC528" s="551" t="str">
        <f>IF(AND(OR(AB528="",AB528=0),OR(AD528="",AD528=0)),"",IF(AB528&lt;&gt;AD528,"Change",""))</f>
        <v/>
      </c>
      <c r="AD528" s="1057" t="str">
        <f>IF(OR(Q1065=0,Q1065=""),"",Q1065)</f>
        <v/>
      </c>
      <c r="AE528" s="576" t="s">
        <v>375</v>
      </c>
    </row>
    <row r="529" spans="1:31" ht="11.25" customHeight="1">
      <c r="A529" s="611">
        <v>1</v>
      </c>
      <c r="K529" s="131" t="str">
        <f>$F$2</f>
        <v>Medical University of South Carolina</v>
      </c>
      <c r="L529" s="676" t="s">
        <v>432</v>
      </c>
      <c r="M529" s="49"/>
      <c r="W529" s="131" t="str">
        <f>$F$2</f>
        <v>Medical University of South Carolina</v>
      </c>
      <c r="X529" s="664" t="s">
        <v>432</v>
      </c>
      <c r="AA529" s="462" t="s">
        <v>365</v>
      </c>
      <c r="AB529" s="1202"/>
      <c r="AC529" s="551" t="str">
        <f>IF(AND(OR(AB529="",AB529=0),OR(AD529="",AD529=0)),"",IF(AB529&lt;&gt;AD529,"Change",""))</f>
        <v>Change</v>
      </c>
      <c r="AD529" s="1067">
        <f>IF(OR(Q1066=0,Q1066=""),"",Q1066)</f>
        <v>7.8740157480314963</v>
      </c>
      <c r="AE529" s="576" t="s">
        <v>376</v>
      </c>
    </row>
    <row r="530" spans="1:31" ht="11.25" customHeight="1" thickBot="1">
      <c r="A530" s="611">
        <v>2</v>
      </c>
      <c r="F530" s="82" t="str">
        <f>$F$464</f>
        <v>Measurement Data</v>
      </c>
      <c r="K530" s="132" t="str">
        <f>$F$5</f>
        <v>Radiographic System Compliance Inspection</v>
      </c>
      <c r="L530" s="676" t="s">
        <v>432</v>
      </c>
      <c r="N530" s="87"/>
      <c r="O530" s="87"/>
      <c r="P530" s="1"/>
      <c r="R530" s="82" t="str">
        <f>$F$464</f>
        <v>Measurement Data</v>
      </c>
      <c r="W530" s="132" t="str">
        <f>$F$5</f>
        <v>Radiographic System Compliance Inspection</v>
      </c>
      <c r="X530" s="664" t="s">
        <v>432</v>
      </c>
      <c r="AB530" s="49"/>
      <c r="AD530" s="457"/>
    </row>
    <row r="531" spans="1:31" ht="11.25" customHeight="1" thickTop="1" thickBot="1">
      <c r="A531" s="611">
        <v>3</v>
      </c>
      <c r="B531" s="79"/>
      <c r="C531" s="62"/>
      <c r="D531" s="62"/>
      <c r="E531" s="62"/>
      <c r="F531" s="197"/>
      <c r="G531" s="62"/>
      <c r="H531" s="62"/>
      <c r="I531" s="62"/>
      <c r="J531" s="62"/>
      <c r="K531" s="80"/>
      <c r="L531" s="676" t="s">
        <v>432</v>
      </c>
      <c r="M531" s="79"/>
      <c r="N531" s="62"/>
      <c r="O531" s="62"/>
      <c r="P531" s="62"/>
      <c r="Q531" s="62"/>
      <c r="R531" s="62"/>
      <c r="S531" s="62"/>
      <c r="T531" s="62"/>
      <c r="U531" s="853"/>
      <c r="V531" s="62"/>
      <c r="W531" s="80"/>
      <c r="X531" s="664" t="s">
        <v>432</v>
      </c>
      <c r="AA531" s="675" t="s">
        <v>379</v>
      </c>
      <c r="AB531" s="49"/>
      <c r="AC531" s="551" t="str">
        <f>IF(AND(OR(AB531="",AB531=0),OR(AD531="",AD531=0)),"",IF(AB531&lt;&gt;AD531,"Change",""))</f>
        <v/>
      </c>
      <c r="AD531" s="457"/>
      <c r="AE531" s="576"/>
    </row>
    <row r="532" spans="1:31" ht="11.25" customHeight="1" thickTop="1" thickBot="1">
      <c r="A532" s="611">
        <v>4</v>
      </c>
      <c r="B532" s="127"/>
      <c r="F532" s="190" t="s">
        <v>463</v>
      </c>
      <c r="G532" s="209"/>
      <c r="H532" s="532"/>
      <c r="I532" s="533"/>
      <c r="J532" s="534" t="s">
        <v>607</v>
      </c>
      <c r="K532" s="535" t="str">
        <f>IF(R416=1,"NA",R416)</f>
        <v>NA</v>
      </c>
      <c r="L532" s="676" t="s">
        <v>432</v>
      </c>
      <c r="M532" s="127"/>
      <c r="P532" s="994" t="str">
        <f>IF(M409=2,"**SKIP**","**TEST**")</f>
        <v>**TEST**</v>
      </c>
      <c r="R532" s="594" t="s">
        <v>335</v>
      </c>
      <c r="W532" s="71"/>
      <c r="X532" s="664" t="s">
        <v>432</v>
      </c>
      <c r="AA532" s="462" t="s">
        <v>631</v>
      </c>
      <c r="AB532" s="1199"/>
      <c r="AC532" s="551" t="str">
        <f>IF(AND(OR(AB532="",AB532=0),OR(AD532="",AD532=0)),"",IF(AB532&lt;&gt;AD532,"Change",""))</f>
        <v/>
      </c>
      <c r="AD532" s="1068" t="str">
        <f>IF(OR(R1127=0,R1127=""),"",R1127)</f>
        <v/>
      </c>
      <c r="AE532" s="576" t="s">
        <v>369</v>
      </c>
    </row>
    <row r="533" spans="1:31" ht="11.25" customHeight="1" thickTop="1">
      <c r="A533" s="611">
        <v>5</v>
      </c>
      <c r="B533" s="127"/>
      <c r="G533" s="536"/>
      <c r="H533" s="537" t="s">
        <v>609</v>
      </c>
      <c r="I533" s="538"/>
      <c r="J533" s="539"/>
      <c r="K533" s="540"/>
      <c r="L533" s="676" t="s">
        <v>432</v>
      </c>
      <c r="M533" s="191" t="s">
        <v>626</v>
      </c>
      <c r="S533" s="589" t="s">
        <v>339</v>
      </c>
      <c r="U533" s="574"/>
      <c r="W533" s="464"/>
      <c r="X533" s="664" t="s">
        <v>432</v>
      </c>
      <c r="AA533" s="462" t="s">
        <v>251</v>
      </c>
      <c r="AB533" s="1200"/>
      <c r="AC533" s="551" t="str">
        <f>IF(AND(OR(AB533="",AB533=0),OR(AD533="",AD533=0)),"",IF(AB533&lt;&gt;AD533,"Change",""))</f>
        <v>Change</v>
      </c>
      <c r="AD533" s="1057" t="str">
        <f>IF(OR(R1128=0,R1128=""),"",R1128)</f>
        <v>C</v>
      </c>
      <c r="AE533" s="576" t="s">
        <v>370</v>
      </c>
    </row>
    <row r="534" spans="1:31" ht="11.25" customHeight="1" thickBot="1">
      <c r="A534" s="611">
        <v>6</v>
      </c>
      <c r="B534" s="191"/>
      <c r="C534" s="49"/>
      <c r="D534" s="49"/>
      <c r="E534" s="49"/>
      <c r="F534" s="49"/>
      <c r="G534" s="326"/>
      <c r="H534" s="541" t="s">
        <v>611</v>
      </c>
      <c r="I534" s="542"/>
      <c r="J534" s="543"/>
      <c r="K534" s="544"/>
      <c r="L534" s="676" t="s">
        <v>432</v>
      </c>
      <c r="M534" s="127"/>
      <c r="S534" s="589" t="s">
        <v>340</v>
      </c>
      <c r="T534" s="589"/>
      <c r="U534" s="574"/>
      <c r="W534" s="464"/>
      <c r="X534" s="664" t="s">
        <v>432</v>
      </c>
      <c r="AA534" s="462" t="s">
        <v>627</v>
      </c>
      <c r="AB534" s="1200"/>
      <c r="AC534" s="551" t="str">
        <f>IF(AND(OR(AB534="",AB534=0),OR(AD534="",AD534=0)),"",IF(AB534&lt;&gt;AD534,"Change",""))</f>
        <v/>
      </c>
      <c r="AD534" s="1057" t="str">
        <f>IF(OR(R1129=0,R1129=""),"",R1129)</f>
        <v/>
      </c>
      <c r="AE534" s="576" t="s">
        <v>371</v>
      </c>
    </row>
    <row r="535" spans="1:31" ht="11.25" customHeight="1" thickTop="1" thickBot="1">
      <c r="A535" s="611">
        <v>9</v>
      </c>
      <c r="B535" s="191" t="s">
        <v>612</v>
      </c>
      <c r="C535" s="326"/>
      <c r="E535" s="128" t="s">
        <v>613</v>
      </c>
      <c r="F535" s="128"/>
      <c r="G535" s="49" t="s">
        <v>589</v>
      </c>
      <c r="H535" s="529"/>
      <c r="I535" s="530"/>
      <c r="J535" s="545" t="s">
        <v>614</v>
      </c>
      <c r="K535" s="531" t="str">
        <f>IF(M421="","NA",M421&amp;" cm")</f>
        <v>NA</v>
      </c>
      <c r="L535" s="676" t="s">
        <v>432</v>
      </c>
      <c r="M535" s="127"/>
      <c r="O535" s="128" t="s">
        <v>613</v>
      </c>
      <c r="P535" s="128"/>
      <c r="R535" s="49" t="s">
        <v>589</v>
      </c>
      <c r="T535" s="590" t="s">
        <v>625</v>
      </c>
      <c r="U535" s="49"/>
      <c r="W535" s="673" t="s">
        <v>624</v>
      </c>
      <c r="X535" s="664" t="s">
        <v>432</v>
      </c>
      <c r="AA535" s="462" t="s">
        <v>365</v>
      </c>
      <c r="AB535" s="1202"/>
      <c r="AC535" s="551" t="str">
        <f>IF(AND(OR(AB535="",AB535=0),OR(AD535="",AD535=0)),"",IF(AB535&lt;&gt;AD535,"Change",""))</f>
        <v>Change</v>
      </c>
      <c r="AD535" s="1067">
        <f>IF(OR(R1130=0,R1130=""),"",R1130)</f>
        <v>7.8740157480314963</v>
      </c>
      <c r="AE535" s="576" t="s">
        <v>372</v>
      </c>
    </row>
    <row r="536" spans="1:31" ht="11.25" customHeight="1" thickTop="1" thickBot="1">
      <c r="A536" s="611">
        <v>8</v>
      </c>
      <c r="B536" s="127"/>
      <c r="E536" s="152" t="s">
        <v>616</v>
      </c>
      <c r="F536" s="153"/>
      <c r="G536" s="146" t="s">
        <v>617</v>
      </c>
      <c r="H536" s="49"/>
      <c r="I536" s="49"/>
      <c r="J536" s="49"/>
      <c r="K536" s="69"/>
      <c r="L536" s="676" t="s">
        <v>432</v>
      </c>
      <c r="M536" s="127"/>
      <c r="O536" s="152" t="s">
        <v>616</v>
      </c>
      <c r="P536" s="153"/>
      <c r="R536" s="117" t="s">
        <v>617</v>
      </c>
      <c r="T536" s="49"/>
      <c r="U536" s="49"/>
      <c r="W536" s="674" t="s">
        <v>625</v>
      </c>
      <c r="X536" s="664" t="s">
        <v>432</v>
      </c>
      <c r="AB536" s="49"/>
      <c r="AD536" s="457"/>
    </row>
    <row r="537" spans="1:31" ht="11.25" customHeight="1" thickBot="1">
      <c r="A537" s="611">
        <v>9</v>
      </c>
      <c r="B537" s="127"/>
      <c r="E537" s="147" t="str">
        <f>IF(O537="","",O537)</f>
        <v/>
      </c>
      <c r="F537" s="148"/>
      <c r="G537" s="154" t="str">
        <f>IF(R537="","",R537)</f>
        <v>NA</v>
      </c>
      <c r="H537" s="49"/>
      <c r="I537" s="42" t="s">
        <v>590</v>
      </c>
      <c r="J537" s="141" t="str">
        <f>IF(U537="","",U537)</f>
        <v>NA</v>
      </c>
      <c r="K537" s="69"/>
      <c r="L537" s="676" t="s">
        <v>432</v>
      </c>
      <c r="M537" s="127"/>
      <c r="O537" s="1273"/>
      <c r="P537" s="1274"/>
      <c r="Q537" s="715"/>
      <c r="R537" s="875" t="str">
        <f>IF(OR($M$409&lt;&gt;1,$O$537="NA"),"NA",IF(OR($M$420="",$M$420=0,$M$421="",$M$421=0,$O$537=""),"TBD",(180/PI())*ATAN(($O$537/152)*IF($T$535="Upper",IF($M$410=1,1,($M$420/($M$420+$M$421))),IF($M$410=1,(($M$420-15.2)/$M$420),((($M$420+$M$421)-(15.2+$M$421))/($M$420+$M$421)))))))</f>
        <v>NA</v>
      </c>
      <c r="T537" s="749" t="s">
        <v>590</v>
      </c>
      <c r="U537" s="740" t="str">
        <f>IF($R$537="NA","NA",IF($R$537="TBD","TBD",IF($R$537&lt;=2,"YES","NO")))</f>
        <v>NA</v>
      </c>
      <c r="W537" s="71"/>
      <c r="X537" s="664" t="s">
        <v>432</v>
      </c>
      <c r="AA537" s="675" t="s">
        <v>1032</v>
      </c>
      <c r="AB537" s="49"/>
      <c r="AD537" s="457"/>
    </row>
    <row r="538" spans="1:31" ht="11.25" customHeight="1">
      <c r="A538" s="611">
        <v>10</v>
      </c>
      <c r="B538" s="127"/>
      <c r="E538" s="49"/>
      <c r="F538" s="49"/>
      <c r="G538" s="49"/>
      <c r="H538" s="49"/>
      <c r="I538" s="49"/>
      <c r="J538" s="49"/>
      <c r="K538" s="69"/>
      <c r="L538" s="676" t="s">
        <v>432</v>
      </c>
      <c r="M538" s="127"/>
      <c r="O538" s="49"/>
      <c r="P538" s="49"/>
      <c r="Q538" s="712" t="s">
        <v>397</v>
      </c>
      <c r="R538" s="846" t="str">
        <f>IF(OR(AB475=0,AB475=""),"",AB475)</f>
        <v/>
      </c>
      <c r="S538" s="49"/>
      <c r="T538" s="49"/>
      <c r="U538" s="49"/>
      <c r="W538" s="71"/>
      <c r="X538" s="664" t="s">
        <v>432</v>
      </c>
      <c r="AA538" s="462"/>
      <c r="AB538" s="1203"/>
      <c r="AC538" s="551" t="str">
        <f t="shared" ref="AC538:AC543" si="80">IF(AND(OR(AB538="",AB538=0),OR(AD538="",AD538=0)),"",IF(AB538&lt;&gt;AD538,"Change",""))</f>
        <v/>
      </c>
      <c r="AD538" s="1062" t="str">
        <f t="shared" ref="AD538:AD543" si="81">IF(OR(T1="",T1=0),"",T1)</f>
        <v/>
      </c>
      <c r="AE538" s="555" t="s">
        <v>1033</v>
      </c>
    </row>
    <row r="539" spans="1:31" ht="11.25" customHeight="1">
      <c r="A539" s="611">
        <v>11</v>
      </c>
      <c r="B539" s="192" t="s">
        <v>591</v>
      </c>
      <c r="C539" s="100" t="s">
        <v>623</v>
      </c>
      <c r="D539" s="49"/>
      <c r="E539" s="49"/>
      <c r="H539" s="49"/>
      <c r="I539" s="49"/>
      <c r="J539" s="49"/>
      <c r="K539" s="69"/>
      <c r="L539" s="676" t="s">
        <v>432</v>
      </c>
      <c r="M539" s="127"/>
      <c r="N539" s="132" t="s">
        <v>591</v>
      </c>
      <c r="O539" s="100" t="s">
        <v>623</v>
      </c>
      <c r="P539" s="49"/>
      <c r="Q539" s="49"/>
      <c r="R539" s="50"/>
      <c r="T539" s="49"/>
      <c r="U539" s="49"/>
      <c r="V539" s="49"/>
      <c r="W539" s="71"/>
      <c r="X539" s="664" t="s">
        <v>432</v>
      </c>
      <c r="AB539" s="1203"/>
      <c r="AC539" s="551" t="str">
        <f t="shared" si="80"/>
        <v/>
      </c>
      <c r="AD539" s="1062" t="str">
        <f t="shared" si="81"/>
        <v/>
      </c>
      <c r="AE539" s="555" t="s">
        <v>1034</v>
      </c>
    </row>
    <row r="540" spans="1:31" ht="11.25" customHeight="1">
      <c r="A540" s="611">
        <v>12</v>
      </c>
      <c r="B540" s="127"/>
      <c r="K540" s="71"/>
      <c r="L540" s="676" t="s">
        <v>432</v>
      </c>
      <c r="M540" s="127"/>
      <c r="W540" s="71"/>
      <c r="X540" s="664" t="s">
        <v>432</v>
      </c>
      <c r="AB540" s="1203"/>
      <c r="AC540" s="551" t="str">
        <f t="shared" si="80"/>
        <v/>
      </c>
      <c r="AD540" s="1062" t="str">
        <f t="shared" si="81"/>
        <v/>
      </c>
      <c r="AE540" s="555" t="s">
        <v>1035</v>
      </c>
    </row>
    <row r="541" spans="1:31" ht="11.25" customHeight="1">
      <c r="A541" s="611">
        <v>13</v>
      </c>
      <c r="B541" s="191" t="s">
        <v>626</v>
      </c>
      <c r="C541" s="199"/>
      <c r="D541" s="128"/>
      <c r="E541" s="49"/>
      <c r="K541" s="71"/>
      <c r="L541" s="676" t="s">
        <v>432</v>
      </c>
      <c r="M541" s="191" t="s">
        <v>341</v>
      </c>
      <c r="T541" s="712" t="s">
        <v>397</v>
      </c>
      <c r="U541" s="755" t="str">
        <f>IF(OR(AB115=0,AB115=""),"",AB115)</f>
        <v/>
      </c>
      <c r="V541" s="977"/>
      <c r="W541" s="71"/>
      <c r="X541" s="664" t="s">
        <v>432</v>
      </c>
      <c r="AB541" s="1203"/>
      <c r="AC541" s="551" t="str">
        <f t="shared" si="80"/>
        <v/>
      </c>
      <c r="AD541" s="1062" t="str">
        <f t="shared" si="81"/>
        <v/>
      </c>
      <c r="AE541" s="555" t="s">
        <v>1036</v>
      </c>
    </row>
    <row r="542" spans="1:31" ht="11.25" customHeight="1">
      <c r="A542" s="611">
        <v>14</v>
      </c>
      <c r="B542" s="127"/>
      <c r="K542" s="71"/>
      <c r="L542" s="676" t="s">
        <v>432</v>
      </c>
      <c r="M542" s="127"/>
      <c r="N542" s="54" t="s">
        <v>627</v>
      </c>
      <c r="O542" s="813" t="str">
        <f>IF(O543&lt;&gt;"",O543,IF(OR(AB112=0,AB112=""),"",AB112))</f>
        <v/>
      </c>
      <c r="P542" s="54" t="s">
        <v>628</v>
      </c>
      <c r="Q542" s="813" t="str">
        <f>IF(Q543&lt;&gt;"",Q543,IF(OR(AB113=0,AB113=""),"",AB113))</f>
        <v/>
      </c>
      <c r="R542" s="54" t="s">
        <v>629</v>
      </c>
      <c r="S542" s="848" t="str">
        <f>IF(S543&lt;&gt;"",S543,IF(OR(AB114=0,AB114=""),"",AB114))</f>
        <v/>
      </c>
      <c r="T542" s="54" t="s">
        <v>630</v>
      </c>
      <c r="U542" s="847">
        <f>IF(AND(OR(U543=0,U543=""),OR(Q542=0,Q542=""),OR(S542=0,S542=""),OR(U541=0,U541="")),0.5,IF(U543&lt;&gt;"","See below",IF(AND(Q542&lt;&gt;"",S542&lt;&gt;""),Q542*S542,U541)))</f>
        <v>0.5</v>
      </c>
      <c r="W542" s="71"/>
      <c r="X542" s="664" t="s">
        <v>432</v>
      </c>
      <c r="AB542" s="1203"/>
      <c r="AC542" s="551" t="str">
        <f t="shared" si="80"/>
        <v/>
      </c>
      <c r="AD542" s="1062" t="str">
        <f t="shared" si="81"/>
        <v/>
      </c>
      <c r="AE542" s="555" t="s">
        <v>1037</v>
      </c>
    </row>
    <row r="543" spans="1:31" ht="11.25" customHeight="1">
      <c r="A543" s="611">
        <v>15</v>
      </c>
      <c r="B543" s="102" t="s">
        <v>627</v>
      </c>
      <c r="C543" s="48" t="str">
        <f>IF(O542="","",O542)</f>
        <v/>
      </c>
      <c r="D543" s="54" t="s">
        <v>628</v>
      </c>
      <c r="E543" s="48" t="str">
        <f>IF($U$543&lt;&gt;"","",IF(Q542="","",Q542))</f>
        <v/>
      </c>
      <c r="F543" s="54" t="s">
        <v>629</v>
      </c>
      <c r="G543" s="48" t="str">
        <f>IF($U$543&lt;&gt;"","",IF(S542="","",S542))</f>
        <v/>
      </c>
      <c r="H543" s="54" t="s">
        <v>630</v>
      </c>
      <c r="I543" s="48">
        <f>IF(U542="","",IF(U543="",U542,U543))</f>
        <v>0.5</v>
      </c>
      <c r="J543" s="54" t="s">
        <v>631</v>
      </c>
      <c r="K543" s="103" t="str">
        <f>IF(U423="","",U423&amp;" "&amp;TBCM_IN)</f>
        <v/>
      </c>
      <c r="L543" s="676" t="s">
        <v>432</v>
      </c>
      <c r="M543" s="127"/>
      <c r="N543" s="675" t="s">
        <v>70</v>
      </c>
      <c r="O543" s="768"/>
      <c r="P543" s="675" t="s">
        <v>70</v>
      </c>
      <c r="Q543" s="768"/>
      <c r="R543" s="675" t="s">
        <v>70</v>
      </c>
      <c r="S543" s="771"/>
      <c r="T543" s="675" t="s">
        <v>70</v>
      </c>
      <c r="U543" s="854"/>
      <c r="W543" s="71"/>
      <c r="X543" s="664" t="s">
        <v>432</v>
      </c>
      <c r="AB543" s="1203"/>
      <c r="AC543" s="551" t="str">
        <f t="shared" si="80"/>
        <v/>
      </c>
      <c r="AD543" s="1062" t="str">
        <f t="shared" si="81"/>
        <v/>
      </c>
      <c r="AE543" s="555" t="s">
        <v>1038</v>
      </c>
    </row>
    <row r="544" spans="1:31" ht="11.25" customHeight="1" thickBot="1">
      <c r="A544" s="611">
        <v>16</v>
      </c>
      <c r="B544" s="127"/>
      <c r="K544" s="71"/>
      <c r="L544" s="676" t="s">
        <v>432</v>
      </c>
      <c r="M544" s="102"/>
      <c r="W544" s="71"/>
      <c r="X544" s="664" t="s">
        <v>432</v>
      </c>
    </row>
    <row r="545" spans="1:33" ht="11.25" customHeight="1">
      <c r="A545" s="611">
        <v>17</v>
      </c>
      <c r="B545" s="127"/>
      <c r="C545" s="128" t="s">
        <v>633</v>
      </c>
      <c r="D545" s="111"/>
      <c r="J545" s="49"/>
      <c r="K545" s="71"/>
      <c r="L545" s="676" t="s">
        <v>432</v>
      </c>
      <c r="M545" s="463"/>
      <c r="N545" s="491" t="s">
        <v>639</v>
      </c>
      <c r="O545" s="457"/>
      <c r="P545" s="457"/>
      <c r="Q545" s="849" t="s">
        <v>633</v>
      </c>
      <c r="R545" s="850"/>
      <c r="W545" s="71"/>
      <c r="X545" s="664" t="s">
        <v>432</v>
      </c>
    </row>
    <row r="546" spans="1:33" ht="11.25" customHeight="1" thickBot="1">
      <c r="A546" s="611">
        <v>18</v>
      </c>
      <c r="B546" s="127"/>
      <c r="C546" s="152" t="str">
        <f>"Distance ("&amp;TBCM_IN&amp;")"</f>
        <v>Distance (cm)</v>
      </c>
      <c r="D546" s="151"/>
      <c r="I546" s="152" t="s">
        <v>633</v>
      </c>
      <c r="J546" s="151"/>
      <c r="K546" s="71"/>
      <c r="L546" s="676" t="s">
        <v>432</v>
      </c>
      <c r="M546" s="617"/>
      <c r="N546" s="490" t="s">
        <v>641</v>
      </c>
      <c r="O546" s="457"/>
      <c r="P546" s="457"/>
      <c r="Q546" s="851" t="str">
        <f>"Distance ("&amp;TBCM_IN&amp;")"</f>
        <v>Distance (cm)</v>
      </c>
      <c r="R546" s="852"/>
      <c r="T546" s="152" t="s">
        <v>633</v>
      </c>
      <c r="U546" s="151"/>
      <c r="W546" s="71"/>
      <c r="X546" s="664" t="s">
        <v>432</v>
      </c>
    </row>
    <row r="547" spans="1:33" ht="11.25" customHeight="1" thickBot="1">
      <c r="A547" s="611">
        <v>19</v>
      </c>
      <c r="B547" s="127"/>
      <c r="C547" s="147">
        <f>IF(M546&lt;&gt;"","NA",Q547)</f>
        <v>0</v>
      </c>
      <c r="D547" s="158"/>
      <c r="I547" s="195" t="s">
        <v>590</v>
      </c>
      <c r="J547" s="196" t="str">
        <f>U547</f>
        <v>TBD</v>
      </c>
      <c r="K547" s="71"/>
      <c r="L547" s="676" t="s">
        <v>432</v>
      </c>
      <c r="M547" s="617"/>
      <c r="N547" s="490" t="s">
        <v>647</v>
      </c>
      <c r="O547" s="457"/>
      <c r="P547" s="457"/>
      <c r="Q547" s="1271"/>
      <c r="R547" s="1272"/>
      <c r="T547" s="749" t="s">
        <v>590</v>
      </c>
      <c r="U547" s="740" t="str">
        <f>IF(OR($Q$547="NA",$M$409=2),"NA",IF($M$546=1,"YES",IF($M$546=2,"NO",IF(Q547="","TBD",IF(TBCM_IN="cm",IF(Q547&gt;0.02*U423,"NO","YES"),IF(Q547&gt;0.02*U423,"NO","YES"))))))</f>
        <v>TBD</v>
      </c>
      <c r="W547" s="71"/>
      <c r="X547" s="664" t="s">
        <v>432</v>
      </c>
    </row>
    <row r="548" spans="1:33" ht="11.25" customHeight="1" thickBot="1">
      <c r="A548" s="611">
        <v>20</v>
      </c>
      <c r="B548" s="127"/>
      <c r="C548" s="49"/>
      <c r="I548" s="37"/>
      <c r="K548" s="71"/>
      <c r="L548" s="676" t="s">
        <v>432</v>
      </c>
      <c r="M548" s="617"/>
      <c r="N548" s="490" t="s">
        <v>649</v>
      </c>
      <c r="O548" s="457"/>
      <c r="P548" s="457"/>
      <c r="Q548" s="752" t="s">
        <v>397</v>
      </c>
      <c r="R548" s="964" t="str">
        <f>IF(OR(AB476=0,AB476=""),"",AB476)</f>
        <v/>
      </c>
      <c r="W548" s="71"/>
      <c r="X548" s="664" t="s">
        <v>432</v>
      </c>
    </row>
    <row r="549" spans="1:33" ht="11.25" customHeight="1">
      <c r="A549" s="611">
        <v>21</v>
      </c>
      <c r="B549" s="192" t="s">
        <v>591</v>
      </c>
      <c r="C549" s="100" t="s">
        <v>638</v>
      </c>
      <c r="K549" s="71"/>
      <c r="L549" s="676" t="s">
        <v>432</v>
      </c>
      <c r="M549" s="127"/>
      <c r="N549" s="132" t="s">
        <v>591</v>
      </c>
      <c r="O549" s="100" t="s">
        <v>29</v>
      </c>
      <c r="W549" s="71"/>
      <c r="X549" s="664" t="s">
        <v>432</v>
      </c>
      <c r="AE549"/>
    </row>
    <row r="550" spans="1:33" ht="11.25" customHeight="1" thickBot="1">
      <c r="A550" s="611">
        <v>22</v>
      </c>
      <c r="B550" s="127"/>
      <c r="K550" s="71"/>
      <c r="L550" s="676" t="s">
        <v>432</v>
      </c>
      <c r="M550" s="127"/>
      <c r="W550" s="71"/>
      <c r="X550" s="664" t="s">
        <v>432</v>
      </c>
      <c r="AE550"/>
    </row>
    <row r="551" spans="1:33" ht="11.25" customHeight="1">
      <c r="A551" s="611">
        <v>23</v>
      </c>
      <c r="B551" s="972" t="s">
        <v>642</v>
      </c>
      <c r="C551" s="410"/>
      <c r="D551" s="184" t="s">
        <v>643</v>
      </c>
      <c r="E551" s="410"/>
      <c r="F551" s="184" t="s">
        <v>644</v>
      </c>
      <c r="G551" s="969"/>
      <c r="H551" s="179" t="s">
        <v>645</v>
      </c>
      <c r="I551" s="967"/>
      <c r="J551" s="968" t="s">
        <v>646</v>
      </c>
      <c r="K551" s="976"/>
      <c r="L551" s="676" t="s">
        <v>432</v>
      </c>
      <c r="M551" s="245" t="s">
        <v>642</v>
      </c>
      <c r="N551" s="173"/>
      <c r="O551" s="244" t="s">
        <v>643</v>
      </c>
      <c r="P551" s="173"/>
      <c r="Q551" s="244" t="s">
        <v>644</v>
      </c>
      <c r="R551" s="246"/>
      <c r="T551" s="109" t="s">
        <v>645</v>
      </c>
      <c r="U551" s="128"/>
      <c r="V551" s="109" t="s">
        <v>646</v>
      </c>
      <c r="W551" s="186"/>
      <c r="X551" s="664" t="s">
        <v>432</v>
      </c>
      <c r="AE551"/>
    </row>
    <row r="552" spans="1:33" ht="11.25" customHeight="1" thickBot="1">
      <c r="A552" s="611">
        <v>24</v>
      </c>
      <c r="B552" s="161" t="str">
        <f>"("&amp;TBCM_IN&amp;")"</f>
        <v>(cm)</v>
      </c>
      <c r="C552" s="173"/>
      <c r="D552" s="172" t="str">
        <f>"("&amp;TBCM_IN&amp;")"</f>
        <v>(cm)</v>
      </c>
      <c r="E552" s="173"/>
      <c r="F552" s="172" t="str">
        <f>"("&amp;TBCM_IN&amp;")"</f>
        <v>(cm)</v>
      </c>
      <c r="G552" s="246"/>
      <c r="H552" s="166" t="s">
        <v>648</v>
      </c>
      <c r="I552" s="163"/>
      <c r="J552" s="165" t="s">
        <v>648</v>
      </c>
      <c r="K552" s="186"/>
      <c r="L552" s="676" t="s">
        <v>432</v>
      </c>
      <c r="M552" s="161" t="str">
        <f>"("&amp;TBCM_IN&amp;")"</f>
        <v>(cm)</v>
      </c>
      <c r="N552" s="173"/>
      <c r="O552" s="172" t="str">
        <f>"("&amp;TBCM_IN&amp;")"</f>
        <v>(cm)</v>
      </c>
      <c r="P552" s="173"/>
      <c r="Q552" s="172" t="str">
        <f>"("&amp;TBCM_IN&amp;")"</f>
        <v>(cm)</v>
      </c>
      <c r="R552" s="246"/>
      <c r="T552" s="149" t="s">
        <v>648</v>
      </c>
      <c r="U552" s="163"/>
      <c r="V552" s="165" t="s">
        <v>648</v>
      </c>
      <c r="W552" s="186"/>
      <c r="X552" s="664" t="s">
        <v>432</v>
      </c>
      <c r="AE552"/>
    </row>
    <row r="553" spans="1:33" ht="11.25" customHeight="1" thickBot="1">
      <c r="A553" s="611">
        <v>25</v>
      </c>
      <c r="B553" s="162" t="s">
        <v>478</v>
      </c>
      <c r="C553" s="168" t="s">
        <v>479</v>
      </c>
      <c r="D553" s="169" t="s">
        <v>478</v>
      </c>
      <c r="E553" s="168" t="s">
        <v>479</v>
      </c>
      <c r="F553" s="169" t="s">
        <v>478</v>
      </c>
      <c r="G553" s="171" t="s">
        <v>479</v>
      </c>
      <c r="H553" s="167" t="s">
        <v>478</v>
      </c>
      <c r="I553" s="168" t="s">
        <v>479</v>
      </c>
      <c r="J553" s="169" t="s">
        <v>478</v>
      </c>
      <c r="K553" s="23" t="s">
        <v>479</v>
      </c>
      <c r="L553" s="676" t="s">
        <v>432</v>
      </c>
      <c r="M553" s="247" t="s">
        <v>478</v>
      </c>
      <c r="N553" s="248" t="s">
        <v>479</v>
      </c>
      <c r="O553" s="249" t="s">
        <v>478</v>
      </c>
      <c r="P553" s="248" t="s">
        <v>479</v>
      </c>
      <c r="Q553" s="249" t="s">
        <v>478</v>
      </c>
      <c r="R553" s="250" t="s">
        <v>479</v>
      </c>
      <c r="S553" s="526" t="str">
        <f t="array" ref="S553:S555">Gen_form!$R$414:$R$416</f>
        <v>CR</v>
      </c>
      <c r="T553" s="250" t="s">
        <v>478</v>
      </c>
      <c r="U553" s="248" t="s">
        <v>479</v>
      </c>
      <c r="V553" s="249" t="s">
        <v>478</v>
      </c>
      <c r="W553" s="253" t="s">
        <v>479</v>
      </c>
      <c r="X553" s="664" t="s">
        <v>432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432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432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432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432</v>
      </c>
      <c r="AE555"/>
      <c r="AG555" s="978"/>
    </row>
    <row r="556" spans="1:33" ht="11.25" customHeight="1" thickBot="1">
      <c r="A556" s="611">
        <v>28</v>
      </c>
      <c r="B556" s="160" t="s">
        <v>650</v>
      </c>
      <c r="K556" s="71"/>
      <c r="L556" s="676" t="s">
        <v>432</v>
      </c>
      <c r="M556" s="160" t="s">
        <v>650</v>
      </c>
      <c r="N556" s="49"/>
      <c r="O556" s="49"/>
      <c r="P556" s="49"/>
      <c r="Q556" s="49"/>
      <c r="R556" s="156"/>
      <c r="S556" s="49"/>
      <c r="W556" s="71"/>
      <c r="X556" s="664" t="s">
        <v>432</v>
      </c>
      <c r="AE556"/>
      <c r="AG556" s="978"/>
    </row>
    <row r="557" spans="1:33" ht="11.25" customHeight="1" thickBot="1">
      <c r="A557" s="611">
        <v>29</v>
      </c>
      <c r="B557" s="160" t="s">
        <v>651</v>
      </c>
      <c r="H557" s="180"/>
      <c r="I557" s="181" t="s">
        <v>652</v>
      </c>
      <c r="J557" s="179"/>
      <c r="K557" s="188"/>
      <c r="L557" s="676" t="s">
        <v>432</v>
      </c>
      <c r="M557" s="160" t="s">
        <v>651</v>
      </c>
      <c r="T557" s="806"/>
      <c r="U557" s="1275" t="s">
        <v>652</v>
      </c>
      <c r="V557" s="1275"/>
      <c r="W557" s="805"/>
      <c r="X557" s="664" t="s">
        <v>432</v>
      </c>
      <c r="AE557"/>
      <c r="AG557" s="978"/>
    </row>
    <row r="558" spans="1:33" ht="11.25" customHeight="1">
      <c r="A558" s="611">
        <v>30</v>
      </c>
      <c r="B558" s="66"/>
      <c r="C558" s="49"/>
      <c r="D558" s="49"/>
      <c r="F558" s="184" t="str">
        <f>"Indicated Field Size ("&amp;TBCM_IN&amp;")"</f>
        <v>Indicated Field Size (cm)</v>
      </c>
      <c r="G558" s="185"/>
      <c r="H558" s="165" t="s">
        <v>645</v>
      </c>
      <c r="I558" s="163"/>
      <c r="J558" s="165" t="s">
        <v>646</v>
      </c>
      <c r="K558" s="254"/>
      <c r="L558" s="676" t="s">
        <v>432</v>
      </c>
      <c r="M558" s="723" t="s">
        <v>653</v>
      </c>
      <c r="N558" s="718"/>
      <c r="R558" s="184" t="str">
        <f>"Indicated Field Size ("&amp;TBCM_IN&amp;")"</f>
        <v>Indicated Field Size (cm)</v>
      </c>
      <c r="S558" s="251"/>
      <c r="T558" s="172" t="s">
        <v>645</v>
      </c>
      <c r="U558" s="746"/>
      <c r="V558" s="109" t="s">
        <v>646</v>
      </c>
      <c r="W558" s="747"/>
      <c r="X558" s="664" t="s">
        <v>432</v>
      </c>
      <c r="AE558"/>
      <c r="AG558" s="978"/>
    </row>
    <row r="559" spans="1:33" ht="11.25" customHeight="1" thickBot="1">
      <c r="A559" s="611">
        <v>31</v>
      </c>
      <c r="B559" s="102"/>
      <c r="C559" s="50"/>
      <c r="F559" s="169" t="s">
        <v>478</v>
      </c>
      <c r="G559" s="168" t="s">
        <v>479</v>
      </c>
      <c r="H559" s="169" t="s">
        <v>478</v>
      </c>
      <c r="I559" s="168" t="s">
        <v>479</v>
      </c>
      <c r="J559" s="169" t="s">
        <v>478</v>
      </c>
      <c r="K559" s="23" t="s">
        <v>479</v>
      </c>
      <c r="L559" s="676" t="s">
        <v>432</v>
      </c>
      <c r="M559" s="247" t="s">
        <v>478</v>
      </c>
      <c r="N559" s="720" t="s">
        <v>479</v>
      </c>
      <c r="R559" s="249" t="s">
        <v>478</v>
      </c>
      <c r="S559" s="248" t="s">
        <v>479</v>
      </c>
      <c r="T559" s="249" t="s">
        <v>478</v>
      </c>
      <c r="U559" s="248" t="s">
        <v>479</v>
      </c>
      <c r="V559" s="249" t="s">
        <v>478</v>
      </c>
      <c r="W559" s="253" t="s">
        <v>479</v>
      </c>
      <c r="X559" s="664" t="s">
        <v>432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432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432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432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432</v>
      </c>
    </row>
    <row r="562" spans="1:30" ht="11.25" customHeight="1">
      <c r="A562" s="611">
        <v>34</v>
      </c>
      <c r="B562" s="127"/>
      <c r="K562" s="71"/>
      <c r="L562" s="676" t="s">
        <v>432</v>
      </c>
      <c r="M562" s="127"/>
      <c r="W562" s="71"/>
      <c r="X562" s="664" t="s">
        <v>432</v>
      </c>
    </row>
    <row r="563" spans="1:30" ht="11.25" customHeight="1">
      <c r="A563" s="611">
        <v>35</v>
      </c>
      <c r="B563" s="192" t="s">
        <v>591</v>
      </c>
      <c r="C563" s="100" t="s">
        <v>654</v>
      </c>
      <c r="K563" s="71"/>
      <c r="L563" s="676" t="s">
        <v>432</v>
      </c>
      <c r="M563" s="102"/>
      <c r="N563" s="132" t="s">
        <v>591</v>
      </c>
      <c r="O563" s="100" t="s">
        <v>654</v>
      </c>
      <c r="R563" s="50"/>
      <c r="U563" s="49"/>
      <c r="V563" s="49"/>
      <c r="W563" s="71"/>
      <c r="X563" s="664" t="s">
        <v>432</v>
      </c>
    </row>
    <row r="564" spans="1:30" ht="11.25" customHeight="1">
      <c r="A564" s="611">
        <v>36</v>
      </c>
      <c r="B564" s="200"/>
      <c r="C564" s="100" t="s">
        <v>467</v>
      </c>
      <c r="K564" s="71"/>
      <c r="L564" s="676" t="s">
        <v>432</v>
      </c>
      <c r="M564" s="66"/>
      <c r="N564" s="190"/>
      <c r="O564" s="100" t="s">
        <v>467</v>
      </c>
      <c r="R564" s="50"/>
      <c r="U564" s="49"/>
      <c r="V564" s="49"/>
      <c r="W564" s="71"/>
      <c r="X564" s="664" t="s">
        <v>432</v>
      </c>
    </row>
    <row r="565" spans="1:30" ht="11.25" customHeight="1">
      <c r="A565" s="611">
        <v>37</v>
      </c>
      <c r="B565" s="102" t="s">
        <v>573</v>
      </c>
      <c r="C565" s="922" t="str">
        <f>IF(O565="","",IF(LEN(O565)&lt;=135,O565,IF(LEN(O565)&lt;=260,LEFT(O565,SEARCH(" ",O565,125)),LEFT(O565,SEARCH(" ",O565,130)))))</f>
        <v/>
      </c>
      <c r="D565" s="48"/>
      <c r="E565" s="48"/>
      <c r="F565" s="48"/>
      <c r="G565" s="48"/>
      <c r="H565" s="48"/>
      <c r="I565" s="48"/>
      <c r="J565" s="48"/>
      <c r="K565" s="69"/>
      <c r="L565" s="676" t="s">
        <v>432</v>
      </c>
      <c r="M565" s="127"/>
      <c r="N565" s="577" t="s">
        <v>573</v>
      </c>
      <c r="O565" s="713" t="str">
        <f>IF(O567&lt;&gt;"",O567,IF(OR(AB433=0,AB433=""),"",AB433))</f>
        <v/>
      </c>
      <c r="P565" s="48"/>
      <c r="Q565" s="48"/>
      <c r="R565" s="48"/>
      <c r="S565" s="48"/>
      <c r="T565" s="48"/>
      <c r="U565" s="48"/>
      <c r="V565" s="48"/>
      <c r="W565" s="103"/>
      <c r="X565" s="664" t="s">
        <v>432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432</v>
      </c>
      <c r="M566" s="85"/>
      <c r="N566" s="609" t="s">
        <v>303</v>
      </c>
      <c r="O566" s="59"/>
      <c r="P566" s="921">
        <f>LEN(O565)</f>
        <v>0</v>
      </c>
      <c r="Q566" s="59"/>
      <c r="R566" s="59"/>
      <c r="S566" s="59"/>
      <c r="T566" s="59"/>
      <c r="U566" s="59"/>
      <c r="V566" s="59"/>
      <c r="W566" s="105"/>
      <c r="X566" s="664" t="s">
        <v>432</v>
      </c>
    </row>
    <row r="567" spans="1:30" ht="11.25" customHeight="1">
      <c r="A567" s="611">
        <v>39</v>
      </c>
      <c r="B567" s="85"/>
      <c r="C567" s="922" t="str">
        <f>IF(LEN(O565)&lt;=265,"",RIGHT(O565,LEN(O565)-SEARCH(" ",O565,255)))</f>
        <v/>
      </c>
      <c r="D567" s="48"/>
      <c r="E567" s="48"/>
      <c r="F567" s="48"/>
      <c r="G567" s="48"/>
      <c r="H567" s="48"/>
      <c r="I567" s="48"/>
      <c r="J567" s="48"/>
      <c r="K567" s="69"/>
      <c r="L567" s="676" t="s">
        <v>432</v>
      </c>
      <c r="M567" s="66"/>
      <c r="N567" s="1024" t="s">
        <v>640</v>
      </c>
      <c r="O567" s="1026"/>
      <c r="P567" s="59"/>
      <c r="Q567" s="59"/>
      <c r="R567" s="48"/>
      <c r="S567" s="48"/>
      <c r="T567" s="48"/>
      <c r="U567" s="48"/>
      <c r="V567" s="48"/>
      <c r="W567" s="103"/>
      <c r="X567" s="664" t="s">
        <v>432</v>
      </c>
    </row>
    <row r="568" spans="1:30" ht="11.25" customHeight="1">
      <c r="A568" s="611">
        <v>40</v>
      </c>
      <c r="B568" s="127"/>
      <c r="K568" s="71"/>
      <c r="L568" s="676" t="s">
        <v>432</v>
      </c>
      <c r="M568" s="127"/>
      <c r="W568" s="71"/>
      <c r="X568" s="664" t="s">
        <v>432</v>
      </c>
    </row>
    <row r="569" spans="1:30" ht="11.25" customHeight="1">
      <c r="A569" s="611">
        <v>41</v>
      </c>
      <c r="B569" s="191" t="s">
        <v>655</v>
      </c>
      <c r="C569" s="53"/>
      <c r="D569" s="53"/>
      <c r="E569" s="209"/>
      <c r="K569" s="71"/>
      <c r="L569" s="676" t="s">
        <v>432</v>
      </c>
      <c r="M569" s="127"/>
      <c r="W569" s="71"/>
      <c r="X569" s="664" t="s">
        <v>432</v>
      </c>
    </row>
    <row r="570" spans="1:30" ht="11.25" customHeight="1">
      <c r="A570" s="611">
        <v>42</v>
      </c>
      <c r="B570" s="127"/>
      <c r="C570" s="53"/>
      <c r="J570" s="99" t="s">
        <v>437</v>
      </c>
      <c r="K570" s="71"/>
      <c r="L570" s="676" t="s">
        <v>432</v>
      </c>
      <c r="M570" s="191" t="s">
        <v>655</v>
      </c>
      <c r="N570" s="53"/>
      <c r="O570" s="53"/>
      <c r="P570" s="53"/>
      <c r="W570" s="71"/>
      <c r="X570" s="664" t="s">
        <v>432</v>
      </c>
    </row>
    <row r="571" spans="1:30" ht="11.25" customHeight="1">
      <c r="A571" s="611">
        <v>43</v>
      </c>
      <c r="B571" s="127"/>
      <c r="C571" s="53"/>
      <c r="E571" s="50" t="s">
        <v>656</v>
      </c>
      <c r="J571" s="114" t="str">
        <f>IF(M409=2,"NA",IF($M572="","TBD",IF($M572=1,"YES",IF($M572=3,"NA",""))))</f>
        <v>TBD</v>
      </c>
      <c r="K571" s="115" t="str">
        <f>IF($M572=2,"NO","")</f>
        <v/>
      </c>
      <c r="L571" s="676" t="s">
        <v>432</v>
      </c>
      <c r="M571" s="202" t="s">
        <v>657</v>
      </c>
      <c r="W571" s="71"/>
      <c r="X571" s="664" t="s">
        <v>432</v>
      </c>
    </row>
    <row r="572" spans="1:30" ht="11.25" customHeight="1" thickBot="1">
      <c r="A572" s="611">
        <v>44</v>
      </c>
      <c r="B572" s="127"/>
      <c r="K572" s="71"/>
      <c r="L572" s="676" t="s">
        <v>432</v>
      </c>
      <c r="M572" s="816" t="str">
        <f>IF(N572&lt;&gt;"",N572,IF(OR(AB123=0,AB123=""),"",AB123))</f>
        <v/>
      </c>
      <c r="N572" s="701"/>
      <c r="O572" s="50" t="s">
        <v>658</v>
      </c>
      <c r="W572" s="71"/>
      <c r="X572" s="664" t="s">
        <v>432</v>
      </c>
    </row>
    <row r="573" spans="1:30" ht="11.25" customHeight="1">
      <c r="A573" s="611">
        <v>45</v>
      </c>
      <c r="B573" s="972" t="str">
        <f>"Cassette/Film Size ("&amp;TBCM_IN&amp;")"</f>
        <v>Cassette/Film Size (cm)</v>
      </c>
      <c r="C573" s="410"/>
      <c r="D573" s="184" t="str">
        <f>"Measured* Radiation ("&amp;TBCM_IN&amp;")"</f>
        <v>Measured* Radiation (cm)</v>
      </c>
      <c r="E573" s="410"/>
      <c r="F573" s="1261" t="s">
        <v>648</v>
      </c>
      <c r="G573" s="1262"/>
      <c r="H573" s="1263"/>
      <c r="I573" s="1295" t="s">
        <v>652</v>
      </c>
      <c r="J573" s="1296"/>
      <c r="K573" s="1297"/>
      <c r="L573" s="676" t="s">
        <v>432</v>
      </c>
      <c r="M573" s="127"/>
      <c r="N573" s="243" t="str">
        <f>"Cassette/Film Size ("&amp;TBCM_IN&amp;")"</f>
        <v>Cassette/Film Size (cm)</v>
      </c>
      <c r="O573" s="173"/>
      <c r="P573" s="244" t="str">
        <f>"Measured* Radiation ("&amp;TBCM_IN&amp;")"</f>
        <v>Measured* Radiation (cm)</v>
      </c>
      <c r="Q573" s="173"/>
      <c r="R573" s="1281" t="s">
        <v>648</v>
      </c>
      <c r="S573" s="1282"/>
      <c r="T573" s="1283"/>
      <c r="U573" s="1278" t="s">
        <v>652</v>
      </c>
      <c r="V573" s="1279"/>
      <c r="W573" s="1280"/>
      <c r="X573" s="664" t="s">
        <v>432</v>
      </c>
      <c r="AA573" s="457"/>
      <c r="AB573" s="457"/>
      <c r="AC573" s="457"/>
      <c r="AD573" s="457"/>
    </row>
    <row r="574" spans="1:30" ht="11.25" customHeight="1" thickBot="1">
      <c r="A574" s="611">
        <v>46</v>
      </c>
      <c r="B574" s="162" t="s">
        <v>478</v>
      </c>
      <c r="C574" s="168" t="s">
        <v>479</v>
      </c>
      <c r="D574" s="169" t="s">
        <v>478</v>
      </c>
      <c r="E574" s="203" t="s">
        <v>479</v>
      </c>
      <c r="F574" s="169" t="s">
        <v>478</v>
      </c>
      <c r="G574" s="27" t="s">
        <v>479</v>
      </c>
      <c r="H574" s="27" t="s">
        <v>35</v>
      </c>
      <c r="I574" s="206" t="s">
        <v>478</v>
      </c>
      <c r="J574" s="27" t="s">
        <v>479</v>
      </c>
      <c r="K574" s="518" t="s">
        <v>35</v>
      </c>
      <c r="L574" s="676" t="s">
        <v>432</v>
      </c>
      <c r="M574" s="127"/>
      <c r="N574" s="250" t="s">
        <v>478</v>
      </c>
      <c r="O574" s="248" t="s">
        <v>479</v>
      </c>
      <c r="P574" s="249" t="s">
        <v>478</v>
      </c>
      <c r="Q574" s="252" t="s">
        <v>479</v>
      </c>
      <c r="R574" s="249" t="s">
        <v>478</v>
      </c>
      <c r="S574" s="250" t="s">
        <v>479</v>
      </c>
      <c r="T574" s="250" t="s">
        <v>35</v>
      </c>
      <c r="U574" s="748" t="s">
        <v>478</v>
      </c>
      <c r="V574" s="248" t="s">
        <v>479</v>
      </c>
      <c r="W574" s="1038" t="s">
        <v>35</v>
      </c>
      <c r="X574" s="664" t="s">
        <v>432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432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432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432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432</v>
      </c>
      <c r="AA576" s="457"/>
      <c r="AB576" s="457"/>
      <c r="AC576" s="457"/>
      <c r="AD576" s="457"/>
    </row>
    <row r="577" spans="1:30" ht="11.25" customHeight="1">
      <c r="A577" s="611">
        <v>49</v>
      </c>
      <c r="B577" s="127"/>
      <c r="C577" s="3" t="s">
        <v>650</v>
      </c>
      <c r="K577" s="71"/>
      <c r="L577" s="676" t="s">
        <v>432</v>
      </c>
      <c r="M577" s="127"/>
      <c r="N577" s="3" t="s">
        <v>650</v>
      </c>
      <c r="W577" s="71"/>
      <c r="X577" s="664" t="s">
        <v>432</v>
      </c>
      <c r="AA577" s="457"/>
      <c r="AB577" s="457"/>
      <c r="AC577" s="457"/>
      <c r="AD577" s="457"/>
    </row>
    <row r="578" spans="1:30" ht="11.25" customHeight="1">
      <c r="A578" s="611">
        <v>50</v>
      </c>
      <c r="B578" s="127"/>
      <c r="K578" s="71"/>
      <c r="L578" s="676" t="s">
        <v>432</v>
      </c>
      <c r="M578" s="736" t="s">
        <v>640</v>
      </c>
      <c r="N578" s="775"/>
      <c r="O578" s="775"/>
      <c r="P578" s="774"/>
      <c r="Q578" s="774"/>
      <c r="R578" s="49"/>
      <c r="S578" s="776"/>
      <c r="T578" s="49"/>
      <c r="U578" s="49"/>
      <c r="V578" s="49"/>
      <c r="W578" s="69"/>
      <c r="X578" s="664" t="s">
        <v>432</v>
      </c>
      <c r="AA578" s="457"/>
      <c r="AB578" s="457"/>
      <c r="AC578" s="457"/>
      <c r="AD578" s="457"/>
    </row>
    <row r="579" spans="1:30" ht="11.25" customHeight="1">
      <c r="A579" s="611">
        <v>51</v>
      </c>
      <c r="B579" s="192" t="s">
        <v>591</v>
      </c>
      <c r="C579" s="100" t="s">
        <v>43</v>
      </c>
      <c r="D579" s="50"/>
      <c r="E579" s="49"/>
      <c r="F579" s="49"/>
      <c r="G579" s="49"/>
      <c r="H579" s="49"/>
      <c r="I579" s="49"/>
      <c r="J579" s="114"/>
      <c r="K579" s="115" t="str">
        <f>IF(M581=2,"NO","")</f>
        <v/>
      </c>
      <c r="L579" s="676" t="s">
        <v>432</v>
      </c>
      <c r="M579" s="737" t="s">
        <v>329</v>
      </c>
      <c r="N579" s="775"/>
      <c r="O579" s="775"/>
      <c r="P579" s="774"/>
      <c r="Q579" s="774"/>
      <c r="W579" s="71"/>
      <c r="X579" s="664" t="s">
        <v>432</v>
      </c>
      <c r="AA579" s="457"/>
      <c r="AB579" s="457"/>
      <c r="AC579" s="457"/>
      <c r="AD579" s="457"/>
    </row>
    <row r="580" spans="1:30" ht="11.25" customHeight="1">
      <c r="A580" s="611">
        <v>52</v>
      </c>
      <c r="B580" s="127"/>
      <c r="C580" s="685" t="s">
        <v>42</v>
      </c>
      <c r="K580" s="71"/>
      <c r="L580" s="676" t="s">
        <v>432</v>
      </c>
      <c r="M580" s="127"/>
      <c r="N580" s="132" t="s">
        <v>591</v>
      </c>
      <c r="O580" s="100" t="s">
        <v>43</v>
      </c>
      <c r="W580" s="71"/>
      <c r="X580" s="664" t="s">
        <v>432</v>
      </c>
      <c r="AA580" s="457"/>
      <c r="AB580" s="457"/>
      <c r="AC580" s="457"/>
      <c r="AD580" s="457"/>
    </row>
    <row r="581" spans="1:30" ht="11.25" customHeight="1">
      <c r="A581" s="611">
        <v>53</v>
      </c>
      <c r="B581" s="102" t="s">
        <v>573</v>
      </c>
      <c r="C581" s="922" t="str">
        <f>IF(O582="","",IF(LEN(O582)&lt;=135,O582,IF(LEN(O582)&lt;=260,LEFT(O582,SEARCH(" ",O582,125)),LEFT(O582,SEARCH(" ",O582,130)))))</f>
        <v/>
      </c>
      <c r="D581" s="48"/>
      <c r="E581" s="48"/>
      <c r="F581" s="48"/>
      <c r="G581" s="48"/>
      <c r="H581" s="48"/>
      <c r="I581" s="48"/>
      <c r="J581" s="48"/>
      <c r="K581" s="69"/>
      <c r="L581" s="676" t="s">
        <v>432</v>
      </c>
      <c r="M581" s="210"/>
      <c r="O581" s="685" t="s">
        <v>42</v>
      </c>
      <c r="P581" s="49"/>
      <c r="Q581" s="49"/>
      <c r="R581" s="50"/>
      <c r="S581" s="50"/>
      <c r="T581" s="50"/>
      <c r="U581" s="50"/>
      <c r="V581" s="50"/>
      <c r="W581" s="70"/>
      <c r="X581" s="664" t="s">
        <v>432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432</v>
      </c>
      <c r="M582" s="127"/>
      <c r="N582" s="577" t="s">
        <v>573</v>
      </c>
      <c r="O582" s="713" t="str">
        <f>IF(O584&lt;&gt;"",O584,IF(OR(AB434=0,AB434=""),"",AB434))</f>
        <v/>
      </c>
      <c r="P582" s="48"/>
      <c r="Q582" s="48"/>
      <c r="R582" s="48"/>
      <c r="S582" s="48"/>
      <c r="T582" s="48"/>
      <c r="U582" s="48"/>
      <c r="V582" s="48"/>
      <c r="W582" s="103"/>
      <c r="X582" s="664" t="s">
        <v>432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432</v>
      </c>
      <c r="M583" s="85"/>
      <c r="N583" s="609" t="s">
        <v>303</v>
      </c>
      <c r="O583" s="59"/>
      <c r="P583" s="921">
        <f>LEN(O582)</f>
        <v>0</v>
      </c>
      <c r="Q583" s="59"/>
      <c r="R583" s="59"/>
      <c r="S583" s="59"/>
      <c r="T583" s="59"/>
      <c r="U583" s="59"/>
      <c r="V583" s="59"/>
      <c r="W583" s="105"/>
      <c r="X583" s="664" t="s">
        <v>432</v>
      </c>
      <c r="AA583" s="457"/>
      <c r="AB583" s="457"/>
      <c r="AC583" s="457"/>
      <c r="AD583" s="457"/>
    </row>
    <row r="584" spans="1:30" ht="11.25" customHeight="1">
      <c r="A584" s="611">
        <v>56</v>
      </c>
      <c r="B584" s="127"/>
      <c r="K584" s="71"/>
      <c r="L584" s="676" t="s">
        <v>432</v>
      </c>
      <c r="M584" s="66"/>
      <c r="N584" s="1024" t="s">
        <v>640</v>
      </c>
      <c r="O584" s="1026"/>
      <c r="W584" s="71"/>
      <c r="X584" s="664" t="s">
        <v>432</v>
      </c>
    </row>
    <row r="585" spans="1:30" ht="11.25" customHeight="1">
      <c r="A585" s="611">
        <v>57</v>
      </c>
      <c r="B585" s="198" t="s">
        <v>435</v>
      </c>
      <c r="C585" s="109"/>
      <c r="E585" s="199" t="s">
        <v>660</v>
      </c>
      <c r="F585" s="53"/>
      <c r="G585" s="1"/>
      <c r="H585" s="1"/>
      <c r="I585" s="1"/>
      <c r="J585" s="262" t="s">
        <v>437</v>
      </c>
      <c r="K585" s="395"/>
      <c r="L585" s="676" t="s">
        <v>432</v>
      </c>
      <c r="M585" s="127"/>
      <c r="W585" s="71"/>
      <c r="X585" s="664" t="s">
        <v>432</v>
      </c>
    </row>
    <row r="586" spans="1:30" ht="11.25" customHeight="1">
      <c r="A586" s="611">
        <v>58</v>
      </c>
      <c r="B586" s="110"/>
      <c r="C586" s="111"/>
      <c r="D586" s="50" t="s">
        <v>470</v>
      </c>
      <c r="E586" s="49"/>
      <c r="F586" s="49"/>
      <c r="G586" s="49"/>
      <c r="H586" s="49"/>
      <c r="I586" s="49"/>
      <c r="J586" s="114" t="str">
        <f>IF($M$409=2,"NA",IF($M588="","TBD",IF($M588=1,"YES",IF($M588=3,"NA",""))))</f>
        <v>TBD</v>
      </c>
      <c r="K586" s="115" t="str">
        <f>IF($M$409=2,"",IF($M588=2,"NO",""))</f>
        <v/>
      </c>
      <c r="L586" s="676" t="s">
        <v>432</v>
      </c>
      <c r="M586" s="127"/>
      <c r="W586" s="71"/>
      <c r="X586" s="664" t="s">
        <v>432</v>
      </c>
    </row>
    <row r="587" spans="1:30" ht="11.25" customHeight="1">
      <c r="A587" s="611">
        <v>59</v>
      </c>
      <c r="B587" s="85"/>
      <c r="C587" s="50"/>
      <c r="D587" s="50" t="s">
        <v>1079</v>
      </c>
      <c r="J587" s="114" t="str">
        <f>IF($M$409=2,"NA",IF($M589="","TBD",IF($M589=1,"Stationary",IF($M589=2,"Reciprocating",IF($M589=3,"NA","")))))</f>
        <v>TBD</v>
      </c>
      <c r="K587" s="115"/>
      <c r="L587" s="676" t="s">
        <v>432</v>
      </c>
      <c r="M587" s="202" t="s">
        <v>438</v>
      </c>
      <c r="O587" s="209"/>
      <c r="Q587" s="199" t="s">
        <v>660</v>
      </c>
      <c r="R587" s="53"/>
      <c r="W587" s="71"/>
      <c r="X587" s="664" t="s">
        <v>432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432</v>
      </c>
      <c r="M588" s="617"/>
      <c r="N588" s="50"/>
      <c r="O588" s="50" t="s">
        <v>470</v>
      </c>
      <c r="P588" s="49"/>
      <c r="Q588" s="49"/>
      <c r="R588" s="49"/>
      <c r="S588" s="49"/>
      <c r="T588" s="49"/>
      <c r="U588" s="49"/>
      <c r="V588" s="49"/>
      <c r="W588" s="69"/>
      <c r="X588" s="664" t="s">
        <v>432</v>
      </c>
    </row>
    <row r="589" spans="1:30" ht="11.25" customHeight="1">
      <c r="A589" s="611">
        <v>61</v>
      </c>
      <c r="B589" s="102" t="s">
        <v>573</v>
      </c>
      <c r="C589" s="922" t="str">
        <f>IF(O591="","",IF(LEN(O591)&lt;=135,O591,IF(LEN(O591)&lt;=260,LEFT(O591,SEARCH(" ",O591,125)),LEFT(O591,SEARCH(" ",O591,130)))))</f>
        <v/>
      </c>
      <c r="D589" s="369"/>
      <c r="E589" s="369"/>
      <c r="F589" s="369"/>
      <c r="G589" s="369"/>
      <c r="H589" s="369"/>
      <c r="I589" s="369"/>
      <c r="J589" s="369"/>
      <c r="K589" s="69"/>
      <c r="L589" s="676" t="s">
        <v>432</v>
      </c>
      <c r="M589" s="818" t="str">
        <f>IF(N589&lt;&gt;"",N589,IF(OR(AB124=0,AB124=""),"",AB124))</f>
        <v/>
      </c>
      <c r="N589" s="701"/>
      <c r="O589" s="50" t="s">
        <v>661</v>
      </c>
      <c r="W589" s="71"/>
      <c r="X589" s="664" t="s">
        <v>432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432</v>
      </c>
      <c r="M590" s="617"/>
      <c r="N590" s="50"/>
      <c r="O590" s="50" t="str">
        <f>IF(M589=1,"","Radiographic image is free of grid lines.")</f>
        <v>Radiographic image is free of grid lines.</v>
      </c>
      <c r="P590" s="50"/>
      <c r="Q590" s="50"/>
      <c r="R590" s="50"/>
      <c r="S590" s="50"/>
      <c r="T590" s="50"/>
      <c r="U590" s="50"/>
      <c r="V590" s="50"/>
      <c r="W590" s="70"/>
      <c r="X590" s="664" t="s">
        <v>432</v>
      </c>
    </row>
    <row r="591" spans="1:30" ht="11.25" customHeight="1">
      <c r="A591" s="611">
        <v>63</v>
      </c>
      <c r="B591" s="127"/>
      <c r="C591" s="922" t="str">
        <f>IF(LEN(O591)&lt;=265,"",RIGHT(O591,LEN(O591)-SEARCH(" ",O591,255)))</f>
        <v/>
      </c>
      <c r="D591" s="369"/>
      <c r="E591" s="369"/>
      <c r="F591" s="369"/>
      <c r="G591" s="369"/>
      <c r="H591" s="369"/>
      <c r="I591" s="369"/>
      <c r="J591" s="369"/>
      <c r="K591" s="71"/>
      <c r="L591" s="676" t="s">
        <v>432</v>
      </c>
      <c r="M591" s="127"/>
      <c r="N591" s="577" t="s">
        <v>573</v>
      </c>
      <c r="O591" s="713" t="str">
        <f>IF(O593&lt;&gt;"",O593,IF(OR(AB435=0,AB435=""),"",AB435))</f>
        <v/>
      </c>
      <c r="P591" s="48"/>
      <c r="Q591" s="48"/>
      <c r="R591" s="48"/>
      <c r="S591" s="48"/>
      <c r="T591" s="48"/>
      <c r="U591" s="48"/>
      <c r="V591" s="48"/>
      <c r="W591" s="103"/>
      <c r="X591" s="664" t="s">
        <v>432</v>
      </c>
    </row>
    <row r="592" spans="1:30" ht="11.25" customHeight="1" thickBot="1">
      <c r="A592" s="611">
        <v>64</v>
      </c>
      <c r="B592" s="201"/>
      <c r="C592" s="145"/>
      <c r="D592" s="73"/>
      <c r="E592" s="73"/>
      <c r="F592" s="73"/>
      <c r="G592" s="73"/>
      <c r="H592" s="73"/>
      <c r="I592" s="73"/>
      <c r="J592" s="73"/>
      <c r="K592" s="74"/>
      <c r="L592" s="676" t="s">
        <v>432</v>
      </c>
      <c r="M592" s="85"/>
      <c r="N592" s="609" t="s">
        <v>303</v>
      </c>
      <c r="O592" s="59"/>
      <c r="P592" s="921">
        <f>LEN(O591)</f>
        <v>0</v>
      </c>
      <c r="Q592" s="59"/>
      <c r="R592" s="59"/>
      <c r="S592" s="59"/>
      <c r="T592" s="59"/>
      <c r="U592" s="59"/>
      <c r="V592" s="59"/>
      <c r="W592" s="105"/>
      <c r="X592" s="664" t="s">
        <v>432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432</v>
      </c>
      <c r="M593" s="66"/>
      <c r="N593" s="1024" t="s">
        <v>640</v>
      </c>
      <c r="O593" s="1026"/>
      <c r="P593" s="59"/>
      <c r="Q593" s="59"/>
      <c r="R593" s="48"/>
      <c r="S593" s="48"/>
      <c r="T593" s="48"/>
      <c r="U593" s="48"/>
      <c r="V593" s="48"/>
      <c r="W593" s="103"/>
      <c r="X593" s="664" t="s">
        <v>432</v>
      </c>
    </row>
    <row r="594" spans="1:24" ht="11.25" customHeight="1" thickBot="1">
      <c r="A594" s="611">
        <v>66</v>
      </c>
      <c r="B594" s="52" t="str">
        <v>Room Number:</v>
      </c>
      <c r="C594" s="373" t="str">
        <v/>
      </c>
      <c r="D594" s="49"/>
      <c r="E594" s="49"/>
      <c r="F594" s="49"/>
      <c r="G594" s="49"/>
      <c r="H594" s="49"/>
      <c r="I594" s="52" t="str">
        <v>Survey ID:</v>
      </c>
      <c r="J594" s="1045" t="str">
        <v/>
      </c>
      <c r="L594" s="676" t="s">
        <v>432</v>
      </c>
      <c r="M594" s="72"/>
      <c r="N594" s="73"/>
      <c r="O594" s="73"/>
      <c r="P594" s="73"/>
      <c r="Q594" s="73"/>
      <c r="R594" s="73"/>
      <c r="S594" s="73"/>
      <c r="T594" s="73"/>
      <c r="U594" s="73"/>
      <c r="V594" s="73"/>
      <c r="W594" s="74"/>
      <c r="X594" s="664" t="s">
        <v>432</v>
      </c>
    </row>
    <row r="595" spans="1:24" ht="11.25" customHeight="1" thickTop="1">
      <c r="A595" s="611">
        <v>1</v>
      </c>
      <c r="K595" s="131" t="str">
        <f>$F$2</f>
        <v>Medical University of South Carolina</v>
      </c>
      <c r="L595" s="676" t="s">
        <v>432</v>
      </c>
      <c r="M595" s="49"/>
      <c r="W595" s="131" t="str">
        <f>$F$2</f>
        <v>Medical University of South Carolina</v>
      </c>
      <c r="X595" s="664" t="s">
        <v>432</v>
      </c>
    </row>
    <row r="596" spans="1:24" ht="11.25" customHeight="1" thickBot="1">
      <c r="A596" s="611">
        <v>2</v>
      </c>
      <c r="F596" s="82" t="str">
        <f>$F$464</f>
        <v>Measurement Data</v>
      </c>
      <c r="K596" s="132" t="str">
        <f>$F$5</f>
        <v>Radiographic System Compliance Inspection</v>
      </c>
      <c r="L596" s="676" t="s">
        <v>432</v>
      </c>
      <c r="N596" s="87"/>
      <c r="O596" s="87"/>
      <c r="P596" s="1"/>
      <c r="R596" s="82" t="str">
        <f>$F$464</f>
        <v>Measurement Data</v>
      </c>
      <c r="W596" s="132" t="str">
        <f>$F$5</f>
        <v>Radiographic System Compliance Inspection</v>
      </c>
      <c r="X596" s="664" t="s">
        <v>432</v>
      </c>
    </row>
    <row r="597" spans="1:24" ht="11.25" customHeight="1" thickTop="1" thickBot="1">
      <c r="A597" s="611">
        <v>3</v>
      </c>
      <c r="L597" s="676" t="s">
        <v>432</v>
      </c>
      <c r="M597" s="79"/>
      <c r="N597" s="62"/>
      <c r="O597" s="62"/>
      <c r="P597" s="62"/>
      <c r="Q597" s="197"/>
      <c r="R597" s="62"/>
      <c r="S597" s="62"/>
      <c r="T597" s="62"/>
      <c r="U597" s="62"/>
      <c r="V597" s="62"/>
      <c r="W597" s="80"/>
      <c r="X597" s="664" t="s">
        <v>432</v>
      </c>
    </row>
    <row r="598" spans="1:24" ht="11.25" customHeight="1" thickTop="1" thickBot="1">
      <c r="A598" s="611">
        <v>4</v>
      </c>
      <c r="B598" s="79"/>
      <c r="C598" s="62"/>
      <c r="D598" s="62"/>
      <c r="E598" s="62"/>
      <c r="F598" s="197"/>
      <c r="G598" s="62"/>
      <c r="H598" s="62"/>
      <c r="I598" s="62"/>
      <c r="J598" s="62"/>
      <c r="K598" s="80"/>
      <c r="L598" s="676" t="s">
        <v>432</v>
      </c>
      <c r="M598" s="127"/>
      <c r="P598" s="994" t="str">
        <f>IF(M434=2,"**SKIP**","**TEST**")</f>
        <v>**TEST**</v>
      </c>
      <c r="R598" s="594" t="s">
        <v>346</v>
      </c>
      <c r="W598" s="71"/>
      <c r="X598" s="664" t="s">
        <v>432</v>
      </c>
    </row>
    <row r="599" spans="1:24" ht="11.25" customHeight="1">
      <c r="A599" s="611">
        <v>5</v>
      </c>
      <c r="B599" s="66"/>
      <c r="C599" s="49"/>
      <c r="D599" s="49"/>
      <c r="E599" s="49"/>
      <c r="F599" s="190" t="s">
        <v>474</v>
      </c>
      <c r="G599" s="49"/>
      <c r="H599" s="49"/>
      <c r="I599" s="49"/>
      <c r="J599" s="49"/>
      <c r="K599" s="69"/>
      <c r="L599" s="676" t="s">
        <v>432</v>
      </c>
      <c r="M599" s="127"/>
      <c r="W599" s="71"/>
      <c r="X599" s="664" t="s">
        <v>432</v>
      </c>
    </row>
    <row r="600" spans="1:24" ht="11.25" customHeight="1">
      <c r="A600" s="611">
        <v>6</v>
      </c>
      <c r="B600" s="66"/>
      <c r="C600" s="49"/>
      <c r="D600" s="49"/>
      <c r="E600" s="49"/>
      <c r="F600" s="190"/>
      <c r="G600" s="49"/>
      <c r="H600" s="49"/>
      <c r="I600" s="49"/>
      <c r="J600" s="49"/>
      <c r="K600" s="69"/>
      <c r="L600" s="676" t="s">
        <v>432</v>
      </c>
      <c r="M600" s="191" t="s">
        <v>341</v>
      </c>
      <c r="T600" s="773" t="s">
        <v>637</v>
      </c>
      <c r="U600" s="915" t="str">
        <f>IF(OR(AB139=0,AB139=""),"",AB139)</f>
        <v/>
      </c>
      <c r="W600" s="71"/>
      <c r="X600" s="664" t="s">
        <v>432</v>
      </c>
    </row>
    <row r="601" spans="1:24" ht="11.25" customHeight="1">
      <c r="A601" s="611">
        <v>7</v>
      </c>
      <c r="B601" s="66"/>
      <c r="C601" s="49"/>
      <c r="D601" s="49"/>
      <c r="E601" s="49"/>
      <c r="F601" s="190"/>
      <c r="G601" s="49"/>
      <c r="H601" s="49"/>
      <c r="I601" s="49"/>
      <c r="J601" s="49"/>
      <c r="K601" s="69"/>
      <c r="L601" s="676" t="s">
        <v>432</v>
      </c>
      <c r="M601" s="127"/>
      <c r="N601" s="868" t="s">
        <v>627</v>
      </c>
      <c r="O601" s="821" t="str">
        <f>IF(O602&lt;&gt;"",O602,IF(OR(AB136=0,AB136=""),"",AB136))</f>
        <v/>
      </c>
      <c r="P601" s="54" t="s">
        <v>628</v>
      </c>
      <c r="Q601" s="821" t="str">
        <f>IF(Q602&lt;&gt;"",Q602,IF(OR(AB137=0,AB137=""),"",AB137))</f>
        <v/>
      </c>
      <c r="R601" s="54" t="s">
        <v>629</v>
      </c>
      <c r="S601" s="867" t="str">
        <f>IF(S602&lt;&gt;"",S602,IF(OR(AB138=0,AB138=""),"",AB138))</f>
        <v/>
      </c>
      <c r="T601" s="54" t="s">
        <v>630</v>
      </c>
      <c r="U601" s="222">
        <f>IF(AND(OR(U602=0,U602=""),OR(Q601=0,Q601=""),OR(S601=0,S601=""),OR(U600=0,U600="")),2,IF(U602&lt;&gt;"","See below",IF(AND(Q601&lt;&gt;"",S601&lt;&gt;""),Q601*S601,U600)))</f>
        <v>2</v>
      </c>
      <c r="V601" s="354"/>
      <c r="W601" s="71"/>
      <c r="X601" s="664" t="s">
        <v>432</v>
      </c>
    </row>
    <row r="602" spans="1:24" ht="11.25" customHeight="1">
      <c r="A602" s="611">
        <v>8</v>
      </c>
      <c r="B602" s="191" t="s">
        <v>626</v>
      </c>
      <c r="C602" s="199"/>
      <c r="D602" s="128"/>
      <c r="E602" s="49"/>
      <c r="K602" s="71"/>
      <c r="L602" s="676" t="s">
        <v>432</v>
      </c>
      <c r="M602" s="127"/>
      <c r="N602" s="869" t="s">
        <v>70</v>
      </c>
      <c r="O602" s="768"/>
      <c r="P602" s="675" t="s">
        <v>70</v>
      </c>
      <c r="Q602" s="768"/>
      <c r="R602" s="675" t="s">
        <v>70</v>
      </c>
      <c r="S602" s="771"/>
      <c r="T602" s="675" t="s">
        <v>70</v>
      </c>
      <c r="U602" s="772"/>
      <c r="W602" s="71"/>
      <c r="X602" s="664" t="s">
        <v>432</v>
      </c>
    </row>
    <row r="603" spans="1:24" ht="11.25" customHeight="1">
      <c r="A603" s="611">
        <v>9</v>
      </c>
      <c r="B603" s="127"/>
      <c r="K603" s="71"/>
      <c r="L603" s="676" t="s">
        <v>432</v>
      </c>
      <c r="M603" s="127"/>
      <c r="V603" s="49"/>
      <c r="W603" s="71"/>
      <c r="X603" s="664" t="s">
        <v>432</v>
      </c>
    </row>
    <row r="604" spans="1:24" ht="11.25" customHeight="1">
      <c r="A604" s="611">
        <v>10</v>
      </c>
      <c r="B604" s="102" t="s">
        <v>627</v>
      </c>
      <c r="C604" s="48" t="str">
        <f>IF(O601="","",O601)</f>
        <v/>
      </c>
      <c r="D604" s="54" t="s">
        <v>628</v>
      </c>
      <c r="E604" s="48" t="str">
        <f>IF($U$602&lt;&gt;"","",IF(Q601="","",Q601))</f>
        <v/>
      </c>
      <c r="F604" s="54" t="s">
        <v>629</v>
      </c>
      <c r="G604" s="48" t="str">
        <f>IF($U$602&lt;&gt;"","",IF(S601="","",S601))</f>
        <v/>
      </c>
      <c r="H604" s="54" t="s">
        <v>630</v>
      </c>
      <c r="I604" s="48">
        <f>IF(U601="","",IF(U602="",U601,U602))</f>
        <v>2</v>
      </c>
      <c r="J604" s="54"/>
      <c r="K604" s="69"/>
      <c r="L604" s="676" t="s">
        <v>432</v>
      </c>
      <c r="M604" s="127"/>
      <c r="W604" s="71"/>
      <c r="X604" s="664" t="s">
        <v>432</v>
      </c>
    </row>
    <row r="605" spans="1:24" ht="11.25" customHeight="1" thickBot="1">
      <c r="A605" s="611">
        <v>11</v>
      </c>
      <c r="B605" s="127"/>
      <c r="K605" s="71"/>
      <c r="L605" s="676" t="s">
        <v>432</v>
      </c>
      <c r="M605" s="191" t="s">
        <v>626</v>
      </c>
      <c r="W605" s="71"/>
      <c r="X605" s="664" t="s">
        <v>432</v>
      </c>
    </row>
    <row r="606" spans="1:24" ht="11.25" customHeight="1">
      <c r="A606" s="611">
        <v>12</v>
      </c>
      <c r="B606" s="127"/>
      <c r="C606" s="128" t="s">
        <v>633</v>
      </c>
      <c r="D606" s="111"/>
      <c r="J606" s="49"/>
      <c r="K606" s="71"/>
      <c r="L606" s="676" t="s">
        <v>432</v>
      </c>
      <c r="M606" s="463"/>
      <c r="N606" s="491" t="s">
        <v>639</v>
      </c>
      <c r="O606" s="457"/>
      <c r="Q606" s="849" t="s">
        <v>633</v>
      </c>
      <c r="R606" s="850"/>
      <c r="W606" s="71"/>
      <c r="X606" s="664" t="s">
        <v>432</v>
      </c>
    </row>
    <row r="607" spans="1:24" ht="11.25" customHeight="1" thickBot="1">
      <c r="A607" s="611">
        <v>13</v>
      </c>
      <c r="B607" s="127"/>
      <c r="C607" s="152" t="str">
        <f>"Distance ("&amp;WBCM_IN&amp;")"</f>
        <v>Distance (cm)</v>
      </c>
      <c r="D607" s="151"/>
      <c r="I607" s="152" t="s">
        <v>633</v>
      </c>
      <c r="J607" s="151"/>
      <c r="K607" s="71"/>
      <c r="L607" s="676" t="s">
        <v>432</v>
      </c>
      <c r="M607" s="617"/>
      <c r="N607" s="490" t="s">
        <v>641</v>
      </c>
      <c r="O607" s="457"/>
      <c r="Q607" s="851" t="str">
        <f>"Distance ("&amp;WBCM_IN&amp;")"</f>
        <v>Distance (cm)</v>
      </c>
      <c r="R607" s="852"/>
      <c r="T607" s="1276" t="s">
        <v>633</v>
      </c>
      <c r="U607" s="1277"/>
      <c r="W607" s="71"/>
      <c r="X607" s="664" t="s">
        <v>432</v>
      </c>
    </row>
    <row r="608" spans="1:24" ht="11.25" customHeight="1" thickBot="1">
      <c r="A608" s="611">
        <v>14</v>
      </c>
      <c r="B608" s="127"/>
      <c r="C608" s="147">
        <f>Q608</f>
        <v>0</v>
      </c>
      <c r="D608" s="158"/>
      <c r="I608" s="195" t="s">
        <v>590</v>
      </c>
      <c r="J608" s="196" t="str">
        <f>U608</f>
        <v>TBD</v>
      </c>
      <c r="K608" s="71"/>
      <c r="L608" s="676" t="s">
        <v>432</v>
      </c>
      <c r="M608" s="617"/>
      <c r="N608" s="490" t="s">
        <v>647</v>
      </c>
      <c r="O608" s="457"/>
      <c r="Q608" s="1299"/>
      <c r="R608" s="1300"/>
      <c r="T608" s="749" t="s">
        <v>590</v>
      </c>
      <c r="U608" s="740" t="str">
        <f>IF(OR($M$434=2,$Q$608="NA"),"NA",IF($M$607=1,"YES",IF($M$607=2,"NO",IF($Q$608="","TBD",IF(WBCM_IN="cm",IF($Q$608&gt;0.02*M616,"NO","YES"),IF($Q$608&gt;0.02*M616,"NO","YES"))))))</f>
        <v>TBD</v>
      </c>
      <c r="W608" s="71"/>
      <c r="X608" s="664" t="s">
        <v>432</v>
      </c>
    </row>
    <row r="609" spans="1:24" ht="11.25" customHeight="1">
      <c r="A609" s="611">
        <v>15</v>
      </c>
      <c r="B609" s="127"/>
      <c r="C609" s="49"/>
      <c r="I609" s="37"/>
      <c r="K609" s="71"/>
      <c r="L609" s="676" t="s">
        <v>432</v>
      </c>
      <c r="M609" s="617"/>
      <c r="N609" s="490" t="s">
        <v>649</v>
      </c>
      <c r="O609" s="457"/>
      <c r="Q609" s="712" t="s">
        <v>397</v>
      </c>
      <c r="R609" s="916" t="str">
        <f>IF(AB478="","",AB478)</f>
        <v/>
      </c>
      <c r="W609" s="71"/>
      <c r="X609" s="664" t="s">
        <v>432</v>
      </c>
    </row>
    <row r="610" spans="1:24" ht="11.25" customHeight="1">
      <c r="A610" s="611">
        <v>16</v>
      </c>
      <c r="B610" s="192" t="s">
        <v>591</v>
      </c>
      <c r="C610" s="100" t="s">
        <v>638</v>
      </c>
      <c r="K610" s="71"/>
      <c r="L610" s="676" t="s">
        <v>432</v>
      </c>
      <c r="M610" s="127"/>
      <c r="N610" s="132" t="s">
        <v>591</v>
      </c>
      <c r="O610" s="100" t="s">
        <v>29</v>
      </c>
      <c r="W610" s="71"/>
      <c r="X610" s="664" t="s">
        <v>432</v>
      </c>
    </row>
    <row r="611" spans="1:24" ht="11.25" customHeight="1" thickBot="1">
      <c r="A611" s="611">
        <v>17</v>
      </c>
      <c r="B611" s="127"/>
      <c r="K611" s="71"/>
      <c r="L611" s="676" t="s">
        <v>432</v>
      </c>
      <c r="M611" s="127"/>
      <c r="W611" s="71"/>
      <c r="X611" s="664" t="s">
        <v>432</v>
      </c>
    </row>
    <row r="612" spans="1:24" ht="11.25" customHeight="1">
      <c r="A612" s="611">
        <v>18</v>
      </c>
      <c r="B612" s="127"/>
      <c r="C612" s="971"/>
      <c r="D612" s="972" t="s">
        <v>642</v>
      </c>
      <c r="E612" s="410"/>
      <c r="F612" s="184" t="s">
        <v>643</v>
      </c>
      <c r="G612" s="410"/>
      <c r="H612" s="184" t="s">
        <v>644</v>
      </c>
      <c r="I612" s="969"/>
      <c r="K612" s="71"/>
      <c r="L612" s="676" t="s">
        <v>432</v>
      </c>
      <c r="M612" s="127"/>
      <c r="W612" s="71"/>
      <c r="X612" s="664" t="s">
        <v>432</v>
      </c>
    </row>
    <row r="613" spans="1:24" ht="11.25" customHeight="1">
      <c r="A613" s="611">
        <v>19</v>
      </c>
      <c r="B613" s="127"/>
      <c r="C613" s="365" t="s">
        <v>533</v>
      </c>
      <c r="D613" s="172" t="str">
        <f>"("&amp;WBCM_IN&amp;")"</f>
        <v>(cm)</v>
      </c>
      <c r="E613" s="173"/>
      <c r="F613" s="172" t="str">
        <f>"("&amp;WBCM_IN&amp;")"</f>
        <v>(cm)</v>
      </c>
      <c r="G613" s="173"/>
      <c r="H613" s="172" t="str">
        <f>"("&amp;WBCM_IN&amp;")"</f>
        <v>(cm)</v>
      </c>
      <c r="I613" s="170"/>
      <c r="K613" s="71"/>
      <c r="L613" s="676" t="s">
        <v>432</v>
      </c>
      <c r="M613" s="66" t="s">
        <v>665</v>
      </c>
      <c r="N613" s="244" t="s">
        <v>642</v>
      </c>
      <c r="O613" s="173"/>
      <c r="P613" s="244" t="s">
        <v>643</v>
      </c>
      <c r="Q613" s="173"/>
      <c r="R613" s="244" t="s">
        <v>644</v>
      </c>
      <c r="S613" s="246"/>
      <c r="T613" s="109" t="s">
        <v>645</v>
      </c>
      <c r="U613" s="128"/>
      <c r="V613" s="109" t="s">
        <v>646</v>
      </c>
      <c r="W613" s="186"/>
      <c r="X613" s="664" t="s">
        <v>432</v>
      </c>
    </row>
    <row r="614" spans="1:24" ht="11.25" customHeight="1" thickBot="1">
      <c r="A614" s="611">
        <v>20</v>
      </c>
      <c r="B614" s="127"/>
      <c r="C614" s="366" t="str">
        <f>"("&amp;IF(WBCM_IN="","",WBCM_IN)&amp;")"</f>
        <v>(cm)</v>
      </c>
      <c r="D614" s="169" t="s">
        <v>478</v>
      </c>
      <c r="E614" s="168" t="s">
        <v>479</v>
      </c>
      <c r="F614" s="169" t="s">
        <v>478</v>
      </c>
      <c r="G614" s="168" t="s">
        <v>479</v>
      </c>
      <c r="H614" s="169" t="s">
        <v>478</v>
      </c>
      <c r="I614" s="171" t="s">
        <v>479</v>
      </c>
      <c r="K614" s="71"/>
      <c r="L614" s="676" t="s">
        <v>432</v>
      </c>
      <c r="M614" s="66" t="s">
        <v>533</v>
      </c>
      <c r="N614" s="172" t="str">
        <f>"("&amp;WBCM_IN&amp;")"</f>
        <v>(cm)</v>
      </c>
      <c r="O614" s="173"/>
      <c r="P614" s="172" t="str">
        <f>"("&amp;WBCM_IN&amp;")"</f>
        <v>(cm)</v>
      </c>
      <c r="Q614" s="173"/>
      <c r="R614" s="172" t="str">
        <f>"("&amp;WBCM_IN&amp;")"</f>
        <v>(cm)</v>
      </c>
      <c r="S614" s="246"/>
      <c r="T614" s="149" t="s">
        <v>648</v>
      </c>
      <c r="U614" s="163"/>
      <c r="V614" s="165" t="s">
        <v>648</v>
      </c>
      <c r="W614" s="186"/>
      <c r="X614" s="664" t="s">
        <v>432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432</v>
      </c>
      <c r="M615" s="219" t="str">
        <f>"("&amp;IF(WBCM_IN="","",WBCM_IN)&amp;")"</f>
        <v>(cm)</v>
      </c>
      <c r="N615" s="249" t="s">
        <v>478</v>
      </c>
      <c r="O615" s="248" t="s">
        <v>666</v>
      </c>
      <c r="P615" s="249" t="s">
        <v>478</v>
      </c>
      <c r="Q615" s="248" t="s">
        <v>666</v>
      </c>
      <c r="R615" s="249" t="s">
        <v>478</v>
      </c>
      <c r="S615" s="250" t="s">
        <v>666</v>
      </c>
      <c r="T615" s="250" t="s">
        <v>478</v>
      </c>
      <c r="U615" s="248" t="s">
        <v>666</v>
      </c>
      <c r="V615" s="249" t="s">
        <v>478</v>
      </c>
      <c r="W615" s="253" t="s">
        <v>666</v>
      </c>
      <c r="X615" s="664" t="s">
        <v>432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432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432</v>
      </c>
    </row>
    <row r="617" spans="1:24" ht="11.25" customHeight="1" thickBot="1">
      <c r="A617" s="611">
        <v>23</v>
      </c>
      <c r="B617" s="127"/>
      <c r="C617" s="3" t="s">
        <v>650</v>
      </c>
      <c r="K617" s="71"/>
      <c r="L617" s="676" t="s">
        <v>432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432</v>
      </c>
    </row>
    <row r="618" spans="1:24" ht="11.25" customHeight="1" thickBot="1">
      <c r="A618" s="611">
        <v>24</v>
      </c>
      <c r="B618" s="127"/>
      <c r="C618" s="3" t="s">
        <v>651</v>
      </c>
      <c r="K618" s="71"/>
      <c r="L618" s="676" t="s">
        <v>432</v>
      </c>
      <c r="M618" s="160" t="s">
        <v>650</v>
      </c>
      <c r="N618" s="49"/>
      <c r="O618" s="49"/>
      <c r="P618" s="49"/>
      <c r="Q618" s="49"/>
      <c r="R618" s="156"/>
      <c r="S618" s="49"/>
      <c r="W618" s="71"/>
      <c r="X618" s="664" t="s">
        <v>432</v>
      </c>
    </row>
    <row r="619" spans="1:24" ht="11.25" customHeight="1" thickBot="1">
      <c r="A619" s="611">
        <v>25</v>
      </c>
      <c r="B619" s="966" t="s">
        <v>645</v>
      </c>
      <c r="C619" s="967"/>
      <c r="D619" s="968" t="s">
        <v>646</v>
      </c>
      <c r="E619" s="969"/>
      <c r="F619" s="970"/>
      <c r="G619" s="345"/>
      <c r="H619" s="180"/>
      <c r="I619" s="181" t="s">
        <v>652</v>
      </c>
      <c r="J619" s="179"/>
      <c r="K619" s="188"/>
      <c r="L619" s="676" t="s">
        <v>432</v>
      </c>
      <c r="M619" s="160" t="s">
        <v>651</v>
      </c>
      <c r="T619" s="806"/>
      <c r="U619" s="1275" t="s">
        <v>652</v>
      </c>
      <c r="V619" s="1275"/>
      <c r="W619" s="805"/>
      <c r="X619" s="664" t="s">
        <v>432</v>
      </c>
    </row>
    <row r="620" spans="1:24" ht="11.25" customHeight="1">
      <c r="A620" s="611">
        <v>26</v>
      </c>
      <c r="B620" s="110" t="s">
        <v>648</v>
      </c>
      <c r="C620" s="163"/>
      <c r="D620" s="165" t="s">
        <v>648</v>
      </c>
      <c r="E620" s="362"/>
      <c r="F620" s="364" t="str">
        <f>"Indicated Field Size ("&amp;WBCM_IN&amp;")"</f>
        <v>Indicated Field Size (cm)</v>
      </c>
      <c r="G620" s="185"/>
      <c r="H620" s="165" t="s">
        <v>645</v>
      </c>
      <c r="I620" s="163"/>
      <c r="J620" s="165" t="s">
        <v>646</v>
      </c>
      <c r="K620" s="254"/>
      <c r="L620" s="676" t="s">
        <v>432</v>
      </c>
      <c r="M620" s="723" t="s">
        <v>653</v>
      </c>
      <c r="N620" s="724"/>
      <c r="O620" s="718"/>
      <c r="R620" s="184" t="str">
        <f>"Indicated Field Size ("&amp;WBCM_IN&amp;")"</f>
        <v>Indicated Field Size (cm)</v>
      </c>
      <c r="S620" s="251"/>
      <c r="T620" s="172" t="s">
        <v>645</v>
      </c>
      <c r="U620" s="746"/>
      <c r="V620" s="109" t="s">
        <v>646</v>
      </c>
      <c r="W620" s="747"/>
      <c r="X620" s="664" t="s">
        <v>432</v>
      </c>
    </row>
    <row r="621" spans="1:24" ht="11.25" customHeight="1" thickBot="1">
      <c r="A621" s="611">
        <v>27</v>
      </c>
      <c r="B621" s="162" t="s">
        <v>478</v>
      </c>
      <c r="C621" s="168" t="s">
        <v>479</v>
      </c>
      <c r="D621" s="169" t="s">
        <v>478</v>
      </c>
      <c r="E621" s="171" t="s">
        <v>479</v>
      </c>
      <c r="F621" s="167" t="s">
        <v>478</v>
      </c>
      <c r="G621" s="168" t="s">
        <v>479</v>
      </c>
      <c r="H621" s="169" t="s">
        <v>478</v>
      </c>
      <c r="I621" s="168" t="s">
        <v>479</v>
      </c>
      <c r="J621" s="169" t="s">
        <v>478</v>
      </c>
      <c r="K621" s="23" t="s">
        <v>479</v>
      </c>
      <c r="L621" s="676" t="s">
        <v>432</v>
      </c>
      <c r="M621" s="247" t="s">
        <v>533</v>
      </c>
      <c r="N621" s="250" t="s">
        <v>478</v>
      </c>
      <c r="O621" s="250" t="s">
        <v>666</v>
      </c>
      <c r="R621" s="249" t="s">
        <v>478</v>
      </c>
      <c r="S621" s="248" t="s">
        <v>666</v>
      </c>
      <c r="T621" s="249" t="s">
        <v>478</v>
      </c>
      <c r="U621" s="248" t="s">
        <v>666</v>
      </c>
      <c r="V621" s="249" t="s">
        <v>478</v>
      </c>
      <c r="W621" s="253" t="s">
        <v>666</v>
      </c>
      <c r="X621" s="664" t="s">
        <v>432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432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432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432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432</v>
      </c>
    </row>
    <row r="624" spans="1:24" ht="11.25" customHeight="1">
      <c r="A624" s="611">
        <v>30</v>
      </c>
      <c r="B624" s="192" t="s">
        <v>591</v>
      </c>
      <c r="C624" s="100" t="s">
        <v>654</v>
      </c>
      <c r="K624" s="71"/>
      <c r="L624" s="676" t="s">
        <v>432</v>
      </c>
      <c r="M624" s="127"/>
      <c r="W624" s="71"/>
      <c r="X624" s="664" t="s">
        <v>432</v>
      </c>
    </row>
    <row r="625" spans="1:35" ht="11.25" customHeight="1">
      <c r="A625" s="611">
        <v>31</v>
      </c>
      <c r="B625" s="200"/>
      <c r="C625" s="100" t="s">
        <v>467</v>
      </c>
      <c r="K625" s="71"/>
      <c r="L625" s="676" t="s">
        <v>432</v>
      </c>
      <c r="M625" s="102"/>
      <c r="N625" s="132" t="s">
        <v>591</v>
      </c>
      <c r="O625" s="100" t="s">
        <v>654</v>
      </c>
      <c r="R625" s="50"/>
      <c r="U625" s="49"/>
      <c r="V625" s="49"/>
      <c r="W625" s="71"/>
      <c r="X625" s="664" t="s">
        <v>432</v>
      </c>
    </row>
    <row r="626" spans="1:35" ht="11.25" customHeight="1">
      <c r="A626" s="611">
        <v>32</v>
      </c>
      <c r="B626" s="127"/>
      <c r="K626" s="71"/>
      <c r="L626" s="676" t="s">
        <v>432</v>
      </c>
      <c r="M626" s="66"/>
      <c r="N626" s="190"/>
      <c r="O626" s="100" t="s">
        <v>467</v>
      </c>
      <c r="R626" s="50"/>
      <c r="U626" s="49"/>
      <c r="V626" s="49"/>
      <c r="W626" s="71"/>
      <c r="X626" s="664" t="s">
        <v>432</v>
      </c>
    </row>
    <row r="627" spans="1:35" ht="11.25" customHeight="1">
      <c r="A627" s="611">
        <v>33</v>
      </c>
      <c r="B627" s="102" t="s">
        <v>573</v>
      </c>
      <c r="C627" s="922" t="str">
        <f>IF(O628="","",IF(LEN(O628)&lt;=135,O628,IF(LEN(O628)&lt;=260,LEFT(O628,SEARCH(" ",O628,125)),LEFT(O628,SEARCH(" ",O628,130)))))</f>
        <v/>
      </c>
      <c r="D627" s="48"/>
      <c r="E627" s="48"/>
      <c r="F627" s="48"/>
      <c r="G627" s="48"/>
      <c r="H627" s="48"/>
      <c r="I627" s="48"/>
      <c r="J627" s="48"/>
      <c r="K627" s="69"/>
      <c r="L627" s="676" t="s">
        <v>432</v>
      </c>
      <c r="M627" s="127"/>
      <c r="W627" s="71"/>
      <c r="X627" s="664" t="s">
        <v>432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432</v>
      </c>
      <c r="M628" s="127"/>
      <c r="N628" s="577" t="s">
        <v>573</v>
      </c>
      <c r="O628" s="713" t="str">
        <f>IF(O630&lt;&gt;"",O630,IF(OR(AB436=0,AB436=""),"",AB436))</f>
        <v/>
      </c>
      <c r="P628" s="48"/>
      <c r="Q628" s="48"/>
      <c r="R628" s="48"/>
      <c r="S628" s="48"/>
      <c r="T628" s="48"/>
      <c r="U628" s="48"/>
      <c r="V628" s="48"/>
      <c r="W628" s="103"/>
      <c r="X628" s="664" t="s">
        <v>432</v>
      </c>
    </row>
    <row r="629" spans="1:35" ht="11.25" customHeight="1">
      <c r="A629" s="611">
        <v>35</v>
      </c>
      <c r="B629" s="85"/>
      <c r="C629" s="922" t="str">
        <f>IF(LEN(O628)&lt;=265,"",RIGHT(O628,LEN(O628)-SEARCH(" ",O628,255)))</f>
        <v/>
      </c>
      <c r="D629" s="48"/>
      <c r="E629" s="48"/>
      <c r="F629" s="48"/>
      <c r="G629" s="48"/>
      <c r="H629" s="48"/>
      <c r="I629" s="48"/>
      <c r="J629" s="48"/>
      <c r="K629" s="69"/>
      <c r="L629" s="676" t="s">
        <v>432</v>
      </c>
      <c r="M629" s="85"/>
      <c r="N629" s="609" t="s">
        <v>303</v>
      </c>
      <c r="O629" s="59"/>
      <c r="P629" s="921">
        <f>LEN(O628)</f>
        <v>0</v>
      </c>
      <c r="Q629" s="59"/>
      <c r="R629" s="59"/>
      <c r="S629" s="59"/>
      <c r="T629" s="59"/>
      <c r="U629" s="59"/>
      <c r="V629" s="59"/>
      <c r="W629" s="105"/>
      <c r="X629" s="664" t="s">
        <v>432</v>
      </c>
    </row>
    <row r="630" spans="1:35" ht="11.25" customHeight="1">
      <c r="A630" s="611">
        <v>36</v>
      </c>
      <c r="B630" s="127"/>
      <c r="K630" s="71"/>
      <c r="L630" s="676" t="s">
        <v>432</v>
      </c>
      <c r="M630" s="66"/>
      <c r="N630" s="1024" t="s">
        <v>640</v>
      </c>
      <c r="O630" s="1026"/>
      <c r="P630" s="59"/>
      <c r="Q630" s="59"/>
      <c r="R630" s="48"/>
      <c r="S630" s="48"/>
      <c r="T630" s="48"/>
      <c r="U630" s="48"/>
      <c r="V630" s="48"/>
      <c r="W630" s="103"/>
      <c r="X630" s="664" t="s">
        <v>432</v>
      </c>
    </row>
    <row r="631" spans="1:35" ht="11.25" customHeight="1">
      <c r="A631" s="611">
        <v>37</v>
      </c>
      <c r="B631" s="191" t="s">
        <v>655</v>
      </c>
      <c r="C631" s="53"/>
      <c r="D631" s="53"/>
      <c r="E631" s="209"/>
      <c r="K631" s="71"/>
      <c r="L631" s="676" t="s">
        <v>432</v>
      </c>
      <c r="M631" s="127"/>
      <c r="W631" s="71"/>
      <c r="X631" s="664" t="s">
        <v>432</v>
      </c>
    </row>
    <row r="632" spans="1:35" ht="11.25" customHeight="1">
      <c r="A632" s="611">
        <v>38</v>
      </c>
      <c r="B632" s="127"/>
      <c r="C632" s="53"/>
      <c r="J632" s="262" t="s">
        <v>437</v>
      </c>
      <c r="K632" s="395"/>
      <c r="L632" s="676" t="s">
        <v>432</v>
      </c>
      <c r="M632" s="127"/>
      <c r="W632" s="71"/>
      <c r="X632" s="664" t="s">
        <v>432</v>
      </c>
    </row>
    <row r="633" spans="1:35" ht="11.25" customHeight="1">
      <c r="A633" s="611">
        <v>39</v>
      </c>
      <c r="B633" s="127"/>
      <c r="C633" s="53"/>
      <c r="E633" s="50" t="s">
        <v>656</v>
      </c>
      <c r="J633" s="114" t="str">
        <f>IF(M434=2,"NA",IF($M635="","TBD",IF($M635=1,"YES",IF($M635=3,"NA",""))))</f>
        <v>TBD</v>
      </c>
      <c r="K633" s="115" t="str">
        <f>IF($M635=2,"NO","")</f>
        <v/>
      </c>
      <c r="L633" s="676" t="s">
        <v>432</v>
      </c>
      <c r="M633" s="191" t="s">
        <v>655</v>
      </c>
      <c r="N633" s="53"/>
      <c r="O633" s="53"/>
      <c r="P633" s="53"/>
      <c r="W633" s="71"/>
      <c r="X633" s="664" t="s">
        <v>432</v>
      </c>
    </row>
    <row r="634" spans="1:35" ht="11.25" customHeight="1" thickBot="1">
      <c r="A634" s="611">
        <v>40</v>
      </c>
      <c r="B634" s="127"/>
      <c r="K634" s="71"/>
      <c r="L634" s="676" t="s">
        <v>432</v>
      </c>
      <c r="M634" s="202" t="s">
        <v>657</v>
      </c>
      <c r="W634" s="71"/>
      <c r="X634" s="664" t="s">
        <v>432</v>
      </c>
      <c r="AE634"/>
      <c r="AF634"/>
      <c r="AG634"/>
      <c r="AH634"/>
      <c r="AI634"/>
    </row>
    <row r="635" spans="1:35" ht="11.25" customHeight="1">
      <c r="A635" s="611">
        <v>41</v>
      </c>
      <c r="B635" s="973" t="s">
        <v>533</v>
      </c>
      <c r="C635" s="974" t="str">
        <f>"Cassette/Film Size ("&amp;WBCM_IN&amp;")"</f>
        <v>Cassette/Film Size (cm)</v>
      </c>
      <c r="D635" s="410"/>
      <c r="E635" s="184" t="str">
        <f>"Measured* Radiation ("&amp;WBCM_IN&amp;")"</f>
        <v>Measured* Radiation (cm)</v>
      </c>
      <c r="F635" s="410"/>
      <c r="G635" s="968" t="s">
        <v>648</v>
      </c>
      <c r="H635" s="975"/>
      <c r="I635" s="975"/>
      <c r="J635" s="205" t="s">
        <v>652</v>
      </c>
      <c r="K635" s="207"/>
      <c r="L635" s="676" t="s">
        <v>432</v>
      </c>
      <c r="M635" s="816" t="str">
        <f>IF(N635&lt;&gt;"",N635,IF(OR(AB151=0,AB151=""),"",AB151))</f>
        <v/>
      </c>
      <c r="N635" s="701"/>
      <c r="O635" s="50" t="s">
        <v>656</v>
      </c>
      <c r="W635" s="71"/>
      <c r="X635" s="664" t="s">
        <v>432</v>
      </c>
      <c r="AE635"/>
      <c r="AF635"/>
      <c r="AG635"/>
      <c r="AH635"/>
      <c r="AI635"/>
    </row>
    <row r="636" spans="1:35" ht="11.25" customHeight="1" thickBot="1">
      <c r="A636" s="611">
        <v>42</v>
      </c>
      <c r="B636" s="219" t="str">
        <f>"("&amp;IF(WBCM_IN="","",WBCM_IN)&amp;")"</f>
        <v>(cm)</v>
      </c>
      <c r="C636" s="27" t="s">
        <v>478</v>
      </c>
      <c r="D636" s="168" t="s">
        <v>479</v>
      </c>
      <c r="E636" s="169" t="s">
        <v>478</v>
      </c>
      <c r="F636" s="203" t="s">
        <v>479</v>
      </c>
      <c r="G636" s="169" t="s">
        <v>478</v>
      </c>
      <c r="H636" s="27" t="s">
        <v>479</v>
      </c>
      <c r="I636" s="203" t="s">
        <v>35</v>
      </c>
      <c r="J636" s="206" t="s">
        <v>478</v>
      </c>
      <c r="K636" s="23" t="s">
        <v>479</v>
      </c>
      <c r="L636" s="676" t="s">
        <v>432</v>
      </c>
      <c r="M636" s="127"/>
      <c r="W636" s="71"/>
      <c r="X636" s="664" t="s">
        <v>432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432</v>
      </c>
      <c r="M637" s="66" t="s">
        <v>533</v>
      </c>
      <c r="N637" s="243" t="str">
        <f>"Cassette/Film Size ("&amp;WBCM_IN&amp;")"</f>
        <v>Cassette/Film Size (cm)</v>
      </c>
      <c r="O637" s="173"/>
      <c r="P637" s="244" t="str">
        <f>"Measured* Radiation ("&amp;WBCM_IN&amp;")"</f>
        <v>Measured* Radiation (cm)</v>
      </c>
      <c r="Q637" s="173"/>
      <c r="R637" s="1281" t="s">
        <v>648</v>
      </c>
      <c r="S637" s="1282"/>
      <c r="T637" s="1283"/>
      <c r="U637" s="1278" t="s">
        <v>652</v>
      </c>
      <c r="V637" s="1279"/>
      <c r="W637" s="1280"/>
      <c r="X637" s="664" t="s">
        <v>432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432</v>
      </c>
      <c r="M638" s="219" t="str">
        <f>"("&amp;IF(WBCM_IN="","",WBCM_IN)&amp;")"</f>
        <v>(cm)</v>
      </c>
      <c r="N638" s="250" t="s">
        <v>478</v>
      </c>
      <c r="O638" s="248" t="s">
        <v>666</v>
      </c>
      <c r="P638" s="249" t="s">
        <v>478</v>
      </c>
      <c r="Q638" s="252" t="s">
        <v>666</v>
      </c>
      <c r="R638" s="249" t="s">
        <v>478</v>
      </c>
      <c r="S638" s="250" t="s">
        <v>666</v>
      </c>
      <c r="T638" s="250" t="s">
        <v>35</v>
      </c>
      <c r="U638" s="748" t="s">
        <v>478</v>
      </c>
      <c r="V638" s="248" t="s">
        <v>666</v>
      </c>
      <c r="W638" s="1038" t="s">
        <v>35</v>
      </c>
      <c r="X638" s="664" t="s">
        <v>432</v>
      </c>
      <c r="AE638"/>
      <c r="AF638"/>
      <c r="AG638"/>
      <c r="AH638"/>
      <c r="AI638"/>
    </row>
    <row r="639" spans="1:35" ht="11.25" customHeight="1" thickBot="1">
      <c r="A639" s="611">
        <v>45</v>
      </c>
      <c r="B639" s="127"/>
      <c r="C639" s="3" t="s">
        <v>650</v>
      </c>
      <c r="K639" s="71"/>
      <c r="L639" s="676" t="s">
        <v>432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432</v>
      </c>
      <c r="AE639"/>
      <c r="AF639"/>
      <c r="AG639"/>
      <c r="AH639"/>
      <c r="AI639"/>
    </row>
    <row r="640" spans="1:35" ht="11.25" customHeight="1" thickBot="1">
      <c r="A640" s="611">
        <v>46</v>
      </c>
      <c r="B640" s="127"/>
      <c r="K640" s="71"/>
      <c r="L640" s="676" t="s">
        <v>432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432</v>
      </c>
      <c r="AE640"/>
      <c r="AF640"/>
      <c r="AG640"/>
      <c r="AH640"/>
      <c r="AI640"/>
    </row>
    <row r="641" spans="1:35" ht="11.25" customHeight="1">
      <c r="A641" s="611">
        <v>47</v>
      </c>
      <c r="B641" s="192" t="s">
        <v>591</v>
      </c>
      <c r="C641" s="100" t="s">
        <v>43</v>
      </c>
      <c r="D641" s="50"/>
      <c r="E641" s="49"/>
      <c r="F641" s="49"/>
      <c r="G641" s="49"/>
      <c r="H641" s="49"/>
      <c r="I641" s="49"/>
      <c r="J641" s="114"/>
      <c r="K641" s="115" t="str">
        <f>IF(M643=2,"NO","")</f>
        <v/>
      </c>
      <c r="L641" s="676" t="s">
        <v>432</v>
      </c>
      <c r="M641" s="127"/>
      <c r="N641" s="3" t="s">
        <v>650</v>
      </c>
      <c r="W641" s="71"/>
      <c r="X641" s="664" t="s">
        <v>432</v>
      </c>
      <c r="AE641"/>
      <c r="AF641"/>
      <c r="AG641"/>
      <c r="AH641"/>
      <c r="AI641"/>
    </row>
    <row r="642" spans="1:35" ht="11.25" customHeight="1">
      <c r="A642" s="611">
        <v>48</v>
      </c>
      <c r="B642" s="127"/>
      <c r="C642" s="685" t="s">
        <v>42</v>
      </c>
      <c r="K642" s="71"/>
      <c r="L642" s="676" t="s">
        <v>432</v>
      </c>
      <c r="M642" s="695"/>
      <c r="N642" s="696"/>
      <c r="O642" s="696"/>
      <c r="P642" s="774"/>
      <c r="Q642" s="774"/>
      <c r="R642" s="734" t="s">
        <v>640</v>
      </c>
      <c r="W642" s="71"/>
      <c r="X642" s="664" t="s">
        <v>432</v>
      </c>
      <c r="AE642"/>
      <c r="AF642"/>
      <c r="AG642"/>
      <c r="AH642"/>
      <c r="AI642"/>
    </row>
    <row r="643" spans="1:35" ht="11.25" customHeight="1">
      <c r="A643" s="611">
        <v>49</v>
      </c>
      <c r="B643" s="102"/>
      <c r="K643" s="71"/>
      <c r="L643" s="676" t="s">
        <v>432</v>
      </c>
      <c r="M643" s="695"/>
      <c r="N643" s="696"/>
      <c r="O643" s="696"/>
      <c r="P643" s="774"/>
      <c r="Q643" s="774"/>
      <c r="R643" s="735" t="s">
        <v>329</v>
      </c>
      <c r="S643" s="49"/>
      <c r="T643" s="49"/>
      <c r="U643" s="49"/>
      <c r="V643" s="49"/>
      <c r="W643" s="69"/>
      <c r="X643" s="664" t="s">
        <v>432</v>
      </c>
      <c r="AE643"/>
      <c r="AF643"/>
      <c r="AG643"/>
      <c r="AH643"/>
      <c r="AI643"/>
    </row>
    <row r="644" spans="1:35" ht="11.25" customHeight="1">
      <c r="A644" s="611">
        <v>50</v>
      </c>
      <c r="B644" s="85" t="s">
        <v>573</v>
      </c>
      <c r="C644" s="922" t="str">
        <f>IF(O646="","",IF(LEN(O646)&lt;=135,O646,IF(LEN(O646)&lt;=260,LEFT(O646,SEARCH(" ",O646,125)),LEFT(O646,SEARCH(" ",O646,130)))))</f>
        <v/>
      </c>
      <c r="D644" s="48"/>
      <c r="E644" s="48"/>
      <c r="F644" s="48"/>
      <c r="G644" s="48"/>
      <c r="H644" s="48"/>
      <c r="I644" s="48"/>
      <c r="J644" s="48"/>
      <c r="K644" s="71"/>
      <c r="L644" s="676" t="s">
        <v>432</v>
      </c>
      <c r="M644" s="211"/>
      <c r="N644" s="132" t="s">
        <v>591</v>
      </c>
      <c r="O644" s="100" t="s">
        <v>43</v>
      </c>
      <c r="W644" s="71"/>
      <c r="X644" s="664" t="s">
        <v>432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432</v>
      </c>
      <c r="M645" s="127"/>
      <c r="O645" s="685" t="s">
        <v>42</v>
      </c>
      <c r="W645" s="71"/>
      <c r="X645" s="664" t="s">
        <v>432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432</v>
      </c>
      <c r="M646" s="85"/>
      <c r="N646" s="577" t="s">
        <v>573</v>
      </c>
      <c r="O646" s="713" t="str">
        <f>IF(O648&lt;&gt;"",O648,IF(OR(AB437=0,AB437=""),"",AB437))</f>
        <v/>
      </c>
      <c r="P646" s="48"/>
      <c r="Q646" s="48"/>
      <c r="R646" s="48"/>
      <c r="S646" s="48"/>
      <c r="T646" s="48"/>
      <c r="U646" s="48"/>
      <c r="V646" s="48"/>
      <c r="W646" s="103"/>
      <c r="X646" s="664" t="s">
        <v>432</v>
      </c>
      <c r="Y646" s="457"/>
      <c r="Z646" s="457"/>
      <c r="AA646" s="457"/>
      <c r="AB646" s="457"/>
      <c r="AE646"/>
      <c r="AF646"/>
      <c r="AG646"/>
      <c r="AH646"/>
      <c r="AI646"/>
    </row>
    <row r="647" spans="1:35" ht="11.25" customHeight="1">
      <c r="A647" s="611">
        <v>53</v>
      </c>
      <c r="B647" s="127"/>
      <c r="K647" s="71"/>
      <c r="L647" s="676" t="s">
        <v>432</v>
      </c>
      <c r="M647" s="66"/>
      <c r="N647" s="609" t="s">
        <v>303</v>
      </c>
      <c r="O647" s="59"/>
      <c r="P647" s="921">
        <f>LEN(O646)</f>
        <v>0</v>
      </c>
      <c r="Q647" s="59"/>
      <c r="R647" s="59"/>
      <c r="S647" s="59"/>
      <c r="T647" s="59"/>
      <c r="U647" s="59"/>
      <c r="V647" s="59"/>
      <c r="W647" s="105"/>
      <c r="X647" s="664" t="s">
        <v>432</v>
      </c>
      <c r="Y647" s="457"/>
      <c r="Z647" s="457"/>
      <c r="AA647" s="457"/>
      <c r="AB647" s="457"/>
      <c r="AE647"/>
      <c r="AF647"/>
      <c r="AG647"/>
      <c r="AH647"/>
      <c r="AI647"/>
    </row>
    <row r="648" spans="1:35" ht="11.25" customHeight="1">
      <c r="A648" s="611">
        <v>54</v>
      </c>
      <c r="B648" s="198" t="s">
        <v>435</v>
      </c>
      <c r="C648" s="109"/>
      <c r="E648" s="199" t="s">
        <v>660</v>
      </c>
      <c r="F648" s="53"/>
      <c r="G648" s="1"/>
      <c r="H648" s="1"/>
      <c r="I648" s="1"/>
      <c r="J648" s="262" t="s">
        <v>437</v>
      </c>
      <c r="K648" s="395"/>
      <c r="L648" s="676" t="s">
        <v>432</v>
      </c>
      <c r="M648" s="127"/>
      <c r="N648" s="1024" t="s">
        <v>640</v>
      </c>
      <c r="O648" s="1026"/>
      <c r="P648" s="50"/>
      <c r="Q648" s="50"/>
      <c r="R648" s="49"/>
      <c r="S648" s="49"/>
      <c r="T648" s="49"/>
      <c r="U648" s="49"/>
      <c r="V648" s="49"/>
      <c r="W648" s="69"/>
      <c r="X648" s="664" t="s">
        <v>432</v>
      </c>
      <c r="Y648" s="457"/>
      <c r="Z648" s="457"/>
      <c r="AA648" s="457"/>
      <c r="AB648" s="457"/>
      <c r="AE648"/>
      <c r="AF648"/>
      <c r="AG648"/>
      <c r="AH648"/>
      <c r="AI648"/>
    </row>
    <row r="649" spans="1:35" ht="11.25" customHeight="1">
      <c r="A649" s="611">
        <v>55</v>
      </c>
      <c r="B649" s="110"/>
      <c r="C649" s="111"/>
      <c r="D649" s="50" t="s">
        <v>470</v>
      </c>
      <c r="E649" s="49"/>
      <c r="F649" s="49"/>
      <c r="G649" s="49"/>
      <c r="H649" s="49"/>
      <c r="I649" s="49"/>
      <c r="J649" s="114" t="str">
        <f>IF($M$434=2,"NA",IF($M652="","TBD",IF($M652=1,"YES",IF($M652=3,"NA",""))))</f>
        <v>TBD</v>
      </c>
      <c r="K649" s="115" t="str">
        <f>IF($M$434=2,"",IF($M652=2,"NO",""))</f>
        <v/>
      </c>
      <c r="L649" s="676" t="s">
        <v>432</v>
      </c>
      <c r="M649" s="127"/>
      <c r="W649" s="71"/>
      <c r="X649" s="664" t="s">
        <v>432</v>
      </c>
      <c r="Y649" s="457"/>
      <c r="Z649" s="457"/>
      <c r="AA649" s="457"/>
      <c r="AB649" s="457"/>
      <c r="AE649"/>
      <c r="AF649"/>
      <c r="AG649"/>
      <c r="AH649"/>
      <c r="AI649"/>
    </row>
    <row r="650" spans="1:35" ht="11.25" customHeight="1">
      <c r="A650" s="611">
        <v>56</v>
      </c>
      <c r="B650" s="85"/>
      <c r="C650" s="50"/>
      <c r="D650" s="50" t="s">
        <v>1079</v>
      </c>
      <c r="J650" s="114" t="str">
        <f>IF($M$409=2,"NA",IF($M653="","TBD",IF($M653=1,"Stationary",IF($M653=2,"Reciprocating",IF($M653=3,"NA","")))))</f>
        <v>TBD</v>
      </c>
      <c r="K650" s="115"/>
      <c r="L650" s="676" t="s">
        <v>432</v>
      </c>
      <c r="M650" s="127"/>
      <c r="O650" s="209"/>
      <c r="R650" s="870" t="s">
        <v>660</v>
      </c>
      <c r="W650" s="71"/>
      <c r="X650" s="664" t="s">
        <v>432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432</v>
      </c>
      <c r="M651" s="202" t="s">
        <v>438</v>
      </c>
      <c r="R651" s="53"/>
      <c r="W651" s="71"/>
      <c r="X651" s="664" t="s">
        <v>432</v>
      </c>
      <c r="Y651" s="457"/>
      <c r="Z651" s="457"/>
      <c r="AA651" s="457"/>
      <c r="AB651" s="457"/>
      <c r="AE651"/>
      <c r="AF651"/>
      <c r="AG651"/>
      <c r="AH651"/>
      <c r="AI651"/>
    </row>
    <row r="652" spans="1:35" ht="11.25" customHeight="1">
      <c r="A652" s="611">
        <v>58</v>
      </c>
      <c r="B652" s="127"/>
      <c r="K652" s="71"/>
      <c r="L652" s="676" t="s">
        <v>432</v>
      </c>
      <c r="M652" s="721"/>
      <c r="N652" s="50"/>
      <c r="O652" s="50" t="s">
        <v>470</v>
      </c>
      <c r="P652" s="49"/>
      <c r="Q652" s="49"/>
      <c r="R652" s="49"/>
      <c r="S652" s="49"/>
      <c r="T652" s="49"/>
      <c r="U652" s="49"/>
      <c r="V652" s="49"/>
      <c r="W652" s="69"/>
      <c r="X652" s="664" t="s">
        <v>432</v>
      </c>
      <c r="Y652" s="457"/>
      <c r="Z652" s="457"/>
      <c r="AA652" s="457"/>
      <c r="AB652" s="457"/>
      <c r="AE652"/>
      <c r="AF652"/>
      <c r="AG652"/>
      <c r="AH652"/>
      <c r="AI652"/>
    </row>
    <row r="653" spans="1:35" ht="11.25" customHeight="1">
      <c r="A653" s="611">
        <v>59</v>
      </c>
      <c r="B653" s="102" t="s">
        <v>573</v>
      </c>
      <c r="C653" s="922" t="str">
        <f>IF(O656="","",IF(LEN(O656)&lt;=135,O656,IF(LEN(O656)&lt;=260,LEFT(O656,SEARCH(" ",O656,125)),LEFT(O656,SEARCH(" ",O656,130)))))</f>
        <v/>
      </c>
      <c r="D653" s="48"/>
      <c r="E653" s="48"/>
      <c r="F653" s="48"/>
      <c r="G653" s="48"/>
      <c r="H653" s="48"/>
      <c r="I653" s="48"/>
      <c r="J653" s="48"/>
      <c r="K653" s="69"/>
      <c r="L653" s="676" t="s">
        <v>432</v>
      </c>
      <c r="M653" s="818" t="str">
        <f>IF(N653&lt;&gt;"",N653,IF(OR(AB152=0,AB152=""),"",AB152))</f>
        <v/>
      </c>
      <c r="N653" s="701"/>
      <c r="O653" s="50" t="s">
        <v>661</v>
      </c>
      <c r="P653" s="50"/>
      <c r="Q653" s="50"/>
      <c r="R653" s="50"/>
      <c r="S653" s="50"/>
      <c r="T653" s="50"/>
      <c r="U653" s="50"/>
      <c r="V653" s="50"/>
      <c r="W653" s="70"/>
      <c r="X653" s="664" t="s">
        <v>432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432</v>
      </c>
      <c r="M654" s="617"/>
      <c r="O654" s="50" t="str">
        <f>IF(M653=1,"","Radiographic image is free of grid lines.")</f>
        <v>Radiographic image is free of grid lines.</v>
      </c>
      <c r="W654" s="71"/>
      <c r="X654" s="664" t="s">
        <v>432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432</v>
      </c>
      <c r="M655" s="127"/>
      <c r="W655" s="71"/>
      <c r="X655" s="664" t="s">
        <v>432</v>
      </c>
      <c r="Y655" s="457"/>
      <c r="Z655" s="457"/>
      <c r="AA655" s="457"/>
      <c r="AB655" s="457"/>
      <c r="AE655"/>
      <c r="AF655"/>
      <c r="AG655"/>
      <c r="AH655"/>
      <c r="AI655"/>
    </row>
    <row r="656" spans="1:35" ht="11.25" customHeight="1">
      <c r="A656" s="611">
        <v>62</v>
      </c>
      <c r="B656" s="127"/>
      <c r="K656" s="71"/>
      <c r="L656" s="676" t="s">
        <v>432</v>
      </c>
      <c r="M656" s="127"/>
      <c r="N656" s="577" t="s">
        <v>573</v>
      </c>
      <c r="O656" s="713" t="str">
        <f>IF(O658&lt;&gt;"",O658,IF(OR(AB438=0,AB438=""),"",AB438))</f>
        <v/>
      </c>
      <c r="P656" s="48"/>
      <c r="Q656" s="48"/>
      <c r="R656" s="48"/>
      <c r="S656" s="48"/>
      <c r="T656" s="48"/>
      <c r="U656" s="48"/>
      <c r="V656" s="48"/>
      <c r="W656" s="103"/>
      <c r="X656" s="664" t="s">
        <v>432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432</v>
      </c>
      <c r="M657" s="85"/>
      <c r="N657" s="609" t="s">
        <v>303</v>
      </c>
      <c r="O657" s="59"/>
      <c r="P657" s="921">
        <f>LEN(O656)</f>
        <v>0</v>
      </c>
      <c r="Q657" s="59"/>
      <c r="R657" s="59"/>
      <c r="S657" s="59"/>
      <c r="T657" s="59"/>
      <c r="U657" s="59"/>
      <c r="V657" s="59"/>
      <c r="W657" s="105"/>
      <c r="X657" s="664" t="s">
        <v>432</v>
      </c>
      <c r="Y657" s="457"/>
      <c r="Z657" s="1292" t="s">
        <v>1095</v>
      </c>
      <c r="AA657" s="1292"/>
      <c r="AB657" s="457"/>
      <c r="AE657"/>
      <c r="AF657"/>
      <c r="AG657"/>
      <c r="AH657"/>
      <c r="AI657"/>
    </row>
    <row r="658" spans="1:35" ht="11.25" customHeight="1" thickTop="1">
      <c r="A658" s="611">
        <v>64</v>
      </c>
      <c r="B658" s="49"/>
      <c r="D658" s="49"/>
      <c r="E658" s="49"/>
      <c r="F658" s="49"/>
      <c r="G658" s="49"/>
      <c r="H658" s="49"/>
      <c r="I658" s="49"/>
      <c r="J658" s="49"/>
      <c r="K658" s="49"/>
      <c r="L658" s="676" t="s">
        <v>432</v>
      </c>
      <c r="M658" s="66"/>
      <c r="N658" s="1024" t="s">
        <v>640</v>
      </c>
      <c r="O658" s="1026"/>
      <c r="P658" s="59"/>
      <c r="Q658" s="59"/>
      <c r="R658" s="48"/>
      <c r="S658" s="48"/>
      <c r="T658" s="48"/>
      <c r="U658" s="48"/>
      <c r="V658" s="48"/>
      <c r="W658" s="103"/>
      <c r="X658" s="664" t="s">
        <v>432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432</v>
      </c>
      <c r="M659" s="98"/>
      <c r="N659" s="83"/>
      <c r="O659" s="83"/>
      <c r="P659" s="83"/>
      <c r="Q659" s="83"/>
      <c r="R659" s="83"/>
      <c r="S659" s="83"/>
      <c r="T659" s="83"/>
      <c r="U659" s="83"/>
      <c r="V659" s="83"/>
      <c r="W659" s="86"/>
      <c r="X659" s="664" t="s">
        <v>432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432</v>
      </c>
      <c r="M660" s="49"/>
      <c r="N660" s="49"/>
      <c r="O660" s="49"/>
      <c r="P660" s="49"/>
      <c r="Q660" s="49"/>
      <c r="R660" s="49"/>
      <c r="S660" s="49"/>
      <c r="T660" s="49"/>
      <c r="U660" s="49"/>
      <c r="V660" s="49"/>
      <c r="W660" s="49"/>
      <c r="X660" s="664" t="s">
        <v>432</v>
      </c>
      <c r="Y660" s="457"/>
      <c r="Z660">
        <v>1.3</v>
      </c>
      <c r="AA660">
        <v>0.63</v>
      </c>
      <c r="AB660" s="457"/>
      <c r="AE660"/>
      <c r="AF660"/>
      <c r="AG660"/>
      <c r="AH660"/>
      <c r="AI660"/>
    </row>
    <row r="661" spans="1:35" ht="11.25" customHeight="1">
      <c r="A661" s="611">
        <v>1</v>
      </c>
      <c r="K661" s="131" t="str">
        <f>$F$2</f>
        <v>Medical University of South Carolina</v>
      </c>
      <c r="L661" s="676" t="s">
        <v>432</v>
      </c>
      <c r="W661" s="131" t="str">
        <f>$F$2</f>
        <v>Medical University of South Carolina</v>
      </c>
      <c r="X661" s="664" t="s">
        <v>432</v>
      </c>
      <c r="Z661">
        <v>2.1</v>
      </c>
      <c r="AA661">
        <v>0.71</v>
      </c>
      <c r="AE661"/>
      <c r="AF661"/>
      <c r="AG661"/>
      <c r="AH661"/>
      <c r="AI661"/>
    </row>
    <row r="662" spans="1:35" ht="11.25" customHeight="1">
      <c r="A662" s="611">
        <v>2</v>
      </c>
      <c r="F662" s="82" t="str">
        <f>$F$464</f>
        <v>Measurement Data</v>
      </c>
      <c r="K662" s="132" t="str">
        <f>$F$5</f>
        <v>Radiographic System Compliance Inspection</v>
      </c>
      <c r="L662" s="676" t="s">
        <v>432</v>
      </c>
      <c r="Q662" s="82" t="str">
        <f>$F$464</f>
        <v>Measurement Data</v>
      </c>
      <c r="W662" s="132" t="str">
        <f>$F$5</f>
        <v>Radiographic System Compliance Inspection</v>
      </c>
      <c r="X662" s="664" t="s">
        <v>432</v>
      </c>
      <c r="Z662">
        <v>2.2000000000000002</v>
      </c>
      <c r="AA662">
        <v>0.8</v>
      </c>
      <c r="AE662"/>
      <c r="AF662"/>
      <c r="AG662"/>
      <c r="AH662"/>
      <c r="AI662"/>
    </row>
    <row r="663" spans="1:35" ht="11.25" customHeight="1" thickBot="1">
      <c r="A663" s="611">
        <v>3</v>
      </c>
      <c r="L663" s="676" t="s">
        <v>432</v>
      </c>
      <c r="X663" s="664" t="s">
        <v>432</v>
      </c>
      <c r="Z663">
        <v>2.2999999999999998</v>
      </c>
      <c r="AA663">
        <v>0.9</v>
      </c>
      <c r="AE663"/>
      <c r="AF663"/>
      <c r="AG663"/>
      <c r="AH663"/>
      <c r="AI663"/>
    </row>
    <row r="664" spans="1:35" ht="11.25" customHeight="1" thickTop="1">
      <c r="A664" s="611">
        <v>4</v>
      </c>
      <c r="F664" s="190" t="s">
        <v>529</v>
      </c>
      <c r="L664" s="676" t="s">
        <v>432</v>
      </c>
      <c r="M664" s="79"/>
      <c r="N664" s="62"/>
      <c r="O664" s="62"/>
      <c r="P664" s="62"/>
      <c r="Q664" s="62"/>
      <c r="R664" s="62"/>
      <c r="S664" s="62"/>
      <c r="T664" s="62"/>
      <c r="U664" s="62"/>
      <c r="V664" s="62"/>
      <c r="W664" s="80"/>
      <c r="X664" s="664" t="s">
        <v>432</v>
      </c>
      <c r="Z664">
        <v>3.1</v>
      </c>
      <c r="AA664">
        <v>1</v>
      </c>
      <c r="AE664"/>
      <c r="AF664"/>
      <c r="AG664"/>
      <c r="AH664"/>
      <c r="AI664"/>
    </row>
    <row r="665" spans="1:35" ht="11.25" customHeight="1" thickBot="1">
      <c r="A665" s="611">
        <v>5</v>
      </c>
      <c r="F665" s="257"/>
      <c r="L665" s="676" t="s">
        <v>432</v>
      </c>
      <c r="M665" s="127"/>
      <c r="Q665" s="257" t="s">
        <v>513</v>
      </c>
      <c r="V665" s="4" t="s">
        <v>689</v>
      </c>
      <c r="W665" s="451" t="s">
        <v>690</v>
      </c>
      <c r="X665" s="664" t="s">
        <v>432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432</v>
      </c>
      <c r="M666" s="191" t="s">
        <v>676</v>
      </c>
      <c r="N666" s="109"/>
      <c r="O666" s="1"/>
      <c r="P666" s="1"/>
      <c r="Q666" s="50"/>
      <c r="R666" s="1"/>
      <c r="S666" s="1"/>
      <c r="T666" s="1"/>
      <c r="U666" s="4" t="s">
        <v>588</v>
      </c>
      <c r="V666" s="4" t="s">
        <v>691</v>
      </c>
      <c r="W666" s="451" t="s">
        <v>691</v>
      </c>
      <c r="X666" s="664" t="s">
        <v>432</v>
      </c>
      <c r="Z666">
        <v>3.3</v>
      </c>
      <c r="AA666">
        <v>1.25</v>
      </c>
      <c r="AE666"/>
      <c r="AF666"/>
      <c r="AG666"/>
      <c r="AH666"/>
      <c r="AI666"/>
    </row>
    <row r="667" spans="1:35" ht="11.25" customHeight="1">
      <c r="A667" s="611">
        <v>7</v>
      </c>
      <c r="B667" s="191" t="s">
        <v>676</v>
      </c>
      <c r="C667" s="109"/>
      <c r="D667" s="1"/>
      <c r="E667" s="1"/>
      <c r="F667" s="1"/>
      <c r="G667" s="1"/>
      <c r="H667" s="1"/>
      <c r="I667" s="1"/>
      <c r="J667" s="1"/>
      <c r="K667" s="71"/>
      <c r="L667" s="676" t="s">
        <v>432</v>
      </c>
      <c r="M667" s="213" t="str">
        <f>$S$37</f>
        <v>Large:</v>
      </c>
      <c r="N667" s="785" t="str">
        <f>IF($U$54="","?Tube #?",IF(ISNA(MATCH($U$54,$U$59:$U$65,0)),IF(ISNA(MATCH($U$54,$V$59:$V$65,0)),"?Tube #?",$T$37),$T$24))</f>
        <v/>
      </c>
      <c r="O667" s="3" t="s">
        <v>692</v>
      </c>
      <c r="P667" s="1156" t="s">
        <v>488</v>
      </c>
      <c r="R667" s="919"/>
      <c r="S667" s="1"/>
      <c r="T667" s="1"/>
      <c r="U667" s="4" t="s">
        <v>693</v>
      </c>
      <c r="V667" s="4" t="s">
        <v>693</v>
      </c>
      <c r="W667" s="451" t="s">
        <v>693</v>
      </c>
      <c r="X667" s="664" t="s">
        <v>432</v>
      </c>
      <c r="Z667">
        <v>4.0999999999999996</v>
      </c>
      <c r="AA667">
        <v>1.4</v>
      </c>
      <c r="AE667"/>
      <c r="AF667"/>
      <c r="AG667"/>
      <c r="AH667"/>
      <c r="AI667"/>
    </row>
    <row r="668" spans="1:35" ht="11.25" customHeight="1" thickBot="1">
      <c r="A668" s="611">
        <v>8</v>
      </c>
      <c r="B668" s="127"/>
      <c r="J668" s="4" t="s">
        <v>689</v>
      </c>
      <c r="K668" s="451" t="s">
        <v>690</v>
      </c>
      <c r="L668" s="676" t="s">
        <v>432</v>
      </c>
      <c r="M668" s="45"/>
      <c r="O668" s="27" t="s">
        <v>486</v>
      </c>
      <c r="P668" s="827" t="str">
        <f>IF(LFMAS="",AB155,LFMAS)</f>
        <v>mA</v>
      </c>
      <c r="Q668" s="27" t="s">
        <v>694</v>
      </c>
      <c r="R668" s="27" t="s">
        <v>695</v>
      </c>
      <c r="S668" s="27" t="s">
        <v>696</v>
      </c>
      <c r="T668" s="260" t="s">
        <v>697</v>
      </c>
      <c r="U668" s="6" t="s">
        <v>698</v>
      </c>
      <c r="V668" s="6" t="s">
        <v>698</v>
      </c>
      <c r="W668" s="23" t="s">
        <v>698</v>
      </c>
      <c r="X668" s="664" t="s">
        <v>432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588</v>
      </c>
      <c r="J669" s="4" t="s">
        <v>691</v>
      </c>
      <c r="K669" s="451" t="s">
        <v>691</v>
      </c>
      <c r="L669" s="676" t="s">
        <v>432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432</v>
      </c>
      <c r="Z669">
        <v>4.3</v>
      </c>
      <c r="AA669">
        <v>1.8</v>
      </c>
      <c r="AE669"/>
      <c r="AF669"/>
      <c r="AG669"/>
      <c r="AH669"/>
      <c r="AI669"/>
    </row>
    <row r="670" spans="1:35" ht="11.25" customHeight="1">
      <c r="A670" s="611">
        <v>10</v>
      </c>
      <c r="B670" s="45"/>
      <c r="C670" s="1"/>
      <c r="D670" s="1"/>
      <c r="E670" s="1"/>
      <c r="F670" s="1"/>
      <c r="G670" s="1"/>
      <c r="H670" s="1"/>
      <c r="I670" s="4" t="s">
        <v>693</v>
      </c>
      <c r="J670" s="4" t="s">
        <v>693</v>
      </c>
      <c r="K670" s="451" t="s">
        <v>693</v>
      </c>
      <c r="L670" s="676" t="s">
        <v>432</v>
      </c>
      <c r="M670" s="725"/>
      <c r="N670" s="717" t="s">
        <v>699</v>
      </c>
      <c r="O670" s="697"/>
      <c r="P670" s="697"/>
      <c r="Q670" s="698"/>
      <c r="R670" s="699"/>
      <c r="S670" s="699"/>
      <c r="V670" s="1"/>
      <c r="W670" s="39"/>
      <c r="X670" s="664" t="s">
        <v>432</v>
      </c>
      <c r="Z670">
        <v>5.0999999999999996</v>
      </c>
      <c r="AA670">
        <v>2</v>
      </c>
      <c r="AE670"/>
      <c r="AF670"/>
      <c r="AG670"/>
      <c r="AH670"/>
      <c r="AI670"/>
    </row>
    <row r="671" spans="1:35" ht="11.25" customHeight="1" thickBot="1">
      <c r="A671" s="611">
        <v>11</v>
      </c>
      <c r="B671" s="45"/>
      <c r="C671" s="27" t="s">
        <v>486</v>
      </c>
      <c r="D671" s="27" t="str">
        <f>IF(LFMAS="","mA/mAs",LFMAS)</f>
        <v>mA</v>
      </c>
      <c r="E671" s="27" t="s">
        <v>694</v>
      </c>
      <c r="F671" s="27" t="s">
        <v>695</v>
      </c>
      <c r="G671" s="27" t="s">
        <v>696</v>
      </c>
      <c r="H671" s="260" t="s">
        <v>697</v>
      </c>
      <c r="I671" s="6" t="s">
        <v>698</v>
      </c>
      <c r="J671" s="6" t="s">
        <v>698</v>
      </c>
      <c r="K671" s="23" t="s">
        <v>698</v>
      </c>
      <c r="L671" s="676" t="s">
        <v>432</v>
      </c>
      <c r="M671" s="127"/>
      <c r="P671" s="1"/>
      <c r="Q671" s="50"/>
      <c r="R671" s="1"/>
      <c r="S671" s="1"/>
      <c r="U671" s="4" t="s">
        <v>588</v>
      </c>
      <c r="V671" s="4" t="s">
        <v>691</v>
      </c>
      <c r="W671" s="451" t="s">
        <v>691</v>
      </c>
      <c r="X671" s="664" t="s">
        <v>432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432</v>
      </c>
      <c r="M672" s="213" t="str">
        <f>IF($U$54="","Small:",IF(ISNA(MATCH($U$54,$U$59:$U$65,0)),IF(ISNA(MATCH($U$54,$V$59:$V$65,0)),"Small:",IF($T$39="",$S$38,$S$39)),IF($T$26="",$S$25,$S$26)))</f>
        <v>Small:</v>
      </c>
      <c r="N672" s="785" t="str">
        <f>IF($U$54="","?Tube #?",IF(ISNA(MATCH($U$54,$U$59:$U$65,0)),IF(ISNA(MATCH($U$54,$V$59:$V$65,0)),"?Tube #?",IF($T$39="",$T$38,$T$39)),IF($T$26="",$T$25,$T$26)))</f>
        <v/>
      </c>
      <c r="O672" s="3" t="s">
        <v>692</v>
      </c>
      <c r="P672" s="1156" t="s">
        <v>488</v>
      </c>
      <c r="R672" s="919"/>
      <c r="S672" s="1"/>
      <c r="U672" s="4" t="s">
        <v>693</v>
      </c>
      <c r="V672" s="4" t="s">
        <v>693</v>
      </c>
      <c r="W672" s="451" t="s">
        <v>693</v>
      </c>
      <c r="X672" s="664" t="s">
        <v>432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432</v>
      </c>
      <c r="M673" s="127"/>
      <c r="O673" s="27" t="s">
        <v>486</v>
      </c>
      <c r="P673" s="827" t="str">
        <f>IF(SFMAS="",AB165,SFMAS)</f>
        <v>mA</v>
      </c>
      <c r="Q673" s="27" t="s">
        <v>694</v>
      </c>
      <c r="R673" s="27" t="s">
        <v>695</v>
      </c>
      <c r="S673" s="27" t="s">
        <v>696</v>
      </c>
      <c r="T673" s="260" t="s">
        <v>697</v>
      </c>
      <c r="U673" s="6" t="s">
        <v>698</v>
      </c>
      <c r="V673" s="6" t="s">
        <v>698</v>
      </c>
      <c r="W673" s="23" t="s">
        <v>698</v>
      </c>
      <c r="X673" s="664" t="s">
        <v>432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588</v>
      </c>
      <c r="J674" s="4" t="s">
        <v>691</v>
      </c>
      <c r="K674" s="451" t="s">
        <v>691</v>
      </c>
      <c r="L674" s="676" t="s">
        <v>432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432</v>
      </c>
      <c r="Z674">
        <v>6.2</v>
      </c>
      <c r="AA674">
        <v>3.15</v>
      </c>
      <c r="AE674"/>
      <c r="AF674"/>
      <c r="AG674"/>
      <c r="AH674"/>
      <c r="AI674"/>
    </row>
    <row r="675" spans="1:35" ht="11.25" customHeight="1">
      <c r="A675" s="611">
        <v>15</v>
      </c>
      <c r="B675" s="45"/>
      <c r="C675" s="1"/>
      <c r="D675" s="1"/>
      <c r="E675" s="1"/>
      <c r="F675" s="1"/>
      <c r="G675" s="1"/>
      <c r="H675" s="1"/>
      <c r="I675" s="4" t="s">
        <v>693</v>
      </c>
      <c r="J675" s="4" t="s">
        <v>693</v>
      </c>
      <c r="K675" s="451" t="s">
        <v>693</v>
      </c>
      <c r="L675" s="676" t="s">
        <v>432</v>
      </c>
      <c r="M675" s="725"/>
      <c r="N675" s="717" t="s">
        <v>699</v>
      </c>
      <c r="O675" s="697"/>
      <c r="P675" s="697"/>
      <c r="Q675" s="698"/>
      <c r="R675" s="699"/>
      <c r="S675" s="699"/>
      <c r="T675" s="1"/>
      <c r="U675" s="1"/>
      <c r="V675" s="1"/>
      <c r="W675" s="39"/>
      <c r="X675" s="664" t="s">
        <v>432</v>
      </c>
      <c r="Z675">
        <v>6.3</v>
      </c>
      <c r="AA675">
        <v>3.55</v>
      </c>
      <c r="AE675"/>
      <c r="AF675"/>
      <c r="AG675"/>
      <c r="AH675"/>
      <c r="AI675"/>
    </row>
    <row r="676" spans="1:35" ht="11.25" customHeight="1" thickBot="1">
      <c r="A676" s="611">
        <v>16</v>
      </c>
      <c r="B676" s="45"/>
      <c r="C676" s="27" t="s">
        <v>486</v>
      </c>
      <c r="D676" s="27" t="str">
        <f>IF(SFMAS="","mA/mAs",SFMAS)</f>
        <v>mA</v>
      </c>
      <c r="E676" s="27" t="s">
        <v>694</v>
      </c>
      <c r="F676" s="27" t="s">
        <v>695</v>
      </c>
      <c r="G676" s="27" t="s">
        <v>696</v>
      </c>
      <c r="H676" s="260" t="s">
        <v>697</v>
      </c>
      <c r="I676" s="6" t="s">
        <v>698</v>
      </c>
      <c r="J676" s="6" t="s">
        <v>698</v>
      </c>
      <c r="K676" s="23" t="s">
        <v>698</v>
      </c>
      <c r="L676" s="676" t="s">
        <v>432</v>
      </c>
      <c r="M676" s="45"/>
      <c r="O676" s="3" t="s">
        <v>700</v>
      </c>
      <c r="P676" s="1"/>
      <c r="Q676" s="1"/>
      <c r="R676" s="1"/>
      <c r="S676" s="1"/>
      <c r="T676" s="1"/>
      <c r="U676" s="1"/>
      <c r="V676" s="1"/>
      <c r="W676" s="39"/>
      <c r="X676" s="664" t="s">
        <v>432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432</v>
      </c>
      <c r="M677" s="213"/>
      <c r="O677" s="3" t="s">
        <v>701</v>
      </c>
      <c r="W677" s="39"/>
      <c r="X677" s="664" t="s">
        <v>432</v>
      </c>
      <c r="Z677">
        <v>7.2</v>
      </c>
      <c r="AA677">
        <v>4.5</v>
      </c>
      <c r="AE677"/>
      <c r="AF677"/>
      <c r="AG677"/>
      <c r="AH677"/>
      <c r="AI677"/>
    </row>
    <row r="678" spans="1:35" ht="11.25" customHeight="1" thickBot="1">
      <c r="A678" s="611">
        <v>18</v>
      </c>
      <c r="B678" s="45"/>
      <c r="C678" s="3" t="s">
        <v>700</v>
      </c>
      <c r="D678" s="1"/>
      <c r="E678" s="1"/>
      <c r="F678" s="1"/>
      <c r="G678" s="1"/>
      <c r="H678" s="1"/>
      <c r="I678" s="1"/>
      <c r="J678" s="1"/>
      <c r="K678" s="71"/>
      <c r="L678" s="676" t="s">
        <v>432</v>
      </c>
      <c r="M678" s="202" t="s">
        <v>438</v>
      </c>
      <c r="W678" s="39"/>
      <c r="X678" s="664" t="s">
        <v>432</v>
      </c>
      <c r="Z678">
        <v>7.3</v>
      </c>
      <c r="AA678">
        <v>5</v>
      </c>
      <c r="AE678"/>
      <c r="AF678"/>
      <c r="AG678"/>
      <c r="AH678"/>
      <c r="AI678"/>
    </row>
    <row r="679" spans="1:35" ht="11.25" customHeight="1" thickBot="1">
      <c r="A679" s="611">
        <v>19</v>
      </c>
      <c r="B679" s="213"/>
      <c r="C679" s="3" t="s">
        <v>701</v>
      </c>
      <c r="D679" s="1"/>
      <c r="E679" s="1"/>
      <c r="F679" s="1"/>
      <c r="G679" s="1"/>
      <c r="H679" s="1"/>
      <c r="I679" s="42" t="s">
        <v>590</v>
      </c>
      <c r="J679" s="141" t="str">
        <f>IF($M679="","TBD",IF($M679=1,"YES",IF($M679=2,"NO","NA")))</f>
        <v>NA</v>
      </c>
      <c r="K679" s="71"/>
      <c r="L679" s="676" t="s">
        <v>432</v>
      </c>
      <c r="M679" s="617">
        <v>3</v>
      </c>
      <c r="N679" s="685" t="s">
        <v>514</v>
      </c>
      <c r="O679" s="50"/>
      <c r="W679" s="71"/>
      <c r="X679" s="664" t="s">
        <v>432</v>
      </c>
    </row>
    <row r="680" spans="1:35" ht="11.25" customHeight="1">
      <c r="A680" s="611">
        <v>20</v>
      </c>
      <c r="B680" s="127"/>
      <c r="K680" s="71"/>
      <c r="L680" s="676" t="s">
        <v>432</v>
      </c>
      <c r="M680" s="127"/>
      <c r="O680" s="132" t="s">
        <v>591</v>
      </c>
      <c r="P680" s="100" t="s">
        <v>702</v>
      </c>
      <c r="W680" s="71"/>
      <c r="X680" s="664" t="s">
        <v>432</v>
      </c>
    </row>
    <row r="681" spans="1:35" ht="11.25" customHeight="1">
      <c r="A681" s="611">
        <v>21</v>
      </c>
      <c r="B681" s="127"/>
      <c r="C681" s="132" t="s">
        <v>591</v>
      </c>
      <c r="D681" s="100" t="s">
        <v>702</v>
      </c>
      <c r="K681" s="71"/>
      <c r="L681" s="676" t="s">
        <v>432</v>
      </c>
      <c r="M681" s="127"/>
      <c r="W681" s="71"/>
      <c r="X681" s="664" t="s">
        <v>432</v>
      </c>
    </row>
    <row r="682" spans="1:35" ht="11.25" customHeight="1">
      <c r="A682" s="611">
        <v>22</v>
      </c>
      <c r="B682" s="127"/>
      <c r="K682" s="71"/>
      <c r="L682" s="676" t="s">
        <v>432</v>
      </c>
      <c r="M682" s="127"/>
      <c r="W682" s="71"/>
      <c r="X682" s="664" t="s">
        <v>432</v>
      </c>
      <c r="AI682"/>
    </row>
    <row r="683" spans="1:35" ht="11.25" customHeight="1">
      <c r="A683" s="611">
        <v>23</v>
      </c>
      <c r="B683" s="102" t="s">
        <v>573</v>
      </c>
      <c r="C683" s="922" t="str">
        <f>IF(O683="","",IF(LEN(O683)&lt;=135,O683,IF(LEN(O683)&lt;=260,LEFT(O683,SEARCH(" ",O683,125)),LEFT(O683,SEARCH(" ",O683,130)))))</f>
        <v/>
      </c>
      <c r="D683" s="2"/>
      <c r="E683" s="2"/>
      <c r="F683" s="2"/>
      <c r="G683" s="2"/>
      <c r="H683" s="2"/>
      <c r="I683" s="2"/>
      <c r="J683" s="2"/>
      <c r="K683" s="71"/>
      <c r="L683" s="676" t="s">
        <v>432</v>
      </c>
      <c r="M683" s="127"/>
      <c r="N683" s="577" t="s">
        <v>573</v>
      </c>
      <c r="O683" s="713" t="str">
        <f>IF(O685&lt;&gt;"",O685,IF(OR(AB439=0,AB439=""),"",AB439))</f>
        <v/>
      </c>
      <c r="P683" s="48"/>
      <c r="Q683" s="2"/>
      <c r="R683" s="2"/>
      <c r="S683" s="2"/>
      <c r="T683" s="2"/>
      <c r="U683" s="2"/>
      <c r="V683" s="2"/>
      <c r="W683" s="31"/>
      <c r="X683" s="664" t="s">
        <v>432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432</v>
      </c>
      <c r="M684" s="85"/>
      <c r="N684" s="609" t="s">
        <v>303</v>
      </c>
      <c r="O684" s="59"/>
      <c r="P684" s="921">
        <f>LEN(O683)</f>
        <v>0</v>
      </c>
      <c r="Q684" s="11"/>
      <c r="R684" s="11"/>
      <c r="S684" s="11"/>
      <c r="T684" s="11"/>
      <c r="U684" s="11"/>
      <c r="V684" s="11"/>
      <c r="W684" s="214"/>
      <c r="X684" s="664" t="s">
        <v>432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432</v>
      </c>
      <c r="M685" s="66"/>
      <c r="N685" s="1024" t="s">
        <v>640</v>
      </c>
      <c r="O685" s="1026"/>
      <c r="W685" s="71"/>
      <c r="X685" s="664" t="s">
        <v>432</v>
      </c>
      <c r="AE685"/>
      <c r="AF685"/>
      <c r="AG685"/>
      <c r="AH685"/>
      <c r="AI685"/>
    </row>
    <row r="686" spans="1:35" ht="11.25" customHeight="1" thickBot="1">
      <c r="A686" s="611">
        <v>26</v>
      </c>
      <c r="B686" s="98"/>
      <c r="C686" s="83"/>
      <c r="D686" s="83"/>
      <c r="E686" s="83"/>
      <c r="F686" s="83"/>
      <c r="G686" s="83"/>
      <c r="H686" s="83"/>
      <c r="I686" s="83"/>
      <c r="J686" s="83"/>
      <c r="K686" s="86"/>
      <c r="L686" s="676" t="s">
        <v>432</v>
      </c>
      <c r="M686" s="127"/>
      <c r="R686" s="257" t="s">
        <v>703</v>
      </c>
      <c r="W686" s="71"/>
      <c r="X686" s="664" t="s">
        <v>432</v>
      </c>
      <c r="Y686" s="49" t="s">
        <v>1201</v>
      </c>
      <c r="Z686" s="49"/>
      <c r="AE686"/>
      <c r="AF686"/>
      <c r="AG686"/>
      <c r="AH686"/>
      <c r="AI686"/>
    </row>
    <row r="687" spans="1:35" ht="11.25" customHeight="1" thickTop="1">
      <c r="A687" s="611">
        <v>27</v>
      </c>
      <c r="L687" s="676" t="s">
        <v>432</v>
      </c>
      <c r="M687" s="127"/>
      <c r="N687" s="54" t="s">
        <v>67</v>
      </c>
      <c r="O687" s="787" t="str">
        <f>IF(O688&lt;&gt;"",O688,IF(OR(AB175="",AB175=0),"Unknown",AB175))</f>
        <v>Piranha 1 CB2-17090320</v>
      </c>
      <c r="P687" s="48"/>
      <c r="Q687" s="48"/>
      <c r="R687" s="1139" t="s">
        <v>1133</v>
      </c>
      <c r="S687" s="1140"/>
      <c r="W687" s="71"/>
      <c r="X687" s="664" t="s">
        <v>432</v>
      </c>
      <c r="Y687" s="49" t="s">
        <v>1202</v>
      </c>
      <c r="Z687" s="50" t="s">
        <v>1203</v>
      </c>
      <c r="AE687"/>
      <c r="AF687"/>
      <c r="AG687"/>
      <c r="AH687"/>
      <c r="AI687"/>
    </row>
    <row r="688" spans="1:35" ht="11.25" customHeight="1">
      <c r="A688" s="611">
        <v>28</v>
      </c>
      <c r="L688" s="676" t="s">
        <v>432</v>
      </c>
      <c r="M688" s="127"/>
      <c r="N688" s="1024" t="s">
        <v>70</v>
      </c>
      <c r="O688" s="1111" t="s">
        <v>1203</v>
      </c>
      <c r="R688" s="1139" t="s">
        <v>1138</v>
      </c>
      <c r="S688" s="1141"/>
      <c r="W688" s="71"/>
      <c r="X688" s="664" t="s">
        <v>432</v>
      </c>
      <c r="Y688" s="49" t="s">
        <v>1204</v>
      </c>
      <c r="Z688" s="50" t="s">
        <v>1205</v>
      </c>
      <c r="AE688"/>
      <c r="AF688"/>
      <c r="AG688"/>
      <c r="AH688"/>
      <c r="AI688"/>
    </row>
    <row r="689" spans="1:35" ht="11.25" customHeight="1">
      <c r="A689" s="611">
        <v>29</v>
      </c>
      <c r="F689" s="190" t="s">
        <v>72</v>
      </c>
      <c r="L689" s="676" t="s">
        <v>432</v>
      </c>
      <c r="M689" s="191" t="s">
        <v>73</v>
      </c>
      <c r="N689" s="109"/>
      <c r="O689" s="109"/>
      <c r="P689" s="109"/>
      <c r="Q689" s="1"/>
      <c r="R689" s="1"/>
      <c r="S689" s="1"/>
      <c r="T689" s="1"/>
      <c r="U689" s="1"/>
      <c r="V689" s="1"/>
      <c r="W689" s="39"/>
      <c r="X689" s="664" t="s">
        <v>432</v>
      </c>
      <c r="AE689"/>
      <c r="AF689"/>
      <c r="AG689"/>
      <c r="AH689"/>
      <c r="AI689"/>
    </row>
    <row r="690" spans="1:35" ht="11.25" customHeight="1" thickBot="1">
      <c r="A690" s="611">
        <v>30</v>
      </c>
      <c r="F690" s="257"/>
      <c r="L690" s="676" t="s">
        <v>432</v>
      </c>
      <c r="M690" s="66"/>
      <c r="N690" s="49"/>
      <c r="O690" s="50"/>
      <c r="P690" s="49"/>
      <c r="Q690" s="49"/>
      <c r="R690" s="49"/>
      <c r="S690" s="49"/>
      <c r="T690" s="49"/>
      <c r="U690" s="49"/>
      <c r="V690" s="49"/>
      <c r="W690" s="69"/>
      <c r="X690" s="664" t="s">
        <v>432</v>
      </c>
      <c r="AE690"/>
      <c r="AF690"/>
      <c r="AG690"/>
      <c r="AH690"/>
      <c r="AI690"/>
    </row>
    <row r="691" spans="1:35" ht="11.25" customHeight="1" thickTop="1">
      <c r="A691" s="611">
        <v>31</v>
      </c>
      <c r="B691" s="79"/>
      <c r="C691" s="62"/>
      <c r="D691" s="62"/>
      <c r="E691" s="62"/>
      <c r="F691" s="62"/>
      <c r="G691" s="62"/>
      <c r="H691" s="62"/>
      <c r="I691" s="62"/>
      <c r="J691" s="62"/>
      <c r="K691" s="80"/>
      <c r="L691" s="676" t="s">
        <v>432</v>
      </c>
      <c r="M691" s="66"/>
      <c r="N691" s="49"/>
      <c r="O691" s="49"/>
      <c r="P691" s="49"/>
      <c r="Q691" s="100" t="s">
        <v>74</v>
      </c>
      <c r="R691" s="49"/>
      <c r="T691" s="49"/>
      <c r="U691" s="49"/>
      <c r="V691" s="49"/>
      <c r="W691" s="69"/>
      <c r="X691" s="664" t="s">
        <v>432</v>
      </c>
      <c r="AE691"/>
      <c r="AF691"/>
      <c r="AG691"/>
      <c r="AH691"/>
      <c r="AI691"/>
    </row>
    <row r="692" spans="1:35" ht="11.25" customHeight="1">
      <c r="A692" s="611">
        <v>32</v>
      </c>
      <c r="B692" s="127"/>
      <c r="C692" s="54" t="s">
        <v>67</v>
      </c>
      <c r="D692" s="59" t="str">
        <f>IF($O$687="","",$O$687)</f>
        <v>Piranha 1 CB2-17090320</v>
      </c>
      <c r="E692" s="59"/>
      <c r="F692" s="49"/>
      <c r="G692" s="54" t="s">
        <v>1133</v>
      </c>
      <c r="H692" s="1143" t="str">
        <f>IF(S687="","",S687)</f>
        <v/>
      </c>
      <c r="J692" s="54" t="s">
        <v>1138</v>
      </c>
      <c r="K692" s="1144" t="str">
        <f>IF(S688="","",S688)</f>
        <v/>
      </c>
      <c r="L692" s="676" t="s">
        <v>432</v>
      </c>
      <c r="M692" s="66" t="s">
        <v>75</v>
      </c>
      <c r="N692" s="218" t="s">
        <v>76</v>
      </c>
      <c r="O692" s="218" t="s">
        <v>77</v>
      </c>
      <c r="P692" s="218" t="s">
        <v>78</v>
      </c>
      <c r="Q692" s="49"/>
      <c r="R692" s="218" t="s">
        <v>79</v>
      </c>
      <c r="S692" s="218" t="s">
        <v>80</v>
      </c>
      <c r="T692" s="66"/>
      <c r="U692" s="50" t="s">
        <v>81</v>
      </c>
      <c r="V692" s="49"/>
      <c r="W692" s="69"/>
      <c r="X692" s="664" t="s">
        <v>432</v>
      </c>
      <c r="AE692"/>
      <c r="AF692"/>
      <c r="AG692"/>
      <c r="AH692"/>
      <c r="AI692"/>
    </row>
    <row r="693" spans="1:35" ht="11.25" customHeight="1" thickBot="1">
      <c r="A693" s="611">
        <v>33</v>
      </c>
      <c r="B693" s="127"/>
      <c r="C693" s="1"/>
      <c r="D693" s="1"/>
      <c r="E693" s="1"/>
      <c r="G693" s="1"/>
      <c r="H693" s="1"/>
      <c r="I693" s="1"/>
      <c r="J693" s="1"/>
      <c r="K693" s="71"/>
      <c r="L693" s="676" t="s">
        <v>432</v>
      </c>
      <c r="M693" s="219" t="s">
        <v>82</v>
      </c>
      <c r="N693" s="621" t="s">
        <v>636</v>
      </c>
      <c r="O693" s="138" t="s">
        <v>83</v>
      </c>
      <c r="P693" s="138" t="s">
        <v>68</v>
      </c>
      <c r="Q693" s="138" t="s">
        <v>84</v>
      </c>
      <c r="R693" s="138" t="str">
        <f>IF(AND(LFMAS="",SFMAS=""),"mA/mAs",IF(O694="Large",LFMAS,SFMAS))</f>
        <v>mA</v>
      </c>
      <c r="S693" s="138" t="s">
        <v>85</v>
      </c>
      <c r="T693" s="219" t="s">
        <v>86</v>
      </c>
      <c r="U693" s="138" t="s">
        <v>87</v>
      </c>
      <c r="V693" s="138" t="s">
        <v>85</v>
      </c>
      <c r="W693" s="208" t="s">
        <v>1080</v>
      </c>
      <c r="X693" s="664" t="s">
        <v>432</v>
      </c>
      <c r="AE693"/>
      <c r="AF693"/>
      <c r="AG693"/>
      <c r="AH693"/>
      <c r="AI693"/>
    </row>
    <row r="694" spans="1:35" ht="11.25" customHeight="1">
      <c r="A694" s="611">
        <v>34</v>
      </c>
      <c r="B694" s="191" t="s">
        <v>88</v>
      </c>
      <c r="C694" s="109"/>
      <c r="D694" s="1"/>
      <c r="E694" s="1"/>
      <c r="G694" s="1"/>
      <c r="H694" s="1"/>
      <c r="I694" s="1"/>
      <c r="J694" s="1"/>
      <c r="K694" s="71"/>
      <c r="L694" s="676" t="s">
        <v>432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432</v>
      </c>
      <c r="AE694"/>
      <c r="AF694"/>
      <c r="AG694"/>
      <c r="AH694"/>
      <c r="AI694"/>
    </row>
    <row r="695" spans="1:35" ht="11.25" customHeight="1">
      <c r="A695" s="611">
        <v>35</v>
      </c>
      <c r="B695" s="66"/>
      <c r="C695" s="49"/>
      <c r="D695" s="49"/>
      <c r="E695" s="49"/>
      <c r="F695" s="49"/>
      <c r="G695" s="49"/>
      <c r="H695" s="49"/>
      <c r="I695" s="49"/>
      <c r="J695" s="49"/>
      <c r="K695" s="69"/>
      <c r="L695" s="676" t="s">
        <v>432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432</v>
      </c>
      <c r="AE695"/>
      <c r="AF695"/>
      <c r="AG695"/>
      <c r="AH695"/>
      <c r="AI695"/>
    </row>
    <row r="696" spans="1:35" ht="11.25" customHeight="1">
      <c r="A696" s="611">
        <v>36</v>
      </c>
      <c r="B696" s="127"/>
      <c r="K696" s="71"/>
      <c r="L696" s="676" t="s">
        <v>432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432</v>
      </c>
      <c r="AE696"/>
      <c r="AF696"/>
      <c r="AG696"/>
      <c r="AH696"/>
      <c r="AI696"/>
    </row>
    <row r="697" spans="1:35" ht="11.25" customHeight="1">
      <c r="A697" s="611">
        <v>37</v>
      </c>
      <c r="B697" s="127"/>
      <c r="C697" s="49" t="s">
        <v>89</v>
      </c>
      <c r="H697" s="49" t="s">
        <v>90</v>
      </c>
      <c r="K697" s="71"/>
      <c r="L697" s="676" t="s">
        <v>432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432</v>
      </c>
      <c r="AE697"/>
      <c r="AF697"/>
      <c r="AG697"/>
      <c r="AH697"/>
      <c r="AI697"/>
    </row>
    <row r="698" spans="1:35" ht="11.25" customHeight="1">
      <c r="A698" s="611">
        <v>38</v>
      </c>
      <c r="B698" s="127"/>
      <c r="K698" s="71"/>
      <c r="L698" s="676" t="s">
        <v>432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432</v>
      </c>
      <c r="AE698"/>
      <c r="AF698"/>
      <c r="AG698"/>
      <c r="AH698"/>
      <c r="AI698"/>
    </row>
    <row r="699" spans="1:35" ht="11.25" customHeight="1">
      <c r="A699" s="611">
        <v>39</v>
      </c>
      <c r="B699" s="102" t="s">
        <v>91</v>
      </c>
      <c r="C699" s="48">
        <f>IF(N694="","",N694)</f>
        <v>100</v>
      </c>
      <c r="D699" s="50" t="str">
        <f>N693</f>
        <v>cm</v>
      </c>
      <c r="E699" s="49"/>
      <c r="F699" s="49"/>
      <c r="G699" s="54" t="s">
        <v>91</v>
      </c>
      <c r="H699" s="48">
        <f>IF(N712="","",N712)</f>
        <v>100</v>
      </c>
      <c r="I699" s="50" t="str">
        <f>N711</f>
        <v>cm</v>
      </c>
      <c r="J699" s="49"/>
      <c r="K699" s="69"/>
      <c r="L699" s="676" t="s">
        <v>432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432</v>
      </c>
      <c r="AE699"/>
      <c r="AF699"/>
      <c r="AG699"/>
      <c r="AH699"/>
      <c r="AI699"/>
    </row>
    <row r="700" spans="1:35" ht="11.25" customHeight="1">
      <c r="A700" s="611">
        <v>40</v>
      </c>
      <c r="B700" s="102" t="s">
        <v>628</v>
      </c>
      <c r="C700" s="61">
        <f>IF(R694="","",IF(LFMAS="mA",R694,""))</f>
        <v>400</v>
      </c>
      <c r="D700" s="49"/>
      <c r="E700" s="49"/>
      <c r="F700" s="54"/>
      <c r="G700" s="54" t="s">
        <v>92</v>
      </c>
      <c r="H700" s="61">
        <f>IF(R712="","",IF(SFMAS="mA",R712,""))</f>
        <v>100</v>
      </c>
      <c r="J700" s="49"/>
      <c r="K700" s="69"/>
      <c r="L700" s="676" t="s">
        <v>432</v>
      </c>
      <c r="M700" s="1208"/>
      <c r="N700" s="356" t="str">
        <f t="shared" si="93"/>
        <v/>
      </c>
      <c r="O700" s="217" t="str">
        <f t="shared" si="94"/>
        <v/>
      </c>
      <c r="P700" s="1207"/>
      <c r="Q700" s="622"/>
      <c r="R700" s="426" t="str">
        <f>IF(OR($R$694="",Q700=""),"",$R$694)</f>
        <v/>
      </c>
      <c r="S700" s="221" t="str">
        <f>IF(OR($S$694="",Q700=""),"",$S$694)</f>
        <v/>
      </c>
      <c r="T700" s="1205"/>
      <c r="U700" s="623"/>
      <c r="V700" s="624"/>
      <c r="W700" s="625"/>
      <c r="X700" s="664" t="s">
        <v>432</v>
      </c>
      <c r="AE700"/>
      <c r="AF700"/>
      <c r="AG700"/>
      <c r="AH700"/>
      <c r="AI700"/>
    </row>
    <row r="701" spans="1:35" ht="11.25" customHeight="1">
      <c r="A701" s="611">
        <v>41</v>
      </c>
      <c r="B701" s="102" t="s">
        <v>630</v>
      </c>
      <c r="C701" s="61" t="str">
        <f>IF(R694="","",IF(LFMAS="mAs",R694,""))</f>
        <v/>
      </c>
      <c r="D701" s="49"/>
      <c r="E701" s="49"/>
      <c r="F701" s="49"/>
      <c r="G701" s="54" t="s">
        <v>630</v>
      </c>
      <c r="H701" s="61" t="str">
        <f>IF(R712="","",IF(SFMAS="mAs",R712,""))</f>
        <v/>
      </c>
      <c r="J701" s="49"/>
      <c r="K701" s="69"/>
      <c r="L701" s="676" t="s">
        <v>432</v>
      </c>
      <c r="M701" s="1208"/>
      <c r="N701" s="356" t="str">
        <f t="shared" si="93"/>
        <v/>
      </c>
      <c r="O701" s="217" t="str">
        <f t="shared" si="94"/>
        <v/>
      </c>
      <c r="P701" s="1207"/>
      <c r="Q701" s="622"/>
      <c r="R701" s="426" t="str">
        <f>IF(OR($R$694="",Q701=""),"",$R$694)</f>
        <v/>
      </c>
      <c r="S701" s="221" t="str">
        <f>IF(OR($S$694="",Q701=""),"",$S$694)</f>
        <v/>
      </c>
      <c r="T701" s="1205"/>
      <c r="U701" s="623"/>
      <c r="V701" s="624"/>
      <c r="W701" s="625"/>
      <c r="X701" s="664" t="s">
        <v>432</v>
      </c>
      <c r="AE701"/>
      <c r="AF701"/>
      <c r="AG701"/>
      <c r="AH701"/>
      <c r="AI701"/>
    </row>
    <row r="702" spans="1:35" ht="11.25" customHeight="1">
      <c r="A702" s="611">
        <v>42</v>
      </c>
      <c r="B702" s="102" t="s">
        <v>93</v>
      </c>
      <c r="C702" s="155">
        <f>IF(S694="","",S694)</f>
        <v>0.05</v>
      </c>
      <c r="D702" s="49"/>
      <c r="E702" s="49"/>
      <c r="F702" s="49"/>
      <c r="G702" s="54" t="s">
        <v>93</v>
      </c>
      <c r="H702" s="155">
        <f>IF(S712="","",S712)</f>
        <v>0.1</v>
      </c>
      <c r="J702" s="49"/>
      <c r="K702" s="69"/>
      <c r="L702" s="676" t="s">
        <v>432</v>
      </c>
      <c r="M702" s="85" t="s">
        <v>94</v>
      </c>
      <c r="N702" s="49"/>
      <c r="O702" s="49"/>
      <c r="P702" s="49"/>
      <c r="Q702" s="49"/>
      <c r="R702" s="49"/>
      <c r="S702" s="49"/>
      <c r="T702" s="49"/>
      <c r="U702" s="49"/>
      <c r="V702" s="49"/>
      <c r="W702" s="69"/>
      <c r="X702" s="664" t="s">
        <v>432</v>
      </c>
      <c r="AE702"/>
      <c r="AF702"/>
      <c r="AG702"/>
      <c r="AH702"/>
      <c r="AI702"/>
    </row>
    <row r="703" spans="1:35" ht="11.25" customHeight="1" thickBot="1">
      <c r="A703" s="611">
        <v>43</v>
      </c>
      <c r="B703" s="85" t="s">
        <v>94</v>
      </c>
      <c r="C703" s="49"/>
      <c r="D703" s="49"/>
      <c r="E703" s="49"/>
      <c r="F703" s="49"/>
      <c r="G703" s="50" t="s">
        <v>94</v>
      </c>
      <c r="H703" s="49"/>
      <c r="I703" s="49"/>
      <c r="J703" s="49"/>
      <c r="K703" s="69"/>
      <c r="L703" s="676" t="s">
        <v>432</v>
      </c>
      <c r="M703" s="127"/>
      <c r="N703" s="577" t="s">
        <v>573</v>
      </c>
      <c r="O703" s="713" t="str">
        <f>IF(O705&lt;&gt;"",O705,IF(OR(AB440=0,AB440=""),"",AB440))</f>
        <v/>
      </c>
      <c r="P703" s="48"/>
      <c r="Q703" s="48"/>
      <c r="R703" s="48"/>
      <c r="S703" s="48"/>
      <c r="T703" s="48"/>
      <c r="U703" s="48"/>
      <c r="V703" s="48"/>
      <c r="W703" s="103"/>
      <c r="X703" s="664" t="s">
        <v>432</v>
      </c>
      <c r="AE703"/>
      <c r="AF703"/>
      <c r="AG703"/>
      <c r="AH703"/>
      <c r="AI703"/>
    </row>
    <row r="704" spans="1:35" ht="11.25" customHeight="1" thickBot="1">
      <c r="A704" s="611">
        <v>44</v>
      </c>
      <c r="B704" s="127"/>
      <c r="K704" s="69"/>
      <c r="L704" s="676" t="s">
        <v>432</v>
      </c>
      <c r="M704" s="85"/>
      <c r="N704" s="609" t="s">
        <v>146</v>
      </c>
      <c r="O704" s="59"/>
      <c r="P704" s="921">
        <f>LEN(O703)</f>
        <v>0</v>
      </c>
      <c r="Q704" s="49"/>
      <c r="R704" s="49"/>
      <c r="S704" s="49"/>
      <c r="T704" s="49"/>
      <c r="U704" s="749" t="s">
        <v>590</v>
      </c>
      <c r="V704" s="740" t="str">
        <f>IF(E707="","TBD",(IF(AND(ABS(MAX(E707:E714))&lt;=0.05,ABS(MIN(E707:E714))&lt;=0.05),"YES","NO")))</f>
        <v>TBD</v>
      </c>
      <c r="W704" s="69"/>
      <c r="X704" s="664" t="s">
        <v>432</v>
      </c>
      <c r="AE704"/>
      <c r="AF704"/>
      <c r="AG704"/>
      <c r="AH704"/>
      <c r="AI704"/>
    </row>
    <row r="705" spans="1:35" ht="11.25" customHeight="1">
      <c r="A705" s="611">
        <v>45</v>
      </c>
      <c r="B705" s="123" t="s">
        <v>587</v>
      </c>
      <c r="C705" s="128" t="s">
        <v>588</v>
      </c>
      <c r="D705" s="53"/>
      <c r="E705" s="117" t="s">
        <v>86</v>
      </c>
      <c r="G705" s="117" t="s">
        <v>587</v>
      </c>
      <c r="H705" s="128" t="s">
        <v>588</v>
      </c>
      <c r="I705" s="53"/>
      <c r="J705" s="117" t="s">
        <v>86</v>
      </c>
      <c r="K705" s="69"/>
      <c r="L705" s="676" t="s">
        <v>432</v>
      </c>
      <c r="M705" s="66"/>
      <c r="N705" s="1024" t="s">
        <v>640</v>
      </c>
      <c r="O705" s="1026"/>
      <c r="W705" s="71"/>
      <c r="X705" s="664" t="s">
        <v>432</v>
      </c>
      <c r="AE705"/>
      <c r="AF705"/>
      <c r="AG705"/>
      <c r="AH705"/>
      <c r="AI705"/>
    </row>
    <row r="706" spans="1:35" ht="11.25" customHeight="1" thickBot="1">
      <c r="A706" s="611">
        <v>46</v>
      </c>
      <c r="B706" s="259" t="s">
        <v>486</v>
      </c>
      <c r="C706" s="138" t="s">
        <v>86</v>
      </c>
      <c r="D706" s="138" t="s">
        <v>87</v>
      </c>
      <c r="E706" s="146" t="s">
        <v>95</v>
      </c>
      <c r="F706" s="49"/>
      <c r="G706" s="146" t="s">
        <v>486</v>
      </c>
      <c r="H706" s="138" t="s">
        <v>86</v>
      </c>
      <c r="I706" s="138" t="s">
        <v>87</v>
      </c>
      <c r="J706" s="146" t="s">
        <v>95</v>
      </c>
      <c r="K706" s="69"/>
      <c r="L706" s="676" t="s">
        <v>432</v>
      </c>
      <c r="M706" s="191" t="s">
        <v>96</v>
      </c>
      <c r="N706" s="128"/>
      <c r="O706" s="128"/>
      <c r="P706" s="128"/>
      <c r="Q706" s="49"/>
      <c r="R706" s="49"/>
      <c r="S706" s="49"/>
      <c r="T706" s="49"/>
      <c r="U706" s="49"/>
      <c r="V706" s="49"/>
      <c r="W706" s="69"/>
      <c r="X706" s="664" t="s">
        <v>432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432</v>
      </c>
      <c r="M707" s="127"/>
      <c r="W707" s="71"/>
      <c r="X707" s="664" t="s">
        <v>432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432</v>
      </c>
      <c r="M708" s="66"/>
      <c r="N708" s="49"/>
      <c r="O708" s="50"/>
      <c r="P708" s="49"/>
      <c r="Q708" s="49"/>
      <c r="R708" s="49"/>
      <c r="S708" s="49"/>
      <c r="T708" s="49"/>
      <c r="U708" s="49"/>
      <c r="V708" s="49"/>
      <c r="W708" s="69"/>
      <c r="X708" s="664" t="s">
        <v>432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432</v>
      </c>
      <c r="M709" s="66"/>
      <c r="N709" s="49"/>
      <c r="O709" s="49"/>
      <c r="P709" s="49"/>
      <c r="Q709" s="100" t="s">
        <v>74</v>
      </c>
      <c r="R709" s="49"/>
      <c r="T709" s="49"/>
      <c r="U709" s="49"/>
      <c r="V709" s="49"/>
      <c r="W709" s="69"/>
      <c r="X709" s="664" t="s">
        <v>432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432</v>
      </c>
      <c r="M710" s="66" t="s">
        <v>75</v>
      </c>
      <c r="N710" s="218" t="s">
        <v>76</v>
      </c>
      <c r="O710" s="218" t="s">
        <v>77</v>
      </c>
      <c r="P710" s="218" t="s">
        <v>78</v>
      </c>
      <c r="Q710" s="49"/>
      <c r="R710" s="218"/>
      <c r="S710" s="218" t="s">
        <v>80</v>
      </c>
      <c r="T710" s="66"/>
      <c r="U710" s="50" t="s">
        <v>81</v>
      </c>
      <c r="V710" s="49"/>
      <c r="W710" s="69"/>
      <c r="X710" s="664" t="s">
        <v>432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432</v>
      </c>
      <c r="M711" s="219" t="s">
        <v>82</v>
      </c>
      <c r="N711" s="621" t="s">
        <v>636</v>
      </c>
      <c r="O711" s="138" t="s">
        <v>83</v>
      </c>
      <c r="P711" s="138" t="s">
        <v>68</v>
      </c>
      <c r="Q711" s="138" t="s">
        <v>84</v>
      </c>
      <c r="R711" s="138" t="str">
        <f>IF(AND(LFMAS="",SFMAS=""),"mA/mAs",IF(O712="Large",LFMAS,SFMAS))</f>
        <v>mA</v>
      </c>
      <c r="S711" s="138" t="s">
        <v>85</v>
      </c>
      <c r="T711" s="219" t="s">
        <v>86</v>
      </c>
      <c r="U711" s="138" t="s">
        <v>87</v>
      </c>
      <c r="V711" s="138" t="s">
        <v>85</v>
      </c>
      <c r="W711" s="208" t="s">
        <v>1080</v>
      </c>
      <c r="X711" s="664" t="s">
        <v>432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432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432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432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432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432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432</v>
      </c>
      <c r="AE714"/>
      <c r="AF714"/>
      <c r="AG714"/>
      <c r="AH714"/>
      <c r="AI714"/>
    </row>
    <row r="715" spans="1:35" ht="11.25" customHeight="1" thickBot="1">
      <c r="A715" s="611">
        <v>55</v>
      </c>
      <c r="B715" s="66"/>
      <c r="C715" s="49"/>
      <c r="F715" s="49"/>
      <c r="G715" s="49"/>
      <c r="H715" s="49"/>
      <c r="I715" s="49"/>
      <c r="J715" s="49"/>
      <c r="K715" s="69"/>
      <c r="L715" s="676" t="s">
        <v>432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432</v>
      </c>
      <c r="AE715"/>
      <c r="AF715"/>
      <c r="AG715"/>
      <c r="AH715"/>
      <c r="AI715"/>
    </row>
    <row r="716" spans="1:35" ht="11.25" customHeight="1" thickBot="1">
      <c r="A716" s="611">
        <v>56</v>
      </c>
      <c r="B716" s="66"/>
      <c r="C716" s="49"/>
      <c r="D716" s="140" t="s">
        <v>590</v>
      </c>
      <c r="E716" s="141" t="str">
        <f>IF(E707="","TBD",(IF(AND(ABS(MAX(E707:E714))&lt;=0.05,ABS(MIN(E707:E714))&lt;=0.05),"YES","NO")))</f>
        <v>TBD</v>
      </c>
      <c r="F716" s="49"/>
      <c r="G716" s="49"/>
      <c r="H716" s="49"/>
      <c r="I716" s="140" t="s">
        <v>590</v>
      </c>
      <c r="J716" s="141" t="str">
        <f>IF(J707="","TBD",(IF(AND(ABS(MAX(J707:J712))&lt;=0.05,ABS(MIN(J707:J712))&lt;=0.05),"YES","NO")))</f>
        <v>TBD</v>
      </c>
      <c r="K716" s="69"/>
      <c r="L716" s="676" t="s">
        <v>432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432</v>
      </c>
      <c r="AE716"/>
      <c r="AF716"/>
      <c r="AG716"/>
      <c r="AH716"/>
      <c r="AI716"/>
    </row>
    <row r="717" spans="1:35" ht="11.25" customHeight="1">
      <c r="A717" s="611">
        <v>57</v>
      </c>
      <c r="B717" s="127"/>
      <c r="K717" s="69"/>
      <c r="L717" s="676" t="s">
        <v>432</v>
      </c>
      <c r="M717" s="1209"/>
      <c r="N717" s="356" t="str">
        <f>IF(OR($N$712="",Q717=""),"",$N$712)</f>
        <v/>
      </c>
      <c r="O717" s="217" t="str">
        <f>IF(Q717="","",O716)</f>
        <v/>
      </c>
      <c r="P717" s="1210"/>
      <c r="Q717" s="622"/>
      <c r="R717" s="426" t="str">
        <f>IF(OR($R$712="",Q717=""),"",$R$712)</f>
        <v/>
      </c>
      <c r="S717" s="221" t="str">
        <f>IF(OR($S$712="",Q717=""),"",$S$712)</f>
        <v/>
      </c>
      <c r="T717" s="1211"/>
      <c r="U717" s="623"/>
      <c r="V717" s="624"/>
      <c r="W717" s="625"/>
      <c r="X717" s="664" t="s">
        <v>432</v>
      </c>
      <c r="AE717"/>
      <c r="AF717"/>
      <c r="AG717"/>
      <c r="AH717"/>
      <c r="AI717"/>
    </row>
    <row r="718" spans="1:35" ht="11.25" customHeight="1">
      <c r="A718" s="611">
        <v>58</v>
      </c>
      <c r="B718" s="127"/>
      <c r="C718" s="132" t="s">
        <v>591</v>
      </c>
      <c r="D718" s="100" t="s">
        <v>487</v>
      </c>
      <c r="K718" s="71"/>
      <c r="L718" s="676" t="s">
        <v>432</v>
      </c>
      <c r="M718" s="85" t="s">
        <v>94</v>
      </c>
      <c r="W718" s="71"/>
      <c r="X718" s="664" t="s">
        <v>432</v>
      </c>
      <c r="AE718"/>
      <c r="AF718"/>
      <c r="AG718"/>
      <c r="AH718"/>
      <c r="AI718"/>
    </row>
    <row r="719" spans="1:35" ht="11.25" customHeight="1">
      <c r="A719" s="611">
        <v>59</v>
      </c>
      <c r="B719" s="127"/>
      <c r="K719" s="71"/>
      <c r="L719" s="676" t="s">
        <v>432</v>
      </c>
      <c r="M719" s="127"/>
      <c r="N719" s="577" t="s">
        <v>573</v>
      </c>
      <c r="O719" s="1025" t="str">
        <f>IF(O720&lt;&gt;"",O720,IF(OR(AB441=0,AB441=""),"",AB441))</f>
        <v/>
      </c>
      <c r="P719" s="48"/>
      <c r="Q719" s="48"/>
      <c r="R719" s="48"/>
      <c r="S719" s="48"/>
      <c r="T719" s="48"/>
      <c r="U719" s="48"/>
      <c r="V719" s="48"/>
      <c r="W719" s="103"/>
      <c r="X719" s="664" t="s">
        <v>432</v>
      </c>
      <c r="AE719"/>
      <c r="AF719"/>
      <c r="AG719"/>
      <c r="AH719"/>
      <c r="AI719"/>
    </row>
    <row r="720" spans="1:35" ht="11.25" customHeight="1" thickBot="1">
      <c r="A720" s="611">
        <v>60</v>
      </c>
      <c r="B720" s="102"/>
      <c r="K720" s="71"/>
      <c r="L720" s="676" t="s">
        <v>432</v>
      </c>
      <c r="M720" s="85"/>
      <c r="N720" s="1024" t="s">
        <v>640</v>
      </c>
      <c r="O720" s="1026"/>
      <c r="P720" s="920">
        <f>LEN(O719)</f>
        <v>0</v>
      </c>
      <c r="Q720" s="49"/>
      <c r="R720" s="49"/>
      <c r="S720" s="49"/>
      <c r="T720" s="49"/>
      <c r="U720" s="49"/>
      <c r="V720" s="49"/>
      <c r="W720" s="69"/>
      <c r="X720" s="664" t="s">
        <v>432</v>
      </c>
      <c r="AE720"/>
      <c r="AF720"/>
      <c r="AG720"/>
      <c r="AH720"/>
      <c r="AI720"/>
    </row>
    <row r="721" spans="1:35" ht="11.25" customHeight="1" thickBot="1">
      <c r="A721" s="611">
        <v>61</v>
      </c>
      <c r="B721" s="66" t="s">
        <v>573</v>
      </c>
      <c r="C721" s="922" t="str">
        <f>IF(O721="","",IF(LEN(O721)&lt;=135,O721,IF(LEN(O721)&lt;=260,LEFT(O721,SEARCH(" ",O721,125)),LEFT(O721,SEARCH(" ",O721,130)))))</f>
        <v/>
      </c>
      <c r="D721" s="48"/>
      <c r="E721" s="48"/>
      <c r="F721" s="48"/>
      <c r="G721" s="48"/>
      <c r="H721" s="48"/>
      <c r="I721" s="48"/>
      <c r="J721" s="48"/>
      <c r="K721" s="71"/>
      <c r="L721" s="676" t="s">
        <v>432</v>
      </c>
      <c r="M721" s="66"/>
      <c r="O721" s="726" t="str">
        <f>IF(AND(O703="",O719=""),"",IF(AND(O703&lt;&gt;"",O719=""),"Lg. F:  "&amp;O703,IF(AND(O703="",O719&lt;&gt;""),"Sm. F:  "&amp;O719,"Lg. F:  "&amp;O703&amp;";  Sm. F:  "&amp;O719)))</f>
        <v/>
      </c>
      <c r="P721" s="50" t="s">
        <v>98</v>
      </c>
      <c r="Q721" s="49"/>
      <c r="R721" s="49"/>
      <c r="S721" s="49"/>
      <c r="T721" s="49"/>
      <c r="U721" s="749" t="s">
        <v>590</v>
      </c>
      <c r="V721" s="740" t="str">
        <f>IF(J707="","TBD",(IF(AND(ABS(MAX(J707:J712))&lt;=0.05,ABS(MIN(J707:J712))&lt;=0.05),"YES","NO")))</f>
        <v>TBD</v>
      </c>
      <c r="W721" s="69"/>
      <c r="X721" s="664" t="s">
        <v>432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432</v>
      </c>
      <c r="M722" s="127"/>
      <c r="N722" s="609" t="s">
        <v>146</v>
      </c>
      <c r="P722" s="920">
        <f>LEN(O721)</f>
        <v>0</v>
      </c>
      <c r="W722" s="71"/>
      <c r="X722" s="664" t="s">
        <v>432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432</v>
      </c>
      <c r="M723" s="127"/>
      <c r="N723" s="132" t="s">
        <v>591</v>
      </c>
      <c r="O723" s="100" t="s">
        <v>487</v>
      </c>
      <c r="P723" s="100"/>
      <c r="W723" s="71"/>
      <c r="X723" s="664" t="s">
        <v>432</v>
      </c>
      <c r="AE723"/>
      <c r="AF723"/>
      <c r="AG723"/>
      <c r="AH723"/>
      <c r="AI723"/>
    </row>
    <row r="724" spans="1:35" ht="11.25" customHeight="1" thickBot="1">
      <c r="A724" s="611">
        <v>64</v>
      </c>
      <c r="B724" s="98"/>
      <c r="C724" s="83"/>
      <c r="D724" s="83"/>
      <c r="E724" s="83"/>
      <c r="F724" s="83"/>
      <c r="G724" s="83"/>
      <c r="H724" s="83"/>
      <c r="I724" s="83"/>
      <c r="J724" s="83"/>
      <c r="K724" s="86"/>
      <c r="L724" s="676" t="s">
        <v>432</v>
      </c>
      <c r="M724" s="98"/>
      <c r="N724" s="83"/>
      <c r="O724" s="83"/>
      <c r="P724" s="83"/>
      <c r="Q724" s="83"/>
      <c r="R724" s="83"/>
      <c r="S724" s="83"/>
      <c r="T724" s="83"/>
      <c r="U724" s="83"/>
      <c r="V724" s="83"/>
      <c r="W724" s="86"/>
      <c r="X724" s="664" t="s">
        <v>432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432</v>
      </c>
      <c r="X725" s="664" t="s">
        <v>432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432</v>
      </c>
      <c r="X726" s="664" t="s">
        <v>432</v>
      </c>
      <c r="AE726"/>
      <c r="AF726"/>
      <c r="AG726"/>
      <c r="AH726"/>
      <c r="AI726"/>
    </row>
    <row r="727" spans="1:35" ht="11.25" customHeight="1">
      <c r="A727" s="611">
        <v>1</v>
      </c>
      <c r="K727" s="131" t="str">
        <f>$F$2</f>
        <v>Medical University of South Carolina</v>
      </c>
      <c r="L727" s="676" t="s">
        <v>432</v>
      </c>
      <c r="W727" s="131" t="str">
        <f>$F$2</f>
        <v>Medical University of South Carolina</v>
      </c>
      <c r="X727" s="664" t="s">
        <v>432</v>
      </c>
      <c r="AE727"/>
      <c r="AF727"/>
      <c r="AG727"/>
      <c r="AH727"/>
      <c r="AI727"/>
    </row>
    <row r="728" spans="1:35" ht="11.25" customHeight="1">
      <c r="A728" s="611">
        <v>2</v>
      </c>
      <c r="F728" s="82" t="str">
        <f>$F$464</f>
        <v>Measurement Data</v>
      </c>
      <c r="K728" s="132" t="str">
        <f>$F$5</f>
        <v>Radiographic System Compliance Inspection</v>
      </c>
      <c r="L728" s="676" t="s">
        <v>432</v>
      </c>
      <c r="W728" s="132" t="str">
        <f>$F$5</f>
        <v>Radiographic System Compliance Inspection</v>
      </c>
      <c r="X728" s="664" t="s">
        <v>432</v>
      </c>
      <c r="AE728"/>
      <c r="AF728"/>
      <c r="AG728"/>
      <c r="AH728"/>
      <c r="AI728"/>
    </row>
    <row r="729" spans="1:35" ht="11.25" customHeight="1" thickBot="1">
      <c r="A729" s="611">
        <v>3</v>
      </c>
      <c r="L729" s="676" t="s">
        <v>432</v>
      </c>
      <c r="M729" s="215"/>
      <c r="R729" s="82" t="str">
        <f>$F$464</f>
        <v>Measurement Data</v>
      </c>
      <c r="X729" s="664" t="s">
        <v>432</v>
      </c>
      <c r="AE729"/>
      <c r="AF729"/>
      <c r="AG729"/>
      <c r="AH729"/>
      <c r="AI729"/>
    </row>
    <row r="730" spans="1:35" ht="11.25" customHeight="1" thickTop="1" thickBot="1">
      <c r="A730" s="611">
        <v>4</v>
      </c>
      <c r="B730" s="79"/>
      <c r="C730" s="62"/>
      <c r="D730" s="62"/>
      <c r="E730" s="62"/>
      <c r="F730" s="62"/>
      <c r="G730" s="62"/>
      <c r="H730" s="62"/>
      <c r="I730" s="62"/>
      <c r="J730" s="62"/>
      <c r="K730" s="80"/>
      <c r="L730" s="676" t="s">
        <v>432</v>
      </c>
      <c r="X730" s="664" t="s">
        <v>432</v>
      </c>
    </row>
    <row r="731" spans="1:35" ht="11.25" customHeight="1" thickTop="1">
      <c r="A731" s="611">
        <v>5</v>
      </c>
      <c r="B731" s="127"/>
      <c r="F731" s="257" t="s">
        <v>703</v>
      </c>
      <c r="K731" s="71"/>
      <c r="L731" s="676" t="s">
        <v>432</v>
      </c>
      <c r="M731" s="64"/>
      <c r="N731" s="62"/>
      <c r="O731" s="62"/>
      <c r="P731" s="62"/>
      <c r="Q731" s="62"/>
      <c r="R731" s="62"/>
      <c r="S731" s="113"/>
      <c r="T731" s="113"/>
      <c r="U731" s="113"/>
      <c r="V731" s="113"/>
      <c r="W731" s="65"/>
      <c r="X731" s="664" t="s">
        <v>432</v>
      </c>
    </row>
    <row r="732" spans="1:35" ht="11.25" customHeight="1">
      <c r="A732" s="611">
        <v>6</v>
      </c>
      <c r="B732" s="127"/>
      <c r="K732" s="71"/>
      <c r="L732" s="676" t="s">
        <v>432</v>
      </c>
      <c r="M732" s="127"/>
      <c r="R732" s="257" t="s">
        <v>703</v>
      </c>
      <c r="W732" s="71"/>
      <c r="X732" s="664" t="s">
        <v>432</v>
      </c>
    </row>
    <row r="733" spans="1:35" ht="11.25" customHeight="1">
      <c r="A733" s="611">
        <v>7</v>
      </c>
      <c r="B733" s="127"/>
      <c r="C733" s="54" t="s">
        <v>67</v>
      </c>
      <c r="D733" s="59" t="str">
        <f>IF($O$687="","",$O$687)</f>
        <v>Piranha 1 CB2-17090320</v>
      </c>
      <c r="E733" s="59"/>
      <c r="F733" s="48"/>
      <c r="K733" s="71"/>
      <c r="L733" s="676" t="s">
        <v>432</v>
      </c>
      <c r="M733" s="127"/>
      <c r="W733" s="71"/>
      <c r="X733" s="664" t="s">
        <v>432</v>
      </c>
    </row>
    <row r="734" spans="1:35" ht="11.25" customHeight="1">
      <c r="A734" s="611">
        <v>8</v>
      </c>
      <c r="B734" s="127"/>
      <c r="K734" s="71"/>
      <c r="L734" s="676" t="s">
        <v>432</v>
      </c>
      <c r="M734" s="127"/>
      <c r="N734" s="54" t="s">
        <v>67</v>
      </c>
      <c r="O734" s="59" t="str">
        <f>IF($O$687="","",$O$687)</f>
        <v>Piranha 1 CB2-17090320</v>
      </c>
      <c r="P734" s="59"/>
      <c r="Q734" s="48"/>
      <c r="W734" s="71"/>
      <c r="X734" s="664" t="s">
        <v>432</v>
      </c>
    </row>
    <row r="735" spans="1:35" ht="11.25" customHeight="1">
      <c r="A735" s="611">
        <v>9</v>
      </c>
      <c r="B735" s="191" t="s">
        <v>1096</v>
      </c>
      <c r="C735" s="128"/>
      <c r="D735" s="128"/>
      <c r="E735" s="128"/>
      <c r="G735" s="49"/>
      <c r="H735" s="49"/>
      <c r="I735" s="49"/>
      <c r="J735" s="49"/>
      <c r="K735" s="69"/>
      <c r="L735" s="676" t="s">
        <v>432</v>
      </c>
      <c r="M735" s="127"/>
      <c r="W735" s="71"/>
      <c r="X735" s="664" t="s">
        <v>432</v>
      </c>
    </row>
    <row r="736" spans="1:35" ht="11.25" customHeight="1">
      <c r="A736" s="611">
        <v>10</v>
      </c>
      <c r="B736" s="66"/>
      <c r="C736" s="49"/>
      <c r="D736" s="49"/>
      <c r="E736" s="49"/>
      <c r="F736" s="49"/>
      <c r="G736" s="49"/>
      <c r="H736" s="49"/>
      <c r="I736" s="49"/>
      <c r="J736" s="49"/>
      <c r="K736" s="69"/>
      <c r="L736" s="676" t="s">
        <v>432</v>
      </c>
      <c r="M736" s="191" t="s">
        <v>1097</v>
      </c>
      <c r="N736" s="128"/>
      <c r="O736" s="128"/>
      <c r="P736" s="128"/>
      <c r="Q736" s="49"/>
      <c r="R736" s="49"/>
      <c r="S736" s="49"/>
      <c r="T736" s="49"/>
      <c r="U736" s="49"/>
      <c r="V736" s="49"/>
      <c r="W736" s="69"/>
      <c r="X736" s="664" t="s">
        <v>432</v>
      </c>
    </row>
    <row r="737" spans="1:24" ht="11.25" customHeight="1">
      <c r="A737" s="611">
        <v>11</v>
      </c>
      <c r="B737" s="127"/>
      <c r="D737" s="262" t="s">
        <v>89</v>
      </c>
      <c r="E737" s="53"/>
      <c r="H737" s="262" t="s">
        <v>90</v>
      </c>
      <c r="I737" s="53"/>
      <c r="K737" s="69"/>
      <c r="L737" s="676" t="s">
        <v>432</v>
      </c>
      <c r="M737" s="66"/>
      <c r="N737" s="49"/>
      <c r="O737" s="49"/>
      <c r="P737" s="49"/>
      <c r="Q737" s="49"/>
      <c r="R737" s="49"/>
      <c r="S737" s="49"/>
      <c r="T737" s="49"/>
      <c r="U737" s="49"/>
      <c r="V737" s="49"/>
      <c r="W737" s="69"/>
      <c r="X737" s="664" t="s">
        <v>432</v>
      </c>
    </row>
    <row r="738" spans="1:24" ht="11.25" customHeight="1">
      <c r="A738" s="611">
        <v>12</v>
      </c>
      <c r="B738" s="127"/>
      <c r="D738" s="54" t="s">
        <v>100</v>
      </c>
      <c r="E738" s="48">
        <f>IF(N740="","",N740)</f>
        <v>100</v>
      </c>
      <c r="F738" s="50" t="str">
        <f>N739</f>
        <v>cm</v>
      </c>
      <c r="G738" s="49"/>
      <c r="H738" s="54" t="s">
        <v>100</v>
      </c>
      <c r="I738" s="48">
        <f>IF(N759="","",N759)</f>
        <v>100</v>
      </c>
      <c r="J738" s="50" t="str">
        <f>N758</f>
        <v>cm</v>
      </c>
      <c r="K738" s="69"/>
      <c r="L738" s="676" t="s">
        <v>432</v>
      </c>
      <c r="M738" s="66" t="s">
        <v>75</v>
      </c>
      <c r="N738" s="218" t="s">
        <v>99</v>
      </c>
      <c r="O738" s="218" t="s">
        <v>77</v>
      </c>
      <c r="P738" s="218" t="s">
        <v>78</v>
      </c>
      <c r="Q738" s="49"/>
      <c r="R738" s="218"/>
      <c r="S738" s="218" t="s">
        <v>80</v>
      </c>
      <c r="T738" s="66"/>
      <c r="U738" s="50" t="s">
        <v>81</v>
      </c>
      <c r="V738" s="49"/>
      <c r="W738" s="69"/>
      <c r="X738" s="664" t="s">
        <v>432</v>
      </c>
    </row>
    <row r="739" spans="1:24" ht="11.25" customHeight="1" thickBot="1">
      <c r="A739" s="611">
        <v>13</v>
      </c>
      <c r="B739" s="127"/>
      <c r="C739" s="54"/>
      <c r="D739" s="54" t="s">
        <v>628</v>
      </c>
      <c r="E739" s="61">
        <f>IF(R740="","",IF(LFMAS="mA",R740,""))</f>
        <v>400</v>
      </c>
      <c r="F739" s="49"/>
      <c r="G739" s="54"/>
      <c r="H739" s="54" t="s">
        <v>628</v>
      </c>
      <c r="I739" s="61">
        <f>IF(R759="","",IF(SFMAS="mA",R759,""))</f>
        <v>100</v>
      </c>
      <c r="K739" s="69"/>
      <c r="L739" s="676" t="s">
        <v>432</v>
      </c>
      <c r="M739" s="219" t="s">
        <v>82</v>
      </c>
      <c r="N739" s="138" t="str">
        <f>LFSDD</f>
        <v>cm</v>
      </c>
      <c r="O739" s="138" t="s">
        <v>83</v>
      </c>
      <c r="P739" s="138" t="s">
        <v>68</v>
      </c>
      <c r="Q739" s="138" t="s">
        <v>84</v>
      </c>
      <c r="R739" s="138" t="str">
        <f>IF(AND(LFMAS="",SFMAS=""),"mA/mAs",IF(O740="Large",LFMAS,SFMAS))</f>
        <v>mA</v>
      </c>
      <c r="S739" s="138" t="s">
        <v>85</v>
      </c>
      <c r="T739" s="219" t="s">
        <v>86</v>
      </c>
      <c r="U739" s="138" t="s">
        <v>87</v>
      </c>
      <c r="V739" s="138" t="s">
        <v>85</v>
      </c>
      <c r="W739" s="208" t="s">
        <v>1080</v>
      </c>
      <c r="X739" s="664" t="s">
        <v>432</v>
      </c>
    </row>
    <row r="740" spans="1:24" ht="11.25" customHeight="1">
      <c r="A740" s="611">
        <v>14</v>
      </c>
      <c r="B740" s="127"/>
      <c r="C740" s="49"/>
      <c r="D740" s="54" t="s">
        <v>630</v>
      </c>
      <c r="E740" s="61" t="str">
        <f>IF(R740="","",IF(LFMAS="mAs",R740,""))</f>
        <v/>
      </c>
      <c r="F740" s="49"/>
      <c r="G740" s="49"/>
      <c r="H740" s="54" t="s">
        <v>630</v>
      </c>
      <c r="I740" s="61" t="str">
        <f>IF(R759="","",IF(SFMAS="mAs",R759,""))</f>
        <v/>
      </c>
      <c r="K740" s="69"/>
      <c r="L740" s="676" t="s">
        <v>432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432</v>
      </c>
    </row>
    <row r="741" spans="1:24" ht="11.25" customHeight="1">
      <c r="A741" s="611">
        <v>15</v>
      </c>
      <c r="B741" s="127"/>
      <c r="C741" s="49"/>
      <c r="D741" s="54" t="s">
        <v>93</v>
      </c>
      <c r="E741" s="155">
        <f>IF(S740="","",S740)</f>
        <v>0.05</v>
      </c>
      <c r="F741" s="49"/>
      <c r="G741" s="49"/>
      <c r="H741" s="54" t="s">
        <v>93</v>
      </c>
      <c r="I741" s="155">
        <f>IF(S759="","",S759)</f>
        <v>0.1</v>
      </c>
      <c r="K741" s="69"/>
      <c r="L741" s="676" t="s">
        <v>432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432</v>
      </c>
    </row>
    <row r="742" spans="1:24" ht="11.25" customHeight="1">
      <c r="A742" s="611">
        <v>16</v>
      </c>
      <c r="B742" s="127"/>
      <c r="C742" s="49"/>
      <c r="D742" s="49"/>
      <c r="E742" s="49"/>
      <c r="F742" s="49"/>
      <c r="G742" s="49"/>
      <c r="H742" s="49"/>
      <c r="I742" s="49"/>
      <c r="K742" s="69"/>
      <c r="L742" s="676" t="s">
        <v>432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432</v>
      </c>
    </row>
    <row r="743" spans="1:24" ht="11.25" customHeight="1">
      <c r="A743" s="611">
        <v>17</v>
      </c>
      <c r="B743" s="127"/>
      <c r="D743" s="49" t="s">
        <v>587</v>
      </c>
      <c r="E743" s="128" t="s">
        <v>588</v>
      </c>
      <c r="F743" s="128"/>
      <c r="G743" s="49"/>
      <c r="H743" s="49" t="s">
        <v>587</v>
      </c>
      <c r="I743" s="128" t="s">
        <v>588</v>
      </c>
      <c r="J743" s="128"/>
      <c r="K743" s="71"/>
      <c r="L743" s="676" t="s">
        <v>432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432</v>
      </c>
    </row>
    <row r="744" spans="1:24" ht="11.25" customHeight="1" thickBot="1">
      <c r="A744" s="611">
        <v>18</v>
      </c>
      <c r="B744" s="127"/>
      <c r="C744" s="49"/>
      <c r="D744" s="146" t="s">
        <v>486</v>
      </c>
      <c r="E744" s="146" t="s">
        <v>486</v>
      </c>
      <c r="F744" s="146" t="s">
        <v>1080</v>
      </c>
      <c r="G744" s="49"/>
      <c r="H744" s="146" t="s">
        <v>486</v>
      </c>
      <c r="I744" s="146" t="s">
        <v>486</v>
      </c>
      <c r="J744" s="146" t="s">
        <v>1080</v>
      </c>
      <c r="K744" s="69"/>
      <c r="L744" s="676" t="s">
        <v>432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432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432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432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432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432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432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432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432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432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432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432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432</v>
      </c>
      <c r="M750" s="599" t="s">
        <v>101</v>
      </c>
      <c r="N750" s="113"/>
      <c r="O750" s="113"/>
      <c r="P750" s="113"/>
      <c r="Q750" s="113"/>
      <c r="R750" s="113"/>
      <c r="S750" s="113"/>
      <c r="T750" s="113"/>
      <c r="U750" s="113"/>
      <c r="V750" s="113"/>
      <c r="W750" s="65"/>
      <c r="X750" s="664" t="s">
        <v>432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432</v>
      </c>
      <c r="M751" s="66"/>
      <c r="N751" s="609" t="s">
        <v>146</v>
      </c>
      <c r="O751" s="1025" t="str">
        <f>IF(O752&lt;&gt;"",O752,IF(OR(AB442=0,AB442=""),"",AB442))</f>
        <v/>
      </c>
      <c r="P751" s="48"/>
      <c r="Q751" s="48"/>
      <c r="R751" s="48"/>
      <c r="S751" s="48"/>
      <c r="T751" s="48"/>
      <c r="U751" s="48"/>
      <c r="V751" s="48"/>
      <c r="W751" s="103"/>
      <c r="X751" s="664" t="s">
        <v>432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432</v>
      </c>
      <c r="M752" s="85"/>
      <c r="N752" s="1024" t="s">
        <v>640</v>
      </c>
      <c r="O752" s="1026"/>
      <c r="P752" s="921">
        <f>LEN(O751)</f>
        <v>0</v>
      </c>
      <c r="Q752" s="48"/>
      <c r="R752" s="48"/>
      <c r="S752" s="48"/>
      <c r="T752" s="48"/>
      <c r="U752" s="48"/>
      <c r="V752" s="48"/>
      <c r="W752" s="103"/>
      <c r="X752" s="664" t="s">
        <v>432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432</v>
      </c>
      <c r="M753" s="66"/>
      <c r="N753" s="609" t="s">
        <v>146</v>
      </c>
      <c r="O753" s="1025" t="str">
        <f>IF(O754&lt;&gt;"",O754,IF(OR(AB443=0,AB443=""),"",AB443))</f>
        <v/>
      </c>
      <c r="P753" s="995"/>
      <c r="Q753" s="48"/>
      <c r="R753" s="48"/>
      <c r="S753" s="48"/>
      <c r="U753" s="1001" t="s">
        <v>486</v>
      </c>
      <c r="V753" s="1001" t="s">
        <v>1080</v>
      </c>
      <c r="W753" s="1002" t="s">
        <v>489</v>
      </c>
      <c r="X753" s="664" t="s">
        <v>432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432</v>
      </c>
      <c r="M754" s="66"/>
      <c r="N754" s="132" t="s">
        <v>640</v>
      </c>
      <c r="O754" s="1026"/>
      <c r="P754" s="920">
        <f>LEN(O753)</f>
        <v>0</v>
      </c>
      <c r="Q754" s="49"/>
      <c r="R754" s="49"/>
      <c r="S754" s="49"/>
      <c r="T754" s="1001" t="s">
        <v>590</v>
      </c>
      <c r="U754" s="998" t="str">
        <f>IF(U740="","NA",IF(E758="TBD","TBD",IF(E758&gt;0.05,"NO","YES")))</f>
        <v>NA</v>
      </c>
      <c r="V754" s="999" t="str">
        <f>IF(W740="","NA",IF(F758="TBD","TBD",IF(F758&gt;0.05,"NO","YES")))</f>
        <v>NA</v>
      </c>
      <c r="W754" s="1000" t="str">
        <f>IF(M806&lt;&gt;1,"NA",IF(K827="TBD","TBD",IF(K827&gt;=0.05,"NO","YES")))</f>
        <v>NA</v>
      </c>
      <c r="X754" s="664" t="s">
        <v>432</v>
      </c>
    </row>
    <row r="755" spans="1:24" ht="11.25" customHeight="1">
      <c r="A755" s="611">
        <v>29</v>
      </c>
      <c r="B755" s="127"/>
      <c r="D755" s="49"/>
      <c r="E755" s="49"/>
      <c r="F755" s="424"/>
      <c r="G755" s="49"/>
      <c r="H755" s="49"/>
      <c r="I755" s="49"/>
      <c r="J755" s="424"/>
      <c r="K755" s="69"/>
      <c r="L755" s="676" t="s">
        <v>432</v>
      </c>
      <c r="M755" s="191" t="s">
        <v>1098</v>
      </c>
      <c r="N755" s="128"/>
      <c r="O755" s="128"/>
      <c r="P755" s="128"/>
      <c r="Q755" s="49"/>
      <c r="R755" s="49"/>
      <c r="S755" s="49"/>
      <c r="T755" s="49"/>
      <c r="U755" s="49"/>
      <c r="V755" s="49"/>
      <c r="W755" s="69"/>
      <c r="X755" s="664" t="s">
        <v>432</v>
      </c>
    </row>
    <row r="756" spans="1:24" ht="11.25" customHeight="1">
      <c r="A756" s="611">
        <v>30</v>
      </c>
      <c r="B756" s="127"/>
      <c r="C756" s="49"/>
      <c r="D756" s="49" t="s">
        <v>103</v>
      </c>
      <c r="E756" s="119" t="str">
        <f>IF(AND(E745&gt;0,MIN(E746:E754)&gt;0),AVERAGE(E745:E754),"")</f>
        <v/>
      </c>
      <c r="F756" s="425" t="str">
        <f>IF(AND(F745&gt;0,MIN(F746:F754)&gt;0),AVERAGE(F745:F754),"")</f>
        <v/>
      </c>
      <c r="G756" s="49"/>
      <c r="H756" s="49" t="s">
        <v>103</v>
      </c>
      <c r="I756" s="119" t="str">
        <f>IF(AND(I745&gt;0,MIN(I746:I754)&gt;0),AVERAGE(I745:I754),"")</f>
        <v/>
      </c>
      <c r="J756" s="425" t="str">
        <f>IF(AND(J745&gt;0,MIN(J746:J754)&gt;0),AVERAGE(J745:J754),"")</f>
        <v/>
      </c>
      <c r="K756" s="69"/>
      <c r="L756" s="676" t="s">
        <v>432</v>
      </c>
      <c r="M756" s="66"/>
      <c r="N756" s="49"/>
      <c r="O756" s="49"/>
      <c r="P756" s="49"/>
      <c r="Q756" s="49"/>
      <c r="R756" s="49"/>
      <c r="S756" s="49"/>
      <c r="T756" s="49"/>
      <c r="U756" s="49"/>
      <c r="V756" s="49"/>
      <c r="W756" s="69"/>
      <c r="X756" s="664" t="s">
        <v>432</v>
      </c>
    </row>
    <row r="757" spans="1:24" ht="11.25" customHeight="1">
      <c r="A757" s="611">
        <v>31</v>
      </c>
      <c r="B757" s="127"/>
      <c r="C757" s="49"/>
      <c r="D757" s="49" t="s">
        <v>104</v>
      </c>
      <c r="E757" s="118" t="str">
        <f>IF(AND(E745&gt;0,MIN(E746:E754)&gt;0),STDEV(E745:E754),"")</f>
        <v/>
      </c>
      <c r="F757" s="118" t="str">
        <f>IF(AND(F745&gt;0,MIN(F746:F754)&gt;0),STDEV(F745:F754),"")</f>
        <v/>
      </c>
      <c r="G757" s="49"/>
      <c r="H757" s="49" t="s">
        <v>104</v>
      </c>
      <c r="I757" s="118" t="str">
        <f>IF(AND(I745&gt;0,MIN(I746:I754)&gt;0),STDEV(I745:I754),"")</f>
        <v/>
      </c>
      <c r="J757" s="118" t="str">
        <f>IF(AND(J745&gt;0,MIN(J746:J754)&gt;0),STDEV(J745:J754),"")</f>
        <v/>
      </c>
      <c r="K757" s="69"/>
      <c r="L757" s="676" t="s">
        <v>432</v>
      </c>
      <c r="M757" s="66" t="s">
        <v>75</v>
      </c>
      <c r="N757" s="218" t="s">
        <v>99</v>
      </c>
      <c r="O757" s="218" t="s">
        <v>77</v>
      </c>
      <c r="P757" s="218" t="s">
        <v>78</v>
      </c>
      <c r="Q757" s="49"/>
      <c r="R757" s="218"/>
      <c r="S757" s="218" t="s">
        <v>80</v>
      </c>
      <c r="T757" s="123"/>
      <c r="U757" s="50" t="s">
        <v>81</v>
      </c>
      <c r="V757" s="49"/>
      <c r="W757" s="69"/>
      <c r="X757" s="664" t="s">
        <v>432</v>
      </c>
    </row>
    <row r="758" spans="1:24" ht="11.25" customHeight="1" thickBot="1">
      <c r="A758" s="611">
        <v>32</v>
      </c>
      <c r="B758" s="127"/>
      <c r="C758" s="49"/>
      <c r="D758" s="49" t="s">
        <v>105</v>
      </c>
      <c r="E758" s="136" t="str">
        <f>IF(E756="","TBD",IF(E756&gt;0,E757/E756,"TBD"))</f>
        <v>TBD</v>
      </c>
      <c r="F758" s="136" t="str">
        <f>IF(F756="","TBD",IF(F756&gt;0,F757/F756,"TBD"))</f>
        <v>TBD</v>
      </c>
      <c r="G758" s="49"/>
      <c r="H758" s="49" t="s">
        <v>105</v>
      </c>
      <c r="I758" s="136" t="str">
        <f>IF(I756="","TBD",IF(I756&gt;0,I757/I756,"TBD"))</f>
        <v>TBD</v>
      </c>
      <c r="J758" s="136" t="str">
        <f>IF(J756="","TBD",IF(J756&gt;0,J757/J756,"TBD"))</f>
        <v>TBD</v>
      </c>
      <c r="K758" s="69"/>
      <c r="L758" s="676" t="s">
        <v>432</v>
      </c>
      <c r="M758" s="219" t="s">
        <v>82</v>
      </c>
      <c r="N758" s="138" t="str">
        <f>SFSDD</f>
        <v>cm</v>
      </c>
      <c r="O758" s="138" t="s">
        <v>83</v>
      </c>
      <c r="P758" s="138" t="s">
        <v>68</v>
      </c>
      <c r="Q758" s="138" t="s">
        <v>84</v>
      </c>
      <c r="R758" s="138" t="str">
        <f>IF(AND(LFMAS="",SFMAS=""),"mA/mAs",IF(O759="Large",LFMAS,SFMAS))</f>
        <v>mA</v>
      </c>
      <c r="S758" s="138" t="s">
        <v>85</v>
      </c>
      <c r="T758" s="259" t="s">
        <v>86</v>
      </c>
      <c r="U758" s="458" t="s">
        <v>87</v>
      </c>
      <c r="V758" s="458" t="s">
        <v>85</v>
      </c>
      <c r="W758" s="208" t="s">
        <v>1080</v>
      </c>
      <c r="X758" s="664" t="s">
        <v>432</v>
      </c>
    </row>
    <row r="759" spans="1:24" ht="11.25" customHeight="1" thickBot="1">
      <c r="A759" s="611">
        <v>33</v>
      </c>
      <c r="B759" s="127"/>
      <c r="D759" s="49"/>
      <c r="E759" s="49"/>
      <c r="F759" s="49"/>
      <c r="G759" s="49"/>
      <c r="H759" s="49"/>
      <c r="I759" s="49"/>
      <c r="J759" s="49"/>
      <c r="K759" s="69"/>
      <c r="L759" s="676" t="s">
        <v>432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432</v>
      </c>
    </row>
    <row r="760" spans="1:24" ht="11.25" customHeight="1" thickBot="1">
      <c r="A760" s="611">
        <v>34</v>
      </c>
      <c r="B760" s="66"/>
      <c r="C760" s="49"/>
      <c r="D760" s="258" t="s">
        <v>590</v>
      </c>
      <c r="E760" s="261" t="str">
        <f>IF(U740="","NA",IF(E758="TBD","TBD",IF(E758&gt;0.05,"NO","YES")))</f>
        <v>NA</v>
      </c>
      <c r="F760" s="141" t="str">
        <f>IF(W740="","NA",IF(F758="TBD","TBD",IF(F758&gt;0.05,"NO","YES")))</f>
        <v>NA</v>
      </c>
      <c r="G760" s="49"/>
      <c r="H760" s="258" t="s">
        <v>590</v>
      </c>
      <c r="I760" s="261" t="str">
        <f>IF(U759="","NA",IF(I758="TBD","TBD",IF(I758&gt;0.05,"NO","YES")))</f>
        <v>NA</v>
      </c>
      <c r="J760" s="141" t="str">
        <f>IF(W759="","NA",IF(J758="TBD","TBD",IF(J758&gt;0.05,"NO","YES")))</f>
        <v>NA</v>
      </c>
      <c r="K760" s="69"/>
      <c r="L760" s="676" t="s">
        <v>432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432</v>
      </c>
    </row>
    <row r="761" spans="1:24" ht="11.25" customHeight="1">
      <c r="A761" s="611">
        <v>35</v>
      </c>
      <c r="B761" s="127"/>
      <c r="K761" s="69"/>
      <c r="L761" s="676" t="s">
        <v>432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432</v>
      </c>
    </row>
    <row r="762" spans="1:24" ht="11.25" customHeight="1">
      <c r="A762" s="611">
        <v>36</v>
      </c>
      <c r="B762" s="127"/>
      <c r="C762" s="50" t="s">
        <v>106</v>
      </c>
      <c r="K762" s="69"/>
      <c r="L762" s="676" t="s">
        <v>432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432</v>
      </c>
    </row>
    <row r="763" spans="1:24" ht="11.25" customHeight="1">
      <c r="A763" s="611">
        <v>37</v>
      </c>
      <c r="B763" s="127"/>
      <c r="K763" s="69"/>
      <c r="L763" s="676" t="s">
        <v>432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432</v>
      </c>
    </row>
    <row r="764" spans="1:24" ht="11.25" customHeight="1">
      <c r="A764" s="611">
        <v>38</v>
      </c>
      <c r="B764" s="127"/>
      <c r="C764" s="49"/>
      <c r="D764" s="132" t="s">
        <v>591</v>
      </c>
      <c r="E764" s="100" t="s">
        <v>107</v>
      </c>
      <c r="F764" s="49"/>
      <c r="G764" s="49"/>
      <c r="H764" s="49"/>
      <c r="I764" s="49"/>
      <c r="J764" s="49"/>
      <c r="K764" s="69"/>
      <c r="L764" s="676" t="s">
        <v>432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432</v>
      </c>
    </row>
    <row r="765" spans="1:24" ht="11.25" customHeight="1">
      <c r="A765" s="611">
        <v>39</v>
      </c>
      <c r="B765" s="127"/>
      <c r="K765" s="71"/>
      <c r="L765" s="676" t="s">
        <v>432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432</v>
      </c>
    </row>
    <row r="766" spans="1:24" ht="11.25" customHeight="1">
      <c r="A766" s="611">
        <v>40</v>
      </c>
      <c r="B766" s="127"/>
      <c r="K766" s="71"/>
      <c r="L766" s="676" t="s">
        <v>432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432</v>
      </c>
    </row>
    <row r="767" spans="1:24" ht="11.25" customHeight="1">
      <c r="A767" s="611">
        <v>41</v>
      </c>
      <c r="B767" s="127"/>
      <c r="K767" s="71"/>
      <c r="L767" s="676" t="s">
        <v>432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432</v>
      </c>
    </row>
    <row r="768" spans="1:24" ht="11.25" customHeight="1" thickBot="1">
      <c r="A768" s="611">
        <v>42</v>
      </c>
      <c r="B768" s="127"/>
      <c r="K768" s="71"/>
      <c r="L768" s="676" t="s">
        <v>432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432</v>
      </c>
    </row>
    <row r="769" spans="1:24" ht="11.25" customHeight="1" thickTop="1">
      <c r="A769" s="611">
        <v>43</v>
      </c>
      <c r="B769" s="102" t="s">
        <v>573</v>
      </c>
      <c r="C769" s="922" t="str">
        <f>IF(O780="","",IF(LEN(O780)&lt;=135,O780,IF(LEN(O780)&lt;=260,LEFT(O780,SEARCH(" ",O780,125)),LEFT(O780,SEARCH(" ",O780,130)))))</f>
        <v/>
      </c>
      <c r="D769" s="48"/>
      <c r="E769" s="48"/>
      <c r="F769" s="48"/>
      <c r="G769" s="48"/>
      <c r="H769" s="48"/>
      <c r="I769" s="48"/>
      <c r="J769" s="48"/>
      <c r="K769" s="71"/>
      <c r="L769" s="676" t="s">
        <v>432</v>
      </c>
      <c r="M769" s="64"/>
      <c r="N769" s="113"/>
      <c r="O769" s="113"/>
      <c r="P769" s="113"/>
      <c r="Q769" s="113"/>
      <c r="R769" s="113"/>
      <c r="S769" s="113"/>
      <c r="T769" s="113"/>
      <c r="U769" s="113"/>
      <c r="V769" s="113"/>
      <c r="W769" s="65"/>
      <c r="X769" s="664" t="s">
        <v>432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432</v>
      </c>
      <c r="M770" s="66"/>
      <c r="N770" s="609" t="s">
        <v>146</v>
      </c>
      <c r="O770" s="1025" t="str">
        <f>IF(O771&lt;&gt;"",O771,IF(OR(AB444=0,AB444=""),"",AB444))</f>
        <v/>
      </c>
      <c r="P770" s="1028"/>
      <c r="Q770" s="48"/>
      <c r="R770" s="48"/>
      <c r="S770" s="48"/>
      <c r="T770" s="48"/>
      <c r="V770" s="49"/>
      <c r="W770" s="69"/>
      <c r="X770" s="664" t="s">
        <v>432</v>
      </c>
    </row>
    <row r="771" spans="1:24" ht="11.25" customHeight="1">
      <c r="A771" s="611">
        <v>45</v>
      </c>
      <c r="B771" s="102"/>
      <c r="C771" s="922" t="str">
        <f>IF(LEN(O780)&lt;=265,"",RIGHT(O780,LEN(O780)-SEARCH(" ",O780,255)))</f>
        <v/>
      </c>
      <c r="D771" s="48"/>
      <c r="E771" s="48"/>
      <c r="F771" s="48"/>
      <c r="G771" s="48"/>
      <c r="H771" s="48"/>
      <c r="I771" s="48"/>
      <c r="J771" s="48"/>
      <c r="K771" s="71"/>
      <c r="L771" s="676" t="s">
        <v>432</v>
      </c>
      <c r="M771" s="85"/>
      <c r="N771" s="1024" t="s">
        <v>640</v>
      </c>
      <c r="O771" s="1026"/>
      <c r="P771" s="920">
        <f>LEN(O770)</f>
        <v>0</v>
      </c>
      <c r="R771" s="49"/>
      <c r="S771" s="49"/>
      <c r="T771" s="49"/>
      <c r="W771" s="69"/>
      <c r="X771" s="664" t="s">
        <v>432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432</v>
      </c>
      <c r="M772" s="66"/>
      <c r="N772" s="609" t="s">
        <v>146</v>
      </c>
      <c r="O772" s="1025" t="str">
        <f>IF(O773&lt;&gt;"",O773,IF(OR(AB445=0,AB445=""),"",AB445))</f>
        <v/>
      </c>
      <c r="P772" s="1028"/>
      <c r="Q772" s="48"/>
      <c r="R772" s="48"/>
      <c r="S772" s="48"/>
      <c r="T772" s="48"/>
      <c r="V772" s="49"/>
      <c r="W772" s="69"/>
      <c r="X772" s="664" t="s">
        <v>432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432</v>
      </c>
      <c r="M773" s="66"/>
      <c r="N773" s="132" t="s">
        <v>640</v>
      </c>
      <c r="O773" s="1026"/>
      <c r="P773" s="920">
        <f>LEN(O772)</f>
        <v>0</v>
      </c>
      <c r="R773" s="49"/>
      <c r="S773" s="49"/>
      <c r="T773" s="49"/>
      <c r="U773" s="49"/>
      <c r="V773" s="1001" t="s">
        <v>486</v>
      </c>
      <c r="W773" s="1002" t="s">
        <v>1080</v>
      </c>
      <c r="X773" s="664" t="s">
        <v>432</v>
      </c>
    </row>
    <row r="774" spans="1:24" ht="11.25" customHeight="1" thickBot="1">
      <c r="A774" s="611">
        <v>48</v>
      </c>
      <c r="B774" s="127"/>
      <c r="C774" s="922" t="str">
        <f>IF(LEN(O782)&lt;=265,"",RIGHT(O782,LEN(O782)-SEARCH(" ",O782,255)))</f>
        <v/>
      </c>
      <c r="D774" s="48"/>
      <c r="E774" s="48"/>
      <c r="F774" s="48"/>
      <c r="G774" s="48"/>
      <c r="H774" s="48"/>
      <c r="I774" s="48"/>
      <c r="J774" s="48"/>
      <c r="K774" s="71"/>
      <c r="L774" s="676" t="s">
        <v>432</v>
      </c>
      <c r="M774" s="85"/>
      <c r="N774" s="128"/>
      <c r="O774" s="128"/>
      <c r="Q774" s="50"/>
      <c r="R774" s="49"/>
      <c r="S774" s="49"/>
      <c r="T774" s="49"/>
      <c r="U774" s="1029" t="s">
        <v>590</v>
      </c>
      <c r="V774" s="999" t="str">
        <f>IF(U759="","NA",IF(I758="TBD","TBD",IF(I758&gt;0.05,"NO","YES")))</f>
        <v>NA</v>
      </c>
      <c r="W774" s="1000" t="str">
        <f>IF(W759="","NA",IF(J758="TBD","TBD",IF(J758&gt;0.05,"NO","YES")))</f>
        <v>NA</v>
      </c>
      <c r="X774" s="664" t="s">
        <v>432</v>
      </c>
    </row>
    <row r="775" spans="1:24" ht="11.25" customHeight="1">
      <c r="A775" s="611">
        <v>49</v>
      </c>
      <c r="B775" s="127"/>
      <c r="K775" s="71"/>
      <c r="L775" s="676" t="s">
        <v>432</v>
      </c>
      <c r="M775" s="66"/>
      <c r="N775" s="132" t="s">
        <v>591</v>
      </c>
      <c r="O775" s="100" t="s">
        <v>107</v>
      </c>
      <c r="S775" s="49"/>
      <c r="T775" s="49"/>
      <c r="U775" s="49"/>
      <c r="V775" s="49"/>
      <c r="W775" s="69"/>
      <c r="X775" s="664" t="s">
        <v>432</v>
      </c>
    </row>
    <row r="776" spans="1:24" ht="11.25" customHeight="1">
      <c r="A776" s="611">
        <v>50</v>
      </c>
      <c r="B776" s="127"/>
      <c r="K776" s="71"/>
      <c r="L776" s="676" t="s">
        <v>432</v>
      </c>
      <c r="M776" s="66"/>
      <c r="N776" s="49"/>
      <c r="Q776" s="49"/>
      <c r="R776" s="49"/>
      <c r="S776" s="49"/>
      <c r="T776" s="49"/>
      <c r="U776" s="49"/>
      <c r="V776" s="49"/>
      <c r="W776" s="69"/>
      <c r="X776" s="664" t="s">
        <v>432</v>
      </c>
    </row>
    <row r="777" spans="1:24" ht="11.25" customHeight="1" thickBot="1">
      <c r="A777" s="611">
        <v>51</v>
      </c>
      <c r="B777" s="98"/>
      <c r="C777" s="83"/>
      <c r="D777" s="83"/>
      <c r="E777" s="83"/>
      <c r="F777" s="83"/>
      <c r="G777" s="83"/>
      <c r="H777" s="83"/>
      <c r="I777" s="83"/>
      <c r="J777" s="83"/>
      <c r="K777" s="86"/>
      <c r="L777" s="676" t="s">
        <v>432</v>
      </c>
      <c r="M777" s="98"/>
      <c r="N777" s="83"/>
      <c r="O777" s="83"/>
      <c r="P777" s="83"/>
      <c r="Q777" s="83"/>
      <c r="R777" s="83"/>
      <c r="S777" s="83"/>
      <c r="T777" s="83"/>
      <c r="U777" s="83"/>
      <c r="V777" s="83"/>
      <c r="W777" s="86"/>
      <c r="X777" s="664" t="s">
        <v>432</v>
      </c>
    </row>
    <row r="778" spans="1:24" ht="11.25" customHeight="1" thickTop="1">
      <c r="A778" s="611">
        <v>52</v>
      </c>
      <c r="L778" s="676" t="s">
        <v>432</v>
      </c>
      <c r="X778" s="664" t="s">
        <v>432</v>
      </c>
    </row>
    <row r="779" spans="1:24" ht="11.25" customHeight="1">
      <c r="A779" s="611">
        <v>53</v>
      </c>
      <c r="B779" s="49"/>
      <c r="C779" s="49"/>
      <c r="D779" s="49"/>
      <c r="E779" s="49"/>
      <c r="F779" s="49"/>
      <c r="G779" s="49"/>
      <c r="H779" s="49"/>
      <c r="I779" s="49"/>
      <c r="J779" s="49"/>
      <c r="K779" s="49"/>
      <c r="L779" s="676" t="s">
        <v>432</v>
      </c>
      <c r="N779" s="804" t="s">
        <v>1045</v>
      </c>
      <c r="X779" s="664" t="s">
        <v>432</v>
      </c>
    </row>
    <row r="780" spans="1:24" ht="11.25" customHeight="1">
      <c r="A780" s="611">
        <v>54</v>
      </c>
      <c r="B780" s="49"/>
      <c r="C780" s="49"/>
      <c r="D780" s="49"/>
      <c r="E780" s="49"/>
      <c r="F780" s="49"/>
      <c r="G780" s="49"/>
      <c r="H780" s="49"/>
      <c r="I780" s="49"/>
      <c r="J780" s="49"/>
      <c r="K780" s="49"/>
      <c r="L780" s="676" t="s">
        <v>432</v>
      </c>
      <c r="N780" s="462" t="s">
        <v>530</v>
      </c>
      <c r="O780" s="726" t="str">
        <f>IF(AND(O751="",O753=""),"","Lg. F:  "&amp;O751&amp;IF(O753&lt;&gt;"","; "&amp;O753,""))</f>
        <v/>
      </c>
      <c r="X780" s="664" t="s">
        <v>432</v>
      </c>
    </row>
    <row r="781" spans="1:24" ht="11.25" customHeight="1">
      <c r="A781" s="611">
        <v>55</v>
      </c>
      <c r="B781" s="49"/>
      <c r="C781" s="49"/>
      <c r="D781" s="49"/>
      <c r="E781" s="49"/>
      <c r="F781" s="49"/>
      <c r="G781" s="49"/>
      <c r="H781" s="49"/>
      <c r="I781" s="49"/>
      <c r="J781" s="49"/>
      <c r="K781" s="49"/>
      <c r="L781" s="676" t="s">
        <v>432</v>
      </c>
      <c r="N781" s="462"/>
      <c r="X781" s="664" t="s">
        <v>432</v>
      </c>
    </row>
    <row r="782" spans="1:24" ht="11.25" customHeight="1">
      <c r="A782" s="611">
        <v>56</v>
      </c>
      <c r="B782" s="49"/>
      <c r="C782" s="49"/>
      <c r="D782" s="49"/>
      <c r="E782" s="49"/>
      <c r="F782" s="49"/>
      <c r="G782" s="49"/>
      <c r="H782" s="49"/>
      <c r="I782" s="49"/>
      <c r="J782" s="49"/>
      <c r="K782" s="49"/>
      <c r="L782" s="676" t="s">
        <v>432</v>
      </c>
      <c r="N782" s="462" t="s">
        <v>543</v>
      </c>
      <c r="O782" s="372" t="str">
        <f>IF(AND(O770="",O772=""),"","Sm. F:  "&amp;O770&amp;IF(O772&lt;&gt;"","; "&amp;O772,""))</f>
        <v/>
      </c>
      <c r="X782" s="664" t="s">
        <v>432</v>
      </c>
    </row>
    <row r="783" spans="1:24" ht="11.25" customHeight="1">
      <c r="A783" s="611">
        <v>57</v>
      </c>
      <c r="B783" s="49"/>
      <c r="C783" s="49"/>
      <c r="D783" s="49"/>
      <c r="E783" s="49"/>
      <c r="F783" s="49"/>
      <c r="G783" s="49"/>
      <c r="H783" s="49"/>
      <c r="I783" s="49"/>
      <c r="J783" s="49"/>
      <c r="K783" s="49"/>
      <c r="L783" s="676" t="s">
        <v>432</v>
      </c>
      <c r="X783" s="664" t="s">
        <v>432</v>
      </c>
    </row>
    <row r="784" spans="1:24" ht="11.25" customHeight="1">
      <c r="A784" s="611">
        <v>58</v>
      </c>
      <c r="B784" s="49"/>
      <c r="C784" s="49"/>
      <c r="D784" s="49"/>
      <c r="E784" s="49"/>
      <c r="F784" s="49"/>
      <c r="G784" s="49"/>
      <c r="H784" s="49"/>
      <c r="I784" s="49"/>
      <c r="J784" s="49"/>
      <c r="K784" s="49"/>
      <c r="L784" s="676" t="s">
        <v>432</v>
      </c>
      <c r="X784" s="664" t="s">
        <v>432</v>
      </c>
    </row>
    <row r="785" spans="1:24" ht="11.25" customHeight="1">
      <c r="A785" s="611">
        <v>59</v>
      </c>
      <c r="B785" s="49"/>
      <c r="C785" s="49"/>
      <c r="D785" s="49"/>
      <c r="E785" s="49"/>
      <c r="F785" s="49"/>
      <c r="G785" s="49"/>
      <c r="H785" s="49"/>
      <c r="I785" s="49"/>
      <c r="J785" s="49"/>
      <c r="K785" s="49"/>
      <c r="L785" s="676" t="s">
        <v>432</v>
      </c>
      <c r="X785" s="664" t="s">
        <v>432</v>
      </c>
    </row>
    <row r="786" spans="1:24" ht="11.25" customHeight="1">
      <c r="A786" s="611">
        <v>60</v>
      </c>
      <c r="B786" s="49"/>
      <c r="C786" s="49"/>
      <c r="D786" s="49"/>
      <c r="E786" s="49"/>
      <c r="F786" s="49"/>
      <c r="G786" s="49"/>
      <c r="H786" s="49"/>
      <c r="I786" s="49"/>
      <c r="J786" s="49"/>
      <c r="K786" s="49"/>
      <c r="L786" s="676" t="s">
        <v>432</v>
      </c>
      <c r="X786" s="664" t="s">
        <v>432</v>
      </c>
    </row>
    <row r="787" spans="1:24" ht="11.25" customHeight="1">
      <c r="A787" s="611">
        <v>61</v>
      </c>
      <c r="B787" s="49"/>
      <c r="C787" s="49"/>
      <c r="D787" s="49"/>
      <c r="E787" s="49"/>
      <c r="F787" s="49"/>
      <c r="G787" s="49"/>
      <c r="H787" s="49"/>
      <c r="I787" s="49"/>
      <c r="J787" s="49"/>
      <c r="K787" s="49"/>
      <c r="L787" s="676" t="s">
        <v>432</v>
      </c>
      <c r="X787" s="664" t="s">
        <v>432</v>
      </c>
    </row>
    <row r="788" spans="1:24" ht="11.25" customHeight="1">
      <c r="A788" s="611">
        <v>62</v>
      </c>
      <c r="B788" s="49"/>
      <c r="C788" s="49"/>
      <c r="D788" s="49"/>
      <c r="E788" s="49"/>
      <c r="F788" s="49"/>
      <c r="G788" s="49"/>
      <c r="H788" s="49"/>
      <c r="I788" s="49"/>
      <c r="J788" s="49"/>
      <c r="K788" s="49"/>
      <c r="L788" s="676" t="s">
        <v>432</v>
      </c>
      <c r="X788" s="664" t="s">
        <v>432</v>
      </c>
    </row>
    <row r="789" spans="1:24" ht="11.25" customHeight="1">
      <c r="A789" s="611">
        <v>63</v>
      </c>
      <c r="B789" s="49"/>
      <c r="C789" s="49"/>
      <c r="D789" s="49"/>
      <c r="E789" s="49"/>
      <c r="F789" s="49"/>
      <c r="G789" s="49"/>
      <c r="H789" s="49"/>
      <c r="I789" s="49"/>
      <c r="J789" s="49"/>
      <c r="K789" s="49"/>
      <c r="L789" s="676" t="s">
        <v>432</v>
      </c>
      <c r="X789" s="664" t="s">
        <v>432</v>
      </c>
    </row>
    <row r="790" spans="1:24" ht="11.25" customHeight="1">
      <c r="A790" s="611">
        <v>64</v>
      </c>
      <c r="B790" s="49"/>
      <c r="C790" s="49"/>
      <c r="D790" s="49"/>
      <c r="E790" s="49"/>
      <c r="F790" s="49"/>
      <c r="G790" s="49"/>
      <c r="H790" s="49"/>
      <c r="I790" s="49"/>
      <c r="J790" s="49"/>
      <c r="K790" s="49"/>
      <c r="L790" s="676" t="s">
        <v>432</v>
      </c>
      <c r="X790" s="664" t="s">
        <v>432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432</v>
      </c>
      <c r="X791" s="664" t="s">
        <v>432</v>
      </c>
    </row>
    <row r="792" spans="1:24" ht="11.25" customHeight="1">
      <c r="A792" s="611">
        <v>66</v>
      </c>
      <c r="B792" s="52" t="str">
        <v>Room Number:</v>
      </c>
      <c r="C792" s="373" t="str">
        <v/>
      </c>
      <c r="D792" s="49"/>
      <c r="E792" s="49"/>
      <c r="F792" s="49"/>
      <c r="G792" s="49"/>
      <c r="H792" s="49"/>
      <c r="I792" s="52" t="str">
        <v>Survey ID:</v>
      </c>
      <c r="J792" s="1045" t="str">
        <v/>
      </c>
      <c r="L792" s="676" t="s">
        <v>432</v>
      </c>
      <c r="X792" s="664" t="s">
        <v>432</v>
      </c>
    </row>
    <row r="793" spans="1:24" ht="11.25" customHeight="1">
      <c r="A793" s="611">
        <v>1</v>
      </c>
      <c r="K793" s="131" t="str">
        <f>$F$2</f>
        <v>Medical University of South Carolina</v>
      </c>
      <c r="L793" s="676" t="s">
        <v>432</v>
      </c>
      <c r="W793" s="131" t="str">
        <f>$F$2</f>
        <v>Medical University of South Carolina</v>
      </c>
      <c r="X793" s="664" t="s">
        <v>432</v>
      </c>
    </row>
    <row r="794" spans="1:24" ht="11.25" customHeight="1">
      <c r="A794" s="611">
        <v>2</v>
      </c>
      <c r="F794" s="82" t="str">
        <f>$F$464</f>
        <v>Measurement Data</v>
      </c>
      <c r="K794" s="132" t="str">
        <f>$F$5</f>
        <v>Radiographic System Compliance Inspection</v>
      </c>
      <c r="L794" s="676" t="s">
        <v>432</v>
      </c>
      <c r="W794" s="132" t="str">
        <f>$F$5</f>
        <v>Radiographic System Compliance Inspection</v>
      </c>
      <c r="X794" s="664" t="s">
        <v>432</v>
      </c>
    </row>
    <row r="795" spans="1:24" ht="11.25" customHeight="1" thickBot="1">
      <c r="A795" s="611">
        <v>3</v>
      </c>
      <c r="B795" s="49"/>
      <c r="C795" s="49"/>
      <c r="D795" s="49"/>
      <c r="E795" s="49"/>
      <c r="F795" s="49"/>
      <c r="G795" s="49"/>
      <c r="H795" s="49"/>
      <c r="I795" s="49"/>
      <c r="J795" s="49"/>
      <c r="K795" s="49"/>
      <c r="L795" s="676" t="s">
        <v>432</v>
      </c>
      <c r="M795" s="49"/>
      <c r="N795" s="49"/>
      <c r="O795" s="49"/>
      <c r="P795" s="49"/>
      <c r="Q795" s="49"/>
      <c r="R795" s="49"/>
      <c r="S795" s="49"/>
      <c r="T795" s="49"/>
      <c r="U795" s="49"/>
      <c r="V795" s="49"/>
      <c r="W795" s="49"/>
      <c r="X795" s="664" t="s">
        <v>432</v>
      </c>
    </row>
    <row r="796" spans="1:24" ht="11.25" customHeight="1" thickTop="1">
      <c r="A796" s="611">
        <v>4</v>
      </c>
      <c r="B796" s="79"/>
      <c r="C796" s="62"/>
      <c r="D796" s="62"/>
      <c r="E796" s="62"/>
      <c r="F796" s="62"/>
      <c r="G796" s="62"/>
      <c r="H796" s="62"/>
      <c r="I796" s="62"/>
      <c r="J796" s="62"/>
      <c r="K796" s="80"/>
      <c r="L796" s="676" t="s">
        <v>432</v>
      </c>
      <c r="M796" s="49"/>
      <c r="O796" s="49"/>
      <c r="P796" s="49"/>
      <c r="Q796" s="82" t="str">
        <f>$F$464</f>
        <v>Measurement Data</v>
      </c>
      <c r="R796" s="49"/>
      <c r="S796" s="49"/>
      <c r="T796" s="49"/>
      <c r="U796" s="49"/>
      <c r="V796" s="49"/>
      <c r="W796" s="49"/>
      <c r="X796" s="664" t="s">
        <v>432</v>
      </c>
    </row>
    <row r="797" spans="1:24" ht="11.25" customHeight="1" thickBot="1">
      <c r="A797" s="611">
        <v>5</v>
      </c>
      <c r="B797" s="66"/>
      <c r="C797" s="54" t="s">
        <v>67</v>
      </c>
      <c r="D797" s="59" t="str">
        <f>IF($O$687="","",$O$687)</f>
        <v>Piranha 1 CB2-17090320</v>
      </c>
      <c r="E797" s="59"/>
      <c r="F797" s="48"/>
      <c r="G797" s="49"/>
      <c r="H797" s="49"/>
      <c r="I797" s="49"/>
      <c r="J797" s="49"/>
      <c r="K797" s="69"/>
      <c r="L797" s="676" t="s">
        <v>432</v>
      </c>
      <c r="M797" s="50"/>
      <c r="T797" s="49"/>
      <c r="U797" s="49"/>
      <c r="V797" s="49"/>
      <c r="W797" s="49"/>
      <c r="X797" s="664" t="s">
        <v>432</v>
      </c>
    </row>
    <row r="798" spans="1:24" ht="11.25" customHeight="1" thickTop="1">
      <c r="A798" s="611">
        <v>6</v>
      </c>
      <c r="B798" s="66"/>
      <c r="C798" s="49"/>
      <c r="D798" s="49"/>
      <c r="E798" s="49"/>
      <c r="F798" s="49"/>
      <c r="G798" s="49"/>
      <c r="H798" s="49"/>
      <c r="I798" s="49"/>
      <c r="J798" s="49"/>
      <c r="K798" s="69"/>
      <c r="L798" s="676" t="s">
        <v>432</v>
      </c>
      <c r="M798" s="79"/>
      <c r="N798" s="62"/>
      <c r="O798" s="62"/>
      <c r="P798" s="62"/>
      <c r="Q798" s="62"/>
      <c r="R798" s="62"/>
      <c r="S798" s="62"/>
      <c r="T798" s="62"/>
      <c r="U798" s="62"/>
      <c r="V798" s="62"/>
      <c r="W798" s="80"/>
      <c r="X798" s="664" t="s">
        <v>432</v>
      </c>
    </row>
    <row r="799" spans="1:24" ht="11.25" customHeight="1">
      <c r="A799" s="611">
        <v>7</v>
      </c>
      <c r="B799" s="127"/>
      <c r="K799" s="71"/>
      <c r="L799" s="676" t="s">
        <v>432</v>
      </c>
      <c r="M799" s="66"/>
      <c r="N799" s="54" t="s">
        <v>67</v>
      </c>
      <c r="O799" s="59" t="str">
        <f>IF($O$687="","",$O$687)</f>
        <v>Piranha 1 CB2-17090320</v>
      </c>
      <c r="P799" s="59"/>
      <c r="Q799" s="48"/>
      <c r="R799" s="49"/>
      <c r="S799" s="49"/>
      <c r="T799" s="49"/>
      <c r="U799" s="49"/>
      <c r="V799" s="49"/>
      <c r="W799" s="69"/>
      <c r="X799" s="664" t="s">
        <v>432</v>
      </c>
    </row>
    <row r="800" spans="1:24" ht="11.25" customHeight="1">
      <c r="A800" s="611">
        <v>8</v>
      </c>
      <c r="B800" s="127"/>
      <c r="G800" s="190" t="str">
        <f>"Timer performance ("&amp;O809&amp;" Focal Spot)"</f>
        <v>Timer performance (Large Focal Spot)</v>
      </c>
      <c r="K800" s="71"/>
      <c r="L800" s="676" t="s">
        <v>432</v>
      </c>
      <c r="M800" s="66"/>
      <c r="N800" s="49"/>
      <c r="O800" s="49"/>
      <c r="P800" s="49"/>
      <c r="Q800" s="49"/>
      <c r="R800" s="49"/>
      <c r="S800" s="49"/>
      <c r="T800" s="49"/>
      <c r="U800" s="49"/>
      <c r="V800" s="49"/>
      <c r="W800" s="69"/>
      <c r="X800" s="664" t="s">
        <v>432</v>
      </c>
    </row>
    <row r="801" spans="1:24" ht="11.25" customHeight="1">
      <c r="A801" s="611">
        <v>9</v>
      </c>
      <c r="B801" s="127"/>
      <c r="K801" s="71"/>
      <c r="L801" s="676" t="s">
        <v>432</v>
      </c>
      <c r="M801" s="127"/>
      <c r="W801" s="71"/>
      <c r="X801" s="664" t="s">
        <v>432</v>
      </c>
    </row>
    <row r="802" spans="1:24" ht="11.25" customHeight="1">
      <c r="A802" s="611">
        <v>10</v>
      </c>
      <c r="B802" s="127"/>
      <c r="K802" s="71"/>
      <c r="L802" s="676" t="s">
        <v>432</v>
      </c>
      <c r="M802" s="339" t="s">
        <v>108</v>
      </c>
      <c r="N802" s="49"/>
      <c r="O802" s="49"/>
      <c r="P802" s="49"/>
      <c r="Q802" s="49"/>
      <c r="T802" s="49"/>
      <c r="U802" s="49"/>
      <c r="V802" s="49"/>
      <c r="W802" s="69"/>
      <c r="X802" s="664" t="s">
        <v>432</v>
      </c>
    </row>
    <row r="803" spans="1:24" ht="11.25" customHeight="1">
      <c r="A803" s="611">
        <v>11</v>
      </c>
      <c r="B803" s="66"/>
      <c r="D803" s="272" t="s">
        <v>110</v>
      </c>
      <c r="E803" s="273" t="str">
        <f>IF($O$805="","",$O$805)</f>
        <v>HF</v>
      </c>
      <c r="F803" s="274" t="str">
        <f>$Q$805</f>
        <v xml:space="preserve"> (High Frequency)</v>
      </c>
      <c r="K803" s="71"/>
      <c r="L803" s="676" t="s">
        <v>432</v>
      </c>
      <c r="M803" s="127"/>
      <c r="W803" s="71"/>
      <c r="X803" s="664" t="s">
        <v>432</v>
      </c>
    </row>
    <row r="804" spans="1:24" ht="11.25" customHeight="1">
      <c r="A804" s="611">
        <v>12</v>
      </c>
      <c r="B804" s="127"/>
      <c r="D804" s="49"/>
      <c r="E804" s="49"/>
      <c r="F804" s="49"/>
      <c r="G804" s="49"/>
      <c r="H804" s="49"/>
      <c r="I804" s="49"/>
      <c r="J804" s="49"/>
      <c r="K804" s="69"/>
      <c r="L804" s="676" t="s">
        <v>432</v>
      </c>
      <c r="M804" s="127"/>
      <c r="N804" s="50" t="s">
        <v>109</v>
      </c>
      <c r="W804" s="71"/>
      <c r="X804" s="664" t="s">
        <v>432</v>
      </c>
    </row>
    <row r="805" spans="1:24" ht="11.25" customHeight="1">
      <c r="A805" s="611">
        <v>13</v>
      </c>
      <c r="B805" s="266"/>
      <c r="F805" s="275" t="s">
        <v>586</v>
      </c>
      <c r="G805" s="54"/>
      <c r="H805" s="49"/>
      <c r="I805" s="49"/>
      <c r="J805" s="276" t="s">
        <v>112</v>
      </c>
      <c r="K805" s="468"/>
      <c r="L805" s="676" t="s">
        <v>432</v>
      </c>
      <c r="M805" s="127"/>
      <c r="N805" s="272" t="s">
        <v>110</v>
      </c>
      <c r="O805" s="993" t="str">
        <f>IF(P805&lt;&gt;"",P805,IF(OR(AB182=0,AB182=""),"",AB182))</f>
        <v>HF</v>
      </c>
      <c r="P805" s="697" t="s">
        <v>1075</v>
      </c>
      <c r="Q805" s="274" t="str">
        <f>IF(OR($O$805=0,$O$805="",$O$805="Dent"),"",IF(OR($O$805=1,$O$805=3),"-Phase",IF($O$805="HF"," (High Frequency)",IF($O$805="CP"," (Constant Potential)",""))))</f>
        <v xml:space="preserve"> (High Frequency)</v>
      </c>
      <c r="W805" s="71"/>
      <c r="X805" s="664" t="s">
        <v>432</v>
      </c>
    </row>
    <row r="806" spans="1:24" ht="11.25" customHeight="1">
      <c r="A806" s="611">
        <v>14</v>
      </c>
      <c r="B806" s="127"/>
      <c r="K806" s="71"/>
      <c r="L806" s="676" t="s">
        <v>432</v>
      </c>
      <c r="M806" s="1030" t="str">
        <f>IF($N$806&lt;&gt;"",$N$806,IF(OR(AB183=0,AB183=""),"",AB183))</f>
        <v/>
      </c>
      <c r="N806" s="697"/>
      <c r="O806" s="100" t="s">
        <v>111</v>
      </c>
      <c r="P806" s="49"/>
      <c r="Q806" s="49"/>
      <c r="S806" s="49"/>
      <c r="T806" s="49"/>
      <c r="W806" s="69"/>
      <c r="X806" s="664" t="s">
        <v>432</v>
      </c>
    </row>
    <row r="807" spans="1:24" ht="11.25" customHeight="1">
      <c r="A807" s="611">
        <v>15</v>
      </c>
      <c r="B807" s="127"/>
      <c r="C807" s="54" t="s">
        <v>91</v>
      </c>
      <c r="D807" s="48">
        <f>IF(N809="","",N809)</f>
        <v>100</v>
      </c>
      <c r="E807" s="50" t="str">
        <f>IF(N808="","",N808)</f>
        <v>cm</v>
      </c>
      <c r="G807" s="49"/>
      <c r="H807" s="49"/>
      <c r="I807" s="54" t="s">
        <v>91</v>
      </c>
      <c r="J807" s="48">
        <f>IF(N740="","",N740)</f>
        <v>100</v>
      </c>
      <c r="K807" s="70" t="str">
        <f>IF(N739="","",N739)</f>
        <v>cm</v>
      </c>
      <c r="L807" s="676" t="s">
        <v>432</v>
      </c>
      <c r="M807" s="66" t="s">
        <v>75</v>
      </c>
      <c r="N807" s="218" t="s">
        <v>99</v>
      </c>
      <c r="O807" s="218" t="s">
        <v>77</v>
      </c>
      <c r="P807" s="218" t="s">
        <v>78</v>
      </c>
      <c r="Q807" s="49"/>
      <c r="R807" s="44" t="s">
        <v>113</v>
      </c>
      <c r="S807" s="271"/>
      <c r="T807" s="269"/>
      <c r="U807" s="267" t="s">
        <v>114</v>
      </c>
      <c r="V807" s="128"/>
      <c r="W807" s="69"/>
      <c r="X807" s="664" t="s">
        <v>432</v>
      </c>
    </row>
    <row r="808" spans="1:24" ht="11.25" customHeight="1" thickBot="1">
      <c r="A808" s="611">
        <v>16</v>
      </c>
      <c r="B808" s="127"/>
      <c r="C808" s="54" t="s">
        <v>627</v>
      </c>
      <c r="D808" s="48">
        <f>IF(Q809="","",Q809)</f>
        <v>80</v>
      </c>
      <c r="E808" s="49"/>
      <c r="G808" s="49"/>
      <c r="H808" s="49"/>
      <c r="I808" s="54" t="s">
        <v>627</v>
      </c>
      <c r="J808" s="48">
        <f>IF(Q740="","",Q740)</f>
        <v>80</v>
      </c>
      <c r="K808" s="69"/>
      <c r="L808" s="676" t="s">
        <v>432</v>
      </c>
      <c r="M808" s="219" t="s">
        <v>82</v>
      </c>
      <c r="N808" s="138" t="str">
        <f>LFSDD</f>
        <v>cm</v>
      </c>
      <c r="O808" s="138" t="s">
        <v>83</v>
      </c>
      <c r="P808" s="138" t="s">
        <v>68</v>
      </c>
      <c r="Q808" s="138" t="s">
        <v>84</v>
      </c>
      <c r="R808" s="6" t="str">
        <f>IF(MIN($T$694:$T$701)&gt;0,LFMAS,IF(MIN($T$712:$T$717)&gt;0,SFMAS,"mA/mAs"))</f>
        <v>mA/mAs</v>
      </c>
      <c r="S808" s="268" t="str">
        <f>IF($O$805=1,"Pulses","seconds")</f>
        <v>seconds</v>
      </c>
      <c r="T808" s="270" t="s">
        <v>86</v>
      </c>
      <c r="U808" s="138" t="s">
        <v>87</v>
      </c>
      <c r="V808" s="138" t="str">
        <f>IF($O$805=1,"Pulses","seconds")</f>
        <v>seconds</v>
      </c>
      <c r="W808" s="208" t="s">
        <v>1080</v>
      </c>
      <c r="X808" s="664" t="s">
        <v>432</v>
      </c>
    </row>
    <row r="809" spans="1:24" ht="11.25" customHeight="1">
      <c r="A809" s="611">
        <v>17</v>
      </c>
      <c r="B809" s="102"/>
      <c r="D809" s="351"/>
      <c r="E809" s="49"/>
      <c r="G809" s="49"/>
      <c r="H809" s="49"/>
      <c r="I809" s="54" t="s">
        <v>628</v>
      </c>
      <c r="J809" s="61">
        <f>IF(R740="","",IF(R739="mA",R740,""))</f>
        <v>400</v>
      </c>
      <c r="K809" s="69"/>
      <c r="L809" s="676" t="s">
        <v>432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432</v>
      </c>
    </row>
    <row r="810" spans="1:24" ht="11.25" customHeight="1">
      <c r="A810" s="611">
        <v>18</v>
      </c>
      <c r="B810" s="102"/>
      <c r="F810" s="49"/>
      <c r="G810" s="49"/>
      <c r="H810" s="49"/>
      <c r="I810" s="54" t="s">
        <v>630</v>
      </c>
      <c r="J810" s="222" t="str">
        <f>IF(R740="","",IF(R739="mAs",R740,""))</f>
        <v/>
      </c>
      <c r="K810" s="69"/>
      <c r="L810" s="676" t="s">
        <v>432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432</v>
      </c>
    </row>
    <row r="811" spans="1:24" ht="11.25" customHeight="1">
      <c r="A811" s="611">
        <v>19</v>
      </c>
      <c r="B811" s="66"/>
      <c r="D811" s="49"/>
      <c r="E811" s="49"/>
      <c r="F811" s="49"/>
      <c r="G811" s="49"/>
      <c r="H811" s="49"/>
      <c r="I811" s="49"/>
      <c r="J811" s="49"/>
      <c r="K811" s="69"/>
      <c r="L811" s="676" t="s">
        <v>432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432</v>
      </c>
    </row>
    <row r="812" spans="1:24" ht="11.25" customHeight="1">
      <c r="A812" s="611">
        <v>20</v>
      </c>
      <c r="B812" s="474" t="s">
        <v>115</v>
      </c>
      <c r="C812" s="659"/>
      <c r="D812" s="49"/>
      <c r="E812" s="149" t="str">
        <f>"Time"&amp;IF($O$805=1," (Pulses)"," (sec)")</f>
        <v>Time (sec)</v>
      </c>
      <c r="F812" s="150"/>
      <c r="G812" s="49" t="s">
        <v>589</v>
      </c>
      <c r="H812" s="49"/>
      <c r="I812" s="49"/>
      <c r="J812" s="149" t="str">
        <f>"Time"&amp;IF($O$805=1," (Pulses)"," (sec)")</f>
        <v>Time (sec)</v>
      </c>
      <c r="K812" s="186"/>
      <c r="L812" s="676" t="s">
        <v>432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432</v>
      </c>
    </row>
    <row r="813" spans="1:24" ht="11.25" customHeight="1" thickBot="1">
      <c r="A813" s="611">
        <v>21</v>
      </c>
      <c r="B813" s="219" t="s">
        <v>86</v>
      </c>
      <c r="C813" s="138" t="s">
        <v>87</v>
      </c>
      <c r="D813" s="138" t="str">
        <f t="shared" ref="D813:D823" si="108">IF(R808="","",R808)</f>
        <v>mA/mAs</v>
      </c>
      <c r="E813" s="146" t="s">
        <v>587</v>
      </c>
      <c r="F813" s="137" t="s">
        <v>588</v>
      </c>
      <c r="G813" s="146" t="str">
        <f>IF($O$805=1," (Pulses)"," (Percent)")</f>
        <v xml:space="preserve"> (Percent)</v>
      </c>
      <c r="H813" s="146" t="s">
        <v>652</v>
      </c>
      <c r="I813" s="49"/>
      <c r="J813" s="146" t="s">
        <v>587</v>
      </c>
      <c r="K813" s="208" t="s">
        <v>588</v>
      </c>
      <c r="L813" s="676" t="s">
        <v>432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432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432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432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432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432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432</v>
      </c>
      <c r="M816" s="1213"/>
      <c r="N816" s="356" t="str">
        <f t="shared" si="116"/>
        <v/>
      </c>
      <c r="O816" s="356" t="str">
        <f t="shared" si="116"/>
        <v/>
      </c>
      <c r="P816" s="1219"/>
      <c r="Q816" s="356" t="str">
        <f t="shared" si="116"/>
        <v/>
      </c>
      <c r="R816" s="426" t="str">
        <f>IF($S816="","",$R$809)</f>
        <v/>
      </c>
      <c r="S816" s="632"/>
      <c r="T816" s="1225"/>
      <c r="U816" s="623"/>
      <c r="V816" s="624"/>
      <c r="W816" s="625"/>
      <c r="X816" s="664" t="s">
        <v>432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432</v>
      </c>
      <c r="M817" s="1213"/>
      <c r="N817" s="356" t="str">
        <f t="shared" si="116"/>
        <v/>
      </c>
      <c r="O817" s="356" t="str">
        <f t="shared" si="116"/>
        <v/>
      </c>
      <c r="P817" s="1219"/>
      <c r="Q817" s="356" t="str">
        <f t="shared" si="116"/>
        <v/>
      </c>
      <c r="R817" s="426" t="str">
        <f>IF($S817="","",$R$809)</f>
        <v/>
      </c>
      <c r="S817" s="632"/>
      <c r="T817" s="1225"/>
      <c r="U817" s="623"/>
      <c r="V817" s="624"/>
      <c r="W817" s="625"/>
      <c r="X817" s="664" t="s">
        <v>432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432</v>
      </c>
      <c r="M818" s="1217"/>
      <c r="N818" s="357" t="str">
        <f t="shared" si="116"/>
        <v/>
      </c>
      <c r="O818" s="357" t="str">
        <f t="shared" si="116"/>
        <v/>
      </c>
      <c r="P818" s="1220"/>
      <c r="Q818" s="357" t="str">
        <f t="shared" si="116"/>
        <v/>
      </c>
      <c r="R818" s="461" t="str">
        <f>IF($S818="","",$R$809)</f>
        <v/>
      </c>
      <c r="S818" s="633"/>
      <c r="T818" s="1226"/>
      <c r="U818" s="626"/>
      <c r="V818" s="627"/>
      <c r="W818" s="628"/>
      <c r="X818" s="664" t="s">
        <v>432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432</v>
      </c>
      <c r="M819" s="79"/>
      <c r="N819" s="447" t="s">
        <v>116</v>
      </c>
      <c r="O819" s="62"/>
      <c r="P819" s="62"/>
      <c r="Q819" s="62"/>
      <c r="R819" s="62"/>
      <c r="S819" s="62"/>
      <c r="T819" s="62"/>
      <c r="U819" s="62"/>
      <c r="V819" s="62"/>
      <c r="W819" s="80"/>
      <c r="X819" s="664" t="s">
        <v>432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432</v>
      </c>
      <c r="M820" s="127"/>
      <c r="N820" s="50" t="s">
        <v>117</v>
      </c>
      <c r="W820" s="71"/>
      <c r="X820" s="664" t="s">
        <v>432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432</v>
      </c>
      <c r="M821" s="127"/>
      <c r="W821" s="71"/>
      <c r="X821" s="664" t="s">
        <v>432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432</v>
      </c>
      <c r="M822" s="66"/>
      <c r="N822" s="54" t="s">
        <v>573</v>
      </c>
      <c r="O822" s="986" t="str">
        <f>IF(O805="1*","Note: Although this is a single phase generator, the exposure time was recorded in seconds, rather than pulses.","")</f>
        <v/>
      </c>
      <c r="P822" s="48"/>
      <c r="Q822" s="48"/>
      <c r="R822" s="48"/>
      <c r="S822" s="48"/>
      <c r="T822" s="48"/>
      <c r="U822" s="48"/>
      <c r="V822" s="48"/>
      <c r="W822" s="103"/>
      <c r="X822" s="664" t="s">
        <v>432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432</v>
      </c>
      <c r="M823" s="104" t="s">
        <v>118</v>
      </c>
      <c r="N823" s="48"/>
      <c r="O823" s="48"/>
      <c r="P823" s="48"/>
      <c r="Q823" s="48"/>
      <c r="R823" s="48"/>
      <c r="S823" s="48"/>
      <c r="T823" s="48"/>
      <c r="U823" s="48"/>
      <c r="V823" s="48"/>
      <c r="W823" s="103"/>
      <c r="X823" s="664" t="s">
        <v>432</v>
      </c>
    </row>
    <row r="824" spans="1:24" ht="11.25" customHeight="1">
      <c r="A824" s="611">
        <v>32</v>
      </c>
      <c r="B824" s="66"/>
      <c r="D824" s="49"/>
      <c r="E824" s="49"/>
      <c r="F824" s="49"/>
      <c r="G824" s="49"/>
      <c r="H824" s="49"/>
      <c r="I824" s="49"/>
      <c r="J824" s="49"/>
      <c r="K824" s="69"/>
      <c r="L824" s="676" t="s">
        <v>432</v>
      </c>
      <c r="M824" s="106"/>
      <c r="N824" s="224" t="s">
        <v>102</v>
      </c>
      <c r="O824" s="713" t="str">
        <f>IF(O825&lt;&gt;"",O825,IF(OR(AB446=0,AB446=""),"",AB446))</f>
        <v/>
      </c>
      <c r="P824" s="48"/>
      <c r="Q824" s="48"/>
      <c r="R824" s="48"/>
      <c r="S824" s="48"/>
      <c r="T824" s="48"/>
      <c r="U824" s="48"/>
      <c r="V824" s="48"/>
      <c r="W824" s="103"/>
      <c r="X824" s="664" t="s">
        <v>432</v>
      </c>
    </row>
    <row r="825" spans="1:24" ht="11.25" customHeight="1">
      <c r="A825" s="611">
        <v>33</v>
      </c>
      <c r="B825" s="66"/>
      <c r="D825" s="49"/>
      <c r="E825" s="49"/>
      <c r="F825" s="49"/>
      <c r="G825" s="49"/>
      <c r="H825" s="49"/>
      <c r="I825" s="49"/>
      <c r="J825" s="264" t="s">
        <v>103</v>
      </c>
      <c r="K825" s="312" t="str">
        <f>IF(AND(K814&gt;0,MIN(K815:K823)&gt;0),AVERAGE(K814:K823),"")</f>
        <v/>
      </c>
      <c r="L825" s="676" t="s">
        <v>432</v>
      </c>
      <c r="M825" s="66"/>
      <c r="N825" s="1024" t="s">
        <v>640</v>
      </c>
      <c r="O825" s="1026"/>
      <c r="P825" s="921">
        <f>LEN(O824)</f>
        <v>0</v>
      </c>
      <c r="Q825" s="655"/>
      <c r="R825" s="655"/>
      <c r="S825" s="655"/>
      <c r="T825" s="655"/>
      <c r="U825" s="655"/>
      <c r="V825" s="655"/>
      <c r="W825" s="1027"/>
      <c r="X825" s="664" t="s">
        <v>432</v>
      </c>
    </row>
    <row r="826" spans="1:24" ht="11.25" customHeight="1">
      <c r="A826" s="611">
        <v>34</v>
      </c>
      <c r="B826" s="66"/>
      <c r="D826" s="49"/>
      <c r="E826" s="49"/>
      <c r="F826" s="49"/>
      <c r="G826" s="49"/>
      <c r="H826" s="49"/>
      <c r="I826" s="49"/>
      <c r="J826" s="264" t="s">
        <v>104</v>
      </c>
      <c r="K826" s="233" t="str">
        <f>IF(AND(K814&gt;0,MIN(K815:K823)&gt;0),STDEV(K814:K823),"")</f>
        <v/>
      </c>
      <c r="L826" s="676" t="s">
        <v>432</v>
      </c>
      <c r="M826" s="66"/>
      <c r="R826" s="149" t="str">
        <f>"Time"&amp;IF($O$805=1," (Pulses)"," (sec)")</f>
        <v>Time (sec)</v>
      </c>
      <c r="S826" s="150"/>
      <c r="T826" s="49" t="s">
        <v>589</v>
      </c>
      <c r="U826" s="49" t="s">
        <v>119</v>
      </c>
      <c r="V826" s="49" t="s">
        <v>120</v>
      </c>
      <c r="W826" s="69" t="s">
        <v>121</v>
      </c>
      <c r="X826" s="664" t="s">
        <v>432</v>
      </c>
    </row>
    <row r="827" spans="1:24" ht="11.25" customHeight="1" thickBot="1">
      <c r="A827" s="611">
        <v>35</v>
      </c>
      <c r="B827" s="66"/>
      <c r="D827" s="49"/>
      <c r="E827" s="49"/>
      <c r="F827" s="49"/>
      <c r="G827" s="49"/>
      <c r="H827" s="49"/>
      <c r="I827" s="49"/>
      <c r="J827" s="264" t="s">
        <v>122</v>
      </c>
      <c r="K827" s="469" t="str">
        <f>IF(OR(K825="",K825=0,K826=""),"TBD",IF(K825&gt;0,K826/K825,"TBD"))</f>
        <v>TBD</v>
      </c>
      <c r="L827" s="676" t="s">
        <v>432</v>
      </c>
      <c r="M827" s="66"/>
      <c r="R827" s="146" t="s">
        <v>587</v>
      </c>
      <c r="S827" s="137" t="s">
        <v>588</v>
      </c>
      <c r="T827" s="146" t="str">
        <f>IF($O$805=1," (Pulses)"," (Percent)")</f>
        <v xml:space="preserve"> (Percent)</v>
      </c>
      <c r="U827" s="146" t="s">
        <v>652</v>
      </c>
      <c r="V827" s="146" t="s">
        <v>652</v>
      </c>
      <c r="W827" s="208" t="s">
        <v>652</v>
      </c>
      <c r="X827" s="664" t="s">
        <v>432</v>
      </c>
    </row>
    <row r="828" spans="1:24" ht="11.25" customHeight="1" thickBot="1">
      <c r="A828" s="611">
        <v>36</v>
      </c>
      <c r="B828" s="66"/>
      <c r="D828" s="49"/>
      <c r="E828" s="49"/>
      <c r="F828" s="49"/>
      <c r="G828" s="49"/>
      <c r="H828" s="49"/>
      <c r="I828" s="49"/>
      <c r="J828" s="49"/>
      <c r="K828" s="69"/>
      <c r="L828" s="676" t="s">
        <v>432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432</v>
      </c>
    </row>
    <row r="829" spans="1:24" ht="11.25" customHeight="1" thickBot="1">
      <c r="A829" s="611">
        <v>37</v>
      </c>
      <c r="B829" s="66"/>
      <c r="D829" s="49"/>
      <c r="E829" s="49"/>
      <c r="F829" s="49"/>
      <c r="G829" s="140" t="s">
        <v>590</v>
      </c>
      <c r="H829" s="141" t="str">
        <f>IF(M806&lt;&gt;1,"NA",IF(MIN(F814:F823)=0,"TBD",IF(OR(H814="NO",H815="NO",H816="NO",H817="NO",H818="NO",H819="NO",H820="NO",H821="NO",H822="NO",H823="NO"),"NO","YES")))</f>
        <v>NA</v>
      </c>
      <c r="I829" s="49"/>
      <c r="J829" s="277" t="s">
        <v>590</v>
      </c>
      <c r="K829" s="470" t="str">
        <f>IF(M806&lt;&gt;1,"NA",IF(K827="TBD","TBD",IF(K827&gt;=0.05,"NO","YES")))</f>
        <v>NA</v>
      </c>
      <c r="L829" s="676" t="s">
        <v>432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432</v>
      </c>
    </row>
    <row r="830" spans="1:24" ht="11.25" customHeight="1">
      <c r="A830" s="611">
        <v>38</v>
      </c>
      <c r="B830" s="102" t="s">
        <v>573</v>
      </c>
      <c r="C830" s="922" t="str">
        <f>IF(O833="","",IF(LEN(O833)&lt;=135,O833,IF(LEN(O833)&lt;=260,LEFT(O833,SEARCH(" ",O833,125)),LEFT(O833,SEARCH(" ",O833,130)))))</f>
        <v/>
      </c>
      <c r="D830" s="48"/>
      <c r="E830" s="48"/>
      <c r="F830" s="48"/>
      <c r="G830" s="48"/>
      <c r="H830" s="48"/>
      <c r="I830" s="48"/>
      <c r="J830" s="48"/>
      <c r="K830" s="69"/>
      <c r="L830" s="676" t="s">
        <v>432</v>
      </c>
      <c r="M830" s="66"/>
      <c r="R830" s="120">
        <f t="shared" si="121"/>
        <v>0.04</v>
      </c>
      <c r="S830" s="263" t="str">
        <f t="shared" si="122"/>
        <v/>
      </c>
      <c r="T830" s="777" t="str">
        <f t="shared" si="117"/>
        <v/>
      </c>
      <c r="U830" s="741" t="str">
        <f t="shared" si="118"/>
        <v/>
      </c>
      <c r="V830" s="741" t="str">
        <f t="shared" si="119"/>
        <v/>
      </c>
      <c r="W830" s="742" t="str">
        <f t="shared" si="120"/>
        <v/>
      </c>
      <c r="X830" s="664" t="s">
        <v>432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432</v>
      </c>
      <c r="M831" s="127"/>
      <c r="R831" s="120">
        <f t="shared" si="121"/>
        <v>0.1</v>
      </c>
      <c r="S831" s="263" t="str">
        <f t="shared" si="122"/>
        <v/>
      </c>
      <c r="T831" s="777" t="str">
        <f t="shared" si="117"/>
        <v/>
      </c>
      <c r="U831" s="741" t="str">
        <f t="shared" si="118"/>
        <v/>
      </c>
      <c r="V831" s="741" t="str">
        <f t="shared" si="119"/>
        <v/>
      </c>
      <c r="W831" s="742" t="str">
        <f t="shared" si="120"/>
        <v/>
      </c>
      <c r="X831" s="664" t="s">
        <v>432</v>
      </c>
    </row>
    <row r="832" spans="1:24" ht="11.25" customHeight="1">
      <c r="A832" s="611">
        <v>40</v>
      </c>
      <c r="B832" s="66"/>
      <c r="C832" s="922" t="str">
        <f>IF(LEN(O833)&lt;=265,"",RIGHT(O833,LEN(O833)-SEARCH(" ",O833,255)))</f>
        <v/>
      </c>
      <c r="D832" s="48"/>
      <c r="E832" s="48"/>
      <c r="F832" s="48"/>
      <c r="G832" s="48"/>
      <c r="H832" s="48"/>
      <c r="I832" s="48"/>
      <c r="J832" s="48"/>
      <c r="K832" s="69"/>
      <c r="L832" s="676" t="s">
        <v>432</v>
      </c>
      <c r="M832" s="85"/>
      <c r="R832" s="120">
        <f t="shared" si="121"/>
        <v>0.25</v>
      </c>
      <c r="S832" s="263" t="str">
        <f t="shared" si="122"/>
        <v/>
      </c>
      <c r="T832" s="777" t="str">
        <f t="shared" si="117"/>
        <v/>
      </c>
      <c r="U832" s="741" t="str">
        <f t="shared" si="118"/>
        <v/>
      </c>
      <c r="V832" s="741" t="str">
        <f t="shared" si="119"/>
        <v/>
      </c>
      <c r="W832" s="742" t="str">
        <f t="shared" si="120"/>
        <v/>
      </c>
      <c r="X832" s="664" t="s">
        <v>432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432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432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432</v>
      </c>
      <c r="M834" s="66"/>
      <c r="N834" s="49"/>
      <c r="O834" s="50"/>
      <c r="P834" s="49" t="s">
        <v>123</v>
      </c>
      <c r="Q834" s="49"/>
      <c r="R834" s="120" t="str">
        <f t="shared" si="121"/>
        <v/>
      </c>
      <c r="S834" s="263" t="str">
        <f t="shared" si="122"/>
        <v/>
      </c>
      <c r="T834" s="118" t="str">
        <f t="shared" si="117"/>
        <v/>
      </c>
      <c r="U834" s="741" t="str">
        <f t="shared" si="118"/>
        <v/>
      </c>
      <c r="V834" s="741" t="str">
        <f t="shared" si="119"/>
        <v/>
      </c>
      <c r="W834" s="742" t="str">
        <f t="shared" si="120"/>
        <v/>
      </c>
      <c r="X834" s="664" t="s">
        <v>432</v>
      </c>
    </row>
    <row r="835" spans="1:24" ht="11.25" customHeight="1">
      <c r="A835" s="611">
        <v>43</v>
      </c>
      <c r="B835" s="66"/>
      <c r="C835" s="922" t="str">
        <f>IF(LEN(O836)&lt;=265,"",RIGHT(O836,LEN(O836)-SEARCH(" ",O836,255)))</f>
        <v/>
      </c>
      <c r="D835" s="48"/>
      <c r="E835" s="48"/>
      <c r="F835" s="48"/>
      <c r="G835" s="48"/>
      <c r="H835" s="48"/>
      <c r="I835" s="48"/>
      <c r="J835" s="48"/>
      <c r="K835" s="69"/>
      <c r="L835" s="676" t="s">
        <v>432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432</v>
      </c>
    </row>
    <row r="836" spans="1:24" ht="11.25" customHeight="1">
      <c r="A836" s="611">
        <v>44</v>
      </c>
      <c r="B836" s="127"/>
      <c r="K836" s="69"/>
      <c r="L836" s="676" t="s">
        <v>432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432</v>
      </c>
    </row>
    <row r="837" spans="1:24" ht="11.25" customHeight="1">
      <c r="A837" s="611">
        <v>45</v>
      </c>
      <c r="B837" s="66"/>
      <c r="C837" s="340" t="s">
        <v>124</v>
      </c>
      <c r="D837" s="49"/>
      <c r="E837" s="49"/>
      <c r="F837" s="49"/>
      <c r="G837" s="49"/>
      <c r="H837" s="49"/>
      <c r="I837" s="49"/>
      <c r="J837" s="49"/>
      <c r="K837" s="69"/>
      <c r="L837" s="676" t="s">
        <v>432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432</v>
      </c>
    </row>
    <row r="838" spans="1:24" ht="11.25" customHeight="1">
      <c r="A838" s="611">
        <v>46</v>
      </c>
      <c r="B838" s="127"/>
      <c r="C838" s="49" t="s">
        <v>481</v>
      </c>
      <c r="D838" s="49"/>
      <c r="E838" s="49"/>
      <c r="F838" s="49"/>
      <c r="G838" s="49" t="s">
        <v>481</v>
      </c>
      <c r="H838" s="49"/>
      <c r="I838" s="49"/>
      <c r="K838" s="69"/>
      <c r="L838" s="676" t="s">
        <v>432</v>
      </c>
      <c r="M838" s="66"/>
      <c r="N838" s="340" t="s">
        <v>124</v>
      </c>
      <c r="O838" s="49"/>
      <c r="P838" s="49"/>
      <c r="Q838" s="49"/>
      <c r="R838" s="49"/>
      <c r="S838" s="49"/>
      <c r="T838" s="49"/>
      <c r="U838" s="49"/>
      <c r="V838" s="49"/>
      <c r="W838" s="69"/>
      <c r="X838" s="664" t="s">
        <v>432</v>
      </c>
    </row>
    <row r="839" spans="1:24" ht="11.25" customHeight="1">
      <c r="A839" s="611">
        <v>47</v>
      </c>
      <c r="B839" s="127"/>
      <c r="C839" s="48" t="s">
        <v>125</v>
      </c>
      <c r="D839" s="217" t="s">
        <v>126</v>
      </c>
      <c r="E839" s="217" t="s">
        <v>127</v>
      </c>
      <c r="F839" s="49"/>
      <c r="G839" s="48" t="s">
        <v>125</v>
      </c>
      <c r="H839" s="217" t="s">
        <v>596</v>
      </c>
      <c r="I839" s="217" t="s">
        <v>127</v>
      </c>
      <c r="J839" s="49"/>
      <c r="K839" s="69"/>
      <c r="L839" s="676" t="s">
        <v>432</v>
      </c>
      <c r="M839" s="66"/>
      <c r="N839" s="49" t="s">
        <v>481</v>
      </c>
      <c r="O839" s="49"/>
      <c r="P839" s="49"/>
      <c r="Q839" s="49"/>
      <c r="R839" s="49" t="s">
        <v>481</v>
      </c>
      <c r="S839" s="49"/>
      <c r="T839" s="49"/>
      <c r="U839" s="49"/>
      <c r="V839" s="49"/>
      <c r="W839" s="69"/>
      <c r="X839" s="664" t="s">
        <v>432</v>
      </c>
    </row>
    <row r="840" spans="1:24" ht="11.25" customHeight="1">
      <c r="A840" s="611">
        <v>48</v>
      </c>
      <c r="B840" s="85"/>
      <c r="C840" s="49" t="s">
        <v>128</v>
      </c>
      <c r="D840" s="218" t="s">
        <v>1049</v>
      </c>
      <c r="E840" s="225">
        <v>0</v>
      </c>
      <c r="F840" s="50" t="s">
        <v>129</v>
      </c>
      <c r="G840" s="49" t="s">
        <v>130</v>
      </c>
      <c r="H840" s="218" t="s">
        <v>131</v>
      </c>
      <c r="I840" s="226">
        <v>0.15</v>
      </c>
      <c r="J840" s="49"/>
      <c r="K840" s="69"/>
      <c r="L840" s="676" t="s">
        <v>432</v>
      </c>
      <c r="M840" s="66"/>
      <c r="N840" s="48" t="s">
        <v>125</v>
      </c>
      <c r="O840" s="217" t="s">
        <v>126</v>
      </c>
      <c r="P840" s="217" t="s">
        <v>127</v>
      </c>
      <c r="Q840" s="49"/>
      <c r="R840" s="48" t="s">
        <v>125</v>
      </c>
      <c r="S840" s="217" t="s">
        <v>596</v>
      </c>
      <c r="T840" s="217" t="s">
        <v>127</v>
      </c>
      <c r="U840" s="49"/>
      <c r="V840" s="49"/>
      <c r="W840" s="69"/>
      <c r="X840" s="664" t="s">
        <v>432</v>
      </c>
    </row>
    <row r="841" spans="1:24" ht="11.25" customHeight="1">
      <c r="A841" s="611">
        <v>49</v>
      </c>
      <c r="B841" s="66"/>
      <c r="C841" s="49"/>
      <c r="D841" s="218" t="s">
        <v>1050</v>
      </c>
      <c r="E841" s="225">
        <v>1</v>
      </c>
      <c r="F841" s="50" t="s">
        <v>129</v>
      </c>
      <c r="G841" s="49"/>
      <c r="H841" s="227" t="s">
        <v>132</v>
      </c>
      <c r="I841" s="226">
        <v>0.1</v>
      </c>
      <c r="J841" s="49"/>
      <c r="K841" s="69"/>
      <c r="L841" s="676" t="s">
        <v>432</v>
      </c>
      <c r="M841" s="66"/>
      <c r="N841" s="49" t="s">
        <v>128</v>
      </c>
      <c r="O841" s="218" t="s">
        <v>1049</v>
      </c>
      <c r="P841" s="225">
        <v>0</v>
      </c>
      <c r="Q841" s="50" t="s">
        <v>129</v>
      </c>
      <c r="R841" s="49" t="s">
        <v>130</v>
      </c>
      <c r="S841" s="218" t="s">
        <v>131</v>
      </c>
      <c r="T841" s="226">
        <v>0.15</v>
      </c>
      <c r="U841" s="49"/>
      <c r="V841" s="49"/>
      <c r="W841" s="69"/>
      <c r="X841" s="664" t="s">
        <v>432</v>
      </c>
    </row>
    <row r="842" spans="1:24" ht="11.25" customHeight="1">
      <c r="A842" s="611">
        <v>50</v>
      </c>
      <c r="B842" s="66"/>
      <c r="C842" s="49"/>
      <c r="D842" s="218" t="s">
        <v>1047</v>
      </c>
      <c r="E842" s="225">
        <v>2</v>
      </c>
      <c r="F842" s="50" t="s">
        <v>129</v>
      </c>
      <c r="G842" s="49"/>
      <c r="H842" s="218" t="s">
        <v>133</v>
      </c>
      <c r="I842" s="226">
        <v>0.05</v>
      </c>
      <c r="J842" s="49"/>
      <c r="K842" s="69"/>
      <c r="L842" s="676" t="s">
        <v>432</v>
      </c>
      <c r="M842" s="66"/>
      <c r="N842" s="49"/>
      <c r="O842" s="218" t="s">
        <v>1050</v>
      </c>
      <c r="P842" s="225">
        <v>1</v>
      </c>
      <c r="Q842" s="50" t="s">
        <v>1046</v>
      </c>
      <c r="R842" s="49"/>
      <c r="S842" s="227" t="s">
        <v>132</v>
      </c>
      <c r="T842" s="226">
        <v>0.1</v>
      </c>
      <c r="U842" s="49"/>
      <c r="V842" s="49"/>
      <c r="W842" s="69"/>
      <c r="X842" s="664" t="s">
        <v>432</v>
      </c>
    </row>
    <row r="843" spans="1:24" ht="11.25" customHeight="1">
      <c r="A843" s="611">
        <v>51</v>
      </c>
      <c r="B843" s="66"/>
      <c r="C843" s="48"/>
      <c r="D843" s="217" t="s">
        <v>1048</v>
      </c>
      <c r="E843" s="216">
        <v>3</v>
      </c>
      <c r="F843" s="50" t="s">
        <v>129</v>
      </c>
      <c r="G843" s="75" t="s">
        <v>134</v>
      </c>
      <c r="H843" s="229" t="s">
        <v>131</v>
      </c>
      <c r="I843" s="230">
        <v>0.2</v>
      </c>
      <c r="J843" s="49"/>
      <c r="K843" s="69"/>
      <c r="L843" s="676" t="s">
        <v>432</v>
      </c>
      <c r="M843" s="66"/>
      <c r="N843" s="49"/>
      <c r="O843" s="218" t="s">
        <v>1047</v>
      </c>
      <c r="P843" s="225">
        <v>2</v>
      </c>
      <c r="Q843" s="50" t="s">
        <v>129</v>
      </c>
      <c r="R843" s="49"/>
      <c r="S843" s="218" t="s">
        <v>133</v>
      </c>
      <c r="T843" s="226">
        <v>0.05</v>
      </c>
      <c r="U843" s="49"/>
      <c r="V843" s="49"/>
      <c r="W843" s="69"/>
      <c r="X843" s="664" t="s">
        <v>432</v>
      </c>
    </row>
    <row r="844" spans="1:24" ht="11.25" customHeight="1">
      <c r="A844" s="611">
        <v>52</v>
      </c>
      <c r="B844" s="66"/>
      <c r="C844" s="49" t="s">
        <v>135</v>
      </c>
      <c r="D844" s="218" t="s">
        <v>131</v>
      </c>
      <c r="E844" s="226">
        <v>0.25</v>
      </c>
      <c r="F844" s="49"/>
      <c r="G844" s="49"/>
      <c r="H844" s="227" t="s">
        <v>132</v>
      </c>
      <c r="I844" s="226">
        <v>0.15</v>
      </c>
      <c r="J844" s="49"/>
      <c r="K844" s="69"/>
      <c r="L844" s="676" t="s">
        <v>432</v>
      </c>
      <c r="M844" s="66"/>
      <c r="N844" s="48"/>
      <c r="O844" s="217" t="s">
        <v>1048</v>
      </c>
      <c r="P844" s="216">
        <v>3</v>
      </c>
      <c r="Q844" s="50" t="s">
        <v>129</v>
      </c>
      <c r="R844" s="75" t="s">
        <v>134</v>
      </c>
      <c r="S844" s="229" t="s">
        <v>131</v>
      </c>
      <c r="T844" s="230">
        <v>0.2</v>
      </c>
      <c r="U844" s="49"/>
      <c r="V844" s="49"/>
      <c r="W844" s="69"/>
      <c r="X844" s="664" t="s">
        <v>432</v>
      </c>
    </row>
    <row r="845" spans="1:24" ht="11.25" customHeight="1">
      <c r="A845" s="611">
        <v>53</v>
      </c>
      <c r="B845" s="66"/>
      <c r="C845" s="49"/>
      <c r="D845" s="227" t="s">
        <v>136</v>
      </c>
      <c r="E845" s="226">
        <v>0.2</v>
      </c>
      <c r="F845" s="49"/>
      <c r="G845" s="49"/>
      <c r="H845" s="227" t="s">
        <v>137</v>
      </c>
      <c r="I845" s="226">
        <v>0.1</v>
      </c>
      <c r="J845" s="49"/>
      <c r="K845" s="69"/>
      <c r="L845" s="676" t="s">
        <v>432</v>
      </c>
      <c r="M845" s="66"/>
      <c r="N845" s="49" t="s">
        <v>135</v>
      </c>
      <c r="O845" s="218" t="s">
        <v>131</v>
      </c>
      <c r="P845" s="226">
        <v>0.25</v>
      </c>
      <c r="Q845" s="49"/>
      <c r="R845" s="49"/>
      <c r="S845" s="227" t="s">
        <v>132</v>
      </c>
      <c r="T845" s="226">
        <v>0.15</v>
      </c>
      <c r="U845" s="49"/>
      <c r="V845" s="49"/>
      <c r="W845" s="69"/>
      <c r="X845" s="664" t="s">
        <v>432</v>
      </c>
    </row>
    <row r="846" spans="1:24" ht="11.25" customHeight="1">
      <c r="A846" s="611">
        <v>54</v>
      </c>
      <c r="B846" s="66"/>
      <c r="C846" s="49"/>
      <c r="D846" s="227" t="s">
        <v>138</v>
      </c>
      <c r="E846" s="226">
        <v>0.15</v>
      </c>
      <c r="F846" s="49"/>
      <c r="G846" s="49"/>
      <c r="H846" s="218" t="s">
        <v>139</v>
      </c>
      <c r="I846" s="226">
        <v>0.05</v>
      </c>
      <c r="J846" s="49"/>
      <c r="K846" s="69"/>
      <c r="L846" s="676" t="s">
        <v>432</v>
      </c>
      <c r="M846" s="66"/>
      <c r="N846" s="49"/>
      <c r="O846" s="227" t="s">
        <v>136</v>
      </c>
      <c r="P846" s="226">
        <v>0.2</v>
      </c>
      <c r="Q846" s="49"/>
      <c r="R846" s="49"/>
      <c r="S846" s="227" t="s">
        <v>137</v>
      </c>
      <c r="T846" s="226">
        <v>0.1</v>
      </c>
      <c r="U846" s="49"/>
      <c r="V846" s="49"/>
      <c r="W846" s="69"/>
      <c r="X846" s="664" t="s">
        <v>432</v>
      </c>
    </row>
    <row r="847" spans="1:24" ht="11.25" customHeight="1">
      <c r="A847" s="611">
        <v>55</v>
      </c>
      <c r="B847" s="66"/>
      <c r="C847" s="49"/>
      <c r="D847" s="227" t="s">
        <v>140</v>
      </c>
      <c r="E847" s="226">
        <v>0.1</v>
      </c>
      <c r="F847" s="49"/>
      <c r="G847" s="49"/>
      <c r="H847" s="49"/>
      <c r="I847" s="49"/>
      <c r="J847" s="49"/>
      <c r="K847" s="69"/>
      <c r="L847" s="676" t="s">
        <v>432</v>
      </c>
      <c r="M847" s="66"/>
      <c r="N847" s="49"/>
      <c r="O847" s="227" t="s">
        <v>138</v>
      </c>
      <c r="P847" s="226">
        <v>0.15</v>
      </c>
      <c r="Q847" s="49"/>
      <c r="R847" s="49"/>
      <c r="S847" s="218" t="s">
        <v>139</v>
      </c>
      <c r="T847" s="226">
        <v>0.05</v>
      </c>
      <c r="U847" s="49"/>
      <c r="V847" s="49"/>
      <c r="W847" s="69"/>
      <c r="X847" s="664" t="s">
        <v>432</v>
      </c>
    </row>
    <row r="848" spans="1:24" ht="11.25" customHeight="1">
      <c r="A848" s="611">
        <v>56</v>
      </c>
      <c r="B848" s="66"/>
      <c r="C848" s="49"/>
      <c r="D848" s="218" t="s">
        <v>139</v>
      </c>
      <c r="E848" s="226">
        <v>0.05</v>
      </c>
      <c r="F848" s="49"/>
      <c r="G848" s="49"/>
      <c r="H848" s="49"/>
      <c r="I848" s="49"/>
      <c r="J848" s="49"/>
      <c r="K848" s="69"/>
      <c r="L848" s="676" t="s">
        <v>432</v>
      </c>
      <c r="M848" s="66"/>
      <c r="N848" s="49"/>
      <c r="O848" s="227" t="s">
        <v>140</v>
      </c>
      <c r="P848" s="226">
        <v>0.1</v>
      </c>
      <c r="Q848" s="49"/>
      <c r="R848" s="49"/>
      <c r="S848" s="49"/>
      <c r="T848" s="49"/>
      <c r="U848" s="49"/>
      <c r="V848" s="49"/>
      <c r="W848" s="69"/>
      <c r="X848" s="664" t="s">
        <v>432</v>
      </c>
    </row>
    <row r="849" spans="1:24" ht="11.25" customHeight="1">
      <c r="A849" s="611">
        <v>57</v>
      </c>
      <c r="B849" s="66"/>
      <c r="C849" s="49" t="s">
        <v>141</v>
      </c>
      <c r="D849" s="218" t="s">
        <v>142</v>
      </c>
      <c r="E849" s="547" t="s">
        <v>144</v>
      </c>
      <c r="F849" s="50" t="s">
        <v>129</v>
      </c>
      <c r="J849" s="49"/>
      <c r="K849" s="69"/>
      <c r="L849" s="676" t="s">
        <v>432</v>
      </c>
      <c r="M849" s="66"/>
      <c r="N849" s="48"/>
      <c r="O849" s="217" t="s">
        <v>139</v>
      </c>
      <c r="P849" s="228">
        <v>0.05</v>
      </c>
      <c r="Q849" s="49"/>
      <c r="R849" s="49"/>
      <c r="S849" s="49"/>
      <c r="T849" s="49"/>
      <c r="U849" s="49"/>
      <c r="V849" s="49"/>
      <c r="W849" s="69"/>
      <c r="X849" s="664" t="s">
        <v>432</v>
      </c>
    </row>
    <row r="850" spans="1:24" ht="11.25" customHeight="1">
      <c r="A850" s="611">
        <v>58</v>
      </c>
      <c r="B850" s="66"/>
      <c r="C850" s="48"/>
      <c r="D850" s="217" t="s">
        <v>142</v>
      </c>
      <c r="E850" s="546" t="s">
        <v>162</v>
      </c>
      <c r="F850" s="49"/>
      <c r="J850" s="49"/>
      <c r="K850" s="69"/>
      <c r="L850" s="676" t="s">
        <v>432</v>
      </c>
      <c r="M850" s="66"/>
      <c r="N850" s="49" t="s">
        <v>141</v>
      </c>
      <c r="O850" s="218" t="s">
        <v>142</v>
      </c>
      <c r="P850" s="547" t="s">
        <v>143</v>
      </c>
      <c r="Q850" s="50" t="s">
        <v>129</v>
      </c>
      <c r="R850" s="49"/>
      <c r="S850" s="49"/>
      <c r="T850" s="49"/>
      <c r="U850" s="49"/>
      <c r="V850" s="49"/>
      <c r="W850" s="69"/>
      <c r="X850" s="664" t="s">
        <v>432</v>
      </c>
    </row>
    <row r="851" spans="1:24" ht="11.25" customHeight="1" thickBot="1">
      <c r="A851" s="611">
        <v>59</v>
      </c>
      <c r="B851" s="72"/>
      <c r="C851" s="73"/>
      <c r="D851" s="73"/>
      <c r="E851" s="73"/>
      <c r="F851" s="73"/>
      <c r="G851" s="73"/>
      <c r="H851" s="73"/>
      <c r="I851" s="73"/>
      <c r="J851" s="73"/>
      <c r="K851" s="74"/>
      <c r="L851" s="676" t="s">
        <v>432</v>
      </c>
      <c r="M851" s="66"/>
      <c r="N851" s="48"/>
      <c r="O851" s="217" t="s">
        <v>142</v>
      </c>
      <c r="P851" s="546" t="s">
        <v>145</v>
      </c>
      <c r="Q851" s="49"/>
      <c r="R851" s="49"/>
      <c r="S851" s="49"/>
      <c r="T851" s="49"/>
      <c r="U851" s="49"/>
      <c r="V851" s="49"/>
      <c r="W851" s="69"/>
      <c r="X851" s="664" t="s">
        <v>432</v>
      </c>
    </row>
    <row r="852" spans="1:24" ht="11.25" customHeight="1" thickTop="1">
      <c r="A852" s="611">
        <v>60</v>
      </c>
      <c r="L852" s="676" t="s">
        <v>432</v>
      </c>
      <c r="M852" s="66"/>
      <c r="N852" s="49"/>
      <c r="O852" s="49"/>
      <c r="P852" s="49"/>
      <c r="Q852" s="49"/>
      <c r="R852" s="49"/>
      <c r="S852" s="49"/>
      <c r="T852" s="49"/>
      <c r="U852" s="49"/>
      <c r="V852" s="49"/>
      <c r="W852" s="69"/>
      <c r="X852" s="664" t="s">
        <v>432</v>
      </c>
    </row>
    <row r="853" spans="1:24" ht="11.25" customHeight="1" thickBot="1">
      <c r="A853" s="611">
        <v>61</v>
      </c>
      <c r="L853" s="676" t="s">
        <v>432</v>
      </c>
      <c r="M853" s="72"/>
      <c r="N853" s="73"/>
      <c r="O853" s="73"/>
      <c r="P853" s="73"/>
      <c r="Q853" s="73"/>
      <c r="R853" s="73"/>
      <c r="S853" s="73"/>
      <c r="T853" s="73"/>
      <c r="U853" s="73"/>
      <c r="V853" s="73"/>
      <c r="W853" s="74"/>
      <c r="X853" s="664" t="s">
        <v>432</v>
      </c>
    </row>
    <row r="854" spans="1:24" ht="11.25" customHeight="1" thickTop="1">
      <c r="A854" s="611">
        <v>62</v>
      </c>
      <c r="B854" s="49"/>
      <c r="C854" s="49"/>
      <c r="D854" s="49"/>
      <c r="E854" s="49"/>
      <c r="F854" s="49"/>
      <c r="G854" s="49"/>
      <c r="H854" s="49"/>
      <c r="I854" s="49"/>
      <c r="J854" s="49"/>
      <c r="K854" s="49"/>
      <c r="L854" s="676" t="s">
        <v>432</v>
      </c>
      <c r="M854" s="49"/>
      <c r="N854" s="49"/>
      <c r="O854" s="49"/>
      <c r="P854" s="49"/>
      <c r="Q854" s="49"/>
      <c r="R854" s="49"/>
      <c r="S854" s="49"/>
      <c r="T854" s="49"/>
      <c r="U854" s="49"/>
      <c r="V854" s="49"/>
      <c r="W854" s="49"/>
      <c r="X854" s="664" t="s">
        <v>432</v>
      </c>
    </row>
    <row r="855" spans="1:24" ht="11.25" customHeight="1">
      <c r="A855" s="611">
        <v>63</v>
      </c>
      <c r="B855" s="49"/>
      <c r="C855" s="49"/>
      <c r="D855" s="49"/>
      <c r="E855" s="49"/>
      <c r="F855" s="49"/>
      <c r="G855" s="49"/>
      <c r="H855" s="49"/>
      <c r="I855" s="49"/>
      <c r="J855" s="49"/>
      <c r="K855" s="49"/>
      <c r="L855" s="676" t="s">
        <v>432</v>
      </c>
      <c r="M855" s="49"/>
      <c r="N855" s="49"/>
      <c r="O855" s="49"/>
      <c r="P855" s="49"/>
      <c r="Q855" s="49"/>
      <c r="R855" s="49"/>
      <c r="S855" s="49"/>
      <c r="T855" s="49"/>
      <c r="U855" s="49"/>
      <c r="V855" s="49"/>
      <c r="W855" s="49"/>
      <c r="X855" s="664" t="s">
        <v>432</v>
      </c>
    </row>
    <row r="856" spans="1:24" ht="11.25" customHeight="1">
      <c r="A856" s="611">
        <v>64</v>
      </c>
      <c r="B856" s="49"/>
      <c r="C856" s="49"/>
      <c r="D856" s="49"/>
      <c r="E856" s="49"/>
      <c r="F856" s="49"/>
      <c r="G856" s="49"/>
      <c r="H856" s="49"/>
      <c r="I856" s="49"/>
      <c r="J856" s="49"/>
      <c r="K856" s="49"/>
      <c r="L856" s="676" t="s">
        <v>432</v>
      </c>
      <c r="M856" s="49"/>
      <c r="N856" s="49"/>
      <c r="O856" s="49"/>
      <c r="P856" s="49"/>
      <c r="Q856" s="49"/>
      <c r="R856" s="49"/>
      <c r="S856" s="49"/>
      <c r="T856" s="49"/>
      <c r="U856" s="49"/>
      <c r="V856" s="49"/>
      <c r="W856" s="49"/>
      <c r="X856" s="664" t="s">
        <v>432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432</v>
      </c>
      <c r="M857" s="49"/>
      <c r="N857" s="49"/>
      <c r="O857" s="49"/>
      <c r="P857" s="49"/>
      <c r="Q857" s="49"/>
      <c r="R857" s="49"/>
      <c r="S857" s="49"/>
      <c r="T857" s="49"/>
      <c r="U857" s="49"/>
      <c r="V857" s="49"/>
      <c r="W857" s="49"/>
      <c r="X857" s="664" t="s">
        <v>432</v>
      </c>
    </row>
    <row r="858" spans="1:24" ht="11.25" customHeight="1">
      <c r="A858" s="611">
        <v>66</v>
      </c>
      <c r="B858" s="52" t="str">
        <v>Room Number:</v>
      </c>
      <c r="C858" s="373" t="str">
        <v/>
      </c>
      <c r="D858" s="49"/>
      <c r="E858" s="49"/>
      <c r="F858" s="49"/>
      <c r="G858" s="49"/>
      <c r="H858" s="49"/>
      <c r="I858" s="52" t="str">
        <v>Survey ID:</v>
      </c>
      <c r="J858" s="1045" t="str">
        <v/>
      </c>
      <c r="L858" s="676" t="s">
        <v>432</v>
      </c>
      <c r="M858" s="49"/>
      <c r="N858" s="49"/>
      <c r="O858" s="49"/>
      <c r="P858" s="49"/>
      <c r="Q858" s="49"/>
      <c r="R858" s="49"/>
      <c r="S858" s="49"/>
      <c r="T858" s="49"/>
      <c r="U858" s="49"/>
      <c r="V858" s="49"/>
      <c r="W858" s="49"/>
      <c r="X858" s="664" t="s">
        <v>432</v>
      </c>
    </row>
    <row r="859" spans="1:24" ht="11.25" customHeight="1">
      <c r="A859" s="611">
        <v>1</v>
      </c>
      <c r="K859" s="131" t="str">
        <f>$F$2</f>
        <v>Medical University of South Carolina</v>
      </c>
      <c r="L859" s="676" t="s">
        <v>432</v>
      </c>
      <c r="W859" s="131" t="str">
        <f>$F$2</f>
        <v>Medical University of South Carolina</v>
      </c>
      <c r="X859" s="664" t="s">
        <v>432</v>
      </c>
    </row>
    <row r="860" spans="1:24" ht="11.25" customHeight="1">
      <c r="A860" s="611">
        <v>2</v>
      </c>
      <c r="F860" s="82" t="str">
        <f>$F$464</f>
        <v>Measurement Data</v>
      </c>
      <c r="K860" s="132" t="str">
        <f>$F$5</f>
        <v>Radiographic System Compliance Inspection</v>
      </c>
      <c r="L860" s="676" t="s">
        <v>432</v>
      </c>
      <c r="R860" s="82" t="str">
        <f>$F$464</f>
        <v>Measurement Data</v>
      </c>
      <c r="W860" s="132" t="str">
        <f>$F$5</f>
        <v>Radiographic System Compliance Inspection</v>
      </c>
      <c r="X860" s="664" t="s">
        <v>432</v>
      </c>
    </row>
    <row r="861" spans="1:24" ht="11.25" customHeight="1" thickBot="1">
      <c r="A861" s="611">
        <v>3</v>
      </c>
      <c r="L861" s="676" t="s">
        <v>432</v>
      </c>
      <c r="X861" s="664" t="s">
        <v>432</v>
      </c>
    </row>
    <row r="862" spans="1:24" ht="11.25" customHeight="1" thickTop="1">
      <c r="A862" s="611">
        <v>4</v>
      </c>
      <c r="B862" s="79"/>
      <c r="C862" s="62"/>
      <c r="D862" s="62"/>
      <c r="E862" s="62"/>
      <c r="F862" s="62"/>
      <c r="G862" s="62"/>
      <c r="H862" s="62"/>
      <c r="I862" s="62"/>
      <c r="J862" s="62"/>
      <c r="K862" s="80"/>
      <c r="L862" s="676" t="s">
        <v>432</v>
      </c>
      <c r="M862" s="79"/>
      <c r="N862" s="62"/>
      <c r="O862" s="62"/>
      <c r="P862" s="62"/>
      <c r="Q862" s="62"/>
      <c r="R862" s="62"/>
      <c r="S862" s="62"/>
      <c r="T862" s="62"/>
      <c r="U862" s="62"/>
      <c r="V862" s="62"/>
      <c r="W862" s="80"/>
      <c r="X862" s="664" t="s">
        <v>432</v>
      </c>
    </row>
    <row r="863" spans="1:24" ht="11.25" customHeight="1">
      <c r="A863" s="611">
        <v>5</v>
      </c>
      <c r="B863" s="127"/>
      <c r="C863" s="54" t="s">
        <v>67</v>
      </c>
      <c r="D863" s="59" t="str">
        <f>IF($O$687="","",$O$687)</f>
        <v>Piranha 1 CB2-17090320</v>
      </c>
      <c r="E863" s="48"/>
      <c r="F863" s="48"/>
      <c r="K863" s="71"/>
      <c r="L863" s="676" t="s">
        <v>432</v>
      </c>
      <c r="M863" s="160"/>
      <c r="N863" s="54" t="s">
        <v>67</v>
      </c>
      <c r="O863" s="59" t="str">
        <f>IF($O$687="","",$O$687)</f>
        <v>Piranha 1 CB2-17090320</v>
      </c>
      <c r="P863" s="48"/>
      <c r="Q863" s="48"/>
      <c r="T863" s="1"/>
      <c r="U863" s="1"/>
      <c r="V863" s="1"/>
      <c r="W863" s="39"/>
      <c r="X863" s="664" t="s">
        <v>432</v>
      </c>
    </row>
    <row r="864" spans="1:24" ht="11.25" customHeight="1">
      <c r="A864" s="611">
        <v>6</v>
      </c>
      <c r="B864" s="127"/>
      <c r="K864" s="71"/>
      <c r="L864" s="676" t="s">
        <v>432</v>
      </c>
      <c r="M864" s="45"/>
      <c r="N864" s="1"/>
      <c r="O864" s="37"/>
      <c r="P864" s="1"/>
      <c r="Q864" s="1"/>
      <c r="R864" s="1"/>
      <c r="S864" s="1"/>
      <c r="T864" s="1"/>
      <c r="U864" s="1"/>
      <c r="V864" s="1"/>
      <c r="W864" s="39"/>
      <c r="X864" s="664" t="s">
        <v>432</v>
      </c>
    </row>
    <row r="865" spans="1:24" ht="11.25" customHeight="1">
      <c r="A865" s="611">
        <v>7</v>
      </c>
      <c r="B865" s="127"/>
      <c r="C865" s="53"/>
      <c r="K865" s="71"/>
      <c r="L865" s="676" t="s">
        <v>432</v>
      </c>
      <c r="M865" s="191" t="s">
        <v>681</v>
      </c>
      <c r="N865" s="53"/>
      <c r="O865" s="53"/>
      <c r="W865" s="71"/>
      <c r="X865" s="664" t="s">
        <v>432</v>
      </c>
    </row>
    <row r="866" spans="1:24" ht="11.25" customHeight="1">
      <c r="A866" s="611">
        <v>8</v>
      </c>
      <c r="B866" s="191" t="s">
        <v>681</v>
      </c>
      <c r="E866" s="54" t="s">
        <v>627</v>
      </c>
      <c r="F866" s="61">
        <f>IF(Q870="","",Q870)</f>
        <v>80</v>
      </c>
      <c r="G866" s="54" t="s">
        <v>163</v>
      </c>
      <c r="H866" s="48" t="str">
        <f>IF(P870="","",P870)</f>
        <v/>
      </c>
      <c r="J866" s="49"/>
      <c r="K866" s="69"/>
      <c r="L866" s="676" t="s">
        <v>432</v>
      </c>
      <c r="M866" s="66"/>
      <c r="N866" s="49"/>
      <c r="O866" s="49"/>
      <c r="P866" s="49"/>
      <c r="Q866" s="49"/>
      <c r="R866" s="49"/>
      <c r="S866" s="49"/>
      <c r="T866" s="49"/>
      <c r="U866" s="49"/>
      <c r="V866" s="49"/>
      <c r="W866" s="69"/>
      <c r="X866" s="664" t="s">
        <v>432</v>
      </c>
    </row>
    <row r="867" spans="1:24" ht="11.25" customHeight="1">
      <c r="A867" s="611">
        <v>9</v>
      </c>
      <c r="B867" s="66"/>
      <c r="C867" s="49"/>
      <c r="D867" s="49"/>
      <c r="E867" s="54" t="s">
        <v>91</v>
      </c>
      <c r="F867" s="48">
        <f>IF(N870="","",N870)</f>
        <v>100</v>
      </c>
      <c r="G867" s="50" t="str">
        <f>LFSDD</f>
        <v>cm</v>
      </c>
      <c r="H867" s="49"/>
      <c r="I867" s="49"/>
      <c r="J867" s="49" t="s">
        <v>164</v>
      </c>
      <c r="K867" s="69"/>
      <c r="L867" s="676" t="s">
        <v>432</v>
      </c>
      <c r="M867" s="66"/>
      <c r="N867" s="49"/>
      <c r="O867" s="49"/>
      <c r="P867" s="49"/>
      <c r="Q867" s="49"/>
      <c r="R867" s="49"/>
      <c r="S867" s="49"/>
      <c r="T867" s="49"/>
      <c r="U867" s="49"/>
      <c r="V867" s="49"/>
      <c r="W867" s="69"/>
      <c r="X867" s="664" t="s">
        <v>432</v>
      </c>
    </row>
    <row r="868" spans="1:24" ht="11.25" customHeight="1" thickBot="1">
      <c r="A868" s="611">
        <v>10</v>
      </c>
      <c r="B868" s="66" t="s">
        <v>75</v>
      </c>
      <c r="C868" s="117"/>
      <c r="D868" s="122" t="s">
        <v>80</v>
      </c>
      <c r="E868" s="66"/>
      <c r="F868" s="50" t="s">
        <v>81</v>
      </c>
      <c r="G868" s="49"/>
      <c r="H868" s="49"/>
      <c r="I868" s="49" t="s">
        <v>1081</v>
      </c>
      <c r="J868" s="117" t="s">
        <v>165</v>
      </c>
      <c r="K868" s="69"/>
      <c r="L868" s="676" t="s">
        <v>432</v>
      </c>
      <c r="M868" s="66" t="s">
        <v>531</v>
      </c>
      <c r="N868" s="218" t="s">
        <v>99</v>
      </c>
      <c r="O868" s="218" t="s">
        <v>77</v>
      </c>
      <c r="P868" s="218" t="s">
        <v>78</v>
      </c>
      <c r="Q868" s="49"/>
      <c r="R868" s="218"/>
      <c r="S868" s="122" t="s">
        <v>80</v>
      </c>
      <c r="T868" s="49"/>
      <c r="U868" s="50" t="s">
        <v>81</v>
      </c>
      <c r="V868" s="49"/>
      <c r="W868" s="69"/>
      <c r="X868" s="664" t="s">
        <v>432</v>
      </c>
    </row>
    <row r="869" spans="1:24" ht="11.25" customHeight="1" thickBot="1">
      <c r="A869" s="611">
        <v>11</v>
      </c>
      <c r="B869" s="219" t="s">
        <v>82</v>
      </c>
      <c r="C869" s="146" t="str">
        <f>IF(LFMAS="","mA/mAs",LFMAS)</f>
        <v>mA</v>
      </c>
      <c r="D869" s="208" t="s">
        <v>85</v>
      </c>
      <c r="E869" s="219" t="s">
        <v>86</v>
      </c>
      <c r="F869" s="138" t="s">
        <v>87</v>
      </c>
      <c r="G869" s="138" t="s">
        <v>85</v>
      </c>
      <c r="H869" s="138" t="s">
        <v>1080</v>
      </c>
      <c r="I869" s="231" t="s">
        <v>166</v>
      </c>
      <c r="J869" s="137" t="s">
        <v>69</v>
      </c>
      <c r="K869" s="280" t="s">
        <v>652</v>
      </c>
      <c r="L869" s="676" t="s">
        <v>432</v>
      </c>
      <c r="M869" s="219" t="s">
        <v>82</v>
      </c>
      <c r="N869" s="138" t="str">
        <f>LFSDD</f>
        <v>cm</v>
      </c>
      <c r="O869" s="138" t="s">
        <v>83</v>
      </c>
      <c r="P869" s="138" t="s">
        <v>68</v>
      </c>
      <c r="Q869" s="138" t="s">
        <v>84</v>
      </c>
      <c r="R869" s="138" t="str">
        <f>IF(AND(LFMAS="",SFMAS=""),"mA/mAs",IF(O870="Large",LFMAS,SFMAS))</f>
        <v>mA</v>
      </c>
      <c r="S869" s="208" t="s">
        <v>85</v>
      </c>
      <c r="T869" s="138" t="s">
        <v>86</v>
      </c>
      <c r="U869" s="138" t="s">
        <v>87</v>
      </c>
      <c r="V869" s="138" t="s">
        <v>85</v>
      </c>
      <c r="W869" s="208" t="s">
        <v>1080</v>
      </c>
      <c r="X869" s="664" t="s">
        <v>432</v>
      </c>
    </row>
    <row r="870" spans="1:24" ht="11.25" customHeight="1">
      <c r="A870" s="611">
        <v>12</v>
      </c>
      <c r="B870" s="281" t="s">
        <v>167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64" t="str">
        <f>IF(OR(I870="",I871=""),"",(MAX(I870:I871)-MIN(I870:I871))/(MAX(I870:I871)+MIN(I870:I871)))</f>
        <v/>
      </c>
      <c r="K870" s="282" t="s">
        <v>168</v>
      </c>
      <c r="L870" s="676" t="s">
        <v>432</v>
      </c>
      <c r="M870" s="281" t="s">
        <v>167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432</v>
      </c>
    </row>
    <row r="871" spans="1:24" ht="11.25" customHeight="1" thickBot="1">
      <c r="A871" s="611">
        <v>13</v>
      </c>
      <c r="B871" s="219" t="s">
        <v>167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66"/>
      <c r="K871" s="283" t="str">
        <f>IF(J870="","TBD",IF(J870&gt;0.1,"NO","YES"))</f>
        <v>TBD</v>
      </c>
      <c r="L871" s="676" t="s">
        <v>432</v>
      </c>
      <c r="M871" s="219" t="s">
        <v>167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432</v>
      </c>
    </row>
    <row r="872" spans="1:24" ht="11.25" customHeight="1">
      <c r="A872" s="611">
        <v>14</v>
      </c>
      <c r="B872" s="106" t="s">
        <v>169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64" t="str">
        <f>IF(OR(I870="",I872=""),"",(MAX(I870:I874)-MIN(I870:I874))/(MAX(I870:I874)+MIN(I870:I874)))</f>
        <v/>
      </c>
      <c r="K872" s="284"/>
      <c r="L872" s="676" t="s">
        <v>432</v>
      </c>
      <c r="M872" s="106" t="s">
        <v>169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432</v>
      </c>
    </row>
    <row r="873" spans="1:24" ht="11.25" customHeight="1">
      <c r="A873" s="611">
        <v>15</v>
      </c>
      <c r="B873" s="106" t="s">
        <v>169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65"/>
      <c r="K873" s="282" t="s">
        <v>169</v>
      </c>
      <c r="L873" s="676" t="s">
        <v>432</v>
      </c>
      <c r="M873" s="106" t="s">
        <v>169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432</v>
      </c>
    </row>
    <row r="874" spans="1:24" ht="11.25" customHeight="1" thickBot="1">
      <c r="A874" s="611">
        <v>16</v>
      </c>
      <c r="B874" s="219" t="s">
        <v>169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66"/>
      <c r="K874" s="283" t="str">
        <f>IF(J872="","TBD",IF(J872&gt;0.1,"NO","YES"))</f>
        <v>TBD</v>
      </c>
      <c r="L874" s="676" t="s">
        <v>432</v>
      </c>
      <c r="M874" s="219" t="s">
        <v>169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432</v>
      </c>
    </row>
    <row r="875" spans="1:24" ht="11.25" customHeight="1" thickBot="1">
      <c r="A875" s="611">
        <v>17</v>
      </c>
      <c r="B875" s="85" t="s">
        <v>170</v>
      </c>
      <c r="C875" s="49"/>
      <c r="D875" s="49"/>
      <c r="E875" s="49"/>
      <c r="F875" s="49"/>
      <c r="G875" s="49"/>
      <c r="H875" s="49"/>
      <c r="I875" s="54"/>
      <c r="J875" s="49"/>
      <c r="K875" s="69"/>
      <c r="L875" s="676" t="s">
        <v>432</v>
      </c>
      <c r="M875" s="85" t="s">
        <v>170</v>
      </c>
      <c r="N875" s="49"/>
      <c r="O875" s="49"/>
      <c r="P875" s="49"/>
      <c r="Q875" s="49"/>
      <c r="R875" s="49"/>
      <c r="S875" s="49"/>
      <c r="T875" s="49"/>
      <c r="U875" s="49"/>
      <c r="V875" s="49"/>
      <c r="W875" s="69"/>
      <c r="X875" s="664" t="s">
        <v>432</v>
      </c>
    </row>
    <row r="876" spans="1:24" ht="11.25" customHeight="1" thickBot="1">
      <c r="A876" s="611">
        <v>18</v>
      </c>
      <c r="B876" s="66"/>
      <c r="C876" s="49"/>
      <c r="D876" s="49"/>
      <c r="E876" s="49"/>
      <c r="F876" s="49"/>
      <c r="G876" s="49"/>
      <c r="H876" s="49"/>
      <c r="I876" s="49"/>
      <c r="J876" s="49"/>
      <c r="K876" s="69"/>
      <c r="L876" s="676" t="s">
        <v>432</v>
      </c>
      <c r="M876" s="66"/>
      <c r="N876" s="49"/>
      <c r="O876" s="49"/>
      <c r="P876" s="49"/>
      <c r="Q876" s="49"/>
      <c r="R876" s="49"/>
      <c r="S876" s="49"/>
      <c r="T876" s="49"/>
      <c r="U876" s="49"/>
      <c r="V876" s="1029" t="s">
        <v>652</v>
      </c>
      <c r="W876" s="70"/>
      <c r="X876" s="664" t="s">
        <v>432</v>
      </c>
    </row>
    <row r="877" spans="1:24" ht="11.25" customHeight="1">
      <c r="A877" s="611">
        <v>19</v>
      </c>
      <c r="B877" s="102" t="s">
        <v>573</v>
      </c>
      <c r="C877" s="922" t="str">
        <f>IF(O877="","",IF(LEN(O877)&lt;=135,O877,IF(LEN(O877)&lt;=260,LEFT(O877,SEARCH(" ",O877,125)),LEFT(O877,SEARCH(" ",O877,130)))))</f>
        <v/>
      </c>
      <c r="D877" s="48"/>
      <c r="E877" s="48"/>
      <c r="F877" s="224"/>
      <c r="G877" s="48"/>
      <c r="H877" s="48"/>
      <c r="I877" s="48"/>
      <c r="J877" s="48"/>
      <c r="K877" s="69"/>
      <c r="L877" s="676" t="s">
        <v>432</v>
      </c>
      <c r="M877" s="127"/>
      <c r="N877" s="577" t="s">
        <v>573</v>
      </c>
      <c r="O877" s="713" t="str">
        <f>IF(O879&lt;&gt;"",O879,IF(OR(AB447=0,AB447=""),"",AB447))</f>
        <v/>
      </c>
      <c r="P877" s="48"/>
      <c r="Q877" s="48"/>
      <c r="R877" s="48"/>
      <c r="S877" s="48"/>
      <c r="T877" s="48"/>
      <c r="U877" s="48"/>
      <c r="V877" s="1136" t="s">
        <v>168</v>
      </c>
      <c r="W877" s="70"/>
      <c r="X877" s="664" t="s">
        <v>432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432</v>
      </c>
      <c r="M878" s="85"/>
      <c r="N878" s="609" t="s">
        <v>303</v>
      </c>
      <c r="O878" s="59"/>
      <c r="P878" s="921">
        <f>LEN(O877)</f>
        <v>0</v>
      </c>
      <c r="Q878" s="48"/>
      <c r="R878" s="48"/>
      <c r="S878" s="48"/>
      <c r="T878" s="48"/>
      <c r="U878" s="48"/>
      <c r="V878" s="1003" t="str">
        <f>IF(J870="","TBD",IF(J870&gt;0.1,"NO","YES"))</f>
        <v>TBD</v>
      </c>
      <c r="W878" s="70"/>
      <c r="X878" s="664" t="s">
        <v>432</v>
      </c>
    </row>
    <row r="879" spans="1:24" ht="11.25" customHeight="1">
      <c r="A879" s="611">
        <v>21</v>
      </c>
      <c r="B879" s="66"/>
      <c r="C879" s="922" t="str">
        <f>IF(LEN(O877)&lt;=265,"",RIGHT(O877,LEN(O877)-SEARCH(" ",O877,255)))</f>
        <v/>
      </c>
      <c r="D879" s="48"/>
      <c r="E879" s="48"/>
      <c r="F879" s="224"/>
      <c r="G879" s="48"/>
      <c r="H879" s="48"/>
      <c r="I879" s="48"/>
      <c r="J879" s="48"/>
      <c r="K879" s="69"/>
      <c r="L879" s="676" t="s">
        <v>432</v>
      </c>
      <c r="M879" s="66"/>
      <c r="N879" s="1024" t="s">
        <v>640</v>
      </c>
      <c r="O879" s="1026"/>
      <c r="P879" s="59"/>
      <c r="Q879" s="59"/>
      <c r="R879" s="59"/>
      <c r="S879" s="59"/>
      <c r="T879" s="59"/>
      <c r="U879" s="59"/>
      <c r="V879" s="1136" t="s">
        <v>169</v>
      </c>
      <c r="W879" s="70"/>
      <c r="X879" s="664" t="s">
        <v>432</v>
      </c>
    </row>
    <row r="880" spans="1:24" ht="11.25" customHeight="1" thickBot="1">
      <c r="A880" s="611">
        <v>22</v>
      </c>
      <c r="B880" s="66"/>
      <c r="C880" s="49"/>
      <c r="D880" s="49"/>
      <c r="E880" s="49"/>
      <c r="F880" s="49"/>
      <c r="G880" s="49"/>
      <c r="H880" s="49"/>
      <c r="I880" s="49"/>
      <c r="J880" s="49"/>
      <c r="K880" s="69"/>
      <c r="L880" s="676" t="s">
        <v>432</v>
      </c>
      <c r="M880" s="66"/>
      <c r="N880" s="49"/>
      <c r="O880" s="49"/>
      <c r="P880" s="49"/>
      <c r="Q880" s="49"/>
      <c r="R880" s="49"/>
      <c r="S880" s="49"/>
      <c r="T880" s="49"/>
      <c r="U880" s="49"/>
      <c r="V880" s="1003" t="str">
        <f>IF(J872="","TBD",IF(J872&gt;0.1,"NO","YES"))</f>
        <v>TBD</v>
      </c>
      <c r="W880" s="70"/>
      <c r="X880" s="664" t="s">
        <v>432</v>
      </c>
    </row>
    <row r="881" spans="1:24" ht="11.25" customHeight="1">
      <c r="A881" s="611">
        <v>23</v>
      </c>
      <c r="B881" s="191" t="s">
        <v>682</v>
      </c>
      <c r="C881" s="128"/>
      <c r="D881" s="49"/>
      <c r="E881" s="54" t="s">
        <v>627</v>
      </c>
      <c r="F881" s="61">
        <f>IF(Q885="","",Q885)</f>
        <v>80</v>
      </c>
      <c r="G881" s="54" t="s">
        <v>163</v>
      </c>
      <c r="H881" s="48" t="str">
        <f>IF(P885="","",P885)</f>
        <v/>
      </c>
      <c r="J881" s="49"/>
      <c r="K881" s="69"/>
      <c r="L881" s="676" t="s">
        <v>432</v>
      </c>
      <c r="M881" s="191" t="s">
        <v>682</v>
      </c>
      <c r="N881" s="128"/>
      <c r="O881" s="128"/>
      <c r="P881" s="49"/>
      <c r="Q881" s="49"/>
      <c r="R881" s="49"/>
      <c r="S881" s="49"/>
      <c r="T881" s="49"/>
      <c r="U881" s="49"/>
      <c r="V881" s="49"/>
      <c r="W881" s="70"/>
      <c r="X881" s="664" t="s">
        <v>432</v>
      </c>
    </row>
    <row r="882" spans="1:24" ht="11.25" customHeight="1">
      <c r="A882" s="611">
        <v>24</v>
      </c>
      <c r="B882" s="66"/>
      <c r="C882" s="49"/>
      <c r="D882" s="49"/>
      <c r="E882" s="54" t="s">
        <v>91</v>
      </c>
      <c r="F882" s="48">
        <f>IF(N885="","",N885)</f>
        <v>100</v>
      </c>
      <c r="G882" s="50" t="str">
        <f>SFSDD</f>
        <v>cm</v>
      </c>
      <c r="H882" s="49"/>
      <c r="I882" s="49"/>
      <c r="J882" s="49" t="s">
        <v>171</v>
      </c>
      <c r="K882" s="69"/>
      <c r="L882" s="676" t="s">
        <v>432</v>
      </c>
      <c r="M882" s="66"/>
      <c r="N882" s="50"/>
      <c r="O882" s="50"/>
      <c r="P882" s="50"/>
      <c r="Q882" s="50"/>
      <c r="R882" s="50"/>
      <c r="S882" s="50"/>
      <c r="T882" s="50"/>
      <c r="U882" s="50"/>
      <c r="V882" s="50"/>
      <c r="W882" s="70"/>
      <c r="X882" s="664" t="s">
        <v>432</v>
      </c>
    </row>
    <row r="883" spans="1:24" ht="11.25" customHeight="1" thickBot="1">
      <c r="A883" s="611">
        <v>25</v>
      </c>
      <c r="B883" s="66" t="s">
        <v>75</v>
      </c>
      <c r="C883" s="117"/>
      <c r="D883" s="122" t="s">
        <v>80</v>
      </c>
      <c r="E883" s="66"/>
      <c r="F883" s="50" t="s">
        <v>81</v>
      </c>
      <c r="G883" s="49"/>
      <c r="H883" s="49"/>
      <c r="I883" s="218" t="s">
        <v>1081</v>
      </c>
      <c r="J883" s="117" t="s">
        <v>165</v>
      </c>
      <c r="K883" s="69"/>
      <c r="L883" s="676" t="s">
        <v>432</v>
      </c>
      <c r="M883" s="66" t="s">
        <v>531</v>
      </c>
      <c r="N883" s="218" t="s">
        <v>99</v>
      </c>
      <c r="O883" s="218" t="s">
        <v>77</v>
      </c>
      <c r="P883" s="218" t="s">
        <v>78</v>
      </c>
      <c r="Q883" s="49"/>
      <c r="R883" s="218"/>
      <c r="S883" s="122" t="s">
        <v>80</v>
      </c>
      <c r="T883" s="218"/>
      <c r="U883" s="50" t="s">
        <v>81</v>
      </c>
      <c r="V883" s="49"/>
      <c r="W883" s="69"/>
      <c r="X883" s="664" t="s">
        <v>432</v>
      </c>
    </row>
    <row r="884" spans="1:24" ht="11.25" customHeight="1" thickBot="1">
      <c r="A884" s="611">
        <v>26</v>
      </c>
      <c r="B884" s="219" t="s">
        <v>82</v>
      </c>
      <c r="C884" s="146" t="str">
        <f>IF(SFMAS="","mA/mAs",SFMAS)</f>
        <v>mA</v>
      </c>
      <c r="D884" s="208" t="s">
        <v>85</v>
      </c>
      <c r="E884" s="219" t="s">
        <v>86</v>
      </c>
      <c r="F884" s="138" t="s">
        <v>87</v>
      </c>
      <c r="G884" s="138" t="s">
        <v>85</v>
      </c>
      <c r="H884" s="138" t="s">
        <v>1080</v>
      </c>
      <c r="I884" s="231" t="s">
        <v>166</v>
      </c>
      <c r="J884" s="137" t="s">
        <v>69</v>
      </c>
      <c r="K884" s="1137" t="s">
        <v>652</v>
      </c>
      <c r="L884" s="676" t="s">
        <v>432</v>
      </c>
      <c r="M884" s="219" t="s">
        <v>82</v>
      </c>
      <c r="N884" s="138" t="str">
        <f>SFSDD</f>
        <v>cm</v>
      </c>
      <c r="O884" s="138" t="s">
        <v>83</v>
      </c>
      <c r="P884" s="138" t="s">
        <v>68</v>
      </c>
      <c r="Q884" s="138" t="s">
        <v>84</v>
      </c>
      <c r="R884" s="138" t="str">
        <f>IF(AND(LFMAS="",SFMAS=""),"mA/mAs",IF(O885="Large",LFMAS,SFMAS))</f>
        <v>mA</v>
      </c>
      <c r="S884" s="208" t="s">
        <v>85</v>
      </c>
      <c r="T884" s="138" t="s">
        <v>86</v>
      </c>
      <c r="U884" s="138" t="s">
        <v>87</v>
      </c>
      <c r="V884" s="138" t="s">
        <v>85</v>
      </c>
      <c r="W884" s="208" t="s">
        <v>1080</v>
      </c>
      <c r="X884" s="664" t="s">
        <v>432</v>
      </c>
    </row>
    <row r="885" spans="1:24" ht="11.25" customHeight="1">
      <c r="A885" s="611">
        <v>27</v>
      </c>
      <c r="B885" s="281" t="s">
        <v>167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64" t="str">
        <f>IF(OR(I885="",I886=""),"",(MAX(I885:I886)-MIN(I885:I886))/(MAX(I885:I886)+MIN(I885:I886)))</f>
        <v/>
      </c>
      <c r="K885" s="285" t="s">
        <v>168</v>
      </c>
      <c r="L885" s="676" t="s">
        <v>432</v>
      </c>
      <c r="M885" s="281" t="s">
        <v>167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432</v>
      </c>
    </row>
    <row r="886" spans="1:24" ht="11.25" customHeight="1" thickBot="1">
      <c r="A886" s="611">
        <v>28</v>
      </c>
      <c r="B886" s="219" t="s">
        <v>167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66"/>
      <c r="K886" s="283" t="str">
        <f>IF(J885="","TBD",IF(J885&gt;0.1,"NO","YES"))</f>
        <v>TBD</v>
      </c>
      <c r="L886" s="676" t="s">
        <v>432</v>
      </c>
      <c r="M886" s="219" t="s">
        <v>167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432</v>
      </c>
    </row>
    <row r="887" spans="1:24" ht="11.25" customHeight="1">
      <c r="A887" s="611">
        <v>29</v>
      </c>
      <c r="B887" s="106" t="s">
        <v>169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64" t="str">
        <f>IF(OR(I885="",I887=""),"",(MAX(I885:I889)-MIN(I885:I889))/(MAX(I885:I889)+MIN(I885:I889)))</f>
        <v/>
      </c>
      <c r="K887" s="286"/>
      <c r="L887" s="676" t="s">
        <v>432</v>
      </c>
      <c r="M887" s="106" t="s">
        <v>169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432</v>
      </c>
    </row>
    <row r="888" spans="1:24" ht="11.25" customHeight="1">
      <c r="A888" s="611">
        <v>30</v>
      </c>
      <c r="B888" s="106" t="s">
        <v>169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65"/>
      <c r="K888" s="282" t="s">
        <v>169</v>
      </c>
      <c r="L888" s="676" t="s">
        <v>432</v>
      </c>
      <c r="M888" s="106" t="s">
        <v>169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432</v>
      </c>
    </row>
    <row r="889" spans="1:24" ht="11.25" customHeight="1" thickBot="1">
      <c r="A889" s="611">
        <v>31</v>
      </c>
      <c r="B889" s="219" t="s">
        <v>169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66"/>
      <c r="K889" s="283" t="str">
        <f>IF(J887="","TBD",IF(J887&gt;0.1,"NO","YES"))</f>
        <v>TBD</v>
      </c>
      <c r="L889" s="676" t="s">
        <v>432</v>
      </c>
      <c r="M889" s="219" t="s">
        <v>169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432</v>
      </c>
    </row>
    <row r="890" spans="1:24" ht="11.25" customHeight="1" thickBot="1">
      <c r="A890" s="611">
        <v>32</v>
      </c>
      <c r="B890" s="85" t="s">
        <v>170</v>
      </c>
      <c r="C890" s="49"/>
      <c r="D890" s="49"/>
      <c r="E890" s="49"/>
      <c r="F890" s="49"/>
      <c r="G890" s="49"/>
      <c r="H890" s="49"/>
      <c r="I890" s="54"/>
      <c r="J890" s="49"/>
      <c r="K890" s="69"/>
      <c r="L890" s="676" t="s">
        <v>432</v>
      </c>
      <c r="M890" s="85" t="s">
        <v>170</v>
      </c>
      <c r="N890" s="49"/>
      <c r="O890" s="49"/>
      <c r="P890" s="49"/>
      <c r="Q890" s="49"/>
      <c r="R890" s="49"/>
      <c r="S890" s="49"/>
      <c r="T890" s="49"/>
      <c r="U890" s="49"/>
      <c r="V890" s="49"/>
      <c r="W890" s="69"/>
      <c r="X890" s="664" t="s">
        <v>432</v>
      </c>
    </row>
    <row r="891" spans="1:24" ht="11.25" customHeight="1" thickBot="1">
      <c r="A891" s="611">
        <v>33</v>
      </c>
      <c r="B891" s="66"/>
      <c r="C891" s="49"/>
      <c r="D891" s="49"/>
      <c r="E891" s="49"/>
      <c r="F891" s="49"/>
      <c r="G891" s="49"/>
      <c r="H891" s="49"/>
      <c r="I891" s="49"/>
      <c r="J891" s="49"/>
      <c r="K891" s="69"/>
      <c r="L891" s="676" t="s">
        <v>432</v>
      </c>
      <c r="M891" s="66"/>
      <c r="N891" s="49"/>
      <c r="O891" s="49"/>
      <c r="P891" s="49"/>
      <c r="Q891" s="49"/>
      <c r="R891" s="49"/>
      <c r="S891" s="49"/>
      <c r="T891" s="49"/>
      <c r="U891" s="49"/>
      <c r="V891" s="1029" t="s">
        <v>652</v>
      </c>
      <c r="W891" s="69"/>
      <c r="X891" s="664" t="s">
        <v>432</v>
      </c>
    </row>
    <row r="892" spans="1:24" ht="11.25" customHeight="1">
      <c r="A892" s="611">
        <v>34</v>
      </c>
      <c r="B892" s="102" t="s">
        <v>573</v>
      </c>
      <c r="C892" s="922" t="str">
        <f>IF(O892="","",IF(LEN(O892)&lt;=135,O892,IF(LEN(O892)&lt;=260,LEFT(O892,SEARCH(" ",O892,125)),LEFT(O892,SEARCH(" ",O892,130)))))</f>
        <v/>
      </c>
      <c r="D892" s="48"/>
      <c r="E892" s="48"/>
      <c r="F892" s="224"/>
      <c r="G892" s="48"/>
      <c r="H892" s="48"/>
      <c r="I892" s="48"/>
      <c r="J892" s="48"/>
      <c r="K892" s="69"/>
      <c r="L892" s="676" t="s">
        <v>432</v>
      </c>
      <c r="M892" s="127"/>
      <c r="N892" s="577" t="s">
        <v>573</v>
      </c>
      <c r="O892" s="713" t="str">
        <f>IF(O894&lt;&gt;"",O894,IF(OR(AB448=0,AB448=""),"",AB448))</f>
        <v/>
      </c>
      <c r="P892" s="48"/>
      <c r="Q892" s="48"/>
      <c r="R892" s="48"/>
      <c r="S892" s="48"/>
      <c r="T892" s="48"/>
      <c r="U892" s="48"/>
      <c r="V892" s="1136" t="s">
        <v>168</v>
      </c>
      <c r="W892" s="69"/>
      <c r="X892" s="664" t="s">
        <v>432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432</v>
      </c>
      <c r="M893" s="85"/>
      <c r="N893" s="609" t="s">
        <v>303</v>
      </c>
      <c r="O893" s="59"/>
      <c r="P893" s="921">
        <f>LEN(O892)</f>
        <v>0</v>
      </c>
      <c r="Q893" s="59"/>
      <c r="R893" s="59"/>
      <c r="S893" s="59"/>
      <c r="T893" s="59"/>
      <c r="U893" s="59"/>
      <c r="V893" s="1003" t="str">
        <f>IF(J885="","TBD",IF(J885&gt;0.1,"NO","YES"))</f>
        <v>TBD</v>
      </c>
      <c r="W893" s="69"/>
      <c r="X893" s="664" t="s">
        <v>432</v>
      </c>
    </row>
    <row r="894" spans="1:24" ht="11.25" customHeight="1">
      <c r="A894" s="611">
        <v>36</v>
      </c>
      <c r="B894" s="66"/>
      <c r="C894" s="922" t="str">
        <f>IF(LEN(O892)&lt;=265,"",RIGHT(O892,LEN(O892)-SEARCH(" ",O892,255)))</f>
        <v/>
      </c>
      <c r="D894" s="48"/>
      <c r="E894" s="48"/>
      <c r="F894" s="224"/>
      <c r="G894" s="48"/>
      <c r="H894" s="48"/>
      <c r="I894" s="48"/>
      <c r="J894" s="48"/>
      <c r="K894" s="69"/>
      <c r="L894" s="676" t="s">
        <v>432</v>
      </c>
      <c r="M894" s="66"/>
      <c r="N894" s="1024" t="s">
        <v>640</v>
      </c>
      <c r="O894" s="1026"/>
      <c r="P894" s="48"/>
      <c r="Q894" s="48"/>
      <c r="R894" s="48"/>
      <c r="S894" s="48"/>
      <c r="T894" s="48"/>
      <c r="U894" s="48"/>
      <c r="V894" s="1136" t="s">
        <v>169</v>
      </c>
      <c r="W894" s="69"/>
      <c r="X894" s="664" t="s">
        <v>432</v>
      </c>
    </row>
    <row r="895" spans="1:24" ht="11.25" customHeight="1" thickBot="1">
      <c r="A895" s="611">
        <v>37</v>
      </c>
      <c r="B895" s="66"/>
      <c r="C895" s="49"/>
      <c r="D895" s="49"/>
      <c r="E895" s="49"/>
      <c r="F895" s="114"/>
      <c r="G895" s="49"/>
      <c r="H895" s="49"/>
      <c r="I895" s="49"/>
      <c r="J895" s="49"/>
      <c r="K895" s="69"/>
      <c r="L895" s="676" t="s">
        <v>432</v>
      </c>
      <c r="M895" s="66"/>
      <c r="N895" s="49"/>
      <c r="O895" s="49"/>
      <c r="P895" s="49"/>
      <c r="Q895" s="49"/>
      <c r="R895" s="49"/>
      <c r="S895" s="49"/>
      <c r="T895" s="49"/>
      <c r="U895" s="49"/>
      <c r="V895" s="1003" t="str">
        <f>IF(J887="","TBD",IF(J887&gt;0.1,"NO","YES"))</f>
        <v>TBD</v>
      </c>
      <c r="W895" s="69"/>
      <c r="X895" s="664" t="s">
        <v>432</v>
      </c>
    </row>
    <row r="896" spans="1:24" ht="11.25" customHeight="1">
      <c r="A896" s="611">
        <v>38</v>
      </c>
      <c r="B896" s="191" t="s">
        <v>172</v>
      </c>
      <c r="C896" s="128"/>
      <c r="D896" s="128"/>
      <c r="E896" s="49"/>
      <c r="F896" s="49"/>
      <c r="G896" s="49"/>
      <c r="H896" s="49"/>
      <c r="I896" s="49"/>
      <c r="J896" s="49"/>
      <c r="K896" s="69"/>
      <c r="L896" s="676" t="s">
        <v>432</v>
      </c>
      <c r="M896" s="66"/>
      <c r="N896" s="49"/>
      <c r="O896" s="49"/>
      <c r="P896" s="49"/>
      <c r="Q896" s="49"/>
      <c r="R896" s="49"/>
      <c r="S896" s="49"/>
      <c r="T896" s="49"/>
      <c r="U896" s="49"/>
      <c r="V896" s="49"/>
      <c r="W896" s="69"/>
      <c r="X896" s="664" t="s">
        <v>432</v>
      </c>
    </row>
    <row r="897" spans="1:24" ht="11.25" customHeight="1">
      <c r="A897" s="611">
        <v>39</v>
      </c>
      <c r="B897" s="66"/>
      <c r="C897" s="49"/>
      <c r="D897" s="49"/>
      <c r="E897" s="49" t="s">
        <v>173</v>
      </c>
      <c r="F897" s="49"/>
      <c r="G897" s="49"/>
      <c r="H897" s="49"/>
      <c r="I897" s="49"/>
      <c r="J897" s="49"/>
      <c r="K897" s="69"/>
      <c r="L897" s="676" t="s">
        <v>432</v>
      </c>
      <c r="M897" s="66"/>
      <c r="N897" s="49"/>
      <c r="O897" s="49"/>
      <c r="P897" s="49"/>
      <c r="Q897" s="49"/>
      <c r="R897" s="49"/>
      <c r="S897" s="49"/>
      <c r="T897" s="49"/>
      <c r="U897" s="49"/>
      <c r="V897" s="49"/>
      <c r="W897" s="69"/>
      <c r="X897" s="664" t="s">
        <v>432</v>
      </c>
    </row>
    <row r="898" spans="1:24" ht="11.25" customHeight="1" thickBot="1">
      <c r="A898" s="611">
        <v>40</v>
      </c>
      <c r="B898" s="66"/>
      <c r="C898" s="149" t="s">
        <v>1081</v>
      </c>
      <c r="D898" s="128"/>
      <c r="E898" s="117" t="s">
        <v>165</v>
      </c>
      <c r="F898" s="49"/>
      <c r="G898" s="49"/>
      <c r="H898" s="49"/>
      <c r="I898" s="49"/>
      <c r="J898" s="49"/>
      <c r="K898" s="69"/>
      <c r="L898" s="676" t="s">
        <v>432</v>
      </c>
      <c r="M898" s="66"/>
      <c r="N898" s="49"/>
      <c r="O898" s="49"/>
      <c r="P898" s="49"/>
      <c r="Q898" s="49"/>
      <c r="R898" s="49"/>
      <c r="S898" s="49"/>
      <c r="T898" s="49"/>
      <c r="U898" s="49"/>
      <c r="V898" s="49"/>
      <c r="W898" s="69"/>
      <c r="X898" s="664" t="s">
        <v>432</v>
      </c>
    </row>
    <row r="899" spans="1:24" ht="11.25" customHeight="1" thickBot="1">
      <c r="A899" s="611">
        <v>41</v>
      </c>
      <c r="B899" s="66"/>
      <c r="C899" s="240" t="s">
        <v>166</v>
      </c>
      <c r="D899" s="242"/>
      <c r="E899" s="146" t="s">
        <v>69</v>
      </c>
      <c r="F899" s="49"/>
      <c r="G899" s="1126" t="s">
        <v>652</v>
      </c>
      <c r="H899" s="49"/>
      <c r="I899" s="49"/>
      <c r="J899" s="49"/>
      <c r="K899" s="69"/>
      <c r="L899" s="676" t="s">
        <v>432</v>
      </c>
      <c r="M899" s="66"/>
      <c r="N899" s="50" t="s">
        <v>174</v>
      </c>
      <c r="O899" s="49"/>
      <c r="P899" s="49"/>
      <c r="Q899" s="49"/>
      <c r="R899" s="49"/>
      <c r="S899" s="49"/>
      <c r="T899" s="49"/>
      <c r="U899" s="49"/>
      <c r="V899" s="996" t="s">
        <v>172</v>
      </c>
      <c r="W899" s="997"/>
      <c r="X899" s="664" t="s">
        <v>432</v>
      </c>
    </row>
    <row r="900" spans="1:24" ht="11.25" customHeight="1" thickBot="1">
      <c r="A900" s="611">
        <v>42</v>
      </c>
      <c r="B900" s="66"/>
      <c r="C900" s="241" t="s">
        <v>175</v>
      </c>
      <c r="D900" s="1097">
        <f>MAX(I870:I874,I885:I889)</f>
        <v>0</v>
      </c>
      <c r="E900" s="117" t="s">
        <v>169</v>
      </c>
      <c r="F900" s="49"/>
      <c r="G900" s="279" t="s">
        <v>169</v>
      </c>
      <c r="H900" s="49"/>
      <c r="I900" s="49"/>
      <c r="J900" s="49"/>
      <c r="K900" s="69"/>
      <c r="L900" s="676" t="s">
        <v>432</v>
      </c>
      <c r="M900" s="66"/>
      <c r="N900" s="49"/>
      <c r="O900" s="54" t="s">
        <v>176</v>
      </c>
      <c r="P900" s="49"/>
      <c r="Q900" s="114" t="s">
        <v>1085</v>
      </c>
      <c r="R900" s="49"/>
      <c r="S900" s="49"/>
      <c r="T900" s="49"/>
      <c r="U900" s="49"/>
      <c r="V900" s="49"/>
      <c r="W900" s="71"/>
      <c r="X900" s="664" t="s">
        <v>432</v>
      </c>
    </row>
    <row r="901" spans="1:24" ht="11.25" customHeight="1" thickBot="1">
      <c r="A901" s="611">
        <v>43</v>
      </c>
      <c r="B901" s="66"/>
      <c r="C901" s="241" t="s">
        <v>177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432</v>
      </c>
      <c r="M901" s="66"/>
      <c r="N901" s="49"/>
      <c r="O901" s="49"/>
      <c r="P901" s="49"/>
      <c r="Q901" s="49" t="s">
        <v>1086</v>
      </c>
      <c r="R901" s="49"/>
      <c r="S901" s="49"/>
      <c r="T901" s="49"/>
      <c r="U901" s="49"/>
      <c r="V901" s="1029" t="s">
        <v>652</v>
      </c>
      <c r="W901" s="71"/>
      <c r="X901" s="664" t="s">
        <v>432</v>
      </c>
    </row>
    <row r="902" spans="1:24" ht="11.25" customHeight="1">
      <c r="A902" s="611">
        <v>44</v>
      </c>
      <c r="B902" s="127"/>
      <c r="K902" s="71"/>
      <c r="L902" s="676" t="s">
        <v>432</v>
      </c>
      <c r="M902" s="127"/>
      <c r="N902" s="49"/>
      <c r="O902" s="49"/>
      <c r="P902" s="49"/>
      <c r="Q902" s="49"/>
      <c r="R902" s="49"/>
      <c r="S902" s="49"/>
      <c r="T902" s="49"/>
      <c r="V902" s="1136" t="s">
        <v>169</v>
      </c>
      <c r="W902" s="71"/>
      <c r="X902" s="664" t="s">
        <v>432</v>
      </c>
    </row>
    <row r="903" spans="1:24" ht="11.25" customHeight="1" thickBot="1">
      <c r="A903" s="611">
        <v>45</v>
      </c>
      <c r="B903" s="127"/>
      <c r="C903" s="50" t="s">
        <v>174</v>
      </c>
      <c r="D903" s="49"/>
      <c r="E903" s="49"/>
      <c r="F903" s="49"/>
      <c r="G903" s="49"/>
      <c r="H903" s="49"/>
      <c r="I903" s="49"/>
      <c r="J903" s="49"/>
      <c r="K903" s="69"/>
      <c r="L903" s="676" t="s">
        <v>432</v>
      </c>
      <c r="M903" s="127"/>
      <c r="N903" s="49"/>
      <c r="O903" s="54" t="s">
        <v>178</v>
      </c>
      <c r="P903" s="49"/>
      <c r="Q903" s="114" t="s">
        <v>1087</v>
      </c>
      <c r="R903" s="49"/>
      <c r="S903" s="49"/>
      <c r="T903" s="49"/>
      <c r="V903" s="1003" t="str">
        <f>IF(OR(E901="NA",$Q$870&lt;&gt;$Q$885),"NA",IF(E901&gt;0.1,"NO","YES"))</f>
        <v>NA</v>
      </c>
      <c r="W903" s="71"/>
      <c r="X903" s="664" t="s">
        <v>432</v>
      </c>
    </row>
    <row r="904" spans="1:24" ht="11.25" customHeight="1">
      <c r="A904" s="611">
        <v>46</v>
      </c>
      <c r="B904" s="127"/>
      <c r="C904" s="49"/>
      <c r="D904" s="54" t="s">
        <v>176</v>
      </c>
      <c r="E904" s="49"/>
      <c r="F904" s="114" t="s">
        <v>1085</v>
      </c>
      <c r="G904" s="49"/>
      <c r="H904" s="49"/>
      <c r="I904" s="49"/>
      <c r="J904" s="49"/>
      <c r="K904" s="69"/>
      <c r="L904" s="676" t="s">
        <v>432</v>
      </c>
      <c r="M904" s="127"/>
      <c r="N904" s="49"/>
      <c r="O904" s="49"/>
      <c r="P904" s="49"/>
      <c r="Q904" s="49" t="s">
        <v>1088</v>
      </c>
      <c r="R904" s="49"/>
      <c r="S904" s="49"/>
      <c r="T904" s="49"/>
      <c r="W904" s="71"/>
      <c r="X904" s="664" t="s">
        <v>432</v>
      </c>
    </row>
    <row r="905" spans="1:24" ht="11.25" customHeight="1">
      <c r="A905" s="611">
        <v>47</v>
      </c>
      <c r="B905" s="127"/>
      <c r="C905" s="49"/>
      <c r="D905" s="49"/>
      <c r="E905" s="49"/>
      <c r="F905" s="49" t="s">
        <v>1086</v>
      </c>
      <c r="G905" s="49"/>
      <c r="H905" s="49"/>
      <c r="I905" s="49"/>
      <c r="J905" s="49"/>
      <c r="K905" s="69"/>
      <c r="L905" s="676" t="s">
        <v>432</v>
      </c>
      <c r="M905" s="66"/>
      <c r="Q905" s="49"/>
      <c r="R905" s="49"/>
      <c r="S905" s="49"/>
      <c r="T905" s="49"/>
      <c r="U905" s="49"/>
      <c r="V905" s="49"/>
      <c r="W905" s="69"/>
      <c r="X905" s="664" t="s">
        <v>432</v>
      </c>
    </row>
    <row r="906" spans="1:24" ht="11.25" customHeight="1">
      <c r="A906" s="611">
        <v>48</v>
      </c>
      <c r="B906" s="127"/>
      <c r="C906" s="49"/>
      <c r="D906" s="49"/>
      <c r="E906" s="49"/>
      <c r="F906" s="49"/>
      <c r="G906" s="49"/>
      <c r="H906" s="49"/>
      <c r="I906" s="49"/>
      <c r="J906" s="49"/>
      <c r="K906" s="69"/>
      <c r="L906" s="676" t="s">
        <v>432</v>
      </c>
      <c r="M906" s="66"/>
      <c r="N906" s="132" t="s">
        <v>591</v>
      </c>
      <c r="O906" s="100" t="s">
        <v>179</v>
      </c>
      <c r="P906" s="49"/>
      <c r="Q906" s="49"/>
      <c r="R906" s="49"/>
      <c r="S906" s="49"/>
      <c r="T906" s="49"/>
      <c r="U906" s="49"/>
      <c r="V906" s="49"/>
      <c r="W906" s="69"/>
      <c r="X906" s="664" t="s">
        <v>432</v>
      </c>
    </row>
    <row r="907" spans="1:24" ht="11.25" customHeight="1">
      <c r="A907" s="611">
        <v>49</v>
      </c>
      <c r="B907" s="127"/>
      <c r="C907" s="49"/>
      <c r="D907" s="54" t="s">
        <v>178</v>
      </c>
      <c r="E907" s="49"/>
      <c r="F907" s="114" t="s">
        <v>1087</v>
      </c>
      <c r="G907" s="49"/>
      <c r="H907" s="49"/>
      <c r="I907" s="49"/>
      <c r="J907" s="49"/>
      <c r="K907" s="69"/>
      <c r="L907" s="676" t="s">
        <v>432</v>
      </c>
      <c r="M907" s="66"/>
      <c r="N907" s="49"/>
      <c r="O907" s="49"/>
      <c r="P907" s="49"/>
      <c r="Q907" s="49"/>
      <c r="R907" s="49"/>
      <c r="S907" s="49"/>
      <c r="T907" s="49"/>
      <c r="U907" s="49"/>
      <c r="V907" s="49"/>
      <c r="W907" s="69"/>
      <c r="X907" s="664" t="s">
        <v>432</v>
      </c>
    </row>
    <row r="908" spans="1:24" ht="11.25" customHeight="1">
      <c r="A908" s="611">
        <v>50</v>
      </c>
      <c r="B908" s="127"/>
      <c r="C908" s="49"/>
      <c r="D908" s="49"/>
      <c r="E908" s="49"/>
      <c r="F908" s="49" t="s">
        <v>1088</v>
      </c>
      <c r="G908" s="49"/>
      <c r="H908" s="49"/>
      <c r="I908" s="49"/>
      <c r="J908" s="49"/>
      <c r="K908" s="69"/>
      <c r="L908" s="676" t="s">
        <v>432</v>
      </c>
      <c r="M908" s="66"/>
      <c r="N908" s="49"/>
      <c r="O908" s="49"/>
      <c r="P908" s="49"/>
      <c r="Q908" s="49"/>
      <c r="R908" s="49"/>
      <c r="S908" s="49"/>
      <c r="T908" s="49"/>
      <c r="U908" s="49"/>
      <c r="V908" s="49"/>
      <c r="W908" s="69"/>
      <c r="X908" s="664" t="s">
        <v>432</v>
      </c>
    </row>
    <row r="909" spans="1:24" ht="11.25" customHeight="1">
      <c r="A909" s="611">
        <v>51</v>
      </c>
      <c r="B909" s="66"/>
      <c r="F909" s="49"/>
      <c r="G909" s="49"/>
      <c r="H909" s="49"/>
      <c r="I909" s="49"/>
      <c r="J909" s="49"/>
      <c r="K909" s="69"/>
      <c r="L909" s="676" t="s">
        <v>432</v>
      </c>
      <c r="M909" s="66"/>
      <c r="N909" s="49"/>
      <c r="O909" s="49"/>
      <c r="P909" s="49"/>
      <c r="Q909" s="49"/>
      <c r="R909" s="49"/>
      <c r="S909" s="49"/>
      <c r="T909" s="49"/>
      <c r="U909" s="49"/>
      <c r="V909" s="49"/>
      <c r="W909" s="69"/>
      <c r="X909" s="664" t="s">
        <v>432</v>
      </c>
    </row>
    <row r="910" spans="1:24" ht="11.25" customHeight="1">
      <c r="A910" s="611">
        <v>52</v>
      </c>
      <c r="B910" s="66"/>
      <c r="C910" s="132" t="s">
        <v>591</v>
      </c>
      <c r="D910" s="100" t="s">
        <v>179</v>
      </c>
      <c r="E910" s="49"/>
      <c r="F910" s="49"/>
      <c r="G910" s="49"/>
      <c r="H910" s="49"/>
      <c r="I910" s="49"/>
      <c r="J910" s="49"/>
      <c r="K910" s="69"/>
      <c r="L910" s="676" t="s">
        <v>432</v>
      </c>
      <c r="M910" s="66"/>
      <c r="N910" s="49"/>
      <c r="O910" s="49"/>
      <c r="P910" s="49"/>
      <c r="Q910" s="49"/>
      <c r="R910" s="49"/>
      <c r="S910" s="49"/>
      <c r="T910" s="49"/>
      <c r="U910" s="49"/>
      <c r="V910" s="49"/>
      <c r="W910" s="69"/>
      <c r="X910" s="664" t="s">
        <v>432</v>
      </c>
    </row>
    <row r="911" spans="1:24" ht="11.25" customHeight="1">
      <c r="A911" s="611">
        <v>53</v>
      </c>
      <c r="B911" s="66"/>
      <c r="C911" s="49"/>
      <c r="D911" s="49"/>
      <c r="E911" s="49"/>
      <c r="F911" s="49"/>
      <c r="G911" s="49"/>
      <c r="H911" s="49"/>
      <c r="I911" s="49"/>
      <c r="J911" s="49"/>
      <c r="K911" s="69"/>
      <c r="L911" s="676" t="s">
        <v>432</v>
      </c>
      <c r="M911" s="202" t="s">
        <v>438</v>
      </c>
      <c r="N911" s="49"/>
      <c r="O911" s="49"/>
      <c r="P911" s="49"/>
      <c r="Q911" s="49"/>
      <c r="R911" s="49"/>
      <c r="S911" s="49"/>
      <c r="T911" s="49"/>
      <c r="U911" s="49"/>
      <c r="V911" s="49"/>
      <c r="W911" s="69"/>
      <c r="X911" s="664" t="s">
        <v>432</v>
      </c>
    </row>
    <row r="912" spans="1:24" ht="11.25" customHeight="1">
      <c r="A912" s="611">
        <v>54</v>
      </c>
      <c r="B912" s="108" t="s">
        <v>435</v>
      </c>
      <c r="C912" s="53"/>
      <c r="F912" s="99" t="s">
        <v>180</v>
      </c>
      <c r="J912" s="262" t="s">
        <v>437</v>
      </c>
      <c r="K912" s="395"/>
      <c r="L912" s="676" t="s">
        <v>432</v>
      </c>
      <c r="M912" s="66"/>
      <c r="Q912" s="99" t="s">
        <v>180</v>
      </c>
      <c r="W912" s="71"/>
      <c r="X912" s="664" t="s">
        <v>432</v>
      </c>
    </row>
    <row r="913" spans="1:33" ht="11.25" customHeight="1">
      <c r="A913" s="611">
        <v>55</v>
      </c>
      <c r="B913" s="110" t="s">
        <v>1</v>
      </c>
      <c r="C913" s="111"/>
      <c r="D913" s="50" t="s">
        <v>181</v>
      </c>
      <c r="E913" s="49"/>
      <c r="F913" s="49"/>
      <c r="G913" s="49"/>
      <c r="H913" s="49"/>
      <c r="I913" s="49"/>
      <c r="J913" s="1110" t="str">
        <f>IF($M$53=1,$T$52,IF($M913="","TBD",IF($M913=1,"YES",IF($M913=3,"NA",""))))</f>
        <v>TBD</v>
      </c>
      <c r="K913" s="343" t="str">
        <f>IF($M$53=1,"",IF($M913=2,"NO",""))</f>
        <v/>
      </c>
      <c r="L913" s="676" t="s">
        <v>432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432</v>
      </c>
    </row>
    <row r="914" spans="1:33" ht="11.25" customHeight="1">
      <c r="A914" s="611">
        <v>56</v>
      </c>
      <c r="B914" s="110"/>
      <c r="C914" s="111"/>
      <c r="D914" s="50" t="s">
        <v>182</v>
      </c>
      <c r="J914" s="1110" t="str">
        <f>IF($M$53=1,$T$52,IF($M914="","TBD",IF($M914=1,"YES",IF($M914=3,"NA",""))))</f>
        <v>TBD</v>
      </c>
      <c r="K914" s="343" t="str">
        <f>IF($M$53=1,"",IF($M914=2,"NO",""))</f>
        <v/>
      </c>
      <c r="L914" s="676" t="s">
        <v>432</v>
      </c>
      <c r="M914" s="617"/>
      <c r="O914" s="50" t="str">
        <f>IF(M53=1,"","All technique indicators functional and are free of excessive wear.")</f>
        <v>All technique indicators functional and are free of excessive wear.</v>
      </c>
      <c r="W914" s="71"/>
      <c r="X914" s="664" t="s">
        <v>432</v>
      </c>
    </row>
    <row r="915" spans="1:33" ht="11.25" customHeight="1">
      <c r="A915" s="611">
        <v>57</v>
      </c>
      <c r="B915" s="110"/>
      <c r="C915" s="111"/>
      <c r="D915" s="50" t="s">
        <v>183</v>
      </c>
      <c r="J915" s="1110" t="str">
        <f t="shared" ref="J915:J920" si="125">IF($M915="","TBD",IF($M915=1,"YES",IF($M915=3,"NA","")))</f>
        <v>TBD</v>
      </c>
      <c r="K915" s="343" t="str">
        <f t="shared" ref="K915:K920" si="126">IF($M915=2,"NO","")</f>
        <v/>
      </c>
      <c r="L915" s="676" t="s">
        <v>432</v>
      </c>
      <c r="M915" s="617"/>
      <c r="O915" s="50" t="s">
        <v>184</v>
      </c>
      <c r="W915" s="71"/>
      <c r="X915" s="664" t="s">
        <v>432</v>
      </c>
      <c r="AE915"/>
      <c r="AF915"/>
      <c r="AG915"/>
    </row>
    <row r="916" spans="1:33" ht="11.25" customHeight="1">
      <c r="A916" s="611">
        <v>58</v>
      </c>
      <c r="B916" s="110"/>
      <c r="C916" s="111"/>
      <c r="D916" s="50" t="s">
        <v>185</v>
      </c>
      <c r="J916" s="1110" t="str">
        <f t="shared" si="125"/>
        <v>TBD</v>
      </c>
      <c r="K916" s="343" t="str">
        <f t="shared" si="126"/>
        <v/>
      </c>
      <c r="L916" s="676" t="s">
        <v>432</v>
      </c>
      <c r="M916" s="617"/>
      <c r="O916" s="50" t="s">
        <v>186</v>
      </c>
      <c r="W916" s="71"/>
      <c r="X916" s="664" t="s">
        <v>432</v>
      </c>
      <c r="AE916"/>
      <c r="AF916"/>
      <c r="AG916"/>
    </row>
    <row r="917" spans="1:33" ht="11.25" customHeight="1">
      <c r="A917" s="611">
        <v>59</v>
      </c>
      <c r="B917" s="110" t="s">
        <v>3</v>
      </c>
      <c r="C917" s="111"/>
      <c r="D917" s="50" t="s">
        <v>187</v>
      </c>
      <c r="E917" s="49"/>
      <c r="F917" s="49"/>
      <c r="G917" s="49"/>
      <c r="H917" s="49"/>
      <c r="I917" s="49"/>
      <c r="J917" s="1110" t="str">
        <f t="shared" si="125"/>
        <v>TBD</v>
      </c>
      <c r="K917" s="343" t="str">
        <f t="shared" si="126"/>
        <v/>
      </c>
      <c r="L917" s="676" t="s">
        <v>432</v>
      </c>
      <c r="M917" s="617"/>
      <c r="N917" s="50"/>
      <c r="O917" s="50" t="s">
        <v>188</v>
      </c>
      <c r="P917" s="49"/>
      <c r="Q917" s="49"/>
      <c r="R917" s="49"/>
      <c r="S917" s="49"/>
      <c r="T917" s="49"/>
      <c r="U917" s="49"/>
      <c r="V917" s="49"/>
      <c r="W917" s="69"/>
      <c r="X917" s="664" t="s">
        <v>432</v>
      </c>
      <c r="AE917"/>
      <c r="AF917"/>
      <c r="AG917"/>
    </row>
    <row r="918" spans="1:33" ht="11.25" customHeight="1">
      <c r="A918" s="611">
        <v>60</v>
      </c>
      <c r="B918" s="110" t="s">
        <v>2</v>
      </c>
      <c r="C918" s="111"/>
      <c r="D918" s="50" t="s">
        <v>189</v>
      </c>
      <c r="E918" s="49"/>
      <c r="F918" s="49"/>
      <c r="G918" s="49"/>
      <c r="H918" s="49"/>
      <c r="I918" s="49"/>
      <c r="J918" s="1110" t="str">
        <f t="shared" si="125"/>
        <v>TBD</v>
      </c>
      <c r="K918" s="343" t="str">
        <f t="shared" si="126"/>
        <v/>
      </c>
      <c r="L918" s="676" t="s">
        <v>432</v>
      </c>
      <c r="M918" s="617"/>
      <c r="N918" s="50"/>
      <c r="O918" s="50" t="s">
        <v>190</v>
      </c>
      <c r="P918" s="49"/>
      <c r="Q918" s="49"/>
      <c r="R918" s="49"/>
      <c r="S918" s="49"/>
      <c r="T918" s="49"/>
      <c r="U918" s="49"/>
      <c r="V918" s="49"/>
      <c r="W918" s="69"/>
      <c r="X918" s="664" t="s">
        <v>432</v>
      </c>
      <c r="AE918"/>
      <c r="AF918"/>
      <c r="AG918"/>
    </row>
    <row r="919" spans="1:33" ht="11.25" customHeight="1">
      <c r="A919" s="611">
        <v>61</v>
      </c>
      <c r="B919" s="110" t="s">
        <v>1190</v>
      </c>
      <c r="C919" s="111"/>
      <c r="D919" s="50" t="s">
        <v>191</v>
      </c>
      <c r="E919" s="49"/>
      <c r="F919" s="49"/>
      <c r="G919" s="49"/>
      <c r="H919" s="49"/>
      <c r="I919" s="49"/>
      <c r="J919" s="1110" t="str">
        <f t="shared" si="125"/>
        <v>TBD</v>
      </c>
      <c r="K919" s="343" t="str">
        <f t="shared" si="126"/>
        <v/>
      </c>
      <c r="L919" s="676" t="s">
        <v>432</v>
      </c>
      <c r="M919" s="617"/>
      <c r="N919" s="50"/>
      <c r="O919" s="50" t="s">
        <v>192</v>
      </c>
      <c r="P919" s="49"/>
      <c r="Q919" s="49"/>
      <c r="R919" s="49"/>
      <c r="S919" s="49"/>
      <c r="T919" s="49"/>
      <c r="U919" s="49"/>
      <c r="V919" s="49"/>
      <c r="W919" s="69"/>
      <c r="X919" s="664" t="s">
        <v>432</v>
      </c>
      <c r="AE919"/>
      <c r="AF919"/>
      <c r="AG919"/>
    </row>
    <row r="920" spans="1:33" ht="11.25" customHeight="1">
      <c r="A920" s="611">
        <v>62</v>
      </c>
      <c r="B920" s="110"/>
      <c r="C920" s="111"/>
      <c r="D920" s="50" t="s">
        <v>193</v>
      </c>
      <c r="E920" s="49"/>
      <c r="F920" s="49"/>
      <c r="G920" s="49"/>
      <c r="H920" s="49"/>
      <c r="I920" s="49"/>
      <c r="J920" s="1110" t="str">
        <f t="shared" si="125"/>
        <v>TBD</v>
      </c>
      <c r="K920" s="343" t="str">
        <f t="shared" si="126"/>
        <v/>
      </c>
      <c r="L920" s="676" t="s">
        <v>432</v>
      </c>
      <c r="M920" s="617"/>
      <c r="N920" s="49"/>
      <c r="O920" s="50" t="s">
        <v>193</v>
      </c>
      <c r="P920" s="49"/>
      <c r="Q920" s="49"/>
      <c r="R920" s="49"/>
      <c r="S920" s="49"/>
      <c r="T920" s="49"/>
      <c r="U920" s="49"/>
      <c r="V920" s="49"/>
      <c r="W920" s="69"/>
      <c r="X920" s="664" t="s">
        <v>432</v>
      </c>
      <c r="AE920"/>
      <c r="AF920"/>
      <c r="AG920"/>
    </row>
    <row r="921" spans="1:33" ht="11.25" customHeight="1" thickBot="1">
      <c r="A921" s="611">
        <v>63</v>
      </c>
      <c r="B921" s="72"/>
      <c r="C921" s="73"/>
      <c r="D921" s="73"/>
      <c r="E921" s="73"/>
      <c r="F921" s="73"/>
      <c r="G921" s="73"/>
      <c r="H921" s="73"/>
      <c r="I921" s="73"/>
      <c r="J921" s="73"/>
      <c r="K921" s="74"/>
      <c r="L921" s="676" t="s">
        <v>432</v>
      </c>
      <c r="M921" s="72"/>
      <c r="N921" s="73"/>
      <c r="O921" s="73"/>
      <c r="P921" s="73"/>
      <c r="Q921" s="73"/>
      <c r="R921" s="73"/>
      <c r="S921" s="73"/>
      <c r="T921" s="73"/>
      <c r="U921" s="73"/>
      <c r="V921" s="73"/>
      <c r="W921" s="74"/>
      <c r="X921" s="664" t="s">
        <v>432</v>
      </c>
      <c r="AE921"/>
      <c r="AF921"/>
      <c r="AG921"/>
    </row>
    <row r="922" spans="1:33" ht="11.25" customHeight="1" thickTop="1">
      <c r="A922" s="611">
        <v>64</v>
      </c>
      <c r="L922" s="676" t="s">
        <v>432</v>
      </c>
      <c r="X922" s="664" t="s">
        <v>432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432</v>
      </c>
      <c r="M923" s="49"/>
      <c r="N923" s="49"/>
      <c r="O923" s="49"/>
      <c r="P923" s="49"/>
      <c r="Q923" s="49"/>
      <c r="R923" s="49"/>
      <c r="S923" s="49"/>
      <c r="T923" s="49"/>
      <c r="U923" s="49"/>
      <c r="V923" s="49"/>
      <c r="W923" s="49"/>
      <c r="X923" s="664" t="s">
        <v>432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432</v>
      </c>
      <c r="M924" s="49"/>
      <c r="N924" s="49"/>
      <c r="O924" s="49"/>
      <c r="P924" s="49"/>
      <c r="Q924" s="49"/>
      <c r="R924" s="49"/>
      <c r="S924" s="49"/>
      <c r="T924" s="49"/>
      <c r="U924" s="49"/>
      <c r="V924" s="49"/>
      <c r="W924" s="49"/>
      <c r="X924" s="664" t="s">
        <v>432</v>
      </c>
      <c r="AE924"/>
      <c r="AF924"/>
      <c r="AG924"/>
    </row>
    <row r="925" spans="1:33" ht="11.25" customHeight="1">
      <c r="A925" s="611">
        <v>1</v>
      </c>
      <c r="K925" s="131" t="str">
        <f>$F$2</f>
        <v>Medical University of South Carolina</v>
      </c>
      <c r="L925" s="676" t="s">
        <v>432</v>
      </c>
      <c r="W925" s="131" t="str">
        <f>$F$2</f>
        <v>Medical University of South Carolina</v>
      </c>
      <c r="X925" s="664" t="s">
        <v>432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432</v>
      </c>
      <c r="O926" s="50"/>
      <c r="P926" s="1"/>
      <c r="Q926" s="1"/>
      <c r="R926" s="82" t="str">
        <f>$F$464</f>
        <v>Measurement Data</v>
      </c>
      <c r="S926" s="1"/>
      <c r="T926" s="1"/>
      <c r="U926" s="1"/>
      <c r="V926" s="1"/>
      <c r="W926" s="132" t="str">
        <f>$F$5</f>
        <v>Radiographic System Compliance Inspection</v>
      </c>
      <c r="X926" s="664" t="s">
        <v>432</v>
      </c>
      <c r="AE926"/>
      <c r="AF926"/>
      <c r="AG926"/>
    </row>
    <row r="927" spans="1:33" ht="11.25" customHeight="1">
      <c r="A927" s="611">
        <v>3</v>
      </c>
      <c r="B927" s="1"/>
      <c r="C927" s="1"/>
      <c r="D927" s="1"/>
      <c r="E927" s="1"/>
      <c r="F927" s="327" t="s">
        <v>194</v>
      </c>
      <c r="G927" s="1"/>
      <c r="H927" s="1"/>
      <c r="I927" s="1"/>
      <c r="J927" s="1"/>
      <c r="L927" s="676" t="s">
        <v>432</v>
      </c>
      <c r="M927" s="615">
        <v>1</v>
      </c>
      <c r="N927" s="100" t="s">
        <v>16</v>
      </c>
      <c r="X927" s="664" t="s">
        <v>432</v>
      </c>
      <c r="AE927"/>
      <c r="AF927"/>
      <c r="AG927"/>
    </row>
    <row r="928" spans="1:33" ht="11.25" customHeight="1" thickBot="1">
      <c r="A928" s="611">
        <v>4</v>
      </c>
      <c r="L928" s="676" t="s">
        <v>432</v>
      </c>
      <c r="M928" s="514" t="s">
        <v>17</v>
      </c>
      <c r="N928" s="436"/>
      <c r="X928" s="664" t="s">
        <v>432</v>
      </c>
      <c r="AE928"/>
      <c r="AF928"/>
      <c r="AG928"/>
    </row>
    <row r="929" spans="1:33" ht="11.25" customHeight="1" thickTop="1">
      <c r="A929" s="611">
        <v>5</v>
      </c>
      <c r="B929" s="79"/>
      <c r="C929" s="62"/>
      <c r="D929" s="62"/>
      <c r="E929" s="62"/>
      <c r="F929" s="62"/>
      <c r="G929" s="62"/>
      <c r="H929" s="62"/>
      <c r="I929" s="62"/>
      <c r="J929" s="62"/>
      <c r="K929" s="80"/>
      <c r="L929" s="676" t="s">
        <v>432</v>
      </c>
      <c r="M929" s="79"/>
      <c r="N929" s="62"/>
      <c r="O929" s="62"/>
      <c r="P929" s="62"/>
      <c r="Q929" s="62"/>
      <c r="R929" s="62"/>
      <c r="S929" s="62"/>
      <c r="T929" s="433" t="s">
        <v>195</v>
      </c>
      <c r="U929" s="438"/>
      <c r="V929" s="62"/>
      <c r="W929" s="80"/>
      <c r="X929" s="664" t="s">
        <v>432</v>
      </c>
      <c r="AE929"/>
      <c r="AF929"/>
      <c r="AG929"/>
    </row>
    <row r="930" spans="1:33" ht="11.25" customHeight="1">
      <c r="A930" s="611">
        <v>6</v>
      </c>
      <c r="B930" s="127"/>
      <c r="K930" s="71"/>
      <c r="L930" s="676" t="s">
        <v>432</v>
      </c>
      <c r="M930" s="191" t="s">
        <v>196</v>
      </c>
      <c r="N930" s="53"/>
      <c r="O930" s="53"/>
      <c r="P930" s="109"/>
      <c r="Q930" s="3"/>
      <c r="R930" s="1"/>
      <c r="S930" s="1"/>
      <c r="T930" s="1"/>
      <c r="U930" s="634" t="s">
        <v>1210</v>
      </c>
      <c r="V930" s="1"/>
      <c r="W930" s="39"/>
      <c r="X930" s="664" t="s">
        <v>432</v>
      </c>
      <c r="AE930"/>
      <c r="AF930"/>
      <c r="AG930"/>
    </row>
    <row r="931" spans="1:33" ht="11.25" customHeight="1">
      <c r="A931" s="611">
        <v>7</v>
      </c>
      <c r="B931" s="127"/>
      <c r="K931" s="71"/>
      <c r="L931" s="676" t="s">
        <v>432</v>
      </c>
      <c r="M931" s="45"/>
      <c r="N931" s="1"/>
      <c r="O931" s="1"/>
      <c r="P931" s="1"/>
      <c r="Q931" s="3"/>
      <c r="R931" s="1"/>
      <c r="S931" s="1"/>
      <c r="T931" s="1"/>
      <c r="U931" s="1"/>
      <c r="V931" s="1"/>
      <c r="W931" s="39"/>
      <c r="X931" s="664" t="s">
        <v>432</v>
      </c>
      <c r="AE931"/>
      <c r="AF931"/>
      <c r="AG931"/>
    </row>
    <row r="932" spans="1:33" ht="11.25" customHeight="1">
      <c r="A932" s="611">
        <v>8</v>
      </c>
      <c r="B932" s="127"/>
      <c r="D932" t="str">
        <f>O934&amp;" Focal Spot"</f>
        <v>Large Focal Spot</v>
      </c>
      <c r="K932" s="71"/>
      <c r="L932" s="676" t="s">
        <v>432</v>
      </c>
      <c r="M932" s="45"/>
      <c r="N932" s="4" t="s">
        <v>99</v>
      </c>
      <c r="O932" s="4" t="s">
        <v>77</v>
      </c>
      <c r="P932" s="478" t="s">
        <v>78</v>
      </c>
      <c r="Q932" s="1"/>
      <c r="R932" s="4"/>
      <c r="S932" s="4" t="s">
        <v>80</v>
      </c>
      <c r="T932" s="29"/>
      <c r="U932" s="3" t="s">
        <v>81</v>
      </c>
      <c r="V932" s="1"/>
      <c r="W932" s="39"/>
      <c r="X932" s="664" t="s">
        <v>432</v>
      </c>
      <c r="AE932"/>
      <c r="AF932"/>
      <c r="AG932"/>
    </row>
    <row r="933" spans="1:33" ht="11.25" customHeight="1" thickBot="1">
      <c r="A933" s="611">
        <v>9</v>
      </c>
      <c r="B933" s="45"/>
      <c r="C933" s="37" t="s">
        <v>100</v>
      </c>
      <c r="D933" s="2">
        <f>IF(N934="","",N934)</f>
        <v>100</v>
      </c>
      <c r="E933" s="3" t="str">
        <f>N933</f>
        <v>cm</v>
      </c>
      <c r="F933" s="1"/>
      <c r="G933" s="1"/>
      <c r="H933" s="37" t="s">
        <v>628</v>
      </c>
      <c r="I933" s="35">
        <f>IF(R934="","",IF(LFMAS="mA",R934,""))</f>
        <v>400</v>
      </c>
      <c r="J933" s="1"/>
      <c r="K933" s="71"/>
      <c r="L933" s="676" t="s">
        <v>432</v>
      </c>
      <c r="M933" s="7" t="s">
        <v>197</v>
      </c>
      <c r="N933" s="6" t="str">
        <f>LFSDD</f>
        <v>cm</v>
      </c>
      <c r="O933" s="6" t="s">
        <v>83</v>
      </c>
      <c r="P933" s="479" t="s">
        <v>68</v>
      </c>
      <c r="Q933" s="6" t="s">
        <v>84</v>
      </c>
      <c r="R933" s="6" t="str">
        <f>IF(MIN($T$694:$T$701)&gt;0,LFMAS,IF(MIN($T$712:$T$717)&gt;0,SFMAS,"mA/mAs"))</f>
        <v>mA/mAs</v>
      </c>
      <c r="S933" s="6" t="s">
        <v>85</v>
      </c>
      <c r="T933" s="206" t="s">
        <v>86</v>
      </c>
      <c r="U933" s="6" t="s">
        <v>87</v>
      </c>
      <c r="V933" s="6" t="s">
        <v>85</v>
      </c>
      <c r="W933" s="23" t="s">
        <v>1080</v>
      </c>
      <c r="X933" s="664" t="s">
        <v>432</v>
      </c>
      <c r="AE933"/>
      <c r="AF933"/>
      <c r="AG933"/>
    </row>
    <row r="934" spans="1:33" ht="11.25" customHeight="1">
      <c r="A934" s="611">
        <v>10</v>
      </c>
      <c r="B934" s="45"/>
      <c r="C934" s="37" t="s">
        <v>198</v>
      </c>
      <c r="D934" s="35">
        <f>IF(Q934="","",Q934)</f>
        <v>80</v>
      </c>
      <c r="E934" s="1"/>
      <c r="F934" s="1" t="str">
        <f>IF(OR(MAXAVG="",AND(MAXAVG="Avg kV",U934=""),AND(MAXAVG="Max kV",T934="")),"","Measured")</f>
        <v/>
      </c>
      <c r="G934" s="1"/>
      <c r="H934" s="37" t="s">
        <v>630</v>
      </c>
      <c r="I934" s="38" t="str">
        <f>IF(R934="","",IF(LFMAS="mAs",R934,""))</f>
        <v/>
      </c>
      <c r="J934" s="1"/>
      <c r="K934" s="71"/>
      <c r="L934" s="676" t="s">
        <v>432</v>
      </c>
      <c r="M934" s="486">
        <v>0</v>
      </c>
      <c r="N934" s="359">
        <f>$N$694</f>
        <v>100</v>
      </c>
      <c r="O934" s="8" t="s">
        <v>71</v>
      </c>
      <c r="P934" s="1247"/>
      <c r="Q934" s="10">
        <f>$Q$695</f>
        <v>80</v>
      </c>
      <c r="R934" s="428">
        <f>IF(R694="","",R694)</f>
        <v>400</v>
      </c>
      <c r="S934" s="9">
        <f>IF(S694="","",S694)</f>
        <v>0.05</v>
      </c>
      <c r="T934" s="1249"/>
      <c r="U934" s="8" t="str">
        <f t="shared" ref="U934:W935" si="127">IF(U743="","",U743)</f>
        <v/>
      </c>
      <c r="V934" s="9" t="str">
        <f t="shared" si="127"/>
        <v/>
      </c>
      <c r="W934" s="444" t="str">
        <f t="shared" si="127"/>
        <v/>
      </c>
      <c r="X934" s="664" t="s">
        <v>432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93</v>
      </c>
      <c r="I935" s="36">
        <f>IF(S934="","",S934)</f>
        <v>0.05</v>
      </c>
      <c r="J935" s="1"/>
      <c r="K935" s="71"/>
      <c r="L935" s="676" t="s">
        <v>432</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432</v>
      </c>
      <c r="AE935"/>
      <c r="AF935"/>
      <c r="AG935"/>
    </row>
    <row r="936" spans="1:33" ht="11.25" customHeight="1">
      <c r="A936" s="611">
        <v>12</v>
      </c>
      <c r="B936" s="45"/>
      <c r="C936" s="2" t="s">
        <v>199</v>
      </c>
      <c r="D936" s="8" t="s">
        <v>1080</v>
      </c>
      <c r="E936" s="8" t="s">
        <v>1080</v>
      </c>
      <c r="F936" s="8" t="s">
        <v>486</v>
      </c>
      <c r="G936" s="1"/>
      <c r="H936" s="1"/>
      <c r="I936" s="1"/>
      <c r="J936" s="1"/>
      <c r="K936" s="71"/>
      <c r="L936" s="676" t="s">
        <v>432</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432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432</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432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200</v>
      </c>
      <c r="I938" s="2" t="e">
        <f>HVL</f>
        <v>#DIV/0!</v>
      </c>
      <c r="J938" s="1"/>
      <c r="K938" s="71"/>
      <c r="L938" s="676" t="s">
        <v>432</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432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1077</v>
      </c>
      <c r="I939" s="1158" t="str">
        <f>IF(S959="","",S959)</f>
        <v>TBD</v>
      </c>
      <c r="J939" s="1"/>
      <c r="K939" s="71"/>
      <c r="L939" s="676" t="s">
        <v>432</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432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432</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432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432</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432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201</v>
      </c>
      <c r="I942" s="314" t="s">
        <v>202</v>
      </c>
      <c r="J942" s="414" t="s">
        <v>203</v>
      </c>
      <c r="K942" s="71"/>
      <c r="L942" s="676" t="s">
        <v>432</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432</v>
      </c>
      <c r="AE942"/>
      <c r="AF942"/>
      <c r="AG942"/>
    </row>
    <row r="943" spans="1:33" ht="11.25" customHeight="1" thickBot="1">
      <c r="A943" s="611">
        <v>19</v>
      </c>
      <c r="B943" s="45"/>
      <c r="C943" s="3" t="s">
        <v>204</v>
      </c>
      <c r="D943" s="1"/>
      <c r="E943" s="1"/>
      <c r="F943" s="1"/>
      <c r="G943" s="320" t="s">
        <v>486</v>
      </c>
      <c r="H943" s="315" t="s">
        <v>205</v>
      </c>
      <c r="I943" s="315" t="s">
        <v>205</v>
      </c>
      <c r="J943" s="415" t="s">
        <v>205</v>
      </c>
      <c r="K943" s="71"/>
      <c r="L943" s="676" t="s">
        <v>432</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432</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432</v>
      </c>
      <c r="M944" s="635"/>
      <c r="N944" s="359" t="str">
        <f>IF(M944="","",$N$934)</f>
        <v/>
      </c>
      <c r="O944" s="8" t="str">
        <f t="shared" si="129"/>
        <v/>
      </c>
      <c r="P944" s="1247"/>
      <c r="Q944" s="10" t="str">
        <f>IF(M944="","",Q943)</f>
        <v/>
      </c>
      <c r="R944" s="428" t="str">
        <f>IF(M944="","",R943)</f>
        <v/>
      </c>
      <c r="S944" s="9" t="str">
        <f>IF(M944="","",S943)</f>
        <v/>
      </c>
      <c r="T944" s="1251"/>
      <c r="U944" s="636"/>
      <c r="V944" s="637"/>
      <c r="W944" s="638"/>
      <c r="X944" s="664" t="s">
        <v>432</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432</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432</v>
      </c>
    </row>
    <row r="946" spans="1:34" ht="11.25" customHeight="1">
      <c r="A946" s="611">
        <v>22</v>
      </c>
      <c r="B946" s="127"/>
      <c r="C946" s="405"/>
      <c r="D946" s="406" t="s">
        <v>206</v>
      </c>
      <c r="E946" s="406"/>
      <c r="F946" s="407"/>
      <c r="G946" s="322">
        <f t="shared" si="130"/>
        <v>80</v>
      </c>
      <c r="H946" s="351">
        <f t="shared" si="130"/>
        <v>2.9</v>
      </c>
      <c r="I946" s="317">
        <f t="shared" si="130"/>
        <v>2.9</v>
      </c>
      <c r="J946" s="416">
        <f t="shared" si="130"/>
        <v>3.3</v>
      </c>
      <c r="K946" s="71"/>
      <c r="L946" s="676" t="s">
        <v>432</v>
      </c>
      <c r="M946" s="127"/>
      <c r="N946" s="54" t="s">
        <v>573</v>
      </c>
      <c r="O946" s="713" t="str">
        <f>IF(O948&lt;&gt;"",O948,IF(OR(AB449=0,AB449=""),"",AB449))</f>
        <v/>
      </c>
      <c r="P946" s="2"/>
      <c r="Q946" s="2"/>
      <c r="R946" s="2"/>
      <c r="S946" s="2"/>
      <c r="T946" s="2"/>
      <c r="U946" s="2"/>
      <c r="V946" s="2"/>
      <c r="W946" s="31"/>
      <c r="X946" s="664" t="s">
        <v>432</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432</v>
      </c>
      <c r="M947" s="85"/>
      <c r="N947" s="609" t="s">
        <v>303</v>
      </c>
      <c r="O947" s="59"/>
      <c r="P947" s="921">
        <f>LEN(O946)</f>
        <v>0</v>
      </c>
      <c r="Q947" s="2"/>
      <c r="R947" s="2"/>
      <c r="S947" s="2"/>
      <c r="T947" s="2"/>
      <c r="U947" s="2"/>
      <c r="V947" s="2"/>
      <c r="W947" s="31"/>
      <c r="X947" s="664" t="s">
        <v>432</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432</v>
      </c>
      <c r="M948" s="45"/>
      <c r="N948" s="1024" t="s">
        <v>640</v>
      </c>
      <c r="O948" s="1026"/>
      <c r="P948" s="2"/>
      <c r="Q948" s="2"/>
      <c r="R948" s="2"/>
      <c r="S948" s="2"/>
      <c r="T948" s="2"/>
      <c r="U948" s="2"/>
      <c r="V948" s="2"/>
      <c r="W948" s="31"/>
      <c r="X948" s="664" t="s">
        <v>432</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432</v>
      </c>
      <c r="M949" s="288" t="s">
        <v>207</v>
      </c>
      <c r="N949" s="1"/>
      <c r="O949" s="1"/>
      <c r="P949" s="1"/>
      <c r="Q949" s="1" t="str">
        <f>IF(AND(U930="",T934&lt;&gt;""),"Meas.",IF(MAXAVG="","Set",MAXAVG))</f>
        <v>Avg kV</v>
      </c>
      <c r="R949" s="1"/>
      <c r="S949" s="3"/>
      <c r="T949" s="1"/>
      <c r="V949" s="1"/>
      <c r="W949" s="39"/>
      <c r="X949" s="664" t="s">
        <v>432</v>
      </c>
      <c r="Z949" s="3"/>
      <c r="AA949" s="434" t="s">
        <v>18</v>
      </c>
      <c r="AB949" s="53"/>
      <c r="AC949" s="1"/>
      <c r="AD949" s="1"/>
      <c r="AE949" s="556"/>
      <c r="AF949" s="558" t="s">
        <v>1220</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432</v>
      </c>
      <c r="M950" s="7" t="s">
        <v>208</v>
      </c>
      <c r="N950" s="5" t="s">
        <v>209</v>
      </c>
      <c r="O950" s="5" t="s">
        <v>211</v>
      </c>
      <c r="P950" s="5" t="s">
        <v>212</v>
      </c>
      <c r="Q950" s="5" t="s">
        <v>486</v>
      </c>
      <c r="R950" s="1"/>
      <c r="S950" s="5" t="str">
        <f>"HVL @"&amp;ROUND(avgkvp,2)&amp;" kVp ("&amp;IF(AND(U930="",T934&lt;&gt;""),"Meas.",IF(MAXAVG="","Set",MAXAVG))&amp;")"</f>
        <v>HVL @80 kVp (Avg kV)</v>
      </c>
      <c r="T950" s="1"/>
      <c r="U950" s="437" t="str">
        <f>"Criteria:  "&amp;IF(M927=1,"SC DES STANDARD","MUSC STANDARD")</f>
        <v>Criteria:  SC DES STANDARD</v>
      </c>
      <c r="W950" s="71"/>
      <c r="X950" s="664" t="s">
        <v>432</v>
      </c>
      <c r="Z950" s="1"/>
      <c r="AA950" s="318" t="s">
        <v>591</v>
      </c>
      <c r="AD950" s="1"/>
      <c r="AF950" s="560" t="s">
        <v>591</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432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201</v>
      </c>
      <c r="V951" s="314" t="s">
        <v>202</v>
      </c>
      <c r="W951" s="319" t="s">
        <v>203</v>
      </c>
      <c r="X951" s="664" t="s">
        <v>432</v>
      </c>
      <c r="Z951" s="1"/>
      <c r="AA951" s="314" t="s">
        <v>201</v>
      </c>
      <c r="AB951" s="314" t="s">
        <v>202</v>
      </c>
      <c r="AC951" s="414" t="s">
        <v>203</v>
      </c>
      <c r="AD951" s="1"/>
      <c r="AF951" s="561" t="s">
        <v>201</v>
      </c>
      <c r="AG951" s="561" t="s">
        <v>202</v>
      </c>
      <c r="AH951" s="562" t="s">
        <v>203</v>
      </c>
    </row>
    <row r="952" spans="1:34" ht="11.25" customHeight="1" thickTop="1" thickBot="1">
      <c r="A952" s="611">
        <v>28</v>
      </c>
      <c r="B952" s="102" t="s">
        <v>573</v>
      </c>
      <c r="C952" s="922" t="str">
        <f>IF(O946="","",IF(LEN(O946)&lt;=135,O946,IF(LEN(O946)&lt;=260,LEFT(O946,SEARCH(" ",O946,125)),LEFT(O946,SEARCH(" ",O946,130)))))</f>
        <v/>
      </c>
      <c r="D952" s="2"/>
      <c r="E952" s="2"/>
      <c r="F952" s="2"/>
      <c r="G952" s="2"/>
      <c r="H952" s="2"/>
      <c r="I952" s="2"/>
      <c r="J952" s="2"/>
      <c r="K952" s="71"/>
      <c r="L952" s="676" t="s">
        <v>432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486</v>
      </c>
      <c r="U952" s="316" t="s">
        <v>205</v>
      </c>
      <c r="V952" s="316" t="s">
        <v>205</v>
      </c>
      <c r="W952" s="321" t="s">
        <v>205</v>
      </c>
      <c r="X952" s="664" t="s">
        <v>432</v>
      </c>
      <c r="Z952" s="320" t="s">
        <v>486</v>
      </c>
      <c r="AA952" s="316" t="s">
        <v>205</v>
      </c>
      <c r="AB952" s="316" t="s">
        <v>205</v>
      </c>
      <c r="AC952" s="548" t="s">
        <v>205</v>
      </c>
      <c r="AD952" s="1"/>
      <c r="AE952" s="563" t="s">
        <v>486</v>
      </c>
      <c r="AF952" s="564" t="s">
        <v>205</v>
      </c>
      <c r="AG952" s="564" t="s">
        <v>205</v>
      </c>
      <c r="AH952" s="565" t="s">
        <v>205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432</v>
      </c>
      <c r="M953" s="46" t="str">
        <f>IF(M938="","",M938)</f>
        <v/>
      </c>
      <c r="N953" s="14" t="str">
        <f>IF(MIN(W938:W939)=0,"",AVERAGE(W938:W939))</f>
        <v/>
      </c>
      <c r="O953" s="14" t="str">
        <f>IF(EXP_2="","",ABS(EXP_2-EXP_0/2))</f>
        <v/>
      </c>
      <c r="P953" s="1"/>
      <c r="Q953" s="1"/>
      <c r="R953" s="465" t="s">
        <v>213</v>
      </c>
      <c r="S953" s="410"/>
      <c r="T953" s="322">
        <f t="shared" ref="T953:W954" si="131">IF($M$927=1,AE957,Z953)</f>
        <v>60</v>
      </c>
      <c r="U953" s="351">
        <f t="shared" si="131"/>
        <v>1.5</v>
      </c>
      <c r="V953" s="317">
        <f t="shared" si="131"/>
        <v>1.5</v>
      </c>
      <c r="W953" s="323">
        <f t="shared" si="131"/>
        <v>1.9</v>
      </c>
      <c r="X953" s="664" t="s">
        <v>432</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432</v>
      </c>
      <c r="M954" s="46" t="str">
        <f>IF(M940="","",M940)</f>
        <v/>
      </c>
      <c r="N954" s="14" t="str">
        <f>IF(MIN(W940:W941)=0,"",AVERAGE(W940:W941))</f>
        <v/>
      </c>
      <c r="O954" s="14" t="str">
        <f>IF(EXP_3="","",ABS(EXP_3-EXP_0/2))</f>
        <v/>
      </c>
      <c r="P954" s="5" t="s">
        <v>214</v>
      </c>
      <c r="Q954" s="5" t="s">
        <v>215</v>
      </c>
      <c r="R954" s="411" t="s">
        <v>216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432</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432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217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432</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432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218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432</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432</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432</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432</v>
      </c>
      <c r="M958" s="45"/>
      <c r="N958" s="1"/>
      <c r="P958" s="1"/>
      <c r="Q958" s="1"/>
      <c r="R958" s="749" t="s">
        <v>590</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432</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432</v>
      </c>
      <c r="M959" s="45"/>
      <c r="N959" s="1"/>
      <c r="O959" s="1"/>
      <c r="P959" s="1"/>
      <c r="Q959" s="1"/>
      <c r="R959" s="749" t="s">
        <v>1076</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432</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432</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432</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432</v>
      </c>
      <c r="X961" s="664" t="s">
        <v>432</v>
      </c>
      <c r="AE961" s="566">
        <v>90</v>
      </c>
      <c r="AF961" s="567">
        <v>3.2</v>
      </c>
      <c r="AG961" s="567">
        <v>3.2</v>
      </c>
      <c r="AH961" s="568">
        <f t="shared" ref="AH961:AH967" si="139">AG961+0.4</f>
        <v>3.6</v>
      </c>
    </row>
    <row r="962" spans="1:34" ht="11.25" customHeight="1">
      <c r="A962" s="611">
        <v>38</v>
      </c>
      <c r="L962" s="676" t="s">
        <v>432</v>
      </c>
      <c r="R962" s="712" t="s">
        <v>397</v>
      </c>
      <c r="S962" s="713" t="str">
        <f>IF(OR(AB480=0,AB480=""),"",AB480)</f>
        <v/>
      </c>
      <c r="X962" s="664" t="s">
        <v>432</v>
      </c>
      <c r="AE962" s="566">
        <v>100</v>
      </c>
      <c r="AF962" s="567">
        <v>3.6</v>
      </c>
      <c r="AG962" s="567">
        <v>3.6</v>
      </c>
      <c r="AH962" s="568">
        <f t="shared" si="139"/>
        <v>4</v>
      </c>
    </row>
    <row r="963" spans="1:34" ht="11.25" customHeight="1">
      <c r="A963" s="611">
        <v>39</v>
      </c>
      <c r="L963" s="676" t="s">
        <v>432</v>
      </c>
      <c r="S963" s="727" t="str">
        <f>IF(OR(AB481=0,AB481=""),"",AB481)</f>
        <v/>
      </c>
      <c r="X963" s="664" t="s">
        <v>432</v>
      </c>
      <c r="AE963" s="566">
        <v>110</v>
      </c>
      <c r="AF963" s="567">
        <v>3.9</v>
      </c>
      <c r="AG963" s="567">
        <v>3.9</v>
      </c>
      <c r="AH963" s="568">
        <f t="shared" si="139"/>
        <v>4.3</v>
      </c>
    </row>
    <row r="964" spans="1:34" ht="11.25" customHeight="1">
      <c r="A964" s="611">
        <v>40</v>
      </c>
      <c r="L964" s="676" t="s">
        <v>432</v>
      </c>
      <c r="X964" s="664" t="s">
        <v>432</v>
      </c>
      <c r="AE964" s="566">
        <v>120</v>
      </c>
      <c r="AF964" s="572">
        <f>TREND(AF960:AF963,AE960:AE963,AE964)</f>
        <v>4.25</v>
      </c>
      <c r="AG964" s="567">
        <v>4.25</v>
      </c>
      <c r="AH964" s="568">
        <f t="shared" si="139"/>
        <v>4.6500000000000004</v>
      </c>
    </row>
    <row r="965" spans="1:34" ht="11.25" customHeight="1">
      <c r="A965" s="611">
        <v>41</v>
      </c>
      <c r="L965" s="676" t="s">
        <v>432</v>
      </c>
      <c r="X965" s="664" t="s">
        <v>432</v>
      </c>
      <c r="AE965" s="566">
        <v>130</v>
      </c>
      <c r="AF965" s="567">
        <v>4.7</v>
      </c>
      <c r="AG965" s="567">
        <v>4.7</v>
      </c>
      <c r="AH965" s="568">
        <f t="shared" si="139"/>
        <v>5.1000000000000005</v>
      </c>
    </row>
    <row r="966" spans="1:34" ht="11.25" customHeight="1">
      <c r="A966" s="611">
        <v>42</v>
      </c>
      <c r="L966" s="676" t="s">
        <v>432</v>
      </c>
      <c r="X966" s="664" t="s">
        <v>432</v>
      </c>
      <c r="AE966" s="566">
        <v>140</v>
      </c>
      <c r="AF966" s="572">
        <f>TREND(AF962:AF965,AE962:AE965,AE966)</f>
        <v>5.0249999999999995</v>
      </c>
      <c r="AG966" s="567">
        <v>5.0249999999999995</v>
      </c>
      <c r="AH966" s="568">
        <f t="shared" si="139"/>
        <v>5.4249999999999998</v>
      </c>
    </row>
    <row r="967" spans="1:34" ht="11.25" customHeight="1">
      <c r="A967" s="611">
        <v>43</v>
      </c>
      <c r="L967" s="676" t="s">
        <v>432</v>
      </c>
      <c r="X967" s="664" t="s">
        <v>432</v>
      </c>
      <c r="AE967" s="566">
        <v>150</v>
      </c>
      <c r="AF967" s="567">
        <v>5.4</v>
      </c>
      <c r="AG967" s="567">
        <v>5.4</v>
      </c>
      <c r="AH967" s="568">
        <f t="shared" si="139"/>
        <v>5.8000000000000007</v>
      </c>
    </row>
    <row r="968" spans="1:34" ht="11.25" customHeight="1">
      <c r="A968" s="611">
        <v>44</v>
      </c>
      <c r="L968" s="676" t="s">
        <v>432</v>
      </c>
      <c r="O968" s="457"/>
      <c r="X968" s="664" t="s">
        <v>432</v>
      </c>
    </row>
    <row r="969" spans="1:34" ht="11.25" customHeight="1">
      <c r="A969" s="611">
        <v>45</v>
      </c>
      <c r="L969" s="676" t="s">
        <v>432</v>
      </c>
      <c r="O969" s="457"/>
      <c r="X969" s="664" t="s">
        <v>432</v>
      </c>
    </row>
    <row r="970" spans="1:34" ht="11.25" customHeight="1">
      <c r="A970" s="611">
        <v>46</v>
      </c>
      <c r="L970" s="676" t="s">
        <v>432</v>
      </c>
      <c r="O970" s="457"/>
      <c r="X970" s="664" t="s">
        <v>432</v>
      </c>
    </row>
    <row r="971" spans="1:34" ht="11.25" customHeight="1">
      <c r="A971" s="611">
        <v>47</v>
      </c>
      <c r="L971" s="676" t="s">
        <v>432</v>
      </c>
      <c r="O971" s="457"/>
      <c r="X971" s="664" t="s">
        <v>432</v>
      </c>
    </row>
    <row r="972" spans="1:34" ht="11.25" customHeight="1">
      <c r="A972" s="611">
        <v>48</v>
      </c>
      <c r="L972" s="676" t="s">
        <v>432</v>
      </c>
      <c r="O972" s="457"/>
      <c r="X972" s="664" t="s">
        <v>432</v>
      </c>
    </row>
    <row r="973" spans="1:34" ht="11.25" customHeight="1">
      <c r="A973" s="611">
        <v>49</v>
      </c>
      <c r="L973" s="676" t="s">
        <v>432</v>
      </c>
      <c r="O973" s="457"/>
      <c r="X973" s="664" t="s">
        <v>432</v>
      </c>
    </row>
    <row r="974" spans="1:34" ht="11.25" customHeight="1">
      <c r="A974" s="611">
        <v>50</v>
      </c>
      <c r="L974" s="676" t="s">
        <v>432</v>
      </c>
      <c r="X974" s="664" t="s">
        <v>432</v>
      </c>
    </row>
    <row r="975" spans="1:34" ht="11.25" customHeight="1">
      <c r="A975" s="611">
        <v>51</v>
      </c>
      <c r="L975" s="676" t="s">
        <v>432</v>
      </c>
      <c r="X975" s="664" t="s">
        <v>432</v>
      </c>
    </row>
    <row r="976" spans="1:34" ht="11.25" customHeight="1" thickBot="1">
      <c r="A976" s="611">
        <v>52</v>
      </c>
      <c r="L976" s="676" t="s">
        <v>432</v>
      </c>
      <c r="M976" s="1298" t="str">
        <f>ROUND(I937,1)&amp;" kV"</f>
        <v>80 kV</v>
      </c>
      <c r="N976" s="1298"/>
      <c r="X976" s="664" t="s">
        <v>432</v>
      </c>
    </row>
    <row r="977" spans="1:26" ht="11.25" customHeight="1" thickBot="1">
      <c r="A977" s="611">
        <v>53</v>
      </c>
      <c r="L977" s="676" t="s">
        <v>432</v>
      </c>
      <c r="M977" s="336" t="s">
        <v>208</v>
      </c>
      <c r="N977" s="880" t="s">
        <v>209</v>
      </c>
      <c r="X977" s="664" t="s">
        <v>432</v>
      </c>
      <c r="Y977" s="49"/>
      <c r="Z977" s="49"/>
    </row>
    <row r="978" spans="1:26" ht="11.25" customHeight="1">
      <c r="A978" s="611">
        <v>54</v>
      </c>
      <c r="L978" s="676" t="s">
        <v>432</v>
      </c>
      <c r="M978" s="881" t="e">
        <f>IF(HVL="TBD","TBD",SMALL($M$951:$M$957,2))</f>
        <v>#DIV/0!</v>
      </c>
      <c r="N978" s="882" t="e">
        <f>IF(HVL="TBD","TBD",IF(M978="",NA(),INDEX($N$951:$N$957,MATCH(M978,$M$951:$M$957,0))))</f>
        <v>#DIV/0!</v>
      </c>
      <c r="X978" s="664" t="s">
        <v>432</v>
      </c>
      <c r="Y978" s="49"/>
      <c r="Z978" s="49"/>
    </row>
    <row r="979" spans="1:26" ht="11.25" customHeight="1">
      <c r="A979" s="611">
        <v>55</v>
      </c>
      <c r="L979" s="676" t="s">
        <v>432</v>
      </c>
      <c r="M979" s="883" t="e">
        <f>IF(HVL="TBD","TBD",SMALL($M$951:$M$957,3))</f>
        <v>#DIV/0!</v>
      </c>
      <c r="N979" s="882" t="e">
        <f t="shared" ref="N979:N983" si="140">IF(HVL="TBD","TBD",IF(M979="",NA(),INDEX($N$951:$N$957,MATCH(M979,$M$951:$M$957,0))))</f>
        <v>#DIV/0!</v>
      </c>
      <c r="X979" s="664" t="s">
        <v>432</v>
      </c>
    </row>
    <row r="980" spans="1:26" ht="11.25" customHeight="1">
      <c r="A980" s="611">
        <v>56</v>
      </c>
      <c r="L980" s="676" t="s">
        <v>432</v>
      </c>
      <c r="M980" s="883" t="e">
        <f>IF(HVL="TBD","TBD",SMALL($M$951:$M$957,4))</f>
        <v>#DIV/0!</v>
      </c>
      <c r="N980" s="882" t="e">
        <f t="shared" si="140"/>
        <v>#DIV/0!</v>
      </c>
      <c r="X980" s="664" t="s">
        <v>432</v>
      </c>
    </row>
    <row r="981" spans="1:26" ht="11.25" customHeight="1">
      <c r="A981" s="611">
        <v>57</v>
      </c>
      <c r="L981" s="676" t="s">
        <v>432</v>
      </c>
      <c r="M981" s="883" t="e">
        <f>IF(HVL="TBD","TBD",IF(ALUM_3="",NA(),SMALL($M$951:$M$957,5)))</f>
        <v>#DIV/0!</v>
      </c>
      <c r="N981" s="882" t="e">
        <f t="shared" si="140"/>
        <v>#DIV/0!</v>
      </c>
      <c r="X981" s="664" t="s">
        <v>432</v>
      </c>
    </row>
    <row r="982" spans="1:26" ht="11.25" customHeight="1">
      <c r="A982" s="611">
        <v>58</v>
      </c>
      <c r="L982" s="676" t="s">
        <v>432</v>
      </c>
      <c r="M982" s="883" t="e">
        <f>IF(HVL="TBD","TBD",IF(ALUM_4="",NA(),SMALL($M$951:$M$957,6)))</f>
        <v>#DIV/0!</v>
      </c>
      <c r="N982" s="882" t="e">
        <f t="shared" si="140"/>
        <v>#DIV/0!</v>
      </c>
      <c r="X982" s="664" t="s">
        <v>432</v>
      </c>
    </row>
    <row r="983" spans="1:26" ht="11.25" customHeight="1" thickBot="1">
      <c r="A983" s="611">
        <v>59</v>
      </c>
      <c r="L983" s="676" t="s">
        <v>432</v>
      </c>
      <c r="M983" s="884" t="e">
        <f>IF(HVL="TBD","TBD",IF(ALUM_5="",NA(),SMALL($M$951:$M$957,7)))</f>
        <v>#DIV/0!</v>
      </c>
      <c r="N983" s="885" t="e">
        <f t="shared" si="140"/>
        <v>#DIV/0!</v>
      </c>
      <c r="X983" s="664" t="s">
        <v>432</v>
      </c>
    </row>
    <row r="984" spans="1:26" ht="11.25" customHeight="1">
      <c r="A984" s="611">
        <v>60</v>
      </c>
      <c r="L984" s="676" t="s">
        <v>432</v>
      </c>
      <c r="X984" s="664" t="s">
        <v>432</v>
      </c>
    </row>
    <row r="985" spans="1:26" ht="11.25" customHeight="1">
      <c r="A985" s="611">
        <v>61</v>
      </c>
      <c r="L985" s="676" t="s">
        <v>432</v>
      </c>
      <c r="X985" s="664" t="s">
        <v>432</v>
      </c>
    </row>
    <row r="986" spans="1:26" ht="11.25" customHeight="1">
      <c r="A986" s="611">
        <v>62</v>
      </c>
      <c r="L986" s="676" t="s">
        <v>432</v>
      </c>
      <c r="X986" s="664" t="s">
        <v>432</v>
      </c>
    </row>
    <row r="987" spans="1:26" ht="11.25" customHeight="1">
      <c r="A987" s="611">
        <v>63</v>
      </c>
      <c r="L987" s="676" t="s">
        <v>432</v>
      </c>
      <c r="X987" s="664" t="s">
        <v>432</v>
      </c>
    </row>
    <row r="988" spans="1:26" ht="11.25" customHeight="1">
      <c r="A988" s="611">
        <v>64</v>
      </c>
      <c r="L988" s="676" t="s">
        <v>432</v>
      </c>
      <c r="X988" s="664" t="s">
        <v>432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432</v>
      </c>
      <c r="X989" s="664" t="s">
        <v>432</v>
      </c>
    </row>
    <row r="990" spans="1:26" ht="11.25" customHeight="1">
      <c r="A990" s="611">
        <v>66</v>
      </c>
      <c r="B990" s="52" t="str">
        <v>Room Number:</v>
      </c>
      <c r="C990" s="373" t="str">
        <v/>
      </c>
      <c r="D990" s="49"/>
      <c r="E990" s="49"/>
      <c r="F990" s="49"/>
      <c r="G990" s="49"/>
      <c r="H990" s="49"/>
      <c r="I990" s="52" t="str">
        <v>Survey ID:</v>
      </c>
      <c r="J990" s="1045" t="str">
        <v/>
      </c>
      <c r="L990" s="676" t="s">
        <v>432</v>
      </c>
      <c r="P990" s="1004"/>
      <c r="X990" s="664" t="s">
        <v>432</v>
      </c>
    </row>
    <row r="991" spans="1:26" ht="11.25" customHeight="1">
      <c r="A991" s="611">
        <v>1</v>
      </c>
      <c r="B991" s="1"/>
      <c r="C991" s="1"/>
      <c r="D991" s="1"/>
      <c r="E991" s="1"/>
      <c r="H991" s="1"/>
      <c r="I991" s="1"/>
      <c r="J991" s="1"/>
      <c r="K991" s="131" t="str">
        <f>$F$2</f>
        <v>Medical University of South Carolina</v>
      </c>
      <c r="L991" s="676" t="s">
        <v>432</v>
      </c>
      <c r="M991" s="1"/>
      <c r="N991" s="1"/>
      <c r="O991" s="1"/>
      <c r="P991" s="804"/>
      <c r="Q991" s="1"/>
      <c r="S991" s="1"/>
      <c r="T991" s="1"/>
      <c r="U991" s="1"/>
      <c r="V991" s="1"/>
      <c r="W991" s="131" t="str">
        <f>$F$2</f>
        <v>Medical University of South Carolina</v>
      </c>
      <c r="X991" s="664" t="s">
        <v>432</v>
      </c>
    </row>
    <row r="992" spans="1:26" ht="11.25" customHeight="1">
      <c r="A992" s="611">
        <v>2</v>
      </c>
      <c r="F992" s="82" t="str">
        <f>$F$464</f>
        <v>Measurement Data</v>
      </c>
      <c r="K992" s="132" t="str">
        <f>$F$5</f>
        <v>Radiographic System Compliance Inspection</v>
      </c>
      <c r="L992" s="676" t="s">
        <v>432</v>
      </c>
      <c r="Q992" s="82" t="str">
        <f>$F$464</f>
        <v>Measurement Data</v>
      </c>
      <c r="W992" s="132" t="str">
        <f>$F$5</f>
        <v>Radiographic System Compliance Inspection</v>
      </c>
      <c r="X992" s="664" t="s">
        <v>432</v>
      </c>
    </row>
    <row r="993" spans="1:27" ht="11.25" customHeight="1" thickBot="1">
      <c r="A993" s="611">
        <v>3</v>
      </c>
      <c r="L993" s="676" t="s">
        <v>432</v>
      </c>
      <c r="X993" s="664" t="s">
        <v>432</v>
      </c>
    </row>
    <row r="994" spans="1:27" ht="11.25" customHeight="1">
      <c r="A994" s="611">
        <v>4</v>
      </c>
      <c r="B994" s="344"/>
      <c r="C994" s="345"/>
      <c r="D994" s="345"/>
      <c r="E994" s="345"/>
      <c r="F994" s="345"/>
      <c r="G994" s="345"/>
      <c r="H994" s="345"/>
      <c r="I994" s="345"/>
      <c r="J994" s="345"/>
      <c r="K994" s="346"/>
      <c r="L994" s="676" t="s">
        <v>432</v>
      </c>
      <c r="M994" s="344"/>
      <c r="N994" s="345"/>
      <c r="O994" s="345"/>
      <c r="P994" s="345"/>
      <c r="Q994" s="345"/>
      <c r="R994" s="345"/>
      <c r="S994" s="345"/>
      <c r="T994" s="345"/>
      <c r="U994" s="345"/>
      <c r="V994" s="345"/>
      <c r="W994" s="346"/>
      <c r="X994" s="664" t="s">
        <v>432</v>
      </c>
    </row>
    <row r="995" spans="1:27" ht="11.25" customHeight="1">
      <c r="A995" s="611">
        <v>5</v>
      </c>
      <c r="B995" s="347"/>
      <c r="F995" s="82" t="str">
        <f>IF(R995="","",R995)</f>
        <v>PHOTOTIMING</v>
      </c>
      <c r="K995" s="348"/>
      <c r="L995" s="676" t="s">
        <v>432</v>
      </c>
      <c r="M995" s="347"/>
      <c r="R995" s="82" t="s">
        <v>219</v>
      </c>
      <c r="W995" s="348"/>
      <c r="X995" s="664" t="s">
        <v>432</v>
      </c>
    </row>
    <row r="996" spans="1:27" ht="11.25" customHeight="1" thickBot="1">
      <c r="A996" s="611">
        <v>6</v>
      </c>
      <c r="B996" s="453"/>
      <c r="C996" s="349"/>
      <c r="D996" s="349"/>
      <c r="E996" s="349"/>
      <c r="F996" s="349"/>
      <c r="G996" s="349"/>
      <c r="H996" s="349"/>
      <c r="I996" s="349"/>
      <c r="J996" s="349"/>
      <c r="K996" s="350"/>
      <c r="L996" s="676" t="s">
        <v>432</v>
      </c>
      <c r="M996" s="206"/>
      <c r="N996" s="349"/>
      <c r="O996" s="349"/>
      <c r="P996" s="349"/>
      <c r="Q996" s="349"/>
      <c r="R996" s="349"/>
      <c r="S996" s="349"/>
      <c r="T996" s="349"/>
      <c r="U996" s="349"/>
      <c r="V996" s="349"/>
      <c r="W996" s="350"/>
      <c r="X996" s="664" t="s">
        <v>432</v>
      </c>
    </row>
    <row r="997" spans="1:27" ht="11.25" customHeight="1" thickBot="1">
      <c r="A997" s="611">
        <v>7</v>
      </c>
      <c r="L997" s="676" t="s">
        <v>432</v>
      </c>
      <c r="Q997" s="190"/>
      <c r="X997" s="664" t="s">
        <v>432</v>
      </c>
    </row>
    <row r="998" spans="1:27" ht="11.25" customHeight="1" thickTop="1" thickBot="1">
      <c r="A998" s="611">
        <v>8</v>
      </c>
      <c r="B998" s="79"/>
      <c r="C998" s="62"/>
      <c r="D998" s="62"/>
      <c r="E998" s="62"/>
      <c r="F998" s="62"/>
      <c r="G998" s="62"/>
      <c r="H998" s="62"/>
      <c r="I998" s="62"/>
      <c r="J998" s="62"/>
      <c r="K998" s="80"/>
      <c r="L998" s="676" t="s">
        <v>432</v>
      </c>
      <c r="M998" s="79"/>
      <c r="N998" s="62"/>
      <c r="O998" s="62"/>
      <c r="P998" s="62"/>
      <c r="Q998" s="62"/>
      <c r="R998" s="62"/>
      <c r="S998" s="62"/>
      <c r="T998" s="62"/>
      <c r="U998" s="62"/>
      <c r="V998" s="62"/>
      <c r="W998" s="80"/>
      <c r="X998" s="664" t="s">
        <v>432</v>
      </c>
    </row>
    <row r="999" spans="1:27" ht="11.25" customHeight="1" thickBot="1">
      <c r="A999" s="611">
        <v>9</v>
      </c>
      <c r="B999" s="45"/>
      <c r="C999" s="1"/>
      <c r="D999" s="1"/>
      <c r="E999" s="1"/>
      <c r="F999" s="190" t="s">
        <v>220</v>
      </c>
      <c r="H999" s="1"/>
      <c r="I999" s="1"/>
      <c r="J999" s="1"/>
      <c r="K999" s="39"/>
      <c r="L999" s="676" t="s">
        <v>432</v>
      </c>
      <c r="M999" s="212" t="s">
        <v>221</v>
      </c>
      <c r="Q999" s="642" t="s">
        <v>210</v>
      </c>
      <c r="R999" s="1"/>
      <c r="S999" s="3"/>
      <c r="W999" s="71"/>
      <c r="X999" s="664" t="s">
        <v>432</v>
      </c>
    </row>
    <row r="1000" spans="1:27" ht="11.25" customHeight="1" thickBot="1">
      <c r="A1000" s="611">
        <v>10</v>
      </c>
      <c r="B1000" s="127"/>
      <c r="K1000" s="71"/>
      <c r="L1000" s="676" t="s">
        <v>432</v>
      </c>
      <c r="M1000" s="894" t="s">
        <v>653</v>
      </c>
      <c r="N1000" s="895"/>
      <c r="O1000" s="1"/>
      <c r="P1000" s="1"/>
      <c r="Q1000" s="642" t="s">
        <v>596</v>
      </c>
      <c r="R1000" s="1"/>
      <c r="S1000" s="3"/>
      <c r="T1000" s="1"/>
      <c r="U1000" s="1"/>
      <c r="V1000" s="1"/>
      <c r="W1000" s="39"/>
      <c r="X1000" s="664" t="s">
        <v>432</v>
      </c>
    </row>
    <row r="1001" spans="1:27" ht="11.25" customHeight="1" thickBot="1">
      <c r="A1001" s="611">
        <v>11</v>
      </c>
      <c r="B1001" s="127"/>
      <c r="K1001" s="71"/>
      <c r="L1001" s="676" t="s">
        <v>432</v>
      </c>
      <c r="M1001" s="898"/>
      <c r="N1001" s="889"/>
      <c r="Q1001" s="1083"/>
      <c r="R1001" s="50" t="s">
        <v>1078</v>
      </c>
      <c r="W1001" s="71"/>
      <c r="X1001" s="664" t="s">
        <v>432</v>
      </c>
    </row>
    <row r="1002" spans="1:27" ht="11.25" customHeight="1" thickBot="1">
      <c r="A1002" s="611">
        <v>12</v>
      </c>
      <c r="B1002" s="908" t="s">
        <v>533</v>
      </c>
      <c r="C1002" s="909" t="s">
        <v>380</v>
      </c>
      <c r="E1002" s="168" t="s">
        <v>223</v>
      </c>
      <c r="F1002" s="206" t="str">
        <f>IF(Meter_OD="","TBD",Meter_OD)</f>
        <v>Meter</v>
      </c>
      <c r="G1002" s="168" t="s">
        <v>224</v>
      </c>
      <c r="H1002" s="169" t="str">
        <f>IF(Time_mAs="","TBD",Time_mAs)</f>
        <v>mAs</v>
      </c>
      <c r="I1002" s="27" t="s">
        <v>224</v>
      </c>
      <c r="J1002" s="1"/>
      <c r="K1002" s="71"/>
      <c r="L1002" s="676" t="s">
        <v>432</v>
      </c>
      <c r="M1002" s="162" t="s">
        <v>533</v>
      </c>
      <c r="N1002" s="168" t="s">
        <v>364</v>
      </c>
      <c r="P1002" s="203" t="s">
        <v>223</v>
      </c>
      <c r="Q1002" s="206" t="str">
        <f>IF(Meter_OD="","TBD",Meter_OD)</f>
        <v>Meter</v>
      </c>
      <c r="R1002" s="168" t="s">
        <v>224</v>
      </c>
      <c r="S1002" s="169" t="str">
        <f>IF(Time_mAs="","TBD",Time_mAs)</f>
        <v>mAs</v>
      </c>
      <c r="T1002" s="27" t="s">
        <v>224</v>
      </c>
      <c r="U1002" s="27" t="s">
        <v>225</v>
      </c>
      <c r="V1002" s="27" t="s">
        <v>226</v>
      </c>
      <c r="W1002" s="39"/>
      <c r="X1002" s="664" t="s">
        <v>432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432</v>
      </c>
      <c r="M1003" s="897" t="str">
        <f>IF(M1001&lt;&gt;"",M1001&amp;" "&amp;WBCM_IN,IF(OR(AB520=0,AB520=""),"",AB520))</f>
        <v/>
      </c>
      <c r="N1003" s="890" t="s">
        <v>235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432</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432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432</v>
      </c>
      <c r="Y1004" s="495"/>
      <c r="Z1004" s="457"/>
      <c r="AA1004" s="457"/>
    </row>
    <row r="1005" spans="1:27" ht="11.25" customHeight="1" thickBot="1">
      <c r="A1005" s="611">
        <v>15</v>
      </c>
      <c r="B1005" s="908" t="s">
        <v>486</v>
      </c>
      <c r="C1005" s="909" t="s">
        <v>222</v>
      </c>
      <c r="D1005" s="1"/>
      <c r="E1005" s="330">
        <f t="shared" si="142"/>
        <v>2</v>
      </c>
      <c r="F1005" s="334" t="str">
        <f>IF(Q1005="","",Q1005)</f>
        <v/>
      </c>
      <c r="G1005" s="331" t="str">
        <f t="shared" si="141"/>
        <v/>
      </c>
      <c r="H1005" s="335" t="str">
        <f t="shared" si="141"/>
        <v/>
      </c>
      <c r="I1005" s="28" t="str">
        <f t="shared" si="141"/>
        <v/>
      </c>
      <c r="J1005" s="1"/>
      <c r="K1005" s="71"/>
      <c r="L1005" s="676" t="s">
        <v>432</v>
      </c>
      <c r="M1005" s="894" t="s">
        <v>653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432</v>
      </c>
      <c r="Y1005" s="495"/>
      <c r="Z1005" s="457"/>
      <c r="AA1005" s="457"/>
    </row>
    <row r="1006" spans="1:27" ht="11.25" customHeight="1" thickBot="1">
      <c r="A1006" s="611">
        <v>16</v>
      </c>
      <c r="B1006" s="912" t="str">
        <f>IF(M1008="","",M1008)</f>
        <v/>
      </c>
      <c r="C1006" s="168">
        <f>IF(N1008="","",N1008)</f>
        <v>7.8740157480314963</v>
      </c>
      <c r="D1006" s="3" t="s">
        <v>227</v>
      </c>
      <c r="E1006" s="330">
        <f t="shared" si="142"/>
        <v>1</v>
      </c>
      <c r="F1006" s="334" t="str">
        <f t="shared" si="141"/>
        <v/>
      </c>
      <c r="G1006" s="331" t="str">
        <f t="shared" si="141"/>
        <v/>
      </c>
      <c r="H1006" s="335" t="str">
        <f t="shared" si="141"/>
        <v/>
      </c>
      <c r="I1006" s="28" t="str">
        <f t="shared" si="141"/>
        <v/>
      </c>
      <c r="J1006" s="1"/>
      <c r="K1006" s="71"/>
      <c r="L1006" s="676" t="s">
        <v>432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432</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432</v>
      </c>
      <c r="M1007" s="162" t="s">
        <v>486</v>
      </c>
      <c r="N1007" s="168" t="s">
        <v>222</v>
      </c>
      <c r="O1007" s="1"/>
      <c r="P1007" s="332">
        <v>0</v>
      </c>
      <c r="Q1007" s="644"/>
      <c r="R1007" s="333" t="str">
        <f>IF(Q1007="","",0)</f>
        <v/>
      </c>
      <c r="S1007" s="644"/>
      <c r="T1007" s="519" t="str">
        <f>IF(S1007="","",0)</f>
        <v/>
      </c>
      <c r="U1007" s="597"/>
      <c r="V1007" s="597"/>
      <c r="W1007" s="39"/>
      <c r="X1007" s="664" t="s">
        <v>432</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432</v>
      </c>
      <c r="M1008" s="893" t="str">
        <f>IF(M1006&lt;&gt;"",M1006,IF(OR(AB522=0,AB522=""),"",AB522))</f>
        <v/>
      </c>
      <c r="N1008" s="890">
        <f>IF(N1006&lt;&gt;"",N1006,IF(OR(AB523=0,AB523=""),"",AB523))</f>
        <v>7.8740157480314963</v>
      </c>
      <c r="O1008" s="3" t="s">
        <v>227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432</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432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432</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432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432</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432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432</v>
      </c>
      <c r="Y1011" s="495"/>
      <c r="Z1011" s="457"/>
      <c r="AA1011" s="457"/>
    </row>
    <row r="1012" spans="1:27" ht="11.25" customHeight="1" thickBot="1">
      <c r="A1012" s="611">
        <v>22</v>
      </c>
      <c r="B1012" s="127"/>
      <c r="J1012" s="42" t="s">
        <v>590</v>
      </c>
      <c r="K1012" s="341" t="str">
        <f>IF(Q1001=2,"NA",IF(OR(W1013="YES",W1014="YES",W1015="YES"),"YES",IF(OR(W1013="NO",W1014="NO",W1015="NO"),"NO","TBD")))</f>
        <v>TBD</v>
      </c>
      <c r="L1012" s="676" t="s">
        <v>432</v>
      </c>
      <c r="M1012" s="595"/>
      <c r="N1012" s="918"/>
      <c r="V1012" s="1287" t="s">
        <v>652</v>
      </c>
      <c r="W1012" s="1288"/>
      <c r="X1012" s="664" t="s">
        <v>432</v>
      </c>
      <c r="Z1012" s="457"/>
    </row>
    <row r="1013" spans="1:27" ht="11.25" customHeight="1" thickBot="1">
      <c r="A1013" s="611">
        <v>23</v>
      </c>
      <c r="B1013" s="127"/>
      <c r="K1013" s="71"/>
      <c r="L1013" s="676" t="s">
        <v>432</v>
      </c>
      <c r="M1013" s="595"/>
      <c r="O1013" s="132" t="s">
        <v>591</v>
      </c>
      <c r="P1013" s="99"/>
      <c r="Q1013" s="132" t="s">
        <v>228</v>
      </c>
      <c r="R1013" s="313">
        <f>IF(AND(OR($Q$1007="",$Q$1006=""),OR($S$1007="",$S$1006="")),0.15,IF(AND(MIN($Q$1003:$Q$1005)=0,MIN($S$1003:$S$1005)=0),0.15,IF(AND(MIN($Q$1003:$Q$1004)=0,MIN($S$1003:$S$1004)=0),0.15,IF(AND($Q$1003=0,$S$1003=0),0.2,0.15))))</f>
        <v>0.15</v>
      </c>
      <c r="S1013" s="99"/>
      <c r="T1013" s="132" t="s">
        <v>229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432</v>
      </c>
    </row>
    <row r="1014" spans="1:27" ht="11.25" customHeight="1" thickBot="1">
      <c r="A1014" s="611">
        <v>24</v>
      </c>
      <c r="B1014" s="127"/>
      <c r="D1014" s="132" t="s">
        <v>591</v>
      </c>
      <c r="E1014" s="99"/>
      <c r="F1014" s="132" t="s">
        <v>228</v>
      </c>
      <c r="G1014" s="313">
        <f>$R$1013</f>
        <v>0.15</v>
      </c>
      <c r="H1014" s="99"/>
      <c r="I1014" s="132" t="s">
        <v>229</v>
      </c>
      <c r="J1014" s="313">
        <f>$U$1013</f>
        <v>0.5</v>
      </c>
      <c r="K1014" s="71"/>
      <c r="L1014" s="676" t="s">
        <v>432</v>
      </c>
      <c r="M1014" s="595"/>
      <c r="V1014" s="42" t="str">
        <f>IF(Time_mAs="","TBD",Time_mAs&amp;":")</f>
        <v>mAs:</v>
      </c>
      <c r="W1014" s="743" t="str">
        <f>IF(AND($Q$1007="",$S$1007=""),"TBD",IF($S$1007="","NA",IF(AND($S$1007&gt;0,OR($S$1006="",$S$1008="")),"TBD",IF(OR(MAX(ABS(MAX(MASP)),ABS(MIN(MASM)))&gt;$U$1013,MIN(ABS(MIN(MASP)),ABS(MAX(MASM)))&lt;$R$1013,MIN(MASP)&lt;0,MAX(MASM)&gt;0),"NO","YES"))))</f>
        <v>TBD</v>
      </c>
      <c r="X1014" s="664" t="s">
        <v>432</v>
      </c>
    </row>
    <row r="1015" spans="1:27" ht="11.25" customHeight="1" thickBot="1">
      <c r="A1015" s="611">
        <v>25</v>
      </c>
      <c r="B1015" s="127"/>
      <c r="K1015" s="71"/>
      <c r="L1015" s="676" t="s">
        <v>432</v>
      </c>
      <c r="M1015" s="595"/>
      <c r="O1015" s="594"/>
      <c r="P1015" s="594"/>
      <c r="Q1015" s="594"/>
      <c r="R1015" s="594"/>
      <c r="T1015" s="594"/>
      <c r="U1015" s="594"/>
      <c r="V1015" s="42" t="s">
        <v>230</v>
      </c>
      <c r="W1015" s="743" t="str">
        <f>IF(OR(AND($Q$1007="",$S$1007=""),AND($Q$1007&lt;&gt;"",$S$1007&lt;&gt;"",OR($Q$1006="",Q1008="",S1006="",S1008=""))),"TBD",IF(OR($Q$1007="",$S$1007=""),"NA",IF(OR(MAX(U1003:U1006)&gt;$U$1013,MAX(U1008:U1011)&gt;$U$1013,MIN(U1003:U1006)&lt;R1013,MIN(U1008:U1011)&lt;R1013),"NO","YES")))</f>
        <v>TBD</v>
      </c>
      <c r="X1015" s="664" t="s">
        <v>432</v>
      </c>
    </row>
    <row r="1016" spans="1:27" ht="11.25" customHeight="1" thickBot="1">
      <c r="A1016" s="611">
        <v>26</v>
      </c>
      <c r="B1016" s="98"/>
      <c r="C1016" s="83"/>
      <c r="D1016" s="83"/>
      <c r="E1016" s="83"/>
      <c r="F1016" s="83"/>
      <c r="G1016" s="83"/>
      <c r="H1016" s="83"/>
      <c r="I1016" s="83"/>
      <c r="J1016" s="83"/>
      <c r="K1016" s="86"/>
      <c r="L1016" s="676" t="s">
        <v>432</v>
      </c>
      <c r="M1016" s="98"/>
      <c r="N1016" s="83"/>
      <c r="O1016" s="83"/>
      <c r="P1016" s="83"/>
      <c r="Q1016" s="83"/>
      <c r="R1016" s="454"/>
      <c r="S1016" s="83"/>
      <c r="T1016" s="83"/>
      <c r="U1016" s="83"/>
      <c r="V1016" s="83"/>
      <c r="W1016" s="86"/>
      <c r="X1016" s="664" t="s">
        <v>432</v>
      </c>
    </row>
    <row r="1017" spans="1:27" ht="11.25" customHeight="1" thickTop="1">
      <c r="A1017" s="611">
        <v>27</v>
      </c>
      <c r="L1017" s="676" t="s">
        <v>432</v>
      </c>
      <c r="X1017" s="664" t="s">
        <v>432</v>
      </c>
    </row>
    <row r="1018" spans="1:27" ht="11.25" customHeight="1">
      <c r="A1018" s="611">
        <v>28</v>
      </c>
      <c r="L1018" s="676" t="s">
        <v>432</v>
      </c>
      <c r="X1018" s="664" t="s">
        <v>432</v>
      </c>
    </row>
    <row r="1019" spans="1:27" ht="11.25" customHeight="1">
      <c r="A1019" s="611">
        <v>29</v>
      </c>
      <c r="L1019" s="676" t="s">
        <v>432</v>
      </c>
      <c r="X1019" s="664" t="s">
        <v>432</v>
      </c>
    </row>
    <row r="1020" spans="1:27" ht="11.25" customHeight="1">
      <c r="A1020" s="611">
        <v>30</v>
      </c>
      <c r="L1020" s="676" t="s">
        <v>432</v>
      </c>
      <c r="X1020" s="664" t="s">
        <v>432</v>
      </c>
    </row>
    <row r="1021" spans="1:27" ht="11.25" customHeight="1">
      <c r="A1021" s="611">
        <v>31</v>
      </c>
      <c r="L1021" s="676" t="s">
        <v>432</v>
      </c>
      <c r="X1021" s="664" t="s">
        <v>432</v>
      </c>
    </row>
    <row r="1022" spans="1:27" ht="11.25" customHeight="1">
      <c r="A1022" s="611">
        <v>32</v>
      </c>
      <c r="F1022" s="190" t="s">
        <v>231</v>
      </c>
      <c r="L1022" s="676" t="s">
        <v>432</v>
      </c>
      <c r="R1022" s="190" t="s">
        <v>231</v>
      </c>
      <c r="X1022" s="664" t="s">
        <v>432</v>
      </c>
    </row>
    <row r="1023" spans="1:27" ht="11.25" customHeight="1" thickBot="1">
      <c r="A1023" s="611">
        <v>33</v>
      </c>
      <c r="L1023" s="676" t="s">
        <v>432</v>
      </c>
      <c r="X1023" s="664" t="s">
        <v>432</v>
      </c>
    </row>
    <row r="1024" spans="1:27" ht="11.25" customHeight="1" thickTop="1">
      <c r="A1024" s="611">
        <v>34</v>
      </c>
      <c r="B1024" s="79"/>
      <c r="C1024" s="62"/>
      <c r="D1024" s="62"/>
      <c r="E1024" s="62"/>
      <c r="F1024" s="62"/>
      <c r="G1024" s="62"/>
      <c r="H1024" s="62"/>
      <c r="I1024" s="62"/>
      <c r="J1024" s="62"/>
      <c r="K1024" s="80"/>
      <c r="L1024" s="676" t="s">
        <v>432</v>
      </c>
      <c r="M1024" s="79"/>
      <c r="N1024" s="62"/>
      <c r="O1024" s="62"/>
      <c r="P1024" s="62"/>
      <c r="Q1024" s="62"/>
      <c r="R1024" s="62"/>
      <c r="S1024" s="62"/>
      <c r="T1024" s="62"/>
      <c r="U1024" s="62"/>
      <c r="V1024" s="62"/>
      <c r="W1024" s="80"/>
      <c r="X1024" s="664" t="s">
        <v>432</v>
      </c>
    </row>
    <row r="1025" spans="1:24" ht="11.25" customHeight="1">
      <c r="A1025" s="611">
        <v>35</v>
      </c>
      <c r="B1025" s="108" t="s">
        <v>435</v>
      </c>
      <c r="C1025" s="109"/>
      <c r="F1025" s="99"/>
      <c r="J1025" s="262" t="s">
        <v>437</v>
      </c>
      <c r="K1025" s="395"/>
      <c r="L1025" s="676" t="s">
        <v>432</v>
      </c>
      <c r="M1025" s="202" t="s">
        <v>438</v>
      </c>
      <c r="W1025" s="71"/>
      <c r="X1025" s="664" t="s">
        <v>432</v>
      </c>
    </row>
    <row r="1026" spans="1:24" ht="11.25" customHeight="1">
      <c r="A1026" s="611">
        <v>36</v>
      </c>
      <c r="B1026" s="110" t="s">
        <v>1196</v>
      </c>
      <c r="C1026" s="128"/>
      <c r="D1026" s="50" t="s">
        <v>518</v>
      </c>
      <c r="E1026" s="49"/>
      <c r="F1026" s="49"/>
      <c r="G1026" s="49"/>
      <c r="H1026" s="49"/>
      <c r="I1026" s="49"/>
      <c r="J1026" s="114" t="str">
        <f>IF($M1026="","TBD",IF($M1026=1,"YES",IF($M1026=3,"NA","")))</f>
        <v>TBD</v>
      </c>
      <c r="K1026" s="343" t="str">
        <f>IF($M1026=2,"NO","")</f>
        <v/>
      </c>
      <c r="L1026" s="676" t="s">
        <v>432</v>
      </c>
      <c r="M1026" s="617"/>
      <c r="O1026" s="50" t="s">
        <v>518</v>
      </c>
      <c r="U1026" s="294"/>
      <c r="W1026" s="71"/>
      <c r="X1026" s="664" t="s">
        <v>432</v>
      </c>
    </row>
    <row r="1027" spans="1:24" ht="11.25" customHeight="1">
      <c r="A1027" s="611">
        <v>37</v>
      </c>
      <c r="B1027" s="110" t="s">
        <v>1197</v>
      </c>
      <c r="C1027" s="128"/>
      <c r="D1027" s="50" t="s">
        <v>520</v>
      </c>
      <c r="E1027" s="49"/>
      <c r="F1027" s="49"/>
      <c r="G1027" s="49"/>
      <c r="H1027" s="49" t="s">
        <v>521</v>
      </c>
      <c r="I1027" s="48" t="str">
        <f>IF($O$1027="","",$O$1027)</f>
        <v/>
      </c>
      <c r="J1027" s="114" t="str">
        <f>IF($M1027="","TBD",IF($M1027=1,"YES",IF($M1027=3,"NA","")))</f>
        <v>TBD</v>
      </c>
      <c r="K1027" s="343" t="str">
        <f>IF($M1027=2,"NO","")</f>
        <v/>
      </c>
      <c r="L1027" s="676" t="s">
        <v>432</v>
      </c>
      <c r="M1027" s="617"/>
      <c r="N1027" s="49" t="s">
        <v>521</v>
      </c>
      <c r="O1027" s="963"/>
      <c r="P1027" s="50" t="s">
        <v>520</v>
      </c>
      <c r="T1027" s="830" t="str">
        <f>IF(OR(AB185=0,AB185=""),"",AB185)</f>
        <v/>
      </c>
      <c r="U1027" s="722" t="s">
        <v>232</v>
      </c>
      <c r="W1027" s="71"/>
      <c r="X1027" s="664" t="s">
        <v>432</v>
      </c>
    </row>
    <row r="1028" spans="1:24" ht="11.25" customHeight="1">
      <c r="A1028" s="611">
        <v>38</v>
      </c>
      <c r="B1028" s="110" t="s">
        <v>1198</v>
      </c>
      <c r="C1028" s="128"/>
      <c r="D1028" s="50" t="s">
        <v>523</v>
      </c>
      <c r="J1028" s="114" t="str">
        <f>IF($M1028="","TBD",IF($M1028=1,"YES",IF($M1028=3,"NA","")))</f>
        <v>TBD</v>
      </c>
      <c r="K1028" s="343" t="str">
        <f>IF($M1028=2,"NO","")</f>
        <v/>
      </c>
      <c r="L1028" s="676" t="s">
        <v>432</v>
      </c>
      <c r="M1028" s="617"/>
      <c r="O1028" s="50" t="s">
        <v>523</v>
      </c>
      <c r="W1028" s="71"/>
      <c r="X1028" s="664" t="s">
        <v>432</v>
      </c>
    </row>
    <row r="1029" spans="1:24" ht="11.25" customHeight="1" thickBot="1">
      <c r="A1029" s="611">
        <v>39</v>
      </c>
      <c r="B1029" s="98"/>
      <c r="C1029" s="83"/>
      <c r="D1029" s="83"/>
      <c r="E1029" s="83"/>
      <c r="F1029" s="83"/>
      <c r="G1029" s="83"/>
      <c r="H1029" s="83"/>
      <c r="I1029" s="83"/>
      <c r="J1029" s="83"/>
      <c r="K1029" s="86"/>
      <c r="L1029" s="676" t="s">
        <v>432</v>
      </c>
      <c r="M1029" s="98"/>
      <c r="N1029" s="83"/>
      <c r="O1029" s="83"/>
      <c r="P1029" s="83"/>
      <c r="Q1029" s="83"/>
      <c r="R1029" s="83"/>
      <c r="S1029" s="83"/>
      <c r="T1029" s="83"/>
      <c r="U1029" s="83"/>
      <c r="V1029" s="83"/>
      <c r="W1029" s="86"/>
      <c r="X1029" s="664" t="s">
        <v>432</v>
      </c>
    </row>
    <row r="1030" spans="1:24" ht="11.25" customHeight="1" thickTop="1">
      <c r="A1030" s="611">
        <v>40</v>
      </c>
      <c r="L1030" s="676" t="s">
        <v>432</v>
      </c>
      <c r="X1030" s="664" t="s">
        <v>432</v>
      </c>
    </row>
    <row r="1031" spans="1:24" ht="11.25" customHeight="1">
      <c r="A1031" s="611">
        <v>41</v>
      </c>
      <c r="L1031" s="676" t="s">
        <v>432</v>
      </c>
      <c r="X1031" s="664" t="s">
        <v>432</v>
      </c>
    </row>
    <row r="1032" spans="1:24" ht="11.25" customHeight="1">
      <c r="A1032" s="611">
        <v>42</v>
      </c>
      <c r="L1032" s="676" t="s">
        <v>432</v>
      </c>
      <c r="X1032" s="664" t="s">
        <v>432</v>
      </c>
    </row>
    <row r="1033" spans="1:24" ht="11.25" customHeight="1">
      <c r="A1033" s="611">
        <v>43</v>
      </c>
      <c r="L1033" s="676" t="s">
        <v>432</v>
      </c>
      <c r="X1033" s="664" t="s">
        <v>432</v>
      </c>
    </row>
    <row r="1034" spans="1:24" ht="11.25" customHeight="1">
      <c r="A1034" s="611">
        <v>44</v>
      </c>
      <c r="L1034" s="676" t="s">
        <v>432</v>
      </c>
      <c r="X1034" s="664" t="s">
        <v>432</v>
      </c>
    </row>
    <row r="1035" spans="1:24" ht="11.25" customHeight="1">
      <c r="A1035" s="611">
        <v>45</v>
      </c>
      <c r="L1035" s="676" t="s">
        <v>432</v>
      </c>
      <c r="X1035" s="664" t="s">
        <v>432</v>
      </c>
    </row>
    <row r="1036" spans="1:24" ht="11.25" customHeight="1">
      <c r="A1036" s="611">
        <v>46</v>
      </c>
      <c r="L1036" s="676" t="s">
        <v>432</v>
      </c>
      <c r="X1036" s="664" t="s">
        <v>432</v>
      </c>
    </row>
    <row r="1037" spans="1:24" ht="11.25" customHeight="1">
      <c r="A1037" s="611">
        <v>47</v>
      </c>
      <c r="L1037" s="676" t="s">
        <v>432</v>
      </c>
      <c r="X1037" s="664" t="s">
        <v>432</v>
      </c>
    </row>
    <row r="1038" spans="1:24" ht="11.25" customHeight="1">
      <c r="A1038" s="611">
        <v>48</v>
      </c>
      <c r="L1038" s="676" t="s">
        <v>432</v>
      </c>
      <c r="X1038" s="664" t="s">
        <v>432</v>
      </c>
    </row>
    <row r="1039" spans="1:24" ht="11.25" customHeight="1">
      <c r="A1039" s="611">
        <v>49</v>
      </c>
      <c r="L1039" s="676" t="s">
        <v>432</v>
      </c>
      <c r="X1039" s="664" t="s">
        <v>432</v>
      </c>
    </row>
    <row r="1040" spans="1:24" ht="11.25" customHeight="1">
      <c r="A1040" s="611">
        <v>50</v>
      </c>
      <c r="L1040" s="676" t="s">
        <v>432</v>
      </c>
      <c r="X1040" s="664" t="s">
        <v>432</v>
      </c>
    </row>
    <row r="1041" spans="1:24" ht="11.25" customHeight="1">
      <c r="A1041" s="611">
        <v>51</v>
      </c>
      <c r="L1041" s="676" t="s">
        <v>432</v>
      </c>
      <c r="X1041" s="664" t="s">
        <v>432</v>
      </c>
    </row>
    <row r="1042" spans="1:24" ht="11.25" customHeight="1">
      <c r="A1042" s="611">
        <v>52</v>
      </c>
      <c r="L1042" s="676" t="s">
        <v>432</v>
      </c>
      <c r="X1042" s="664" t="s">
        <v>432</v>
      </c>
    </row>
    <row r="1043" spans="1:24" ht="11.25" customHeight="1">
      <c r="A1043" s="611">
        <v>53</v>
      </c>
      <c r="L1043" s="676" t="s">
        <v>432</v>
      </c>
      <c r="X1043" s="664" t="s">
        <v>432</v>
      </c>
    </row>
    <row r="1044" spans="1:24" ht="11.25" customHeight="1">
      <c r="A1044" s="611">
        <v>54</v>
      </c>
      <c r="L1044" s="676" t="s">
        <v>432</v>
      </c>
      <c r="X1044" s="664" t="s">
        <v>432</v>
      </c>
    </row>
    <row r="1045" spans="1:24" ht="11.25" customHeight="1">
      <c r="A1045" s="611">
        <v>55</v>
      </c>
      <c r="L1045" s="676" t="s">
        <v>432</v>
      </c>
      <c r="X1045" s="664" t="s">
        <v>432</v>
      </c>
    </row>
    <row r="1046" spans="1:24" ht="11.25" customHeight="1">
      <c r="A1046" s="611">
        <v>56</v>
      </c>
      <c r="L1046" s="676" t="s">
        <v>432</v>
      </c>
      <c r="X1046" s="664" t="s">
        <v>432</v>
      </c>
    </row>
    <row r="1047" spans="1:24" ht="11.25" customHeight="1">
      <c r="A1047" s="611">
        <v>57</v>
      </c>
      <c r="L1047" s="676" t="s">
        <v>432</v>
      </c>
      <c r="X1047" s="664" t="s">
        <v>432</v>
      </c>
    </row>
    <row r="1048" spans="1:24" ht="11.25" customHeight="1">
      <c r="A1048" s="611">
        <v>58</v>
      </c>
      <c r="L1048" s="676" t="s">
        <v>432</v>
      </c>
      <c r="X1048" s="664" t="s">
        <v>432</v>
      </c>
    </row>
    <row r="1049" spans="1:24" ht="11.25" customHeight="1">
      <c r="A1049" s="611">
        <v>59</v>
      </c>
      <c r="L1049" s="676" t="s">
        <v>432</v>
      </c>
      <c r="X1049" s="664" t="s">
        <v>432</v>
      </c>
    </row>
    <row r="1050" spans="1:24" ht="11.25" customHeight="1">
      <c r="A1050" s="611">
        <v>60</v>
      </c>
      <c r="L1050" s="676" t="s">
        <v>432</v>
      </c>
      <c r="X1050" s="664" t="s">
        <v>432</v>
      </c>
    </row>
    <row r="1051" spans="1:24" ht="11.25" customHeight="1">
      <c r="A1051" s="611">
        <v>61</v>
      </c>
      <c r="L1051" s="676" t="s">
        <v>432</v>
      </c>
      <c r="X1051" s="664" t="s">
        <v>432</v>
      </c>
    </row>
    <row r="1052" spans="1:24" ht="11.25" customHeight="1">
      <c r="A1052" s="611">
        <v>62</v>
      </c>
      <c r="L1052" s="676" t="s">
        <v>432</v>
      </c>
      <c r="X1052" s="664" t="s">
        <v>432</v>
      </c>
    </row>
    <row r="1053" spans="1:24" ht="11.25" customHeight="1">
      <c r="A1053" s="611">
        <v>63</v>
      </c>
      <c r="L1053" s="676" t="s">
        <v>432</v>
      </c>
      <c r="X1053" s="664" t="s">
        <v>432</v>
      </c>
    </row>
    <row r="1054" spans="1:24" ht="11.25" customHeight="1">
      <c r="A1054" s="611">
        <v>64</v>
      </c>
      <c r="C1054" s="1039"/>
      <c r="L1054" s="676" t="s">
        <v>432</v>
      </c>
      <c r="X1054" s="664" t="s">
        <v>432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432</v>
      </c>
      <c r="X1055" s="664" t="s">
        <v>432</v>
      </c>
    </row>
    <row r="1056" spans="1:24" ht="11.25" customHeight="1">
      <c r="A1056" s="611">
        <v>66</v>
      </c>
      <c r="B1056" s="52" t="str">
        <v>Room Number:</v>
      </c>
      <c r="C1056" s="373" t="str">
        <v/>
      </c>
      <c r="E1056" s="51"/>
      <c r="F1056" s="51"/>
      <c r="G1056" s="51"/>
      <c r="H1056" s="51"/>
      <c r="I1056" s="52" t="str">
        <v>Survey ID:</v>
      </c>
      <c r="J1056" s="1045" t="str">
        <v/>
      </c>
      <c r="L1056" s="676" t="s">
        <v>432</v>
      </c>
      <c r="X1056" s="664" t="s">
        <v>432</v>
      </c>
    </row>
    <row r="1057" spans="1:24" ht="11.25" customHeight="1">
      <c r="A1057" s="611">
        <v>1</v>
      </c>
      <c r="B1057" s="1"/>
      <c r="C1057" s="1"/>
      <c r="D1057" s="1"/>
      <c r="E1057" s="1"/>
      <c r="H1057" s="1"/>
      <c r="I1057" s="1"/>
      <c r="J1057" s="1"/>
      <c r="K1057" s="131" t="str">
        <f>$F$2</f>
        <v>Medical University of South Carolina</v>
      </c>
      <c r="L1057" s="676" t="s">
        <v>432</v>
      </c>
      <c r="M1057" s="1"/>
      <c r="N1057" s="1"/>
      <c r="O1057" s="1"/>
      <c r="P1057" s="1"/>
      <c r="Q1057" s="1"/>
      <c r="S1057" s="1"/>
      <c r="T1057" s="1"/>
      <c r="U1057" s="1"/>
      <c r="V1057" s="1"/>
      <c r="W1057" s="131" t="str">
        <f>$F$2</f>
        <v>Medical University of South Carolina</v>
      </c>
      <c r="X1057" s="664" t="s">
        <v>432</v>
      </c>
    </row>
    <row r="1058" spans="1:24" ht="11.25" customHeight="1">
      <c r="A1058" s="611">
        <v>2</v>
      </c>
      <c r="F1058" s="82" t="str">
        <f>$F$464</f>
        <v>Measurement Data</v>
      </c>
      <c r="K1058" s="132" t="str">
        <f>$F$5</f>
        <v>Radiographic System Compliance Inspection</v>
      </c>
      <c r="L1058" s="676" t="s">
        <v>432</v>
      </c>
      <c r="Q1058" s="82" t="str">
        <f>$F$464</f>
        <v>Measurement Data</v>
      </c>
      <c r="W1058" s="132" t="str">
        <f>$F$5</f>
        <v>Radiographic System Compliance Inspection</v>
      </c>
      <c r="X1058" s="664" t="s">
        <v>432</v>
      </c>
    </row>
    <row r="1059" spans="1:24" ht="11.25" customHeight="1" thickBot="1">
      <c r="A1059" s="611">
        <v>3</v>
      </c>
      <c r="F1059" s="44"/>
      <c r="L1059" s="676" t="s">
        <v>432</v>
      </c>
      <c r="R1059" s="44"/>
      <c r="X1059" s="664" t="s">
        <v>432</v>
      </c>
    </row>
    <row r="1060" spans="1:24" ht="11.25" customHeight="1" thickTop="1">
      <c r="A1060" s="611">
        <v>4</v>
      </c>
      <c r="B1060" s="79"/>
      <c r="C1060" s="62"/>
      <c r="D1060" s="62"/>
      <c r="E1060" s="62"/>
      <c r="F1060" s="913" t="s">
        <v>233</v>
      </c>
      <c r="G1060" s="62"/>
      <c r="H1060" s="62"/>
      <c r="I1060" s="62"/>
      <c r="J1060" s="62"/>
      <c r="K1060" s="80"/>
      <c r="L1060" s="676" t="s">
        <v>432</v>
      </c>
      <c r="M1060" s="79"/>
      <c r="N1060" s="62"/>
      <c r="O1060" s="62"/>
      <c r="P1060" s="62"/>
      <c r="Q1060" s="913"/>
      <c r="R1060" s="913" t="s">
        <v>233</v>
      </c>
      <c r="S1060" s="62"/>
      <c r="T1060" s="62"/>
      <c r="U1060" s="62"/>
      <c r="V1060" s="62"/>
      <c r="W1060" s="80"/>
      <c r="X1060" s="664" t="s">
        <v>432</v>
      </c>
    </row>
    <row r="1061" spans="1:24" ht="11.25" customHeight="1">
      <c r="A1061" s="611">
        <v>5</v>
      </c>
      <c r="B1061" s="191" t="s">
        <v>234</v>
      </c>
      <c r="K1061" s="71"/>
      <c r="L1061" s="676" t="s">
        <v>432</v>
      </c>
      <c r="M1061" s="191" t="s">
        <v>234</v>
      </c>
      <c r="N1061" s="53"/>
      <c r="W1061" s="71"/>
      <c r="X1061" s="664" t="s">
        <v>432</v>
      </c>
    </row>
    <row r="1062" spans="1:24" ht="11.25" customHeight="1" thickBot="1">
      <c r="A1062" s="611">
        <v>6</v>
      </c>
      <c r="B1062" s="127"/>
      <c r="C1062" s="53"/>
      <c r="D1062" s="53"/>
      <c r="K1062" s="71"/>
      <c r="L1062" s="676" t="s">
        <v>432</v>
      </c>
      <c r="M1062" s="127"/>
      <c r="O1062" s="53"/>
      <c r="Q1062" s="901" t="s">
        <v>368</v>
      </c>
      <c r="R1062" s="901" t="s">
        <v>640</v>
      </c>
      <c r="V1062" s="712" t="s">
        <v>397</v>
      </c>
      <c r="W1062" s="745" t="str">
        <f>IF(OR(AB483=0,AB483=""),"",AB483)</f>
        <v/>
      </c>
      <c r="X1062" s="664" t="s">
        <v>432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432</v>
      </c>
      <c r="M1063" s="213"/>
      <c r="O1063" s="37"/>
      <c r="P1063" s="37" t="s">
        <v>631</v>
      </c>
      <c r="Q1063" s="902" t="str">
        <f>IF(R1063&lt;&gt;"",R1063&amp;" "&amp;TBCM_IN,IF(OR(AB526=0,AB526=""),M1003,AB526))</f>
        <v/>
      </c>
      <c r="R1063" s="904"/>
      <c r="T1063" s="54" t="s">
        <v>630</v>
      </c>
      <c r="U1063" s="645"/>
      <c r="V1063" s="54" t="str">
        <f>IF(Meter_OD="","Blank",Meter_OD)</f>
        <v>Meter</v>
      </c>
      <c r="W1063" s="1081" t="s">
        <v>1172</v>
      </c>
      <c r="X1063" s="664" t="s">
        <v>432</v>
      </c>
    </row>
    <row r="1064" spans="1:24" ht="11.25" customHeight="1" thickBot="1">
      <c r="A1064" s="611">
        <v>8</v>
      </c>
      <c r="B1064" s="127"/>
      <c r="G1064" s="293" t="str">
        <f>IF(U1063="","mAs:_______","mAs:  "&amp;ROUND(U1063,1))</f>
        <v>mAs:_______</v>
      </c>
      <c r="K1064" s="71"/>
      <c r="L1064" s="676" t="s">
        <v>432</v>
      </c>
      <c r="M1064" s="127"/>
      <c r="N1064" s="977"/>
      <c r="P1064" s="37" t="s">
        <v>251</v>
      </c>
      <c r="Q1064" s="899" t="str">
        <f>IF(R1064&lt;&gt;"",R1064,IF(OR(AB527=0,AB527=""),N1003,AB527))</f>
        <v>C</v>
      </c>
      <c r="R1064" s="907"/>
      <c r="V1064" s="1082" t="s">
        <v>590</v>
      </c>
      <c r="W1064" s="744" t="str">
        <f>IF($W$1063="NA","NA",IF($W$1063="","TBD",IF(AND($W$1063&gt;=1.9,$W$1063&lt;=2.1),"YES","NO")))</f>
        <v>NA</v>
      </c>
      <c r="X1064" s="664" t="s">
        <v>432</v>
      </c>
    </row>
    <row r="1065" spans="1:24" ht="11.25" customHeight="1">
      <c r="A1065" s="611">
        <v>9</v>
      </c>
      <c r="B1065" s="127"/>
      <c r="C1065" s="132" t="s">
        <v>591</v>
      </c>
      <c r="D1065" s="100" t="str">
        <f>U1065</f>
        <v>1.9&lt;=lgM&lt;=2.1</v>
      </c>
      <c r="K1065" s="71"/>
      <c r="L1065" s="676" t="s">
        <v>432</v>
      </c>
      <c r="M1065" s="127"/>
      <c r="P1065" s="37" t="s">
        <v>627</v>
      </c>
      <c r="Q1065" s="900" t="str">
        <f>IF(R1065&lt;&gt;"",R1065,IF(OR(AB528=0,AB528=""),M1008,AB528))</f>
        <v/>
      </c>
      <c r="R1065" s="905"/>
      <c r="T1065" s="132" t="s">
        <v>591</v>
      </c>
      <c r="U1065" s="100" t="s">
        <v>1073</v>
      </c>
      <c r="W1065" s="71"/>
      <c r="X1065" s="664" t="s">
        <v>432</v>
      </c>
    </row>
    <row r="1066" spans="1:24" ht="11.25" customHeight="1">
      <c r="A1066" s="611">
        <v>10</v>
      </c>
      <c r="B1066" s="127"/>
      <c r="K1066" s="71"/>
      <c r="L1066" s="676" t="s">
        <v>432</v>
      </c>
      <c r="M1066" s="127"/>
      <c r="N1066" s="3"/>
      <c r="O1066" s="3"/>
      <c r="P1066" s="37" t="s">
        <v>236</v>
      </c>
      <c r="Q1066" s="899">
        <f>IF(R1066&lt;&gt;"",R1066,IF(OR(AB529=0,AB529=""),N1008,AB529))</f>
        <v>7.8740157480314963</v>
      </c>
      <c r="R1066" s="903"/>
      <c r="W1066" s="39"/>
      <c r="X1066" s="664" t="s">
        <v>432</v>
      </c>
    </row>
    <row r="1067" spans="1:24" ht="11.25" customHeight="1">
      <c r="A1067" s="611">
        <v>11</v>
      </c>
      <c r="B1067" s="127"/>
      <c r="K1067" s="71"/>
      <c r="L1067" s="676" t="s">
        <v>432</v>
      </c>
      <c r="M1067" s="127"/>
      <c r="N1067" s="1"/>
      <c r="O1067" s="1"/>
      <c r="P1067" s="1"/>
      <c r="W1067" s="71"/>
      <c r="X1067" s="664" t="s">
        <v>432</v>
      </c>
    </row>
    <row r="1068" spans="1:24" ht="11.25" customHeight="1">
      <c r="A1068" s="611">
        <v>12</v>
      </c>
      <c r="B1068" s="191" t="s">
        <v>237</v>
      </c>
      <c r="C1068" s="109"/>
      <c r="D1068" s="109"/>
      <c r="E1068" s="37" t="s">
        <v>627</v>
      </c>
      <c r="F1068" s="35" t="str">
        <f>IF(R1068="","",R1068)</f>
        <v/>
      </c>
      <c r="G1068" s="1"/>
      <c r="H1068" s="37" t="s">
        <v>238</v>
      </c>
      <c r="I1068" s="2" t="str">
        <f>IF(U1068="","              in.",ROUND(U1068,2)&amp;" in.")</f>
        <v>7.87 in.</v>
      </c>
      <c r="K1068" s="71"/>
      <c r="L1068" s="676" t="s">
        <v>432</v>
      </c>
      <c r="M1068" s="191" t="s">
        <v>237</v>
      </c>
      <c r="N1068" s="1"/>
      <c r="O1068" s="1"/>
      <c r="P1068" s="1"/>
      <c r="Q1068" s="37" t="s">
        <v>627</v>
      </c>
      <c r="R1068" s="789" t="str">
        <f>IF(Q1065="","",Q1065)</f>
        <v/>
      </c>
      <c r="S1068" s="1"/>
      <c r="T1068" s="37" t="s">
        <v>238</v>
      </c>
      <c r="U1068" s="788">
        <f>IF(Q1066="","",Q1066)</f>
        <v>7.8740157480314963</v>
      </c>
      <c r="V1068" s="50" t="s">
        <v>227</v>
      </c>
      <c r="W1068" s="39"/>
      <c r="X1068" s="664" t="s">
        <v>432</v>
      </c>
    </row>
    <row r="1069" spans="1:24" ht="11.25" customHeight="1">
      <c r="A1069" s="611">
        <v>13</v>
      </c>
      <c r="B1069" s="127"/>
      <c r="C1069" s="1"/>
      <c r="D1069" s="1"/>
      <c r="E1069" s="37" t="s">
        <v>631</v>
      </c>
      <c r="F1069" s="2" t="str">
        <f>IF(R1069="","",R1069)</f>
        <v/>
      </c>
      <c r="G1069" s="1"/>
      <c r="H1069" s="37" t="s">
        <v>561</v>
      </c>
      <c r="I1069" s="11" t="str">
        <f>IF(U1069="","",U1069)</f>
        <v/>
      </c>
      <c r="K1069" s="71"/>
      <c r="L1069" s="676" t="s">
        <v>432</v>
      </c>
      <c r="M1069" s="127"/>
      <c r="Q1069" s="37" t="s">
        <v>631</v>
      </c>
      <c r="R1069" s="788" t="str">
        <f>IF(Q1063="","",Q1063)</f>
        <v/>
      </c>
      <c r="S1069" s="1"/>
      <c r="T1069" s="37" t="s">
        <v>561</v>
      </c>
      <c r="U1069" s="790" t="str">
        <f>IF($T$32="","",$T$32&amp;"/"&amp;$T$33)</f>
        <v/>
      </c>
      <c r="V1069" s="3"/>
      <c r="W1069" s="71"/>
      <c r="X1069" s="664" t="s">
        <v>432</v>
      </c>
    </row>
    <row r="1070" spans="1:24" ht="11.25" customHeight="1">
      <c r="A1070" s="611">
        <v>14</v>
      </c>
      <c r="B1070" s="213" t="s">
        <v>239</v>
      </c>
      <c r="C1070" s="109" t="s">
        <v>240</v>
      </c>
      <c r="D1070" s="109"/>
      <c r="E1070" s="109" t="s">
        <v>241</v>
      </c>
      <c r="F1070" s="109"/>
      <c r="G1070" s="109" t="s">
        <v>242</v>
      </c>
      <c r="H1070" s="109"/>
      <c r="I1070" s="1"/>
      <c r="J1070" s="1"/>
      <c r="K1070" s="71"/>
      <c r="L1070" s="676" t="s">
        <v>432</v>
      </c>
      <c r="M1070" s="213"/>
      <c r="N1070" s="49" t="s">
        <v>239</v>
      </c>
      <c r="O1070" s="109" t="s">
        <v>240</v>
      </c>
      <c r="P1070" s="109"/>
      <c r="Q1070" s="109" t="s">
        <v>241</v>
      </c>
      <c r="R1070" s="109"/>
      <c r="S1070" s="109" t="s">
        <v>242</v>
      </c>
      <c r="T1070" s="109"/>
      <c r="U1070" s="1"/>
      <c r="V1070" s="1"/>
      <c r="W1070" s="39"/>
      <c r="X1070" s="664" t="s">
        <v>432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432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432</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432</v>
      </c>
      <c r="M1072" s="45"/>
      <c r="O1072" s="635"/>
      <c r="P1072" s="962"/>
      <c r="Q1072" s="635" t="str">
        <f>IF(Q1007="","",Q1007)</f>
        <v/>
      </c>
      <c r="R1072" s="962" t="str">
        <f>IF(S1007="","",S1007)</f>
        <v/>
      </c>
      <c r="S1072" s="635"/>
      <c r="T1072" s="962"/>
      <c r="U1072" s="1"/>
      <c r="V1072" s="1"/>
      <c r="W1072" s="39"/>
      <c r="X1072" s="664" t="s">
        <v>432</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432</v>
      </c>
      <c r="M1073" s="45"/>
      <c r="O1073" s="635"/>
      <c r="P1073" s="962"/>
      <c r="Q1073" s="635"/>
      <c r="R1073" s="962"/>
      <c r="S1073" s="635"/>
      <c r="T1073" s="962"/>
      <c r="U1073" s="1"/>
      <c r="V1073" s="1"/>
      <c r="W1073" s="39"/>
      <c r="X1073" s="664" t="s">
        <v>432</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432</v>
      </c>
      <c r="M1074" s="45"/>
      <c r="O1074" s="635"/>
      <c r="P1074" s="962"/>
      <c r="Q1074" s="635"/>
      <c r="R1074" s="962"/>
      <c r="S1074" s="635"/>
      <c r="T1074" s="962"/>
      <c r="U1074" s="1"/>
      <c r="V1074" s="1"/>
      <c r="W1074" s="39"/>
      <c r="X1074" s="664" t="s">
        <v>432</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432</v>
      </c>
      <c r="M1075" s="45"/>
      <c r="O1075" s="635"/>
      <c r="P1075" s="962"/>
      <c r="Q1075" s="635"/>
      <c r="R1075" s="962"/>
      <c r="S1075" s="635"/>
      <c r="T1075" s="962"/>
      <c r="U1075" s="1"/>
      <c r="V1075" s="1"/>
      <c r="W1075" s="39"/>
      <c r="X1075" s="664" t="s">
        <v>432</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432</v>
      </c>
      <c r="M1076" s="45"/>
      <c r="O1076" s="635"/>
      <c r="P1076" s="962"/>
      <c r="Q1076" s="635"/>
      <c r="R1076" s="962"/>
      <c r="S1076" s="635"/>
      <c r="T1076" s="962"/>
      <c r="U1076" s="1"/>
      <c r="V1076" s="1"/>
      <c r="W1076" s="39"/>
      <c r="X1076" s="664" t="s">
        <v>432</v>
      </c>
    </row>
    <row r="1077" spans="1:24" ht="11.25" customHeight="1">
      <c r="A1077" s="611">
        <v>21</v>
      </c>
      <c r="B1077" s="127"/>
      <c r="K1077" s="71"/>
      <c r="L1077" s="676" t="s">
        <v>432</v>
      </c>
      <c r="M1077" s="127"/>
      <c r="W1077" s="71"/>
      <c r="X1077" s="664" t="s">
        <v>432</v>
      </c>
    </row>
    <row r="1078" spans="1:24" ht="11.25" customHeight="1">
      <c r="A1078" s="611">
        <v>22</v>
      </c>
      <c r="B1078" s="295" t="s">
        <v>103</v>
      </c>
      <c r="C1078" s="14" t="str">
        <f t="shared" ref="C1078:H1081" si="144">IF(O1078="","",O1078)</f>
        <v/>
      </c>
      <c r="D1078" s="291" t="str">
        <f t="shared" si="144"/>
        <v/>
      </c>
      <c r="E1078" s="46" t="str">
        <f t="shared" si="144"/>
        <v/>
      </c>
      <c r="F1078" s="291" t="str">
        <f t="shared" si="144"/>
        <v/>
      </c>
      <c r="G1078" s="46" t="str">
        <f t="shared" si="144"/>
        <v/>
      </c>
      <c r="H1078" s="14" t="str">
        <f t="shared" si="144"/>
        <v/>
      </c>
      <c r="J1078" s="1" t="s">
        <v>243</v>
      </c>
      <c r="K1078" s="71"/>
      <c r="L1078" s="676" t="s">
        <v>432</v>
      </c>
      <c r="M1078" s="45"/>
      <c r="N1078" s="419" t="s">
        <v>103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243</v>
      </c>
      <c r="W1078" s="39"/>
      <c r="X1078" s="664" t="s">
        <v>432</v>
      </c>
    </row>
    <row r="1079" spans="1:24" ht="11.25" customHeight="1">
      <c r="A1079" s="611">
        <v>23</v>
      </c>
      <c r="B1079" s="213" t="s">
        <v>244</v>
      </c>
      <c r="C1079" s="21" t="str">
        <f t="shared" si="144"/>
        <v/>
      </c>
      <c r="D1079" s="8" t="str">
        <f t="shared" si="144"/>
        <v/>
      </c>
      <c r="E1079" s="24" t="str">
        <f t="shared" si="144"/>
        <v/>
      </c>
      <c r="F1079" s="8" t="str">
        <f t="shared" si="144"/>
        <v/>
      </c>
      <c r="G1079" s="24" t="str">
        <f t="shared" si="144"/>
        <v/>
      </c>
      <c r="H1079" s="21" t="str">
        <f t="shared" si="144"/>
        <v/>
      </c>
      <c r="J1079" s="21" t="s">
        <v>245</v>
      </c>
      <c r="K1079" s="71"/>
      <c r="L1079" s="676" t="s">
        <v>432</v>
      </c>
      <c r="M1079" s="45"/>
      <c r="N1079" s="420" t="s">
        <v>244</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245</v>
      </c>
      <c r="W1079" s="39"/>
      <c r="X1079" s="664" t="s">
        <v>432</v>
      </c>
    </row>
    <row r="1080" spans="1:24" ht="11.25" customHeight="1" thickBot="1">
      <c r="A1080" s="611">
        <v>24</v>
      </c>
      <c r="B1080" s="213" t="s">
        <v>246</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432</v>
      </c>
      <c r="M1080" s="297"/>
      <c r="N1080" s="420" t="s">
        <v>246</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432</v>
      </c>
    </row>
    <row r="1081" spans="1:24" ht="11.25" customHeight="1" thickBot="1">
      <c r="A1081" s="611">
        <v>25</v>
      </c>
      <c r="B1081" s="287" t="s">
        <v>590</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590</v>
      </c>
      <c r="J1081" s="325" t="str">
        <f>IF(V1081="","",V1081)</f>
        <v>TBD</v>
      </c>
      <c r="K1081" s="69"/>
      <c r="L1081" s="676" t="s">
        <v>432</v>
      </c>
      <c r="M1081" s="45"/>
      <c r="N1081" s="780" t="s">
        <v>590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590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432</v>
      </c>
    </row>
    <row r="1082" spans="1:24" ht="11.25" customHeight="1">
      <c r="A1082" s="611">
        <v>26</v>
      </c>
      <c r="B1082" s="127"/>
      <c r="J1082" s="675" t="str">
        <f>IF(V1082="","",V1082)</f>
        <v>NOTE: Density step 1 produced a TBD % change</v>
      </c>
      <c r="K1082" s="71"/>
      <c r="L1082" s="676" t="s">
        <v>432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432</v>
      </c>
    </row>
    <row r="1083" spans="1:24" ht="11.25" customHeight="1">
      <c r="A1083" s="611">
        <v>27</v>
      </c>
      <c r="B1083" s="127"/>
      <c r="C1083" s="132"/>
      <c r="E1083" s="132" t="s">
        <v>247</v>
      </c>
      <c r="F1083" s="100" t="str">
        <f>R1083</f>
        <v>Film:  Maximum variation of 0.4 O.D.</v>
      </c>
      <c r="K1083" s="71"/>
      <c r="L1083" s="676" t="s">
        <v>432</v>
      </c>
      <c r="M1083" s="127"/>
      <c r="O1083" s="132"/>
      <c r="Q1083" s="132" t="s">
        <v>247</v>
      </c>
      <c r="R1083" s="100" t="s">
        <v>1052</v>
      </c>
      <c r="W1083" s="39"/>
      <c r="X1083" s="664" t="s">
        <v>432</v>
      </c>
    </row>
    <row r="1084" spans="1:24" ht="11.25" customHeight="1">
      <c r="A1084" s="611">
        <v>28</v>
      </c>
      <c r="B1084" s="127"/>
      <c r="F1084" s="100" t="str">
        <f>R1084</f>
        <v>Exposure &amp; AEC Meter:  Max. Variation 35%</v>
      </c>
      <c r="K1084" s="71"/>
      <c r="L1084" s="676" t="s">
        <v>432</v>
      </c>
      <c r="M1084" s="127"/>
      <c r="R1084" s="100" t="s">
        <v>1051</v>
      </c>
      <c r="W1084" s="39"/>
      <c r="X1084" s="664" t="s">
        <v>432</v>
      </c>
    </row>
    <row r="1085" spans="1:24" ht="11.25" customHeight="1">
      <c r="A1085" s="611">
        <v>29</v>
      </c>
      <c r="B1085" s="127"/>
      <c r="E1085" s="338" t="s">
        <v>248</v>
      </c>
      <c r="F1085" s="100" t="str">
        <f>R1085</f>
        <v>Coefficient of variation &lt;= 5% for each detector</v>
      </c>
      <c r="K1085" s="71"/>
      <c r="L1085" s="676" t="s">
        <v>432</v>
      </c>
      <c r="M1085" s="127"/>
      <c r="Q1085" s="338" t="s">
        <v>248</v>
      </c>
      <c r="R1085" s="100" t="s">
        <v>249</v>
      </c>
      <c r="W1085" s="39"/>
      <c r="X1085" s="664" t="s">
        <v>432</v>
      </c>
    </row>
    <row r="1086" spans="1:24" ht="11.25" customHeight="1">
      <c r="A1086" s="611">
        <v>30</v>
      </c>
      <c r="B1086" s="127"/>
      <c r="K1086" s="71"/>
      <c r="L1086" s="676" t="s">
        <v>432</v>
      </c>
      <c r="M1086" s="127"/>
      <c r="W1086" s="71"/>
      <c r="X1086" s="664" t="s">
        <v>432</v>
      </c>
    </row>
    <row r="1087" spans="1:24" ht="11.25" customHeight="1">
      <c r="A1087" s="611">
        <v>31</v>
      </c>
      <c r="B1087" s="191" t="s">
        <v>250</v>
      </c>
      <c r="C1087" s="1"/>
      <c r="D1087" s="1"/>
      <c r="E1087" s="1"/>
      <c r="F1087" s="1"/>
      <c r="G1087" s="1"/>
      <c r="H1087" s="1"/>
      <c r="I1087" s="1"/>
      <c r="J1087" s="1"/>
      <c r="K1087" s="71"/>
      <c r="L1087" s="676" t="s">
        <v>432</v>
      </c>
      <c r="M1087" s="127"/>
      <c r="W1087" s="71"/>
      <c r="X1087" s="664" t="s">
        <v>432</v>
      </c>
    </row>
    <row r="1088" spans="1:24" ht="11.25" customHeight="1">
      <c r="A1088" s="611">
        <v>32</v>
      </c>
      <c r="B1088" s="45"/>
      <c r="C1088" s="37" t="s">
        <v>631</v>
      </c>
      <c r="D1088" s="2" t="str">
        <f t="shared" ref="D1088:D1094" si="148">IF(P1089="","",P1089)</f>
        <v/>
      </c>
      <c r="E1088" s="1"/>
      <c r="F1088" s="37" t="s">
        <v>251</v>
      </c>
      <c r="G1088" s="2" t="str">
        <f>IF(S1089="","",S1089)</f>
        <v>C</v>
      </c>
      <c r="H1088" s="1"/>
      <c r="I1088" s="37" t="s">
        <v>252</v>
      </c>
      <c r="J1088" s="2" t="str">
        <f t="shared" ref="J1088:J1094" si="149">IF(V1089="","",V1089)</f>
        <v/>
      </c>
      <c r="K1088" s="71"/>
      <c r="L1088" s="676" t="s">
        <v>432</v>
      </c>
      <c r="M1088" s="127"/>
      <c r="N1088" s="194" t="s">
        <v>250</v>
      </c>
      <c r="O1088" s="1"/>
      <c r="P1088" s="1"/>
      <c r="Q1088" s="1"/>
      <c r="R1088" s="376"/>
      <c r="S1088" s="1"/>
      <c r="T1088" s="1"/>
      <c r="U1088" s="1"/>
      <c r="V1088" s="1"/>
      <c r="W1088" s="39"/>
      <c r="X1088" s="664" t="s">
        <v>432</v>
      </c>
    </row>
    <row r="1089" spans="1:30" ht="11.25" customHeight="1">
      <c r="A1089" s="611">
        <v>33</v>
      </c>
      <c r="B1089" s="45" t="s">
        <v>253</v>
      </c>
      <c r="C1089" s="30" t="s">
        <v>254</v>
      </c>
      <c r="D1089" s="429">
        <f t="shared" si="148"/>
        <v>60</v>
      </c>
      <c r="E1089" s="30" t="s">
        <v>255</v>
      </c>
      <c r="F1089" s="429">
        <f t="shared" ref="F1089:F1094" si="150">IF(R1090="","",R1090)</f>
        <v>80</v>
      </c>
      <c r="G1089" s="30" t="s">
        <v>256</v>
      </c>
      <c r="H1089" s="429">
        <f t="shared" ref="H1089:H1094" si="151">IF(T1090="","",T1090)</f>
        <v>100</v>
      </c>
      <c r="I1089" s="30" t="s">
        <v>257</v>
      </c>
      <c r="J1089" s="430">
        <f t="shared" si="149"/>
        <v>120</v>
      </c>
      <c r="K1089" s="71"/>
      <c r="L1089" s="676" t="s">
        <v>432</v>
      </c>
      <c r="M1089" s="127"/>
      <c r="N1089" s="1"/>
      <c r="O1089" s="37" t="s">
        <v>631</v>
      </c>
      <c r="P1089" s="788" t="str">
        <f>IF(Q1063="","",Q1063)</f>
        <v/>
      </c>
      <c r="Q1089" s="1"/>
      <c r="R1089" s="37" t="s">
        <v>251</v>
      </c>
      <c r="S1089" s="788" t="str">
        <f>IF(Q1064="","",Q1064)</f>
        <v>C</v>
      </c>
      <c r="T1089" s="1"/>
      <c r="U1089" s="37" t="s">
        <v>252</v>
      </c>
      <c r="V1089" s="789" t="str">
        <f>IF(O1027="","",O1027)</f>
        <v/>
      </c>
      <c r="W1089" s="39"/>
      <c r="X1089" s="664" t="s">
        <v>432</v>
      </c>
    </row>
    <row r="1090" spans="1:30" ht="11.25" customHeight="1" thickBot="1">
      <c r="A1090" s="611">
        <v>34</v>
      </c>
      <c r="B1090" s="7" t="s">
        <v>258</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432</v>
      </c>
      <c r="M1090" s="127"/>
      <c r="N1090" s="4" t="s">
        <v>253</v>
      </c>
      <c r="O1090" s="30" t="s">
        <v>254</v>
      </c>
      <c r="P1090" s="791">
        <f>$Q$694</f>
        <v>60</v>
      </c>
      <c r="Q1090" s="728" t="s">
        <v>255</v>
      </c>
      <c r="R1090" s="791">
        <f>$Q$695</f>
        <v>80</v>
      </c>
      <c r="S1090" s="728" t="s">
        <v>256</v>
      </c>
      <c r="T1090" s="791">
        <f>$Q$696</f>
        <v>100</v>
      </c>
      <c r="U1090" s="728" t="s">
        <v>257</v>
      </c>
      <c r="V1090" s="791">
        <f>$Q$697</f>
        <v>120</v>
      </c>
      <c r="W1090" s="39"/>
      <c r="X1090" s="664" t="s">
        <v>432</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432</v>
      </c>
      <c r="M1091" s="127"/>
      <c r="N1091" s="6" t="s">
        <v>19</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432</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432</v>
      </c>
      <c r="M1092" s="127"/>
      <c r="N1092" s="370">
        <v>10</v>
      </c>
      <c r="O1092" s="647"/>
      <c r="P1092" s="960"/>
      <c r="Q1092" s="647"/>
      <c r="R1092" s="960"/>
      <c r="S1092" s="647"/>
      <c r="T1092" s="960"/>
      <c r="U1092" s="965"/>
      <c r="V1092" s="961"/>
      <c r="W1092" s="71"/>
      <c r="X1092" s="664" t="s">
        <v>432</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432</v>
      </c>
      <c r="M1093" s="45"/>
      <c r="N1093" s="370">
        <v>15</v>
      </c>
      <c r="O1093" s="647"/>
      <c r="P1093" s="960"/>
      <c r="Q1093" s="647"/>
      <c r="R1093" s="960"/>
      <c r="S1093" s="647"/>
      <c r="T1093" s="960"/>
      <c r="U1093" s="647"/>
      <c r="V1093" s="960"/>
      <c r="W1093" s="39"/>
      <c r="X1093" s="664" t="s">
        <v>432</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432</v>
      </c>
      <c r="M1094" s="45"/>
      <c r="N1094" s="370">
        <v>20</v>
      </c>
      <c r="O1094" s="647"/>
      <c r="P1094" s="960"/>
      <c r="Q1094" s="647"/>
      <c r="R1094" s="960"/>
      <c r="S1094" s="647"/>
      <c r="T1094" s="960"/>
      <c r="U1094" s="647"/>
      <c r="V1094" s="960"/>
      <c r="W1094" s="39"/>
      <c r="X1094" s="664" t="s">
        <v>432</v>
      </c>
      <c r="AD1094" s="457"/>
    </row>
    <row r="1095" spans="1:30" ht="11.25" customHeight="1" thickBot="1">
      <c r="A1095" s="611">
        <v>39</v>
      </c>
      <c r="B1095" s="127"/>
      <c r="K1095" s="71"/>
      <c r="L1095" s="676" t="s">
        <v>432</v>
      </c>
      <c r="M1095" s="45"/>
      <c r="N1095" s="370">
        <v>25</v>
      </c>
      <c r="O1095" s="965"/>
      <c r="P1095" s="961"/>
      <c r="Q1095" s="647"/>
      <c r="R1095" s="960"/>
      <c r="S1095" s="647"/>
      <c r="T1095" s="960"/>
      <c r="U1095" s="647"/>
      <c r="V1095" s="960"/>
      <c r="W1095" s="39"/>
      <c r="X1095" s="664" t="s">
        <v>432</v>
      </c>
      <c r="AD1095" s="457"/>
    </row>
    <row r="1096" spans="1:30" ht="11.25" customHeight="1" thickBot="1">
      <c r="A1096" s="611">
        <v>40</v>
      </c>
      <c r="B1096" s="287" t="s">
        <v>259</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432</v>
      </c>
      <c r="M1096" s="45"/>
      <c r="N1096" s="1"/>
      <c r="O1096" s="1"/>
      <c r="P1096" s="1"/>
      <c r="Q1096" s="1"/>
      <c r="R1096" s="1"/>
      <c r="S1096" s="1"/>
      <c r="T1096" s="1"/>
      <c r="U1096" s="1"/>
      <c r="V1096" s="1"/>
      <c r="W1096" s="39"/>
      <c r="X1096" s="664" t="s">
        <v>432</v>
      </c>
    </row>
    <row r="1097" spans="1:30" ht="11.25" customHeight="1" thickBot="1">
      <c r="A1097" s="611">
        <v>41</v>
      </c>
      <c r="B1097" s="287" t="s">
        <v>590</v>
      </c>
      <c r="C1097" s="1255" t="str">
        <f>IF(O1098="","",O1098)</f>
        <v>NA</v>
      </c>
      <c r="D1097" s="1256"/>
      <c r="E1097" s="1255" t="str">
        <f>IF(Q1098="","",Q1098)</f>
        <v>NA</v>
      </c>
      <c r="F1097" s="1256"/>
      <c r="G1097" s="1255" t="str">
        <f>IF(S1098="","",S1098)</f>
        <v>NA</v>
      </c>
      <c r="H1097" s="1256"/>
      <c r="I1097" s="1255" t="str">
        <f>IF(U1098="","",U1098)</f>
        <v>NA</v>
      </c>
      <c r="J1097" s="1260"/>
      <c r="K1097" s="71"/>
      <c r="L1097" s="676" t="s">
        <v>432</v>
      </c>
      <c r="M1097" s="598" t="s">
        <v>260</v>
      </c>
      <c r="N1097" s="419" t="s">
        <v>259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432</v>
      </c>
    </row>
    <row r="1098" spans="1:30" ht="11.25" customHeight="1" thickBot="1">
      <c r="A1098" s="611">
        <v>42</v>
      </c>
      <c r="B1098" s="213" t="s">
        <v>261</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432</v>
      </c>
      <c r="M1098" s="127"/>
      <c r="N1098" s="780" t="s">
        <v>590</v>
      </c>
      <c r="O1098" s="1257" t="str">
        <f>IF(P1097="","NA",IF(OR(AND(O1092=0,O1093=0),AND(O1093="",O1094=""),AND(O1092="",O1094="")),"",IF(O1091="Film O.D.",IF(O1110&gt;0.3,"NO","YES"),IF(O1091="lgM",IF(O1110&gt;0.2,"NO","YES"),IF(P1097&lt;=0.3,"YES","NO")))))</f>
        <v>NA</v>
      </c>
      <c r="P1098" s="1258"/>
      <c r="Q1098" s="1259" t="str">
        <f>IF(R1097="","NA",IF(OR(AND(Q1092=0,Q1093=0),AND(Q1093="",Q1094=""),AND(Q1092="",Q1094="")),"",IF(Q1091="Film O.D.",IF(Q1110&gt;0.3,"NO","YES"),IF(Q1091="lgM",IF(Q1110&gt;0.2,"NO","YES"),IF(R1097&lt;=0.3,"YES","NO")))))</f>
        <v>NA</v>
      </c>
      <c r="R1098" s="1258"/>
      <c r="S1098" s="1259" t="str">
        <f>IF(T1097="","NA",IF(OR(AND(S1092=0,S1093=0),AND(S1093="",S1094=""),AND(S1092="",S1094="")),"",IF(S1091="Film O.D.",IF(S1110&gt;0.3,"NO","YES"),IF(S1091="lgM",IF(S1110&gt;0.2,"NO","YES"),IF(T1097&lt;=0.3,"YES","NO")))))</f>
        <v>NA</v>
      </c>
      <c r="T1098" s="1258"/>
      <c r="U1098" s="1259" t="str">
        <f>IF(V1097="","NA",IF(OR(AND(U1092=0,U1093=0),AND(U1093="",U1094=""),AND(U1092="",U1094="")),"",IF(U1091="Film O.D.",IF(U1110&gt;0.3,"NO","YES"),IF(U1091="lgM",IF(U1110&gt;0.2,"NO","YES"),IF(V1097&lt;=0.3,"YES","NO")))))</f>
        <v>NA</v>
      </c>
      <c r="V1098" s="1258"/>
      <c r="W1098" s="39"/>
      <c r="X1098" s="664" t="s">
        <v>432</v>
      </c>
      <c r="Y1098" s="457" t="s">
        <v>1041</v>
      </c>
      <c r="Z1098" s="457">
        <f>MAX(O1092:O1094,Q1092:Q1095,S1092:S1095,U1093:U1095)</f>
        <v>0</v>
      </c>
    </row>
    <row r="1099" spans="1:30" ht="11.25" customHeight="1" thickBot="1">
      <c r="A1099" s="611">
        <v>43</v>
      </c>
      <c r="B1099" s="287" t="s">
        <v>590</v>
      </c>
      <c r="C1099" s="1255" t="str">
        <f>IF(O1100="","",O1100)</f>
        <v>NA</v>
      </c>
      <c r="D1099" s="1256"/>
      <c r="E1099" s="1255" t="str">
        <f>IF(Q1100="","",Q1100)</f>
        <v>NA</v>
      </c>
      <c r="F1099" s="1256"/>
      <c r="G1099" s="1255" t="str">
        <f>IF(S1100="","",S1100)</f>
        <v>NA</v>
      </c>
      <c r="H1099" s="1256"/>
      <c r="I1099" s="1255" t="str">
        <f>IF(U1100="","",U1100)</f>
        <v>NA</v>
      </c>
      <c r="J1099" s="1260"/>
      <c r="K1099" s="71"/>
      <c r="L1099" s="676" t="s">
        <v>432</v>
      </c>
      <c r="M1099" s="127"/>
      <c r="N1099" s="420" t="s">
        <v>261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432</v>
      </c>
      <c r="Y1099" s="457" t="s">
        <v>53</v>
      </c>
      <c r="Z1099" s="457">
        <f>MIN(O1092:O1094,Q1092:Q1095,S1092:S1095,U1093:U1095)</f>
        <v>0</v>
      </c>
    </row>
    <row r="1100" spans="1:30" ht="11.25" customHeight="1" thickBot="1">
      <c r="A1100" s="611">
        <v>44</v>
      </c>
      <c r="B1100" s="127"/>
      <c r="E1100" s="142"/>
      <c r="F1100" s="143" t="s">
        <v>262</v>
      </c>
      <c r="G1100" s="1088" t="str">
        <f>IF(S1101="","",S1101)</f>
        <v/>
      </c>
      <c r="H1100" s="140" t="s">
        <v>590</v>
      </c>
      <c r="I1100" s="141" t="str">
        <f>IF(U1101="","",U1101)</f>
        <v>NA</v>
      </c>
      <c r="K1100" s="69"/>
      <c r="L1100" s="676" t="s">
        <v>432</v>
      </c>
      <c r="M1100" s="127"/>
      <c r="N1100" s="780" t="s">
        <v>590</v>
      </c>
      <c r="O1100" s="1257" t="str">
        <f>IF(P1099="","NA",IF(OR(AND(O1092=0,Q1092=0),AND(Q1092="",S1092=""),AND(O1092="",S1092="")),"",IF(O1091="Film O.D.",IF(O1111&gt;0.3,"NO","YES"),IF(O1091="lgM",IF(O1111&gt;0.2,"NO","YES"),IF(P1099&lt;=0.3,"YES","NO")))))</f>
        <v>NA</v>
      </c>
      <c r="P1100" s="1258"/>
      <c r="Q1100" s="1259" t="str">
        <f>IF(R1099="","NA",IF(OR(AND(O1093=0,Q1093=0),AND(Q1093="",S1093=""),AND(O1093="",S1093="")),"",IF(Q1091="Film O.D.",IF(Q1111&gt;0.3,"NO","YES"),IF(Q1091="lgM",IF(Q1111&gt;0.2,"NO","YES"),IF(R1099&lt;=0.3,"YES","NO")))))</f>
        <v>NA</v>
      </c>
      <c r="R1100" s="1258"/>
      <c r="S1100" s="1259" t="str">
        <f>IF(T1099="","NA",IF(OR(AND(O1094=0,Q1094=0),AND(Q1094="",S1094=""),AND(O1094="",S1094="")),"",IF(S1091="Film O.D.",IF(S1111&gt;0.3,"NO","YES"),IF(S1091="lgM",IF(S1111&gt;0.2,"NO","YES"),IF(T1099&lt;=0.3,"YES","NO")))))</f>
        <v>NA</v>
      </c>
      <c r="T1100" s="1258"/>
      <c r="U1100" s="1259" t="str">
        <f>IF(V1099="","NA",IF(OR(AND(Q1095=0,S1095=0),AND(S1095="",U1095=""),AND(Q1095="",U1095="")),"",IF(U1091="Film O.D.",IF(U1111&gt;0.3,"NO","YES"),IF(U1091="lgM",IF(U1111&gt;0.2,"NO","YES"),IF(V1099&lt;=0.3,"YES","NO")))))</f>
        <v>NA</v>
      </c>
      <c r="V1100" s="1258"/>
      <c r="W1100" s="71"/>
      <c r="X1100" s="664" t="s">
        <v>432</v>
      </c>
    </row>
    <row r="1101" spans="1:30" ht="11.25" customHeight="1" thickBot="1">
      <c r="A1101" s="611">
        <v>45</v>
      </c>
      <c r="B1101" s="127"/>
      <c r="C1101" s="132" t="s">
        <v>591</v>
      </c>
      <c r="D1101" s="100" t="str">
        <f>P1103</f>
        <v>Film-Max difference 0.3 O.D. for individual kV or thickness; 0.4 O.D. overall</v>
      </c>
      <c r="K1101" s="71"/>
      <c r="L1101" s="676" t="s">
        <v>432</v>
      </c>
      <c r="M1101" s="127"/>
      <c r="Q1101" s="142"/>
      <c r="R1101" s="143" t="s">
        <v>262</v>
      </c>
      <c r="S1101" s="1049" t="str">
        <f>IF(AND(P1097="",R1097="",T1097="",V1097="",P1099="",R1099="",T1099="",V1099=""),"",IF(Q1091="Film O.D.",Q1112&amp;" O.D.",IF(Q1091="lgM",Q1112&amp;" lgM",ROUND(Q1112/AVERAGE(O1092:O1095,Q1092:Q1095,S1092:S1095,U1092:U1095),2))))</f>
        <v/>
      </c>
      <c r="T1101" s="749" t="s">
        <v>590</v>
      </c>
      <c r="U1101" s="740" t="str">
        <f>IF(AND(O1098="NA",Q1098="NA",S1098="NA",U1098="NA",O1100="NA",Q1100="NA",S1100="NA",U1100="NA"),"NA",IF(Q1091="Film O.D.",IF(Q1112&gt;0.4,"NO","YES"),IF(Q1091="lgM",IF(Q1112&gt;0.2,"NO","YES"),IF(ROUND(Q1112/AVERAGE(O1092:O1094,Q1092:Q1095,S1092:S1095,U1093:U1095),2)&lt;=0.35,"YES","NO"))))</f>
        <v>NA</v>
      </c>
      <c r="W1101" s="71"/>
      <c r="X1101" s="664" t="s">
        <v>432</v>
      </c>
    </row>
    <row r="1102" spans="1:30" ht="11.25" customHeight="1">
      <c r="A1102" s="611">
        <v>46</v>
      </c>
      <c r="B1102" s="127"/>
      <c r="D1102" s="342" t="str">
        <f>P1104</f>
        <v>Exposure &amp; AEC Meter-</v>
      </c>
      <c r="K1102" s="71"/>
      <c r="L1102" s="676" t="s">
        <v>432</v>
      </c>
      <c r="M1102" s="127"/>
      <c r="P1102" s="3"/>
      <c r="V1102" s="886" t="str">
        <f>$V$1082</f>
        <v>NOTE: Density step 1 produced a TBD % change</v>
      </c>
      <c r="W1102" s="71"/>
      <c r="X1102" s="664" t="s">
        <v>432</v>
      </c>
    </row>
    <row r="1103" spans="1:30" ht="11.25" customHeight="1">
      <c r="A1103" s="611">
        <v>47</v>
      </c>
      <c r="B1103" s="102" t="s">
        <v>573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432</v>
      </c>
      <c r="M1103" s="127"/>
      <c r="O1103" s="132" t="s">
        <v>591</v>
      </c>
      <c r="P1103" s="100" t="s">
        <v>159</v>
      </c>
      <c r="W1103" s="71"/>
      <c r="X1103" s="664" t="s">
        <v>432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432</v>
      </c>
      <c r="M1104" s="127"/>
      <c r="P1104" s="338" t="s">
        <v>1053</v>
      </c>
      <c r="Q1104" s="1031" t="s">
        <v>308</v>
      </c>
      <c r="W1104" s="71"/>
      <c r="X1104" s="664" t="s">
        <v>432</v>
      </c>
    </row>
    <row r="1105" spans="1:24" ht="11.25" customHeight="1">
      <c r="A1105" s="611">
        <v>49</v>
      </c>
      <c r="B1105" s="45"/>
      <c r="C1105" s="922" t="str">
        <f>IF(LEN(O1105)&lt;=265,"",RIGHT(O1105,LEN(O1105)-SEARCH(" ",O1105,255)))</f>
        <v/>
      </c>
      <c r="D1105" s="2"/>
      <c r="E1105" s="2"/>
      <c r="F1105" s="2"/>
      <c r="G1105" s="2"/>
      <c r="H1105" s="2"/>
      <c r="I1105" s="2"/>
      <c r="J1105" s="2"/>
      <c r="K1105" s="71"/>
      <c r="L1105" s="676" t="s">
        <v>432</v>
      </c>
      <c r="M1105" s="127"/>
      <c r="N1105" s="577" t="s">
        <v>573</v>
      </c>
      <c r="O1105" s="713" t="str">
        <f>IF(O1107&lt;&gt;"",O1107,IF(OR(AB450=0,AB450=""),"",AB450))</f>
        <v>Criteria: lgM - Max difference 0.2 lgM for individual kV or thickness; 0.2 lgM overall</v>
      </c>
      <c r="P1105" s="48"/>
      <c r="Q1105" s="2"/>
      <c r="R1105" s="2"/>
      <c r="S1105" s="2"/>
      <c r="T1105" s="2"/>
      <c r="U1105" s="2"/>
      <c r="V1105" s="2"/>
      <c r="W1105" s="31"/>
      <c r="X1105" s="664" t="s">
        <v>432</v>
      </c>
    </row>
    <row r="1106" spans="1:24" ht="11.25" customHeight="1">
      <c r="A1106" s="611">
        <v>50</v>
      </c>
      <c r="B1106" s="127"/>
      <c r="K1106" s="71"/>
      <c r="L1106" s="676" t="s">
        <v>432</v>
      </c>
      <c r="M1106" s="85"/>
      <c r="N1106" s="609" t="s">
        <v>303</v>
      </c>
      <c r="O1106" s="59"/>
      <c r="P1106" s="921">
        <f>LEN(O1105)</f>
        <v>86</v>
      </c>
      <c r="Q1106" s="11"/>
      <c r="R1106" s="11"/>
      <c r="S1106" s="11"/>
      <c r="T1106" s="11"/>
      <c r="U1106" s="11"/>
      <c r="V1106" s="11"/>
      <c r="W1106" s="214"/>
      <c r="X1106" s="664" t="s">
        <v>432</v>
      </c>
    </row>
    <row r="1107" spans="1:24" ht="11.25" customHeight="1">
      <c r="A1107" s="611">
        <v>51</v>
      </c>
      <c r="B1107" s="45"/>
      <c r="C1107" s="1"/>
      <c r="D1107" s="1"/>
      <c r="E1107" s="1"/>
      <c r="F1107" s="1"/>
      <c r="G1107" s="1"/>
      <c r="H1107" s="1"/>
      <c r="I1107" s="1"/>
      <c r="J1107" s="1"/>
      <c r="K1107" s="71"/>
      <c r="L1107" s="676" t="s">
        <v>432</v>
      </c>
      <c r="M1107" s="45"/>
      <c r="N1107" s="1024" t="s">
        <v>640</v>
      </c>
      <c r="O1107" s="1026" t="s">
        <v>1099</v>
      </c>
      <c r="P1107" s="2"/>
      <c r="Q1107" s="2"/>
      <c r="R1107" s="2"/>
      <c r="S1107" s="2"/>
      <c r="T1107" s="2"/>
      <c r="U1107" s="2"/>
      <c r="V1107" s="2"/>
      <c r="W1107" s="31"/>
      <c r="X1107" s="664" t="s">
        <v>432</v>
      </c>
    </row>
    <row r="1108" spans="1:24" ht="11.25" customHeight="1" thickBot="1">
      <c r="A1108" s="611">
        <v>52</v>
      </c>
      <c r="B1108" s="45"/>
      <c r="C1108" s="1"/>
      <c r="D1108" s="1"/>
      <c r="E1108" s="1"/>
      <c r="F1108" s="1"/>
      <c r="G1108" s="1"/>
      <c r="H1108" s="1"/>
      <c r="I1108" s="1"/>
      <c r="J1108" s="1"/>
      <c r="K1108" s="71"/>
      <c r="L1108" s="676" t="s">
        <v>432</v>
      </c>
      <c r="M1108" s="45"/>
      <c r="N1108" s="1"/>
      <c r="O1108" s="1"/>
      <c r="P1108" s="1"/>
      <c r="Q1108" s="1"/>
      <c r="R1108" s="1"/>
      <c r="S1108" s="1"/>
      <c r="T1108" s="1"/>
      <c r="U1108" s="1"/>
      <c r="V1108" s="1"/>
      <c r="W1108" s="39"/>
      <c r="X1108" s="664" t="s">
        <v>432</v>
      </c>
    </row>
    <row r="1109" spans="1:24" ht="11.25" customHeight="1">
      <c r="A1109" s="611">
        <v>53</v>
      </c>
      <c r="B1109" s="45"/>
      <c r="C1109" s="1"/>
      <c r="D1109" s="1"/>
      <c r="E1109" s="1"/>
      <c r="F1109" s="1"/>
      <c r="G1109" s="1"/>
      <c r="H1109" s="1"/>
      <c r="I1109" s="1"/>
      <c r="J1109" s="1"/>
      <c r="K1109" s="71"/>
      <c r="L1109" s="676" t="s">
        <v>432</v>
      </c>
      <c r="M1109" s="45"/>
      <c r="N1109" s="954" t="s">
        <v>34</v>
      </c>
      <c r="O1109" s="955"/>
      <c r="P1109" s="955"/>
      <c r="Q1109" s="955"/>
      <c r="R1109" s="955"/>
      <c r="S1109" s="955"/>
      <c r="T1109" s="955"/>
      <c r="U1109" s="956"/>
      <c r="V1109" s="1"/>
      <c r="W1109" s="39"/>
      <c r="X1109" s="664" t="s">
        <v>432</v>
      </c>
    </row>
    <row r="1110" spans="1:24" ht="11.25" customHeight="1">
      <c r="A1110" s="611">
        <v>54</v>
      </c>
      <c r="B1110" s="45"/>
      <c r="C1110" s="1"/>
      <c r="D1110" s="1"/>
      <c r="E1110" s="1"/>
      <c r="F1110" s="1"/>
      <c r="G1110" s="1"/>
      <c r="H1110" s="1"/>
      <c r="I1110" s="1"/>
      <c r="J1110" s="1"/>
      <c r="K1110" s="71"/>
      <c r="L1110" s="676" t="s">
        <v>432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432</v>
      </c>
    </row>
    <row r="1111" spans="1:24" ht="11.25" customHeight="1">
      <c r="A1111" s="611">
        <v>55</v>
      </c>
      <c r="B1111" s="45"/>
      <c r="C1111" s="1"/>
      <c r="D1111" s="1"/>
      <c r="E1111" s="1"/>
      <c r="F1111" s="1"/>
      <c r="G1111" s="1"/>
      <c r="H1111" s="1"/>
      <c r="I1111" s="1"/>
      <c r="J1111" s="1"/>
      <c r="K1111" s="71"/>
      <c r="L1111" s="676" t="s">
        <v>432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432</v>
      </c>
    </row>
    <row r="1112" spans="1:24" ht="11.25" customHeight="1" thickBot="1">
      <c r="A1112" s="611">
        <v>56</v>
      </c>
      <c r="B1112" s="45"/>
      <c r="C1112" s="1"/>
      <c r="D1112" s="1"/>
      <c r="E1112" s="1"/>
      <c r="F1112" s="1"/>
      <c r="G1112" s="1"/>
      <c r="H1112" s="1"/>
      <c r="I1112" s="1"/>
      <c r="J1112" s="1"/>
      <c r="K1112" s="71"/>
      <c r="L1112" s="676" t="s">
        <v>432</v>
      </c>
      <c r="M1112" s="45"/>
      <c r="N1112" s="206"/>
      <c r="O1112" s="5"/>
      <c r="P1112" s="959" t="s">
        <v>160</v>
      </c>
      <c r="Q1112" s="1042">
        <f>MAX(O1092:O1095,Q1092:Q1095,S1092:S1095,U1092:U1095)-MIN(O1092:O1095,Q1092:Q1095,S1092:S1095,U1092:U1095)</f>
        <v>0</v>
      </c>
      <c r="R1112" s="5"/>
      <c r="S1112" s="5"/>
      <c r="T1112" s="5"/>
      <c r="U1112" s="203"/>
      <c r="V1112" s="1"/>
      <c r="W1112" s="39"/>
      <c r="X1112" s="664" t="s">
        <v>432</v>
      </c>
    </row>
    <row r="1113" spans="1:24" ht="11.25" customHeight="1">
      <c r="A1113" s="611">
        <v>57</v>
      </c>
      <c r="B1113" s="127"/>
      <c r="K1113" s="71"/>
      <c r="L1113" s="676" t="s">
        <v>432</v>
      </c>
      <c r="M1113" s="127"/>
      <c r="W1113" s="71"/>
      <c r="X1113" s="664" t="s">
        <v>432</v>
      </c>
    </row>
    <row r="1114" spans="1:24" ht="11.25" customHeight="1">
      <c r="A1114" s="611">
        <v>58</v>
      </c>
      <c r="B1114" s="127"/>
      <c r="K1114" s="71"/>
      <c r="L1114" s="676" t="s">
        <v>432</v>
      </c>
      <c r="M1114" s="127"/>
      <c r="W1114" s="71"/>
      <c r="X1114" s="664" t="s">
        <v>432</v>
      </c>
    </row>
    <row r="1115" spans="1:24" ht="11.25" customHeight="1">
      <c r="A1115" s="611">
        <v>59</v>
      </c>
      <c r="B1115" s="127"/>
      <c r="K1115" s="71"/>
      <c r="L1115" s="676" t="s">
        <v>432</v>
      </c>
      <c r="M1115" s="127"/>
      <c r="W1115" s="71"/>
      <c r="X1115" s="664" t="s">
        <v>432</v>
      </c>
    </row>
    <row r="1116" spans="1:24" ht="11.25" customHeight="1">
      <c r="A1116" s="611">
        <v>60</v>
      </c>
      <c r="B1116" s="127"/>
      <c r="K1116" s="71"/>
      <c r="L1116" s="676" t="s">
        <v>432</v>
      </c>
      <c r="M1116" s="127"/>
      <c r="W1116" s="71"/>
      <c r="X1116" s="664" t="s">
        <v>432</v>
      </c>
    </row>
    <row r="1117" spans="1:24" ht="11.25" customHeight="1">
      <c r="A1117" s="611">
        <v>61</v>
      </c>
      <c r="B1117" s="127"/>
      <c r="K1117" s="71"/>
      <c r="L1117" s="676" t="s">
        <v>432</v>
      </c>
      <c r="M1117" s="127"/>
      <c r="W1117" s="71"/>
      <c r="X1117" s="664" t="s">
        <v>432</v>
      </c>
    </row>
    <row r="1118" spans="1:24" ht="11.25" customHeight="1">
      <c r="A1118" s="611">
        <v>62</v>
      </c>
      <c r="B1118" s="127"/>
      <c r="K1118" s="71"/>
      <c r="L1118" s="676" t="s">
        <v>432</v>
      </c>
      <c r="M1118" s="127"/>
      <c r="W1118" s="71"/>
      <c r="X1118" s="664" t="s">
        <v>432</v>
      </c>
    </row>
    <row r="1119" spans="1:24" ht="11.25" customHeight="1">
      <c r="A1119" s="611">
        <v>63</v>
      </c>
      <c r="B1119" s="127"/>
      <c r="K1119" s="71"/>
      <c r="L1119" s="676" t="s">
        <v>432</v>
      </c>
      <c r="M1119" s="127"/>
      <c r="W1119" s="71"/>
      <c r="X1119" s="664" t="s">
        <v>432</v>
      </c>
    </row>
    <row r="1120" spans="1:24" ht="11.25" customHeight="1" thickBot="1">
      <c r="A1120" s="611">
        <v>64</v>
      </c>
      <c r="B1120" s="98"/>
      <c r="C1120" s="83"/>
      <c r="D1120" s="83"/>
      <c r="E1120" s="83"/>
      <c r="F1120" s="83"/>
      <c r="G1120" s="83"/>
      <c r="H1120" s="83"/>
      <c r="I1120" s="83"/>
      <c r="J1120" s="83"/>
      <c r="K1120" s="86"/>
      <c r="L1120" s="676" t="s">
        <v>432</v>
      </c>
      <c r="M1120" s="98"/>
      <c r="N1120" s="83"/>
      <c r="O1120" s="83"/>
      <c r="P1120" s="83"/>
      <c r="Q1120" s="83"/>
      <c r="R1120" s="83"/>
      <c r="S1120" s="83"/>
      <c r="T1120" s="83"/>
      <c r="U1120" s="83"/>
      <c r="V1120" s="83"/>
      <c r="W1120" s="86"/>
      <c r="X1120" s="664" t="s">
        <v>432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432</v>
      </c>
      <c r="X1121" s="664" t="s">
        <v>432</v>
      </c>
    </row>
    <row r="1122" spans="1:24" ht="11.25" customHeight="1">
      <c r="A1122" s="611">
        <v>66</v>
      </c>
      <c r="B1122" s="52" t="str">
        <v>Room Number:</v>
      </c>
      <c r="C1122" s="373" t="str">
        <v/>
      </c>
      <c r="E1122" s="51"/>
      <c r="F1122" s="51"/>
      <c r="G1122" s="51"/>
      <c r="H1122" s="51"/>
      <c r="I1122" s="52" t="str">
        <v>Survey ID:</v>
      </c>
      <c r="J1122" s="1045" t="str">
        <v/>
      </c>
      <c r="L1122" s="676" t="s">
        <v>432</v>
      </c>
      <c r="X1122" s="664" t="s">
        <v>432</v>
      </c>
    </row>
    <row r="1123" spans="1:24" ht="11.25" customHeight="1">
      <c r="A1123" s="611">
        <v>1</v>
      </c>
      <c r="B1123" s="1"/>
      <c r="C1123" s="1"/>
      <c r="D1123" s="1"/>
      <c r="E1123" s="1"/>
      <c r="H1123" s="1"/>
      <c r="I1123" s="1"/>
      <c r="J1123" s="1"/>
      <c r="K1123" s="131" t="str">
        <f>$F$2</f>
        <v>Medical University of South Carolina</v>
      </c>
      <c r="L1123" s="676" t="s">
        <v>432</v>
      </c>
      <c r="M1123" s="1"/>
      <c r="N1123" s="1"/>
      <c r="O1123" s="1"/>
      <c r="P1123" s="1"/>
      <c r="Q1123" s="1"/>
      <c r="S1123" s="1"/>
      <c r="T1123" s="1"/>
      <c r="U1123" s="1"/>
      <c r="V1123" s="1"/>
      <c r="W1123" s="131" t="str">
        <f>$F$2</f>
        <v>Medical University of South Carolina</v>
      </c>
      <c r="X1123" s="664" t="s">
        <v>432</v>
      </c>
    </row>
    <row r="1124" spans="1:24" ht="11.25" customHeight="1" thickBot="1">
      <c r="A1124" s="611">
        <v>2</v>
      </c>
      <c r="F1124" s="82" t="str">
        <f>$F$464</f>
        <v>Measurement Data</v>
      </c>
      <c r="K1124" s="132" t="str">
        <f>$F$5</f>
        <v>Radiographic System Compliance Inspection</v>
      </c>
      <c r="L1124" s="676" t="s">
        <v>432</v>
      </c>
      <c r="Q1124" s="82" t="str">
        <f>$F$464</f>
        <v>Measurement Data</v>
      </c>
      <c r="W1124" s="132" t="str">
        <f>$F$5</f>
        <v>Radiographic System Compliance Inspection</v>
      </c>
      <c r="X1124" s="664" t="s">
        <v>432</v>
      </c>
    </row>
    <row r="1125" spans="1:24" ht="11.25" customHeight="1" thickTop="1">
      <c r="A1125" s="611">
        <v>3</v>
      </c>
      <c r="B1125" s="79"/>
      <c r="C1125" s="62"/>
      <c r="D1125" s="62"/>
      <c r="E1125" s="62"/>
      <c r="F1125" s="914"/>
      <c r="G1125" s="62"/>
      <c r="H1125" s="62"/>
      <c r="I1125" s="62"/>
      <c r="J1125" s="62"/>
      <c r="K1125" s="80"/>
      <c r="L1125" s="676" t="s">
        <v>432</v>
      </c>
      <c r="M1125" s="79"/>
      <c r="N1125" s="62"/>
      <c r="O1125" s="62"/>
      <c r="P1125" s="62"/>
      <c r="Q1125" s="913" t="s">
        <v>263</v>
      </c>
      <c r="R1125" s="914"/>
      <c r="S1125" s="62"/>
      <c r="T1125" s="62"/>
      <c r="U1125" s="62"/>
      <c r="V1125" s="62"/>
      <c r="W1125" s="80"/>
      <c r="X1125" s="664" t="s">
        <v>432</v>
      </c>
    </row>
    <row r="1126" spans="1:24" ht="11.25" customHeight="1">
      <c r="A1126" s="611">
        <v>4</v>
      </c>
      <c r="B1126" s="127"/>
      <c r="F1126" s="292" t="s">
        <v>263</v>
      </c>
      <c r="K1126" s="71"/>
      <c r="L1126" s="676" t="s">
        <v>432</v>
      </c>
      <c r="M1126" s="127"/>
      <c r="R1126" s="901" t="s">
        <v>368</v>
      </c>
      <c r="S1126" s="901" t="s">
        <v>640</v>
      </c>
      <c r="W1126" s="71"/>
      <c r="X1126" s="664" t="s">
        <v>432</v>
      </c>
    </row>
    <row r="1127" spans="1:24" ht="11.25" customHeight="1">
      <c r="A1127" s="611">
        <v>5</v>
      </c>
      <c r="B1127" s="191" t="s">
        <v>234</v>
      </c>
      <c r="C1127" s="53"/>
      <c r="K1127" s="71"/>
      <c r="L1127" s="676" t="s">
        <v>432</v>
      </c>
      <c r="M1127" s="191" t="s">
        <v>234</v>
      </c>
      <c r="Q1127" s="37" t="s">
        <v>631</v>
      </c>
      <c r="R1127" s="902" t="str">
        <f>IF(S1127&lt;&gt;"",S1127&amp;" "&amp;WBCM_IN,IF(OR(AB532=0,AB532=""),M1003,AB532))</f>
        <v/>
      </c>
      <c r="S1127" s="903"/>
      <c r="W1127" s="71"/>
      <c r="X1127" s="664" t="s">
        <v>432</v>
      </c>
    </row>
    <row r="1128" spans="1:24" ht="11.25" customHeight="1" thickBot="1">
      <c r="A1128" s="611">
        <v>6</v>
      </c>
      <c r="B1128" s="353" t="s">
        <v>359</v>
      </c>
      <c r="C1128" s="352" t="str">
        <f>IF(M1129=1,N1129&amp;IF(M1130=1,"/"&amp;N1130,""),IF(M1130=1,N1130,""))</f>
        <v/>
      </c>
      <c r="D1128" s="53"/>
      <c r="K1128" s="71"/>
      <c r="L1128" s="676" t="s">
        <v>432</v>
      </c>
      <c r="M1128" s="202" t="s">
        <v>438</v>
      </c>
      <c r="O1128" s="53"/>
      <c r="Q1128" s="37" t="s">
        <v>251</v>
      </c>
      <c r="R1128" s="906" t="str">
        <f>IF(S1128&lt;&gt;"",S1128,IF(OR(AB533=0,AB533=""),N1003,AB533))</f>
        <v>C</v>
      </c>
      <c r="S1128" s="907"/>
      <c r="V1128" s="712" t="s">
        <v>397</v>
      </c>
      <c r="W1128" s="756" t="str">
        <f>IF(OR(AB484=0,AB484=""),"",AB484)</f>
        <v/>
      </c>
      <c r="X1128" s="664" t="s">
        <v>432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432</v>
      </c>
      <c r="M1129" s="649"/>
      <c r="N1129" s="100" t="s">
        <v>360</v>
      </c>
      <c r="Q1129" s="37" t="s">
        <v>627</v>
      </c>
      <c r="R1129" s="900" t="str">
        <f>IF(S1129&lt;&gt;"",S1129,IF(OR(AB534=0,AB534=""),M1008,AB534))</f>
        <v/>
      </c>
      <c r="S1129" s="905"/>
      <c r="T1129" s="54" t="s">
        <v>630</v>
      </c>
      <c r="U1129" s="645"/>
      <c r="V1129" s="54" t="str">
        <f>IF(Meter_OD="","Blank",Meter_OD)</f>
        <v>Meter</v>
      </c>
      <c r="W1129" s="1081" t="s">
        <v>1172</v>
      </c>
      <c r="X1129" s="664" t="s">
        <v>432</v>
      </c>
    </row>
    <row r="1130" spans="1:24" ht="11.25" customHeight="1" thickBot="1">
      <c r="A1130" s="611">
        <v>8</v>
      </c>
      <c r="B1130" s="127"/>
      <c r="G1130" s="593" t="str">
        <f>IF(U1129="","mAs:_______","mAs:  "&amp;ROUND(U1129,1))</f>
        <v>mAs:_______</v>
      </c>
      <c r="K1130" s="71"/>
      <c r="L1130" s="676" t="s">
        <v>432</v>
      </c>
      <c r="M1130" s="649"/>
      <c r="N1130" s="100" t="s">
        <v>361</v>
      </c>
      <c r="Q1130" s="37" t="s">
        <v>236</v>
      </c>
      <c r="R1130" s="899">
        <f>IF(S1130&lt;&gt;"",S1130,IF(OR(AB535=0,AB535=""),N1008,AB535))</f>
        <v>7.8740157480314963</v>
      </c>
      <c r="S1130" s="903"/>
      <c r="T1130" s="1289" t="s">
        <v>363</v>
      </c>
      <c r="U1130" s="1290"/>
      <c r="V1130" s="749" t="s">
        <v>590</v>
      </c>
      <c r="W1130" s="744" t="str">
        <f>IF($W$1129="NA","NA",IF($W$1129="","TBD",IF(AND(M1129=1,M1130&lt;&gt;1),IF(AND($W$1129&gt;=1.9,$W$1129&lt;=2.1),"YES","NO"),IF(AND(M1129&lt;&gt;1,M1130=1),IF(AND($W$1129&gt;=1.9,$W$1129&lt;=2.1),"YES","NO"),IF(AND($W$1129&gt;=1.9,$W$1129&lt;=2.1),"YES","NO")))))</f>
        <v>NA</v>
      </c>
      <c r="X1130" s="664" t="s">
        <v>432</v>
      </c>
    </row>
    <row r="1131" spans="1:24" ht="11.25" customHeight="1">
      <c r="A1131" s="611">
        <v>9</v>
      </c>
      <c r="B1131" s="684"/>
      <c r="D1131" s="132" t="str">
        <f>"Criteria: "&amp;T1131</f>
        <v>Criteria: Radiographic:</v>
      </c>
      <c r="E1131" s="100" t="str">
        <f>U1131</f>
        <v>1.9&lt;=lgM&lt;=2.1</v>
      </c>
      <c r="K1131" s="71"/>
      <c r="L1131" s="676" t="s">
        <v>432</v>
      </c>
      <c r="M1131" s="127"/>
      <c r="T1131" s="132" t="s">
        <v>362</v>
      </c>
      <c r="U1131" s="100" t="s">
        <v>1073</v>
      </c>
      <c r="W1131" s="71"/>
      <c r="X1131" s="664" t="s">
        <v>432</v>
      </c>
    </row>
    <row r="1132" spans="1:24" ht="11.25" customHeight="1">
      <c r="A1132" s="611">
        <v>10</v>
      </c>
      <c r="B1132" s="127"/>
      <c r="D1132" s="132" t="str">
        <f>T1132</f>
        <v>Chest:</v>
      </c>
      <c r="E1132" s="100" t="str">
        <f>U1132</f>
        <v>1.9&lt;=lgM&lt;=2.1</v>
      </c>
      <c r="K1132" s="71"/>
      <c r="L1132" s="676" t="s">
        <v>432</v>
      </c>
      <c r="M1132" s="127"/>
      <c r="T1132" s="132" t="s">
        <v>332</v>
      </c>
      <c r="U1132" s="100" t="s">
        <v>1073</v>
      </c>
      <c r="W1132" s="71"/>
      <c r="X1132" s="664" t="s">
        <v>432</v>
      </c>
    </row>
    <row r="1133" spans="1:24" ht="11.25" customHeight="1">
      <c r="A1133" s="611">
        <v>11</v>
      </c>
      <c r="B1133" s="127"/>
      <c r="K1133" s="71"/>
      <c r="L1133" s="676" t="s">
        <v>432</v>
      </c>
      <c r="M1133" s="127"/>
      <c r="W1133" s="71"/>
      <c r="X1133" s="664" t="s">
        <v>432</v>
      </c>
    </row>
    <row r="1134" spans="1:24" ht="11.25" customHeight="1">
      <c r="A1134" s="611">
        <v>12</v>
      </c>
      <c r="B1134" s="191" t="s">
        <v>237</v>
      </c>
      <c r="C1134" s="109"/>
      <c r="D1134" s="109"/>
      <c r="E1134" s="37" t="s">
        <v>627</v>
      </c>
      <c r="F1134" s="35" t="str">
        <f>IF(R1134="","",R1134)</f>
        <v/>
      </c>
      <c r="G1134" s="1"/>
      <c r="H1134" s="37" t="s">
        <v>238</v>
      </c>
      <c r="I1134" s="2" t="str">
        <f>IF(U1134="","              in.",ROUND(U1134,2)&amp;" in.")</f>
        <v>7.87 in.</v>
      </c>
      <c r="K1134" s="71"/>
      <c r="L1134" s="676" t="s">
        <v>432</v>
      </c>
      <c r="M1134" s="191" t="s">
        <v>237</v>
      </c>
      <c r="N1134" s="3"/>
      <c r="O1134" s="3"/>
      <c r="P1134" s="294"/>
      <c r="Q1134" s="37" t="s">
        <v>627</v>
      </c>
      <c r="R1134" s="789" t="str">
        <f>IF(R1129="","",R1129)</f>
        <v/>
      </c>
      <c r="S1134" s="1"/>
      <c r="T1134" s="37" t="s">
        <v>238</v>
      </c>
      <c r="U1134" s="788">
        <f>IF(R1130="","",R1130)</f>
        <v>7.8740157480314963</v>
      </c>
      <c r="V1134" s="50" t="s">
        <v>227</v>
      </c>
      <c r="W1134" s="39"/>
      <c r="X1134" s="664" t="s">
        <v>432</v>
      </c>
    </row>
    <row r="1135" spans="1:24" ht="11.25" customHeight="1">
      <c r="A1135" s="611">
        <v>13</v>
      </c>
      <c r="B1135" s="127"/>
      <c r="C1135" s="1"/>
      <c r="D1135" s="1"/>
      <c r="E1135" s="37" t="s">
        <v>631</v>
      </c>
      <c r="F1135" s="2" t="str">
        <f>IF(R1135="","",R1135)</f>
        <v/>
      </c>
      <c r="G1135" s="1"/>
      <c r="H1135" s="37" t="s">
        <v>561</v>
      </c>
      <c r="I1135" s="11" t="str">
        <f>IF(U1135="","",U1135)</f>
        <v/>
      </c>
      <c r="K1135" s="71"/>
      <c r="L1135" s="676" t="s">
        <v>432</v>
      </c>
      <c r="M1135" s="127"/>
      <c r="N1135" s="1"/>
      <c r="O1135" s="1"/>
      <c r="P1135" s="1"/>
      <c r="Q1135" s="37" t="s">
        <v>631</v>
      </c>
      <c r="R1135" s="788" t="str">
        <f>IF(R1127="","",R1127)</f>
        <v/>
      </c>
      <c r="S1135" s="1"/>
      <c r="T1135" s="37" t="s">
        <v>561</v>
      </c>
      <c r="U1135" s="790" t="str">
        <f>IF($T$32="","",$T$32&amp;"/"&amp;$T$33)</f>
        <v/>
      </c>
      <c r="V1135" s="3"/>
      <c r="W1135" s="71"/>
      <c r="X1135" s="664" t="s">
        <v>432</v>
      </c>
    </row>
    <row r="1136" spans="1:24" ht="11.25" customHeight="1">
      <c r="A1136" s="611">
        <v>14</v>
      </c>
      <c r="B1136" s="213" t="s">
        <v>239</v>
      </c>
      <c r="C1136" s="109" t="s">
        <v>240</v>
      </c>
      <c r="D1136" s="109"/>
      <c r="E1136" s="109" t="s">
        <v>241</v>
      </c>
      <c r="F1136" s="109"/>
      <c r="G1136" s="109" t="s">
        <v>242</v>
      </c>
      <c r="H1136" s="109"/>
      <c r="I1136" s="1"/>
      <c r="J1136" s="1"/>
      <c r="K1136" s="71"/>
      <c r="L1136" s="676" t="s">
        <v>432</v>
      </c>
      <c r="M1136" s="127"/>
      <c r="N1136" s="37" t="s">
        <v>239</v>
      </c>
      <c r="O1136" s="109" t="s">
        <v>240</v>
      </c>
      <c r="P1136" s="109"/>
      <c r="Q1136" s="109" t="s">
        <v>241</v>
      </c>
      <c r="R1136" s="109"/>
      <c r="S1136" s="109" t="s">
        <v>242</v>
      </c>
      <c r="T1136" s="109"/>
      <c r="W1136" s="71"/>
      <c r="X1136" s="664" t="s">
        <v>432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432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432</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432</v>
      </c>
      <c r="M1138" s="45"/>
      <c r="N1138" s="1"/>
      <c r="O1138" s="635"/>
      <c r="P1138" s="646"/>
      <c r="Q1138" s="635"/>
      <c r="R1138" s="646"/>
      <c r="S1138" s="635"/>
      <c r="T1138" s="646"/>
      <c r="W1138" s="71"/>
      <c r="X1138" s="664" t="s">
        <v>432</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432</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432</v>
      </c>
      <c r="M1140" s="45"/>
      <c r="O1140" s="635"/>
      <c r="P1140" s="646"/>
      <c r="Q1140" s="635"/>
      <c r="R1140" s="646"/>
      <c r="S1140" s="635"/>
      <c r="T1140" s="646"/>
      <c r="W1140" s="71"/>
      <c r="X1140" s="664" t="s">
        <v>432</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432</v>
      </c>
      <c r="M1141" s="45"/>
      <c r="O1141" s="635"/>
      <c r="P1141" s="646"/>
      <c r="Q1141" s="635"/>
      <c r="R1141" s="646"/>
      <c r="S1141" s="635"/>
      <c r="T1141" s="646"/>
      <c r="W1141" s="71"/>
      <c r="X1141" s="664" t="s">
        <v>432</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432</v>
      </c>
      <c r="M1142" s="45"/>
      <c r="O1142" s="635"/>
      <c r="P1142" s="646"/>
      <c r="Q1142" s="635"/>
      <c r="R1142" s="646"/>
      <c r="S1142" s="635"/>
      <c r="T1142" s="646"/>
      <c r="W1142" s="71"/>
      <c r="X1142" s="664" t="s">
        <v>432</v>
      </c>
    </row>
    <row r="1143" spans="1:25" ht="11.25" customHeight="1">
      <c r="A1143" s="611">
        <v>21</v>
      </c>
      <c r="B1143" s="127"/>
      <c r="K1143" s="71"/>
      <c r="L1143" s="676" t="s">
        <v>432</v>
      </c>
      <c r="M1143" s="45"/>
      <c r="T1143" s="1"/>
      <c r="W1143" s="71"/>
      <c r="X1143" s="664" t="s">
        <v>432</v>
      </c>
    </row>
    <row r="1144" spans="1:25" ht="11.25" customHeight="1">
      <c r="A1144" s="611">
        <v>22</v>
      </c>
      <c r="B1144" s="295" t="s">
        <v>103</v>
      </c>
      <c r="C1144" s="14" t="str">
        <f t="shared" ref="C1144:H1147" si="154">IF(O1144="","",O1144)</f>
        <v/>
      </c>
      <c r="D1144" s="291" t="str">
        <f t="shared" si="154"/>
        <v/>
      </c>
      <c r="E1144" s="46" t="str">
        <f t="shared" si="154"/>
        <v/>
      </c>
      <c r="F1144" s="291" t="str">
        <f t="shared" si="154"/>
        <v/>
      </c>
      <c r="G1144" s="46" t="str">
        <f t="shared" si="154"/>
        <v/>
      </c>
      <c r="H1144" s="14" t="str">
        <f t="shared" si="154"/>
        <v/>
      </c>
      <c r="J1144" s="1" t="s">
        <v>243</v>
      </c>
      <c r="K1144" s="71"/>
      <c r="L1144" s="676" t="s">
        <v>432</v>
      </c>
      <c r="M1144" s="45"/>
      <c r="N1144" s="419" t="s">
        <v>103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243</v>
      </c>
      <c r="W1144" s="39"/>
      <c r="X1144" s="664" t="s">
        <v>432</v>
      </c>
    </row>
    <row r="1145" spans="1:25" ht="11.25" customHeight="1">
      <c r="A1145" s="611">
        <v>23</v>
      </c>
      <c r="B1145" s="213" t="s">
        <v>244</v>
      </c>
      <c r="C1145" s="21" t="str">
        <f t="shared" si="154"/>
        <v/>
      </c>
      <c r="D1145" s="8" t="str">
        <f t="shared" si="154"/>
        <v/>
      </c>
      <c r="E1145" s="24" t="str">
        <f t="shared" si="154"/>
        <v/>
      </c>
      <c r="F1145" s="8" t="str">
        <f t="shared" si="154"/>
        <v/>
      </c>
      <c r="G1145" s="24" t="str">
        <f t="shared" si="154"/>
        <v/>
      </c>
      <c r="H1145" s="21" t="str">
        <f t="shared" si="154"/>
        <v/>
      </c>
      <c r="J1145" s="21" t="s">
        <v>245</v>
      </c>
      <c r="K1145" s="71"/>
      <c r="L1145" s="676" t="s">
        <v>432</v>
      </c>
      <c r="M1145" s="45"/>
      <c r="N1145" s="420" t="s">
        <v>244</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245</v>
      </c>
      <c r="W1145" s="39"/>
      <c r="X1145" s="664" t="s">
        <v>432</v>
      </c>
    </row>
    <row r="1146" spans="1:25" ht="11.25" customHeight="1" thickBot="1">
      <c r="A1146" s="611">
        <v>24</v>
      </c>
      <c r="B1146" s="213" t="s">
        <v>246</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432</v>
      </c>
      <c r="M1146" s="45"/>
      <c r="N1146" s="420" t="s">
        <v>246</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432</v>
      </c>
      <c r="Y1146" s="887"/>
    </row>
    <row r="1147" spans="1:25" ht="11.25" customHeight="1" thickBot="1">
      <c r="A1147" s="611">
        <v>25</v>
      </c>
      <c r="B1147" s="287" t="s">
        <v>590</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590</v>
      </c>
      <c r="J1147" s="325" t="str">
        <f>IF(V1147="","",V1147)</f>
        <v>TBD</v>
      </c>
      <c r="K1147" s="71"/>
      <c r="L1147" s="676" t="s">
        <v>432</v>
      </c>
      <c r="M1147" s="127"/>
      <c r="N1147" s="780" t="s">
        <v>590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590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432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432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432</v>
      </c>
    </row>
    <row r="1149" spans="1:25" ht="11.25" customHeight="1">
      <c r="A1149" s="611">
        <v>27</v>
      </c>
      <c r="B1149" s="127"/>
      <c r="E1149" s="132" t="s">
        <v>247</v>
      </c>
      <c r="F1149" s="100" t="str">
        <f>R1149</f>
        <v>Film:  Maximum variation of 0.4 O.D.</v>
      </c>
      <c r="K1149" s="464"/>
      <c r="L1149" s="676" t="s">
        <v>432</v>
      </c>
      <c r="M1149" s="127"/>
      <c r="Q1149" s="132" t="s">
        <v>247</v>
      </c>
      <c r="R1149" s="100" t="s">
        <v>1052</v>
      </c>
      <c r="W1149" s="39"/>
      <c r="X1149" s="664" t="s">
        <v>432</v>
      </c>
    </row>
    <row r="1150" spans="1:25" ht="11.25" customHeight="1">
      <c r="A1150" s="611">
        <v>28</v>
      </c>
      <c r="B1150" s="127"/>
      <c r="F1150" s="100" t="str">
        <f>R1150</f>
        <v>Exposure &amp; AEC Meter:  Max. Variation 35%</v>
      </c>
      <c r="K1150" s="464"/>
      <c r="L1150" s="676" t="s">
        <v>432</v>
      </c>
      <c r="M1150" s="127"/>
      <c r="R1150" s="100" t="s">
        <v>1051</v>
      </c>
      <c r="W1150" s="39"/>
      <c r="X1150" s="664" t="s">
        <v>432</v>
      </c>
    </row>
    <row r="1151" spans="1:25" ht="11.25" customHeight="1">
      <c r="A1151" s="611">
        <v>29</v>
      </c>
      <c r="B1151" s="127"/>
      <c r="E1151" s="338" t="s">
        <v>248</v>
      </c>
      <c r="F1151" s="100" t="str">
        <f>R1151</f>
        <v>Coefficient of variation &lt;= 5% for each detector</v>
      </c>
      <c r="K1151" s="464"/>
      <c r="L1151" s="676" t="s">
        <v>432</v>
      </c>
      <c r="M1151" s="127"/>
      <c r="Q1151" s="338" t="s">
        <v>248</v>
      </c>
      <c r="R1151" s="100" t="s">
        <v>249</v>
      </c>
      <c r="W1151" s="39"/>
      <c r="X1151" s="664" t="s">
        <v>432</v>
      </c>
    </row>
    <row r="1152" spans="1:25" ht="11.25" customHeight="1">
      <c r="A1152" s="611">
        <v>30</v>
      </c>
      <c r="B1152" s="127"/>
      <c r="K1152" s="71"/>
      <c r="L1152" s="676" t="s">
        <v>432</v>
      </c>
      <c r="M1152" s="127"/>
      <c r="W1152" s="71"/>
      <c r="X1152" s="664" t="s">
        <v>432</v>
      </c>
    </row>
    <row r="1153" spans="1:24" ht="11.25" customHeight="1">
      <c r="A1153" s="611">
        <v>31</v>
      </c>
      <c r="B1153" s="212" t="s">
        <v>250</v>
      </c>
      <c r="C1153" s="1"/>
      <c r="D1153" s="1"/>
      <c r="E1153" s="1"/>
      <c r="F1153" s="1"/>
      <c r="G1153" s="1"/>
      <c r="H1153" s="1"/>
      <c r="I1153" s="1"/>
      <c r="J1153" s="1"/>
      <c r="K1153" s="71"/>
      <c r="L1153" s="676" t="s">
        <v>432</v>
      </c>
      <c r="M1153" s="127"/>
      <c r="W1153" s="71"/>
      <c r="X1153" s="664" t="s">
        <v>432</v>
      </c>
    </row>
    <row r="1154" spans="1:24" ht="11.25" customHeight="1">
      <c r="A1154" s="611">
        <v>32</v>
      </c>
      <c r="B1154" s="45"/>
      <c r="C1154" s="37" t="s">
        <v>631</v>
      </c>
      <c r="D1154" s="2" t="str">
        <f>IF(P1155="","",P1155)</f>
        <v xml:space="preserve"> cm</v>
      </c>
      <c r="E1154" s="1"/>
      <c r="F1154" s="37" t="s">
        <v>251</v>
      </c>
      <c r="G1154" s="2" t="str">
        <f>IF(S1155="","",S1155)</f>
        <v>C</v>
      </c>
      <c r="H1154" s="1"/>
      <c r="I1154" s="37" t="s">
        <v>252</v>
      </c>
      <c r="J1154" s="2" t="str">
        <f>IF(V1155="","",V1155)</f>
        <v/>
      </c>
      <c r="K1154" s="71"/>
      <c r="L1154" s="676" t="s">
        <v>432</v>
      </c>
      <c r="M1154" s="127"/>
      <c r="N1154" s="371" t="s">
        <v>250</v>
      </c>
      <c r="O1154" s="1"/>
      <c r="P1154" s="1"/>
      <c r="Q1154" s="1"/>
      <c r="R1154" s="376"/>
      <c r="S1154" s="1"/>
      <c r="T1154" s="1"/>
      <c r="U1154" s="1"/>
      <c r="V1154" s="1"/>
      <c r="W1154" s="39"/>
      <c r="X1154" s="664" t="s">
        <v>432</v>
      </c>
    </row>
    <row r="1155" spans="1:24" ht="11.25" customHeight="1">
      <c r="A1155" s="611">
        <v>33</v>
      </c>
      <c r="B1155" s="45" t="s">
        <v>253</v>
      </c>
      <c r="C1155" s="30" t="s">
        <v>254</v>
      </c>
      <c r="D1155" s="431">
        <f>IF(P1156="","",P1156)</f>
        <v>60</v>
      </c>
      <c r="E1155" s="30" t="s">
        <v>255</v>
      </c>
      <c r="F1155" s="431">
        <f>IF(R1156="","",R1156)</f>
        <v>80</v>
      </c>
      <c r="G1155" s="30" t="s">
        <v>256</v>
      </c>
      <c r="H1155" s="431">
        <f>IF(T1156="","",T1156)</f>
        <v>100</v>
      </c>
      <c r="I1155" s="30" t="s">
        <v>257</v>
      </c>
      <c r="J1155" s="432">
        <f>IF(V1156="","",V1156)</f>
        <v>120</v>
      </c>
      <c r="K1155" s="71"/>
      <c r="L1155" s="676" t="s">
        <v>432</v>
      </c>
      <c r="M1155" s="127"/>
      <c r="N1155" s="1"/>
      <c r="O1155" s="37" t="s">
        <v>631</v>
      </c>
      <c r="P1155" s="788" t="str">
        <f>IF($M$616="","",ROUND($M$616,1))&amp;" "&amp;WBCM_IN</f>
        <v xml:space="preserve"> cm</v>
      </c>
      <c r="Q1155" s="1"/>
      <c r="R1155" s="37" t="s">
        <v>251</v>
      </c>
      <c r="S1155" s="788" t="str">
        <f>IF($R$1128="","",$R$1128)</f>
        <v>C</v>
      </c>
      <c r="T1155" s="1"/>
      <c r="U1155" s="37" t="s">
        <v>252</v>
      </c>
      <c r="V1155" s="789" t="str">
        <f>IF($O$1027="","",$O$1027)</f>
        <v/>
      </c>
      <c r="W1155" s="39"/>
      <c r="X1155" s="664" t="s">
        <v>432</v>
      </c>
    </row>
    <row r="1156" spans="1:24" ht="11.25" customHeight="1" thickBot="1">
      <c r="A1156" s="611">
        <v>34</v>
      </c>
      <c r="B1156" s="7" t="s">
        <v>258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432</v>
      </c>
      <c r="M1156" s="127"/>
      <c r="N1156" s="4" t="s">
        <v>253</v>
      </c>
      <c r="O1156" s="30" t="s">
        <v>254</v>
      </c>
      <c r="P1156" s="792">
        <f>$Q$694</f>
        <v>60</v>
      </c>
      <c r="Q1156" s="728" t="s">
        <v>255</v>
      </c>
      <c r="R1156" s="792">
        <f>$Q$695</f>
        <v>80</v>
      </c>
      <c r="S1156" s="728" t="s">
        <v>256</v>
      </c>
      <c r="T1156" s="792">
        <f>$Q$696</f>
        <v>100</v>
      </c>
      <c r="U1156" s="728" t="s">
        <v>257</v>
      </c>
      <c r="V1156" s="792">
        <f>$Q$697</f>
        <v>120</v>
      </c>
      <c r="W1156" s="39"/>
      <c r="X1156" s="664" t="s">
        <v>432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432</v>
      </c>
      <c r="M1157" s="127"/>
      <c r="N1157" s="6" t="s">
        <v>19</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432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432</v>
      </c>
      <c r="M1158" s="127"/>
      <c r="N1158" s="370">
        <v>10</v>
      </c>
      <c r="O1158" s="647"/>
      <c r="P1158" s="648"/>
      <c r="Q1158" s="647"/>
      <c r="R1158" s="648"/>
      <c r="S1158" s="647"/>
      <c r="T1158" s="648"/>
      <c r="U1158" s="965"/>
      <c r="V1158" s="961"/>
      <c r="W1158" s="71"/>
      <c r="X1158" s="664" t="s">
        <v>432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432</v>
      </c>
      <c r="M1159" s="45"/>
      <c r="N1159" s="370">
        <v>15</v>
      </c>
      <c r="O1159" s="647"/>
      <c r="P1159" s="648"/>
      <c r="Q1159" s="647"/>
      <c r="R1159" s="648"/>
      <c r="S1159" s="647"/>
      <c r="T1159" s="648"/>
      <c r="U1159" s="647"/>
      <c r="V1159" s="648"/>
      <c r="W1159" s="39"/>
      <c r="X1159" s="664" t="s">
        <v>432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432</v>
      </c>
      <c r="M1160" s="45"/>
      <c r="N1160" s="370">
        <v>20</v>
      </c>
      <c r="O1160" s="647"/>
      <c r="P1160" s="648"/>
      <c r="Q1160" s="647"/>
      <c r="R1160" s="648"/>
      <c r="S1160" s="647"/>
      <c r="T1160" s="648"/>
      <c r="U1160" s="647"/>
      <c r="V1160" s="648"/>
      <c r="W1160" s="39"/>
      <c r="X1160" s="664" t="s">
        <v>432</v>
      </c>
    </row>
    <row r="1161" spans="1:24" ht="11.25" customHeight="1" thickBot="1">
      <c r="A1161" s="611">
        <v>39</v>
      </c>
      <c r="B1161" s="127"/>
      <c r="K1161" s="71"/>
      <c r="L1161" s="676" t="s">
        <v>432</v>
      </c>
      <c r="M1161" s="45"/>
      <c r="N1161" s="370">
        <v>25</v>
      </c>
      <c r="O1161" s="965"/>
      <c r="P1161" s="961"/>
      <c r="Q1161" s="647"/>
      <c r="R1161" s="648"/>
      <c r="S1161" s="647"/>
      <c r="T1161" s="648"/>
      <c r="U1161" s="647"/>
      <c r="V1161" s="648"/>
      <c r="W1161" s="39"/>
      <c r="X1161" s="664" t="s">
        <v>432</v>
      </c>
    </row>
    <row r="1162" spans="1:24" ht="11.25" customHeight="1" thickBot="1">
      <c r="A1162" s="611">
        <v>40</v>
      </c>
      <c r="B1162" s="287" t="s">
        <v>259</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432</v>
      </c>
      <c r="M1162" s="45"/>
      <c r="N1162" s="1"/>
      <c r="O1162" s="1"/>
      <c r="P1162" s="1"/>
      <c r="Q1162" s="1"/>
      <c r="R1162" s="1"/>
      <c r="S1162" s="1"/>
      <c r="T1162" s="1"/>
      <c r="U1162" s="1"/>
      <c r="V1162" s="1"/>
      <c r="W1162" s="39"/>
      <c r="X1162" s="664" t="s">
        <v>432</v>
      </c>
    </row>
    <row r="1163" spans="1:24" ht="11.25" customHeight="1" thickBot="1">
      <c r="A1163" s="611">
        <v>41</v>
      </c>
      <c r="B1163" s="287" t="s">
        <v>590</v>
      </c>
      <c r="C1163" s="1255" t="str">
        <f>IF(O1164="","",O1164)</f>
        <v>NA</v>
      </c>
      <c r="D1163" s="1256"/>
      <c r="E1163" s="1255" t="str">
        <f>IF(Q1164="","",Q1164)</f>
        <v>NA</v>
      </c>
      <c r="F1163" s="1256"/>
      <c r="G1163" s="1255" t="str">
        <f>IF(S1164="","",S1164)</f>
        <v>NA</v>
      </c>
      <c r="H1163" s="1256"/>
      <c r="I1163" s="1255" t="str">
        <f>IF(U1164="","",U1164)</f>
        <v>NA</v>
      </c>
      <c r="J1163" s="1260"/>
      <c r="K1163" s="71"/>
      <c r="L1163" s="676" t="s">
        <v>432</v>
      </c>
      <c r="M1163" s="598" t="s">
        <v>264</v>
      </c>
      <c r="N1163" s="419" t="s">
        <v>259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432</v>
      </c>
    </row>
    <row r="1164" spans="1:24" ht="11.25" customHeight="1" thickBot="1">
      <c r="A1164" s="611">
        <v>42</v>
      </c>
      <c r="B1164" s="213" t="s">
        <v>261</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432</v>
      </c>
      <c r="M1164" s="127"/>
      <c r="N1164" s="780" t="s">
        <v>590</v>
      </c>
      <c r="O1164" s="1257" t="str">
        <f>IF(P1163="","NA",IF(OR(AND(O1158=0,O1159=0),AND(O1159="",O1160=""),AND(O1158="",O1160="")),"",IF(O1157="Film O.D.",IF(O1176&gt;0.3,"NO","YES"),IF(O1157="lgM",IF(O1176&gt;0.2,"NO","YES"),IF(P1163&lt;=0.3,"YES","NO")))))</f>
        <v>NA</v>
      </c>
      <c r="P1164" s="1258"/>
      <c r="Q1164" s="1259" t="str">
        <f>IF(R1163="","NA",IF(OR(AND(Q1158=0,Q1159=0),AND(Q1159="",Q1160=""),AND(Q1158="",Q1160="")),"",IF(Q1157="Film O.D.",IF(Q1176&gt;0.3,"NO","YES"),IF(Q1157="lgM",IF(Q1176&gt;0.2,"NO","YES"),IF(R1163&lt;=0.3,"YES","NO")))))</f>
        <v>NA</v>
      </c>
      <c r="R1164" s="1258"/>
      <c r="S1164" s="1259" t="str">
        <f>IF(T1163="","NA",IF(OR(AND(S1158=0,S1159=0),AND(S1159="",S1160=""),AND(S1158="",S1160="")),"",IF(S1157="Film O.D.",IF(S1176&gt;0.3,"NO","YES"),IF(S1157="lgM",IF(S1176&gt;0.2,"NO","YES"),IF(T1163&lt;=0.3,"YES","NO")))))</f>
        <v>NA</v>
      </c>
      <c r="T1164" s="1258"/>
      <c r="U1164" s="1259" t="str">
        <f>IF(V1163="","NA",IF(OR(AND(U1158=0,U1159=0),AND(U1159="",U1160=""),AND(U1158="",U1160="")),"",IF(U1157="Film O.D.",IF(U1176&gt;0.3,"NO","YES"),IF(U1157="lgM",IF(U1176&gt;0.2,"NO","YES"),IF(V1163&lt;=0.3,"YES","NO")))))</f>
        <v>NA</v>
      </c>
      <c r="V1164" s="1258"/>
      <c r="W1164" s="39"/>
      <c r="X1164" s="664" t="s">
        <v>432</v>
      </c>
    </row>
    <row r="1165" spans="1:24" ht="11.25" customHeight="1" thickBot="1">
      <c r="A1165" s="611">
        <v>43</v>
      </c>
      <c r="B1165" s="287" t="s">
        <v>590</v>
      </c>
      <c r="C1165" s="1255" t="str">
        <f>IF(O1166="","",O1166)</f>
        <v>NA</v>
      </c>
      <c r="D1165" s="1256"/>
      <c r="E1165" s="1255" t="str">
        <f>IF(Q1166="","",Q1166)</f>
        <v>NA</v>
      </c>
      <c r="F1165" s="1256"/>
      <c r="G1165" s="1255" t="str">
        <f>IF(S1166="","",S1166)</f>
        <v>NA</v>
      </c>
      <c r="H1165" s="1256"/>
      <c r="I1165" s="1255" t="str">
        <f>IF(U1166="","",U1166)</f>
        <v>NA</v>
      </c>
      <c r="J1165" s="1260"/>
      <c r="K1165" s="71"/>
      <c r="L1165" s="676" t="s">
        <v>432</v>
      </c>
      <c r="M1165" s="127"/>
      <c r="N1165" s="420" t="s">
        <v>261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432</v>
      </c>
    </row>
    <row r="1166" spans="1:24" ht="11.25" customHeight="1" thickBot="1">
      <c r="A1166" s="611">
        <v>44</v>
      </c>
      <c r="B1166" s="127"/>
      <c r="E1166" s="142"/>
      <c r="F1166" s="143" t="s">
        <v>262</v>
      </c>
      <c r="G1166" s="1088" t="str">
        <f>IF(S1167="","",S1167)</f>
        <v/>
      </c>
      <c r="H1166" s="140" t="s">
        <v>590</v>
      </c>
      <c r="I1166" s="141" t="str">
        <f>IF(U1167="","",U1167)</f>
        <v>NA</v>
      </c>
      <c r="K1166" s="71"/>
      <c r="L1166" s="676" t="s">
        <v>432</v>
      </c>
      <c r="M1166" s="127"/>
      <c r="N1166" s="780" t="s">
        <v>590</v>
      </c>
      <c r="O1166" s="1257" t="str">
        <f>IF(P1165="","NA",IF(OR(AND(O1158=0,Q1158=0),AND(Q1158="",S1158=""),AND(O1158="",S1158="")),"",IF(O1157="Film O.D.",IF(O1177&gt;0.3,"NO","YES"),IF(O1157="lgM",IF(O1177&gt;0.2,"NO","YES"),IF(P1165&lt;=0.3,"YES","NO")))))</f>
        <v>NA</v>
      </c>
      <c r="P1166" s="1258"/>
      <c r="Q1166" s="1259" t="str">
        <f>IF(R1165="","NA",IF(OR(AND(O1159=0,Q1159=0),AND(Q1159="",S1159=""),AND(O1159="",S1159="")),"",IF(Q1157="Film O.D.",IF(Q1177&gt;0.3,"NO","YES"),IF(Q1157="lgM",IF(Q1177&gt;0.2,"NO","YES"),IF(R1165&lt;=0.3,"YES","NO")))))</f>
        <v>NA</v>
      </c>
      <c r="R1166" s="1258"/>
      <c r="S1166" s="1259" t="str">
        <f>IF(T1165="","NA",IF(OR(AND(O1160=0,Q1160=0),AND(Q1160="",S1160=""),AND(O1160="",S1160="")),"",IF(S1157="Film O.D.",IF(S1177&gt;0.3,"NO","YES"),IF(S1157="lgM",IF(S1177&gt;0.2,"NO","YES"),IF(T1165&lt;=0.3,"YES","NO")))))</f>
        <v>NA</v>
      </c>
      <c r="T1166" s="1258"/>
      <c r="U1166" s="1259" t="str">
        <f>IF(V1165="","NA",IF(OR(AND(Q1161=0,S1161=0),AND(S1161="",U1161=""),AND(Q1161="",U1161="")),"",IF(U1157="Film O.D.",IF(U1177&gt;0.3,"NO","YES"),IF(U1157="lgM",IF(U1177&gt;0.2,"NO","YES"),IF(V1165&lt;=0.3,"YES","NO")))))</f>
        <v>NA</v>
      </c>
      <c r="V1166" s="1258"/>
      <c r="W1166" s="71"/>
      <c r="X1166" s="664" t="s">
        <v>432</v>
      </c>
    </row>
    <row r="1167" spans="1:24" ht="11.25" customHeight="1" thickBot="1">
      <c r="A1167" s="611">
        <v>45</v>
      </c>
      <c r="B1167" s="127"/>
      <c r="C1167" s="132" t="s">
        <v>591</v>
      </c>
      <c r="D1167" s="100" t="str">
        <f>P1169</f>
        <v>Film-Max difference 0.3 O.D. for individual kV or thickness; 0.4 O.D. overall</v>
      </c>
      <c r="K1167" s="71"/>
      <c r="L1167" s="676" t="s">
        <v>432</v>
      </c>
      <c r="M1167" s="127"/>
      <c r="Q1167" s="142"/>
      <c r="R1167" s="143" t="s">
        <v>262</v>
      </c>
      <c r="S1167" s="1049" t="str">
        <f>IF(AND(P1163="",R1163="",T1163="",V1163="",P1165="",R1165="",T1165="",V1165=""),"",IF(Q1157="Film O.D.",ROUND(Q1178,2)&amp;" O.D.",IF(Q1157="lgM",ROUND(Q1178,2)&amp;" lgM",ROUND(Q1178/AVERAGE(O1158:O1161,Q1158:Q1161,S1158:S1161,U1158:U1161),2))))</f>
        <v/>
      </c>
      <c r="T1167" s="749" t="s">
        <v>590</v>
      </c>
      <c r="U1167" s="740" t="str">
        <f>IF(AND(O1164="NA",Q1164="NA",S1164="NA",U1164="NA",O1166="NA",Q1166="NA",S1166="NA",U1166="NA"),"NA",IF(Q1157="Film O.D.",IF(Q1178&gt;0.4,"NO","YES"),IF(Q1157="lgM",IF(Q1178&gt;0.2,"NO","YES"),IF(ROUND(Q1178/AVERAGE(O1158:O1160,Q1158:Q1161,S1158:S1161,U1159:U1161),2)&lt;=0.35,"YES","NO"))))</f>
        <v>NA</v>
      </c>
      <c r="W1167" s="71"/>
      <c r="X1167" s="664" t="s">
        <v>432</v>
      </c>
    </row>
    <row r="1168" spans="1:24" ht="11.25" customHeight="1">
      <c r="A1168" s="611">
        <v>46</v>
      </c>
      <c r="B1168" s="127"/>
      <c r="D1168" s="342" t="str">
        <f>P1170</f>
        <v>Exposure &amp; AEC Meter-</v>
      </c>
      <c r="K1168" s="71"/>
      <c r="L1168" s="676" t="s">
        <v>432</v>
      </c>
      <c r="M1168" s="127"/>
      <c r="P1168" s="3"/>
      <c r="U1168" s="886" t="str">
        <f>$V$1148</f>
        <v>NOTE: Density step 1 produced a TBD % change</v>
      </c>
      <c r="W1168" s="71"/>
      <c r="X1168" s="664" t="s">
        <v>432</v>
      </c>
    </row>
    <row r="1169" spans="1:24" ht="11.25" customHeight="1">
      <c r="A1169" s="611">
        <v>47</v>
      </c>
      <c r="B1169" s="102" t="s">
        <v>573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432</v>
      </c>
      <c r="M1169" s="127"/>
      <c r="O1169" s="132" t="s">
        <v>591</v>
      </c>
      <c r="P1169" s="100" t="s">
        <v>159</v>
      </c>
      <c r="W1169" s="71"/>
      <c r="X1169" s="664" t="s">
        <v>432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432</v>
      </c>
      <c r="M1170" s="127"/>
      <c r="P1170" s="338" t="s">
        <v>1053</v>
      </c>
      <c r="Q1170" s="1031" t="s">
        <v>308</v>
      </c>
      <c r="W1170" s="71"/>
      <c r="X1170" s="664" t="s">
        <v>432</v>
      </c>
    </row>
    <row r="1171" spans="1:24" ht="11.25" customHeight="1">
      <c r="A1171" s="611">
        <v>49</v>
      </c>
      <c r="B1171" s="45"/>
      <c r="C1171" s="922" t="str">
        <f>IF(LEN(O1171)&lt;=265,"",RIGHT(O1171,LEN(O1171)-SEARCH(" ",O1171,255)))</f>
        <v/>
      </c>
      <c r="D1171" s="2"/>
      <c r="E1171" s="2"/>
      <c r="F1171" s="2"/>
      <c r="G1171" s="2"/>
      <c r="H1171" s="2"/>
      <c r="I1171" s="2"/>
      <c r="J1171" s="2"/>
      <c r="K1171" s="71"/>
      <c r="L1171" s="676" t="s">
        <v>432</v>
      </c>
      <c r="M1171" s="127"/>
      <c r="N1171" s="577" t="s">
        <v>573</v>
      </c>
      <c r="O1171" s="713" t="str">
        <f>IF(O1173&lt;&gt;"",O1173,IF(OR(AB451=0,AB451=""),"",AB451))</f>
        <v>Criteria: lgM - Max difference 0.2 lgM for individual kV or thickness; 0.2 lgM overall</v>
      </c>
      <c r="P1171" s="48"/>
      <c r="Q1171" s="2"/>
      <c r="R1171" s="2"/>
      <c r="S1171" s="2"/>
      <c r="T1171" s="2"/>
      <c r="U1171" s="2"/>
      <c r="V1171" s="2"/>
      <c r="W1171" s="31"/>
      <c r="X1171" s="664" t="s">
        <v>432</v>
      </c>
    </row>
    <row r="1172" spans="1:24" ht="11.25" customHeight="1">
      <c r="A1172" s="611">
        <v>50</v>
      </c>
      <c r="B1172" s="127"/>
      <c r="K1172" s="71"/>
      <c r="L1172" s="676" t="s">
        <v>432</v>
      </c>
      <c r="M1172" s="85"/>
      <c r="N1172" s="609" t="s">
        <v>303</v>
      </c>
      <c r="O1172" s="59"/>
      <c r="P1172" s="921">
        <f>LEN(O1171)</f>
        <v>86</v>
      </c>
      <c r="Q1172" s="11"/>
      <c r="R1172" s="11"/>
      <c r="S1172" s="11"/>
      <c r="T1172" s="11"/>
      <c r="U1172" s="11"/>
      <c r="V1172" s="11"/>
      <c r="W1172" s="214"/>
      <c r="X1172" s="664" t="s">
        <v>432</v>
      </c>
    </row>
    <row r="1173" spans="1:24" ht="11.25" customHeight="1">
      <c r="A1173" s="611">
        <v>51</v>
      </c>
      <c r="B1173" s="45"/>
      <c r="C1173" s="1"/>
      <c r="D1173" s="1"/>
      <c r="E1173" s="1"/>
      <c r="F1173" s="1"/>
      <c r="G1173" s="1"/>
      <c r="H1173" s="1"/>
      <c r="I1173" s="1"/>
      <c r="J1173" s="1"/>
      <c r="K1173" s="71"/>
      <c r="L1173" s="676" t="s">
        <v>432</v>
      </c>
      <c r="M1173" s="66"/>
      <c r="N1173" s="1024" t="s">
        <v>640</v>
      </c>
      <c r="O1173" s="1026" t="s">
        <v>1099</v>
      </c>
      <c r="P1173" s="59"/>
      <c r="Q1173" s="2"/>
      <c r="R1173" s="2"/>
      <c r="S1173" s="2"/>
      <c r="T1173" s="2"/>
      <c r="U1173" s="2"/>
      <c r="V1173" s="2"/>
      <c r="W1173" s="31"/>
      <c r="X1173" s="664" t="s">
        <v>432</v>
      </c>
    </row>
    <row r="1174" spans="1:24" ht="11.25" customHeight="1" thickBot="1">
      <c r="A1174" s="611">
        <v>52</v>
      </c>
      <c r="B1174" s="45"/>
      <c r="C1174" s="1"/>
      <c r="D1174" s="1"/>
      <c r="E1174" s="1"/>
      <c r="F1174" s="1"/>
      <c r="G1174" s="1"/>
      <c r="H1174" s="1"/>
      <c r="I1174" s="1"/>
      <c r="J1174" s="1"/>
      <c r="K1174" s="71"/>
      <c r="L1174" s="676" t="s">
        <v>432</v>
      </c>
      <c r="M1174" s="45"/>
      <c r="N1174" s="1"/>
      <c r="O1174" s="1"/>
      <c r="P1174" s="1"/>
      <c r="Q1174" s="1"/>
      <c r="R1174" s="1"/>
      <c r="S1174" s="1"/>
      <c r="T1174" s="1"/>
      <c r="U1174" s="1"/>
      <c r="V1174" s="1"/>
      <c r="W1174" s="39"/>
      <c r="X1174" s="664" t="s">
        <v>432</v>
      </c>
    </row>
    <row r="1175" spans="1:24" ht="11.25" customHeight="1">
      <c r="A1175" s="611">
        <v>53</v>
      </c>
      <c r="B1175" s="45"/>
      <c r="C1175" s="1"/>
      <c r="D1175" s="1"/>
      <c r="E1175" s="1"/>
      <c r="F1175" s="1"/>
      <c r="G1175" s="1"/>
      <c r="H1175" s="1"/>
      <c r="I1175" s="1"/>
      <c r="J1175" s="1"/>
      <c r="K1175" s="71"/>
      <c r="L1175" s="676" t="s">
        <v>432</v>
      </c>
      <c r="M1175" s="45"/>
      <c r="N1175" s="954" t="s">
        <v>34</v>
      </c>
      <c r="O1175" s="955"/>
      <c r="P1175" s="955"/>
      <c r="Q1175" s="955"/>
      <c r="R1175" s="955"/>
      <c r="S1175" s="955"/>
      <c r="T1175" s="955"/>
      <c r="U1175" s="956"/>
      <c r="V1175" s="1"/>
      <c r="W1175" s="39"/>
      <c r="X1175" s="664" t="s">
        <v>432</v>
      </c>
    </row>
    <row r="1176" spans="1:24" ht="11.25" customHeight="1">
      <c r="A1176" s="611">
        <v>54</v>
      </c>
      <c r="B1176" s="45"/>
      <c r="C1176" s="1"/>
      <c r="D1176" s="1"/>
      <c r="E1176" s="1"/>
      <c r="F1176" s="1"/>
      <c r="G1176" s="1"/>
      <c r="H1176" s="1"/>
      <c r="I1176" s="1"/>
      <c r="J1176" s="1"/>
      <c r="K1176" s="71"/>
      <c r="L1176" s="676" t="s">
        <v>432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432</v>
      </c>
    </row>
    <row r="1177" spans="1:24" ht="11.25" customHeight="1">
      <c r="A1177" s="611">
        <v>55</v>
      </c>
      <c r="B1177" s="45"/>
      <c r="C1177" s="1"/>
      <c r="D1177" s="1"/>
      <c r="E1177" s="1"/>
      <c r="F1177" s="1"/>
      <c r="G1177" s="1"/>
      <c r="H1177" s="1"/>
      <c r="I1177" s="1"/>
      <c r="J1177" s="1"/>
      <c r="K1177" s="71"/>
      <c r="L1177" s="676" t="s">
        <v>432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432</v>
      </c>
    </row>
    <row r="1178" spans="1:24" ht="11.25" customHeight="1" thickBot="1">
      <c r="A1178" s="611">
        <v>56</v>
      </c>
      <c r="B1178" s="45"/>
      <c r="C1178" s="1"/>
      <c r="D1178" s="1"/>
      <c r="E1178" s="1"/>
      <c r="F1178" s="1"/>
      <c r="G1178" s="1"/>
      <c r="H1178" s="1"/>
      <c r="I1178" s="1"/>
      <c r="J1178" s="1"/>
      <c r="K1178" s="71"/>
      <c r="L1178" s="676" t="s">
        <v>432</v>
      </c>
      <c r="M1178" s="45"/>
      <c r="N1178" s="206"/>
      <c r="O1178" s="5"/>
      <c r="P1178" s="959" t="s">
        <v>160</v>
      </c>
      <c r="Q1178" s="1042">
        <f>MAX(O1158:O1161,Q1158:Q1161,S1158:S1161,U1158:U1161)-MIN(O1158:O1161,Q1158:Q1161,S1158:S1161,U1158:U1161)</f>
        <v>0</v>
      </c>
      <c r="R1178" s="5"/>
      <c r="S1178" s="5"/>
      <c r="T1178" s="5"/>
      <c r="U1178" s="203"/>
      <c r="V1178" s="1"/>
      <c r="W1178" s="39"/>
      <c r="X1178" s="664" t="s">
        <v>432</v>
      </c>
    </row>
    <row r="1179" spans="1:24" ht="11.25" customHeight="1">
      <c r="A1179" s="611">
        <v>57</v>
      </c>
      <c r="B1179" s="127"/>
      <c r="K1179" s="71"/>
      <c r="L1179" s="676" t="s">
        <v>432</v>
      </c>
      <c r="M1179" s="127"/>
      <c r="W1179" s="71"/>
      <c r="X1179" s="664" t="s">
        <v>432</v>
      </c>
    </row>
    <row r="1180" spans="1:24" ht="11.25" customHeight="1">
      <c r="A1180" s="611">
        <v>58</v>
      </c>
      <c r="B1180" s="127"/>
      <c r="K1180" s="71"/>
      <c r="L1180" s="676" t="s">
        <v>432</v>
      </c>
      <c r="M1180" s="127"/>
      <c r="W1180" s="71"/>
      <c r="X1180" s="664" t="s">
        <v>432</v>
      </c>
    </row>
    <row r="1181" spans="1:24" ht="11.25" customHeight="1">
      <c r="A1181" s="611">
        <v>59</v>
      </c>
      <c r="B1181" s="127"/>
      <c r="K1181" s="71"/>
      <c r="L1181" s="676" t="s">
        <v>432</v>
      </c>
      <c r="M1181" s="127"/>
      <c r="W1181" s="71"/>
      <c r="X1181" s="664" t="s">
        <v>432</v>
      </c>
    </row>
    <row r="1182" spans="1:24" ht="11.25" customHeight="1">
      <c r="A1182" s="611">
        <v>60</v>
      </c>
      <c r="B1182" s="127"/>
      <c r="K1182" s="71"/>
      <c r="L1182" s="676" t="s">
        <v>432</v>
      </c>
      <c r="M1182" s="127"/>
      <c r="W1182" s="71"/>
      <c r="X1182" s="664" t="s">
        <v>432</v>
      </c>
    </row>
    <row r="1183" spans="1:24" ht="11.25" customHeight="1">
      <c r="A1183" s="611">
        <v>61</v>
      </c>
      <c r="B1183" s="127"/>
      <c r="K1183" s="71"/>
      <c r="L1183" s="676" t="s">
        <v>432</v>
      </c>
      <c r="M1183" s="127"/>
      <c r="P1183" s="1032"/>
      <c r="W1183" s="71"/>
      <c r="X1183" s="664" t="s">
        <v>432</v>
      </c>
    </row>
    <row r="1184" spans="1:24" ht="11.25" customHeight="1">
      <c r="A1184" s="611">
        <v>62</v>
      </c>
      <c r="B1184" s="127"/>
      <c r="K1184" s="71"/>
      <c r="L1184" s="676" t="s">
        <v>432</v>
      </c>
      <c r="M1184" s="127"/>
      <c r="W1184" s="71"/>
      <c r="X1184" s="664" t="s">
        <v>432</v>
      </c>
    </row>
    <row r="1185" spans="1:27" ht="11.25" customHeight="1">
      <c r="A1185" s="611">
        <v>63</v>
      </c>
      <c r="B1185" s="127"/>
      <c r="K1185" s="71"/>
      <c r="L1185" s="676" t="s">
        <v>432</v>
      </c>
      <c r="M1185" s="127"/>
      <c r="W1185" s="71"/>
      <c r="X1185" s="664" t="s">
        <v>432</v>
      </c>
    </row>
    <row r="1186" spans="1:27" ht="11.25" customHeight="1" thickBot="1">
      <c r="A1186" s="611">
        <v>64</v>
      </c>
      <c r="B1186" s="98"/>
      <c r="C1186" s="83"/>
      <c r="D1186" s="83"/>
      <c r="E1186" s="83"/>
      <c r="F1186" s="83"/>
      <c r="G1186" s="83"/>
      <c r="H1186" s="83"/>
      <c r="I1186" s="83"/>
      <c r="J1186" s="83"/>
      <c r="K1186" s="86"/>
      <c r="L1186" s="676" t="s">
        <v>432</v>
      </c>
      <c r="M1186" s="98"/>
      <c r="N1186" s="83"/>
      <c r="O1186" s="83"/>
      <c r="P1186" s="83"/>
      <c r="Q1186" s="83"/>
      <c r="R1186" s="83"/>
      <c r="S1186" s="83"/>
      <c r="T1186" s="83"/>
      <c r="U1186" s="83"/>
      <c r="V1186" s="83"/>
      <c r="W1186" s="86"/>
      <c r="X1186" s="664" t="s">
        <v>432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432</v>
      </c>
      <c r="X1187" s="664" t="s">
        <v>432</v>
      </c>
    </row>
    <row r="1188" spans="1:27" ht="11.25" customHeight="1">
      <c r="A1188" s="611">
        <v>66</v>
      </c>
      <c r="B1188" s="52" t="str">
        <v>Room Number:</v>
      </c>
      <c r="C1188" s="373" t="str">
        <v/>
      </c>
      <c r="E1188" s="51"/>
      <c r="F1188" s="51"/>
      <c r="G1188" s="51"/>
      <c r="H1188" s="51"/>
      <c r="I1188" s="52" t="str">
        <v>Survey ID:</v>
      </c>
      <c r="J1188" s="1045" t="str">
        <v/>
      </c>
      <c r="L1188" s="676" t="s">
        <v>432</v>
      </c>
      <c r="X1188" s="664" t="s">
        <v>432</v>
      </c>
    </row>
    <row r="1189" spans="1:27" ht="11.25" customHeight="1">
      <c r="A1189" s="611">
        <v>1</v>
      </c>
      <c r="B1189" s="1"/>
      <c r="C1189" s="1"/>
      <c r="D1189" s="1"/>
      <c r="E1189" s="1"/>
      <c r="H1189" s="1"/>
      <c r="I1189" s="1"/>
      <c r="J1189" s="1"/>
      <c r="K1189" s="131" t="str">
        <f>$F$2</f>
        <v>Medical University of South Carolina</v>
      </c>
      <c r="L1189" s="676" t="s">
        <v>432</v>
      </c>
      <c r="M1189" s="1"/>
      <c r="N1189" s="1"/>
      <c r="O1189" s="1"/>
      <c r="P1189" s="1"/>
      <c r="Q1189" s="1"/>
      <c r="S1189" s="1"/>
      <c r="T1189" s="1"/>
      <c r="U1189" s="1"/>
      <c r="V1189" s="1"/>
      <c r="W1189" s="131" t="str">
        <f>$F$2</f>
        <v>Medical University of South Carolina</v>
      </c>
      <c r="X1189" s="664" t="s">
        <v>432</v>
      </c>
    </row>
    <row r="1190" spans="1:27" ht="11.25" customHeight="1">
      <c r="A1190" s="611">
        <v>2</v>
      </c>
      <c r="F1190" s="82" t="str">
        <f>$F$464</f>
        <v>Measurement Data</v>
      </c>
      <c r="K1190" s="132" t="str">
        <f>$F$5</f>
        <v>Radiographic System Compliance Inspection</v>
      </c>
      <c r="L1190" s="676" t="s">
        <v>432</v>
      </c>
      <c r="Q1190" s="82" t="str">
        <f>$F$464</f>
        <v>Measurement Data</v>
      </c>
      <c r="W1190" s="132" t="str">
        <f>$F$5</f>
        <v>Radiographic System Compliance Inspection</v>
      </c>
      <c r="X1190" s="664" t="s">
        <v>432</v>
      </c>
    </row>
    <row r="1191" spans="1:27" ht="11.25" customHeight="1" thickBot="1">
      <c r="A1191" s="611">
        <v>3</v>
      </c>
      <c r="L1191" s="676" t="s">
        <v>432</v>
      </c>
      <c r="X1191" s="664" t="s">
        <v>432</v>
      </c>
    </row>
    <row r="1192" spans="1:27" ht="11.25" customHeight="1">
      <c r="A1192" s="611">
        <v>4</v>
      </c>
      <c r="B1192" s="344"/>
      <c r="C1192" s="345"/>
      <c r="D1192" s="345"/>
      <c r="E1192" s="345"/>
      <c r="F1192" s="345"/>
      <c r="G1192" s="345"/>
      <c r="H1192" s="345"/>
      <c r="I1192" s="345"/>
      <c r="J1192" s="345"/>
      <c r="K1192" s="346"/>
      <c r="L1192" s="676" t="s">
        <v>432</v>
      </c>
      <c r="M1192" s="344"/>
      <c r="N1192" s="345"/>
      <c r="O1192" s="345"/>
      <c r="P1192" s="345"/>
      <c r="Q1192" s="345"/>
      <c r="R1192" s="345"/>
      <c r="S1192" s="345"/>
      <c r="T1192" s="345"/>
      <c r="U1192" s="345"/>
      <c r="V1192" s="345"/>
      <c r="W1192" s="346"/>
      <c r="X1192" s="664" t="s">
        <v>432</v>
      </c>
    </row>
    <row r="1193" spans="1:27" ht="11.25" customHeight="1">
      <c r="A1193" s="611">
        <v>5</v>
      </c>
      <c r="B1193" s="347"/>
      <c r="F1193" s="82" t="str">
        <f>IF(R1193="","",R1193)</f>
        <v>Kerma Area Product/Air Kerma Accuracy</v>
      </c>
      <c r="K1193" s="348"/>
      <c r="L1193" s="676" t="s">
        <v>432</v>
      </c>
      <c r="M1193" s="347"/>
      <c r="R1193" s="82" t="s">
        <v>1121</v>
      </c>
      <c r="W1193" s="348"/>
      <c r="X1193" s="664" t="s">
        <v>432</v>
      </c>
    </row>
    <row r="1194" spans="1:27" ht="11.25" customHeight="1" thickBot="1">
      <c r="A1194" s="611">
        <v>6</v>
      </c>
      <c r="B1194" s="453"/>
      <c r="C1194" s="349"/>
      <c r="D1194" s="349"/>
      <c r="E1194" s="349"/>
      <c r="F1194" s="349"/>
      <c r="G1194" s="349"/>
      <c r="H1194" s="349"/>
      <c r="I1194" s="349"/>
      <c r="J1194" s="349"/>
      <c r="K1194" s="350"/>
      <c r="L1194" s="676" t="s">
        <v>432</v>
      </c>
      <c r="M1194" s="206"/>
      <c r="N1194" s="349"/>
      <c r="O1194" s="349"/>
      <c r="P1194" s="349"/>
      <c r="Q1194" s="349"/>
      <c r="R1194" s="349"/>
      <c r="S1194" s="349"/>
      <c r="T1194" s="349"/>
      <c r="U1194" s="349"/>
      <c r="V1194" s="349"/>
      <c r="W1194" s="350"/>
      <c r="X1194" s="664" t="s">
        <v>432</v>
      </c>
    </row>
    <row r="1195" spans="1:27" ht="11.25" customHeight="1" thickBot="1">
      <c r="A1195" s="611">
        <v>7</v>
      </c>
      <c r="L1195" s="676" t="s">
        <v>432</v>
      </c>
      <c r="Q1195" s="190"/>
      <c r="X1195" s="664" t="s">
        <v>432</v>
      </c>
    </row>
    <row r="1196" spans="1:27" ht="11.25" customHeight="1" thickTop="1">
      <c r="A1196" s="611">
        <v>8</v>
      </c>
      <c r="B1196" s="79"/>
      <c r="C1196" s="62"/>
      <c r="D1196" s="62"/>
      <c r="E1196" s="62"/>
      <c r="F1196" s="62"/>
      <c r="G1196" s="62"/>
      <c r="H1196" s="62"/>
      <c r="I1196" s="62"/>
      <c r="J1196" s="62"/>
      <c r="K1196" s="80"/>
      <c r="L1196"/>
      <c r="M1196" s="1117">
        <v>100</v>
      </c>
      <c r="N1196" s="447" t="s">
        <v>1122</v>
      </c>
      <c r="O1196" s="62"/>
      <c r="P1196" s="62"/>
      <c r="Q1196" s="1118"/>
      <c r="R1196" s="447" t="s">
        <v>1123</v>
      </c>
      <c r="S1196" s="62"/>
      <c r="T1196" s="1253"/>
      <c r="U1196" s="447" t="s">
        <v>1221</v>
      </c>
      <c r="V1196" s="62"/>
      <c r="W1196" s="80"/>
      <c r="X1196" s="664" t="s">
        <v>432</v>
      </c>
    </row>
    <row r="1197" spans="1:27" ht="11.25" customHeight="1">
      <c r="A1197" s="611">
        <v>9</v>
      </c>
      <c r="B1197" s="127"/>
      <c r="C1197" s="54" t="s">
        <v>1139</v>
      </c>
      <c r="D1197" s="1160" t="str">
        <f>IF(T1196="","",T1196)</f>
        <v/>
      </c>
      <c r="F1197" s="54" t="s">
        <v>1140</v>
      </c>
      <c r="G1197" s="1143" t="str">
        <f>IF(T1197="","",T1197)</f>
        <v/>
      </c>
      <c r="I1197" s="54" t="s">
        <v>1141</v>
      </c>
      <c r="J1197" s="1143" t="str">
        <f>IF(T1198="","",T1198)</f>
        <v/>
      </c>
      <c r="K1197" s="71"/>
      <c r="L1197"/>
      <c r="M1197" s="649"/>
      <c r="N1197" s="50" t="s">
        <v>1124</v>
      </c>
      <c r="Q1197" s="1115"/>
      <c r="R1197" s="50" t="s">
        <v>1125</v>
      </c>
      <c r="T1197" s="1254"/>
      <c r="U1197" s="50" t="s">
        <v>1222</v>
      </c>
      <c r="W1197" s="71"/>
      <c r="X1197" s="664" t="s">
        <v>432</v>
      </c>
    </row>
    <row r="1198" spans="1:27" ht="11.25" customHeight="1">
      <c r="A1198" s="611">
        <v>10</v>
      </c>
      <c r="B1198" s="127"/>
      <c r="K1198" s="71"/>
      <c r="L1198"/>
      <c r="M1198" s="1116" t="str">
        <f>IF(OR(M1196="",M1197=""),"",(M1196/M1197)^2)</f>
        <v/>
      </c>
      <c r="N1198" s="50" t="s">
        <v>1135</v>
      </c>
      <c r="Q1198" s="1115"/>
      <c r="R1198" s="50" t="s">
        <v>1126</v>
      </c>
      <c r="T1198" s="1254"/>
      <c r="U1198" s="50" t="s">
        <v>1223</v>
      </c>
      <c r="W1198" s="71"/>
      <c r="X1198" s="664" t="s">
        <v>432</v>
      </c>
    </row>
    <row r="1199" spans="1:27" ht="11.25" customHeight="1">
      <c r="A1199" s="611">
        <v>11</v>
      </c>
      <c r="B1199" s="127"/>
      <c r="E1199" s="1301" t="s">
        <v>1226</v>
      </c>
      <c r="F1199" s="1301"/>
      <c r="K1199" s="71"/>
      <c r="L1199"/>
      <c r="M1199" s="127"/>
      <c r="W1199" s="71"/>
      <c r="X1199" s="664" t="s">
        <v>432</v>
      </c>
    </row>
    <row r="1200" spans="1:27" ht="11.25" customHeight="1">
      <c r="A1200" s="611">
        <v>12</v>
      </c>
      <c r="B1200" s="127"/>
      <c r="C1200" s="1120"/>
      <c r="D1200" s="218"/>
      <c r="E1200" s="1231" t="s">
        <v>587</v>
      </c>
      <c r="F1200" s="1232" t="s">
        <v>588</v>
      </c>
      <c r="G1200" s="1236"/>
      <c r="K1200" s="71"/>
      <c r="L1200"/>
      <c r="M1200" s="127"/>
      <c r="O1200" s="49" t="s">
        <v>587</v>
      </c>
      <c r="P1200" s="50" t="s">
        <v>588</v>
      </c>
      <c r="W1200" s="71"/>
      <c r="X1200" s="664" t="s">
        <v>432</v>
      </c>
      <c r="Y1200" s="457"/>
      <c r="AA1200" s="457"/>
    </row>
    <row r="1201" spans="1:27" ht="11.25" customHeight="1" thickBot="1">
      <c r="A1201" s="611">
        <v>13</v>
      </c>
      <c r="B1201" s="127"/>
      <c r="C1201" s="1120" t="str">
        <f>M1202</f>
        <v>kV</v>
      </c>
      <c r="D1201" s="218" t="str">
        <f>N1202</f>
        <v>mA</v>
      </c>
      <c r="E1201" s="1293" t="str">
        <f>O1202</f>
        <v>µGy·m²</v>
      </c>
      <c r="F1201" s="1294"/>
      <c r="G1201" s="1230" t="s">
        <v>1219</v>
      </c>
      <c r="K1201" s="71"/>
      <c r="L1201"/>
      <c r="M1201" s="66"/>
      <c r="N1201" s="49"/>
      <c r="O1201" s="264" t="s">
        <v>1090</v>
      </c>
      <c r="P1201" s="50" t="s">
        <v>1090</v>
      </c>
      <c r="W1201" s="71"/>
      <c r="X1201" s="664" t="s">
        <v>432</v>
      </c>
      <c r="AA1201" s="457"/>
    </row>
    <row r="1202" spans="1:27" ht="11.25" customHeight="1">
      <c r="A1202" s="611">
        <v>14</v>
      </c>
      <c r="B1202" s="127"/>
      <c r="C1202" s="1127">
        <f>IF(M1203="","",M1203)</f>
        <v>60</v>
      </c>
      <c r="D1202" s="1128">
        <f>IF(N1203="","",N1203)</f>
        <v>100</v>
      </c>
      <c r="E1202" s="1129" t="str">
        <f>IF(O1203="","",O1203)</f>
        <v/>
      </c>
      <c r="F1202" s="1130" t="str">
        <f>IF(P1203="","",P1203)</f>
        <v/>
      </c>
      <c r="G1202" s="1237" t="str">
        <f>IF(Q1203="","",Q1203)</f>
        <v/>
      </c>
      <c r="K1202" s="71"/>
      <c r="L1202"/>
      <c r="M1202" s="66" t="s">
        <v>84</v>
      </c>
      <c r="N1202" s="264" t="str">
        <f>LFMAS</f>
        <v>mA</v>
      </c>
      <c r="O1202" s="1286" t="s">
        <v>1129</v>
      </c>
      <c r="P1202" s="1286"/>
      <c r="Q1202" s="1238" t="s">
        <v>1219</v>
      </c>
      <c r="W1202" s="71"/>
      <c r="X1202" s="664" t="s">
        <v>432</v>
      </c>
      <c r="AA1202" s="457"/>
    </row>
    <row r="1203" spans="1:27" ht="11.25" customHeight="1">
      <c r="A1203" s="611">
        <v>15</v>
      </c>
      <c r="B1203" s="127"/>
      <c r="C1203" s="1121">
        <f>IF(M1204="","",M1204)</f>
        <v>80</v>
      </c>
      <c r="D1203" s="1119">
        <f>IF(N1204="","",N1204)</f>
        <v>50</v>
      </c>
      <c r="E1203" s="1113" t="str">
        <f>IF(O1204="","",O1204)</f>
        <v/>
      </c>
      <c r="F1203" s="119" t="str">
        <f>IF(P1204="","",P1204)</f>
        <v/>
      </c>
      <c r="G1203" s="1122" t="str">
        <f>IF(Q1204="","",Q1204)</f>
        <v/>
      </c>
      <c r="K1203" s="71"/>
      <c r="L1203"/>
      <c r="M1203" s="1240">
        <f>IF(Sheet1!R4="","",Sheet1!R4)</f>
        <v>60</v>
      </c>
      <c r="N1203" s="1235">
        <f>IF(Sheet1!S4="","",Sheet1!S4)</f>
        <v>100</v>
      </c>
      <c r="O1203" s="1235" t="str">
        <f>IF(Sheet1!X4="","",Sheet1!X4)</f>
        <v/>
      </c>
      <c r="P1203" s="1235" t="str">
        <f>IF(Sheet1!Y4="","",Sheet1!Y4)</f>
        <v/>
      </c>
      <c r="Q1203" s="1245" t="str">
        <f>IF(OR(O1203="",P1203=""),"",(P1203-O1203)/O1203)</f>
        <v/>
      </c>
      <c r="W1203" s="71"/>
      <c r="X1203" s="664" t="s">
        <v>432</v>
      </c>
      <c r="AA1203" s="457"/>
    </row>
    <row r="1204" spans="1:27" ht="11.25" customHeight="1">
      <c r="A1204" s="611">
        <v>16</v>
      </c>
      <c r="B1204" s="127"/>
      <c r="C1204" s="1121">
        <f>IF(M1205="","",M1205)</f>
        <v>100</v>
      </c>
      <c r="D1204" s="1119">
        <f>IF(N1205="","",N1205)</f>
        <v>50</v>
      </c>
      <c r="E1204" s="1113" t="str">
        <f>IF(O1205="","",O1205)</f>
        <v/>
      </c>
      <c r="F1204" s="119" t="str">
        <f>IF(P1205="","",P1205)</f>
        <v/>
      </c>
      <c r="G1204" s="1122" t="str">
        <f>IF(Q1205="","",Q1205)</f>
        <v/>
      </c>
      <c r="K1204" s="71"/>
      <c r="L1204"/>
      <c r="M1204" s="1240">
        <f>IF(Sheet1!R5="","",Sheet1!R5)</f>
        <v>80</v>
      </c>
      <c r="N1204" s="1235">
        <f>IF(Sheet1!S5="","",Sheet1!S5)</f>
        <v>50</v>
      </c>
      <c r="O1204" s="1235" t="str">
        <f>IF(Sheet1!X5="","",Sheet1!X5)</f>
        <v/>
      </c>
      <c r="P1204" s="1235" t="str">
        <f>IF(Sheet1!Y5="","",Sheet1!Y5)</f>
        <v/>
      </c>
      <c r="Q1204" s="1245" t="str">
        <f t="shared" ref="Q1204:Q1206" si="167">IF(OR(O1204="",P1204=""),"",(P1204-O1204)/O1204)</f>
        <v/>
      </c>
      <c r="W1204" s="71"/>
      <c r="X1204" s="664" t="s">
        <v>432</v>
      </c>
      <c r="AA1204" s="457"/>
    </row>
    <row r="1205" spans="1:27" ht="11.25" customHeight="1">
      <c r="A1205" s="611">
        <v>17</v>
      </c>
      <c r="B1205" s="127"/>
      <c r="C1205" s="1121">
        <f>IF(M1206="","",M1206)</f>
        <v>120</v>
      </c>
      <c r="D1205" s="1119">
        <f>IF(N1206="","",N1206)</f>
        <v>25</v>
      </c>
      <c r="E1205" s="1113" t="str">
        <f>IF(O1206="","",O1206)</f>
        <v/>
      </c>
      <c r="F1205" s="119" t="str">
        <f>IF(P1206="","",P1206)</f>
        <v/>
      </c>
      <c r="G1205" s="1122" t="str">
        <f>IF(Q1206="","",Q1206)</f>
        <v/>
      </c>
      <c r="K1205" s="71"/>
      <c r="L1205"/>
      <c r="M1205" s="1240">
        <f>IF(Sheet1!R6="","",Sheet1!R6)</f>
        <v>100</v>
      </c>
      <c r="N1205" s="1235">
        <f>IF(Sheet1!S6="","",Sheet1!S6)</f>
        <v>50</v>
      </c>
      <c r="O1205" s="1235" t="str">
        <f>IF(Sheet1!X6="","",Sheet1!X6)</f>
        <v/>
      </c>
      <c r="P1205" s="1235" t="str">
        <f>IF(Sheet1!Y6="","",Sheet1!Y6)</f>
        <v/>
      </c>
      <c r="Q1205" s="1245" t="str">
        <f t="shared" si="167"/>
        <v/>
      </c>
      <c r="W1205" s="71"/>
      <c r="X1205" s="664" t="s">
        <v>432</v>
      </c>
      <c r="AA1205" s="457"/>
    </row>
    <row r="1206" spans="1:27" ht="11.25" customHeight="1">
      <c r="A1206" s="611">
        <v>18</v>
      </c>
      <c r="B1206" s="127"/>
      <c r="C1206" s="1121" t="str">
        <f>IF(M1207="","",M1207)</f>
        <v/>
      </c>
      <c r="D1206" s="1119" t="str">
        <f>IF(N1207="","",N1207)</f>
        <v/>
      </c>
      <c r="E1206" s="1113" t="str">
        <f>IF(M1229="","",M1229)</f>
        <v/>
      </c>
      <c r="F1206" s="119" t="str">
        <f>IF(N1229="","",N1229)</f>
        <v/>
      </c>
      <c r="G1206" s="1122" t="str">
        <f>IF(O1229="","",O1229)</f>
        <v/>
      </c>
      <c r="K1206" s="71"/>
      <c r="L1206"/>
      <c r="M1206" s="1240">
        <f>IF(Sheet1!R7="","",Sheet1!R7)</f>
        <v>120</v>
      </c>
      <c r="N1206" s="1235">
        <f>IF(Sheet1!S7="","",Sheet1!S7)</f>
        <v>25</v>
      </c>
      <c r="O1206" s="1235" t="str">
        <f>IF(Sheet1!X7="","",Sheet1!X7)</f>
        <v/>
      </c>
      <c r="P1206" s="1235" t="str">
        <f>IF(Sheet1!Y7="","",Sheet1!Y7)</f>
        <v/>
      </c>
      <c r="Q1206" s="1245" t="str">
        <f t="shared" si="167"/>
        <v/>
      </c>
      <c r="W1206" s="71"/>
      <c r="X1206" s="664" t="s">
        <v>432</v>
      </c>
      <c r="AA1206" s="457"/>
    </row>
    <row r="1207" spans="1:27" ht="11.25" customHeight="1">
      <c r="A1207" s="611">
        <v>19</v>
      </c>
      <c r="B1207" s="127"/>
      <c r="C1207" s="1121" t="str">
        <f>IF(M1208="","",M1208)</f>
        <v/>
      </c>
      <c r="D1207" s="1119" t="str">
        <f>IF(N1208="","",N1208)</f>
        <v/>
      </c>
      <c r="E1207" s="1113" t="str">
        <f>IF(M1230="","",M1230)</f>
        <v/>
      </c>
      <c r="F1207" s="119" t="str">
        <f>IF(N1230="","",N1230)</f>
        <v/>
      </c>
      <c r="G1207" s="1122" t="str">
        <f>IF(O1230="","",O1230)</f>
        <v/>
      </c>
      <c r="K1207" s="71"/>
      <c r="L1207"/>
      <c r="M1207" s="1241"/>
      <c r="N1207" s="1242"/>
      <c r="O1207" s="1235"/>
      <c r="P1207" s="1235"/>
      <c r="Q1207" s="1245" t="str">
        <f>IF(OR(E1206="",F1206=""),"",(F1206-E1206)/E1206)</f>
        <v/>
      </c>
      <c r="W1207" s="71"/>
      <c r="X1207" s="664" t="s">
        <v>432</v>
      </c>
      <c r="AA1207" s="457"/>
    </row>
    <row r="1208" spans="1:27" ht="11.25" customHeight="1">
      <c r="A1208" s="611">
        <v>20</v>
      </c>
      <c r="B1208" s="127"/>
      <c r="C1208" s="1121" t="str">
        <f>IF(M1209="","",M1209)</f>
        <v/>
      </c>
      <c r="D1208" s="1119" t="str">
        <f>IF(N1209="","",N1209)</f>
        <v/>
      </c>
      <c r="E1208" s="1113" t="str">
        <f>IF(M1231="","",M1231)</f>
        <v/>
      </c>
      <c r="F1208" s="119" t="str">
        <f>IF(N1231="","",N1231)</f>
        <v/>
      </c>
      <c r="G1208" s="1122" t="str">
        <f>IF(O1231="","",O1231)</f>
        <v/>
      </c>
      <c r="K1208" s="71"/>
      <c r="L1208"/>
      <c r="M1208" s="1241"/>
      <c r="N1208" s="1242"/>
      <c r="O1208" s="1235"/>
      <c r="P1208" s="1235"/>
      <c r="Q1208" s="1245" t="str">
        <f>IF(OR(E1207="",F1207=""),"",(F1207-E1207)/E1207)</f>
        <v/>
      </c>
      <c r="W1208" s="71"/>
      <c r="X1208" s="664" t="s">
        <v>432</v>
      </c>
      <c r="Y1208" s="918"/>
      <c r="AA1208" s="457"/>
    </row>
    <row r="1209" spans="1:27" ht="11.25" customHeight="1" thickBot="1">
      <c r="A1209" s="611">
        <v>21</v>
      </c>
      <c r="B1209" s="127"/>
      <c r="C1209" s="1123" t="str">
        <f>IF(M1210="","",M1210)</f>
        <v/>
      </c>
      <c r="D1209" s="1124" t="str">
        <f>IF(N1210="","",N1210)</f>
        <v/>
      </c>
      <c r="E1209" s="178" t="str">
        <f>IF(M1232="","",M1232)</f>
        <v/>
      </c>
      <c r="F1209" s="238" t="str">
        <f>IF(N1232="","",N1232)</f>
        <v/>
      </c>
      <c r="G1209" s="1125" t="str">
        <f>IF(O1232="","",O1232)</f>
        <v/>
      </c>
      <c r="K1209" s="71"/>
      <c r="L1209"/>
      <c r="M1209" s="1241"/>
      <c r="N1209" s="1242"/>
      <c r="O1209" s="1235"/>
      <c r="P1209" s="1235"/>
      <c r="Q1209" s="1245" t="str">
        <f>IF(OR(E1208="",F1208=""),"",(F1208-E1208)/E1208)</f>
        <v/>
      </c>
      <c r="W1209" s="71"/>
      <c r="X1209" s="664" t="s">
        <v>432</v>
      </c>
      <c r="Y1209" s="918"/>
      <c r="AA1209" s="457"/>
    </row>
    <row r="1210" spans="1:27" ht="11.25" customHeight="1" thickBot="1">
      <c r="A1210" s="611">
        <v>22</v>
      </c>
      <c r="B1210" s="127"/>
      <c r="C1210" s="49"/>
      <c r="D1210" s="49"/>
      <c r="E1210" s="49"/>
      <c r="F1210" s="54" t="s">
        <v>590</v>
      </c>
      <c r="G1210" s="1126" t="str">
        <f>IF(Q1211="","",Q1211)</f>
        <v/>
      </c>
      <c r="K1210" s="71"/>
      <c r="L1210"/>
      <c r="M1210" s="1243"/>
      <c r="N1210" s="1244"/>
      <c r="O1210" s="1239"/>
      <c r="P1210" s="1239"/>
      <c r="Q1210" s="1246" t="str">
        <f>IF(OR(E1209="",F1209=""),"",(F1209-E1209)/E1209)</f>
        <v/>
      </c>
      <c r="W1210" s="71"/>
      <c r="X1210" s="664" t="s">
        <v>432</v>
      </c>
    </row>
    <row r="1211" spans="1:27" ht="11.25" customHeight="1" thickBot="1">
      <c r="A1211" s="611">
        <v>23</v>
      </c>
      <c r="B1211" s="127"/>
      <c r="C1211" s="132" t="s">
        <v>591</v>
      </c>
      <c r="D1211" s="326" t="str">
        <f>N1213</f>
        <v>Measured KAP should be within +/- 35% of the indicated value</v>
      </c>
      <c r="K1211" s="71"/>
      <c r="L1211"/>
      <c r="P1211" s="54" t="s">
        <v>590</v>
      </c>
      <c r="Q1211" s="1126" t="str">
        <f>IF(Q1203="","",IF(OR(MAX(Q1203:Q1210)&lt;=0.35,MIN(Q1203:Q1210)&gt;=-0.35),"Pass","Fail"))</f>
        <v/>
      </c>
      <c r="W1211" s="71"/>
      <c r="X1211" s="664" t="s">
        <v>432</v>
      </c>
    </row>
    <row r="1212" spans="1:27" ht="11.25" customHeight="1" thickBot="1">
      <c r="A1212" s="611">
        <v>24</v>
      </c>
      <c r="B1212" s="98"/>
      <c r="C1212" s="83"/>
      <c r="D1212" s="83"/>
      <c r="E1212" s="83"/>
      <c r="F1212" s="83"/>
      <c r="G1212" s="83"/>
      <c r="H1212" s="83"/>
      <c r="I1212" s="83"/>
      <c r="J1212" s="83"/>
      <c r="K1212" s="86"/>
      <c r="L1212"/>
      <c r="X1212" s="664" t="s">
        <v>432</v>
      </c>
    </row>
    <row r="1213" spans="1:27" ht="11.25" customHeight="1" thickTop="1">
      <c r="A1213" s="611">
        <v>25</v>
      </c>
      <c r="L1213"/>
      <c r="M1213" s="132" t="s">
        <v>591</v>
      </c>
      <c r="N1213" s="50" t="s">
        <v>1224</v>
      </c>
      <c r="X1213" s="664" t="s">
        <v>432</v>
      </c>
    </row>
    <row r="1214" spans="1:27" ht="11.25" customHeight="1">
      <c r="A1214" s="611">
        <v>26</v>
      </c>
      <c r="L1214"/>
      <c r="X1214" s="664" t="s">
        <v>432</v>
      </c>
    </row>
    <row r="1215" spans="1:27" ht="11.25" customHeight="1">
      <c r="A1215" s="611">
        <v>27</v>
      </c>
      <c r="L1215" s="676" t="s">
        <v>432</v>
      </c>
      <c r="X1215" s="664" t="s">
        <v>432</v>
      </c>
    </row>
    <row r="1216" spans="1:27" ht="11.25" customHeight="1">
      <c r="A1216" s="611">
        <v>28</v>
      </c>
      <c r="L1216" s="676" t="s">
        <v>432</v>
      </c>
      <c r="X1216" s="664" t="s">
        <v>432</v>
      </c>
    </row>
    <row r="1217" spans="1:24" ht="11.25" customHeight="1">
      <c r="A1217" s="611">
        <v>29</v>
      </c>
      <c r="L1217" s="676" t="s">
        <v>432</v>
      </c>
      <c r="X1217" s="664" t="s">
        <v>432</v>
      </c>
    </row>
    <row r="1218" spans="1:24" ht="11.25" customHeight="1">
      <c r="A1218" s="611">
        <v>30</v>
      </c>
      <c r="L1218" s="676" t="s">
        <v>432</v>
      </c>
      <c r="X1218" s="664" t="s">
        <v>432</v>
      </c>
    </row>
    <row r="1219" spans="1:24" ht="11.25" customHeight="1">
      <c r="A1219" s="611">
        <v>31</v>
      </c>
      <c r="L1219"/>
      <c r="X1219" s="664" t="s">
        <v>432</v>
      </c>
    </row>
    <row r="1220" spans="1:24" ht="11.25" customHeight="1">
      <c r="A1220" s="611">
        <v>32</v>
      </c>
      <c r="L1220"/>
      <c r="X1220" s="664" t="s">
        <v>432</v>
      </c>
    </row>
    <row r="1221" spans="1:24" ht="11.25" customHeight="1">
      <c r="A1221" s="611">
        <v>33</v>
      </c>
      <c r="L1221"/>
      <c r="X1221" s="664" t="s">
        <v>432</v>
      </c>
    </row>
    <row r="1222" spans="1:24" ht="11.25" customHeight="1">
      <c r="A1222" s="611">
        <v>34</v>
      </c>
      <c r="L1222"/>
      <c r="X1222" s="664" t="s">
        <v>432</v>
      </c>
    </row>
    <row r="1223" spans="1:24" ht="11.25" customHeight="1">
      <c r="A1223" s="611">
        <v>35</v>
      </c>
      <c r="L1223"/>
      <c r="X1223" s="664" t="s">
        <v>432</v>
      </c>
    </row>
    <row r="1224" spans="1:24" ht="11.25" customHeight="1">
      <c r="A1224" s="611">
        <v>36</v>
      </c>
      <c r="L1224"/>
      <c r="X1224" s="664" t="s">
        <v>432</v>
      </c>
    </row>
    <row r="1225" spans="1:24" ht="11.25" customHeight="1">
      <c r="A1225" s="611">
        <v>37</v>
      </c>
      <c r="L1225"/>
      <c r="X1225" s="664" t="s">
        <v>432</v>
      </c>
    </row>
    <row r="1226" spans="1:24" ht="11.25" customHeight="1">
      <c r="A1226" s="611">
        <v>38</v>
      </c>
      <c r="L1226"/>
      <c r="X1226" s="664" t="s">
        <v>432</v>
      </c>
    </row>
    <row r="1227" spans="1:24" ht="11.25" customHeight="1">
      <c r="A1227" s="611">
        <v>39</v>
      </c>
      <c r="L1227"/>
      <c r="X1227" s="664" t="s">
        <v>432</v>
      </c>
    </row>
    <row r="1228" spans="1:24" ht="11.25" customHeight="1">
      <c r="A1228" s="611">
        <v>40</v>
      </c>
      <c r="L1228" s="676" t="s">
        <v>432</v>
      </c>
      <c r="X1228" s="664" t="s">
        <v>432</v>
      </c>
    </row>
    <row r="1229" spans="1:24" ht="11.25" customHeight="1">
      <c r="A1229" s="611">
        <v>41</v>
      </c>
      <c r="L1229" s="676" t="s">
        <v>432</v>
      </c>
      <c r="X1229" s="664" t="s">
        <v>432</v>
      </c>
    </row>
    <row r="1230" spans="1:24" ht="11.25" customHeight="1">
      <c r="A1230" s="611">
        <v>42</v>
      </c>
      <c r="L1230" s="676" t="s">
        <v>432</v>
      </c>
      <c r="X1230" s="664" t="s">
        <v>432</v>
      </c>
    </row>
    <row r="1231" spans="1:24" ht="11.25" customHeight="1">
      <c r="A1231" s="611">
        <v>43</v>
      </c>
      <c r="L1231" s="676" t="s">
        <v>432</v>
      </c>
      <c r="X1231" s="664" t="s">
        <v>432</v>
      </c>
    </row>
    <row r="1232" spans="1:24" ht="11.25" customHeight="1">
      <c r="A1232" s="611">
        <v>44</v>
      </c>
      <c r="L1232" s="676" t="s">
        <v>432</v>
      </c>
      <c r="X1232" s="664" t="s">
        <v>432</v>
      </c>
    </row>
    <row r="1233" spans="1:24" ht="11.25" customHeight="1">
      <c r="A1233" s="611">
        <v>45</v>
      </c>
      <c r="L1233" s="676" t="s">
        <v>432</v>
      </c>
      <c r="X1233" s="664" t="s">
        <v>432</v>
      </c>
    </row>
    <row r="1234" spans="1:24" ht="11.25" customHeight="1">
      <c r="A1234" s="611">
        <v>46</v>
      </c>
      <c r="L1234" s="676" t="s">
        <v>432</v>
      </c>
      <c r="X1234" s="664" t="s">
        <v>432</v>
      </c>
    </row>
    <row r="1235" spans="1:24" ht="11.25" customHeight="1">
      <c r="A1235" s="611">
        <v>47</v>
      </c>
      <c r="L1235" s="676" t="s">
        <v>432</v>
      </c>
      <c r="X1235" s="664" t="s">
        <v>432</v>
      </c>
    </row>
    <row r="1236" spans="1:24" ht="11.25" customHeight="1">
      <c r="A1236" s="611">
        <v>48</v>
      </c>
      <c r="L1236" s="676" t="s">
        <v>432</v>
      </c>
      <c r="X1236" s="664" t="s">
        <v>432</v>
      </c>
    </row>
    <row r="1237" spans="1:24" ht="11.25" customHeight="1">
      <c r="A1237" s="611">
        <v>49</v>
      </c>
      <c r="L1237" s="676" t="s">
        <v>432</v>
      </c>
      <c r="X1237" s="664" t="s">
        <v>432</v>
      </c>
    </row>
    <row r="1238" spans="1:24" ht="11.25" customHeight="1">
      <c r="A1238" s="611">
        <v>50</v>
      </c>
      <c r="L1238" s="676" t="s">
        <v>432</v>
      </c>
      <c r="X1238" s="664" t="s">
        <v>432</v>
      </c>
    </row>
    <row r="1239" spans="1:24" ht="11.25" customHeight="1">
      <c r="A1239" s="611">
        <v>51</v>
      </c>
      <c r="L1239" s="676" t="s">
        <v>432</v>
      </c>
      <c r="X1239" s="664" t="s">
        <v>432</v>
      </c>
    </row>
    <row r="1240" spans="1:24" ht="11.25" customHeight="1">
      <c r="A1240" s="611">
        <v>52</v>
      </c>
      <c r="L1240" s="676" t="s">
        <v>432</v>
      </c>
      <c r="X1240" s="664" t="s">
        <v>432</v>
      </c>
    </row>
    <row r="1241" spans="1:24" ht="11.25" customHeight="1">
      <c r="A1241" s="611">
        <v>53</v>
      </c>
      <c r="L1241" s="676" t="s">
        <v>432</v>
      </c>
      <c r="X1241" s="664" t="s">
        <v>432</v>
      </c>
    </row>
    <row r="1242" spans="1:24" ht="11.25" customHeight="1">
      <c r="A1242" s="611">
        <v>54</v>
      </c>
      <c r="L1242" s="676" t="s">
        <v>432</v>
      </c>
      <c r="X1242" s="664" t="s">
        <v>432</v>
      </c>
    </row>
    <row r="1243" spans="1:24" ht="11.25" customHeight="1">
      <c r="A1243" s="611">
        <v>55</v>
      </c>
      <c r="L1243" s="676" t="s">
        <v>432</v>
      </c>
      <c r="X1243" s="664" t="s">
        <v>432</v>
      </c>
    </row>
    <row r="1244" spans="1:24" ht="11.25" customHeight="1">
      <c r="A1244" s="611">
        <v>56</v>
      </c>
      <c r="L1244" s="676" t="s">
        <v>432</v>
      </c>
      <c r="X1244" s="664" t="s">
        <v>432</v>
      </c>
    </row>
    <row r="1245" spans="1:24" ht="11.25" customHeight="1">
      <c r="A1245" s="611">
        <v>57</v>
      </c>
      <c r="L1245" s="676" t="s">
        <v>432</v>
      </c>
      <c r="X1245" s="664" t="s">
        <v>432</v>
      </c>
    </row>
    <row r="1246" spans="1:24" ht="11.25" customHeight="1">
      <c r="A1246" s="611">
        <v>58</v>
      </c>
      <c r="L1246" s="676" t="s">
        <v>432</v>
      </c>
      <c r="X1246" s="664" t="s">
        <v>432</v>
      </c>
    </row>
    <row r="1247" spans="1:24" ht="11.25" customHeight="1">
      <c r="A1247" s="611">
        <v>59</v>
      </c>
      <c r="L1247" s="676" t="s">
        <v>432</v>
      </c>
      <c r="X1247" s="664" t="s">
        <v>432</v>
      </c>
    </row>
    <row r="1248" spans="1:24" ht="11.25" customHeight="1">
      <c r="A1248" s="611">
        <v>60</v>
      </c>
      <c r="L1248" s="676" t="s">
        <v>432</v>
      </c>
      <c r="X1248" s="664" t="s">
        <v>432</v>
      </c>
    </row>
    <row r="1249" spans="1:24" ht="11.25" customHeight="1">
      <c r="A1249" s="611">
        <v>61</v>
      </c>
      <c r="L1249" s="676" t="s">
        <v>432</v>
      </c>
      <c r="X1249" s="664" t="s">
        <v>432</v>
      </c>
    </row>
    <row r="1250" spans="1:24" ht="11.25" customHeight="1">
      <c r="A1250" s="611">
        <v>62</v>
      </c>
      <c r="L1250" s="676" t="s">
        <v>432</v>
      </c>
      <c r="X1250" s="664" t="s">
        <v>432</v>
      </c>
    </row>
    <row r="1251" spans="1:24" ht="11.25" customHeight="1">
      <c r="A1251" s="611">
        <v>63</v>
      </c>
      <c r="L1251" s="676" t="s">
        <v>432</v>
      </c>
      <c r="X1251" s="664" t="s">
        <v>432</v>
      </c>
    </row>
    <row r="1252" spans="1:24" ht="11.25" customHeight="1">
      <c r="A1252" s="611">
        <v>64</v>
      </c>
      <c r="L1252" s="676" t="s">
        <v>432</v>
      </c>
      <c r="X1252" s="664" t="s">
        <v>432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432</v>
      </c>
      <c r="X1253" s="664" t="s">
        <v>432</v>
      </c>
    </row>
    <row r="1254" spans="1:24" ht="11.25" customHeight="1">
      <c r="A1254" s="611">
        <v>66</v>
      </c>
      <c r="B1254" s="52" t="str">
        <v>Room Number:</v>
      </c>
      <c r="C1254" s="373" t="str">
        <v/>
      </c>
      <c r="E1254" s="51"/>
      <c r="F1254" s="51"/>
      <c r="G1254" s="51"/>
      <c r="H1254" s="51"/>
      <c r="I1254" s="52" t="str">
        <v>Survey ID:</v>
      </c>
      <c r="J1254" s="1045" t="str">
        <v/>
      </c>
      <c r="L1254" s="676" t="s">
        <v>432</v>
      </c>
      <c r="X1254" s="664" t="s">
        <v>432</v>
      </c>
    </row>
    <row r="1255" spans="1:24" ht="11.25" customHeight="1">
      <c r="A1255" s="611">
        <v>1</v>
      </c>
      <c r="B1255" s="1"/>
      <c r="C1255" s="1"/>
      <c r="D1255" s="1"/>
      <c r="E1255" s="1"/>
      <c r="H1255" s="1"/>
      <c r="I1255" s="1"/>
      <c r="J1255" s="1"/>
      <c r="K1255" s="131" t="str">
        <f>$F$2</f>
        <v>Medical University of South Carolina</v>
      </c>
      <c r="L1255" s="676" t="s">
        <v>432</v>
      </c>
      <c r="X1255" s="664" t="s">
        <v>432</v>
      </c>
    </row>
    <row r="1256" spans="1:24" ht="11.25" customHeight="1">
      <c r="A1256" s="611">
        <v>2</v>
      </c>
      <c r="F1256" s="82" t="str">
        <f>$F$464</f>
        <v>Measurement Data</v>
      </c>
      <c r="K1256" s="132" t="str">
        <f>$F$5</f>
        <v>Radiographic System Compliance Inspection</v>
      </c>
      <c r="L1256" s="676" t="s">
        <v>432</v>
      </c>
      <c r="X1256" s="664" t="s">
        <v>432</v>
      </c>
    </row>
    <row r="1257" spans="1:24" ht="11.25" customHeight="1">
      <c r="A1257" s="611">
        <v>3</v>
      </c>
      <c r="F1257" s="44"/>
      <c r="L1257" s="676" t="s">
        <v>432</v>
      </c>
      <c r="X1257" s="664" t="s">
        <v>432</v>
      </c>
    </row>
    <row r="1258" spans="1:24" ht="11.25" customHeight="1">
      <c r="A1258" s="611">
        <v>4</v>
      </c>
      <c r="L1258" s="676" t="s">
        <v>432</v>
      </c>
      <c r="X1258" s="664" t="s">
        <v>432</v>
      </c>
    </row>
    <row r="1259" spans="1:24" ht="11.25" customHeight="1">
      <c r="A1259" s="611">
        <v>5</v>
      </c>
      <c r="L1259" s="676" t="s">
        <v>432</v>
      </c>
      <c r="X1259" s="664" t="s">
        <v>432</v>
      </c>
    </row>
    <row r="1260" spans="1:24" ht="11.25" customHeight="1">
      <c r="A1260" s="611">
        <v>6</v>
      </c>
      <c r="L1260" s="676" t="s">
        <v>432</v>
      </c>
      <c r="X1260" s="664" t="s">
        <v>432</v>
      </c>
    </row>
    <row r="1261" spans="1:24" ht="11.25" customHeight="1">
      <c r="A1261" s="611">
        <v>7</v>
      </c>
      <c r="L1261" s="676" t="s">
        <v>432</v>
      </c>
      <c r="X1261" s="664" t="s">
        <v>432</v>
      </c>
    </row>
    <row r="1262" spans="1:24" ht="11.25" customHeight="1">
      <c r="A1262" s="611">
        <v>8</v>
      </c>
      <c r="L1262" s="676" t="s">
        <v>432</v>
      </c>
      <c r="X1262" s="664" t="s">
        <v>432</v>
      </c>
    </row>
    <row r="1263" spans="1:24" ht="11.25" customHeight="1">
      <c r="A1263" s="611">
        <v>9</v>
      </c>
      <c r="L1263" s="676" t="s">
        <v>432</v>
      </c>
      <c r="X1263" s="664" t="s">
        <v>432</v>
      </c>
    </row>
    <row r="1264" spans="1:24" ht="11.25" customHeight="1">
      <c r="A1264" s="611">
        <v>10</v>
      </c>
      <c r="L1264" s="676" t="s">
        <v>432</v>
      </c>
      <c r="X1264" s="664" t="s">
        <v>432</v>
      </c>
    </row>
    <row r="1265" spans="1:24" ht="11.25" customHeight="1">
      <c r="A1265" s="611">
        <v>11</v>
      </c>
      <c r="L1265" s="676" t="s">
        <v>432</v>
      </c>
      <c r="X1265" s="664" t="s">
        <v>432</v>
      </c>
    </row>
    <row r="1266" spans="1:24" ht="11.25" customHeight="1">
      <c r="A1266" s="611">
        <v>12</v>
      </c>
      <c r="L1266" s="676" t="s">
        <v>432</v>
      </c>
      <c r="X1266" s="664" t="s">
        <v>432</v>
      </c>
    </row>
    <row r="1267" spans="1:24" ht="11.25" customHeight="1">
      <c r="A1267" s="611">
        <v>13</v>
      </c>
      <c r="L1267" s="676" t="s">
        <v>432</v>
      </c>
      <c r="X1267" s="664" t="s">
        <v>432</v>
      </c>
    </row>
    <row r="1268" spans="1:24" ht="11.25" customHeight="1">
      <c r="A1268" s="611">
        <v>14</v>
      </c>
      <c r="L1268" s="676" t="s">
        <v>432</v>
      </c>
      <c r="X1268" s="664" t="s">
        <v>432</v>
      </c>
    </row>
    <row r="1269" spans="1:24" ht="11.25" customHeight="1">
      <c r="A1269" s="611">
        <v>15</v>
      </c>
      <c r="L1269" s="676" t="s">
        <v>432</v>
      </c>
      <c r="X1269" s="664" t="s">
        <v>432</v>
      </c>
    </row>
    <row r="1270" spans="1:24" ht="11.25" customHeight="1">
      <c r="A1270" s="611">
        <v>16</v>
      </c>
      <c r="L1270" s="676" t="s">
        <v>432</v>
      </c>
      <c r="X1270" s="664" t="s">
        <v>432</v>
      </c>
    </row>
    <row r="1271" spans="1:24" ht="11.25" customHeight="1">
      <c r="A1271" s="611">
        <v>17</v>
      </c>
      <c r="L1271" s="676" t="s">
        <v>432</v>
      </c>
      <c r="X1271" s="664" t="s">
        <v>432</v>
      </c>
    </row>
    <row r="1272" spans="1:24" ht="11.25" customHeight="1">
      <c r="A1272" s="611">
        <v>18</v>
      </c>
      <c r="L1272" s="676" t="s">
        <v>432</v>
      </c>
      <c r="X1272" s="664" t="s">
        <v>432</v>
      </c>
    </row>
    <row r="1273" spans="1:24" ht="11.25" customHeight="1">
      <c r="A1273" s="611">
        <v>19</v>
      </c>
      <c r="L1273" s="676" t="s">
        <v>432</v>
      </c>
      <c r="X1273" s="664" t="s">
        <v>432</v>
      </c>
    </row>
    <row r="1274" spans="1:24" ht="11.25" customHeight="1">
      <c r="A1274" s="611">
        <v>20</v>
      </c>
      <c r="L1274" s="676" t="s">
        <v>432</v>
      </c>
      <c r="X1274" s="664" t="s">
        <v>432</v>
      </c>
    </row>
    <row r="1275" spans="1:24" ht="11.25" customHeight="1">
      <c r="A1275" s="611">
        <v>21</v>
      </c>
      <c r="L1275" s="676" t="s">
        <v>432</v>
      </c>
      <c r="X1275" s="664" t="s">
        <v>432</v>
      </c>
    </row>
    <row r="1276" spans="1:24" ht="11.25" customHeight="1">
      <c r="A1276" s="611">
        <v>22</v>
      </c>
      <c r="L1276" s="676" t="s">
        <v>432</v>
      </c>
      <c r="X1276" s="664" t="s">
        <v>432</v>
      </c>
    </row>
    <row r="1277" spans="1:24" ht="11.25" customHeight="1">
      <c r="A1277" s="611">
        <v>23</v>
      </c>
      <c r="L1277" s="676" t="s">
        <v>432</v>
      </c>
      <c r="X1277" s="664" t="s">
        <v>432</v>
      </c>
    </row>
    <row r="1278" spans="1:24" ht="11.25" customHeight="1">
      <c r="A1278" s="611">
        <v>24</v>
      </c>
      <c r="L1278" s="676" t="s">
        <v>432</v>
      </c>
      <c r="X1278" s="664" t="s">
        <v>432</v>
      </c>
    </row>
    <row r="1279" spans="1:24" ht="11.25" customHeight="1">
      <c r="A1279" s="611">
        <v>25</v>
      </c>
      <c r="L1279" s="676" t="s">
        <v>432</v>
      </c>
      <c r="X1279" s="664" t="s">
        <v>432</v>
      </c>
    </row>
    <row r="1280" spans="1:24" ht="11.25" customHeight="1">
      <c r="A1280" s="611">
        <v>26</v>
      </c>
      <c r="L1280" s="676" t="s">
        <v>432</v>
      </c>
      <c r="X1280" s="664" t="s">
        <v>432</v>
      </c>
    </row>
    <row r="1281" spans="1:31" ht="11.25" customHeight="1">
      <c r="A1281" s="611">
        <v>27</v>
      </c>
      <c r="L1281" s="676" t="s">
        <v>432</v>
      </c>
      <c r="X1281" s="664" t="s">
        <v>432</v>
      </c>
    </row>
    <row r="1282" spans="1:31" ht="11.25" customHeight="1">
      <c r="A1282" s="611">
        <v>28</v>
      </c>
      <c r="L1282" s="676" t="s">
        <v>432</v>
      </c>
      <c r="X1282" s="664" t="s">
        <v>432</v>
      </c>
    </row>
    <row r="1283" spans="1:31" ht="11.25" customHeight="1">
      <c r="A1283" s="611">
        <v>29</v>
      </c>
      <c r="L1283" s="676" t="s">
        <v>432</v>
      </c>
      <c r="X1283" s="664" t="s">
        <v>432</v>
      </c>
    </row>
    <row r="1284" spans="1:31" ht="11.25" customHeight="1">
      <c r="A1284" s="611">
        <v>30</v>
      </c>
      <c r="L1284" s="676" t="s">
        <v>432</v>
      </c>
      <c r="X1284" s="664" t="s">
        <v>432</v>
      </c>
    </row>
    <row r="1285" spans="1:31" ht="11.25" customHeight="1">
      <c r="A1285" s="611">
        <v>31</v>
      </c>
      <c r="L1285" s="676" t="s">
        <v>432</v>
      </c>
      <c r="X1285" s="664" t="s">
        <v>432</v>
      </c>
      <c r="AE1285"/>
    </row>
    <row r="1286" spans="1:31" ht="11.25" customHeight="1">
      <c r="A1286" s="611">
        <v>32</v>
      </c>
      <c r="L1286" s="676" t="s">
        <v>432</v>
      </c>
      <c r="X1286" s="664" t="s">
        <v>432</v>
      </c>
      <c r="AE1286"/>
    </row>
    <row r="1287" spans="1:31" ht="11.25" customHeight="1">
      <c r="A1287" s="611">
        <v>33</v>
      </c>
      <c r="L1287" s="676" t="s">
        <v>432</v>
      </c>
      <c r="X1287" s="664" t="s">
        <v>432</v>
      </c>
      <c r="AE1287"/>
    </row>
    <row r="1288" spans="1:31" ht="11.25" customHeight="1">
      <c r="A1288" s="611">
        <v>34</v>
      </c>
      <c r="L1288" s="676" t="s">
        <v>432</v>
      </c>
      <c r="X1288" s="664" t="s">
        <v>432</v>
      </c>
      <c r="AE1288"/>
    </row>
    <row r="1289" spans="1:31" ht="11.25" customHeight="1">
      <c r="A1289" s="611">
        <v>35</v>
      </c>
      <c r="L1289" s="676" t="s">
        <v>432</v>
      </c>
      <c r="X1289" s="664" t="s">
        <v>432</v>
      </c>
      <c r="AE1289"/>
    </row>
    <row r="1290" spans="1:31" ht="11.25" customHeight="1">
      <c r="A1290" s="611">
        <v>36</v>
      </c>
      <c r="L1290" s="676" t="s">
        <v>432</v>
      </c>
      <c r="X1290" s="664" t="s">
        <v>432</v>
      </c>
      <c r="AE1290"/>
    </row>
    <row r="1291" spans="1:31" ht="11.25" customHeight="1">
      <c r="A1291" s="611">
        <v>37</v>
      </c>
      <c r="L1291" s="676" t="s">
        <v>432</v>
      </c>
      <c r="X1291" s="664" t="s">
        <v>432</v>
      </c>
      <c r="AE1291"/>
    </row>
    <row r="1292" spans="1:31" ht="11.25" customHeight="1">
      <c r="A1292" s="611">
        <v>38</v>
      </c>
      <c r="L1292" s="676" t="s">
        <v>432</v>
      </c>
      <c r="X1292" s="664" t="s">
        <v>432</v>
      </c>
      <c r="AE1292"/>
    </row>
    <row r="1293" spans="1:31" ht="11.25" customHeight="1">
      <c r="A1293" s="611">
        <v>39</v>
      </c>
      <c r="L1293" s="676" t="s">
        <v>432</v>
      </c>
      <c r="X1293" s="664" t="s">
        <v>432</v>
      </c>
      <c r="AE1293"/>
    </row>
    <row r="1294" spans="1:31" ht="11.25" customHeight="1">
      <c r="A1294" s="611">
        <v>40</v>
      </c>
      <c r="L1294" s="676" t="s">
        <v>432</v>
      </c>
      <c r="X1294" s="664" t="s">
        <v>432</v>
      </c>
      <c r="AE1294"/>
    </row>
    <row r="1295" spans="1:31" ht="11.25" customHeight="1">
      <c r="A1295" s="611">
        <v>41</v>
      </c>
      <c r="L1295" s="676" t="s">
        <v>432</v>
      </c>
      <c r="X1295" s="664" t="s">
        <v>432</v>
      </c>
      <c r="AE1295"/>
    </row>
    <row r="1296" spans="1:31" ht="11.25" customHeight="1">
      <c r="A1296" s="611">
        <v>42</v>
      </c>
      <c r="L1296" s="676" t="s">
        <v>432</v>
      </c>
      <c r="X1296" s="664" t="s">
        <v>432</v>
      </c>
      <c r="AE1296"/>
    </row>
    <row r="1297" spans="1:24" ht="11.25" customHeight="1">
      <c r="A1297" s="611">
        <v>43</v>
      </c>
      <c r="L1297" s="676" t="s">
        <v>432</v>
      </c>
      <c r="X1297" s="664" t="s">
        <v>432</v>
      </c>
    </row>
    <row r="1298" spans="1:24" ht="11.25" customHeight="1">
      <c r="A1298" s="611">
        <v>44</v>
      </c>
      <c r="L1298" s="676" t="s">
        <v>432</v>
      </c>
      <c r="X1298" s="664" t="s">
        <v>432</v>
      </c>
    </row>
    <row r="1299" spans="1:24" ht="11.25" customHeight="1">
      <c r="A1299" s="611">
        <v>45</v>
      </c>
      <c r="L1299" s="676" t="s">
        <v>432</v>
      </c>
      <c r="X1299" s="664" t="s">
        <v>432</v>
      </c>
    </row>
    <row r="1300" spans="1:24" ht="11.25" customHeight="1">
      <c r="A1300" s="611">
        <v>46</v>
      </c>
      <c r="L1300" s="676" t="s">
        <v>432</v>
      </c>
      <c r="X1300" s="664" t="s">
        <v>432</v>
      </c>
    </row>
    <row r="1301" spans="1:24" ht="11.25" customHeight="1">
      <c r="A1301" s="611">
        <v>47</v>
      </c>
      <c r="L1301" s="676" t="s">
        <v>432</v>
      </c>
      <c r="X1301" s="664" t="s">
        <v>432</v>
      </c>
    </row>
    <row r="1302" spans="1:24" ht="11.25" customHeight="1">
      <c r="A1302" s="611">
        <v>48</v>
      </c>
      <c r="L1302" s="676" t="s">
        <v>432</v>
      </c>
      <c r="X1302" s="664" t="s">
        <v>432</v>
      </c>
    </row>
    <row r="1303" spans="1:24" ht="11.25" customHeight="1">
      <c r="A1303" s="611">
        <v>49</v>
      </c>
      <c r="L1303" s="676" t="s">
        <v>432</v>
      </c>
      <c r="X1303" s="664" t="s">
        <v>432</v>
      </c>
    </row>
    <row r="1304" spans="1:24" ht="11.25" customHeight="1">
      <c r="A1304" s="611">
        <v>50</v>
      </c>
      <c r="L1304" s="676" t="s">
        <v>432</v>
      </c>
      <c r="X1304" s="664" t="s">
        <v>432</v>
      </c>
    </row>
    <row r="1305" spans="1:24" ht="11.25" customHeight="1">
      <c r="A1305" s="611">
        <v>51</v>
      </c>
      <c r="L1305" s="676" t="s">
        <v>432</v>
      </c>
      <c r="X1305" s="664" t="s">
        <v>432</v>
      </c>
    </row>
    <row r="1306" spans="1:24" ht="11.25" customHeight="1">
      <c r="A1306" s="611">
        <v>52</v>
      </c>
      <c r="L1306" s="676" t="s">
        <v>432</v>
      </c>
      <c r="X1306" s="664" t="s">
        <v>432</v>
      </c>
    </row>
    <row r="1307" spans="1:24" ht="11.25" customHeight="1">
      <c r="A1307" s="611">
        <v>53</v>
      </c>
      <c r="L1307" s="676" t="s">
        <v>432</v>
      </c>
      <c r="X1307" s="664" t="s">
        <v>432</v>
      </c>
    </row>
    <row r="1308" spans="1:24" ht="11.25" customHeight="1">
      <c r="A1308" s="611">
        <v>54</v>
      </c>
      <c r="L1308" s="676" t="s">
        <v>432</v>
      </c>
      <c r="X1308" s="664" t="s">
        <v>432</v>
      </c>
    </row>
    <row r="1309" spans="1:24" ht="11.25" customHeight="1">
      <c r="A1309" s="611">
        <v>55</v>
      </c>
      <c r="L1309" s="676" t="s">
        <v>432</v>
      </c>
      <c r="X1309" s="664" t="s">
        <v>432</v>
      </c>
    </row>
    <row r="1310" spans="1:24" ht="11.25" customHeight="1">
      <c r="A1310" s="611">
        <v>56</v>
      </c>
      <c r="L1310" s="676" t="s">
        <v>432</v>
      </c>
      <c r="X1310" s="664" t="s">
        <v>432</v>
      </c>
    </row>
    <row r="1311" spans="1:24" ht="11.25" customHeight="1">
      <c r="A1311" s="611">
        <v>57</v>
      </c>
      <c r="L1311" s="676" t="s">
        <v>432</v>
      </c>
      <c r="X1311" s="664" t="s">
        <v>432</v>
      </c>
    </row>
    <row r="1312" spans="1:24" ht="11.25" customHeight="1">
      <c r="A1312" s="611">
        <v>58</v>
      </c>
      <c r="L1312" s="676" t="s">
        <v>432</v>
      </c>
      <c r="X1312" s="664" t="s">
        <v>432</v>
      </c>
    </row>
    <row r="1313" spans="1:24" ht="11.25" customHeight="1">
      <c r="A1313" s="611">
        <v>59</v>
      </c>
      <c r="L1313" s="676" t="s">
        <v>432</v>
      </c>
      <c r="X1313" s="664" t="s">
        <v>432</v>
      </c>
    </row>
    <row r="1314" spans="1:24" ht="11.25" customHeight="1">
      <c r="A1314" s="611">
        <v>60</v>
      </c>
      <c r="L1314" s="676" t="s">
        <v>432</v>
      </c>
      <c r="X1314" s="664" t="s">
        <v>432</v>
      </c>
    </row>
    <row r="1315" spans="1:24" ht="11.25" customHeight="1">
      <c r="A1315" s="611">
        <v>61</v>
      </c>
      <c r="L1315" s="676" t="s">
        <v>432</v>
      </c>
      <c r="X1315" s="664" t="s">
        <v>432</v>
      </c>
    </row>
    <row r="1316" spans="1:24" ht="11.25" customHeight="1">
      <c r="A1316" s="611">
        <v>62</v>
      </c>
      <c r="L1316" s="676" t="s">
        <v>432</v>
      </c>
      <c r="X1316" s="664" t="s">
        <v>432</v>
      </c>
    </row>
    <row r="1317" spans="1:24" ht="11.25" customHeight="1">
      <c r="A1317" s="611">
        <v>63</v>
      </c>
      <c r="L1317" s="676" t="s">
        <v>432</v>
      </c>
      <c r="X1317" s="664" t="s">
        <v>432</v>
      </c>
    </row>
    <row r="1318" spans="1:24" ht="11.25" customHeight="1">
      <c r="A1318" s="611">
        <v>64</v>
      </c>
      <c r="L1318" s="676" t="s">
        <v>432</v>
      </c>
      <c r="X1318" s="664" t="s">
        <v>432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432</v>
      </c>
      <c r="X1319" s="664" t="s">
        <v>432</v>
      </c>
    </row>
    <row r="1320" spans="1:24" ht="11.25" customHeight="1">
      <c r="A1320" s="611">
        <v>66</v>
      </c>
      <c r="B1320" s="52" t="str">
        <v>Room Number:</v>
      </c>
      <c r="C1320" s="373" t="str">
        <v/>
      </c>
      <c r="E1320" s="51"/>
      <c r="F1320" s="51"/>
      <c r="G1320" s="51"/>
      <c r="H1320" s="51"/>
      <c r="I1320" s="52" t="str">
        <v>Survey ID:</v>
      </c>
      <c r="J1320" s="1045" t="str">
        <v/>
      </c>
      <c r="L1320" s="676" t="s">
        <v>432</v>
      </c>
      <c r="X1320" s="664" t="s">
        <v>432</v>
      </c>
    </row>
    <row r="1321" spans="1:24" ht="11.25" customHeight="1">
      <c r="A1321" s="611">
        <v>1</v>
      </c>
      <c r="B1321" s="1"/>
      <c r="C1321" s="1"/>
      <c r="D1321" s="1"/>
      <c r="E1321" s="1"/>
      <c r="H1321" s="1"/>
      <c r="I1321" s="1"/>
      <c r="J1321" s="1"/>
      <c r="K1321" s="131" t="str">
        <f>$F$2</f>
        <v>Medical University of South Carolina</v>
      </c>
      <c r="L1321" s="676" t="s">
        <v>432</v>
      </c>
      <c r="X1321" s="664" t="s">
        <v>432</v>
      </c>
    </row>
    <row r="1322" spans="1:24" ht="11.25" customHeight="1">
      <c r="A1322" s="611">
        <v>2</v>
      </c>
      <c r="F1322" s="82" t="str">
        <f>$F$464</f>
        <v>Measurement Data</v>
      </c>
      <c r="K1322" s="132" t="str">
        <f>$F$5</f>
        <v>Radiographic System Compliance Inspection</v>
      </c>
      <c r="L1322" s="676" t="s">
        <v>432</v>
      </c>
      <c r="X1322" s="664" t="s">
        <v>432</v>
      </c>
    </row>
    <row r="1323" spans="1:24" ht="11.25" customHeight="1">
      <c r="A1323" s="611">
        <v>3</v>
      </c>
      <c r="F1323" s="44"/>
      <c r="L1323" s="676" t="s">
        <v>432</v>
      </c>
      <c r="X1323" s="664" t="s">
        <v>432</v>
      </c>
    </row>
    <row r="1324" spans="1:24" ht="11.25" customHeight="1">
      <c r="A1324" s="611">
        <v>4</v>
      </c>
      <c r="L1324" s="676" t="s">
        <v>432</v>
      </c>
      <c r="X1324" s="664" t="s">
        <v>432</v>
      </c>
    </row>
    <row r="1325" spans="1:24" ht="11.25" customHeight="1">
      <c r="A1325" s="611">
        <v>5</v>
      </c>
      <c r="L1325" s="676" t="s">
        <v>432</v>
      </c>
      <c r="X1325" s="664" t="s">
        <v>432</v>
      </c>
    </row>
    <row r="1326" spans="1:24" ht="11.25" customHeight="1">
      <c r="A1326" s="611">
        <v>6</v>
      </c>
      <c r="L1326" s="676" t="s">
        <v>432</v>
      </c>
      <c r="X1326" s="664" t="s">
        <v>432</v>
      </c>
    </row>
    <row r="1327" spans="1:24" ht="11.25" customHeight="1">
      <c r="A1327" s="611">
        <v>7</v>
      </c>
      <c r="L1327" s="676" t="s">
        <v>432</v>
      </c>
      <c r="X1327" s="664" t="s">
        <v>432</v>
      </c>
    </row>
    <row r="1328" spans="1:24" ht="11.25" customHeight="1">
      <c r="A1328" s="611">
        <v>8</v>
      </c>
      <c r="L1328" s="676" t="s">
        <v>432</v>
      </c>
      <c r="X1328" s="664" t="s">
        <v>432</v>
      </c>
    </row>
    <row r="1329" spans="1:24" ht="11.25" customHeight="1">
      <c r="A1329" s="611">
        <v>9</v>
      </c>
      <c r="L1329" s="676" t="s">
        <v>432</v>
      </c>
      <c r="X1329" s="664" t="s">
        <v>432</v>
      </c>
    </row>
    <row r="1330" spans="1:24" ht="11.25" customHeight="1">
      <c r="A1330" s="611">
        <v>10</v>
      </c>
      <c r="L1330" s="676" t="s">
        <v>432</v>
      </c>
      <c r="X1330" s="664" t="s">
        <v>432</v>
      </c>
    </row>
    <row r="1331" spans="1:24" ht="11.25" customHeight="1">
      <c r="A1331" s="611">
        <v>11</v>
      </c>
      <c r="L1331" s="676" t="s">
        <v>432</v>
      </c>
      <c r="X1331" s="664" t="s">
        <v>432</v>
      </c>
    </row>
    <row r="1332" spans="1:24" ht="11.25" customHeight="1">
      <c r="A1332" s="611">
        <v>12</v>
      </c>
      <c r="L1332" s="676" t="s">
        <v>432</v>
      </c>
      <c r="X1332" s="664" t="s">
        <v>432</v>
      </c>
    </row>
    <row r="1333" spans="1:24" ht="11.25" customHeight="1">
      <c r="A1333" s="611">
        <v>13</v>
      </c>
      <c r="L1333" s="676" t="s">
        <v>432</v>
      </c>
      <c r="X1333" s="664" t="s">
        <v>432</v>
      </c>
    </row>
    <row r="1334" spans="1:24" ht="11.25" customHeight="1">
      <c r="A1334" s="611">
        <v>14</v>
      </c>
      <c r="L1334" s="676" t="s">
        <v>432</v>
      </c>
      <c r="X1334" s="664" t="s">
        <v>432</v>
      </c>
    </row>
    <row r="1335" spans="1:24" ht="11.25" customHeight="1">
      <c r="A1335" s="611">
        <v>15</v>
      </c>
      <c r="L1335" s="676" t="s">
        <v>432</v>
      </c>
      <c r="X1335" s="664" t="s">
        <v>432</v>
      </c>
    </row>
    <row r="1336" spans="1:24" ht="11.25" customHeight="1">
      <c r="A1336" s="611">
        <v>16</v>
      </c>
      <c r="L1336" s="676" t="s">
        <v>432</v>
      </c>
      <c r="X1336" s="664" t="s">
        <v>432</v>
      </c>
    </row>
    <row r="1337" spans="1:24" ht="11.25" customHeight="1">
      <c r="A1337" s="611">
        <v>17</v>
      </c>
      <c r="L1337" s="676" t="s">
        <v>432</v>
      </c>
      <c r="X1337" s="664" t="s">
        <v>432</v>
      </c>
    </row>
    <row r="1338" spans="1:24" ht="11.25" customHeight="1">
      <c r="A1338" s="611">
        <v>18</v>
      </c>
      <c r="L1338" s="676" t="s">
        <v>432</v>
      </c>
      <c r="X1338" s="664" t="s">
        <v>432</v>
      </c>
    </row>
    <row r="1339" spans="1:24" ht="11.25" customHeight="1">
      <c r="A1339" s="611">
        <v>19</v>
      </c>
      <c r="L1339" s="676" t="s">
        <v>432</v>
      </c>
      <c r="X1339" s="664" t="s">
        <v>432</v>
      </c>
    </row>
    <row r="1340" spans="1:24" ht="11.25" customHeight="1">
      <c r="A1340" s="611">
        <v>20</v>
      </c>
      <c r="L1340" s="676" t="s">
        <v>432</v>
      </c>
      <c r="X1340" s="664" t="s">
        <v>432</v>
      </c>
    </row>
    <row r="1341" spans="1:24" ht="11.25" customHeight="1">
      <c r="A1341" s="611">
        <v>21</v>
      </c>
      <c r="L1341" s="676" t="s">
        <v>432</v>
      </c>
      <c r="X1341" s="664" t="s">
        <v>432</v>
      </c>
    </row>
    <row r="1342" spans="1:24" ht="11.25" customHeight="1">
      <c r="A1342" s="611">
        <v>22</v>
      </c>
      <c r="L1342" s="676" t="s">
        <v>432</v>
      </c>
      <c r="X1342" s="664" t="s">
        <v>432</v>
      </c>
    </row>
    <row r="1343" spans="1:24" ht="11.25" customHeight="1">
      <c r="A1343" s="611">
        <v>23</v>
      </c>
      <c r="L1343" s="676" t="s">
        <v>432</v>
      </c>
      <c r="X1343" s="664" t="s">
        <v>432</v>
      </c>
    </row>
    <row r="1344" spans="1:24" ht="11.25" customHeight="1">
      <c r="A1344" s="611">
        <v>24</v>
      </c>
      <c r="L1344" s="676" t="s">
        <v>432</v>
      </c>
      <c r="X1344" s="664" t="s">
        <v>432</v>
      </c>
    </row>
    <row r="1345" spans="1:24" ht="11.25" customHeight="1">
      <c r="A1345" s="611">
        <v>25</v>
      </c>
      <c r="L1345" s="676" t="s">
        <v>432</v>
      </c>
      <c r="X1345" s="664" t="s">
        <v>432</v>
      </c>
    </row>
    <row r="1346" spans="1:24" ht="11.25" customHeight="1">
      <c r="A1346" s="611">
        <v>26</v>
      </c>
      <c r="L1346" s="676" t="s">
        <v>432</v>
      </c>
      <c r="X1346" s="664" t="s">
        <v>432</v>
      </c>
    </row>
    <row r="1347" spans="1:24" ht="11.25" customHeight="1">
      <c r="A1347" s="611">
        <v>27</v>
      </c>
      <c r="L1347" s="676" t="s">
        <v>432</v>
      </c>
      <c r="X1347" s="664" t="s">
        <v>432</v>
      </c>
    </row>
    <row r="1348" spans="1:24" ht="11.25" customHeight="1">
      <c r="A1348" s="611">
        <v>28</v>
      </c>
      <c r="L1348" s="676" t="s">
        <v>432</v>
      </c>
      <c r="X1348" s="664" t="s">
        <v>432</v>
      </c>
    </row>
    <row r="1349" spans="1:24" ht="11.25" customHeight="1">
      <c r="A1349" s="611">
        <v>29</v>
      </c>
      <c r="L1349" s="676" t="s">
        <v>432</v>
      </c>
      <c r="X1349" s="664" t="s">
        <v>432</v>
      </c>
    </row>
    <row r="1350" spans="1:24" ht="11.25" customHeight="1">
      <c r="A1350" s="611">
        <v>30</v>
      </c>
      <c r="L1350" s="676" t="s">
        <v>432</v>
      </c>
      <c r="X1350" s="664" t="s">
        <v>432</v>
      </c>
    </row>
    <row r="1351" spans="1:24" ht="11.25" customHeight="1">
      <c r="A1351" s="611">
        <v>31</v>
      </c>
      <c r="L1351" s="676" t="s">
        <v>432</v>
      </c>
      <c r="X1351" s="664" t="s">
        <v>432</v>
      </c>
    </row>
    <row r="1352" spans="1:24" ht="11.25" customHeight="1">
      <c r="A1352" s="611">
        <v>32</v>
      </c>
      <c r="L1352" s="676" t="s">
        <v>432</v>
      </c>
      <c r="X1352" s="664" t="s">
        <v>432</v>
      </c>
    </row>
    <row r="1353" spans="1:24" ht="11.25" customHeight="1">
      <c r="A1353" s="611">
        <v>33</v>
      </c>
      <c r="L1353" s="676" t="s">
        <v>432</v>
      </c>
      <c r="X1353" s="664" t="s">
        <v>432</v>
      </c>
    </row>
    <row r="1354" spans="1:24" ht="11.25" customHeight="1">
      <c r="A1354" s="611">
        <v>34</v>
      </c>
      <c r="L1354" s="676" t="s">
        <v>432</v>
      </c>
      <c r="X1354" s="664" t="s">
        <v>432</v>
      </c>
    </row>
    <row r="1355" spans="1:24" ht="11.25" customHeight="1">
      <c r="A1355" s="611">
        <v>35</v>
      </c>
      <c r="L1355" s="676" t="s">
        <v>432</v>
      </c>
      <c r="X1355" s="664" t="s">
        <v>432</v>
      </c>
    </row>
    <row r="1356" spans="1:24" ht="11.25" customHeight="1">
      <c r="A1356" s="611">
        <v>36</v>
      </c>
      <c r="L1356" s="676" t="s">
        <v>432</v>
      </c>
      <c r="X1356" s="664" t="s">
        <v>432</v>
      </c>
    </row>
    <row r="1357" spans="1:24" ht="11.25" customHeight="1">
      <c r="A1357" s="611">
        <v>37</v>
      </c>
      <c r="L1357" s="676" t="s">
        <v>432</v>
      </c>
      <c r="X1357" s="664" t="s">
        <v>432</v>
      </c>
    </row>
    <row r="1358" spans="1:24" ht="11.25" customHeight="1">
      <c r="A1358" s="611">
        <v>38</v>
      </c>
      <c r="L1358" s="676" t="s">
        <v>432</v>
      </c>
      <c r="X1358" s="664" t="s">
        <v>432</v>
      </c>
    </row>
    <row r="1359" spans="1:24" ht="11.25" customHeight="1">
      <c r="A1359" s="611">
        <v>39</v>
      </c>
      <c r="L1359" s="676" t="s">
        <v>432</v>
      </c>
      <c r="X1359" s="664" t="s">
        <v>432</v>
      </c>
    </row>
    <row r="1360" spans="1:24" ht="11.25" customHeight="1">
      <c r="A1360" s="611">
        <v>40</v>
      </c>
      <c r="L1360" s="676" t="s">
        <v>432</v>
      </c>
      <c r="X1360" s="664" t="s">
        <v>432</v>
      </c>
    </row>
    <row r="1361" spans="1:24" ht="11.25" customHeight="1">
      <c r="A1361" s="611">
        <v>41</v>
      </c>
      <c r="L1361" s="676" t="s">
        <v>432</v>
      </c>
      <c r="X1361" s="664" t="s">
        <v>432</v>
      </c>
    </row>
    <row r="1362" spans="1:24" ht="11.25" customHeight="1">
      <c r="A1362" s="611">
        <v>42</v>
      </c>
      <c r="L1362" s="676" t="s">
        <v>432</v>
      </c>
      <c r="X1362" s="664" t="s">
        <v>432</v>
      </c>
    </row>
    <row r="1363" spans="1:24" ht="11.25" customHeight="1">
      <c r="A1363" s="611">
        <v>43</v>
      </c>
      <c r="L1363" s="676" t="s">
        <v>432</v>
      </c>
      <c r="X1363" s="664" t="s">
        <v>432</v>
      </c>
    </row>
    <row r="1364" spans="1:24" ht="11.25" customHeight="1">
      <c r="A1364" s="611">
        <v>44</v>
      </c>
      <c r="L1364" s="676" t="s">
        <v>432</v>
      </c>
      <c r="X1364" s="664" t="s">
        <v>432</v>
      </c>
    </row>
    <row r="1365" spans="1:24" ht="11.25" customHeight="1">
      <c r="A1365" s="611">
        <v>45</v>
      </c>
      <c r="L1365" s="676" t="s">
        <v>432</v>
      </c>
      <c r="X1365" s="664" t="s">
        <v>432</v>
      </c>
    </row>
    <row r="1366" spans="1:24" ht="11.25" customHeight="1">
      <c r="A1366" s="611">
        <v>46</v>
      </c>
      <c r="L1366" s="676" t="s">
        <v>432</v>
      </c>
      <c r="X1366" s="664" t="s">
        <v>432</v>
      </c>
    </row>
    <row r="1367" spans="1:24" ht="11.25" customHeight="1">
      <c r="A1367" s="611">
        <v>47</v>
      </c>
      <c r="L1367" s="676" t="s">
        <v>432</v>
      </c>
      <c r="X1367" s="664" t="s">
        <v>432</v>
      </c>
    </row>
    <row r="1368" spans="1:24" ht="11.25" customHeight="1">
      <c r="A1368" s="611">
        <v>48</v>
      </c>
      <c r="L1368" s="676" t="s">
        <v>432</v>
      </c>
      <c r="X1368" s="664" t="s">
        <v>432</v>
      </c>
    </row>
    <row r="1369" spans="1:24" ht="11.25" customHeight="1">
      <c r="A1369" s="611">
        <v>49</v>
      </c>
      <c r="L1369" s="676" t="s">
        <v>432</v>
      </c>
      <c r="X1369" s="664" t="s">
        <v>432</v>
      </c>
    </row>
    <row r="1370" spans="1:24" ht="11.25" customHeight="1">
      <c r="A1370" s="611">
        <v>50</v>
      </c>
      <c r="L1370" s="676" t="s">
        <v>432</v>
      </c>
      <c r="X1370" s="664" t="s">
        <v>432</v>
      </c>
    </row>
    <row r="1371" spans="1:24" ht="11.25" customHeight="1">
      <c r="A1371" s="611">
        <v>51</v>
      </c>
      <c r="L1371" s="676" t="s">
        <v>432</v>
      </c>
      <c r="X1371" s="664" t="s">
        <v>432</v>
      </c>
    </row>
    <row r="1372" spans="1:24" ht="11.25" customHeight="1">
      <c r="A1372" s="611">
        <v>52</v>
      </c>
      <c r="L1372" s="676" t="s">
        <v>432</v>
      </c>
      <c r="X1372" s="664" t="s">
        <v>432</v>
      </c>
    </row>
    <row r="1373" spans="1:24" ht="11.25" customHeight="1">
      <c r="A1373" s="611">
        <v>53</v>
      </c>
      <c r="L1373" s="676" t="s">
        <v>432</v>
      </c>
      <c r="X1373" s="664" t="s">
        <v>432</v>
      </c>
    </row>
    <row r="1374" spans="1:24" ht="11.25" customHeight="1">
      <c r="A1374" s="611">
        <v>54</v>
      </c>
      <c r="L1374" s="676" t="s">
        <v>432</v>
      </c>
      <c r="X1374" s="664" t="s">
        <v>432</v>
      </c>
    </row>
    <row r="1375" spans="1:24" ht="11.25" customHeight="1">
      <c r="A1375" s="611">
        <v>55</v>
      </c>
      <c r="L1375" s="676" t="s">
        <v>432</v>
      </c>
      <c r="X1375" s="664" t="s">
        <v>432</v>
      </c>
    </row>
    <row r="1376" spans="1:24" ht="11.25" customHeight="1">
      <c r="A1376" s="611">
        <v>56</v>
      </c>
      <c r="L1376" s="676" t="s">
        <v>432</v>
      </c>
      <c r="X1376" s="664" t="s">
        <v>432</v>
      </c>
    </row>
    <row r="1377" spans="1:35" ht="11.25" customHeight="1">
      <c r="A1377" s="611">
        <v>57</v>
      </c>
      <c r="L1377" s="676" t="s">
        <v>432</v>
      </c>
      <c r="X1377" s="664" t="s">
        <v>432</v>
      </c>
    </row>
    <row r="1378" spans="1:35" ht="11.25" customHeight="1">
      <c r="A1378" s="611">
        <v>58</v>
      </c>
      <c r="L1378" s="676" t="s">
        <v>432</v>
      </c>
      <c r="X1378" s="664" t="s">
        <v>432</v>
      </c>
    </row>
    <row r="1379" spans="1:35" ht="11.25" customHeight="1">
      <c r="A1379" s="611">
        <v>59</v>
      </c>
      <c r="L1379" s="676" t="s">
        <v>432</v>
      </c>
      <c r="X1379" s="664" t="s">
        <v>432</v>
      </c>
    </row>
    <row r="1380" spans="1:35" ht="11.25" customHeight="1">
      <c r="A1380" s="611">
        <v>60</v>
      </c>
      <c r="L1380" s="676" t="s">
        <v>432</v>
      </c>
      <c r="X1380" s="664" t="s">
        <v>432</v>
      </c>
    </row>
    <row r="1381" spans="1:35" ht="11.25" customHeight="1">
      <c r="A1381" s="611">
        <v>61</v>
      </c>
      <c r="L1381" s="676" t="s">
        <v>432</v>
      </c>
      <c r="X1381" s="664" t="s">
        <v>432</v>
      </c>
    </row>
    <row r="1382" spans="1:35" ht="11.25" customHeight="1">
      <c r="A1382" s="611">
        <v>62</v>
      </c>
      <c r="L1382" s="676" t="s">
        <v>432</v>
      </c>
      <c r="X1382" s="664" t="s">
        <v>432</v>
      </c>
    </row>
    <row r="1383" spans="1:35" ht="11.25" customHeight="1">
      <c r="A1383" s="611">
        <v>63</v>
      </c>
      <c r="L1383" s="676" t="s">
        <v>432</v>
      </c>
      <c r="X1383" s="664" t="s">
        <v>432</v>
      </c>
    </row>
    <row r="1384" spans="1:35" ht="11.25" customHeight="1">
      <c r="A1384" s="611">
        <v>64</v>
      </c>
      <c r="L1384" s="676" t="s">
        <v>432</v>
      </c>
      <c r="X1384" s="664" t="s">
        <v>432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432</v>
      </c>
      <c r="X1385" s="664" t="s">
        <v>432</v>
      </c>
    </row>
    <row r="1386" spans="1:35" ht="11.25" customHeight="1">
      <c r="A1386" s="611">
        <v>66</v>
      </c>
      <c r="B1386" s="52" t="str">
        <v>Room Number:</v>
      </c>
      <c r="C1386" s="373" t="str">
        <v/>
      </c>
      <c r="E1386" s="51"/>
      <c r="F1386" s="51"/>
      <c r="G1386" s="51"/>
      <c r="H1386" s="51"/>
      <c r="I1386" s="52" t="str">
        <v>Survey ID:</v>
      </c>
      <c r="J1386" s="1045" t="str">
        <v/>
      </c>
      <c r="L1386" s="676" t="s">
        <v>432</v>
      </c>
      <c r="X1386" s="664" t="s">
        <v>432</v>
      </c>
    </row>
    <row r="1387" spans="1:35" ht="11.25" customHeight="1">
      <c r="A1387" s="611">
        <v>1</v>
      </c>
      <c r="B1387" s="1"/>
      <c r="C1387" s="1"/>
      <c r="D1387" s="1"/>
      <c r="E1387" s="1"/>
      <c r="F1387" s="1"/>
      <c r="G1387" s="1"/>
      <c r="H1387" s="1"/>
      <c r="I1387" s="1"/>
      <c r="J1387" s="1"/>
      <c r="K1387" s="131" t="str">
        <f>$F$2</f>
        <v>Medical University of South Carolina</v>
      </c>
      <c r="L1387" s="676" t="s">
        <v>432</v>
      </c>
      <c r="M1387" s="1"/>
      <c r="N1387" s="1"/>
      <c r="O1387" s="1"/>
      <c r="P1387" s="1"/>
      <c r="Q1387" s="1"/>
      <c r="R1387" s="1"/>
      <c r="S1387" s="1"/>
      <c r="T1387" s="1"/>
      <c r="U1387" s="1"/>
      <c r="V1387" s="1"/>
      <c r="W1387" s="131" t="str">
        <f>$F$2</f>
        <v>Medical University of South Carolina</v>
      </c>
      <c r="X1387" s="664" t="s">
        <v>432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432</v>
      </c>
      <c r="M1388" s="1"/>
      <c r="N1388" s="1"/>
      <c r="O1388" s="1"/>
      <c r="P1388" s="1"/>
      <c r="Q1388" s="82" t="str">
        <f>$F$464</f>
        <v>Measurement Data</v>
      </c>
      <c r="R1388" s="1"/>
      <c r="S1388" s="1"/>
      <c r="T1388" s="1"/>
      <c r="U1388" s="1"/>
      <c r="V1388" s="1"/>
      <c r="W1388" s="132" t="str">
        <f>$F$5</f>
        <v>Radiographic System Compliance Inspection</v>
      </c>
      <c r="X1388" s="664" t="s">
        <v>432</v>
      </c>
    </row>
    <row r="1389" spans="1:35" ht="11.25" customHeight="1" thickTop="1" thickBot="1">
      <c r="A1389" s="611">
        <v>3</v>
      </c>
      <c r="B1389" s="982" t="s">
        <v>265</v>
      </c>
      <c r="C1389" s="62"/>
      <c r="D1389" s="298"/>
      <c r="E1389" s="298" t="s">
        <v>268</v>
      </c>
      <c r="F1389" s="298" t="s">
        <v>691</v>
      </c>
      <c r="G1389" s="298"/>
      <c r="H1389" s="298"/>
      <c r="I1389" s="62"/>
      <c r="J1389" s="62"/>
      <c r="K1389" s="80"/>
      <c r="L1389" s="676" t="s">
        <v>432</v>
      </c>
      <c r="M1389" s="1"/>
      <c r="N1389" s="1"/>
      <c r="O1389" s="1"/>
      <c r="P1389" s="1"/>
      <c r="Q1389" s="1"/>
      <c r="R1389" s="1"/>
      <c r="S1389" s="1"/>
      <c r="T1389" s="1"/>
      <c r="U1389" s="1"/>
      <c r="V1389" s="1"/>
      <c r="W1389" s="1"/>
      <c r="X1389" s="664" t="s">
        <v>432</v>
      </c>
    </row>
    <row r="1390" spans="1:35" ht="11.25" customHeight="1" thickTop="1">
      <c r="A1390" s="611">
        <v>4</v>
      </c>
      <c r="B1390" s="127"/>
      <c r="D1390" s="1"/>
      <c r="E1390" s="13" t="s">
        <v>1081</v>
      </c>
      <c r="F1390" s="1" t="s">
        <v>1081</v>
      </c>
      <c r="G1390" s="1"/>
      <c r="H1390" s="1"/>
      <c r="I1390" s="37"/>
      <c r="J1390" s="1"/>
      <c r="K1390" s="71"/>
      <c r="L1390" s="676" t="s">
        <v>432</v>
      </c>
      <c r="M1390" s="79"/>
      <c r="N1390" s="62"/>
      <c r="O1390" s="62"/>
      <c r="P1390" s="62"/>
      <c r="Q1390" s="62"/>
      <c r="R1390" s="62"/>
      <c r="S1390" s="62"/>
      <c r="T1390" s="62"/>
      <c r="U1390" s="62"/>
      <c r="V1390" s="62"/>
      <c r="W1390" s="80"/>
      <c r="X1390" s="664" t="s">
        <v>432</v>
      </c>
    </row>
    <row r="1391" spans="1:35" ht="11.25" customHeight="1">
      <c r="A1391" s="611">
        <v>5</v>
      </c>
      <c r="B1391" s="127"/>
      <c r="D1391" s="4" t="s">
        <v>268</v>
      </c>
      <c r="E1391" s="301" t="s">
        <v>272</v>
      </c>
      <c r="F1391" s="306" t="s">
        <v>272</v>
      </c>
      <c r="G1391" s="1"/>
      <c r="H1391" s="12"/>
      <c r="K1391" s="71"/>
      <c r="L1391" s="676" t="s">
        <v>432</v>
      </c>
      <c r="M1391" s="191" t="s">
        <v>265</v>
      </c>
      <c r="N1391" s="109"/>
      <c r="O1391" s="109"/>
      <c r="Q1391" s="51"/>
      <c r="S1391" s="51" t="s">
        <v>266</v>
      </c>
      <c r="U1391" s="51" t="s">
        <v>267</v>
      </c>
      <c r="W1391" s="310"/>
      <c r="X1391" s="664" t="s">
        <v>432</v>
      </c>
      <c r="Y1391" s="802" t="s">
        <v>331</v>
      </c>
      <c r="AI1391" s="802" t="s">
        <v>331</v>
      </c>
    </row>
    <row r="1392" spans="1:35" ht="11.25" customHeight="1">
      <c r="A1392" s="611">
        <v>6</v>
      </c>
      <c r="B1392" s="127"/>
      <c r="D1392" s="4" t="s">
        <v>275</v>
      </c>
      <c r="E1392" s="13" t="s">
        <v>486</v>
      </c>
      <c r="F1392" s="1" t="s">
        <v>486</v>
      </c>
      <c r="G1392" s="1" t="s">
        <v>585</v>
      </c>
      <c r="H1392" s="12"/>
      <c r="K1392" s="71"/>
      <c r="L1392" s="676" t="s">
        <v>432</v>
      </c>
      <c r="M1392" s="127"/>
      <c r="R1392" s="1" t="s">
        <v>268</v>
      </c>
      <c r="S1392" s="303" t="s">
        <v>691</v>
      </c>
      <c r="U1392" s="303" t="s">
        <v>691</v>
      </c>
      <c r="V1392" s="303" t="s">
        <v>267</v>
      </c>
      <c r="W1392" s="311" t="s">
        <v>267</v>
      </c>
      <c r="X1392" s="664" t="s">
        <v>432</v>
      </c>
      <c r="Y1392" s="303" t="s">
        <v>268</v>
      </c>
      <c r="AH1392" s="311" t="s">
        <v>267</v>
      </c>
      <c r="AI1392" s="303" t="s">
        <v>268</v>
      </c>
    </row>
    <row r="1393" spans="1:35" ht="11.25" customHeight="1" thickBot="1">
      <c r="A1393" s="611">
        <v>7</v>
      </c>
      <c r="B1393" s="127"/>
      <c r="D1393" s="27" t="s">
        <v>486</v>
      </c>
      <c r="E1393" s="33" t="s">
        <v>279</v>
      </c>
      <c r="F1393" s="33" t="s">
        <v>279</v>
      </c>
      <c r="G1393" s="5" t="s">
        <v>280</v>
      </c>
      <c r="H1393" s="27" t="s">
        <v>652</v>
      </c>
      <c r="K1393" s="71"/>
      <c r="L1393" s="676" t="s">
        <v>432</v>
      </c>
      <c r="M1393" s="110" t="s">
        <v>269</v>
      </c>
      <c r="N1393" s="128"/>
      <c r="O1393" s="309"/>
      <c r="P1393" s="165" t="s">
        <v>270</v>
      </c>
      <c r="Q1393" s="128"/>
      <c r="R1393" s="13" t="s">
        <v>1081</v>
      </c>
      <c r="S1393" s="303" t="s">
        <v>1081</v>
      </c>
      <c r="U1393" s="303" t="s">
        <v>1081</v>
      </c>
      <c r="V1393" s="303" t="s">
        <v>271</v>
      </c>
      <c r="W1393" s="311" t="s">
        <v>268</v>
      </c>
      <c r="X1393" s="664" t="s">
        <v>432</v>
      </c>
      <c r="Y1393" s="303" t="s">
        <v>1081</v>
      </c>
      <c r="AH1393" s="311" t="s">
        <v>268</v>
      </c>
      <c r="AI1393" s="303" t="s">
        <v>1081</v>
      </c>
    </row>
    <row r="1394" spans="1:35" ht="11.25" customHeight="1">
      <c r="A1394" s="611">
        <v>8</v>
      </c>
      <c r="B1394" s="127"/>
      <c r="D1394" s="217" t="str">
        <f>IF(P1397="","",P1397)</f>
        <v/>
      </c>
      <c r="E1394" s="1098" t="str">
        <f>IF(R1397="","",R1397)</f>
        <v/>
      </c>
      <c r="F1394" s="1098" t="str">
        <f t="shared" ref="F1394:F1401" si="168">IF(OR(D1394="",S1397=""),"",S1397)</f>
        <v/>
      </c>
      <c r="G1394" s="177" t="str">
        <f t="shared" ref="G1394:G1401" si="169">IF(OR(E1394="",F1394=""),"",(E1394-F1394)/F1394)</f>
        <v/>
      </c>
      <c r="H1394" s="118" t="str">
        <f>IF(OR(E1394="",F1394=""),"",IF(ABS(G1394)&gt;0.25,"NO","YES"))</f>
        <v/>
      </c>
      <c r="K1394" s="71"/>
      <c r="L1394" s="676" t="s">
        <v>432</v>
      </c>
      <c r="M1394" s="213" t="s">
        <v>273</v>
      </c>
      <c r="N1394" s="807" t="str">
        <f>IF(OR(AB188=0,AB188=""),"",AB188)</f>
        <v/>
      </c>
      <c r="O1394" s="307"/>
      <c r="P1394" s="54" t="str">
        <f>"SDD ("&amp;LFSDD&amp;"):"</f>
        <v>SDD (cm):</v>
      </c>
      <c r="Q1394" s="355">
        <f>IF($N$694="","",$N$694)</f>
        <v>100</v>
      </c>
      <c r="R1394" s="301" t="s">
        <v>272</v>
      </c>
      <c r="S1394" s="304" t="s">
        <v>272</v>
      </c>
      <c r="U1394" s="303" t="s">
        <v>274</v>
      </c>
      <c r="V1394" s="303" t="s">
        <v>691</v>
      </c>
      <c r="W1394" s="311" t="s">
        <v>588</v>
      </c>
      <c r="X1394" s="664" t="s">
        <v>432</v>
      </c>
      <c r="Y1394" s="303" t="s">
        <v>272</v>
      </c>
      <c r="AH1394" s="311" t="s">
        <v>588</v>
      </c>
      <c r="AI1394" s="303" t="s">
        <v>272</v>
      </c>
    </row>
    <row r="1395" spans="1:35" ht="11.25" customHeight="1">
      <c r="A1395" s="611">
        <v>9</v>
      </c>
      <c r="B1395" s="127"/>
      <c r="D1395" s="217" t="str">
        <f t="shared" ref="D1395:D1401" si="170">IF(OR(P1398="",P1398=P1397),"",P1398)</f>
        <v/>
      </c>
      <c r="E1395" s="1098" t="str">
        <f t="shared" ref="E1395:E1401" si="171">IF(R1398=R1397,"",R1398)</f>
        <v/>
      </c>
      <c r="F1395" s="1098" t="str">
        <f t="shared" si="168"/>
        <v/>
      </c>
      <c r="G1395" s="177" t="str">
        <f t="shared" si="169"/>
        <v/>
      </c>
      <c r="H1395" s="118" t="str">
        <f t="shared" ref="H1395:H1401" si="172">IF(H1394="TBD","TBD",IF(OR(E1395="",F1395=""),"",IF(ABS(G1395)&gt;0.25,"NO","YES")))</f>
        <v/>
      </c>
      <c r="K1395" s="71"/>
      <c r="L1395" s="676" t="s">
        <v>432</v>
      </c>
      <c r="M1395" s="127"/>
      <c r="N1395" s="1" t="s">
        <v>1081</v>
      </c>
      <c r="O1395" s="307" t="s">
        <v>1081</v>
      </c>
      <c r="P1395" s="29"/>
      <c r="Q1395" s="12" t="s">
        <v>1081</v>
      </c>
      <c r="R1395" s="13" t="s">
        <v>486</v>
      </c>
      <c r="S1395" s="303" t="s">
        <v>276</v>
      </c>
      <c r="U1395" s="303" t="s">
        <v>277</v>
      </c>
      <c r="V1395" s="303" t="s">
        <v>278</v>
      </c>
      <c r="W1395" s="311" t="s">
        <v>278</v>
      </c>
      <c r="X1395" s="664" t="s">
        <v>432</v>
      </c>
      <c r="Y1395" s="303" t="s">
        <v>486</v>
      </c>
      <c r="AH1395" s="311" t="s">
        <v>278</v>
      </c>
      <c r="AI1395" s="303" t="s">
        <v>486</v>
      </c>
    </row>
    <row r="1396" spans="1:35" ht="11.25" customHeight="1" thickBot="1">
      <c r="A1396" s="611">
        <v>10</v>
      </c>
      <c r="B1396" s="127"/>
      <c r="D1396" s="217" t="str">
        <f t="shared" si="170"/>
        <v/>
      </c>
      <c r="E1396" s="1098" t="str">
        <f t="shared" si="171"/>
        <v/>
      </c>
      <c r="F1396" s="1098" t="str">
        <f t="shared" si="168"/>
        <v/>
      </c>
      <c r="G1396" s="177" t="str">
        <f t="shared" si="169"/>
        <v/>
      </c>
      <c r="H1396" s="118" t="str">
        <f t="shared" si="172"/>
        <v/>
      </c>
      <c r="K1396" s="71"/>
      <c r="L1396" s="676" t="s">
        <v>432</v>
      </c>
      <c r="M1396" s="162" t="s">
        <v>486</v>
      </c>
      <c r="N1396" s="33" t="s">
        <v>281</v>
      </c>
      <c r="O1396" s="308" t="s">
        <v>279</v>
      </c>
      <c r="P1396" s="206" t="s">
        <v>87</v>
      </c>
      <c r="Q1396" s="33" t="s">
        <v>281</v>
      </c>
      <c r="R1396" s="33" t="s">
        <v>279</v>
      </c>
      <c r="S1396" s="305" t="s">
        <v>279</v>
      </c>
      <c r="U1396" s="250" t="s">
        <v>1082</v>
      </c>
      <c r="V1396" s="250" t="s">
        <v>282</v>
      </c>
      <c r="W1396" s="253" t="s">
        <v>282</v>
      </c>
      <c r="X1396" s="664" t="s">
        <v>432</v>
      </c>
      <c r="Y1396" s="250" t="s">
        <v>279</v>
      </c>
      <c r="AH1396" s="311" t="s">
        <v>282</v>
      </c>
      <c r="AI1396" s="303" t="s">
        <v>279</v>
      </c>
    </row>
    <row r="1397" spans="1:35" ht="11.25" customHeight="1">
      <c r="A1397" s="611">
        <v>11</v>
      </c>
      <c r="B1397" s="127"/>
      <c r="D1397" s="217" t="str">
        <f t="shared" si="170"/>
        <v/>
      </c>
      <c r="E1397" s="1098" t="str">
        <f t="shared" si="171"/>
        <v/>
      </c>
      <c r="F1397" s="1098" t="str">
        <f t="shared" si="168"/>
        <v/>
      </c>
      <c r="G1397" s="177" t="str">
        <f t="shared" si="169"/>
        <v/>
      </c>
      <c r="H1397" s="118" t="str">
        <f t="shared" si="172"/>
        <v/>
      </c>
      <c r="K1397" s="71"/>
      <c r="L1397" s="676" t="s">
        <v>432</v>
      </c>
      <c r="M1397" s="831" t="str">
        <f t="shared" ref="M1397:M1404" si="173">IF(OR(AB190=0,AB190=""),"",AB190)</f>
        <v/>
      </c>
      <c r="N1397" s="1099" t="str">
        <f t="shared" ref="N1397:N1404" si="174">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432</v>
      </c>
      <c r="Y1397" s="798" t="str">
        <f t="shared" ref="Y1397:Y1404" si="175">IF(R1397="","",LN(R1397))</f>
        <v/>
      </c>
      <c r="AH1397" s="660" t="str">
        <f>W1397</f>
        <v/>
      </c>
      <c r="AI1397" s="660" t="str">
        <f>Y1397</f>
        <v/>
      </c>
    </row>
    <row r="1398" spans="1:35" ht="11.25" customHeight="1">
      <c r="A1398" s="611">
        <v>12</v>
      </c>
      <c r="B1398" s="127"/>
      <c r="D1398" s="217" t="str">
        <f t="shared" si="170"/>
        <v/>
      </c>
      <c r="E1398" s="1098" t="str">
        <f t="shared" si="171"/>
        <v/>
      </c>
      <c r="F1398" s="1098" t="str">
        <f t="shared" si="168"/>
        <v/>
      </c>
      <c r="G1398" s="177" t="str">
        <f t="shared" si="169"/>
        <v/>
      </c>
      <c r="H1398" s="118" t="str">
        <f t="shared" si="172"/>
        <v/>
      </c>
      <c r="K1398" s="71"/>
      <c r="L1398" s="676" t="s">
        <v>432</v>
      </c>
      <c r="M1398" s="831" t="str">
        <f t="shared" si="173"/>
        <v/>
      </c>
      <c r="N1398" s="1099" t="str">
        <f t="shared" si="174"/>
        <v/>
      </c>
      <c r="O1398" s="1101" t="str">
        <f>IF(OR(M1398=0,M1398="",N1398=0,N1398="",$N$1394=0,$N$1394=""),O1397,N1398*($N$1394/40)^2)</f>
        <v/>
      </c>
      <c r="P1398" s="797" t="str">
        <f>IF(U695="",P1397,U695)</f>
        <v/>
      </c>
      <c r="Q1398" s="794" t="str">
        <f>IF(OR(AND(LFMAS="",SFMAS=""),R695="",R695=0,W695=""),Q1397,IF(LFMAS="mAs",W695/R695,IF(OR(S695="",S695=0),"",W695/(R695*S695))))</f>
        <v/>
      </c>
      <c r="R1398" s="795" t="str">
        <f t="shared" ref="R1398:R1404" si="176">IF(Q1398="","",IF(LFSDD="in.",Q1398*($Q$1394/40)^2,Q1398*(($Q$1394/2.54)/40)^2))</f>
        <v/>
      </c>
      <c r="S1398" s="796" t="str">
        <v/>
      </c>
      <c r="T1398" s="49"/>
      <c r="U1398" s="798" t="str">
        <f t="shared" ref="U1398:U1404" si="177">IF(O1398="",U1397,LN(O1398))</f>
        <v/>
      </c>
      <c r="V1398" s="799" t="str">
        <f t="shared" ref="V1398:V1404" si="178">IF(M1398="",V1397,LN(M1398))</f>
        <v/>
      </c>
      <c r="W1398" s="800" t="str">
        <f t="shared" ref="W1398:W1404" si="179">IF(P1398="",W1397,LN(P1398))</f>
        <v/>
      </c>
      <c r="X1398" s="664" t="s">
        <v>432</v>
      </c>
      <c r="Y1398" s="798" t="str">
        <f t="shared" si="175"/>
        <v/>
      </c>
      <c r="AH1398" s="660" t="str">
        <f t="shared" ref="AH1398:AH1404" si="180">W1398</f>
        <v/>
      </c>
      <c r="AI1398" s="660" t="str">
        <f t="shared" ref="AI1398:AI1404" si="181">Y1398</f>
        <v/>
      </c>
    </row>
    <row r="1399" spans="1:35" ht="11.25" customHeight="1">
      <c r="A1399" s="611">
        <v>13</v>
      </c>
      <c r="B1399" s="127"/>
      <c r="D1399" s="217" t="str">
        <f t="shared" si="170"/>
        <v/>
      </c>
      <c r="E1399" s="1098" t="str">
        <f t="shared" si="171"/>
        <v/>
      </c>
      <c r="F1399" s="1098" t="str">
        <f t="shared" si="168"/>
        <v/>
      </c>
      <c r="G1399" s="177" t="str">
        <f t="shared" si="169"/>
        <v/>
      </c>
      <c r="H1399" s="118" t="str">
        <f t="shared" si="172"/>
        <v/>
      </c>
      <c r="K1399" s="71"/>
      <c r="L1399" s="676" t="s">
        <v>432</v>
      </c>
      <c r="M1399" s="831" t="str">
        <f t="shared" si="173"/>
        <v/>
      </c>
      <c r="N1399" s="1099" t="str">
        <f t="shared" si="174"/>
        <v/>
      </c>
      <c r="O1399" s="1101" t="str">
        <f t="shared" ref="O1399:O1404" si="182">IF(OR(M1399=0,M1399="",N1399=0,N1399="",$N$1394=0,$N$1394=""),O1398,N1399*($N$1394/40)^2)</f>
        <v/>
      </c>
      <c r="P1399" s="797" t="str">
        <f t="shared" ref="P1399:P1404" si="183">IF(U696="",P1398,U696)</f>
        <v/>
      </c>
      <c r="Q1399" s="794" t="str">
        <f t="shared" ref="Q1399:Q1404" si="184">IF(OR(AND(LFMAS="",SFMAS=""),R696="",R696=0,W696=""),Q1398,IF(LFMAS="mAs",W696/R696,IF(OR(S696="",S696=0),"",W696/(R696*S696))))</f>
        <v/>
      </c>
      <c r="R1399" s="795" t="str">
        <f t="shared" si="176"/>
        <v/>
      </c>
      <c r="S1399" s="796" t="str">
        <v/>
      </c>
      <c r="T1399" s="49"/>
      <c r="U1399" s="798" t="str">
        <f t="shared" si="177"/>
        <v/>
      </c>
      <c r="V1399" s="799" t="str">
        <f t="shared" si="178"/>
        <v/>
      </c>
      <c r="W1399" s="800" t="str">
        <f t="shared" si="179"/>
        <v/>
      </c>
      <c r="X1399" s="664" t="s">
        <v>432</v>
      </c>
      <c r="Y1399" s="798" t="str">
        <f t="shared" si="175"/>
        <v/>
      </c>
      <c r="AH1399" s="660" t="str">
        <f t="shared" si="180"/>
        <v/>
      </c>
      <c r="AI1399" s="660" t="str">
        <f t="shared" si="181"/>
        <v/>
      </c>
    </row>
    <row r="1400" spans="1:35" ht="11.25" customHeight="1" thickBot="1">
      <c r="A1400" s="611">
        <v>14</v>
      </c>
      <c r="B1400" s="127"/>
      <c r="D1400" s="217" t="str">
        <f t="shared" si="170"/>
        <v/>
      </c>
      <c r="E1400" s="1098" t="str">
        <f t="shared" si="171"/>
        <v/>
      </c>
      <c r="F1400" s="1098" t="str">
        <f t="shared" si="168"/>
        <v/>
      </c>
      <c r="G1400" s="177" t="str">
        <f t="shared" si="169"/>
        <v/>
      </c>
      <c r="H1400" s="118" t="str">
        <f t="shared" si="172"/>
        <v/>
      </c>
      <c r="K1400" s="71"/>
      <c r="L1400" s="676" t="s">
        <v>432</v>
      </c>
      <c r="M1400" s="831" t="str">
        <f t="shared" si="173"/>
        <v/>
      </c>
      <c r="N1400" s="1099" t="str">
        <f t="shared" si="174"/>
        <v/>
      </c>
      <c r="O1400" s="1101" t="str">
        <f t="shared" si="182"/>
        <v/>
      </c>
      <c r="P1400" s="797" t="str">
        <f t="shared" si="183"/>
        <v/>
      </c>
      <c r="Q1400" s="794" t="str">
        <f t="shared" si="184"/>
        <v/>
      </c>
      <c r="R1400" s="795" t="str">
        <f t="shared" si="176"/>
        <v/>
      </c>
      <c r="S1400" s="796" t="str">
        <v/>
      </c>
      <c r="T1400" s="49"/>
      <c r="U1400" s="798" t="str">
        <f t="shared" si="177"/>
        <v/>
      </c>
      <c r="V1400" s="799" t="str">
        <f t="shared" si="178"/>
        <v/>
      </c>
      <c r="W1400" s="800" t="str">
        <f t="shared" si="179"/>
        <v/>
      </c>
      <c r="X1400" s="664" t="s">
        <v>432</v>
      </c>
      <c r="Y1400" s="798" t="str">
        <f t="shared" si="175"/>
        <v/>
      </c>
      <c r="AH1400" s="660" t="str">
        <f t="shared" si="180"/>
        <v/>
      </c>
      <c r="AI1400" s="660" t="str">
        <f t="shared" si="181"/>
        <v/>
      </c>
    </row>
    <row r="1401" spans="1:35" ht="11.25" customHeight="1" thickBot="1">
      <c r="A1401" s="611">
        <v>15</v>
      </c>
      <c r="B1401" s="127"/>
      <c r="D1401" s="217" t="str">
        <f t="shared" si="170"/>
        <v/>
      </c>
      <c r="E1401" s="1098" t="str">
        <f t="shared" si="171"/>
        <v/>
      </c>
      <c r="F1401" s="1098" t="str">
        <f t="shared" si="168"/>
        <v/>
      </c>
      <c r="G1401" s="177" t="str">
        <f t="shared" si="169"/>
        <v/>
      </c>
      <c r="H1401" s="118" t="str">
        <f t="shared" si="172"/>
        <v/>
      </c>
      <c r="I1401" s="258" t="s">
        <v>590</v>
      </c>
      <c r="J1401" s="141" t="str">
        <f>V1406</f>
        <v>NA</v>
      </c>
      <c r="K1401" s="71"/>
      <c r="L1401" s="676" t="s">
        <v>432</v>
      </c>
      <c r="M1401" s="831" t="str">
        <f t="shared" si="173"/>
        <v/>
      </c>
      <c r="N1401" s="1099" t="str">
        <f t="shared" si="174"/>
        <v/>
      </c>
      <c r="O1401" s="1101" t="str">
        <f t="shared" si="182"/>
        <v/>
      </c>
      <c r="P1401" s="797" t="str">
        <f t="shared" si="183"/>
        <v/>
      </c>
      <c r="Q1401" s="794" t="str">
        <f t="shared" si="184"/>
        <v/>
      </c>
      <c r="R1401" s="795" t="str">
        <f t="shared" si="176"/>
        <v/>
      </c>
      <c r="S1401" s="796" t="str">
        <v/>
      </c>
      <c r="T1401" s="49"/>
      <c r="U1401" s="798" t="str">
        <f t="shared" si="177"/>
        <v/>
      </c>
      <c r="V1401" s="799" t="str">
        <f t="shared" si="178"/>
        <v/>
      </c>
      <c r="W1401" s="800" t="str">
        <f t="shared" si="179"/>
        <v/>
      </c>
      <c r="X1401" s="664" t="s">
        <v>432</v>
      </c>
      <c r="Y1401" s="798" t="str">
        <f t="shared" si="175"/>
        <v/>
      </c>
      <c r="AH1401" s="660" t="str">
        <f t="shared" si="180"/>
        <v/>
      </c>
      <c r="AI1401" s="660" t="str">
        <f t="shared" si="181"/>
        <v/>
      </c>
    </row>
    <row r="1402" spans="1:35" ht="11.25" customHeight="1">
      <c r="A1402" s="611">
        <v>16</v>
      </c>
      <c r="B1402" s="191" t="s">
        <v>284</v>
      </c>
      <c r="E1402" s="1" t="s">
        <v>268</v>
      </c>
      <c r="F1402" s="1" t="s">
        <v>691</v>
      </c>
      <c r="I1402" s="1"/>
      <c r="K1402" s="71"/>
      <c r="L1402" s="676" t="s">
        <v>432</v>
      </c>
      <c r="M1402" s="831" t="str">
        <f t="shared" si="173"/>
        <v/>
      </c>
      <c r="N1402" s="1099" t="str">
        <f t="shared" si="174"/>
        <v/>
      </c>
      <c r="O1402" s="1101" t="str">
        <f t="shared" si="182"/>
        <v/>
      </c>
      <c r="P1402" s="797" t="str">
        <f t="shared" si="183"/>
        <v/>
      </c>
      <c r="Q1402" s="794" t="str">
        <f t="shared" si="184"/>
        <v/>
      </c>
      <c r="R1402" s="795" t="str">
        <f t="shared" si="176"/>
        <v/>
      </c>
      <c r="S1402" s="796" t="str">
        <v/>
      </c>
      <c r="T1402" s="49"/>
      <c r="U1402" s="798" t="str">
        <f t="shared" si="177"/>
        <v/>
      </c>
      <c r="V1402" s="799" t="str">
        <f t="shared" si="178"/>
        <v/>
      </c>
      <c r="W1402" s="800" t="str">
        <f t="shared" si="179"/>
        <v/>
      </c>
      <c r="X1402" s="664" t="s">
        <v>432</v>
      </c>
      <c r="Y1402" s="798" t="str">
        <f t="shared" si="175"/>
        <v/>
      </c>
      <c r="AH1402" s="660" t="str">
        <f t="shared" si="180"/>
        <v/>
      </c>
      <c r="AI1402" s="660" t="str">
        <f t="shared" si="181"/>
        <v/>
      </c>
    </row>
    <row r="1403" spans="1:35" ht="11.25" customHeight="1">
      <c r="A1403" s="611">
        <v>17</v>
      </c>
      <c r="B1403" s="127"/>
      <c r="E1403" s="13" t="s">
        <v>1081</v>
      </c>
      <c r="F1403" s="1" t="s">
        <v>1081</v>
      </c>
      <c r="K1403" s="71"/>
      <c r="L1403" s="676" t="s">
        <v>432</v>
      </c>
      <c r="M1403" s="831" t="str">
        <f t="shared" si="173"/>
        <v/>
      </c>
      <c r="N1403" s="1099" t="str">
        <f t="shared" si="174"/>
        <v/>
      </c>
      <c r="O1403" s="1101" t="str">
        <f t="shared" si="182"/>
        <v/>
      </c>
      <c r="P1403" s="797" t="str">
        <f t="shared" si="183"/>
        <v/>
      </c>
      <c r="Q1403" s="794" t="str">
        <f t="shared" si="184"/>
        <v/>
      </c>
      <c r="R1403" s="795" t="str">
        <f t="shared" si="176"/>
        <v/>
      </c>
      <c r="S1403" s="796" t="str">
        <v/>
      </c>
      <c r="T1403" s="49"/>
      <c r="U1403" s="798" t="str">
        <f t="shared" si="177"/>
        <v/>
      </c>
      <c r="V1403" s="799" t="str">
        <f t="shared" si="178"/>
        <v/>
      </c>
      <c r="W1403" s="800" t="str">
        <f t="shared" si="179"/>
        <v/>
      </c>
      <c r="X1403" s="664" t="s">
        <v>432</v>
      </c>
      <c r="Y1403" s="798" t="str">
        <f t="shared" si="175"/>
        <v/>
      </c>
      <c r="AH1403" s="660" t="str">
        <f t="shared" si="180"/>
        <v/>
      </c>
      <c r="AI1403" s="660" t="str">
        <f t="shared" si="181"/>
        <v/>
      </c>
    </row>
    <row r="1404" spans="1:35" ht="11.25" customHeight="1" thickBot="1">
      <c r="A1404" s="611">
        <v>18</v>
      </c>
      <c r="B1404" s="127"/>
      <c r="D1404" s="4" t="s">
        <v>268</v>
      </c>
      <c r="E1404" s="301" t="s">
        <v>272</v>
      </c>
      <c r="F1404" s="306" t="s">
        <v>272</v>
      </c>
      <c r="H1404" s="12"/>
      <c r="K1404" s="71"/>
      <c r="L1404" s="676" t="s">
        <v>432</v>
      </c>
      <c r="M1404" s="1010" t="str">
        <f t="shared" si="173"/>
        <v/>
      </c>
      <c r="N1404" s="1102" t="str">
        <f t="shared" si="174"/>
        <v/>
      </c>
      <c r="O1404" s="1103" t="str">
        <f t="shared" si="182"/>
        <v/>
      </c>
      <c r="P1404" s="1011" t="str">
        <f t="shared" si="183"/>
        <v/>
      </c>
      <c r="Q1404" s="1012" t="str">
        <f t="shared" si="184"/>
        <v/>
      </c>
      <c r="R1404" s="1012" t="str">
        <f t="shared" si="176"/>
        <v/>
      </c>
      <c r="S1404" s="1013" t="str">
        <v/>
      </c>
      <c r="T1404" s="49"/>
      <c r="U1404" s="798" t="str">
        <f t="shared" si="177"/>
        <v/>
      </c>
      <c r="V1404" s="799" t="str">
        <f t="shared" si="178"/>
        <v/>
      </c>
      <c r="W1404" s="800" t="str">
        <f t="shared" si="179"/>
        <v/>
      </c>
      <c r="X1404" s="664" t="s">
        <v>432</v>
      </c>
      <c r="Y1404" s="798" t="str">
        <f t="shared" si="175"/>
        <v/>
      </c>
      <c r="AH1404" s="660" t="str">
        <f t="shared" si="180"/>
        <v/>
      </c>
      <c r="AI1404" s="660" t="str">
        <f t="shared" si="181"/>
        <v/>
      </c>
    </row>
    <row r="1405" spans="1:35" ht="11.25" customHeight="1" thickBot="1">
      <c r="A1405" s="611">
        <v>19</v>
      </c>
      <c r="B1405" s="127"/>
      <c r="D1405" s="4" t="s">
        <v>275</v>
      </c>
      <c r="E1405" s="13" t="s">
        <v>486</v>
      </c>
      <c r="F1405" s="1" t="s">
        <v>486</v>
      </c>
      <c r="G1405" s="1" t="s">
        <v>585</v>
      </c>
      <c r="H1405" s="12"/>
      <c r="K1405" s="71"/>
      <c r="L1405" s="676" t="s">
        <v>432</v>
      </c>
      <c r="M1405" s="160" t="s">
        <v>283</v>
      </c>
      <c r="N1405" s="1"/>
      <c r="P1405" s="955"/>
      <c r="Q1405" s="1021" t="s">
        <v>1041</v>
      </c>
      <c r="R1405" s="1022" t="s">
        <v>1042</v>
      </c>
      <c r="S1405" s="1023" t="s">
        <v>1043</v>
      </c>
      <c r="W1405" s="71"/>
      <c r="X1405" s="664" t="s">
        <v>432</v>
      </c>
      <c r="AH1405" s="660" t="str">
        <f>W1414</f>
        <v/>
      </c>
      <c r="AI1405" s="660" t="str">
        <f>Y1414</f>
        <v/>
      </c>
    </row>
    <row r="1406" spans="1:35" ht="11.25" customHeight="1" thickBot="1">
      <c r="A1406" s="611">
        <v>20</v>
      </c>
      <c r="B1406" s="127"/>
      <c r="D1406" s="27" t="s">
        <v>486</v>
      </c>
      <c r="E1406" s="33" t="s">
        <v>279</v>
      </c>
      <c r="F1406" s="33" t="s">
        <v>279</v>
      </c>
      <c r="G1406" s="5" t="s">
        <v>280</v>
      </c>
      <c r="H1406" s="27" t="s">
        <v>652</v>
      </c>
      <c r="K1406" s="71"/>
      <c r="L1406" s="676" t="s">
        <v>432</v>
      </c>
      <c r="M1406" s="127"/>
      <c r="Q1406" s="1016" t="str">
        <f>IF(MAX(G1394:G1401)=0,"NA",MAX(G1394:G1401))</f>
        <v>NA</v>
      </c>
      <c r="R1406" s="1017" t="str">
        <f>IF(MAX(G1394:G1401)=0,"NA",MEDIAN(G1394:G1401))</f>
        <v>NA</v>
      </c>
      <c r="S1406" s="1019" t="str">
        <f>IF(MAX(G1394:G1401)=0,"NA",MIN(G1394:G1401))</f>
        <v>NA</v>
      </c>
      <c r="U1406" s="1005" t="s">
        <v>590</v>
      </c>
      <c r="V1406" s="740" t="str">
        <f>IF(MIN(N1397:N1404)=0,"NA",IF(H1394="TBD","TBD",IF(OR(H1394="NO",H1395="NO",H1396="NO",H1397="NO",H1398="NO",H1399="NO",H1400="NO",H1401="NO"),"NO","YES")))</f>
        <v>NA</v>
      </c>
      <c r="W1406" s="71"/>
      <c r="X1406" s="664" t="s">
        <v>432</v>
      </c>
      <c r="AH1406" s="660" t="str">
        <f t="shared" ref="AH1406:AH1410" si="185">W1415</f>
        <v/>
      </c>
      <c r="AI1406" s="660" t="str">
        <f t="shared" ref="AI1406:AI1410" si="186">Y1415</f>
        <v/>
      </c>
    </row>
    <row r="1407" spans="1:35" ht="11.25" customHeight="1" thickBot="1">
      <c r="A1407" s="611">
        <v>21</v>
      </c>
      <c r="B1407" s="127"/>
      <c r="D1407" s="217" t="str">
        <f>IF(P1414="","",P1414)</f>
        <v/>
      </c>
      <c r="E1407" s="1098" t="str">
        <f>IF(R1414="","",R1414)</f>
        <v/>
      </c>
      <c r="F1407" s="1098" t="str">
        <f t="shared" ref="F1407:F1412" si="187">IF(OR(D1407="",S1414=""),"",S1414)</f>
        <v/>
      </c>
      <c r="G1407" s="177" t="str">
        <f t="shared" ref="G1407:G1412" si="188">IF(OR(E1407="",F1407=""),"",(E1407-F1407)/F1407)</f>
        <v/>
      </c>
      <c r="H1407" s="118" t="str">
        <f>IF(OR(E1407="",F1407=""),"",IF(ABS(G1407)&gt;0.25,"NO","YES"))</f>
        <v/>
      </c>
      <c r="I1407" s="49"/>
      <c r="J1407" s="49"/>
      <c r="K1407" s="71"/>
      <c r="L1407" s="676" t="s">
        <v>432</v>
      </c>
      <c r="M1407" s="127"/>
      <c r="O1407" s="302"/>
      <c r="P1407" s="1014" t="s">
        <v>397</v>
      </c>
      <c r="Q1407" s="1015" t="str">
        <f>IF(AB225="","",AB225)</f>
        <v/>
      </c>
      <c r="R1407" s="1018" t="str">
        <f>IF(AB226="","",AB226)</f>
        <v/>
      </c>
      <c r="S1407" s="1020" t="str">
        <f>IF(AB227="","",AB227)</f>
        <v/>
      </c>
      <c r="U1407" s="300"/>
      <c r="W1407" s="71"/>
      <c r="X1407" s="664" t="s">
        <v>432</v>
      </c>
      <c r="AH1407" s="660" t="str">
        <f t="shared" si="185"/>
        <v/>
      </c>
      <c r="AI1407" s="660" t="str">
        <f t="shared" si="186"/>
        <v/>
      </c>
    </row>
    <row r="1408" spans="1:35" ht="11.25" customHeight="1">
      <c r="A1408" s="611">
        <v>22</v>
      </c>
      <c r="B1408" s="127"/>
      <c r="D1408" s="217" t="str">
        <f>IF(OR(P1415="",P1415=P1414),"",P1415)</f>
        <v/>
      </c>
      <c r="E1408" s="1098" t="str">
        <f>IF(R1415=R1414,"",R1415)</f>
        <v/>
      </c>
      <c r="F1408" s="1098" t="str">
        <f t="shared" si="187"/>
        <v/>
      </c>
      <c r="G1408" s="177" t="str">
        <f t="shared" si="188"/>
        <v/>
      </c>
      <c r="H1408" s="118" t="str">
        <f>IF(H1407="TBD","TBD",IF(OR(E1408="",F1408=""),"",IF(ABS(G1408)&gt;0.25,"NO","YES")))</f>
        <v/>
      </c>
      <c r="I1408" s="49"/>
      <c r="J1408" s="49"/>
      <c r="K1408" s="71"/>
      <c r="L1408" s="676" t="s">
        <v>432</v>
      </c>
      <c r="M1408" s="191" t="s">
        <v>284</v>
      </c>
      <c r="N1408" s="109"/>
      <c r="O1408" s="109"/>
      <c r="P1408" s="49"/>
      <c r="S1408" s="51" t="s">
        <v>266</v>
      </c>
      <c r="T1408" s="49"/>
      <c r="U1408" s="51" t="s">
        <v>267</v>
      </c>
      <c r="W1408" s="310"/>
      <c r="X1408" s="664" t="s">
        <v>432</v>
      </c>
      <c r="Y1408" s="802" t="s">
        <v>331</v>
      </c>
      <c r="AH1408" s="660" t="str">
        <f t="shared" si="185"/>
        <v/>
      </c>
      <c r="AI1408" s="660" t="str">
        <f t="shared" si="186"/>
        <v/>
      </c>
    </row>
    <row r="1409" spans="1:35" ht="11.25" customHeight="1">
      <c r="A1409" s="611">
        <v>23</v>
      </c>
      <c r="B1409" s="127"/>
      <c r="D1409" s="217" t="str">
        <f>IF(OR(P1416="",P1416=P1415),"",P1416)</f>
        <v/>
      </c>
      <c r="E1409" s="1098" t="str">
        <f>IF(R1416=R1415,"",R1416)</f>
        <v/>
      </c>
      <c r="F1409" s="1098" t="str">
        <f t="shared" si="187"/>
        <v/>
      </c>
      <c r="G1409" s="177" t="str">
        <f t="shared" si="188"/>
        <v/>
      </c>
      <c r="H1409" s="118" t="str">
        <f>IF(H1408="TBD","TBD",IF(OR(E1409="",F1409=""),"",IF(ABS(G1409)&gt;0.25,"NO","YES")))</f>
        <v/>
      </c>
      <c r="I1409" s="49"/>
      <c r="J1409" s="49"/>
      <c r="K1409" s="71"/>
      <c r="L1409" s="676" t="s">
        <v>432</v>
      </c>
      <c r="M1409" s="127"/>
      <c r="R1409" s="1" t="s">
        <v>268</v>
      </c>
      <c r="S1409" s="303" t="s">
        <v>691</v>
      </c>
      <c r="T1409" s="49"/>
      <c r="U1409" s="303" t="s">
        <v>691</v>
      </c>
      <c r="V1409" s="303" t="s">
        <v>267</v>
      </c>
      <c r="W1409" s="311" t="s">
        <v>267</v>
      </c>
      <c r="X1409" s="664" t="s">
        <v>432</v>
      </c>
      <c r="Y1409" s="303" t="s">
        <v>268</v>
      </c>
      <c r="AH1409" s="660" t="str">
        <f t="shared" si="185"/>
        <v/>
      </c>
      <c r="AI1409" s="660" t="str">
        <f t="shared" si="186"/>
        <v/>
      </c>
    </row>
    <row r="1410" spans="1:35" ht="11.25" customHeight="1">
      <c r="A1410" s="611">
        <v>24</v>
      </c>
      <c r="B1410" s="127"/>
      <c r="D1410" s="217" t="str">
        <f>IF(OR(P1417="",P1417=P1416),"",P1417)</f>
        <v/>
      </c>
      <c r="E1410" s="1098" t="str">
        <f>IF(R1417=R1416,"",R1417)</f>
        <v/>
      </c>
      <c r="F1410" s="1098" t="str">
        <f t="shared" si="187"/>
        <v/>
      </c>
      <c r="G1410" s="177" t="str">
        <f t="shared" si="188"/>
        <v/>
      </c>
      <c r="H1410" s="118" t="str">
        <f>IF(H1409="TBD","TBD",IF(OR(E1410="",F1410=""),"",IF(ABS(G1410)&gt;0.25,"NO","YES")))</f>
        <v/>
      </c>
      <c r="I1410" s="49"/>
      <c r="J1410" s="49"/>
      <c r="K1410" s="71"/>
      <c r="L1410" s="676" t="s">
        <v>432</v>
      </c>
      <c r="M1410" s="110" t="s">
        <v>269</v>
      </c>
      <c r="N1410" s="128"/>
      <c r="O1410" s="53"/>
      <c r="P1410" s="165" t="s">
        <v>270</v>
      </c>
      <c r="Q1410" s="128"/>
      <c r="R1410" s="13" t="s">
        <v>1081</v>
      </c>
      <c r="S1410" s="303" t="s">
        <v>1081</v>
      </c>
      <c r="T1410" s="49"/>
      <c r="U1410" s="303" t="s">
        <v>1081</v>
      </c>
      <c r="V1410" s="303" t="s">
        <v>271</v>
      </c>
      <c r="W1410" s="311" t="s">
        <v>268</v>
      </c>
      <c r="X1410" s="664" t="s">
        <v>432</v>
      </c>
      <c r="Y1410" s="303" t="s">
        <v>1081</v>
      </c>
      <c r="AH1410" s="660" t="str">
        <f t="shared" si="185"/>
        <v/>
      </c>
      <c r="AI1410" s="660" t="str">
        <f t="shared" si="186"/>
        <v/>
      </c>
    </row>
    <row r="1411" spans="1:35" ht="11.25" customHeight="1" thickBot="1">
      <c r="A1411" s="611">
        <v>25</v>
      </c>
      <c r="B1411" s="127"/>
      <c r="D1411" s="217" t="str">
        <f>IF(OR(P1418="",P1418=P1417),"",P1418)</f>
        <v/>
      </c>
      <c r="E1411" s="1098" t="str">
        <f>IF(R1418=R1417,"",R1418)</f>
        <v/>
      </c>
      <c r="F1411" s="1098" t="str">
        <f t="shared" si="187"/>
        <v/>
      </c>
      <c r="G1411" s="177" t="str">
        <f t="shared" si="188"/>
        <v/>
      </c>
      <c r="H1411" s="118" t="str">
        <f>IF(H1410="TBD","TBD",IF(OR(E1411="",F1411=""),"",IF(ABS(G1411)&gt;0.25,"NO","YES")))</f>
        <v/>
      </c>
      <c r="I1411" s="49"/>
      <c r="J1411" s="49"/>
      <c r="K1411" s="71"/>
      <c r="L1411" s="676" t="s">
        <v>432</v>
      </c>
      <c r="M1411" s="213" t="s">
        <v>273</v>
      </c>
      <c r="N1411" s="807" t="str">
        <f>IF(OR(AB209=0,AB209=""),"",AB209)</f>
        <v/>
      </c>
      <c r="O1411" s="1"/>
      <c r="P1411" s="269" t="str">
        <f>"SDD ("&amp;SFSDD&amp;"):"</f>
        <v>SDD (cm):</v>
      </c>
      <c r="Q1411" s="355">
        <f>IF($N$712="","",$N$712)</f>
        <v>100</v>
      </c>
      <c r="R1411" s="301" t="s">
        <v>272</v>
      </c>
      <c r="S1411" s="304" t="s">
        <v>272</v>
      </c>
      <c r="T1411" s="49"/>
      <c r="U1411" s="303" t="s">
        <v>274</v>
      </c>
      <c r="V1411" s="303" t="s">
        <v>691</v>
      </c>
      <c r="W1411" s="311" t="s">
        <v>588</v>
      </c>
      <c r="X1411" s="664" t="s">
        <v>432</v>
      </c>
      <c r="Y1411" s="303" t="s">
        <v>272</v>
      </c>
    </row>
    <row r="1412" spans="1:35" ht="11.25" customHeight="1" thickBot="1">
      <c r="A1412" s="611">
        <v>26</v>
      </c>
      <c r="B1412" s="127"/>
      <c r="D1412" s="217" t="str">
        <f>IF(OR(P1419="",P1419=P1418),"",P1419)</f>
        <v/>
      </c>
      <c r="E1412" s="1098" t="str">
        <f>IF(R1419=R1418,"",R1419)</f>
        <v/>
      </c>
      <c r="F1412" s="1098" t="str">
        <f t="shared" si="187"/>
        <v/>
      </c>
      <c r="G1412" s="177" t="str">
        <f t="shared" si="188"/>
        <v/>
      </c>
      <c r="H1412" s="118" t="str">
        <f>IF(H1411="TBD","TBD",IF(OR(E1412="",F1412=""),"",IF(ABS(G1412)&gt;0.25,"NO","YES")))</f>
        <v/>
      </c>
      <c r="I1412" s="258" t="s">
        <v>590</v>
      </c>
      <c r="J1412" s="141" t="str">
        <f>V1421</f>
        <v>NA</v>
      </c>
      <c r="K1412" s="71"/>
      <c r="L1412" s="676" t="s">
        <v>432</v>
      </c>
      <c r="M1412" s="127"/>
      <c r="N1412" s="1" t="s">
        <v>1081</v>
      </c>
      <c r="O1412" s="1" t="s">
        <v>1081</v>
      </c>
      <c r="P1412" s="29"/>
      <c r="Q1412" s="12" t="s">
        <v>1081</v>
      </c>
      <c r="R1412" s="13" t="s">
        <v>486</v>
      </c>
      <c r="S1412" s="303" t="s">
        <v>276</v>
      </c>
      <c r="T1412" s="49"/>
      <c r="U1412" s="303" t="s">
        <v>277</v>
      </c>
      <c r="V1412" s="303" t="s">
        <v>278</v>
      </c>
      <c r="W1412" s="311" t="s">
        <v>278</v>
      </c>
      <c r="X1412" s="664" t="s">
        <v>432</v>
      </c>
      <c r="Y1412" s="303" t="s">
        <v>486</v>
      </c>
    </row>
    <row r="1413" spans="1:35" ht="11.25" customHeight="1" thickBot="1">
      <c r="A1413" s="611">
        <v>27</v>
      </c>
      <c r="B1413" s="127"/>
      <c r="K1413" s="71"/>
      <c r="L1413" s="676" t="s">
        <v>432</v>
      </c>
      <c r="M1413" s="162" t="s">
        <v>486</v>
      </c>
      <c r="N1413" s="33" t="s">
        <v>281</v>
      </c>
      <c r="O1413" s="361" t="s">
        <v>279</v>
      </c>
      <c r="P1413" s="206" t="s">
        <v>87</v>
      </c>
      <c r="Q1413" s="33" t="s">
        <v>281</v>
      </c>
      <c r="R1413" s="33" t="s">
        <v>279</v>
      </c>
      <c r="S1413" s="305" t="s">
        <v>279</v>
      </c>
      <c r="T1413" s="49"/>
      <c r="U1413" s="250" t="s">
        <v>1082</v>
      </c>
      <c r="V1413" s="250" t="s">
        <v>282</v>
      </c>
      <c r="W1413" s="253" t="s">
        <v>282</v>
      </c>
      <c r="X1413" s="664" t="s">
        <v>432</v>
      </c>
      <c r="Y1413" s="250" t="s">
        <v>279</v>
      </c>
    </row>
    <row r="1414" spans="1:35" ht="11.25" customHeight="1">
      <c r="A1414" s="611">
        <v>28</v>
      </c>
      <c r="B1414" s="127"/>
      <c r="C1414" s="132" t="s">
        <v>591</v>
      </c>
      <c r="D1414" s="100" t="s">
        <v>515</v>
      </c>
      <c r="K1414" s="69"/>
      <c r="L1414" s="676" t="s">
        <v>432</v>
      </c>
      <c r="M1414" s="831" t="str">
        <f t="shared" ref="M1414:M1419" si="189">IF(OR(AB211=0,AB211=""),"",AB211)</f>
        <v/>
      </c>
      <c r="N1414" s="1099" t="str">
        <f t="shared" ref="N1414:N1419" si="190">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432</v>
      </c>
      <c r="Y1414" s="798" t="str">
        <f t="shared" ref="Y1414:Y1419" si="191">IF(R1414="","",LN(R1414))</f>
        <v/>
      </c>
    </row>
    <row r="1415" spans="1:35" ht="11.25" customHeight="1">
      <c r="A1415" s="611">
        <v>29</v>
      </c>
      <c r="B1415" s="102" t="s">
        <v>573</v>
      </c>
      <c r="C1415" s="922" t="str">
        <f>IF(O1422="","",IF(LEN(O1422)&lt;=135,O1422,IF(LEN(O1422)&lt;=260,LEFT(O1422,SEARCH(" ",O1422,125)),LEFT(O1422,SEARCH(" ",O1422,130)))))</f>
        <v/>
      </c>
      <c r="D1415" s="2"/>
      <c r="E1415" s="2"/>
      <c r="F1415" s="2"/>
      <c r="G1415" s="2"/>
      <c r="H1415" s="2"/>
      <c r="I1415" s="2"/>
      <c r="J1415" s="2"/>
      <c r="K1415" s="69"/>
      <c r="L1415" s="676" t="s">
        <v>432</v>
      </c>
      <c r="M1415" s="831" t="str">
        <f t="shared" si="189"/>
        <v/>
      </c>
      <c r="N1415" s="1099" t="str">
        <f t="shared" si="190"/>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432</v>
      </c>
      <c r="Y1415" s="798" t="str">
        <f t="shared" si="191"/>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432</v>
      </c>
      <c r="M1416" s="831" t="str">
        <f t="shared" si="189"/>
        <v/>
      </c>
      <c r="N1416" s="1099" t="str">
        <f t="shared" si="190"/>
        <v/>
      </c>
      <c r="O1416" s="1101" t="str">
        <f>IF(OR(M1416=0,M1416="",N1416=0,N1416="",$N$1411=0,$N$1411=""),O1415,N1416*($N$1411/40)^2)</f>
        <v/>
      </c>
      <c r="P1416" s="1106" t="str">
        <f t="shared" ref="P1416:P1419" si="192">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432</v>
      </c>
      <c r="Y1416" s="798" t="str">
        <f t="shared" si="191"/>
        <v/>
      </c>
    </row>
    <row r="1417" spans="1:35" ht="11.25" customHeight="1">
      <c r="A1417" s="611">
        <v>31</v>
      </c>
      <c r="B1417" s="45"/>
      <c r="C1417" s="922" t="str">
        <f>IF(LEN(O1422)&lt;=265,"",RIGHT(O1422,LEN(O1422)-SEARCH(" ",O1422,255)))</f>
        <v/>
      </c>
      <c r="D1417" s="2"/>
      <c r="E1417" s="2"/>
      <c r="F1417" s="2"/>
      <c r="G1417" s="2"/>
      <c r="H1417" s="2"/>
      <c r="I1417" s="2"/>
      <c r="J1417" s="2"/>
      <c r="K1417" s="69"/>
      <c r="L1417" s="676" t="s">
        <v>432</v>
      </c>
      <c r="M1417" s="831" t="str">
        <f t="shared" si="189"/>
        <v/>
      </c>
      <c r="N1417" s="1099" t="str">
        <f t="shared" si="190"/>
        <v/>
      </c>
      <c r="O1417" s="1101" t="str">
        <f>IF(OR(M1417=0,M1417="",N1417=0,N1417="",$N$1411=0,$N$1411=""),O1416,N1417*($N$1411/40)^2)</f>
        <v/>
      </c>
      <c r="P1417" s="1106" t="str">
        <f t="shared" si="192"/>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432</v>
      </c>
      <c r="Y1417" s="798" t="str">
        <f t="shared" si="191"/>
        <v/>
      </c>
    </row>
    <row r="1418" spans="1:35" ht="11.25" customHeight="1">
      <c r="A1418" s="611">
        <v>32</v>
      </c>
      <c r="B1418" s="127"/>
      <c r="K1418" s="69"/>
      <c r="L1418" s="676" t="s">
        <v>432</v>
      </c>
      <c r="M1418" s="831" t="str">
        <f t="shared" si="189"/>
        <v/>
      </c>
      <c r="N1418" s="1099" t="str">
        <f t="shared" si="190"/>
        <v/>
      </c>
      <c r="O1418" s="1101" t="str">
        <f>IF(OR(M1418=0,M1418="",N1418=0,N1418="",$N$1411=0,$N$1411=""),O1417,N1418*($N$1411/40)^2)</f>
        <v/>
      </c>
      <c r="P1418" s="1106" t="str">
        <f t="shared" si="192"/>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432</v>
      </c>
      <c r="Y1418" s="798" t="str">
        <f t="shared" si="191"/>
        <v/>
      </c>
    </row>
    <row r="1419" spans="1:35" ht="11.25" customHeight="1" thickBot="1">
      <c r="A1419" s="611">
        <v>33</v>
      </c>
      <c r="B1419" s="127"/>
      <c r="C1419" s="1"/>
      <c r="D1419" s="13" t="s">
        <v>287</v>
      </c>
      <c r="H1419" s="1"/>
      <c r="I1419" s="13" t="s">
        <v>288</v>
      </c>
      <c r="K1419" s="69"/>
      <c r="L1419" s="676" t="s">
        <v>432</v>
      </c>
      <c r="M1419" s="831" t="str">
        <f t="shared" si="189"/>
        <v/>
      </c>
      <c r="N1419" s="1099" t="str">
        <f t="shared" si="190"/>
        <v/>
      </c>
      <c r="O1419" s="1101" t="str">
        <f>IF(OR(M1419=0,M1419="",N1419=0,N1419="",$N$1411=0,$N$1411=""),O1418,N1419*($N$1411/40)^2)</f>
        <v/>
      </c>
      <c r="P1419" s="1107" t="str">
        <f t="shared" si="192"/>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432</v>
      </c>
      <c r="Y1419" s="798" t="str">
        <f t="shared" si="191"/>
        <v/>
      </c>
    </row>
    <row r="1420" spans="1:35" ht="11.25" customHeight="1" thickBot="1">
      <c r="A1420" s="611">
        <v>34</v>
      </c>
      <c r="B1420" s="127"/>
      <c r="C1420" s="1"/>
      <c r="D1420" s="4" t="s">
        <v>268</v>
      </c>
      <c r="H1420" s="1"/>
      <c r="I1420" s="13" t="s">
        <v>268</v>
      </c>
      <c r="J1420" s="49"/>
      <c r="K1420" s="71"/>
      <c r="L1420" s="676" t="s">
        <v>432</v>
      </c>
      <c r="M1420" s="160" t="s">
        <v>283</v>
      </c>
      <c r="P1420" s="955"/>
      <c r="Q1420" s="1021" t="s">
        <v>1041</v>
      </c>
      <c r="R1420" s="1022" t="s">
        <v>1042</v>
      </c>
      <c r="S1420" s="1023" t="s">
        <v>1043</v>
      </c>
      <c r="W1420" s="69"/>
      <c r="X1420" s="664" t="s">
        <v>432</v>
      </c>
    </row>
    <row r="1421" spans="1:35" ht="11.25" customHeight="1" thickBot="1">
      <c r="A1421" s="611">
        <v>35</v>
      </c>
      <c r="B1421" s="127"/>
      <c r="C1421" s="1"/>
      <c r="D1421" s="13" t="s">
        <v>1081</v>
      </c>
      <c r="H1421" s="1"/>
      <c r="I1421" s="13" t="s">
        <v>1081</v>
      </c>
      <c r="K1421" s="71"/>
      <c r="L1421" s="676" t="s">
        <v>432</v>
      </c>
      <c r="M1421" s="127"/>
      <c r="Q1421" s="1016" t="str">
        <f>IF(MAX(G1407:G1412)=0,"NA",MAX(G1407:G1412))</f>
        <v>NA</v>
      </c>
      <c r="R1421" s="1017" t="str">
        <f>IF(MAX(G1407:G1412)=0,"NA",MEDIAN(G1407:G1412))</f>
        <v>NA</v>
      </c>
      <c r="S1421" s="1019" t="str">
        <f>IF(MAX(G1407:G1412)=0,"NA",MIN(G1407:G1412))</f>
        <v>NA</v>
      </c>
      <c r="U1421" s="1005" t="s">
        <v>590</v>
      </c>
      <c r="V1421" s="740" t="str">
        <f>IF(MIN(N1414:N1419)=0,"NA",IF(H1407="TBD","TBD",IF(OR(H1407="NO",H1408="NO",H1409="NO",H1410="NO",H1411="NO",H1412="NO"),"NO","YES")))</f>
        <v>NA</v>
      </c>
      <c r="W1421" s="71"/>
      <c r="X1421" s="664" t="s">
        <v>432</v>
      </c>
    </row>
    <row r="1422" spans="1:35" ht="11.25" customHeight="1" thickBot="1">
      <c r="A1422" s="611">
        <v>36</v>
      </c>
      <c r="B1422" s="127"/>
      <c r="C1422" s="27" t="s">
        <v>486</v>
      </c>
      <c r="D1422" s="33" t="s">
        <v>279</v>
      </c>
      <c r="H1422" s="27" t="s">
        <v>486</v>
      </c>
      <c r="I1422" s="33" t="s">
        <v>279</v>
      </c>
      <c r="K1422" s="39"/>
      <c r="L1422" s="676" t="s">
        <v>432</v>
      </c>
      <c r="M1422" s="127"/>
      <c r="N1422" s="54"/>
      <c r="O1422" s="1008" t="str">
        <f>IF(AND(O703="",O719=""),"",IF(AND(O703&lt;&gt;"",O719=""),"Lg. F:  "&amp;O703,IF(AND(O703="",O719&lt;&gt;""),"Sm. F:  "&amp;O719,"Lg. F:  "&amp;O703&amp;";  Sm. F:  "&amp;O719)))</f>
        <v/>
      </c>
      <c r="P1422" s="1014" t="s">
        <v>397</v>
      </c>
      <c r="Q1422" s="1015" t="str">
        <f>IF(AB228="","",AB228)</f>
        <v/>
      </c>
      <c r="R1422" s="1018" t="str">
        <f>IF(AB229="","",AB229)</f>
        <v/>
      </c>
      <c r="S1422" s="1020" t="str">
        <f>IF(AB230="","",AB230)</f>
        <v/>
      </c>
      <c r="T1422" s="1"/>
      <c r="U1422" s="1"/>
      <c r="V1422" s="1"/>
      <c r="W1422" s="39"/>
      <c r="X1422" s="664" t="s">
        <v>432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432</v>
      </c>
      <c r="M1423" s="85"/>
      <c r="N1423" s="3"/>
      <c r="O1423" s="3"/>
      <c r="P1423" s="3"/>
      <c r="S1423" s="3"/>
      <c r="T1423" s="3"/>
      <c r="U1423" s="3"/>
      <c r="V1423" s="3"/>
      <c r="W1423" s="360"/>
      <c r="X1423" s="664" t="s">
        <v>432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432</v>
      </c>
      <c r="M1424" s="202" t="s">
        <v>438</v>
      </c>
      <c r="W1424" s="71"/>
      <c r="X1424" s="664" t="s">
        <v>432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432</v>
      </c>
      <c r="M1425" s="66"/>
      <c r="Q1425" s="99" t="s">
        <v>496</v>
      </c>
      <c r="W1425" s="71"/>
      <c r="X1425" s="664" t="s">
        <v>432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432</v>
      </c>
      <c r="M1426" s="617"/>
      <c r="N1426" s="50"/>
      <c r="O1426" s="50" t="s">
        <v>285</v>
      </c>
      <c r="P1426" s="50"/>
      <c r="Q1426" s="50"/>
      <c r="R1426" s="50"/>
      <c r="S1426" s="50"/>
      <c r="T1426" s="50"/>
      <c r="U1426" s="49"/>
      <c r="V1426" s="49"/>
      <c r="W1426" s="71"/>
      <c r="X1426" s="664" t="s">
        <v>432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432</v>
      </c>
      <c r="M1427" s="617">
        <v>3</v>
      </c>
      <c r="O1427" s="50" t="s">
        <v>1054</v>
      </c>
      <c r="W1427" s="71"/>
      <c r="X1427" s="664" t="s">
        <v>432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432</v>
      </c>
      <c r="M1428" s="617">
        <v>3</v>
      </c>
      <c r="O1428" s="50" t="s">
        <v>1055</v>
      </c>
      <c r="W1428" s="71"/>
      <c r="X1428" s="664" t="s">
        <v>432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432</v>
      </c>
      <c r="M1429" s="617">
        <v>3</v>
      </c>
      <c r="O1429" s="50" t="s">
        <v>1056</v>
      </c>
      <c r="W1429" s="71"/>
      <c r="X1429" s="664" t="s">
        <v>432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432</v>
      </c>
      <c r="M1430" s="617"/>
      <c r="N1430" s="50"/>
      <c r="O1430" s="50" t="s">
        <v>500</v>
      </c>
      <c r="P1430" s="49"/>
      <c r="Q1430" s="49"/>
      <c r="R1430" s="49"/>
      <c r="S1430" s="49"/>
      <c r="T1430" s="49"/>
      <c r="U1430" s="49"/>
      <c r="V1430" s="731" t="s">
        <v>330</v>
      </c>
      <c r="W1430" s="71"/>
      <c r="X1430" s="664" t="s">
        <v>432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432</v>
      </c>
      <c r="M1431" s="617"/>
      <c r="O1431" s="50" t="s">
        <v>286</v>
      </c>
      <c r="V1431" s="730"/>
      <c r="W1431" s="70" t="str">
        <f>IF(Q52=1,"","Half")</f>
        <v>Half</v>
      </c>
      <c r="X1431" s="664" t="s">
        <v>432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432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432</v>
      </c>
    </row>
    <row r="1433" spans="1:24" ht="11.25" customHeight="1">
      <c r="A1433" s="611">
        <v>47</v>
      </c>
      <c r="B1433" s="127"/>
      <c r="I1433" s="306"/>
      <c r="K1433" s="71"/>
      <c r="L1433" s="676" t="s">
        <v>432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432</v>
      </c>
    </row>
    <row r="1434" spans="1:24" ht="11.25" customHeight="1">
      <c r="A1434" s="611">
        <v>48</v>
      </c>
      <c r="B1434" s="127"/>
      <c r="I1434" s="49"/>
      <c r="K1434" s="71"/>
      <c r="L1434" s="676" t="s">
        <v>432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432</v>
      </c>
    </row>
    <row r="1435" spans="1:24" ht="11.25" customHeight="1">
      <c r="A1435" s="611">
        <v>49</v>
      </c>
      <c r="B1435" s="127"/>
      <c r="I1435" s="49"/>
      <c r="K1435" s="71"/>
      <c r="L1435" s="676" t="s">
        <v>432</v>
      </c>
      <c r="M1435" s="617"/>
      <c r="O1435" s="50" t="str">
        <f>IF(M53=1,"","Documentation of annual protective apparel integrity inspection is available.")</f>
        <v>Documentation of annual protective apparel integrity inspection is available.</v>
      </c>
      <c r="W1435" s="71"/>
      <c r="X1435" s="664" t="s">
        <v>432</v>
      </c>
    </row>
    <row r="1436" spans="1:24" ht="11.25" customHeight="1">
      <c r="A1436" s="611">
        <v>50</v>
      </c>
      <c r="B1436" s="127"/>
      <c r="I1436" s="49"/>
      <c r="K1436" s="71"/>
      <c r="L1436" s="676" t="s">
        <v>432</v>
      </c>
      <c r="M1436" s="617"/>
      <c r="O1436" s="50" t="str">
        <f>IF(M53=1,"","Patient restraint devices available.")</f>
        <v>Patient restraint devices available.</v>
      </c>
      <c r="Q1436" s="49"/>
      <c r="R1436" s="54"/>
      <c r="S1436" s="49"/>
      <c r="V1436" s="49"/>
      <c r="W1436" s="69"/>
      <c r="X1436" s="664" t="s">
        <v>432</v>
      </c>
    </row>
    <row r="1437" spans="1:24" ht="11.25" customHeight="1">
      <c r="A1437" s="611">
        <v>51</v>
      </c>
      <c r="B1437" s="127"/>
      <c r="I1437" s="49"/>
      <c r="K1437" s="71"/>
      <c r="L1437" s="676" t="s">
        <v>432</v>
      </c>
      <c r="M1437" s="617"/>
      <c r="N1437" s="50"/>
      <c r="O1437" s="50" t="str">
        <f>IF(M53=1,"","Gonadal shielding is present and functional.")</f>
        <v>Gonadal shielding is present and functional.</v>
      </c>
      <c r="P1437" s="49"/>
      <c r="Q1437" s="49"/>
      <c r="R1437" s="49"/>
      <c r="S1437" s="49"/>
      <c r="T1437" s="49"/>
      <c r="U1437" s="49"/>
      <c r="V1437" s="49"/>
      <c r="W1437" s="69"/>
      <c r="X1437" s="664" t="s">
        <v>432</v>
      </c>
    </row>
    <row r="1438" spans="1:24" ht="11.25" customHeight="1">
      <c r="A1438" s="611">
        <v>52</v>
      </c>
      <c r="B1438" s="127"/>
      <c r="I1438" s="49"/>
      <c r="K1438" s="71"/>
      <c r="L1438" s="676" t="s">
        <v>432</v>
      </c>
      <c r="M1438" s="617"/>
      <c r="N1438" s="50"/>
      <c r="O1438" s="50" t="s">
        <v>512</v>
      </c>
      <c r="P1438" s="49"/>
      <c r="Q1438" s="49"/>
      <c r="R1438" s="49"/>
      <c r="S1438" s="49"/>
      <c r="T1438" s="49"/>
      <c r="U1438" s="49"/>
      <c r="V1438" s="49"/>
      <c r="W1438" s="69"/>
      <c r="X1438" s="664" t="s">
        <v>432</v>
      </c>
    </row>
    <row r="1439" spans="1:24" ht="11.25" customHeight="1">
      <c r="A1439" s="611">
        <v>53</v>
      </c>
      <c r="B1439" s="127"/>
      <c r="I1439" s="49"/>
      <c r="K1439" s="71"/>
      <c r="L1439" s="676" t="s">
        <v>432</v>
      </c>
      <c r="M1439" s="210"/>
      <c r="W1439" s="71"/>
      <c r="X1439" s="664" t="s">
        <v>432</v>
      </c>
    </row>
    <row r="1440" spans="1:24" ht="11.25" customHeight="1">
      <c r="A1440" s="611">
        <v>54</v>
      </c>
      <c r="B1440" s="127"/>
      <c r="I1440" s="49"/>
      <c r="K1440" s="71"/>
      <c r="L1440" s="676" t="s">
        <v>432</v>
      </c>
      <c r="M1440" s="210"/>
      <c r="Q1440" s="99" t="s">
        <v>532</v>
      </c>
      <c r="T1440" s="49"/>
      <c r="U1440" s="49"/>
      <c r="V1440" s="49"/>
      <c r="W1440" s="69"/>
      <c r="X1440" s="664" t="s">
        <v>432</v>
      </c>
    </row>
    <row r="1441" spans="1:24" ht="11.25" customHeight="1">
      <c r="A1441" s="611">
        <v>55</v>
      </c>
      <c r="B1441" s="127"/>
      <c r="I1441" s="49"/>
      <c r="K1441" s="71"/>
      <c r="L1441" s="676" t="s">
        <v>432</v>
      </c>
      <c r="M1441" s="617"/>
      <c r="N1441" s="50"/>
      <c r="O1441" s="50" t="s">
        <v>534</v>
      </c>
      <c r="P1441" s="49"/>
      <c r="Q1441" s="49"/>
      <c r="R1441" s="49"/>
      <c r="S1441" s="49"/>
      <c r="T1441" s="49"/>
      <c r="U1441" s="49"/>
      <c r="V1441" s="49"/>
      <c r="W1441" s="69"/>
      <c r="X1441" s="664" t="s">
        <v>432</v>
      </c>
    </row>
    <row r="1442" spans="1:24" ht="11.25" customHeight="1">
      <c r="A1442" s="611">
        <v>56</v>
      </c>
      <c r="B1442" s="127"/>
      <c r="I1442" s="49"/>
      <c r="K1442" s="71"/>
      <c r="L1442" s="676" t="s">
        <v>432</v>
      </c>
      <c r="M1442" s="617"/>
      <c r="N1442" s="50"/>
      <c r="O1442" s="50" t="s">
        <v>536</v>
      </c>
      <c r="P1442" s="49"/>
      <c r="Q1442" s="49"/>
      <c r="R1442" s="49"/>
      <c r="S1442" s="49"/>
      <c r="T1442" s="49"/>
      <c r="U1442" s="49"/>
      <c r="V1442" s="49"/>
      <c r="W1442" s="69"/>
      <c r="X1442" s="664" t="s">
        <v>432</v>
      </c>
    </row>
    <row r="1443" spans="1:24" ht="11.25" customHeight="1">
      <c r="A1443" s="611">
        <v>57</v>
      </c>
      <c r="B1443" s="127"/>
      <c r="I1443" s="49"/>
      <c r="K1443" s="71"/>
      <c r="L1443" s="676" t="s">
        <v>432</v>
      </c>
      <c r="M1443" s="617"/>
      <c r="N1443" s="50"/>
      <c r="O1443" s="50" t="s">
        <v>537</v>
      </c>
      <c r="P1443" s="49"/>
      <c r="Q1443" s="49"/>
      <c r="R1443" s="49"/>
      <c r="S1443" s="49"/>
      <c r="T1443" s="50"/>
      <c r="U1443" s="50"/>
      <c r="V1443" s="50"/>
      <c r="W1443" s="70"/>
      <c r="X1443" s="664" t="s">
        <v>432</v>
      </c>
    </row>
    <row r="1444" spans="1:24" ht="11.25" customHeight="1">
      <c r="A1444" s="611">
        <v>58</v>
      </c>
      <c r="B1444" s="127"/>
      <c r="C1444" s="49"/>
      <c r="D1444" s="49"/>
      <c r="G1444" s="49"/>
      <c r="H1444" s="49"/>
      <c r="I1444" s="49"/>
      <c r="K1444" s="71"/>
      <c r="L1444" s="676" t="s">
        <v>432</v>
      </c>
      <c r="M1444" s="617"/>
      <c r="N1444" s="50"/>
      <c r="O1444" s="50" t="s">
        <v>539</v>
      </c>
      <c r="P1444" s="50"/>
      <c r="Q1444" s="50"/>
      <c r="R1444" s="50"/>
      <c r="S1444" s="50"/>
      <c r="T1444" s="50"/>
      <c r="U1444" s="50"/>
      <c r="V1444" s="50"/>
      <c r="W1444" s="70"/>
      <c r="X1444" s="664" t="s">
        <v>432</v>
      </c>
    </row>
    <row r="1445" spans="1:24" ht="11.25" customHeight="1">
      <c r="A1445" s="611">
        <v>59</v>
      </c>
      <c r="B1445" s="127"/>
      <c r="K1445" s="71"/>
      <c r="L1445" s="676" t="s">
        <v>432</v>
      </c>
      <c r="M1445" s="617"/>
      <c r="N1445" s="50"/>
      <c r="O1445" s="50" t="s">
        <v>541</v>
      </c>
      <c r="P1445" s="50"/>
      <c r="Q1445" s="50"/>
      <c r="R1445" s="50"/>
      <c r="S1445" s="50"/>
      <c r="T1445" s="50"/>
      <c r="U1445" s="50"/>
      <c r="V1445" s="50"/>
      <c r="W1445" s="70"/>
      <c r="X1445" s="664" t="s">
        <v>432</v>
      </c>
    </row>
    <row r="1446" spans="1:24" ht="11.25" customHeight="1">
      <c r="A1446" s="611">
        <v>60</v>
      </c>
      <c r="B1446" s="127"/>
      <c r="K1446" s="71"/>
      <c r="L1446" s="676" t="s">
        <v>432</v>
      </c>
      <c r="M1446" s="617"/>
      <c r="N1446" s="50"/>
      <c r="O1446" s="50" t="s">
        <v>542</v>
      </c>
      <c r="P1446" s="50"/>
      <c r="Q1446" s="50"/>
      <c r="R1446" s="50"/>
      <c r="S1446" s="50"/>
      <c r="T1446" s="50"/>
      <c r="U1446" s="50"/>
      <c r="V1446" s="50"/>
      <c r="W1446" s="70"/>
      <c r="X1446" s="664" t="s">
        <v>432</v>
      </c>
    </row>
    <row r="1447" spans="1:24" ht="11.25" customHeight="1">
      <c r="A1447" s="611">
        <v>61</v>
      </c>
      <c r="B1447" s="127"/>
      <c r="K1447" s="71"/>
      <c r="L1447" s="676" t="s">
        <v>432</v>
      </c>
      <c r="M1447" s="617"/>
      <c r="N1447" s="50"/>
      <c r="O1447" s="50" t="s">
        <v>544</v>
      </c>
      <c r="P1447" s="50"/>
      <c r="Q1447" s="50"/>
      <c r="R1447" s="50"/>
      <c r="S1447" s="50"/>
      <c r="T1447" s="50"/>
      <c r="U1447" s="50"/>
      <c r="V1447" s="50"/>
      <c r="W1447" s="70"/>
      <c r="X1447" s="664" t="s">
        <v>432</v>
      </c>
    </row>
    <row r="1448" spans="1:24" ht="11.25" customHeight="1">
      <c r="A1448" s="611">
        <v>62</v>
      </c>
      <c r="B1448" s="127"/>
      <c r="K1448" s="71"/>
      <c r="L1448" s="676" t="s">
        <v>432</v>
      </c>
      <c r="M1448" s="617"/>
      <c r="N1448" s="50"/>
      <c r="O1448" s="50" t="s">
        <v>545</v>
      </c>
      <c r="P1448" s="50"/>
      <c r="Q1448" s="50"/>
      <c r="R1448" s="50"/>
      <c r="S1448" s="50"/>
      <c r="T1448" s="49"/>
      <c r="U1448" s="49"/>
      <c r="V1448" s="49"/>
      <c r="W1448" s="69"/>
      <c r="X1448" s="664" t="s">
        <v>432</v>
      </c>
    </row>
    <row r="1449" spans="1:24" ht="11.25" customHeight="1">
      <c r="A1449" s="611">
        <v>63</v>
      </c>
      <c r="B1449" s="127"/>
      <c r="K1449" s="71"/>
      <c r="L1449" s="676" t="s">
        <v>432</v>
      </c>
      <c r="M1449" s="617"/>
      <c r="N1449" s="50"/>
      <c r="O1449" s="50" t="s">
        <v>546</v>
      </c>
      <c r="P1449" s="49"/>
      <c r="Q1449" s="49"/>
      <c r="R1449" s="49"/>
      <c r="S1449" s="49"/>
      <c r="W1449" s="71"/>
      <c r="X1449" s="664" t="s">
        <v>432</v>
      </c>
    </row>
    <row r="1450" spans="1:24" ht="11.25" customHeight="1" thickBot="1">
      <c r="A1450" s="611">
        <v>64</v>
      </c>
      <c r="B1450" s="34"/>
      <c r="C1450" s="289"/>
      <c r="D1450" s="289"/>
      <c r="E1450" s="289"/>
      <c r="F1450" s="289"/>
      <c r="G1450" s="289"/>
      <c r="H1450" s="289"/>
      <c r="I1450" s="289"/>
      <c r="J1450" s="289"/>
      <c r="K1450" s="86"/>
      <c r="L1450" s="676" t="s">
        <v>432</v>
      </c>
      <c r="M1450" s="1159"/>
      <c r="N1450" s="289"/>
      <c r="O1450" s="145" t="str">
        <f>IF(OR(M52="",M52=1),"Unit installed as shown on shielding plan","")</f>
        <v/>
      </c>
      <c r="P1450" s="289"/>
      <c r="Q1450" s="289"/>
      <c r="R1450" s="289"/>
      <c r="S1450" s="289"/>
      <c r="T1450" s="289"/>
      <c r="U1450" s="289"/>
      <c r="V1450" s="289"/>
      <c r="W1450" s="290"/>
      <c r="X1450" s="664" t="s">
        <v>432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432</v>
      </c>
      <c r="M1451" s="1"/>
      <c r="N1451" s="1"/>
      <c r="O1451" s="1"/>
      <c r="P1451" s="1"/>
      <c r="Q1451" s="1"/>
      <c r="R1451" s="1"/>
      <c r="S1451" s="1"/>
      <c r="T1451" s="1"/>
      <c r="U1451" s="1"/>
      <c r="V1451" s="1"/>
      <c r="W1451" s="1"/>
      <c r="X1451" s="664" t="s">
        <v>432</v>
      </c>
    </row>
    <row r="1452" spans="1:24" ht="11.25" customHeight="1">
      <c r="A1452" s="611">
        <v>66</v>
      </c>
      <c r="B1452" s="52" t="str">
        <v>Room Number:</v>
      </c>
      <c r="C1452" s="373" t="str">
        <v/>
      </c>
      <c r="E1452" s="51"/>
      <c r="F1452" s="51"/>
      <c r="G1452" s="51"/>
      <c r="H1452" s="51"/>
      <c r="I1452" s="52" t="str">
        <v>Survey ID:</v>
      </c>
      <c r="J1452" s="1045" t="str">
        <v/>
      </c>
      <c r="L1452" s="676" t="s">
        <v>432</v>
      </c>
      <c r="M1452" s="1"/>
      <c r="N1452" s="1"/>
      <c r="O1452" s="1"/>
      <c r="P1452" s="1"/>
      <c r="Q1452" s="1"/>
      <c r="R1452" s="1"/>
      <c r="S1452" s="1"/>
      <c r="T1452" s="1"/>
      <c r="U1452" s="1"/>
      <c r="V1452" s="1"/>
      <c r="W1452" s="1"/>
      <c r="X1452" s="664" t="s">
        <v>432</v>
      </c>
    </row>
    <row r="1453" spans="1:24" ht="11.25" customHeight="1">
      <c r="A1453" s="611">
        <v>1</v>
      </c>
      <c r="K1453" s="131" t="str">
        <f>$F$2</f>
        <v>Medical University of South Carolina</v>
      </c>
      <c r="L1453" s="676" t="s">
        <v>432</v>
      </c>
      <c r="X1453" s="664" t="s">
        <v>432</v>
      </c>
    </row>
    <row r="1454" spans="1:24" ht="11.25" customHeight="1">
      <c r="A1454" s="611">
        <v>2</v>
      </c>
      <c r="K1454" s="132" t="str">
        <f>$F$5</f>
        <v>Radiographic System Compliance Inspection</v>
      </c>
      <c r="L1454" s="676" t="s">
        <v>432</v>
      </c>
      <c r="X1454" s="664" t="s">
        <v>432</v>
      </c>
    </row>
    <row r="1455" spans="1:24" ht="11.25" customHeight="1">
      <c r="A1455" s="611">
        <v>3</v>
      </c>
      <c r="B1455" s="49"/>
      <c r="C1455" s="49"/>
      <c r="D1455" s="49"/>
      <c r="E1455" s="49"/>
      <c r="F1455" s="49"/>
      <c r="G1455" s="49"/>
      <c r="H1455" s="49"/>
      <c r="I1455" s="49"/>
      <c r="J1455" s="49"/>
      <c r="K1455" s="49"/>
      <c r="L1455" s="676" t="s">
        <v>432</v>
      </c>
      <c r="X1455" s="664" t="s">
        <v>432</v>
      </c>
    </row>
    <row r="1456" spans="1:24" ht="11.25" customHeight="1">
      <c r="A1456" s="611">
        <v>4</v>
      </c>
      <c r="B1456" s="49"/>
      <c r="C1456" s="49"/>
      <c r="D1456" s="49"/>
      <c r="E1456" s="49"/>
      <c r="F1456" s="82" t="str">
        <f>$F$464</f>
        <v>Measurement Data</v>
      </c>
      <c r="G1456" s="49"/>
      <c r="H1456" s="49"/>
      <c r="I1456" s="49"/>
      <c r="J1456" s="49"/>
      <c r="K1456" s="49"/>
      <c r="L1456" s="676" t="s">
        <v>432</v>
      </c>
      <c r="X1456" s="664" t="s">
        <v>432</v>
      </c>
    </row>
    <row r="1457" spans="1:33" ht="11.25" customHeight="1" thickBot="1">
      <c r="A1457" s="611">
        <v>5</v>
      </c>
      <c r="L1457" s="676" t="s">
        <v>432</v>
      </c>
      <c r="X1457" s="664" t="s">
        <v>432</v>
      </c>
    </row>
    <row r="1458" spans="1:33" ht="11.25" customHeight="1" thickTop="1">
      <c r="A1458" s="611">
        <v>6</v>
      </c>
      <c r="B1458" s="79"/>
      <c r="C1458" s="62"/>
      <c r="D1458" s="62"/>
      <c r="E1458" s="62"/>
      <c r="F1458" s="62"/>
      <c r="G1458" s="62"/>
      <c r="H1458" s="62"/>
      <c r="I1458" s="62"/>
      <c r="J1458" s="62"/>
      <c r="K1458" s="80"/>
      <c r="L1458" s="676" t="s">
        <v>432</v>
      </c>
      <c r="X1458" s="664" t="s">
        <v>432</v>
      </c>
    </row>
    <row r="1459" spans="1:33" ht="11.25" customHeight="1">
      <c r="A1459" s="611">
        <v>7</v>
      </c>
      <c r="B1459" s="127"/>
      <c r="F1459" s="1" t="str">
        <f t="array" ref="F1459:J1499">IF($AX$686:$BB$729="","",$AX$686:$BB$729)</f>
        <v/>
      </c>
      <c r="G1459" s="1" t="str">
        <v/>
      </c>
      <c r="H1459" s="1" t="str">
        <v/>
      </c>
      <c r="I1459" s="457" t="str">
        <v/>
      </c>
      <c r="J1459" s="1" t="str">
        <v/>
      </c>
      <c r="K1459" s="39"/>
      <c r="L1459" s="676" t="s">
        <v>432</v>
      </c>
      <c r="X1459" s="664" t="s">
        <v>432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432</v>
      </c>
      <c r="X1460" s="664" t="s">
        <v>432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432</v>
      </c>
      <c r="X1461" s="664" t="s">
        <v>432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432</v>
      </c>
      <c r="X1462" s="664" t="s">
        <v>432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432</v>
      </c>
      <c r="X1463" s="664" t="s">
        <v>432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432</v>
      </c>
      <c r="X1464" s="664" t="s">
        <v>432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432</v>
      </c>
      <c r="X1465" s="664" t="s">
        <v>432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432</v>
      </c>
      <c r="X1466" s="664" t="s">
        <v>432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432</v>
      </c>
      <c r="X1467" s="664" t="s">
        <v>432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432</v>
      </c>
      <c r="X1468" s="664" t="s">
        <v>432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432</v>
      </c>
      <c r="X1469" s="664" t="s">
        <v>432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432</v>
      </c>
      <c r="X1470" s="664" t="s">
        <v>432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432</v>
      </c>
      <c r="X1471" s="664" t="s">
        <v>432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432</v>
      </c>
      <c r="X1472" s="664" t="s">
        <v>432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432</v>
      </c>
      <c r="X1473" s="664" t="s">
        <v>432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432</v>
      </c>
      <c r="X1474" s="664" t="s">
        <v>432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432</v>
      </c>
      <c r="X1475" s="664" t="s">
        <v>432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432</v>
      </c>
      <c r="X1476" s="664" t="s">
        <v>432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432</v>
      </c>
      <c r="X1477" s="664" t="s">
        <v>432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432</v>
      </c>
      <c r="X1478" s="664" t="s">
        <v>432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432</v>
      </c>
      <c r="X1479" s="664" t="s">
        <v>432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432</v>
      </c>
      <c r="X1480" s="664" t="s">
        <v>432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432</v>
      </c>
      <c r="X1481" s="664" t="s">
        <v>432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432</v>
      </c>
      <c r="X1482" s="664" t="s">
        <v>432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432</v>
      </c>
      <c r="X1483" s="664" t="s">
        <v>432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432</v>
      </c>
      <c r="X1484" s="664" t="s">
        <v>432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432</v>
      </c>
      <c r="X1485" s="664" t="s">
        <v>432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432</v>
      </c>
      <c r="X1486" s="664" t="s">
        <v>432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432</v>
      </c>
      <c r="X1487" s="664" t="s">
        <v>432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432</v>
      </c>
      <c r="X1488" s="664" t="s">
        <v>432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432</v>
      </c>
      <c r="X1489" s="664" t="s">
        <v>432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432</v>
      </c>
      <c r="X1490" s="664" t="s">
        <v>432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432</v>
      </c>
      <c r="X1491" s="664" t="s">
        <v>432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432</v>
      </c>
      <c r="X1492" s="664" t="s">
        <v>432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432</v>
      </c>
      <c r="X1493" s="664" t="s">
        <v>432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432</v>
      </c>
      <c r="X1494" s="664" t="s">
        <v>432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432</v>
      </c>
      <c r="X1495" s="664" t="s">
        <v>432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432</v>
      </c>
      <c r="X1496" s="664" t="s">
        <v>432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432</v>
      </c>
      <c r="X1497" s="664" t="s">
        <v>432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432</v>
      </c>
      <c r="X1498" s="664" t="s">
        <v>432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432</v>
      </c>
      <c r="X1499" s="664" t="s">
        <v>432</v>
      </c>
    </row>
    <row r="1500" spans="1:34" ht="11.25" customHeight="1">
      <c r="A1500" s="611">
        <v>48</v>
      </c>
      <c r="B1500" s="127"/>
      <c r="K1500" s="39"/>
      <c r="L1500" s="676" t="s">
        <v>432</v>
      </c>
    </row>
    <row r="1501" spans="1:34" ht="11.25" customHeight="1" thickBot="1">
      <c r="A1501" s="611">
        <v>49</v>
      </c>
      <c r="B1501" s="98"/>
      <c r="C1501" s="83"/>
      <c r="D1501" s="83"/>
      <c r="E1501" s="83"/>
      <c r="F1501" s="83"/>
      <c r="G1501" s="83"/>
      <c r="H1501" s="83"/>
      <c r="I1501" s="83"/>
      <c r="J1501" s="83"/>
      <c r="K1501" s="86"/>
      <c r="L1501" s="676" t="s">
        <v>432</v>
      </c>
    </row>
    <row r="1502" spans="1:34" ht="11.25" customHeight="1" thickTop="1">
      <c r="A1502" s="611">
        <v>50</v>
      </c>
      <c r="L1502" s="676" t="s">
        <v>432</v>
      </c>
    </row>
    <row r="1503" spans="1:34" ht="11.25" customHeight="1">
      <c r="A1503" s="611">
        <v>51</v>
      </c>
      <c r="L1503" s="676" t="s">
        <v>432</v>
      </c>
      <c r="AH1503" s="952"/>
    </row>
    <row r="1504" spans="1:34" ht="11.25" customHeight="1">
      <c r="A1504" s="611">
        <v>52</v>
      </c>
      <c r="L1504" s="676" t="s">
        <v>432</v>
      </c>
    </row>
    <row r="1505" spans="1:24" ht="11.25" customHeight="1">
      <c r="A1505" s="611">
        <v>53</v>
      </c>
      <c r="L1505" s="676" t="s">
        <v>432</v>
      </c>
    </row>
    <row r="1506" spans="1:24" ht="11.25" customHeight="1">
      <c r="A1506" s="611">
        <v>54</v>
      </c>
      <c r="L1506" s="676" t="s">
        <v>432</v>
      </c>
    </row>
    <row r="1507" spans="1:24" ht="11.25" customHeight="1">
      <c r="A1507" s="611">
        <v>55</v>
      </c>
      <c r="L1507" s="676" t="s">
        <v>432</v>
      </c>
    </row>
    <row r="1508" spans="1:24" ht="11.25" customHeight="1">
      <c r="A1508" s="611">
        <v>56</v>
      </c>
      <c r="L1508" s="676" t="s">
        <v>432</v>
      </c>
    </row>
    <row r="1509" spans="1:24" ht="11.25" customHeight="1">
      <c r="A1509" s="611">
        <v>57</v>
      </c>
      <c r="L1509" s="676" t="s">
        <v>432</v>
      </c>
    </row>
    <row r="1510" spans="1:24" ht="11.25" customHeight="1">
      <c r="A1510" s="611">
        <v>58</v>
      </c>
      <c r="L1510" s="676" t="s">
        <v>432</v>
      </c>
    </row>
    <row r="1511" spans="1:24" ht="11.25" customHeight="1">
      <c r="A1511" s="611">
        <v>59</v>
      </c>
      <c r="L1511" s="676" t="s">
        <v>432</v>
      </c>
    </row>
    <row r="1512" spans="1:24" ht="11.25" customHeight="1">
      <c r="A1512" s="611">
        <v>60</v>
      </c>
      <c r="L1512" s="676" t="s">
        <v>432</v>
      </c>
      <c r="X1512" s="664" t="s">
        <v>432</v>
      </c>
    </row>
    <row r="1513" spans="1:24" ht="11.25" customHeight="1">
      <c r="A1513" s="611">
        <v>61</v>
      </c>
      <c r="L1513" s="676" t="s">
        <v>432</v>
      </c>
      <c r="X1513" s="664" t="s">
        <v>432</v>
      </c>
    </row>
    <row r="1514" spans="1:24" ht="11.25" customHeight="1">
      <c r="A1514" s="611">
        <v>62</v>
      </c>
      <c r="L1514" s="676" t="s">
        <v>432</v>
      </c>
      <c r="X1514" s="664" t="s">
        <v>432</v>
      </c>
    </row>
    <row r="1515" spans="1:24" ht="11.25" customHeight="1">
      <c r="A1515" s="611">
        <v>63</v>
      </c>
      <c r="L1515" s="676" t="s">
        <v>432</v>
      </c>
      <c r="X1515" s="664" t="s">
        <v>432</v>
      </c>
    </row>
    <row r="1516" spans="1:24" ht="11.25" customHeight="1">
      <c r="A1516" s="611">
        <v>64</v>
      </c>
      <c r="L1516" s="676" t="s">
        <v>432</v>
      </c>
      <c r="X1516" s="664" t="s">
        <v>432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432</v>
      </c>
      <c r="X1517" s="664" t="s">
        <v>432</v>
      </c>
    </row>
    <row r="1518" spans="1:24" ht="11.25" customHeight="1">
      <c r="A1518" s="611">
        <v>66</v>
      </c>
      <c r="B1518" s="52" t="str">
        <v>Room Number:</v>
      </c>
      <c r="C1518" s="373" t="str">
        <v/>
      </c>
      <c r="E1518" s="51"/>
      <c r="F1518" s="51"/>
      <c r="G1518" s="51"/>
      <c r="H1518" s="51"/>
      <c r="I1518" s="52" t="str">
        <v>Survey ID:</v>
      </c>
      <c r="J1518" s="1045" t="str">
        <v/>
      </c>
      <c r="L1518" s="676" t="s">
        <v>432</v>
      </c>
      <c r="X1518" s="664" t="s">
        <v>432</v>
      </c>
    </row>
    <row r="1519" spans="1:24" ht="11.25" customHeight="1">
      <c r="A1519" s="611">
        <v>1</v>
      </c>
      <c r="K1519" s="131" t="str">
        <f>$F$2</f>
        <v>Medical University of South Carolina</v>
      </c>
      <c r="L1519" s="676" t="s">
        <v>432</v>
      </c>
      <c r="X1519" s="664" t="s">
        <v>432</v>
      </c>
    </row>
    <row r="1520" spans="1:24" ht="11.25" customHeight="1">
      <c r="A1520" s="611">
        <v>2</v>
      </c>
      <c r="K1520" s="132" t="str">
        <f>$F$5</f>
        <v>Radiographic System Compliance Inspection</v>
      </c>
      <c r="L1520" s="676" t="s">
        <v>432</v>
      </c>
      <c r="X1520" s="664" t="s">
        <v>432</v>
      </c>
    </row>
    <row r="1521" spans="1:33" ht="11.25" customHeight="1">
      <c r="A1521" s="611">
        <v>3</v>
      </c>
      <c r="B1521" s="49"/>
      <c r="C1521" s="49"/>
      <c r="D1521" s="49"/>
      <c r="E1521" s="49"/>
      <c r="F1521" s="49"/>
      <c r="G1521" s="49"/>
      <c r="H1521" s="49"/>
      <c r="I1521" s="49"/>
      <c r="J1521" s="49"/>
      <c r="K1521" s="49"/>
      <c r="L1521" s="676" t="s">
        <v>432</v>
      </c>
      <c r="X1521" s="664" t="s">
        <v>432</v>
      </c>
    </row>
    <row r="1522" spans="1:33" ht="11.25" customHeight="1">
      <c r="A1522" s="611">
        <v>4</v>
      </c>
      <c r="B1522" s="49"/>
      <c r="C1522" s="49"/>
      <c r="D1522" s="49"/>
      <c r="E1522" s="49"/>
      <c r="F1522" s="82" t="str">
        <f>$F$464</f>
        <v>Measurement Data</v>
      </c>
      <c r="G1522" s="49"/>
      <c r="H1522" s="49"/>
      <c r="I1522" s="49"/>
      <c r="J1522" s="49"/>
      <c r="K1522" s="49"/>
      <c r="L1522" s="676" t="s">
        <v>432</v>
      </c>
      <c r="X1522" s="664" t="s">
        <v>432</v>
      </c>
    </row>
    <row r="1523" spans="1:33" ht="11.25" customHeight="1">
      <c r="A1523" s="611">
        <v>5</v>
      </c>
      <c r="L1523" s="676" t="s">
        <v>432</v>
      </c>
      <c r="X1523" s="664" t="s">
        <v>432</v>
      </c>
    </row>
    <row r="1524" spans="1:33" ht="11.25" customHeight="1" thickBot="1">
      <c r="A1524" s="611">
        <v>6</v>
      </c>
      <c r="L1524" s="676" t="s">
        <v>432</v>
      </c>
      <c r="X1524" s="664" t="s">
        <v>432</v>
      </c>
    </row>
    <row r="1525" spans="1:33" ht="11.25" customHeight="1" thickTop="1">
      <c r="A1525" s="611">
        <v>7</v>
      </c>
      <c r="B1525" s="79"/>
      <c r="C1525" s="62"/>
      <c r="D1525" s="62"/>
      <c r="E1525" s="62"/>
      <c r="F1525" s="62"/>
      <c r="G1525" s="62"/>
      <c r="H1525" s="62"/>
      <c r="I1525" s="62"/>
      <c r="J1525" s="62"/>
      <c r="K1525" s="80"/>
      <c r="L1525" s="676" t="s">
        <v>432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432</v>
      </c>
      <c r="M1526" s="127"/>
      <c r="N1526" s="685" t="s">
        <v>1039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432</v>
      </c>
      <c r="M1527" s="127"/>
      <c r="N1527" s="457"/>
      <c r="O1527" s="457"/>
      <c r="P1527" s="457"/>
      <c r="Q1527" s="457"/>
      <c r="R1527" s="927" t="s">
        <v>150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432</v>
      </c>
      <c r="M1528" s="127"/>
      <c r="N1528" s="457"/>
      <c r="O1528" s="457"/>
      <c r="P1528" s="457"/>
      <c r="Q1528" s="457"/>
      <c r="R1528" s="929" t="s">
        <v>147</v>
      </c>
      <c r="S1528" s="930" t="s">
        <v>148</v>
      </c>
      <c r="T1528" s="457"/>
      <c r="U1528" s="924" t="s">
        <v>1040</v>
      </c>
      <c r="V1528" s="457"/>
      <c r="W1528" s="457"/>
      <c r="X1528" s="555"/>
      <c r="AE1528"/>
      <c r="AF1528"/>
      <c r="AG1528" s="953" t="s">
        <v>432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432</v>
      </c>
      <c r="M1529" s="127"/>
      <c r="N1529" s="931"/>
      <c r="O1529" s="932"/>
      <c r="P1529" s="932"/>
      <c r="Q1529" s="925" t="s">
        <v>157</v>
      </c>
      <c r="R1529" s="944">
        <v>6</v>
      </c>
      <c r="S1529" s="933"/>
      <c r="T1529" s="457"/>
      <c r="U1529" s="947" t="s">
        <v>156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432</v>
      </c>
      <c r="M1530" s="127"/>
      <c r="N1530" s="934"/>
      <c r="O1530" s="457"/>
      <c r="P1530" s="457"/>
      <c r="Q1530" s="462" t="s">
        <v>158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432</v>
      </c>
      <c r="M1531" s="127"/>
      <c r="N1531" s="934"/>
      <c r="O1531" s="457"/>
      <c r="P1531" s="457"/>
      <c r="Q1531" s="462" t="s">
        <v>151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432</v>
      </c>
      <c r="M1532" s="127"/>
      <c r="N1532" s="934"/>
      <c r="O1532" s="457"/>
      <c r="P1532" s="457"/>
      <c r="Q1532" s="462" t="s">
        <v>152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432</v>
      </c>
      <c r="M1533" s="127"/>
      <c r="N1533" s="934"/>
      <c r="O1533" s="457"/>
      <c r="P1533" s="457"/>
      <c r="Q1533" s="462" t="s">
        <v>153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432</v>
      </c>
      <c r="M1534" s="127"/>
      <c r="N1534" s="934"/>
      <c r="O1534" s="457"/>
      <c r="P1534" s="457"/>
      <c r="Q1534" s="462" t="s">
        <v>154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432</v>
      </c>
      <c r="M1535" s="127"/>
      <c r="N1535" s="520"/>
      <c r="O1535" s="487"/>
      <c r="P1535" s="487"/>
      <c r="Q1535" s="926" t="s">
        <v>155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432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432</v>
      </c>
      <c r="X1537" s="664" t="s">
        <v>432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432</v>
      </c>
      <c r="X1538" s="664" t="s">
        <v>432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432</v>
      </c>
      <c r="X1539" s="664" t="s">
        <v>432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432</v>
      </c>
      <c r="X1540" s="664" t="s">
        <v>432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432</v>
      </c>
      <c r="X1541" s="664" t="s">
        <v>432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432</v>
      </c>
      <c r="X1542" s="664" t="s">
        <v>432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432</v>
      </c>
      <c r="X1543" s="664" t="s">
        <v>432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432</v>
      </c>
      <c r="X1544" s="664" t="s">
        <v>432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432</v>
      </c>
      <c r="X1545" s="664" t="s">
        <v>432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432</v>
      </c>
      <c r="X1546" s="664" t="s">
        <v>432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432</v>
      </c>
      <c r="X1547" s="664" t="s">
        <v>432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432</v>
      </c>
      <c r="X1548" s="664" t="s">
        <v>432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432</v>
      </c>
      <c r="X1549" s="664" t="s">
        <v>432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432</v>
      </c>
      <c r="X1550" s="664" t="s">
        <v>432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432</v>
      </c>
      <c r="X1551" s="664" t="s">
        <v>432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432</v>
      </c>
      <c r="X1552" s="664" t="s">
        <v>432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432</v>
      </c>
      <c r="X1553" s="664" t="s">
        <v>432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432</v>
      </c>
      <c r="X1554" s="664" t="s">
        <v>432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432</v>
      </c>
      <c r="X1555" s="664" t="s">
        <v>432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432</v>
      </c>
      <c r="X1556" s="664" t="s">
        <v>432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432</v>
      </c>
      <c r="X1557" s="664" t="s">
        <v>432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432</v>
      </c>
      <c r="X1558" s="664" t="s">
        <v>432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432</v>
      </c>
      <c r="X1559" s="664" t="s">
        <v>432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432</v>
      </c>
      <c r="X1560" s="664" t="s">
        <v>432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432</v>
      </c>
      <c r="X1561" s="664" t="s">
        <v>432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432</v>
      </c>
      <c r="X1562" s="664" t="s">
        <v>432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432</v>
      </c>
      <c r="X1563" s="664" t="s">
        <v>432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432</v>
      </c>
      <c r="X1564" s="664" t="s">
        <v>432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432</v>
      </c>
      <c r="X1565" s="664" t="s">
        <v>432</v>
      </c>
    </row>
    <row r="1566" spans="1:24" ht="11.25" customHeight="1">
      <c r="A1566" s="611">
        <v>48</v>
      </c>
      <c r="B1566" s="127"/>
      <c r="K1566" s="71"/>
      <c r="L1566" s="676" t="s">
        <v>432</v>
      </c>
      <c r="X1566" s="664" t="s">
        <v>432</v>
      </c>
    </row>
    <row r="1567" spans="1:24" ht="11.25" customHeight="1" thickBot="1">
      <c r="A1567" s="611">
        <v>49</v>
      </c>
      <c r="B1567" s="98"/>
      <c r="C1567" s="83"/>
      <c r="D1567" s="83"/>
      <c r="E1567" s="83"/>
      <c r="F1567" s="83"/>
      <c r="G1567" s="83"/>
      <c r="H1567" s="83"/>
      <c r="I1567" s="83"/>
      <c r="J1567" s="83"/>
      <c r="K1567" s="86"/>
      <c r="L1567" s="676" t="s">
        <v>432</v>
      </c>
      <c r="X1567" s="664" t="s">
        <v>432</v>
      </c>
    </row>
    <row r="1568" spans="1:24" ht="11.25" customHeight="1" thickTop="1">
      <c r="A1568" s="611">
        <v>50</v>
      </c>
      <c r="L1568" s="676" t="s">
        <v>432</v>
      </c>
      <c r="X1568" s="664" t="s">
        <v>432</v>
      </c>
    </row>
    <row r="1569" spans="1:24" ht="11.25" customHeight="1">
      <c r="A1569" s="611">
        <v>51</v>
      </c>
      <c r="L1569" s="676" t="s">
        <v>432</v>
      </c>
      <c r="X1569" s="664" t="s">
        <v>432</v>
      </c>
    </row>
    <row r="1570" spans="1:24" ht="11.25" customHeight="1">
      <c r="A1570" s="611">
        <v>52</v>
      </c>
      <c r="L1570" s="676" t="s">
        <v>432</v>
      </c>
      <c r="X1570" s="664" t="s">
        <v>432</v>
      </c>
    </row>
    <row r="1571" spans="1:24" ht="11.25" customHeight="1">
      <c r="A1571" s="611">
        <v>53</v>
      </c>
      <c r="L1571" s="676" t="s">
        <v>432</v>
      </c>
      <c r="X1571" s="664" t="s">
        <v>432</v>
      </c>
    </row>
    <row r="1572" spans="1:24" ht="11.25" customHeight="1">
      <c r="A1572" s="611">
        <v>54</v>
      </c>
      <c r="L1572" s="676" t="s">
        <v>432</v>
      </c>
      <c r="X1572" s="664" t="s">
        <v>432</v>
      </c>
    </row>
    <row r="1573" spans="1:24" ht="11.25" customHeight="1">
      <c r="A1573" s="611">
        <v>55</v>
      </c>
      <c r="L1573" s="676" t="s">
        <v>432</v>
      </c>
      <c r="X1573" s="664" t="s">
        <v>432</v>
      </c>
    </row>
    <row r="1574" spans="1:24" ht="11.25" customHeight="1">
      <c r="A1574" s="611">
        <v>56</v>
      </c>
      <c r="L1574" s="676" t="s">
        <v>432</v>
      </c>
      <c r="X1574" s="664" t="s">
        <v>432</v>
      </c>
    </row>
    <row r="1575" spans="1:24" ht="11.25" customHeight="1">
      <c r="A1575" s="611">
        <v>57</v>
      </c>
      <c r="L1575" s="676" t="s">
        <v>432</v>
      </c>
      <c r="X1575" s="664" t="s">
        <v>432</v>
      </c>
    </row>
    <row r="1576" spans="1:24" ht="11.25" customHeight="1">
      <c r="A1576" s="611">
        <v>58</v>
      </c>
      <c r="L1576" s="676" t="s">
        <v>432</v>
      </c>
      <c r="X1576" s="664" t="s">
        <v>432</v>
      </c>
    </row>
    <row r="1577" spans="1:24" ht="11.25" customHeight="1">
      <c r="A1577" s="611">
        <v>59</v>
      </c>
      <c r="L1577" s="676" t="s">
        <v>432</v>
      </c>
      <c r="X1577" s="664" t="s">
        <v>432</v>
      </c>
    </row>
    <row r="1578" spans="1:24" ht="11.25" customHeight="1">
      <c r="A1578" s="611">
        <v>60</v>
      </c>
      <c r="L1578" s="676" t="s">
        <v>432</v>
      </c>
      <c r="X1578" s="664" t="s">
        <v>432</v>
      </c>
    </row>
    <row r="1579" spans="1:24" ht="11.25" customHeight="1">
      <c r="A1579" s="611">
        <v>61</v>
      </c>
      <c r="L1579" s="676" t="s">
        <v>432</v>
      </c>
      <c r="X1579" s="664" t="s">
        <v>432</v>
      </c>
    </row>
    <row r="1580" spans="1:24" ht="11.25" customHeight="1">
      <c r="A1580" s="611">
        <v>62</v>
      </c>
      <c r="L1580" s="676" t="s">
        <v>432</v>
      </c>
      <c r="X1580" s="664" t="s">
        <v>432</v>
      </c>
    </row>
    <row r="1581" spans="1:24" ht="11.25" customHeight="1">
      <c r="A1581" s="611">
        <v>63</v>
      </c>
      <c r="L1581" s="676" t="s">
        <v>432</v>
      </c>
      <c r="X1581" s="664" t="s">
        <v>432</v>
      </c>
    </row>
    <row r="1582" spans="1:24" ht="11.25" customHeight="1">
      <c r="A1582" s="611">
        <v>64</v>
      </c>
      <c r="L1582" s="676" t="s">
        <v>432</v>
      </c>
      <c r="X1582" s="664" t="s">
        <v>432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432</v>
      </c>
      <c r="X1583" s="664" t="s">
        <v>432</v>
      </c>
    </row>
    <row r="1584" spans="1:24" ht="11.25" customHeight="1">
      <c r="A1584" s="611">
        <v>66</v>
      </c>
      <c r="B1584" s="52" t="str">
        <v>Room Number:</v>
      </c>
      <c r="C1584" s="373" t="str">
        <v/>
      </c>
      <c r="E1584" s="51"/>
      <c r="F1584" s="51"/>
      <c r="G1584" s="51"/>
      <c r="H1584" s="51"/>
      <c r="I1584" s="52" t="str">
        <v>Survey ID:</v>
      </c>
      <c r="J1584" s="1045" t="str">
        <v/>
      </c>
      <c r="L1584" s="676" t="s">
        <v>432</v>
      </c>
      <c r="X1584" s="664" t="s">
        <v>432</v>
      </c>
    </row>
    <row r="1585" spans="1:24" ht="11.25" customHeight="1">
      <c r="A1585" s="611">
        <v>1</v>
      </c>
      <c r="K1585" s="131" t="str">
        <f>$F$2</f>
        <v>Medical University of South Carolina</v>
      </c>
      <c r="L1585" s="676" t="s">
        <v>432</v>
      </c>
      <c r="X1585" s="664" t="s">
        <v>432</v>
      </c>
    </row>
    <row r="1586" spans="1:24" ht="11.25" customHeight="1">
      <c r="A1586" s="611">
        <v>2</v>
      </c>
      <c r="K1586" s="132" t="str">
        <f>$F$5</f>
        <v>Radiographic System Compliance Inspection</v>
      </c>
      <c r="L1586" s="676" t="s">
        <v>432</v>
      </c>
      <c r="X1586" s="664" t="s">
        <v>432</v>
      </c>
    </row>
    <row r="1587" spans="1:24" ht="11.25" customHeight="1">
      <c r="A1587" s="611">
        <v>3</v>
      </c>
      <c r="B1587" s="49"/>
      <c r="C1587" s="49"/>
      <c r="D1587" s="49"/>
      <c r="E1587" s="49"/>
      <c r="F1587" s="49"/>
      <c r="G1587" s="49"/>
      <c r="H1587" s="49"/>
      <c r="I1587" s="49"/>
      <c r="J1587" s="49"/>
      <c r="K1587" s="49"/>
      <c r="L1587" s="676" t="s">
        <v>432</v>
      </c>
      <c r="X1587" s="664" t="s">
        <v>432</v>
      </c>
    </row>
    <row r="1588" spans="1:24" ht="11.25" customHeight="1">
      <c r="A1588" s="611">
        <v>4</v>
      </c>
      <c r="B1588" s="49"/>
      <c r="C1588" s="49"/>
      <c r="D1588" s="49"/>
      <c r="E1588" s="49"/>
      <c r="F1588" s="82" t="str">
        <f>$F$464</f>
        <v>Measurement Data</v>
      </c>
      <c r="G1588" s="49"/>
      <c r="H1588" s="49"/>
      <c r="I1588" s="49"/>
      <c r="J1588" s="49"/>
      <c r="K1588" s="49"/>
      <c r="L1588" s="676" t="s">
        <v>432</v>
      </c>
      <c r="X1588" s="664" t="s">
        <v>432</v>
      </c>
    </row>
    <row r="1589" spans="1:24" ht="11.25" customHeight="1" thickBot="1">
      <c r="A1589" s="611">
        <v>5</v>
      </c>
      <c r="L1589" s="676" t="s">
        <v>432</v>
      </c>
      <c r="X1589" s="664" t="s">
        <v>432</v>
      </c>
    </row>
    <row r="1590" spans="1:24" ht="11.25" customHeight="1" thickTop="1">
      <c r="A1590" s="611">
        <v>6</v>
      </c>
      <c r="B1590" s="79"/>
      <c r="C1590" s="62"/>
      <c r="D1590" s="62"/>
      <c r="E1590" s="62"/>
      <c r="F1590" s="62"/>
      <c r="G1590" s="62"/>
      <c r="H1590" s="62"/>
      <c r="I1590" s="62"/>
      <c r="J1590" s="62"/>
      <c r="K1590" s="80"/>
      <c r="L1590" s="676" t="s">
        <v>432</v>
      </c>
      <c r="X1590" s="664" t="s">
        <v>432</v>
      </c>
    </row>
    <row r="1591" spans="1:24" ht="11.25" customHeight="1">
      <c r="A1591" s="611">
        <v>7</v>
      </c>
      <c r="B1591" s="127"/>
      <c r="G1591" s="457" t="s">
        <v>299</v>
      </c>
      <c r="J1591" s="457" t="s">
        <v>300</v>
      </c>
      <c r="K1591" s="71"/>
      <c r="L1591" s="676" t="s">
        <v>432</v>
      </c>
      <c r="X1591" s="664" t="s">
        <v>432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125</v>
      </c>
      <c r="H1592" s="487">
        <f>$AM$687</f>
        <v>0</v>
      </c>
      <c r="I1592" s="487" t="str">
        <f t="array" ref="I1592:I1631">IF($AN$687:$AN$729=0,"",IF($AN$687:$AN$729=1,"X",$AN$687:$AN$729))</f>
        <v/>
      </c>
      <c r="J1592" s="487" t="s">
        <v>301</v>
      </c>
      <c r="K1592" s="493" t="str">
        <f t="array" ref="K1592:K1631">IF($AV$687:$AV$729="","",$AV$687:$AV$729)</f>
        <v/>
      </c>
      <c r="L1592" s="676" t="s">
        <v>432</v>
      </c>
      <c r="X1592" s="664" t="s">
        <v>432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432</v>
      </c>
      <c r="X1593" s="664" t="s">
        <v>432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432</v>
      </c>
      <c r="X1594" s="664" t="s">
        <v>432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432</v>
      </c>
      <c r="X1595" s="664" t="s">
        <v>432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432</v>
      </c>
      <c r="X1596" s="664" t="s">
        <v>432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432</v>
      </c>
      <c r="X1597" s="664" t="s">
        <v>432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432</v>
      </c>
      <c r="X1598" s="664" t="s">
        <v>432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432</v>
      </c>
      <c r="X1599" s="664" t="s">
        <v>432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432</v>
      </c>
      <c r="X1600" s="664" t="s">
        <v>432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432</v>
      </c>
      <c r="X1601" s="664" t="s">
        <v>432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432</v>
      </c>
      <c r="X1602" s="664" t="s">
        <v>432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432</v>
      </c>
      <c r="X1603" s="664" t="s">
        <v>432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432</v>
      </c>
      <c r="X1604" s="664" t="s">
        <v>432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432</v>
      </c>
      <c r="X1605" s="664" t="s">
        <v>432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432</v>
      </c>
      <c r="X1606" s="664" t="s">
        <v>432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432</v>
      </c>
      <c r="X1607" s="664" t="s">
        <v>432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432</v>
      </c>
      <c r="X1608" s="664" t="s">
        <v>432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432</v>
      </c>
      <c r="X1609" s="664" t="s">
        <v>432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432</v>
      </c>
      <c r="X1610" s="664" t="s">
        <v>432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432</v>
      </c>
      <c r="X1611" s="664" t="s">
        <v>432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432</v>
      </c>
      <c r="X1612" s="664" t="s">
        <v>432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432</v>
      </c>
      <c r="X1613" s="664" t="s">
        <v>432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432</v>
      </c>
      <c r="X1614" s="664" t="s">
        <v>432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432</v>
      </c>
      <c r="X1615" s="664" t="s">
        <v>432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432</v>
      </c>
      <c r="X1616" s="664" t="s">
        <v>432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432</v>
      </c>
      <c r="X1617" s="664" t="s">
        <v>432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432</v>
      </c>
      <c r="X1618" s="664" t="s">
        <v>432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432</v>
      </c>
      <c r="X1619" s="664" t="s">
        <v>432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432</v>
      </c>
      <c r="X1620" s="664" t="s">
        <v>432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432</v>
      </c>
      <c r="X1621" s="664" t="s">
        <v>432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432</v>
      </c>
      <c r="X1622" s="664" t="s">
        <v>432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432</v>
      </c>
      <c r="X1623" s="664" t="s">
        <v>432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432</v>
      </c>
      <c r="X1624" s="664" t="s">
        <v>432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432</v>
      </c>
      <c r="X1625" s="664" t="s">
        <v>432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432</v>
      </c>
      <c r="X1626" s="664" t="s">
        <v>432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432</v>
      </c>
      <c r="X1627" s="664" t="s">
        <v>432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432</v>
      </c>
      <c r="X1628" s="664" t="s">
        <v>432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432</v>
      </c>
      <c r="X1629" s="664" t="s">
        <v>432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432</v>
      </c>
      <c r="X1630" s="664" t="s">
        <v>432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432</v>
      </c>
      <c r="X1631" s="664" t="s">
        <v>432</v>
      </c>
    </row>
    <row r="1632" spans="1:24" ht="11.25" customHeight="1">
      <c r="A1632" s="611">
        <v>48</v>
      </c>
      <c r="B1632" s="127"/>
      <c r="K1632" s="71"/>
      <c r="L1632" s="676" t="s">
        <v>432</v>
      </c>
      <c r="X1632" s="664" t="s">
        <v>432</v>
      </c>
    </row>
    <row r="1633" spans="1:24" ht="11.25" customHeight="1" thickBot="1">
      <c r="A1633" s="611">
        <v>49</v>
      </c>
      <c r="B1633" s="98"/>
      <c r="C1633" s="83"/>
      <c r="D1633" s="83"/>
      <c r="E1633" s="83"/>
      <c r="F1633" s="83"/>
      <c r="G1633" s="83"/>
      <c r="H1633" s="83"/>
      <c r="I1633" s="83"/>
      <c r="J1633" s="83"/>
      <c r="K1633" s="86"/>
      <c r="L1633" s="676" t="s">
        <v>432</v>
      </c>
      <c r="X1633" s="664" t="s">
        <v>432</v>
      </c>
    </row>
    <row r="1634" spans="1:24" ht="11.25" customHeight="1" thickTop="1">
      <c r="A1634" s="611">
        <v>50</v>
      </c>
      <c r="L1634" s="676" t="s">
        <v>432</v>
      </c>
      <c r="X1634" s="664" t="s">
        <v>432</v>
      </c>
    </row>
    <row r="1635" spans="1:24" ht="11.25" customHeight="1">
      <c r="A1635" s="611">
        <v>51</v>
      </c>
      <c r="L1635" s="676" t="s">
        <v>432</v>
      </c>
      <c r="X1635" s="664" t="s">
        <v>432</v>
      </c>
    </row>
    <row r="1636" spans="1:24" ht="11.25" customHeight="1">
      <c r="A1636" s="611">
        <v>52</v>
      </c>
      <c r="L1636" s="676" t="s">
        <v>432</v>
      </c>
      <c r="X1636" s="664" t="s">
        <v>432</v>
      </c>
    </row>
    <row r="1637" spans="1:24" ht="11.25" customHeight="1">
      <c r="A1637" s="611">
        <v>53</v>
      </c>
      <c r="L1637" s="676" t="s">
        <v>432</v>
      </c>
      <c r="X1637" s="664" t="s">
        <v>432</v>
      </c>
    </row>
    <row r="1638" spans="1:24" ht="11.25" customHeight="1">
      <c r="A1638" s="611">
        <v>54</v>
      </c>
      <c r="L1638" s="676" t="s">
        <v>432</v>
      </c>
      <c r="X1638" s="664" t="s">
        <v>432</v>
      </c>
    </row>
    <row r="1639" spans="1:24" ht="11.25" customHeight="1">
      <c r="A1639" s="611">
        <v>55</v>
      </c>
      <c r="L1639" s="676" t="s">
        <v>432</v>
      </c>
      <c r="X1639" s="664" t="s">
        <v>432</v>
      </c>
    </row>
    <row r="1640" spans="1:24" ht="11.25" customHeight="1">
      <c r="A1640" s="611">
        <v>56</v>
      </c>
      <c r="L1640" s="676" t="s">
        <v>432</v>
      </c>
      <c r="X1640" s="664" t="s">
        <v>432</v>
      </c>
    </row>
    <row r="1641" spans="1:24" ht="11.25" customHeight="1">
      <c r="A1641" s="611">
        <v>57</v>
      </c>
      <c r="L1641" s="676" t="s">
        <v>432</v>
      </c>
      <c r="X1641" s="664" t="s">
        <v>432</v>
      </c>
    </row>
    <row r="1642" spans="1:24" ht="11.25" customHeight="1">
      <c r="A1642" s="611">
        <v>58</v>
      </c>
      <c r="L1642" s="676" t="s">
        <v>432</v>
      </c>
      <c r="X1642" s="664" t="s">
        <v>432</v>
      </c>
    </row>
    <row r="1643" spans="1:24" ht="11.25" customHeight="1">
      <c r="A1643" s="611">
        <v>59</v>
      </c>
      <c r="L1643" s="676" t="s">
        <v>432</v>
      </c>
      <c r="X1643" s="664" t="s">
        <v>432</v>
      </c>
    </row>
    <row r="1644" spans="1:24" ht="11.25" customHeight="1">
      <c r="A1644" s="611">
        <v>60</v>
      </c>
      <c r="L1644" s="676" t="s">
        <v>432</v>
      </c>
      <c r="X1644" s="664" t="s">
        <v>432</v>
      </c>
    </row>
    <row r="1645" spans="1:24" ht="11.25" customHeight="1">
      <c r="A1645" s="611">
        <v>61</v>
      </c>
      <c r="L1645" s="676" t="s">
        <v>432</v>
      </c>
      <c r="X1645" s="664" t="s">
        <v>432</v>
      </c>
    </row>
    <row r="1646" spans="1:24" ht="11.25" customHeight="1">
      <c r="A1646" s="611">
        <v>62</v>
      </c>
      <c r="L1646" s="676" t="s">
        <v>432</v>
      </c>
      <c r="X1646" s="664" t="s">
        <v>432</v>
      </c>
    </row>
    <row r="1647" spans="1:24" ht="11.25" customHeight="1">
      <c r="A1647" s="611">
        <v>63</v>
      </c>
      <c r="L1647" s="676" t="s">
        <v>432</v>
      </c>
      <c r="X1647" s="664" t="s">
        <v>432</v>
      </c>
    </row>
    <row r="1648" spans="1:24" ht="11.25" customHeight="1">
      <c r="A1648" s="611">
        <v>64</v>
      </c>
      <c r="L1648" s="676" t="s">
        <v>432</v>
      </c>
      <c r="X1648" s="664" t="s">
        <v>432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432</v>
      </c>
      <c r="X1649" s="664" t="s">
        <v>432</v>
      </c>
    </row>
    <row r="1650" spans="1:24" ht="11.25" customHeight="1">
      <c r="A1650" s="611">
        <v>66</v>
      </c>
      <c r="B1650" s="52" t="str">
        <v>Room Number:</v>
      </c>
      <c r="C1650" s="373" t="str">
        <v/>
      </c>
      <c r="E1650" s="51"/>
      <c r="F1650" s="51"/>
      <c r="G1650" s="51"/>
      <c r="H1650" s="51"/>
      <c r="I1650" s="52" t="str">
        <v>Survey ID:</v>
      </c>
      <c r="J1650" s="1045" t="str">
        <v/>
      </c>
      <c r="L1650" s="676" t="s">
        <v>432</v>
      </c>
      <c r="X1650" s="664" t="s">
        <v>432</v>
      </c>
    </row>
    <row r="1651" spans="1:24" ht="11.25" customHeight="1">
      <c r="A1651" s="611">
        <v>1</v>
      </c>
      <c r="K1651" s="131" t="str">
        <f>$F$2</f>
        <v>Medical University of South Carolina</v>
      </c>
      <c r="L1651" s="676" t="s">
        <v>432</v>
      </c>
      <c r="X1651" s="664" t="s">
        <v>432</v>
      </c>
    </row>
    <row r="1652" spans="1:24" ht="11.25" customHeight="1">
      <c r="A1652" s="611">
        <v>2</v>
      </c>
      <c r="K1652" s="132" t="str">
        <f>$F$5</f>
        <v>Radiographic System Compliance Inspection</v>
      </c>
      <c r="L1652" s="676" t="s">
        <v>432</v>
      </c>
      <c r="X1652" s="664" t="s">
        <v>432</v>
      </c>
    </row>
    <row r="1653" spans="1:24" ht="11.25" customHeight="1">
      <c r="A1653" s="611">
        <v>3</v>
      </c>
      <c r="B1653" s="49"/>
      <c r="C1653" s="49"/>
      <c r="D1653" s="49"/>
      <c r="E1653" s="49"/>
      <c r="F1653" s="49"/>
      <c r="G1653" s="49"/>
      <c r="H1653" s="49"/>
      <c r="I1653" s="49"/>
      <c r="J1653" s="49"/>
      <c r="K1653" s="49"/>
      <c r="L1653" s="676" t="s">
        <v>432</v>
      </c>
      <c r="X1653" s="664" t="s">
        <v>432</v>
      </c>
    </row>
    <row r="1654" spans="1:24" ht="11.25" customHeight="1">
      <c r="A1654" s="611">
        <v>4</v>
      </c>
      <c r="B1654" s="49"/>
      <c r="C1654" s="49"/>
      <c r="D1654" s="49"/>
      <c r="E1654" s="49"/>
      <c r="F1654" s="82" t="str">
        <f>$F$464</f>
        <v>Measurement Data</v>
      </c>
      <c r="G1654" s="49"/>
      <c r="H1654" s="49"/>
      <c r="I1654" s="49"/>
      <c r="J1654" s="49"/>
      <c r="K1654" s="49"/>
      <c r="L1654" s="676" t="s">
        <v>432</v>
      </c>
      <c r="X1654" s="664" t="s">
        <v>432</v>
      </c>
    </row>
    <row r="1655" spans="1:24" ht="11.25" customHeight="1" thickBot="1">
      <c r="A1655" s="611">
        <v>5</v>
      </c>
      <c r="L1655" s="676" t="s">
        <v>432</v>
      </c>
      <c r="X1655" s="664" t="s">
        <v>432</v>
      </c>
    </row>
    <row r="1656" spans="1:24" ht="11.25" customHeight="1" thickTop="1">
      <c r="A1656" s="611">
        <v>6</v>
      </c>
      <c r="B1656" s="79"/>
      <c r="C1656" s="62"/>
      <c r="D1656" s="62"/>
      <c r="E1656" s="62"/>
      <c r="F1656" s="62"/>
      <c r="G1656" s="62"/>
      <c r="H1656" s="62"/>
      <c r="I1656" s="62"/>
      <c r="J1656" s="62"/>
      <c r="K1656" s="80"/>
      <c r="L1656" s="676" t="s">
        <v>432</v>
      </c>
      <c r="X1656" s="664" t="s">
        <v>432</v>
      </c>
    </row>
    <row r="1657" spans="1:24" ht="11.25" customHeight="1">
      <c r="A1657" s="611">
        <v>7</v>
      </c>
      <c r="B1657" s="127"/>
      <c r="J1657" s="457"/>
      <c r="K1657" s="71"/>
      <c r="L1657" s="676" t="s">
        <v>432</v>
      </c>
      <c r="X1657" s="664" t="s">
        <v>432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432</v>
      </c>
      <c r="X1658" s="664" t="s">
        <v>432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432</v>
      </c>
      <c r="X1659" s="664" t="s">
        <v>432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432</v>
      </c>
      <c r="X1660" s="664" t="s">
        <v>432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432</v>
      </c>
      <c r="X1661" s="664" t="s">
        <v>432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432</v>
      </c>
      <c r="X1662" s="664" t="s">
        <v>432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432</v>
      </c>
      <c r="X1663" s="664" t="s">
        <v>432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432</v>
      </c>
      <c r="X1664" s="664" t="s">
        <v>432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432</v>
      </c>
      <c r="X1665" s="664" t="s">
        <v>432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432</v>
      </c>
      <c r="X1666" s="664" t="s">
        <v>432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432</v>
      </c>
      <c r="X1667" s="664" t="s">
        <v>432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432</v>
      </c>
      <c r="X1668" s="664" t="s">
        <v>432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432</v>
      </c>
      <c r="X1669" s="664" t="s">
        <v>432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432</v>
      </c>
      <c r="X1670" s="664" t="s">
        <v>432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432</v>
      </c>
      <c r="X1671" s="664" t="s">
        <v>432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432</v>
      </c>
      <c r="X1672" s="664" t="s">
        <v>432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432</v>
      </c>
      <c r="X1673" s="664" t="s">
        <v>432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432</v>
      </c>
      <c r="X1674" s="664" t="s">
        <v>432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432</v>
      </c>
      <c r="X1675" s="664" t="s">
        <v>432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432</v>
      </c>
      <c r="X1676" s="664" t="s">
        <v>432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432</v>
      </c>
      <c r="X1677" s="664" t="s">
        <v>432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432</v>
      </c>
      <c r="X1678" s="664" t="s">
        <v>432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432</v>
      </c>
      <c r="X1679" s="664" t="s">
        <v>432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432</v>
      </c>
      <c r="X1680" s="664" t="s">
        <v>432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432</v>
      </c>
      <c r="X1681" s="664" t="s">
        <v>432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432</v>
      </c>
      <c r="X1682" s="664" t="s">
        <v>432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432</v>
      </c>
      <c r="X1683" s="664" t="s">
        <v>432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432</v>
      </c>
      <c r="X1684" s="664" t="s">
        <v>432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432</v>
      </c>
      <c r="X1685" s="664" t="s">
        <v>432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432</v>
      </c>
      <c r="X1686" s="664" t="s">
        <v>432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432</v>
      </c>
      <c r="X1687" s="664" t="s">
        <v>432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432</v>
      </c>
      <c r="X1688" s="664" t="s">
        <v>432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432</v>
      </c>
      <c r="X1689" s="664" t="s">
        <v>432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432</v>
      </c>
      <c r="X1690" s="664" t="s">
        <v>432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432</v>
      </c>
      <c r="X1691" s="664" t="s">
        <v>432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432</v>
      </c>
      <c r="X1692" s="664" t="s">
        <v>432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432</v>
      </c>
      <c r="X1693" s="664" t="s">
        <v>432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432</v>
      </c>
      <c r="X1694" s="664" t="s">
        <v>432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432</v>
      </c>
      <c r="X1695" s="664" t="s">
        <v>432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432</v>
      </c>
      <c r="X1696" s="664" t="s">
        <v>432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432</v>
      </c>
      <c r="X1697" s="664" t="s">
        <v>432</v>
      </c>
    </row>
    <row r="1698" spans="1:24" ht="11.25" customHeight="1">
      <c r="A1698" s="611">
        <v>48</v>
      </c>
      <c r="B1698" s="127"/>
      <c r="K1698" s="71"/>
      <c r="L1698" s="676" t="s">
        <v>432</v>
      </c>
      <c r="X1698" s="664" t="s">
        <v>432</v>
      </c>
    </row>
    <row r="1699" spans="1:24" ht="11.25" customHeight="1" thickBot="1">
      <c r="A1699" s="611">
        <v>49</v>
      </c>
      <c r="B1699" s="98"/>
      <c r="C1699" s="83"/>
      <c r="D1699" s="83"/>
      <c r="E1699" s="83"/>
      <c r="F1699" s="83"/>
      <c r="G1699" s="83"/>
      <c r="H1699" s="83"/>
      <c r="I1699" s="83"/>
      <c r="J1699" s="83"/>
      <c r="K1699" s="86"/>
      <c r="L1699" s="676" t="s">
        <v>432</v>
      </c>
      <c r="X1699" s="664" t="s">
        <v>432</v>
      </c>
    </row>
    <row r="1700" spans="1:24" ht="11.25" customHeight="1" thickTop="1">
      <c r="A1700" s="611">
        <v>50</v>
      </c>
      <c r="L1700" s="676" t="s">
        <v>432</v>
      </c>
      <c r="X1700" s="664" t="s">
        <v>432</v>
      </c>
    </row>
    <row r="1701" spans="1:24" ht="11.25" customHeight="1">
      <c r="A1701" s="611">
        <v>51</v>
      </c>
      <c r="L1701" s="676" t="s">
        <v>432</v>
      </c>
      <c r="X1701" s="664" t="s">
        <v>432</v>
      </c>
    </row>
    <row r="1702" spans="1:24" ht="11.25" customHeight="1">
      <c r="A1702" s="611">
        <v>52</v>
      </c>
      <c r="L1702" s="676" t="s">
        <v>432</v>
      </c>
      <c r="X1702" s="664" t="s">
        <v>432</v>
      </c>
    </row>
    <row r="1703" spans="1:24" ht="11.25" customHeight="1">
      <c r="A1703" s="611">
        <v>53</v>
      </c>
      <c r="L1703" s="676" t="s">
        <v>432</v>
      </c>
      <c r="X1703" s="664" t="s">
        <v>432</v>
      </c>
    </row>
    <row r="1704" spans="1:24" ht="11.25" customHeight="1">
      <c r="A1704" s="611">
        <v>54</v>
      </c>
      <c r="L1704" s="676" t="s">
        <v>432</v>
      </c>
      <c r="X1704" s="664" t="s">
        <v>432</v>
      </c>
    </row>
    <row r="1705" spans="1:24" ht="11.25" customHeight="1">
      <c r="A1705" s="611">
        <v>55</v>
      </c>
      <c r="L1705" s="676" t="s">
        <v>432</v>
      </c>
      <c r="X1705" s="664" t="s">
        <v>432</v>
      </c>
    </row>
    <row r="1706" spans="1:24" ht="11.25" customHeight="1">
      <c r="A1706" s="611">
        <v>56</v>
      </c>
      <c r="L1706" s="676" t="s">
        <v>432</v>
      </c>
      <c r="X1706" s="664" t="s">
        <v>432</v>
      </c>
    </row>
    <row r="1707" spans="1:24" ht="11.25" customHeight="1">
      <c r="A1707" s="611">
        <v>57</v>
      </c>
      <c r="L1707" s="676" t="s">
        <v>432</v>
      </c>
      <c r="X1707" s="664" t="s">
        <v>432</v>
      </c>
    </row>
    <row r="1708" spans="1:24" ht="11.25" customHeight="1">
      <c r="A1708" s="611">
        <v>58</v>
      </c>
      <c r="L1708" s="676" t="s">
        <v>432</v>
      </c>
      <c r="X1708" s="664" t="s">
        <v>432</v>
      </c>
    </row>
    <row r="1709" spans="1:24" ht="11.25" customHeight="1">
      <c r="A1709" s="611">
        <v>59</v>
      </c>
      <c r="L1709" s="676" t="s">
        <v>432</v>
      </c>
      <c r="X1709" s="664" t="s">
        <v>432</v>
      </c>
    </row>
    <row r="1710" spans="1:24" ht="11.25" customHeight="1">
      <c r="A1710" s="611">
        <v>60</v>
      </c>
      <c r="L1710" s="676" t="s">
        <v>432</v>
      </c>
      <c r="X1710" s="664" t="s">
        <v>432</v>
      </c>
    </row>
    <row r="1711" spans="1:24" ht="11.25" customHeight="1">
      <c r="A1711" s="611">
        <v>61</v>
      </c>
      <c r="L1711" s="676" t="s">
        <v>432</v>
      </c>
      <c r="X1711" s="664" t="s">
        <v>432</v>
      </c>
    </row>
    <row r="1712" spans="1:24" ht="11.25" customHeight="1">
      <c r="A1712" s="611">
        <v>62</v>
      </c>
      <c r="L1712" s="676" t="s">
        <v>432</v>
      </c>
      <c r="X1712" s="664" t="s">
        <v>432</v>
      </c>
    </row>
    <row r="1713" spans="1:24" ht="11.25" customHeight="1">
      <c r="A1713" s="611">
        <v>63</v>
      </c>
      <c r="L1713" s="676" t="s">
        <v>432</v>
      </c>
      <c r="X1713" s="664" t="s">
        <v>432</v>
      </c>
    </row>
    <row r="1714" spans="1:24" ht="11.25" customHeight="1">
      <c r="A1714" s="611">
        <v>64</v>
      </c>
      <c r="L1714" s="676" t="s">
        <v>432</v>
      </c>
      <c r="X1714" s="664" t="s">
        <v>432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432</v>
      </c>
      <c r="X1715" s="664" t="s">
        <v>432</v>
      </c>
    </row>
    <row r="1716" spans="1:24" ht="11.25" customHeight="1">
      <c r="A1716" s="611">
        <v>66</v>
      </c>
      <c r="B1716" s="52" t="str">
        <v>Room Number:</v>
      </c>
      <c r="C1716" s="373" t="str">
        <v/>
      </c>
      <c r="E1716" s="51"/>
      <c r="F1716" s="51"/>
      <c r="G1716" s="51"/>
      <c r="H1716" s="51"/>
      <c r="I1716" s="52" t="str">
        <v>Survey ID:</v>
      </c>
      <c r="J1716" s="1045" t="str">
        <v/>
      </c>
      <c r="L1716" s="676" t="s">
        <v>432</v>
      </c>
      <c r="X1716" s="664" t="s">
        <v>432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4">
    <mergeCell ref="E1201:F1201"/>
    <mergeCell ref="E1199:F1199"/>
    <mergeCell ref="Z657:AA657"/>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J872:J874"/>
    <mergeCell ref="J885:J886"/>
    <mergeCell ref="M126:N126"/>
    <mergeCell ref="M137:N137"/>
    <mergeCell ref="M135:N135"/>
    <mergeCell ref="M136:N136"/>
    <mergeCell ref="M130:N130"/>
    <mergeCell ref="M131:N131"/>
    <mergeCell ref="M132:N132"/>
    <mergeCell ref="M133:N133"/>
    <mergeCell ref="M134:N134"/>
    <mergeCell ref="I504:J50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C1097:D1097"/>
    <mergeCell ref="E1097:F1097"/>
    <mergeCell ref="G1097:H1097"/>
    <mergeCell ref="I1097:J1097"/>
    <mergeCell ref="F573:H573"/>
    <mergeCell ref="J887:J889"/>
    <mergeCell ref="C1099:D1099"/>
    <mergeCell ref="O1098:P1098"/>
    <mergeCell ref="O1100:P1100"/>
    <mergeCell ref="Q1098:R1098"/>
    <mergeCell ref="Q1100:R1100"/>
    <mergeCell ref="G1099:H1099"/>
    <mergeCell ref="E1099:F1099"/>
    <mergeCell ref="C1163:D1163"/>
    <mergeCell ref="C1165:D1165"/>
    <mergeCell ref="E1165:F1165"/>
    <mergeCell ref="E1163:F1163"/>
    <mergeCell ref="G1163:H1163"/>
    <mergeCell ref="G1165:H1165"/>
  </mergeCells>
  <phoneticPr fontId="20" type="noConversion"/>
  <conditionalFormatting sqref="C1081:H1081 J1081 C1097:J1097 C1099:J1099 I1100">
    <cfRule type="cellIs" dxfId="89" priority="19" operator="equal">
      <formula>"NO"</formula>
    </cfRule>
  </conditionalFormatting>
  <conditionalFormatting sqref="D622:E623 G637:H638">
    <cfRule type="cellIs" dxfId="88" priority="31" operator="greaterThan">
      <formula>0.02</formula>
    </cfRule>
  </conditionalFormatting>
  <conditionalFormatting sqref="E716 J716">
    <cfRule type="cellIs" dxfId="87" priority="28" operator="equal">
      <formula>"NO"</formula>
    </cfRule>
  </conditionalFormatting>
  <conditionalFormatting sqref="E901">
    <cfRule type="cellIs" dxfId="86" priority="22" operator="greaterThan">
      <formula>0.1</formula>
    </cfRule>
  </conditionalFormatting>
  <conditionalFormatting sqref="E758:F758 I758:J758">
    <cfRule type="cellIs" dxfId="85" priority="26" operator="greaterThan">
      <formula>0.05</formula>
    </cfRule>
  </conditionalFormatting>
  <conditionalFormatting sqref="E760:F760 I760:J760">
    <cfRule type="cellIs" dxfId="84" priority="25" operator="equal">
      <formula>"NO"</formula>
    </cfRule>
  </conditionalFormatting>
  <conditionalFormatting sqref="F482:F484">
    <cfRule type="cellIs" dxfId="83" priority="38" operator="greaterThan">
      <formula>0.02</formula>
    </cfRule>
  </conditionalFormatting>
  <conditionalFormatting sqref="G482:G484 J494 J506">
    <cfRule type="cellIs" dxfId="82" priority="39" operator="equal">
      <formula>"NO"</formula>
    </cfRule>
  </conditionalFormatting>
  <conditionalFormatting sqref="G537">
    <cfRule type="cellIs" dxfId="81" priority="35" operator="greaterThan">
      <formula>2</formula>
    </cfRule>
  </conditionalFormatting>
  <conditionalFormatting sqref="H575:H576">
    <cfRule type="cellIs" dxfId="80" priority="33" operator="greaterThan">
      <formula>0.03</formula>
    </cfRule>
  </conditionalFormatting>
  <conditionalFormatting sqref="H814:H823 H829 K829">
    <cfRule type="cellIs" dxfId="79" priority="24" operator="equal">
      <formula>"NO"</formula>
    </cfRule>
  </conditionalFormatting>
  <conditionalFormatting sqref="H1394:H1401 J1401 H1407:H1412 J1412">
    <cfRule type="cellIs" dxfId="78" priority="14" operator="equal">
      <formula>"NO"</formula>
    </cfRule>
  </conditionalFormatting>
  <conditionalFormatting sqref="H554:K555 F575:G576">
    <cfRule type="cellIs" dxfId="77" priority="34"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6" priority="41" operator="equal">
      <formula>"TBD"</formula>
    </cfRule>
  </conditionalFormatting>
  <conditionalFormatting sqref="I637:I638">
    <cfRule type="cellIs" dxfId="75" priority="30" operator="greaterThan">
      <formula>0.03</formula>
    </cfRule>
  </conditionalFormatting>
  <conditionalFormatting sqref="I939">
    <cfRule type="cellIs" dxfId="74" priority="21" operator="equal">
      <formula>"NO"</formula>
    </cfRule>
  </conditionalFormatting>
  <conditionalFormatting sqref="I504:J504">
    <cfRule type="cellIs" dxfId="73" priority="37" operator="lessThan">
      <formula>160</formula>
    </cfRule>
  </conditionalFormatting>
  <conditionalFormatting sqref="J160:J169">
    <cfRule type="cellIs" dxfId="72" priority="12" operator="equal">
      <formula>"TBD"</formula>
    </cfRule>
  </conditionalFormatting>
  <conditionalFormatting sqref="J537 H560:K561 I575:K576">
    <cfRule type="cellIs" dxfId="71" priority="36" operator="equal">
      <formula>"NO"</formula>
    </cfRule>
  </conditionalFormatting>
  <conditionalFormatting sqref="J608 H622:K623 J637:K638">
    <cfRule type="cellIs" dxfId="70" priority="32" operator="equal">
      <formula>"NO"</formula>
    </cfRule>
  </conditionalFormatting>
  <conditionalFormatting sqref="J679">
    <cfRule type="cellIs" dxfId="69" priority="29" operator="equal">
      <formula>"NO"</formula>
    </cfRule>
  </conditionalFormatting>
  <conditionalFormatting sqref="J707:J712 E707:E714">
    <cfRule type="cellIs" dxfId="68" priority="27" operator="greaterThan">
      <formula>0.05</formula>
    </cfRule>
  </conditionalFormatting>
  <conditionalFormatting sqref="J1080">
    <cfRule type="cellIs" dxfId="67" priority="18" operator="greaterThan">
      <formula>0.35</formula>
    </cfRule>
  </conditionalFormatting>
  <conditionalFormatting sqref="J1129 C1147:H1147 J1147 C1163:J1163 C1165:J1165 I1166">
    <cfRule type="cellIs" dxfId="66" priority="17" operator="equal">
      <formula>"NO"</formula>
    </cfRule>
  </conditionalFormatting>
  <conditionalFormatting sqref="J1146">
    <cfRule type="cellIs" dxfId="65" priority="16" operator="greaterThan">
      <formula>0.35</formula>
    </cfRule>
  </conditionalFormatting>
  <conditionalFormatting sqref="K54:K63 K72:K79 K82:K88 K92:K97 K101:K113 K116:K129 K138:K139 K142:K145 K148:K151 K154:K157 K468:K474 K586:K588 K649:K651 K913:K920 K1026:K1028">
    <cfRule type="cellIs" dxfId="64" priority="40" operator="equal">
      <formula>"NO"</formula>
    </cfRule>
  </conditionalFormatting>
  <conditionalFormatting sqref="K160:K169">
    <cfRule type="cellIs" dxfId="63" priority="11" operator="equal">
      <formula>"NO"</formula>
    </cfRule>
  </conditionalFormatting>
  <conditionalFormatting sqref="K871 K874 K886 K889 G901">
    <cfRule type="cellIs" dxfId="62" priority="23" operator="equal">
      <formula>"NO"</formula>
    </cfRule>
  </conditionalFormatting>
  <conditionalFormatting sqref="K1012">
    <cfRule type="cellIs" dxfId="61" priority="20" operator="equal">
      <formula>"NO"</formula>
    </cfRule>
  </conditionalFormatting>
  <conditionalFormatting sqref="M590">
    <cfRule type="expression" dxfId="60" priority="93" stopIfTrue="1">
      <formula>$M$589=1</formula>
    </cfRule>
  </conditionalFormatting>
  <conditionalFormatting sqref="M654">
    <cfRule type="expression" dxfId="59" priority="92" stopIfTrue="1">
      <formula>$M$653=1</formula>
    </cfRule>
  </conditionalFormatting>
  <conditionalFormatting sqref="N1081 N1147">
    <cfRule type="expression" dxfId="58" priority="66" stopIfTrue="1">
      <formula>OR(O1081="NO",P1081="NO",Q1081="NO",R1081="NO",S1081="NO",T1081="NO")</formula>
    </cfRule>
    <cfRule type="expression" dxfId="57" priority="67" stopIfTrue="1">
      <formula>OR(O1081="YES",P1081="YES",Q1081="YES",R1081="YES",S1081="YES",T1081="YES")</formula>
    </cfRule>
  </conditionalFormatting>
  <conditionalFormatting sqref="N1098 N1100 N1164 N1166">
    <cfRule type="expression" dxfId="56" priority="64" stopIfTrue="1">
      <formula>OR(O1098="NO",Q1098="NO",S1098="NO",U1098="NO")</formula>
    </cfRule>
    <cfRule type="expression" dxfId="55" priority="65" stopIfTrue="1">
      <formula>OR(O1098="YES",Q1098="YES",S1098="YES",U1098="YES")</formula>
    </cfRule>
  </conditionalFormatting>
  <conditionalFormatting sqref="Q1406:S1406 Q1421:S1421">
    <cfRule type="expression" dxfId="54" priority="97" stopIfTrue="1">
      <formula>ABS(Q1406)&lt;=0.25</formula>
    </cfRule>
    <cfRule type="expression" dxfId="53" priority="98" stopIfTrue="1">
      <formula>ABS(Q1406)&gt;0.25</formula>
    </cfRule>
  </conditionalFormatting>
  <conditionalFormatting sqref="S482:S484">
    <cfRule type="cellIs" dxfId="52" priority="13" operator="greaterThan">
      <formula>0.02</formula>
    </cfRule>
  </conditionalFormatting>
  <conditionalFormatting sqref="T1">
    <cfRule type="expression" dxfId="51" priority="96" stopIfTrue="1">
      <formula>AND($T$1="",$T$2="",$T$3="",$T$4="",$T$5="",$T$6="")</formula>
    </cfRule>
  </conditionalFormatting>
  <conditionalFormatting sqref="T2:T5">
    <cfRule type="expression" dxfId="50" priority="94" stopIfTrue="1">
      <formula>AND($T$1="",$T$2="",$T$3="",$T$4="",$T$5="",$T$6="")</formula>
    </cfRule>
  </conditionalFormatting>
  <conditionalFormatting sqref="T6">
    <cfRule type="expression" dxfId="49" priority="95" stopIfTrue="1">
      <formula>AND($T$1="",$T$2="",$T$3="",$T$4="",$T$5="",$T$6="")</formula>
    </cfRule>
  </conditionalFormatting>
  <conditionalFormatting sqref="T481 V877 V879 V892 V894 V902">
    <cfRule type="expression" dxfId="48" priority="76" stopIfTrue="1">
      <formula>T482="YES"</formula>
    </cfRule>
    <cfRule type="expression" dxfId="47" priority="77" stopIfTrue="1">
      <formula>T482="NO"</formula>
    </cfRule>
  </conditionalFormatting>
  <conditionalFormatting sqref="T482:T484 V494 V506 U537 U547 T560:W561 U575:W576 U608 T622:W623 U639:W640 V704 V721 V878 V880 V893 V895 V903 S958:S959 W1064 V1081 U1100:U1101 W1130 V1147 U1166:U1167 V1406 V1421">
    <cfRule type="expression" dxfId="46" priority="83"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5" priority="82" stopIfTrue="1">
      <formula>S482="YES"</formula>
    </cfRule>
  </conditionalFormatting>
  <conditionalFormatting sqref="T754">
    <cfRule type="expression" dxfId="44" priority="72" stopIfTrue="1">
      <formula>OR(U754="NO",V754="NO",W754="NO")</formula>
    </cfRule>
    <cfRule type="expression" dxfId="43" priority="73" stopIfTrue="1">
      <formula>OR(AND(W754&lt;&gt;"NO",OR(AND(U754="YES",V754&lt;&gt;"NO"),AND(V754="YES",U754&lt;&gt;"NO"))),AND(W754="YES",U754&lt;&gt;"NO",V754&lt;&gt;"NO"))</formula>
    </cfRule>
  </conditionalFormatting>
  <conditionalFormatting sqref="T557:V557 T619:V619">
    <cfRule type="expression" dxfId="42" priority="50" stopIfTrue="1">
      <formula>OR(T560="NO",U560="NO",V560="NO",W560="NO",T561="NO",U561="NO",V561="NO",W561="NO")</formula>
    </cfRule>
    <cfRule type="expression" dxfId="41" priority="51" stopIfTrue="1">
      <formula>OR(T560="YES",U560="YES",V560="YES",W560="YES",T561="YES",U561="YES",V561="YES",W561="YES")</formula>
    </cfRule>
  </conditionalFormatting>
  <conditionalFormatting sqref="U113:U123">
    <cfRule type="cellIs" dxfId="40" priority="7" operator="equal">
      <formula>"Pass"</formula>
    </cfRule>
    <cfRule type="cellIs" dxfId="39" priority="8" operator="equal">
      <formula>"Fail"</formula>
    </cfRule>
  </conditionalFormatting>
  <conditionalFormatting sqref="U494 U506 T537 T547 T608 U704 U721 R958:R959 V1064 U1081 T1101 V1130 U1147 T1167 U1406 U1421">
    <cfRule type="expression" dxfId="38" priority="46" stopIfTrue="1">
      <formula>S494="YES"</formula>
    </cfRule>
    <cfRule type="expression" dxfId="37" priority="47" stopIfTrue="1">
      <formula>S494="NO"</formula>
    </cfRule>
  </conditionalFormatting>
  <conditionalFormatting sqref="U573 U637">
    <cfRule type="expression" dxfId="36" priority="48" stopIfTrue="1">
      <formula>OR(U575="NO",V575="NO",U576="NO",V576="NO")</formula>
    </cfRule>
    <cfRule type="expression" dxfId="35" priority="49" stopIfTrue="1">
      <formula>OR(U575="YES",V575="YES",U576="YES",V576="YES")</formula>
    </cfRule>
  </conditionalFormatting>
  <conditionalFormatting sqref="U774">
    <cfRule type="expression" dxfId="34" priority="74" stopIfTrue="1">
      <formula>OR(V774="NO",W774="NO")</formula>
    </cfRule>
    <cfRule type="expression" dxfId="33" priority="75" stopIfTrue="1">
      <formula>OR(AND(V774="YES",W774&lt;&gt;"NO"),AND(W774="YES",V774&lt;&gt;"NO"))</formula>
    </cfRule>
  </conditionalFormatting>
  <conditionalFormatting sqref="U826">
    <cfRule type="expression" dxfId="32" priority="52" stopIfTrue="1">
      <formula>AND(OR($O$805=3,$O$805="HF",$O$805="CP"),OR(U828="NO",U829="NO",U830="NO",U831="NO",U832="NO",U833="NO",U834="NO",U835="NO",U836="NO",U837="NO"))</formula>
    </cfRule>
  </conditionalFormatting>
  <conditionalFormatting sqref="U827">
    <cfRule type="expression" dxfId="31" priority="53" stopIfTrue="1">
      <formula>AND(OR($O$805=3,$O$805="HF",$O$805="CP"),OR(U828="NO",U829="NO",U830="NO",U831="NO",U832="NO",U833="NO",U834="NO",U835="NO",U836="NO",U837="NO"))</formula>
    </cfRule>
  </conditionalFormatting>
  <conditionalFormatting sqref="U828:U837">
    <cfRule type="expression" dxfId="30" priority="86" stopIfTrue="1">
      <formula>AND(OR($O$805=3,$O$805="HF",$O$805="CP"),U828="NO")</formula>
    </cfRule>
    <cfRule type="expression" dxfId="29" priority="87" stopIfTrue="1">
      <formula>AND(OR($O$805=3,$O$805="HF",$O$805="CP"),U828="YES")</formula>
    </cfRule>
  </conditionalFormatting>
  <conditionalFormatting sqref="U753:W753 V773:W773">
    <cfRule type="expression" dxfId="28" priority="70" stopIfTrue="1">
      <formula>U754="NO"</formula>
    </cfRule>
    <cfRule type="expression" dxfId="27" priority="71" stopIfTrue="1">
      <formula>U754="YES"</formula>
    </cfRule>
  </conditionalFormatting>
  <conditionalFormatting sqref="U754:W754">
    <cfRule type="expression" dxfId="26" priority="5" stopIfTrue="1">
      <formula>U754="NO"</formula>
    </cfRule>
    <cfRule type="expression" dxfId="25" priority="6" stopIfTrue="1">
      <formula>U754="YES"</formula>
    </cfRule>
  </conditionalFormatting>
  <conditionalFormatting sqref="V826">
    <cfRule type="expression" dxfId="24" priority="54" stopIfTrue="1">
      <formula>AND($O$805=1,OR(V828="NO",V829="NO",V830="NO",V831="NO",V832="NO",V833="NO",V834="NO",V835="NO",V836="NO",V837="NO"))</formula>
    </cfRule>
  </conditionalFormatting>
  <conditionalFormatting sqref="V827">
    <cfRule type="expression" dxfId="23" priority="55" stopIfTrue="1">
      <formula>AND($O$805=1,OR(V828="NO",V829="NO",V830="NO",V831="NO",V832="NO",V833="NO",V834="NO",V835="NO",V836="NO",V837="NO"))</formula>
    </cfRule>
  </conditionalFormatting>
  <conditionalFormatting sqref="V828:V837">
    <cfRule type="expression" dxfId="22" priority="88" stopIfTrue="1">
      <formula>AND($O$805=1,V828="NO")</formula>
    </cfRule>
    <cfRule type="expression" dxfId="21" priority="89" stopIfTrue="1">
      <formula>AND($O$805=1,V828="YES")</formula>
    </cfRule>
  </conditionalFormatting>
  <conditionalFormatting sqref="V876 V891">
    <cfRule type="expression" dxfId="20" priority="78" stopIfTrue="1">
      <formula>OR(AND(V878="YES",V880&lt;&gt;"NO"),AND(V878&lt;&gt;"NO",V880="YES"))</formula>
    </cfRule>
    <cfRule type="expression" dxfId="19" priority="79" stopIfTrue="1">
      <formula>OR(V878="NO",V880="NO")</formula>
    </cfRule>
  </conditionalFormatting>
  <conditionalFormatting sqref="V901">
    <cfRule type="expression" dxfId="18" priority="80" stopIfTrue="1">
      <formula>V903="YES"</formula>
    </cfRule>
    <cfRule type="expression" dxfId="17" priority="81" stopIfTrue="1">
      <formula>V903="NO"</formula>
    </cfRule>
  </conditionalFormatting>
  <conditionalFormatting sqref="V1003:V1006 V1008:V1011">
    <cfRule type="cellIs" dxfId="16" priority="99" stopIfTrue="1" operator="notEqual">
      <formula>""</formula>
    </cfRule>
  </conditionalFormatting>
  <conditionalFormatting sqref="V1013:V1015">
    <cfRule type="expression" dxfId="15" priority="58" stopIfTrue="1">
      <formula>W1013="NO"</formula>
    </cfRule>
    <cfRule type="expression" dxfId="14" priority="59" stopIfTrue="1">
      <formula>W1013="YES"</formula>
    </cfRule>
  </conditionalFormatting>
  <conditionalFormatting sqref="V774:W774 W1013:W1015 O1081:T1081 O1098 Q1098 S1098 U1098 O1100 Q1100 S1100 O1147:T1147 O1164 Q1164 S1164 U1164 O1166 Q1166 S1166 U1100 U1166">
    <cfRule type="expression" dxfId="13" priority="85" stopIfTrue="1">
      <formula>O774="YES"</formula>
    </cfRule>
  </conditionalFormatting>
  <conditionalFormatting sqref="V774:W774 W1013:W1015 O1081:T1081 O1098 Q1098 S1098 U1098 O1100 Q1100 S1100 O1147:T1147 O1164 Q1164 S1164 U1164 O1166 Q1166 S1166">
    <cfRule type="expression" dxfId="12" priority="84" stopIfTrue="1">
      <formula>O774="NO"</formula>
    </cfRule>
  </conditionalFormatting>
  <conditionalFormatting sqref="V1012:W1012">
    <cfRule type="expression" dxfId="11" priority="60" stopIfTrue="1">
      <formula>OR(W1015="NO",AND(W1015&lt;&gt;"YES",OR(W1013="NO",W1014="NO")))</formula>
    </cfRule>
    <cfRule type="expression" dxfId="10" priority="61" stopIfTrue="1">
      <formula>AND(W1015&lt;&gt;"NO",OR(W1013="YES",W1014="YES"))</formula>
    </cfRule>
  </conditionalFormatting>
  <conditionalFormatting sqref="W557 W619">
    <cfRule type="expression" dxfId="9" priority="68" stopIfTrue="1">
      <formula>OR(T560="NO",U560="NO",V560="NO",W560="NO",T561="NO",U561="NO",V561="NO",W561="NO")</formula>
    </cfRule>
    <cfRule type="expression" dxfId="8" priority="69" stopIfTrue="1">
      <formula>OR(T560="YES",U560="YES",V560="YES",W560="YES",T561="YES",U561="YES",V561="YES",W561="YES")</formula>
    </cfRule>
  </conditionalFormatting>
  <conditionalFormatting sqref="W826">
    <cfRule type="expression" dxfId="7" priority="56" stopIfTrue="1">
      <formula>AND($O$805="Dent",OR(W828="NO",W829="NO",W830="NO",W831="NO",W832="NO",W833="NO",W834="NO",W835="NO",W836="NO",W837="NO"))</formula>
    </cfRule>
  </conditionalFormatting>
  <conditionalFormatting sqref="W827">
    <cfRule type="expression" dxfId="6" priority="57" stopIfTrue="1">
      <formula>AND($O$805="Dent",OR(W828="NO",W829="NO",W830="NO",W831="NO",W832="NO",W833="NO",W834="NO",W835="NO",W836="NO",W837="NO"))</formula>
    </cfRule>
  </conditionalFormatting>
  <conditionalFormatting sqref="W828:W837">
    <cfRule type="expression" dxfId="5" priority="90" stopIfTrue="1">
      <formula>AND($O$805="Dent",W828="NO")</formula>
    </cfRule>
    <cfRule type="expression" dxfId="4" priority="91" stopIfTrue="1">
      <formula>AND($O$805="Dent",W828="YES")</formula>
    </cfRule>
  </conditionalFormatting>
  <conditionalFormatting sqref="Q1211">
    <cfRule type="cellIs" dxfId="3" priority="4" operator="equal">
      <formula>"NO"</formula>
    </cfRule>
  </conditionalFormatting>
  <conditionalFormatting sqref="G1210">
    <cfRule type="cellIs" dxfId="2" priority="3" operator="equal">
      <formula>"NO"</formula>
    </cfRule>
  </conditionalFormatting>
  <conditionalFormatting sqref="Q1203:Q1210">
    <cfRule type="cellIs" dxfId="1" priority="1" operator="lessThan">
      <formula>-0.35</formula>
    </cfRule>
    <cfRule type="cellIs" dxfId="0" priority="2" operator="greaterThan">
      <formula>0.35</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6"/>
  <cols>
    <col min="2" max="2" width="10.3984375" bestFit="1" customWidth="1"/>
  </cols>
  <sheetData>
    <row r="1" spans="1:2">
      <c r="A1" s="1233" t="s">
        <v>1201</v>
      </c>
    </row>
    <row r="2" spans="1:2">
      <c r="A2" s="1233" t="s">
        <v>1202</v>
      </c>
      <c r="B2" s="1233" t="s">
        <v>1203</v>
      </c>
    </row>
    <row r="3" spans="1:2">
      <c r="A3" s="1233" t="s">
        <v>1204</v>
      </c>
      <c r="B3" s="1233" t="s">
        <v>1205</v>
      </c>
    </row>
    <row r="5" spans="1:2">
      <c r="A5" s="1233" t="s">
        <v>1214</v>
      </c>
    </row>
    <row r="6" spans="1:2">
      <c r="A6" s="1233" t="s">
        <v>1215</v>
      </c>
      <c r="B6" s="1234" t="s">
        <v>1217</v>
      </c>
    </row>
    <row r="7" spans="1:2">
      <c r="A7" s="1233" t="s">
        <v>1216</v>
      </c>
      <c r="B7" s="1234" t="s">
        <v>1218</v>
      </c>
    </row>
    <row r="9" spans="1:2">
      <c r="A9" s="1292" t="s">
        <v>1130</v>
      </c>
      <c r="B9" s="1292"/>
    </row>
    <row r="10" spans="1:2">
      <c r="B10" t="s">
        <v>1129</v>
      </c>
    </row>
    <row r="11" spans="1:2">
      <c r="A11" t="s">
        <v>1132</v>
      </c>
      <c r="B11">
        <v>0.1</v>
      </c>
    </row>
    <row r="12" spans="1:2">
      <c r="A12" t="s">
        <v>1131</v>
      </c>
      <c r="B12">
        <v>1</v>
      </c>
    </row>
    <row r="13" spans="1:2">
      <c r="A13" t="s">
        <v>1137</v>
      </c>
      <c r="B13">
        <v>10</v>
      </c>
    </row>
    <row r="14" spans="1:2">
      <c r="A14" t="s">
        <v>1127</v>
      </c>
      <c r="B14">
        <v>100</v>
      </c>
    </row>
    <row r="15" spans="1:2">
      <c r="A15" t="s">
        <v>1129</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election activeCell="Y4" sqref="Y4"/>
    </sheetView>
  </sheetViews>
  <sheetFormatPr defaultRowHeight="15.6"/>
  <sheetData>
    <row r="1" spans="1:25">
      <c r="A1" s="190" t="s">
        <v>1174</v>
      </c>
      <c r="P1" s="190" t="s">
        <v>1174</v>
      </c>
      <c r="R1" s="190" t="s">
        <v>1174</v>
      </c>
    </row>
    <row r="3" spans="1:25">
      <c r="A3" s="1183" t="s">
        <v>1175</v>
      </c>
      <c r="B3" s="1183" t="s">
        <v>1176</v>
      </c>
      <c r="C3" s="1183" t="s">
        <v>1177</v>
      </c>
      <c r="D3" s="1183" t="s">
        <v>1206</v>
      </c>
      <c r="E3" s="1183" t="s">
        <v>1178</v>
      </c>
      <c r="F3" s="1183" t="s">
        <v>1179</v>
      </c>
      <c r="G3" s="1183" t="s">
        <v>1180</v>
      </c>
      <c r="H3" s="1183" t="s">
        <v>1207</v>
      </c>
      <c r="I3" s="1183" t="s">
        <v>1181</v>
      </c>
      <c r="J3" s="1183" t="s">
        <v>1182</v>
      </c>
      <c r="K3" s="1183" t="s">
        <v>1183</v>
      </c>
      <c r="L3" s="1183" t="s">
        <v>1184</v>
      </c>
      <c r="M3" s="1183" t="s">
        <v>1208</v>
      </c>
      <c r="N3" s="1183" t="s">
        <v>1209</v>
      </c>
      <c r="P3" s="1183" t="s">
        <v>1185</v>
      </c>
      <c r="R3" s="1183" t="s">
        <v>1175</v>
      </c>
      <c r="S3" s="1183" t="s">
        <v>1176</v>
      </c>
      <c r="T3" s="1183" t="s">
        <v>1206</v>
      </c>
      <c r="U3" s="1183" t="s">
        <v>1177</v>
      </c>
      <c r="V3" s="1183" t="s">
        <v>1211</v>
      </c>
      <c r="W3" s="1183" t="s">
        <v>1212</v>
      </c>
      <c r="X3" s="1183" t="s">
        <v>1128</v>
      </c>
      <c r="Y3" s="1183" t="s">
        <v>1213</v>
      </c>
    </row>
    <row r="4" spans="1:25">
      <c r="A4">
        <v>60</v>
      </c>
      <c r="B4">
        <v>400</v>
      </c>
      <c r="C4">
        <v>20</v>
      </c>
      <c r="D4">
        <v>0.05</v>
      </c>
      <c r="E4">
        <v>0</v>
      </c>
      <c r="F4" t="s">
        <v>71</v>
      </c>
      <c r="R4">
        <v>60</v>
      </c>
      <c r="S4">
        <v>100</v>
      </c>
      <c r="T4">
        <v>0.1</v>
      </c>
      <c r="U4">
        <v>10</v>
      </c>
    </row>
    <row r="5" spans="1:25">
      <c r="A5">
        <v>80</v>
      </c>
      <c r="B5">
        <v>400</v>
      </c>
      <c r="C5">
        <v>20</v>
      </c>
      <c r="D5">
        <v>0.05</v>
      </c>
      <c r="E5">
        <v>0</v>
      </c>
      <c r="F5" t="s">
        <v>71</v>
      </c>
      <c r="R5">
        <v>80</v>
      </c>
      <c r="S5">
        <v>50</v>
      </c>
      <c r="T5">
        <v>0.2</v>
      </c>
      <c r="U5">
        <v>10</v>
      </c>
    </row>
    <row r="6" spans="1:25">
      <c r="A6">
        <v>80</v>
      </c>
      <c r="B6">
        <v>400</v>
      </c>
      <c r="C6">
        <v>20</v>
      </c>
      <c r="D6">
        <v>0.05</v>
      </c>
      <c r="E6">
        <v>0</v>
      </c>
      <c r="F6" t="s">
        <v>71</v>
      </c>
      <c r="R6">
        <v>100</v>
      </c>
      <c r="S6">
        <v>50</v>
      </c>
      <c r="T6">
        <v>0.2</v>
      </c>
      <c r="U6">
        <v>10</v>
      </c>
    </row>
    <row r="7" spans="1:25">
      <c r="A7">
        <v>80</v>
      </c>
      <c r="B7">
        <v>400</v>
      </c>
      <c r="C7">
        <v>20</v>
      </c>
      <c r="D7">
        <v>0.05</v>
      </c>
      <c r="E7">
        <v>0</v>
      </c>
      <c r="F7" t="s">
        <v>71</v>
      </c>
      <c r="R7">
        <v>120</v>
      </c>
      <c r="S7">
        <v>25</v>
      </c>
      <c r="T7">
        <v>0.4</v>
      </c>
      <c r="U7">
        <v>10</v>
      </c>
    </row>
    <row r="8" spans="1:25">
      <c r="A8">
        <v>80</v>
      </c>
      <c r="B8">
        <v>400</v>
      </c>
      <c r="C8">
        <v>20</v>
      </c>
      <c r="D8">
        <v>0.05</v>
      </c>
      <c r="E8">
        <v>0</v>
      </c>
      <c r="F8" t="s">
        <v>71</v>
      </c>
    </row>
    <row r="9" spans="1:25">
      <c r="A9">
        <v>80</v>
      </c>
      <c r="B9">
        <v>400</v>
      </c>
      <c r="C9">
        <v>20</v>
      </c>
      <c r="D9">
        <v>0.05</v>
      </c>
      <c r="E9">
        <v>0</v>
      </c>
      <c r="F9" t="s">
        <v>71</v>
      </c>
    </row>
    <row r="10" spans="1:25">
      <c r="A10">
        <v>80</v>
      </c>
      <c r="B10">
        <v>400</v>
      </c>
      <c r="C10">
        <v>20</v>
      </c>
      <c r="D10">
        <v>0.05</v>
      </c>
      <c r="E10">
        <v>3</v>
      </c>
      <c r="F10" t="s">
        <v>71</v>
      </c>
    </row>
    <row r="11" spans="1:25">
      <c r="A11">
        <v>80</v>
      </c>
      <c r="B11">
        <v>400</v>
      </c>
      <c r="C11">
        <v>20</v>
      </c>
      <c r="D11">
        <v>0.05</v>
      </c>
      <c r="E11">
        <v>3</v>
      </c>
      <c r="F11" t="s">
        <v>71</v>
      </c>
    </row>
    <row r="12" spans="1:25">
      <c r="A12">
        <v>80</v>
      </c>
      <c r="B12">
        <v>400</v>
      </c>
      <c r="C12">
        <v>20</v>
      </c>
      <c r="D12">
        <v>0.05</v>
      </c>
      <c r="E12">
        <v>3.5</v>
      </c>
      <c r="F12" t="s">
        <v>71</v>
      </c>
    </row>
    <row r="13" spans="1:25">
      <c r="A13">
        <v>80</v>
      </c>
      <c r="B13">
        <v>400</v>
      </c>
      <c r="C13">
        <v>20</v>
      </c>
      <c r="D13">
        <v>0.05</v>
      </c>
      <c r="E13">
        <v>3.5</v>
      </c>
      <c r="F13" t="s">
        <v>71</v>
      </c>
    </row>
    <row r="14" spans="1:25">
      <c r="A14">
        <v>80</v>
      </c>
      <c r="B14">
        <v>400</v>
      </c>
      <c r="C14">
        <v>20</v>
      </c>
      <c r="D14">
        <v>0.05</v>
      </c>
      <c r="E14">
        <v>2.5</v>
      </c>
      <c r="F14" t="s">
        <v>71</v>
      </c>
    </row>
    <row r="15" spans="1:25">
      <c r="A15">
        <v>80</v>
      </c>
      <c r="B15">
        <v>400</v>
      </c>
      <c r="C15">
        <v>20</v>
      </c>
      <c r="D15">
        <v>0.05</v>
      </c>
      <c r="E15">
        <v>2.5</v>
      </c>
      <c r="F15" t="s">
        <v>71</v>
      </c>
    </row>
    <row r="16" spans="1:25">
      <c r="A16">
        <v>80</v>
      </c>
      <c r="B16">
        <v>500</v>
      </c>
      <c r="C16">
        <v>25</v>
      </c>
      <c r="D16">
        <v>0.05</v>
      </c>
      <c r="E16">
        <v>0</v>
      </c>
      <c r="F16" t="s">
        <v>71</v>
      </c>
    </row>
    <row r="17" spans="1:6">
      <c r="A17">
        <v>80</v>
      </c>
      <c r="B17">
        <v>50</v>
      </c>
      <c r="C17">
        <v>2.5</v>
      </c>
      <c r="D17">
        <v>0.05</v>
      </c>
      <c r="E17">
        <v>0</v>
      </c>
      <c r="F17" t="s">
        <v>71</v>
      </c>
    </row>
    <row r="18" spans="1:6">
      <c r="A18">
        <v>80</v>
      </c>
      <c r="B18">
        <v>800</v>
      </c>
      <c r="C18">
        <v>40</v>
      </c>
      <c r="D18">
        <v>0.05</v>
      </c>
      <c r="E18">
        <v>0</v>
      </c>
      <c r="F18" t="s">
        <v>71</v>
      </c>
    </row>
    <row r="19" spans="1:6">
      <c r="A19">
        <v>80</v>
      </c>
      <c r="B19">
        <v>250</v>
      </c>
      <c r="C19">
        <v>12.5</v>
      </c>
      <c r="D19">
        <v>0.05</v>
      </c>
      <c r="E19">
        <v>0</v>
      </c>
      <c r="F19" t="s">
        <v>71</v>
      </c>
    </row>
    <row r="20" spans="1:6">
      <c r="A20">
        <v>100</v>
      </c>
      <c r="B20">
        <v>400</v>
      </c>
      <c r="C20">
        <v>20</v>
      </c>
      <c r="D20">
        <v>0.05</v>
      </c>
      <c r="E20">
        <v>0</v>
      </c>
      <c r="F20" t="s">
        <v>71</v>
      </c>
    </row>
    <row r="21" spans="1:6">
      <c r="A21">
        <v>120</v>
      </c>
      <c r="B21">
        <v>400</v>
      </c>
      <c r="C21">
        <v>20</v>
      </c>
      <c r="D21">
        <v>0.05</v>
      </c>
      <c r="E21">
        <v>0</v>
      </c>
      <c r="F21" t="s">
        <v>71</v>
      </c>
    </row>
    <row r="22" spans="1:6">
      <c r="A22">
        <v>140</v>
      </c>
      <c r="B22">
        <v>400</v>
      </c>
      <c r="C22">
        <v>20</v>
      </c>
      <c r="D22">
        <v>0.05</v>
      </c>
      <c r="E22">
        <v>0</v>
      </c>
      <c r="F22" t="s">
        <v>71</v>
      </c>
    </row>
    <row r="23" spans="1:6">
      <c r="A23">
        <v>50</v>
      </c>
      <c r="B23">
        <v>100</v>
      </c>
      <c r="C23">
        <v>10</v>
      </c>
      <c r="D23">
        <v>0.1</v>
      </c>
      <c r="E23">
        <v>0</v>
      </c>
      <c r="F23" t="s">
        <v>97</v>
      </c>
    </row>
    <row r="24" spans="1:6">
      <c r="A24">
        <v>70</v>
      </c>
      <c r="B24">
        <v>100</v>
      </c>
      <c r="C24">
        <v>10</v>
      </c>
      <c r="D24">
        <v>0.1</v>
      </c>
      <c r="E24">
        <v>0</v>
      </c>
      <c r="F24" t="s">
        <v>97</v>
      </c>
    </row>
    <row r="25" spans="1:6">
      <c r="A25">
        <v>90</v>
      </c>
      <c r="B25">
        <v>100</v>
      </c>
      <c r="C25">
        <v>10</v>
      </c>
      <c r="D25">
        <v>0.1</v>
      </c>
      <c r="E25">
        <v>0</v>
      </c>
      <c r="F25" t="s">
        <v>97</v>
      </c>
    </row>
    <row r="26" spans="1:6">
      <c r="A26">
        <v>90</v>
      </c>
      <c r="B26">
        <v>100</v>
      </c>
      <c r="C26">
        <v>10</v>
      </c>
      <c r="D26">
        <v>0.1</v>
      </c>
      <c r="E26">
        <v>0</v>
      </c>
      <c r="F26" t="s">
        <v>97</v>
      </c>
    </row>
    <row r="27" spans="1:6">
      <c r="A27">
        <v>90</v>
      </c>
      <c r="B27">
        <v>100</v>
      </c>
      <c r="C27">
        <v>10</v>
      </c>
      <c r="D27">
        <v>0.1</v>
      </c>
      <c r="E27">
        <v>0</v>
      </c>
      <c r="F27" t="s">
        <v>97</v>
      </c>
    </row>
    <row r="28" spans="1:6">
      <c r="A28">
        <v>90</v>
      </c>
      <c r="B28">
        <v>100</v>
      </c>
      <c r="C28">
        <v>10</v>
      </c>
      <c r="D28">
        <v>0.1</v>
      </c>
      <c r="E28">
        <v>0</v>
      </c>
      <c r="F28" t="s">
        <v>97</v>
      </c>
    </row>
    <row r="29" spans="1:6">
      <c r="A29">
        <v>90</v>
      </c>
      <c r="B29">
        <v>100</v>
      </c>
      <c r="C29">
        <v>10</v>
      </c>
      <c r="D29">
        <v>0.1</v>
      </c>
      <c r="E29">
        <v>0</v>
      </c>
      <c r="F29" t="s">
        <v>97</v>
      </c>
    </row>
    <row r="30" spans="1:6">
      <c r="A30">
        <v>80</v>
      </c>
      <c r="B30">
        <v>100</v>
      </c>
      <c r="C30">
        <v>10</v>
      </c>
      <c r="D30">
        <v>0.1</v>
      </c>
      <c r="E30">
        <v>0</v>
      </c>
      <c r="F30" t="s">
        <v>97</v>
      </c>
    </row>
    <row r="31" spans="1:6">
      <c r="A31">
        <v>80</v>
      </c>
      <c r="B31">
        <v>110</v>
      </c>
      <c r="C31">
        <v>11</v>
      </c>
      <c r="D31">
        <v>0.1</v>
      </c>
      <c r="E31">
        <v>0</v>
      </c>
      <c r="F31" t="s">
        <v>97</v>
      </c>
    </row>
    <row r="32" spans="1:6">
      <c r="A32">
        <v>80</v>
      </c>
      <c r="B32">
        <v>250</v>
      </c>
      <c r="C32">
        <v>25</v>
      </c>
      <c r="D32">
        <v>0.1</v>
      </c>
      <c r="E32">
        <v>0</v>
      </c>
      <c r="F32" t="s">
        <v>97</v>
      </c>
    </row>
    <row r="33" spans="1:6">
      <c r="A33">
        <v>80</v>
      </c>
      <c r="B33">
        <v>50</v>
      </c>
      <c r="C33">
        <v>5</v>
      </c>
      <c r="D33">
        <v>0.1</v>
      </c>
      <c r="E33">
        <v>0</v>
      </c>
      <c r="F33" t="s">
        <v>97</v>
      </c>
    </row>
    <row r="34" spans="1:6">
      <c r="A34">
        <v>80</v>
      </c>
      <c r="B34">
        <v>160</v>
      </c>
      <c r="C34">
        <v>16</v>
      </c>
      <c r="D34">
        <v>0.1</v>
      </c>
      <c r="E34">
        <v>0</v>
      </c>
      <c r="F34" t="s">
        <v>97</v>
      </c>
    </row>
    <row r="35" spans="1:6">
      <c r="A35">
        <v>110</v>
      </c>
      <c r="B35">
        <v>100</v>
      </c>
      <c r="C35">
        <v>10</v>
      </c>
      <c r="D35">
        <v>0.1</v>
      </c>
      <c r="E35">
        <v>0</v>
      </c>
      <c r="F35" t="s">
        <v>97</v>
      </c>
    </row>
    <row r="36" spans="1:6">
      <c r="A36">
        <v>130</v>
      </c>
      <c r="B36">
        <v>100</v>
      </c>
      <c r="C36">
        <v>10</v>
      </c>
      <c r="D36">
        <v>0.1</v>
      </c>
      <c r="E36">
        <v>0</v>
      </c>
      <c r="F36" t="s">
        <v>97</v>
      </c>
    </row>
    <row r="37" spans="1:6">
      <c r="A37">
        <v>80</v>
      </c>
      <c r="B37">
        <v>200</v>
      </c>
      <c r="C37">
        <v>2</v>
      </c>
      <c r="D37">
        <v>0.01</v>
      </c>
      <c r="E37">
        <v>0</v>
      </c>
      <c r="F37" t="s">
        <v>71</v>
      </c>
    </row>
    <row r="38" spans="1:6">
      <c r="A38">
        <v>80</v>
      </c>
      <c r="B38">
        <v>200</v>
      </c>
      <c r="C38">
        <v>4</v>
      </c>
      <c r="D38">
        <v>0.02</v>
      </c>
      <c r="E38">
        <v>0</v>
      </c>
      <c r="F38" t="s">
        <v>71</v>
      </c>
    </row>
    <row r="39" spans="1:6">
      <c r="A39">
        <v>80</v>
      </c>
      <c r="B39">
        <v>200</v>
      </c>
      <c r="C39">
        <v>8</v>
      </c>
      <c r="D39">
        <v>0.04</v>
      </c>
      <c r="E39">
        <v>0</v>
      </c>
      <c r="F39" t="s">
        <v>71</v>
      </c>
    </row>
    <row r="40" spans="1:6">
      <c r="A40">
        <v>80</v>
      </c>
      <c r="B40">
        <v>200</v>
      </c>
      <c r="C40">
        <v>20</v>
      </c>
      <c r="D40">
        <v>0.1</v>
      </c>
      <c r="E40">
        <v>0</v>
      </c>
      <c r="F40" t="s">
        <v>71</v>
      </c>
    </row>
    <row r="41" spans="1:6">
      <c r="A41">
        <v>80</v>
      </c>
      <c r="B41">
        <v>200</v>
      </c>
      <c r="C41">
        <v>50</v>
      </c>
      <c r="D41">
        <v>0.25</v>
      </c>
      <c r="E41">
        <v>0</v>
      </c>
      <c r="F41" t="s">
        <v>71</v>
      </c>
    </row>
    <row r="42" spans="1:6">
      <c r="A42">
        <v>80</v>
      </c>
      <c r="B42">
        <v>200</v>
      </c>
      <c r="C42">
        <v>80</v>
      </c>
      <c r="D42">
        <v>0.4</v>
      </c>
      <c r="E42">
        <v>0</v>
      </c>
      <c r="F42" t="s">
        <v>71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1117</v>
      </c>
      <c r="B1" s="661" t="s">
        <v>1118</v>
      </c>
    </row>
    <row r="2" spans="1:7">
      <c r="A2" t="s">
        <v>1119</v>
      </c>
      <c r="B2" s="661" t="str">
        <f>Gen_form!E14</f>
        <v/>
      </c>
    </row>
    <row r="3" spans="1:7">
      <c r="A3" t="s">
        <v>533</v>
      </c>
      <c r="B3" s="661" t="str">
        <f>Gen_form!S484</f>
        <v/>
      </c>
    </row>
    <row r="4" spans="1:7">
      <c r="A4" t="s">
        <v>600</v>
      </c>
      <c r="B4" s="661" t="str">
        <f>Gen_form!U504</f>
        <v>TBD</v>
      </c>
    </row>
    <row r="5" spans="1:7">
      <c r="A5" t="s">
        <v>1101</v>
      </c>
      <c r="B5" s="661" t="str">
        <f>Gen_form!R537</f>
        <v>NA</v>
      </c>
    </row>
    <row r="6" spans="1:7">
      <c r="A6" t="s">
        <v>1102</v>
      </c>
      <c r="B6" s="661">
        <f>Gen_form!Q547</f>
        <v>0</v>
      </c>
    </row>
    <row r="7" spans="1:7">
      <c r="A7" t="s">
        <v>1103</v>
      </c>
      <c r="B7" s="661">
        <f>Gen_form!Q608</f>
        <v>0</v>
      </c>
    </row>
    <row r="8" spans="1:7">
      <c r="A8" t="s">
        <v>1104</v>
      </c>
      <c r="B8" s="661">
        <f>Gen_form!U669</f>
        <v>0</v>
      </c>
    </row>
    <row r="9" spans="1:7">
      <c r="A9" t="s">
        <v>1105</v>
      </c>
      <c r="B9" s="661">
        <f>Gen_form!U674</f>
        <v>0</v>
      </c>
    </row>
    <row r="10" spans="1:7">
      <c r="A10" t="s">
        <v>1106</v>
      </c>
      <c r="B10" s="661" t="str">
        <f>Gen_form!K543</f>
        <v/>
      </c>
    </row>
    <row r="11" spans="1:7">
      <c r="A11" t="s">
        <v>1107</v>
      </c>
      <c r="B11" s="1114" t="str">
        <f>Gen_form!C615</f>
        <v/>
      </c>
    </row>
    <row r="12" spans="1:7">
      <c r="A12" t="s">
        <v>1108</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1109</v>
      </c>
      <c r="B14" s="661" t="str">
        <f>Gen_form!B575</f>
        <v>NA</v>
      </c>
      <c r="C14" s="661" t="str">
        <f>Gen_form!C575</f>
        <v>NA</v>
      </c>
      <c r="D14" s="661"/>
      <c r="E14" s="661"/>
    </row>
    <row r="15" spans="1:7">
      <c r="B15" s="1114" t="str">
        <f>Gen_form!B576</f>
        <v>NA</v>
      </c>
      <c r="C15" s="1114" t="str">
        <f>Gen_form!C576</f>
        <v>NA</v>
      </c>
      <c r="D15" s="1114"/>
      <c r="E15" s="1114"/>
    </row>
    <row r="16" spans="1:7">
      <c r="A16" t="s">
        <v>1110</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1111</v>
      </c>
      <c r="B18" s="661" t="str">
        <f>Gen_form!C637</f>
        <v>NA</v>
      </c>
      <c r="C18" s="661" t="str">
        <f>Gen_form!D637</f>
        <v>NA</v>
      </c>
      <c r="D18" s="661"/>
      <c r="E18" s="661"/>
    </row>
    <row r="19" spans="1:7">
      <c r="B19" s="661" t="str">
        <f>Gen_form!C638</f>
        <v>NA</v>
      </c>
      <c r="C19" s="661" t="str">
        <f>Gen_form!D638</f>
        <v>NA</v>
      </c>
      <c r="D19" s="661"/>
      <c r="E19" s="661"/>
    </row>
    <row r="20" spans="1:7">
      <c r="A20" t="s">
        <v>1112</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1113</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1114</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201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2025-11-19T16:34:02Z</dcterms:modified>
</cp:coreProperties>
</file>