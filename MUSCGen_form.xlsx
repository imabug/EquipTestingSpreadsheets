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aveExternalLinkValues="0" codeName="ThisWorkbook"/>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3917CECA-BD18-498A-B61D-4AFCD958679E}" xr6:coauthVersionLast="47" xr6:coauthVersionMax="47" xr10:uidLastSave="{00000000-0000-0000-0000-000000000000}"/>
  <bookViews>
    <workbookView xWindow="-108" yWindow="-108" windowWidth="23256" windowHeight="13176" xr2:uid="{00000000-000D-0000-FFFF-FFFF00000000}"/>
  </bookViews>
  <sheets>
    <sheet name="Gen_form" sheetId="1" r:id="rId1"/>
    <sheet name="Tables" sheetId="4" r:id="rId2"/>
    <sheet name="Sheet1" sheetId="2" r:id="rId3"/>
    <sheet name="DataPage" sheetId="3" r:id="rId4"/>
  </sheets>
  <definedNames>
    <definedName name="_RCTL">Gen_form!$AG$16</definedName>
    <definedName name="ALUM">Gen_form!$P$951:$P$952</definedName>
    <definedName name="ALUM_0">Gen_form!$M$951</definedName>
    <definedName name="ALUM_1">Gen_form!$M$952</definedName>
    <definedName name="ALUM_2">Gen_form!$M$953</definedName>
    <definedName name="ALUM_3">Gen_form!$M$954</definedName>
    <definedName name="ALUM_4">Gen_form!$M$955</definedName>
    <definedName name="ALUM_5">Gen_form!$M$956</definedName>
    <definedName name="ALUMHIGH">Gen_form!$P$952</definedName>
    <definedName name="ALUMLOW">Gen_form!$P$951</definedName>
    <definedName name="avgkvp">Gen_form!$Q$951</definedName>
    <definedName name="BeamLim">Gen_form!$M$404</definedName>
    <definedName name="BLD">Gen_form!$B$463:$K$528</definedName>
    <definedName name="COMPG2">Gen_form!$B$199:$K$264</definedName>
    <definedName name="COMPG3">Gen_form!$B$265:$K$330</definedName>
    <definedName name="COMPG4">Gen_form!$B$331:$K$396</definedName>
    <definedName name="DATA1">Gen_form!$B$1453:$K$1518</definedName>
    <definedName name="DATA2">Gen_form!$B$1519:$K$1716</definedName>
    <definedName name="DHALF">Gen_form!$O$951:$O$956</definedName>
    <definedName name="EXP">Gen_form!$B$397:$K$462</definedName>
    <definedName name="EXP_0">Gen_form!$N$951</definedName>
    <definedName name="EXP_1">Gen_form!$N$952</definedName>
    <definedName name="EXP_2">Gen_form!$N$953</definedName>
    <definedName name="EXP_3">Gen_form!$N$954</definedName>
    <definedName name="EXP_4">Gen_form!$N$955</definedName>
    <definedName name="EXP_5">Gen_form!$N$956</definedName>
    <definedName name="Exp_chart_1">"Chart 358"</definedName>
    <definedName name="Exp_chart_2">"Chart 359"</definedName>
    <definedName name="EXPHIGH">Gen_form!$P$956</definedName>
    <definedName name="EXPLOW">Gen_form!$P$955</definedName>
    <definedName name="FIRST">Gen_form!$B$1:$K$198</definedName>
    <definedName name="FS_KV">Gen_form!$B$661:$K$726</definedName>
    <definedName name="GENDATA">Gen_form!$Y$687:$BC$726</definedName>
    <definedName name="GenReturn">Gen_form!$L$686:$W$722</definedName>
    <definedName name="HALFVAL">Gen_form!$B$925:$K$990</definedName>
    <definedName name="HVL">Gen_form!$S$951</definedName>
    <definedName name="KAP_AK">Gen_form!$B$1189:$K$1254</definedName>
    <definedName name="LAST">Gen_form!$B$1387:$K$1452</definedName>
    <definedName name="LASTYEAR">Gen_form!$AB$8:$AB$558</definedName>
    <definedName name="LFMAS">Gen_form!$P$667</definedName>
    <definedName name="LFSDD">Gen_form!$N$693</definedName>
    <definedName name="LIN">Gen_form!$B$859:$K$924</definedName>
    <definedName name="LN_EXP">Gen_form!$Q$955:$Q$956</definedName>
    <definedName name="MASM" localSheetId="0">Gen_form!$I$1008:$I$1011</definedName>
    <definedName name="MASP" localSheetId="0">Gen_form!$I$1003:$I$1006</definedName>
    <definedName name="MAXAVG">Gen_form!$U$930</definedName>
    <definedName name="Meter_OD">Gen_form!$Q$999</definedName>
    <definedName name="METM" localSheetId="0">Gen_form!$G$1008:$G$1011</definedName>
    <definedName name="METP" localSheetId="0">Gen_form!$G$1003:$G$1006</definedName>
    <definedName name="_xlnm.Print_Area" localSheetId="0">Gen_form!$B$1:$K$198,Gen_form!$B$397:$K$1254,Gen_form!$B$1387:$K$1452</definedName>
    <definedName name="PT_DEN">Gen_form!$B$991:$K$1056</definedName>
    <definedName name="PT_TB">Gen_form!$B$1057:$K$1122</definedName>
    <definedName name="PT_TB_CR">Gen_form!$B$1255:$K$1320</definedName>
    <definedName name="PT_WB">Gen_form!$B$1123:$K$1188</definedName>
    <definedName name="PT_WB_CR">Gen_form!$B$1321:$K$1386</definedName>
    <definedName name="Query_from_Compliance_Reports" localSheetId="0">Gen_form!$Z$748:$AK$768</definedName>
    <definedName name="RadSafe">Gen_form!$M$1426</definedName>
    <definedName name="REPRO">Gen_form!$B$727:$K$792</definedName>
    <definedName name="SFMAS">Gen_form!$P$672</definedName>
    <definedName name="SFSDD">Gen_form!$N$711</definedName>
    <definedName name="startend">Gen_form!$O$8</definedName>
    <definedName name="TB">Gen_form!$B$529:$K$594</definedName>
    <definedName name="TBCM_IN">Gen_form!$V$423</definedName>
    <definedName name="THISYEAR">Gen_form!$AD$8:$AD$558</definedName>
    <definedName name="TIM">Gen_form!$B$793:$K$858</definedName>
    <definedName name="Time_mAs">Gen_form!$Q$1000</definedName>
    <definedName name="TimeCorr">Gen_form!$BE$742:$BE$747</definedName>
    <definedName name="WB">Gen_form!$B$595:$K$660</definedName>
    <definedName name="WBCM_IN">Gen_form!$V$448</definedName>
    <definedName name="Z_E3496B94_97EB_4AAE_9FD7_F66109A2B11F_.wvu.PrintArea" localSheetId="0" hidden="1">Gen_form!$B$1:$K$198,Gen_form!$B$397:$K$1254,Gen_form!$B$1387:$K$1452</definedName>
  </definedNames>
  <calcPr calcId="191029" iterateCount="1"/>
  <customWorkbookViews>
    <customWorkbookView name="Eugene Mah - Personal View" guid="{E3496B94-97EB-4AAE-9FD7-F66109A2B11F}" mergeInterval="0" personalView="1" maximized="1" xWindow="-8" yWindow="-8" windowWidth="1382" windowHeight="78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003" i="1" l="1"/>
  <c r="H1063" i="1"/>
  <c r="J1063" i="1"/>
  <c r="W1064" i="1"/>
  <c r="J84" i="1" l="1"/>
  <c r="R1397" i="1"/>
  <c r="N1394" i="1"/>
  <c r="R560" i="1" l="1"/>
  <c r="O542" i="1"/>
  <c r="K54" i="1"/>
  <c r="O57" i="1"/>
  <c r="O56" i="1"/>
  <c r="P1206" i="1"/>
  <c r="P1205" i="1"/>
  <c r="P1204" i="1"/>
  <c r="P1203" i="1"/>
  <c r="D1211" i="1" l="1"/>
  <c r="Q1206" i="1" l="1"/>
  <c r="Q1205" i="1"/>
  <c r="Q1204" i="1"/>
  <c r="Q1203" i="1"/>
  <c r="Q1211" i="1" s="1"/>
  <c r="G1210" i="1" s="1"/>
  <c r="O1206" i="1"/>
  <c r="O1205" i="1"/>
  <c r="E1204" i="1" s="1"/>
  <c r="O1204" i="1"/>
  <c r="F1205" i="1"/>
  <c r="E1205" i="1"/>
  <c r="D1205" i="1"/>
  <c r="F1204" i="1"/>
  <c r="D1204" i="1"/>
  <c r="F1203" i="1"/>
  <c r="E1203" i="1"/>
  <c r="D1203" i="1"/>
  <c r="F1202" i="1"/>
  <c r="E1202" i="1"/>
  <c r="D1202" i="1"/>
  <c r="C1202" i="1"/>
  <c r="O1203" i="1"/>
  <c r="N1206" i="1"/>
  <c r="N1205" i="1"/>
  <c r="N1204" i="1"/>
  <c r="N1203" i="1"/>
  <c r="M1206" i="1"/>
  <c r="M1205" i="1"/>
  <c r="M1204" i="1"/>
  <c r="M1203" i="1"/>
  <c r="W960" i="1"/>
  <c r="V960" i="1"/>
  <c r="U960" i="1"/>
  <c r="T960" i="1"/>
  <c r="W959" i="1"/>
  <c r="V959" i="1"/>
  <c r="U959" i="1"/>
  <c r="T959" i="1"/>
  <c r="W958" i="1"/>
  <c r="V958" i="1"/>
  <c r="U958" i="1"/>
  <c r="T958" i="1"/>
  <c r="W957" i="1"/>
  <c r="V957" i="1"/>
  <c r="U957" i="1"/>
  <c r="T957" i="1"/>
  <c r="W956" i="1"/>
  <c r="V956" i="1"/>
  <c r="U956" i="1"/>
  <c r="T956" i="1"/>
  <c r="W955" i="1"/>
  <c r="V955" i="1"/>
  <c r="U955" i="1"/>
  <c r="T955" i="1"/>
  <c r="W954" i="1"/>
  <c r="V954" i="1"/>
  <c r="U954" i="1"/>
  <c r="T954" i="1"/>
  <c r="T953" i="1"/>
  <c r="W953" i="1"/>
  <c r="V953" i="1"/>
  <c r="U953" i="1"/>
  <c r="AH967" i="1"/>
  <c r="AH966" i="1"/>
  <c r="AH965" i="1"/>
  <c r="AH964" i="1"/>
  <c r="AF964" i="1"/>
  <c r="AF966" i="1" s="1"/>
  <c r="AH963" i="1"/>
  <c r="AH962" i="1"/>
  <c r="AH961" i="1"/>
  <c r="AH960" i="1"/>
  <c r="AH959" i="1"/>
  <c r="AH958" i="1"/>
  <c r="AH957" i="1"/>
  <c r="AH956" i="1"/>
  <c r="AH955" i="1"/>
  <c r="AH954" i="1"/>
  <c r="AH953" i="1"/>
  <c r="U950" i="1" l="1"/>
  <c r="W941" i="1"/>
  <c r="V941" i="1"/>
  <c r="W940" i="1"/>
  <c r="V940" i="1"/>
  <c r="W939" i="1"/>
  <c r="V939" i="1"/>
  <c r="W938" i="1"/>
  <c r="V938" i="1"/>
  <c r="W937" i="1"/>
  <c r="V937" i="1"/>
  <c r="W936" i="1"/>
  <c r="V936" i="1"/>
  <c r="U941" i="1"/>
  <c r="U940" i="1"/>
  <c r="U939" i="1"/>
  <c r="U938" i="1"/>
  <c r="U937" i="1"/>
  <c r="U936" i="1"/>
  <c r="F938" i="1" s="1"/>
  <c r="Q938" i="1"/>
  <c r="S936" i="1"/>
  <c r="R936" i="1"/>
  <c r="Q936" i="1"/>
  <c r="M940" i="1"/>
  <c r="M938" i="1"/>
  <c r="M936" i="1"/>
  <c r="F939" i="1"/>
  <c r="S889" i="1" a="1"/>
  <c r="S889" i="1" s="1"/>
  <c r="S888" i="1" a="1"/>
  <c r="S888" i="1" s="1"/>
  <c r="S887" i="1" a="1"/>
  <c r="S887" i="1" s="1"/>
  <c r="S886" i="1" a="1"/>
  <c r="S886" i="1" s="1"/>
  <c r="S885" i="1" a="1"/>
  <c r="S885" i="1" s="1"/>
  <c r="S874" i="1" a="1"/>
  <c r="S874" i="1" s="1"/>
  <c r="S873" i="1" a="1"/>
  <c r="S873" i="1" s="1"/>
  <c r="S872" i="1" a="1"/>
  <c r="S872" i="1" s="1"/>
  <c r="S871" i="1" a="1"/>
  <c r="S871" i="1" s="1"/>
  <c r="S870" i="1" a="1"/>
  <c r="S870" i="1" s="1"/>
  <c r="G1203" i="1" l="1"/>
  <c r="G1204" i="1"/>
  <c r="G1205" i="1"/>
  <c r="Q1207" i="1"/>
  <c r="Q1208" i="1"/>
  <c r="Q1209" i="1"/>
  <c r="Q1210" i="1"/>
  <c r="G1202" i="1"/>
  <c r="E1201" i="1"/>
  <c r="J1197" i="1"/>
  <c r="G1197" i="1"/>
  <c r="D1197" i="1"/>
  <c r="S698" i="1" a="1"/>
  <c r="S698" i="1" s="1"/>
  <c r="S697" i="1" a="1"/>
  <c r="S697" i="1" s="1"/>
  <c r="S696" i="1" a="1"/>
  <c r="S696" i="1" s="1"/>
  <c r="S695" i="1" a="1"/>
  <c r="S695" i="1" s="1"/>
  <c r="S694" i="1" a="1"/>
  <c r="S694" i="1" s="1"/>
  <c r="S716" i="1" a="1"/>
  <c r="S716" i="1" s="1"/>
  <c r="S715" i="1" a="1"/>
  <c r="S715" i="1" s="1"/>
  <c r="S714" i="1" a="1"/>
  <c r="S714" i="1" s="1"/>
  <c r="S713" i="1" a="1"/>
  <c r="S713" i="1" s="1"/>
  <c r="S712" i="1" a="1"/>
  <c r="S712" i="1" s="1"/>
  <c r="S744" i="1" a="1"/>
  <c r="S744" i="1" s="1"/>
  <c r="S743" i="1" a="1"/>
  <c r="S743" i="1" s="1"/>
  <c r="S742" i="1" a="1"/>
  <c r="S742" i="1" s="1"/>
  <c r="S741" i="1" a="1"/>
  <c r="S741" i="1" s="1"/>
  <c r="S740" i="1" a="1"/>
  <c r="S740" i="1" s="1"/>
  <c r="S763" i="1" a="1"/>
  <c r="S763" i="1" s="1"/>
  <c r="S762" i="1" a="1"/>
  <c r="S762" i="1" s="1"/>
  <c r="S761" i="1" a="1"/>
  <c r="S761" i="1" s="1"/>
  <c r="S760" i="1" a="1"/>
  <c r="S760" i="1" s="1"/>
  <c r="S759" i="1" a="1"/>
  <c r="S759" i="1" s="1"/>
  <c r="S814" i="1"/>
  <c r="S813" i="1"/>
  <c r="S812" i="1"/>
  <c r="S811" i="1"/>
  <c r="S810" i="1"/>
  <c r="S809" i="1"/>
  <c r="I754" i="1"/>
  <c r="I753" i="1"/>
  <c r="I752" i="1"/>
  <c r="I751" i="1"/>
  <c r="I750" i="1"/>
  <c r="E754" i="1"/>
  <c r="E753" i="1"/>
  <c r="E752" i="1"/>
  <c r="E751" i="1"/>
  <c r="E750" i="1"/>
  <c r="W716" i="1"/>
  <c r="V716" i="1"/>
  <c r="W715" i="1"/>
  <c r="V715" i="1"/>
  <c r="U716" i="1"/>
  <c r="U715" i="1"/>
  <c r="W885" i="1"/>
  <c r="V885" i="1"/>
  <c r="W889" i="1"/>
  <c r="V889" i="1"/>
  <c r="U889" i="1"/>
  <c r="W888" i="1"/>
  <c r="V888" i="1"/>
  <c r="U888" i="1"/>
  <c r="W887" i="1"/>
  <c r="V887" i="1"/>
  <c r="U887" i="1"/>
  <c r="W886" i="1"/>
  <c r="V886" i="1"/>
  <c r="U886" i="1"/>
  <c r="U885" i="1"/>
  <c r="R889" i="1" a="1"/>
  <c r="R889" i="1" s="1"/>
  <c r="R888" i="1" a="1"/>
  <c r="R888" i="1" s="1"/>
  <c r="R887" i="1" a="1"/>
  <c r="R887" i="1" s="1"/>
  <c r="R886" i="1" a="1"/>
  <c r="R886" i="1" s="1"/>
  <c r="R885" i="1" a="1"/>
  <c r="R885" i="1" s="1"/>
  <c r="R870" i="1" a="1"/>
  <c r="R870" i="1" s="1"/>
  <c r="Q889" i="1"/>
  <c r="Q888" i="1"/>
  <c r="Q887" i="1"/>
  <c r="Q886" i="1"/>
  <c r="Q885" i="1"/>
  <c r="O889" i="1"/>
  <c r="O888" i="1"/>
  <c r="O887" i="1"/>
  <c r="O886" i="1"/>
  <c r="O885" i="1"/>
  <c r="W871" i="1"/>
  <c r="V871" i="1"/>
  <c r="W874" i="1"/>
  <c r="V874" i="1"/>
  <c r="U874" i="1"/>
  <c r="W873" i="1"/>
  <c r="V873" i="1"/>
  <c r="U873" i="1"/>
  <c r="W872" i="1"/>
  <c r="V872" i="1"/>
  <c r="U872" i="1"/>
  <c r="U871" i="1"/>
  <c r="W870" i="1"/>
  <c r="V870" i="1"/>
  <c r="U870" i="1"/>
  <c r="R874" i="1" a="1"/>
  <c r="R874" i="1" s="1"/>
  <c r="R873" i="1" a="1"/>
  <c r="R873" i="1" s="1"/>
  <c r="R872" i="1" a="1"/>
  <c r="R872" i="1" s="1"/>
  <c r="R871" i="1" a="1"/>
  <c r="R871" i="1" s="1"/>
  <c r="Q874" i="1"/>
  <c r="Q873" i="1"/>
  <c r="Q872" i="1"/>
  <c r="Q871" i="1"/>
  <c r="Q870" i="1"/>
  <c r="O874" i="1"/>
  <c r="O873" i="1"/>
  <c r="O872" i="1"/>
  <c r="O871" i="1"/>
  <c r="O870" i="1"/>
  <c r="W759" i="1"/>
  <c r="J760" i="1" s="1"/>
  <c r="V759" i="1"/>
  <c r="W763" i="1"/>
  <c r="V763" i="1"/>
  <c r="U763" i="1"/>
  <c r="I749" i="1" s="1"/>
  <c r="W762" i="1"/>
  <c r="V762" i="1"/>
  <c r="U762" i="1"/>
  <c r="I748" i="1" s="1"/>
  <c r="W761" i="1"/>
  <c r="V761" i="1"/>
  <c r="U761" i="1"/>
  <c r="I747" i="1" s="1"/>
  <c r="W760" i="1"/>
  <c r="V760" i="1"/>
  <c r="U760" i="1"/>
  <c r="I746" i="1" s="1"/>
  <c r="U759" i="1"/>
  <c r="I745" i="1" s="1"/>
  <c r="W809" i="1"/>
  <c r="V809" i="1"/>
  <c r="W814" i="1"/>
  <c r="V814" i="1"/>
  <c r="U814" i="1"/>
  <c r="W813" i="1"/>
  <c r="V813" i="1"/>
  <c r="U813" i="1"/>
  <c r="W812" i="1"/>
  <c r="V812" i="1"/>
  <c r="U812" i="1"/>
  <c r="W811" i="1"/>
  <c r="V811" i="1"/>
  <c r="U811" i="1"/>
  <c r="W810" i="1"/>
  <c r="V810" i="1"/>
  <c r="U810" i="1"/>
  <c r="U809" i="1"/>
  <c r="R814" i="1" a="1"/>
  <c r="R814" i="1" s="1"/>
  <c r="R813" i="1" a="1"/>
  <c r="R813" i="1" s="1"/>
  <c r="R812" i="1" a="1"/>
  <c r="R812" i="1" s="1"/>
  <c r="R811" i="1" a="1"/>
  <c r="R811" i="1" s="1"/>
  <c r="R810" i="1" a="1"/>
  <c r="R810" i="1" s="1"/>
  <c r="R809" i="1" a="1"/>
  <c r="R809" i="1" s="1"/>
  <c r="R740" i="1" a="1"/>
  <c r="R740" i="1" s="1"/>
  <c r="Q814" i="1"/>
  <c r="Q813" i="1"/>
  <c r="Q812" i="1"/>
  <c r="Q811" i="1"/>
  <c r="Q810" i="1"/>
  <c r="Q809" i="1"/>
  <c r="O814" i="1"/>
  <c r="O813" i="1"/>
  <c r="O812" i="1"/>
  <c r="O811" i="1"/>
  <c r="O810" i="1"/>
  <c r="O809" i="1"/>
  <c r="R763" i="1" a="1"/>
  <c r="R763" i="1" s="1"/>
  <c r="Q763" i="1"/>
  <c r="R762" i="1" a="1"/>
  <c r="R762" i="1" s="1"/>
  <c r="Q762" i="1"/>
  <c r="R761" i="1" a="1"/>
  <c r="R761" i="1" s="1"/>
  <c r="Q761" i="1"/>
  <c r="R760" i="1" a="1"/>
  <c r="R760" i="1" s="1"/>
  <c r="Q760" i="1"/>
  <c r="R759" i="1" a="1"/>
  <c r="R759" i="1" s="1"/>
  <c r="R714" i="1" a="1"/>
  <c r="R714" i="1" s="1"/>
  <c r="Q759" i="1"/>
  <c r="W740" i="1"/>
  <c r="V740" i="1"/>
  <c r="W744" i="1"/>
  <c r="V744" i="1"/>
  <c r="U744" i="1"/>
  <c r="E749" i="1" s="1"/>
  <c r="W743" i="1"/>
  <c r="V743" i="1"/>
  <c r="U743" i="1"/>
  <c r="E748" i="1" s="1"/>
  <c r="W742" i="1"/>
  <c r="V742" i="1"/>
  <c r="U742" i="1"/>
  <c r="E747" i="1" s="1"/>
  <c r="W741" i="1"/>
  <c r="V741" i="1"/>
  <c r="U741" i="1"/>
  <c r="E746" i="1" s="1"/>
  <c r="R744" i="1" a="1"/>
  <c r="R744" i="1" s="1"/>
  <c r="Q744" i="1"/>
  <c r="R743" i="1" a="1"/>
  <c r="R743" i="1" s="1"/>
  <c r="Q743" i="1"/>
  <c r="R742" i="1" a="1"/>
  <c r="R742" i="1" s="1"/>
  <c r="Q742" i="1"/>
  <c r="R741" i="1" a="1"/>
  <c r="R741" i="1" s="1"/>
  <c r="Q741" i="1"/>
  <c r="U740" i="1"/>
  <c r="E760" i="1" s="1"/>
  <c r="U695" i="1"/>
  <c r="R695" i="1" a="1"/>
  <c r="R695" i="1" s="1"/>
  <c r="Q740" i="1"/>
  <c r="R716" i="1" a="1"/>
  <c r="R716" i="1" s="1"/>
  <c r="R715" i="1" a="1"/>
  <c r="R715" i="1" s="1"/>
  <c r="Q716" i="1"/>
  <c r="Q715" i="1"/>
  <c r="W712" i="1"/>
  <c r="V712" i="1"/>
  <c r="W714" i="1"/>
  <c r="V714" i="1"/>
  <c r="U714" i="1"/>
  <c r="W713" i="1"/>
  <c r="V713" i="1"/>
  <c r="U713" i="1"/>
  <c r="Q714" i="1"/>
  <c r="R713" i="1" a="1"/>
  <c r="R713" i="1" s="1"/>
  <c r="Q713" i="1"/>
  <c r="U712" i="1"/>
  <c r="P1414" i="1" s="1"/>
  <c r="P1415" i="1" s="1"/>
  <c r="R712" i="1" a="1"/>
  <c r="R712" i="1" s="1"/>
  <c r="R694" i="1" a="1"/>
  <c r="R694" i="1" s="1"/>
  <c r="Q712" i="1"/>
  <c r="O714" i="1"/>
  <c r="O759" i="1" s="1"/>
  <c r="O713" i="1"/>
  <c r="O712" i="1"/>
  <c r="N698" i="1"/>
  <c r="N697" i="1"/>
  <c r="N696" i="1"/>
  <c r="N695" i="1"/>
  <c r="O698" i="1"/>
  <c r="O697" i="1"/>
  <c r="O696" i="1"/>
  <c r="O695" i="1"/>
  <c r="O740" i="1" s="1"/>
  <c r="O694" i="1"/>
  <c r="W696" i="1"/>
  <c r="V696" i="1"/>
  <c r="W698" i="1"/>
  <c r="V698" i="1"/>
  <c r="U698" i="1"/>
  <c r="W697" i="1"/>
  <c r="V697" i="1"/>
  <c r="U697" i="1"/>
  <c r="U696" i="1"/>
  <c r="W695" i="1"/>
  <c r="V695" i="1"/>
  <c r="W694" i="1"/>
  <c r="V694" i="1"/>
  <c r="U694" i="1"/>
  <c r="R698" i="1" a="1"/>
  <c r="R698" i="1" s="1"/>
  <c r="Q698" i="1"/>
  <c r="R697" i="1" a="1"/>
  <c r="R697" i="1" s="1"/>
  <c r="Q697" i="1"/>
  <c r="R696" i="1" a="1"/>
  <c r="R696" i="1" s="1"/>
  <c r="Q696" i="1"/>
  <c r="Q695" i="1"/>
  <c r="Q694" i="1"/>
  <c r="S504" i="1"/>
  <c r="R504" i="1"/>
  <c r="Q504" i="1"/>
  <c r="P504" i="1"/>
  <c r="E745" i="1" l="1"/>
  <c r="S86" i="1"/>
  <c r="P1416" i="1"/>
  <c r="P1417" i="1" s="1"/>
  <c r="P1418" i="1" s="1"/>
  <c r="P1419" i="1" s="1"/>
  <c r="I760" i="1"/>
  <c r="U754" i="1"/>
  <c r="V774" i="1"/>
  <c r="P1397" i="1"/>
  <c r="P1398" i="1" s="1"/>
  <c r="P1399" i="1" s="1"/>
  <c r="P1400" i="1" s="1"/>
  <c r="P1401" i="1" s="1"/>
  <c r="P1402" i="1" s="1"/>
  <c r="P1403" i="1" s="1"/>
  <c r="P1404" i="1" s="1"/>
  <c r="F941" i="1"/>
  <c r="F940" i="1"/>
  <c r="M937" i="1" l="1"/>
  <c r="N759" i="1" l="1"/>
  <c r="U935" i="1"/>
  <c r="U934" i="1"/>
  <c r="N934" i="1"/>
  <c r="N935" i="1" l="1"/>
  <c r="N936" i="1"/>
  <c r="N937" i="1" s="1"/>
  <c r="N712" i="1"/>
  <c r="N809" i="1"/>
  <c r="N740" i="1"/>
  <c r="S484" i="1" l="1"/>
  <c r="S483" i="1"/>
  <c r="S482" i="1"/>
  <c r="AD472" i="1" s="1"/>
  <c r="S127" i="1" l="1"/>
  <c r="S128" i="1"/>
  <c r="S129" i="1"/>
  <c r="S130" i="1"/>
  <c r="S131" i="1"/>
  <c r="S132" i="1"/>
  <c r="S133" i="1"/>
  <c r="S134" i="1"/>
  <c r="S135" i="1"/>
  <c r="S136" i="1"/>
  <c r="S137" i="1"/>
  <c r="R128" i="1"/>
  <c r="R129" i="1"/>
  <c r="R130" i="1"/>
  <c r="R131" i="1"/>
  <c r="R132" i="1"/>
  <c r="R133" i="1"/>
  <c r="R134" i="1"/>
  <c r="R135" i="1"/>
  <c r="R136" i="1"/>
  <c r="R137" i="1"/>
  <c r="R127" i="1"/>
  <c r="J168" i="1" l="1"/>
  <c r="M52" i="1" l="1"/>
  <c r="AD82" i="1" l="1"/>
  <c r="O1450" i="1"/>
  <c r="D169" i="1" s="1"/>
  <c r="J169" i="1"/>
  <c r="AC82" i="1"/>
  <c r="K169" i="1"/>
  <c r="P673" i="1"/>
  <c r="Q484" i="1" l="1"/>
  <c r="T484" i="1" s="1"/>
  <c r="Q483" i="1"/>
  <c r="T483" i="1" s="1"/>
  <c r="E482" i="1"/>
  <c r="E483" i="1"/>
  <c r="Q482" i="1"/>
  <c r="AD88" i="1" s="1"/>
  <c r="AC88" i="1" s="1"/>
  <c r="AD89" i="1" l="1"/>
  <c r="AC89" i="1" s="1"/>
  <c r="D482" i="1"/>
  <c r="AD90" i="1"/>
  <c r="AC90" i="1" s="1"/>
  <c r="D484" i="1"/>
  <c r="D483" i="1"/>
  <c r="F483" i="1"/>
  <c r="J474" i="1"/>
  <c r="K474" i="1"/>
  <c r="F482" i="1" l="1"/>
  <c r="T482" i="1"/>
  <c r="K692" i="1" l="1"/>
  <c r="K507" i="1" s="1"/>
  <c r="H692" i="1"/>
  <c r="H507" i="1" s="1"/>
  <c r="C1203" i="1" l="1"/>
  <c r="C1204" i="1"/>
  <c r="C1205" i="1"/>
  <c r="C1206" i="1"/>
  <c r="D1206" i="1"/>
  <c r="C1207" i="1"/>
  <c r="D1207" i="1"/>
  <c r="C1208" i="1"/>
  <c r="D1208" i="1"/>
  <c r="C1209" i="1"/>
  <c r="D1209" i="1"/>
  <c r="C1201" i="1"/>
  <c r="M1198" i="1"/>
  <c r="F1207" i="1"/>
  <c r="F1206" i="1"/>
  <c r="E1208" i="1"/>
  <c r="E1209" i="1"/>
  <c r="G1209" i="1" l="1"/>
  <c r="E1207" i="1"/>
  <c r="F1209" i="1"/>
  <c r="F1208" i="1"/>
  <c r="G1206" i="1"/>
  <c r="G1208" i="1"/>
  <c r="E1206" i="1"/>
  <c r="Y93" i="3"/>
  <c r="X93" i="3"/>
  <c r="W93" i="3"/>
  <c r="V93" i="3"/>
  <c r="U93" i="3"/>
  <c r="T93" i="3"/>
  <c r="S93" i="3"/>
  <c r="R93" i="3"/>
  <c r="Q93" i="3"/>
  <c r="P93" i="3"/>
  <c r="O93" i="3"/>
  <c r="N93" i="3"/>
  <c r="M93" i="3"/>
  <c r="L93" i="3"/>
  <c r="K93" i="3"/>
  <c r="J93" i="3"/>
  <c r="I93" i="3"/>
  <c r="H93" i="3"/>
  <c r="F93" i="3"/>
  <c r="Y92" i="3"/>
  <c r="X92" i="3"/>
  <c r="W92" i="3"/>
  <c r="V92" i="3"/>
  <c r="U92" i="3"/>
  <c r="T92" i="3"/>
  <c r="S92" i="3"/>
  <c r="R92" i="3"/>
  <c r="Q92" i="3"/>
  <c r="P92" i="3"/>
  <c r="O92" i="3"/>
  <c r="N92" i="3"/>
  <c r="M92" i="3"/>
  <c r="L92" i="3"/>
  <c r="K92" i="3"/>
  <c r="J92" i="3"/>
  <c r="I92" i="3"/>
  <c r="H92" i="3"/>
  <c r="F92" i="3"/>
  <c r="Y91" i="3"/>
  <c r="X91" i="3"/>
  <c r="W91" i="3"/>
  <c r="V91" i="3"/>
  <c r="U91" i="3"/>
  <c r="T91" i="3"/>
  <c r="S91" i="3"/>
  <c r="R91" i="3"/>
  <c r="Q91" i="3"/>
  <c r="P91" i="3"/>
  <c r="O91" i="3"/>
  <c r="N91" i="3"/>
  <c r="M91" i="3"/>
  <c r="L91" i="3"/>
  <c r="K91" i="3"/>
  <c r="J91" i="3"/>
  <c r="I91" i="3"/>
  <c r="H91" i="3"/>
  <c r="F91" i="3"/>
  <c r="Y90" i="3"/>
  <c r="X90" i="3"/>
  <c r="W90" i="3"/>
  <c r="V90" i="3"/>
  <c r="U90" i="3"/>
  <c r="T90" i="3"/>
  <c r="S90" i="3"/>
  <c r="R90" i="3"/>
  <c r="Q90" i="3"/>
  <c r="P90" i="3"/>
  <c r="O90" i="3"/>
  <c r="N90" i="3"/>
  <c r="M90" i="3"/>
  <c r="L90" i="3"/>
  <c r="K90" i="3"/>
  <c r="J90" i="3"/>
  <c r="I90" i="3"/>
  <c r="H90" i="3"/>
  <c r="F90" i="3"/>
  <c r="Y89" i="3"/>
  <c r="X89" i="3"/>
  <c r="W89" i="3"/>
  <c r="V89" i="3"/>
  <c r="U89" i="3"/>
  <c r="T89" i="3"/>
  <c r="S89" i="3"/>
  <c r="R89" i="3"/>
  <c r="Q89" i="3"/>
  <c r="P89" i="3"/>
  <c r="O89" i="3"/>
  <c r="N89" i="3"/>
  <c r="M89" i="3"/>
  <c r="L89" i="3"/>
  <c r="K89" i="3"/>
  <c r="J89" i="3"/>
  <c r="I89" i="3"/>
  <c r="H89" i="3"/>
  <c r="F89" i="3"/>
  <c r="Y88" i="3"/>
  <c r="X88" i="3"/>
  <c r="W88" i="3"/>
  <c r="V88" i="3"/>
  <c r="U88" i="3"/>
  <c r="T88" i="3"/>
  <c r="S88" i="3"/>
  <c r="R88" i="3"/>
  <c r="Q88" i="3"/>
  <c r="P88" i="3"/>
  <c r="O88" i="3"/>
  <c r="N88" i="3"/>
  <c r="M88" i="3"/>
  <c r="L88" i="3"/>
  <c r="K88" i="3"/>
  <c r="J88" i="3"/>
  <c r="I88" i="3"/>
  <c r="H88" i="3"/>
  <c r="F88" i="3"/>
  <c r="Y87" i="3"/>
  <c r="X87" i="3"/>
  <c r="W87" i="3"/>
  <c r="V87" i="3"/>
  <c r="U87" i="3"/>
  <c r="T87" i="3"/>
  <c r="S87" i="3"/>
  <c r="R87" i="3"/>
  <c r="Q87" i="3"/>
  <c r="P87" i="3"/>
  <c r="O87" i="3"/>
  <c r="N87" i="3"/>
  <c r="M87" i="3"/>
  <c r="L87" i="3"/>
  <c r="K87" i="3"/>
  <c r="J87" i="3"/>
  <c r="I87" i="3"/>
  <c r="H87" i="3"/>
  <c r="F87" i="3"/>
  <c r="Y86" i="3"/>
  <c r="X86" i="3"/>
  <c r="W86" i="3"/>
  <c r="V86" i="3"/>
  <c r="U86" i="3"/>
  <c r="T86" i="3"/>
  <c r="S86" i="3"/>
  <c r="R86" i="3"/>
  <c r="Q86" i="3"/>
  <c r="P86" i="3"/>
  <c r="O86" i="3"/>
  <c r="N86" i="3"/>
  <c r="M86" i="3"/>
  <c r="L86" i="3"/>
  <c r="K86" i="3"/>
  <c r="J86" i="3"/>
  <c r="I86" i="3"/>
  <c r="H86" i="3"/>
  <c r="F86" i="3"/>
  <c r="Y85" i="3"/>
  <c r="X85" i="3"/>
  <c r="W85" i="3"/>
  <c r="V85" i="3"/>
  <c r="U85" i="3"/>
  <c r="T85" i="3"/>
  <c r="S85" i="3"/>
  <c r="R85" i="3"/>
  <c r="Q85" i="3"/>
  <c r="P85" i="3"/>
  <c r="O85" i="3"/>
  <c r="N85" i="3"/>
  <c r="M85" i="3"/>
  <c r="L85" i="3"/>
  <c r="K85" i="3"/>
  <c r="J85" i="3"/>
  <c r="I85" i="3"/>
  <c r="H85" i="3"/>
  <c r="F85" i="3"/>
  <c r="Y84" i="3"/>
  <c r="X84" i="3"/>
  <c r="W84" i="3"/>
  <c r="V84" i="3"/>
  <c r="U84" i="3"/>
  <c r="T84" i="3"/>
  <c r="S84" i="3"/>
  <c r="R84" i="3"/>
  <c r="Q84" i="3"/>
  <c r="P84" i="3"/>
  <c r="O84" i="3"/>
  <c r="N84" i="3"/>
  <c r="M84" i="3"/>
  <c r="L84" i="3"/>
  <c r="K84" i="3"/>
  <c r="J84" i="3"/>
  <c r="I84" i="3"/>
  <c r="H84" i="3"/>
  <c r="F84" i="3"/>
  <c r="Y83" i="3"/>
  <c r="X83" i="3"/>
  <c r="W83" i="3"/>
  <c r="V83" i="3"/>
  <c r="U83" i="3"/>
  <c r="T83" i="3"/>
  <c r="S83" i="3"/>
  <c r="R83" i="3"/>
  <c r="Q83" i="3"/>
  <c r="P83" i="3"/>
  <c r="O83" i="3"/>
  <c r="N83" i="3"/>
  <c r="M83" i="3"/>
  <c r="L83" i="3"/>
  <c r="K83" i="3"/>
  <c r="J83" i="3"/>
  <c r="I83" i="3"/>
  <c r="H83" i="3"/>
  <c r="F83" i="3"/>
  <c r="Y82" i="3"/>
  <c r="X82" i="3"/>
  <c r="W82" i="3"/>
  <c r="V82" i="3"/>
  <c r="U82" i="3"/>
  <c r="T82" i="3"/>
  <c r="S82" i="3"/>
  <c r="R82" i="3"/>
  <c r="Q82" i="3"/>
  <c r="P82" i="3"/>
  <c r="O82" i="3"/>
  <c r="N82" i="3"/>
  <c r="M82" i="3"/>
  <c r="L82" i="3"/>
  <c r="K82" i="3"/>
  <c r="J82" i="3"/>
  <c r="I82" i="3"/>
  <c r="H82" i="3"/>
  <c r="F82" i="3"/>
  <c r="Y81" i="3"/>
  <c r="X81" i="3"/>
  <c r="W81" i="3"/>
  <c r="V81" i="3"/>
  <c r="U81" i="3"/>
  <c r="T81" i="3"/>
  <c r="S81" i="3"/>
  <c r="R81" i="3"/>
  <c r="Q81" i="3"/>
  <c r="P81" i="3"/>
  <c r="O81" i="3"/>
  <c r="N81" i="3"/>
  <c r="M81" i="3"/>
  <c r="L81" i="3"/>
  <c r="K81" i="3"/>
  <c r="J81" i="3"/>
  <c r="I81" i="3"/>
  <c r="H81" i="3"/>
  <c r="F81" i="3"/>
  <c r="Y80" i="3"/>
  <c r="X80" i="3"/>
  <c r="W80" i="3"/>
  <c r="V80" i="3"/>
  <c r="U80" i="3"/>
  <c r="T80" i="3"/>
  <c r="S80" i="3"/>
  <c r="R80" i="3"/>
  <c r="Q80" i="3"/>
  <c r="P80" i="3"/>
  <c r="O80" i="3"/>
  <c r="N80" i="3"/>
  <c r="M80" i="3"/>
  <c r="L80" i="3"/>
  <c r="K80" i="3"/>
  <c r="J80" i="3"/>
  <c r="I80" i="3"/>
  <c r="H80" i="3"/>
  <c r="F80" i="3"/>
  <c r="Y79" i="3"/>
  <c r="X79" i="3"/>
  <c r="W79" i="3"/>
  <c r="V79" i="3"/>
  <c r="U79" i="3"/>
  <c r="T79" i="3"/>
  <c r="S79" i="3"/>
  <c r="R79" i="3"/>
  <c r="Q79" i="3"/>
  <c r="P79" i="3"/>
  <c r="O79" i="3"/>
  <c r="N79" i="3"/>
  <c r="M79" i="3"/>
  <c r="L79" i="3"/>
  <c r="K79" i="3"/>
  <c r="J79" i="3"/>
  <c r="I79" i="3"/>
  <c r="H79" i="3"/>
  <c r="F79" i="3"/>
  <c r="Y78" i="3"/>
  <c r="X78" i="3"/>
  <c r="W78" i="3"/>
  <c r="V78" i="3"/>
  <c r="U78" i="3"/>
  <c r="T78" i="3"/>
  <c r="S78" i="3"/>
  <c r="R78" i="3"/>
  <c r="Q78" i="3"/>
  <c r="P78" i="3"/>
  <c r="O78" i="3"/>
  <c r="N78" i="3"/>
  <c r="M78" i="3"/>
  <c r="L78" i="3"/>
  <c r="K78" i="3"/>
  <c r="J78" i="3"/>
  <c r="I78" i="3"/>
  <c r="H78" i="3"/>
  <c r="F78" i="3"/>
  <c r="Y77" i="3"/>
  <c r="X77" i="3"/>
  <c r="W77" i="3"/>
  <c r="V77" i="3"/>
  <c r="U77" i="3"/>
  <c r="T77" i="3"/>
  <c r="S77" i="3"/>
  <c r="R77" i="3"/>
  <c r="Q77" i="3"/>
  <c r="P77" i="3"/>
  <c r="O77" i="3"/>
  <c r="N77" i="3"/>
  <c r="M77" i="3"/>
  <c r="L77" i="3"/>
  <c r="K77" i="3"/>
  <c r="J77" i="3"/>
  <c r="I77" i="3"/>
  <c r="H77" i="3"/>
  <c r="F77" i="3"/>
  <c r="Y76" i="3"/>
  <c r="X76" i="3"/>
  <c r="W76" i="3"/>
  <c r="V76" i="3"/>
  <c r="U76" i="3"/>
  <c r="T76" i="3"/>
  <c r="S76" i="3"/>
  <c r="R76" i="3"/>
  <c r="Q76" i="3"/>
  <c r="P76" i="3"/>
  <c r="O76" i="3"/>
  <c r="N76" i="3"/>
  <c r="M76" i="3"/>
  <c r="L76" i="3"/>
  <c r="K76" i="3"/>
  <c r="J76" i="3"/>
  <c r="I76" i="3"/>
  <c r="H76" i="3"/>
  <c r="F76" i="3"/>
  <c r="Y75" i="3"/>
  <c r="X75" i="3"/>
  <c r="W75" i="3"/>
  <c r="V75" i="3"/>
  <c r="U75" i="3"/>
  <c r="T75" i="3"/>
  <c r="S75" i="3"/>
  <c r="R75" i="3"/>
  <c r="Q75" i="3"/>
  <c r="P75" i="3"/>
  <c r="O75" i="3"/>
  <c r="N75" i="3"/>
  <c r="M75" i="3"/>
  <c r="L75" i="3"/>
  <c r="K75" i="3"/>
  <c r="J75" i="3"/>
  <c r="I75" i="3"/>
  <c r="H75" i="3"/>
  <c r="F75" i="3"/>
  <c r="Y74" i="3"/>
  <c r="X74" i="3"/>
  <c r="W74" i="3"/>
  <c r="V74" i="3"/>
  <c r="U74" i="3"/>
  <c r="T74" i="3"/>
  <c r="S74" i="3"/>
  <c r="R74" i="3"/>
  <c r="Q74" i="3"/>
  <c r="P74" i="3"/>
  <c r="O74" i="3"/>
  <c r="N74" i="3"/>
  <c r="M74" i="3"/>
  <c r="L74" i="3"/>
  <c r="K74" i="3"/>
  <c r="J74" i="3"/>
  <c r="I74" i="3"/>
  <c r="H74" i="3"/>
  <c r="F74" i="3"/>
  <c r="Y73" i="3"/>
  <c r="X73" i="3"/>
  <c r="W73" i="3"/>
  <c r="V73" i="3"/>
  <c r="U73" i="3"/>
  <c r="T73" i="3"/>
  <c r="S73" i="3"/>
  <c r="R73" i="3"/>
  <c r="Q73" i="3"/>
  <c r="P73" i="3"/>
  <c r="O73" i="3"/>
  <c r="N73" i="3"/>
  <c r="M73" i="3"/>
  <c r="L73" i="3"/>
  <c r="K73" i="3"/>
  <c r="J73" i="3"/>
  <c r="I73" i="3"/>
  <c r="H73" i="3"/>
  <c r="F73" i="3"/>
  <c r="Y72" i="3"/>
  <c r="X72" i="3"/>
  <c r="W72" i="3"/>
  <c r="V72" i="3"/>
  <c r="U72" i="3"/>
  <c r="T72" i="3"/>
  <c r="S72" i="3"/>
  <c r="R72" i="3"/>
  <c r="Q72" i="3"/>
  <c r="P72" i="3"/>
  <c r="O72" i="3"/>
  <c r="N72" i="3"/>
  <c r="M72" i="3"/>
  <c r="L72" i="3"/>
  <c r="K72" i="3"/>
  <c r="J72" i="3"/>
  <c r="I72" i="3"/>
  <c r="H72" i="3"/>
  <c r="F72" i="3"/>
  <c r="Y71" i="3"/>
  <c r="X71" i="3"/>
  <c r="W71" i="3"/>
  <c r="V71" i="3"/>
  <c r="U71" i="3"/>
  <c r="T71" i="3"/>
  <c r="S71" i="3"/>
  <c r="R71" i="3"/>
  <c r="Q71" i="3"/>
  <c r="P71" i="3"/>
  <c r="O71" i="3"/>
  <c r="N71" i="3"/>
  <c r="M71" i="3"/>
  <c r="L71" i="3"/>
  <c r="K71" i="3"/>
  <c r="J71" i="3"/>
  <c r="I71" i="3"/>
  <c r="H71" i="3"/>
  <c r="F71" i="3"/>
  <c r="Y70" i="3"/>
  <c r="X70" i="3"/>
  <c r="W70" i="3"/>
  <c r="V70" i="3"/>
  <c r="U70" i="3"/>
  <c r="T70" i="3"/>
  <c r="S70" i="3"/>
  <c r="R70" i="3"/>
  <c r="Q70" i="3"/>
  <c r="P70" i="3"/>
  <c r="O70" i="3"/>
  <c r="N70" i="3"/>
  <c r="M70" i="3"/>
  <c r="L70" i="3"/>
  <c r="K70" i="3"/>
  <c r="J70" i="3"/>
  <c r="I70" i="3"/>
  <c r="H70" i="3"/>
  <c r="F70" i="3"/>
  <c r="Y69" i="3"/>
  <c r="X69" i="3"/>
  <c r="W69" i="3"/>
  <c r="V69" i="3"/>
  <c r="U69" i="3"/>
  <c r="T69" i="3"/>
  <c r="S69" i="3"/>
  <c r="R69" i="3"/>
  <c r="Q69" i="3"/>
  <c r="P69" i="3"/>
  <c r="O69" i="3"/>
  <c r="N69" i="3"/>
  <c r="M69" i="3"/>
  <c r="L69" i="3"/>
  <c r="K69" i="3"/>
  <c r="J69" i="3"/>
  <c r="I69" i="3"/>
  <c r="H69" i="3"/>
  <c r="F69" i="3"/>
  <c r="Y68" i="3"/>
  <c r="X68" i="3"/>
  <c r="W68" i="3"/>
  <c r="V68" i="3"/>
  <c r="U68" i="3"/>
  <c r="T68" i="3"/>
  <c r="S68" i="3"/>
  <c r="R68" i="3"/>
  <c r="Q68" i="3"/>
  <c r="P68" i="3"/>
  <c r="O68" i="3"/>
  <c r="N68" i="3"/>
  <c r="M68" i="3"/>
  <c r="L68" i="3"/>
  <c r="K68" i="3"/>
  <c r="J68" i="3"/>
  <c r="I68" i="3"/>
  <c r="H68" i="3"/>
  <c r="F68" i="3"/>
  <c r="Y67" i="3"/>
  <c r="X67" i="3"/>
  <c r="W67" i="3"/>
  <c r="V67" i="3"/>
  <c r="U67" i="3"/>
  <c r="T67" i="3"/>
  <c r="S67" i="3"/>
  <c r="R67" i="3"/>
  <c r="Q67" i="3"/>
  <c r="P67" i="3"/>
  <c r="O67" i="3"/>
  <c r="N67" i="3"/>
  <c r="M67" i="3"/>
  <c r="L67" i="3"/>
  <c r="K67" i="3"/>
  <c r="J67" i="3"/>
  <c r="I67" i="3"/>
  <c r="H67" i="3"/>
  <c r="F67" i="3"/>
  <c r="Y66" i="3"/>
  <c r="X66" i="3"/>
  <c r="W66" i="3"/>
  <c r="V66" i="3"/>
  <c r="U66" i="3"/>
  <c r="T66" i="3"/>
  <c r="S66" i="3"/>
  <c r="R66" i="3"/>
  <c r="Q66" i="3"/>
  <c r="P66" i="3"/>
  <c r="O66" i="3"/>
  <c r="N66" i="3"/>
  <c r="M66" i="3"/>
  <c r="L66" i="3"/>
  <c r="K66" i="3"/>
  <c r="J66" i="3"/>
  <c r="I66" i="3"/>
  <c r="H66" i="3"/>
  <c r="F66" i="3"/>
  <c r="Y65" i="3"/>
  <c r="X65" i="3"/>
  <c r="W65" i="3"/>
  <c r="V65" i="3"/>
  <c r="U65" i="3"/>
  <c r="T65" i="3"/>
  <c r="S65" i="3"/>
  <c r="R65" i="3"/>
  <c r="Q65" i="3"/>
  <c r="P65" i="3"/>
  <c r="O65" i="3"/>
  <c r="N65" i="3"/>
  <c r="M65" i="3"/>
  <c r="L65" i="3"/>
  <c r="K65" i="3"/>
  <c r="J65" i="3"/>
  <c r="I65" i="3"/>
  <c r="H65" i="3"/>
  <c r="F65" i="3"/>
  <c r="Y64" i="3"/>
  <c r="X64" i="3"/>
  <c r="W64" i="3"/>
  <c r="V64" i="3"/>
  <c r="U64" i="3"/>
  <c r="T64" i="3"/>
  <c r="S64" i="3"/>
  <c r="R64" i="3"/>
  <c r="Q64" i="3"/>
  <c r="P64" i="3"/>
  <c r="O64" i="3"/>
  <c r="N64" i="3"/>
  <c r="M64" i="3"/>
  <c r="L64" i="3"/>
  <c r="K64" i="3"/>
  <c r="J64" i="3"/>
  <c r="I64" i="3"/>
  <c r="H64" i="3"/>
  <c r="F64" i="3"/>
  <c r="Y63" i="3"/>
  <c r="X63" i="3"/>
  <c r="W63" i="3"/>
  <c r="V63" i="3"/>
  <c r="U63" i="3"/>
  <c r="T63" i="3"/>
  <c r="S63" i="3"/>
  <c r="R63" i="3"/>
  <c r="Q63" i="3"/>
  <c r="P63" i="3"/>
  <c r="O63" i="3"/>
  <c r="N63" i="3"/>
  <c r="M63" i="3"/>
  <c r="L63" i="3"/>
  <c r="K63" i="3"/>
  <c r="J63" i="3"/>
  <c r="I63" i="3"/>
  <c r="H63" i="3"/>
  <c r="F63" i="3"/>
  <c r="Y62" i="3"/>
  <c r="X62" i="3"/>
  <c r="W62" i="3"/>
  <c r="V62" i="3"/>
  <c r="U62" i="3"/>
  <c r="T62" i="3"/>
  <c r="S62" i="3"/>
  <c r="R62" i="3"/>
  <c r="Q62" i="3"/>
  <c r="P62" i="3"/>
  <c r="O62" i="3"/>
  <c r="N62" i="3"/>
  <c r="M62" i="3"/>
  <c r="L62" i="3"/>
  <c r="K62" i="3"/>
  <c r="J62" i="3"/>
  <c r="I62" i="3"/>
  <c r="H62" i="3"/>
  <c r="F62" i="3"/>
  <c r="Y61" i="3"/>
  <c r="X61" i="3"/>
  <c r="W61" i="3"/>
  <c r="V61" i="3"/>
  <c r="U61" i="3"/>
  <c r="T61" i="3"/>
  <c r="S61" i="3"/>
  <c r="R61" i="3"/>
  <c r="Q61" i="3"/>
  <c r="P61" i="3"/>
  <c r="O61" i="3"/>
  <c r="N61" i="3"/>
  <c r="M61" i="3"/>
  <c r="L61" i="3"/>
  <c r="K61" i="3"/>
  <c r="J61" i="3"/>
  <c r="I61" i="3"/>
  <c r="H61" i="3"/>
  <c r="F61" i="3"/>
  <c r="Y60" i="3"/>
  <c r="X60" i="3"/>
  <c r="W60" i="3"/>
  <c r="V60" i="3"/>
  <c r="U60" i="3"/>
  <c r="T60" i="3"/>
  <c r="S60" i="3"/>
  <c r="R60" i="3"/>
  <c r="Q60" i="3"/>
  <c r="P60" i="3"/>
  <c r="O60" i="3"/>
  <c r="N60" i="3"/>
  <c r="M60" i="3"/>
  <c r="L60" i="3"/>
  <c r="K60" i="3"/>
  <c r="J60" i="3"/>
  <c r="I60" i="3"/>
  <c r="H60" i="3"/>
  <c r="F60" i="3"/>
  <c r="Y59" i="3"/>
  <c r="X59" i="3"/>
  <c r="W59" i="3"/>
  <c r="V59" i="3"/>
  <c r="U59" i="3"/>
  <c r="T59" i="3"/>
  <c r="S59" i="3"/>
  <c r="R59" i="3"/>
  <c r="Q59" i="3"/>
  <c r="P59" i="3"/>
  <c r="O59" i="3"/>
  <c r="N59" i="3"/>
  <c r="M59" i="3"/>
  <c r="L59" i="3"/>
  <c r="K59" i="3"/>
  <c r="J59" i="3"/>
  <c r="I59" i="3"/>
  <c r="H59" i="3"/>
  <c r="F59" i="3"/>
  <c r="Y58" i="3"/>
  <c r="X58" i="3"/>
  <c r="W58" i="3"/>
  <c r="V58" i="3"/>
  <c r="U58" i="3"/>
  <c r="T58" i="3"/>
  <c r="S58" i="3"/>
  <c r="R58" i="3"/>
  <c r="Q58" i="3"/>
  <c r="P58" i="3"/>
  <c r="O58" i="3"/>
  <c r="N58" i="3"/>
  <c r="M58" i="3"/>
  <c r="L58" i="3"/>
  <c r="K58" i="3"/>
  <c r="J58" i="3"/>
  <c r="I58" i="3"/>
  <c r="H58" i="3"/>
  <c r="F58" i="3"/>
  <c r="Y57" i="3"/>
  <c r="X57" i="3"/>
  <c r="W57" i="3"/>
  <c r="V57" i="3"/>
  <c r="U57" i="3"/>
  <c r="T57" i="3"/>
  <c r="S57" i="3"/>
  <c r="R57" i="3"/>
  <c r="Q57" i="3"/>
  <c r="P57" i="3"/>
  <c r="O57" i="3"/>
  <c r="N57" i="3"/>
  <c r="M57" i="3"/>
  <c r="L57" i="3"/>
  <c r="K57" i="3"/>
  <c r="J57" i="3"/>
  <c r="I57" i="3"/>
  <c r="H57" i="3"/>
  <c r="F57" i="3"/>
  <c r="Y56" i="3"/>
  <c r="X56" i="3"/>
  <c r="W56" i="3"/>
  <c r="V56" i="3"/>
  <c r="U56" i="3"/>
  <c r="T56" i="3"/>
  <c r="S56" i="3"/>
  <c r="R56" i="3"/>
  <c r="Q56" i="3"/>
  <c r="P56" i="3"/>
  <c r="O56" i="3"/>
  <c r="N56" i="3"/>
  <c r="M56" i="3"/>
  <c r="L56" i="3"/>
  <c r="K56" i="3"/>
  <c r="J56" i="3"/>
  <c r="I56" i="3"/>
  <c r="H56" i="3"/>
  <c r="F56" i="3"/>
  <c r="Y55" i="3"/>
  <c r="X55" i="3"/>
  <c r="W55" i="3"/>
  <c r="V55" i="3"/>
  <c r="U55" i="3"/>
  <c r="T55" i="3"/>
  <c r="S55" i="3"/>
  <c r="R55" i="3"/>
  <c r="Q55" i="3"/>
  <c r="P55" i="3"/>
  <c r="O55" i="3"/>
  <c r="N55" i="3"/>
  <c r="M55" i="3"/>
  <c r="L55" i="3"/>
  <c r="K55" i="3"/>
  <c r="J55" i="3"/>
  <c r="I55" i="3"/>
  <c r="H55" i="3"/>
  <c r="F55" i="3"/>
  <c r="Y54" i="3"/>
  <c r="X54" i="3"/>
  <c r="W54" i="3"/>
  <c r="V54" i="3"/>
  <c r="U54" i="3"/>
  <c r="T54" i="3"/>
  <c r="S54" i="3"/>
  <c r="R54" i="3"/>
  <c r="Q54" i="3"/>
  <c r="P54" i="3"/>
  <c r="O54" i="3"/>
  <c r="N54" i="3"/>
  <c r="M54" i="3"/>
  <c r="L54" i="3"/>
  <c r="K54" i="3"/>
  <c r="J54" i="3"/>
  <c r="I54" i="3"/>
  <c r="H54" i="3"/>
  <c r="F54" i="3"/>
  <c r="Y53" i="3"/>
  <c r="X53" i="3"/>
  <c r="W53" i="3"/>
  <c r="V53" i="3"/>
  <c r="U53" i="3"/>
  <c r="T53" i="3"/>
  <c r="S53" i="3"/>
  <c r="R53" i="3"/>
  <c r="Q53" i="3"/>
  <c r="P53" i="3"/>
  <c r="O53" i="3"/>
  <c r="N53" i="3"/>
  <c r="M53" i="3"/>
  <c r="L53" i="3"/>
  <c r="K53" i="3"/>
  <c r="J53" i="3"/>
  <c r="I53" i="3"/>
  <c r="H53" i="3"/>
  <c r="F53" i="3"/>
  <c r="Y52" i="3"/>
  <c r="X52" i="3"/>
  <c r="W52" i="3"/>
  <c r="V52" i="3"/>
  <c r="U52" i="3"/>
  <c r="T52" i="3"/>
  <c r="S52" i="3"/>
  <c r="R52" i="3"/>
  <c r="Q52" i="3"/>
  <c r="P52" i="3"/>
  <c r="O52" i="3"/>
  <c r="N52" i="3"/>
  <c r="M52" i="3"/>
  <c r="L52" i="3"/>
  <c r="K52" i="3"/>
  <c r="J52" i="3"/>
  <c r="I52" i="3"/>
  <c r="H52" i="3"/>
  <c r="F52" i="3"/>
  <c r="Y51" i="3"/>
  <c r="X51" i="3"/>
  <c r="W51" i="3"/>
  <c r="V51" i="3"/>
  <c r="U51" i="3"/>
  <c r="T51" i="3"/>
  <c r="S51" i="3"/>
  <c r="R51" i="3"/>
  <c r="Q51" i="3"/>
  <c r="P51" i="3"/>
  <c r="O51" i="3"/>
  <c r="N51" i="3"/>
  <c r="M51" i="3"/>
  <c r="L51" i="3"/>
  <c r="K51" i="3"/>
  <c r="J51" i="3"/>
  <c r="I51" i="3"/>
  <c r="H51" i="3"/>
  <c r="F51" i="3"/>
  <c r="Y50" i="3"/>
  <c r="X50" i="3"/>
  <c r="W50" i="3"/>
  <c r="V50" i="3"/>
  <c r="U50" i="3"/>
  <c r="T50" i="3"/>
  <c r="S50" i="3"/>
  <c r="R50" i="3"/>
  <c r="Q50" i="3"/>
  <c r="P50" i="3"/>
  <c r="O50" i="3"/>
  <c r="N50" i="3"/>
  <c r="M50" i="3"/>
  <c r="L50" i="3"/>
  <c r="K50" i="3"/>
  <c r="J50" i="3"/>
  <c r="I50" i="3"/>
  <c r="H50" i="3"/>
  <c r="F50" i="3"/>
  <c r="Y49" i="3"/>
  <c r="X49" i="3"/>
  <c r="W49" i="3"/>
  <c r="V49" i="3"/>
  <c r="U49" i="3"/>
  <c r="T49" i="3"/>
  <c r="S49" i="3"/>
  <c r="R49" i="3"/>
  <c r="Q49" i="3"/>
  <c r="P49" i="3"/>
  <c r="O49" i="3"/>
  <c r="N49" i="3"/>
  <c r="M49" i="3"/>
  <c r="L49" i="3"/>
  <c r="K49" i="3"/>
  <c r="J49" i="3"/>
  <c r="I49" i="3"/>
  <c r="H49" i="3"/>
  <c r="F49" i="3"/>
  <c r="Y48" i="3"/>
  <c r="X48" i="3"/>
  <c r="W48" i="3"/>
  <c r="V48" i="3"/>
  <c r="U48" i="3"/>
  <c r="T48" i="3"/>
  <c r="S48" i="3"/>
  <c r="R48" i="3"/>
  <c r="Q48" i="3"/>
  <c r="P48" i="3"/>
  <c r="O48" i="3"/>
  <c r="N48" i="3"/>
  <c r="M48" i="3"/>
  <c r="L48" i="3"/>
  <c r="K48" i="3"/>
  <c r="J48" i="3"/>
  <c r="I48" i="3"/>
  <c r="H48" i="3"/>
  <c r="F48" i="3"/>
  <c r="Y47" i="3"/>
  <c r="X47" i="3"/>
  <c r="W47" i="3"/>
  <c r="V47" i="3"/>
  <c r="U47" i="3"/>
  <c r="T47" i="3"/>
  <c r="S47" i="3"/>
  <c r="R47" i="3"/>
  <c r="Q47" i="3"/>
  <c r="P47" i="3"/>
  <c r="O47" i="3"/>
  <c r="N47" i="3"/>
  <c r="M47" i="3"/>
  <c r="L47" i="3"/>
  <c r="K47" i="3"/>
  <c r="J47" i="3"/>
  <c r="I47" i="3"/>
  <c r="H47" i="3"/>
  <c r="F47" i="3"/>
  <c r="Y46" i="3"/>
  <c r="X46" i="3"/>
  <c r="W46" i="3"/>
  <c r="V46" i="3"/>
  <c r="U46" i="3"/>
  <c r="T46" i="3"/>
  <c r="S46" i="3"/>
  <c r="R46" i="3"/>
  <c r="Q46" i="3"/>
  <c r="P46" i="3"/>
  <c r="O46" i="3"/>
  <c r="N46" i="3"/>
  <c r="M46" i="3"/>
  <c r="L46" i="3"/>
  <c r="K46" i="3"/>
  <c r="J46" i="3"/>
  <c r="I46" i="3"/>
  <c r="H46" i="3"/>
  <c r="F46" i="3"/>
  <c r="Y45" i="3"/>
  <c r="X45" i="3"/>
  <c r="W45" i="3"/>
  <c r="V45" i="3"/>
  <c r="U45" i="3"/>
  <c r="T45" i="3"/>
  <c r="S45" i="3"/>
  <c r="R45" i="3"/>
  <c r="Q45" i="3"/>
  <c r="P45" i="3"/>
  <c r="O45" i="3"/>
  <c r="N45" i="3"/>
  <c r="M45" i="3"/>
  <c r="L45" i="3"/>
  <c r="K45" i="3"/>
  <c r="J45" i="3"/>
  <c r="I45" i="3"/>
  <c r="H45" i="3"/>
  <c r="F45" i="3"/>
  <c r="Y44" i="3"/>
  <c r="X44" i="3"/>
  <c r="W44" i="3"/>
  <c r="V44" i="3"/>
  <c r="U44" i="3"/>
  <c r="T44" i="3"/>
  <c r="S44" i="3"/>
  <c r="R44" i="3"/>
  <c r="Q44" i="3"/>
  <c r="P44" i="3"/>
  <c r="O44" i="3"/>
  <c r="N44" i="3"/>
  <c r="M44" i="3"/>
  <c r="L44" i="3"/>
  <c r="K44" i="3"/>
  <c r="J44" i="3"/>
  <c r="I44" i="3"/>
  <c r="H44" i="3"/>
  <c r="F44" i="3"/>
  <c r="Y43" i="3"/>
  <c r="X43" i="3"/>
  <c r="W43" i="3"/>
  <c r="V43" i="3"/>
  <c r="U43" i="3"/>
  <c r="T43" i="3"/>
  <c r="S43" i="3"/>
  <c r="R43" i="3"/>
  <c r="Q43" i="3"/>
  <c r="P43" i="3"/>
  <c r="O43" i="3"/>
  <c r="N43" i="3"/>
  <c r="M43" i="3"/>
  <c r="L43" i="3"/>
  <c r="K43" i="3"/>
  <c r="J43" i="3"/>
  <c r="I43" i="3"/>
  <c r="H43" i="3"/>
  <c r="F43" i="3"/>
  <c r="Y42" i="3"/>
  <c r="X42" i="3"/>
  <c r="W42" i="3"/>
  <c r="V42" i="3"/>
  <c r="U42" i="3"/>
  <c r="T42" i="3"/>
  <c r="S42" i="3"/>
  <c r="R42" i="3"/>
  <c r="Q42" i="3"/>
  <c r="P42" i="3"/>
  <c r="O42" i="3"/>
  <c r="N42" i="3"/>
  <c r="M42" i="3"/>
  <c r="L42" i="3"/>
  <c r="K42" i="3"/>
  <c r="J42" i="3"/>
  <c r="I42" i="3"/>
  <c r="H42" i="3"/>
  <c r="F42" i="3"/>
  <c r="Y41" i="3"/>
  <c r="X41" i="3"/>
  <c r="W41" i="3"/>
  <c r="V41" i="3"/>
  <c r="U41" i="3"/>
  <c r="T41" i="3"/>
  <c r="S41" i="3"/>
  <c r="R41" i="3"/>
  <c r="Q41" i="3"/>
  <c r="P41" i="3"/>
  <c r="O41" i="3"/>
  <c r="N41" i="3"/>
  <c r="M41" i="3"/>
  <c r="L41" i="3"/>
  <c r="K41" i="3"/>
  <c r="J41" i="3"/>
  <c r="I41" i="3"/>
  <c r="H41" i="3"/>
  <c r="F41" i="3"/>
  <c r="Y40" i="3"/>
  <c r="X40" i="3"/>
  <c r="W40" i="3"/>
  <c r="V40" i="3"/>
  <c r="U40" i="3"/>
  <c r="T40" i="3"/>
  <c r="S40" i="3"/>
  <c r="R40" i="3"/>
  <c r="Q40" i="3"/>
  <c r="P40" i="3"/>
  <c r="O40" i="3"/>
  <c r="N40" i="3"/>
  <c r="M40" i="3"/>
  <c r="L40" i="3"/>
  <c r="K40" i="3"/>
  <c r="J40" i="3"/>
  <c r="I40" i="3"/>
  <c r="H40" i="3"/>
  <c r="F40" i="3"/>
  <c r="Y39" i="3"/>
  <c r="X39" i="3"/>
  <c r="W39" i="3"/>
  <c r="V39" i="3"/>
  <c r="U39" i="3"/>
  <c r="T39" i="3"/>
  <c r="S39" i="3"/>
  <c r="R39" i="3"/>
  <c r="Q39" i="3"/>
  <c r="P39" i="3"/>
  <c r="O39" i="3"/>
  <c r="N39" i="3"/>
  <c r="M39" i="3"/>
  <c r="L39" i="3"/>
  <c r="K39" i="3"/>
  <c r="J39" i="3"/>
  <c r="I39" i="3"/>
  <c r="H39" i="3"/>
  <c r="F39" i="3"/>
  <c r="Y38" i="3"/>
  <c r="X38" i="3"/>
  <c r="W38" i="3"/>
  <c r="V38" i="3"/>
  <c r="U38" i="3"/>
  <c r="T38" i="3"/>
  <c r="S38" i="3"/>
  <c r="R38" i="3"/>
  <c r="Q38" i="3"/>
  <c r="P38" i="3"/>
  <c r="O38" i="3"/>
  <c r="N38" i="3"/>
  <c r="M38" i="3"/>
  <c r="L38" i="3"/>
  <c r="K38" i="3"/>
  <c r="J38" i="3"/>
  <c r="I38" i="3"/>
  <c r="H38" i="3"/>
  <c r="F38" i="3"/>
  <c r="Y37" i="3"/>
  <c r="X37" i="3"/>
  <c r="W37" i="3"/>
  <c r="V37" i="3"/>
  <c r="U37" i="3"/>
  <c r="T37" i="3"/>
  <c r="S37" i="3"/>
  <c r="R37" i="3"/>
  <c r="Q37" i="3"/>
  <c r="P37" i="3"/>
  <c r="O37" i="3"/>
  <c r="N37" i="3"/>
  <c r="M37" i="3"/>
  <c r="L37" i="3"/>
  <c r="K37" i="3"/>
  <c r="J37" i="3"/>
  <c r="I37" i="3"/>
  <c r="H37" i="3"/>
  <c r="F37" i="3"/>
  <c r="Y36" i="3"/>
  <c r="X36" i="3"/>
  <c r="W36" i="3"/>
  <c r="V36" i="3"/>
  <c r="U36" i="3"/>
  <c r="T36" i="3"/>
  <c r="S36" i="3"/>
  <c r="R36" i="3"/>
  <c r="Q36" i="3"/>
  <c r="P36" i="3"/>
  <c r="O36" i="3"/>
  <c r="N36" i="3"/>
  <c r="M36" i="3"/>
  <c r="L36" i="3"/>
  <c r="K36" i="3"/>
  <c r="J36" i="3"/>
  <c r="I36" i="3"/>
  <c r="H36" i="3"/>
  <c r="F36" i="3"/>
  <c r="Y35" i="3"/>
  <c r="X35" i="3"/>
  <c r="W35" i="3"/>
  <c r="V35" i="3"/>
  <c r="U35" i="3"/>
  <c r="T35" i="3"/>
  <c r="S35" i="3"/>
  <c r="R35" i="3"/>
  <c r="Q35" i="3"/>
  <c r="P35" i="3"/>
  <c r="O35" i="3"/>
  <c r="N35" i="3"/>
  <c r="M35" i="3"/>
  <c r="L35" i="3"/>
  <c r="K35" i="3"/>
  <c r="J35" i="3"/>
  <c r="I35" i="3"/>
  <c r="H35" i="3"/>
  <c r="F35" i="3"/>
  <c r="Y34" i="3"/>
  <c r="X34" i="3"/>
  <c r="W34" i="3"/>
  <c r="V34" i="3"/>
  <c r="U34" i="3"/>
  <c r="T34" i="3"/>
  <c r="S34" i="3"/>
  <c r="R34" i="3"/>
  <c r="Q34" i="3"/>
  <c r="P34" i="3"/>
  <c r="O34" i="3"/>
  <c r="N34" i="3"/>
  <c r="M34" i="3"/>
  <c r="L34" i="3"/>
  <c r="K34" i="3"/>
  <c r="J34" i="3"/>
  <c r="I34" i="3"/>
  <c r="H34" i="3"/>
  <c r="F34" i="3"/>
  <c r="B9" i="3"/>
  <c r="B8" i="3"/>
  <c r="B7" i="3"/>
  <c r="B6" i="3"/>
  <c r="G1207" i="1" l="1"/>
  <c r="P21" i="1"/>
  <c r="AD21" i="1" s="1"/>
  <c r="AC21" i="1" s="1"/>
  <c r="E21" i="1" l="1"/>
  <c r="C98" i="3"/>
  <c r="T12" i="1" l="1"/>
  <c r="C103" i="3" l="1"/>
  <c r="B103" i="3"/>
  <c r="C102" i="3"/>
  <c r="B102" i="3"/>
  <c r="C101" i="3"/>
  <c r="B101" i="3"/>
  <c r="C100" i="3"/>
  <c r="B100" i="3"/>
  <c r="C99" i="3"/>
  <c r="B99" i="3"/>
  <c r="B98" i="3"/>
  <c r="B97" i="3"/>
  <c r="C96" i="3"/>
  <c r="B96" i="3"/>
  <c r="C95" i="3"/>
  <c r="B95" i="3"/>
  <c r="C94" i="3"/>
  <c r="B94" i="3"/>
  <c r="V1129" i="1" l="1"/>
  <c r="V1063" i="1"/>
  <c r="D88" i="3" l="1"/>
  <c r="AC64" i="3" l="1"/>
  <c r="AB64" i="3"/>
  <c r="AA64" i="3"/>
  <c r="Z64" i="3"/>
  <c r="G64" i="3"/>
  <c r="D64" i="3"/>
  <c r="C64" i="3"/>
  <c r="B64" i="3"/>
  <c r="AC63" i="3"/>
  <c r="AB63" i="3"/>
  <c r="AA63" i="3"/>
  <c r="Z63" i="3"/>
  <c r="G63" i="3"/>
  <c r="D63" i="3"/>
  <c r="C63" i="3"/>
  <c r="B63" i="3"/>
  <c r="AC62" i="3"/>
  <c r="AB62" i="3"/>
  <c r="AA62" i="3"/>
  <c r="Z62" i="3"/>
  <c r="G62" i="3"/>
  <c r="D62" i="3"/>
  <c r="C62" i="3"/>
  <c r="B62" i="3"/>
  <c r="AC61" i="3"/>
  <c r="AB61" i="3"/>
  <c r="AA61" i="3"/>
  <c r="Z61" i="3"/>
  <c r="G61" i="3"/>
  <c r="D61" i="3"/>
  <c r="C61" i="3"/>
  <c r="B61" i="3"/>
  <c r="AC60" i="3"/>
  <c r="AB60" i="3"/>
  <c r="AA60" i="3"/>
  <c r="Z60" i="3"/>
  <c r="G60" i="3"/>
  <c r="D60" i="3"/>
  <c r="C60" i="3"/>
  <c r="B60" i="3"/>
  <c r="AB59" i="3"/>
  <c r="AA59" i="3"/>
  <c r="Z59" i="3"/>
  <c r="D59" i="3"/>
  <c r="C59" i="3"/>
  <c r="B59" i="3"/>
  <c r="Z58" i="3"/>
  <c r="G58" i="3"/>
  <c r="D58" i="3"/>
  <c r="C58" i="3"/>
  <c r="E64" i="3"/>
  <c r="E63" i="3"/>
  <c r="E62" i="3"/>
  <c r="E61" i="3"/>
  <c r="E60" i="3"/>
  <c r="E59" i="3"/>
  <c r="AC58" i="3" l="1"/>
  <c r="AB58" i="3"/>
  <c r="AA58" i="3"/>
  <c r="B58" i="3"/>
  <c r="G59" i="3"/>
  <c r="AC59" i="3"/>
  <c r="K398" i="1"/>
  <c r="M698" i="1" l="1"/>
  <c r="Z34" i="3"/>
  <c r="M955" i="1" l="1"/>
  <c r="M951" i="1"/>
  <c r="C66" i="3"/>
  <c r="D66" i="3"/>
  <c r="G66" i="3"/>
  <c r="Z66" i="3"/>
  <c r="B67" i="3"/>
  <c r="C67" i="3"/>
  <c r="D67" i="3"/>
  <c r="Z67" i="3"/>
  <c r="AA67" i="3"/>
  <c r="AB67" i="3"/>
  <c r="AC67" i="3"/>
  <c r="B68" i="3"/>
  <c r="C68" i="3"/>
  <c r="D68" i="3"/>
  <c r="G68" i="3"/>
  <c r="Z68" i="3"/>
  <c r="AA68" i="3"/>
  <c r="AB68" i="3"/>
  <c r="AC68" i="3"/>
  <c r="B69" i="3"/>
  <c r="C69" i="3"/>
  <c r="D69" i="3"/>
  <c r="G69" i="3"/>
  <c r="Z69" i="3"/>
  <c r="AA69" i="3"/>
  <c r="AB69" i="3"/>
  <c r="AC69" i="3"/>
  <c r="B70" i="3"/>
  <c r="C70" i="3"/>
  <c r="D70" i="3"/>
  <c r="G70" i="3"/>
  <c r="Z70" i="3"/>
  <c r="AA70" i="3"/>
  <c r="AB70" i="3"/>
  <c r="AC70" i="3"/>
  <c r="B71" i="3"/>
  <c r="C71" i="3"/>
  <c r="D71" i="3"/>
  <c r="G71" i="3"/>
  <c r="Z71" i="3"/>
  <c r="AA71" i="3"/>
  <c r="AB71" i="3"/>
  <c r="AC71" i="3"/>
  <c r="B72" i="3"/>
  <c r="C72" i="3"/>
  <c r="D72" i="3"/>
  <c r="G72" i="3"/>
  <c r="Z72" i="3"/>
  <c r="AA72" i="3"/>
  <c r="AB72" i="3"/>
  <c r="AC72" i="3"/>
  <c r="AC41" i="3"/>
  <c r="AB41" i="3"/>
  <c r="AA41" i="3"/>
  <c r="Z41" i="3"/>
  <c r="G41" i="3"/>
  <c r="D41" i="3"/>
  <c r="C41" i="3"/>
  <c r="B41" i="3"/>
  <c r="AC40" i="3"/>
  <c r="AB40" i="3"/>
  <c r="AA40" i="3"/>
  <c r="Z40" i="3"/>
  <c r="G40" i="3"/>
  <c r="D40" i="3"/>
  <c r="C40" i="3"/>
  <c r="B40" i="3"/>
  <c r="AC39" i="3"/>
  <c r="AB39" i="3"/>
  <c r="AA39" i="3"/>
  <c r="Z39" i="3"/>
  <c r="G39" i="3"/>
  <c r="D39" i="3"/>
  <c r="C39" i="3"/>
  <c r="B39" i="3"/>
  <c r="AC38" i="3"/>
  <c r="AB38" i="3"/>
  <c r="AA38" i="3"/>
  <c r="Z38" i="3"/>
  <c r="G38" i="3"/>
  <c r="D38" i="3"/>
  <c r="C38" i="3"/>
  <c r="B38" i="3"/>
  <c r="AC37" i="3"/>
  <c r="AB37" i="3"/>
  <c r="AA37" i="3"/>
  <c r="Z37" i="3"/>
  <c r="G37" i="3"/>
  <c r="D37" i="3"/>
  <c r="C37" i="3"/>
  <c r="B37" i="3"/>
  <c r="AB36" i="3"/>
  <c r="AA36" i="3"/>
  <c r="Z36" i="3"/>
  <c r="D36" i="3"/>
  <c r="C36" i="3"/>
  <c r="B36" i="3"/>
  <c r="Z35" i="3"/>
  <c r="G35" i="3"/>
  <c r="C35" i="3"/>
  <c r="E72" i="3"/>
  <c r="E71" i="3"/>
  <c r="E70" i="3"/>
  <c r="E69" i="3"/>
  <c r="E68" i="3"/>
  <c r="E67" i="3"/>
  <c r="E41" i="3"/>
  <c r="E40" i="3"/>
  <c r="E39" i="3"/>
  <c r="E38" i="3"/>
  <c r="E37" i="3"/>
  <c r="E36" i="3"/>
  <c r="AC35" i="3" l="1"/>
  <c r="AA35" i="3"/>
  <c r="AB35" i="3"/>
  <c r="AA66" i="3"/>
  <c r="AC66" i="3"/>
  <c r="AB66" i="3"/>
  <c r="B66" i="3"/>
  <c r="B35" i="3"/>
  <c r="Q934" i="1"/>
  <c r="Q935" i="1" s="1"/>
  <c r="D35" i="3"/>
  <c r="G36" i="3"/>
  <c r="AC36" i="3"/>
  <c r="G67" i="3"/>
  <c r="AC93" i="3"/>
  <c r="AC92" i="3"/>
  <c r="AC91" i="3"/>
  <c r="AC52" i="3" l="1"/>
  <c r="AC86" i="3"/>
  <c r="AC49" i="3"/>
  <c r="AC75" i="3"/>
  <c r="AC79" i="3"/>
  <c r="AC83" i="3"/>
  <c r="AC87" i="3"/>
  <c r="AC48" i="3"/>
  <c r="AC74" i="3"/>
  <c r="AC90" i="3"/>
  <c r="AC45" i="3"/>
  <c r="W935" i="1"/>
  <c r="AC53" i="3"/>
  <c r="AC42" i="3"/>
  <c r="AC46" i="3"/>
  <c r="AC50" i="3"/>
  <c r="AC54" i="3"/>
  <c r="AC76" i="3"/>
  <c r="AC80" i="3"/>
  <c r="AC84" i="3"/>
  <c r="AC88" i="3"/>
  <c r="AC44" i="3"/>
  <c r="W934" i="1"/>
  <c r="AC56" i="3"/>
  <c r="AC78" i="3"/>
  <c r="AC82" i="3"/>
  <c r="AC43" i="3"/>
  <c r="AC47" i="3"/>
  <c r="AC51" i="3"/>
  <c r="AC55" i="3"/>
  <c r="AC77" i="3"/>
  <c r="AC81" i="3"/>
  <c r="AC85" i="3"/>
  <c r="AC89" i="3"/>
  <c r="AC73" i="3"/>
  <c r="O935" i="1"/>
  <c r="M695" i="1"/>
  <c r="AC34" i="3"/>
  <c r="AC57" i="3"/>
  <c r="AC65" i="3"/>
  <c r="D93" i="3"/>
  <c r="D92" i="3"/>
  <c r="D91" i="3"/>
  <c r="D90" i="3"/>
  <c r="D89" i="3"/>
  <c r="D87" i="3"/>
  <c r="D86" i="3"/>
  <c r="D85" i="3"/>
  <c r="D84" i="3"/>
  <c r="D83" i="3"/>
  <c r="D82" i="3"/>
  <c r="D81" i="3"/>
  <c r="D80" i="3"/>
  <c r="D79" i="3"/>
  <c r="D78" i="3"/>
  <c r="D65" i="3"/>
  <c r="D57" i="3"/>
  <c r="D56" i="3"/>
  <c r="D55" i="3"/>
  <c r="D54" i="3"/>
  <c r="D53" i="3"/>
  <c r="D52" i="3"/>
  <c r="D51" i="3"/>
  <c r="D50" i="3"/>
  <c r="D49" i="3"/>
  <c r="D48" i="3"/>
  <c r="D47" i="3"/>
  <c r="D46" i="3"/>
  <c r="D34" i="3"/>
  <c r="S959" i="1" l="1"/>
  <c r="S958" i="1"/>
  <c r="O936" i="1"/>
  <c r="Q937" i="1"/>
  <c r="D77" i="3"/>
  <c r="D42" i="3"/>
  <c r="D76" i="3"/>
  <c r="D44" i="3"/>
  <c r="D74" i="3"/>
  <c r="D43" i="3"/>
  <c r="D73" i="3"/>
  <c r="D45" i="3"/>
  <c r="D75" i="3"/>
  <c r="G93" i="3"/>
  <c r="G92" i="3"/>
  <c r="G91" i="3"/>
  <c r="G90" i="3"/>
  <c r="G89" i="3"/>
  <c r="G88" i="3"/>
  <c r="G87" i="3"/>
  <c r="G86" i="3"/>
  <c r="G85" i="3"/>
  <c r="G84" i="3"/>
  <c r="G83" i="3"/>
  <c r="G82" i="3"/>
  <c r="G81" i="3"/>
  <c r="G80" i="3"/>
  <c r="G79" i="3"/>
  <c r="G78" i="3"/>
  <c r="G77" i="3"/>
  <c r="G76" i="3"/>
  <c r="G75" i="3"/>
  <c r="G74" i="3"/>
  <c r="G73" i="3"/>
  <c r="G56" i="3"/>
  <c r="G55" i="3"/>
  <c r="G54" i="3"/>
  <c r="G53" i="3"/>
  <c r="G52" i="3"/>
  <c r="G51" i="3"/>
  <c r="G50" i="3"/>
  <c r="G49" i="3"/>
  <c r="G48" i="3"/>
  <c r="G47" i="3"/>
  <c r="G46" i="3"/>
  <c r="G45" i="3"/>
  <c r="G44" i="3"/>
  <c r="G43" i="3"/>
  <c r="G42" i="3"/>
  <c r="O937" i="1" l="1"/>
  <c r="G65" i="3"/>
  <c r="G34" i="3"/>
  <c r="G57" i="3"/>
  <c r="H1129" i="1"/>
  <c r="W1130" i="1"/>
  <c r="J1129" i="1" s="1"/>
  <c r="E938" i="1"/>
  <c r="O506" i="1"/>
  <c r="O508" i="1" s="1"/>
  <c r="C506" i="1" s="1"/>
  <c r="U503" i="1"/>
  <c r="I503" i="1" s="1"/>
  <c r="Q502" i="1"/>
  <c r="E502" i="1" s="1"/>
  <c r="E84" i="3"/>
  <c r="E83" i="3"/>
  <c r="V506" i="1"/>
  <c r="C34" i="3"/>
  <c r="C42" i="3"/>
  <c r="F745" i="1"/>
  <c r="Q1072" i="1"/>
  <c r="Q1078" i="1" s="1"/>
  <c r="E1078" i="1" s="1"/>
  <c r="R1072" i="1"/>
  <c r="AB93" i="3"/>
  <c r="AB92" i="3"/>
  <c r="AB91" i="3"/>
  <c r="F814" i="1"/>
  <c r="G888" i="1"/>
  <c r="G886" i="1"/>
  <c r="G874" i="1"/>
  <c r="G872" i="1"/>
  <c r="V935" i="1"/>
  <c r="V934" i="1"/>
  <c r="B93" i="3"/>
  <c r="B92" i="3"/>
  <c r="B91" i="3"/>
  <c r="B82" i="3"/>
  <c r="B81" i="3"/>
  <c r="B80" i="3"/>
  <c r="B79" i="3"/>
  <c r="B55" i="3"/>
  <c r="B54" i="3"/>
  <c r="B53" i="3"/>
  <c r="B52" i="3"/>
  <c r="B51" i="3"/>
  <c r="B50" i="3"/>
  <c r="B49" i="3"/>
  <c r="B48" i="3"/>
  <c r="B47" i="3"/>
  <c r="B46" i="3"/>
  <c r="K473" i="1"/>
  <c r="J473" i="1"/>
  <c r="Q1144" i="1"/>
  <c r="P1165" i="1"/>
  <c r="V1163" i="1"/>
  <c r="P1163" i="1"/>
  <c r="O1164" i="1" s="1"/>
  <c r="P1097" i="1"/>
  <c r="T1097" i="1"/>
  <c r="V1099" i="1"/>
  <c r="M1414" i="1"/>
  <c r="N1414" i="1"/>
  <c r="N1411" i="1"/>
  <c r="C93" i="3"/>
  <c r="C92" i="3"/>
  <c r="C91" i="3"/>
  <c r="C90" i="3"/>
  <c r="C89" i="3"/>
  <c r="C88" i="3"/>
  <c r="C86" i="3"/>
  <c r="C85" i="3"/>
  <c r="C84" i="3"/>
  <c r="C83" i="3"/>
  <c r="C82" i="3"/>
  <c r="C81" i="3"/>
  <c r="C80" i="3"/>
  <c r="C79" i="3"/>
  <c r="C78" i="3"/>
  <c r="C77" i="3"/>
  <c r="C76" i="3"/>
  <c r="C74" i="3"/>
  <c r="C73" i="3"/>
  <c r="C65" i="3"/>
  <c r="C56" i="3"/>
  <c r="C55" i="3"/>
  <c r="C54" i="3"/>
  <c r="C53" i="3"/>
  <c r="C52" i="3"/>
  <c r="C51" i="3"/>
  <c r="C50" i="3"/>
  <c r="C49" i="3"/>
  <c r="C48" i="3"/>
  <c r="C47" i="3"/>
  <c r="C46" i="3"/>
  <c r="C45" i="3"/>
  <c r="C44" i="3"/>
  <c r="C43" i="3"/>
  <c r="AD209" i="1"/>
  <c r="AA219" i="1" s="1"/>
  <c r="AD188" i="1"/>
  <c r="Z93" i="3"/>
  <c r="Z92" i="3"/>
  <c r="Z91" i="3"/>
  <c r="Z90" i="3"/>
  <c r="Z89" i="3"/>
  <c r="Z88" i="3"/>
  <c r="Z87" i="3"/>
  <c r="Z86" i="3"/>
  <c r="Z85" i="3"/>
  <c r="Z84" i="3"/>
  <c r="Z83" i="3"/>
  <c r="Z82" i="3"/>
  <c r="Z81" i="3"/>
  <c r="Z80" i="3"/>
  <c r="Z79" i="3"/>
  <c r="Z78" i="3"/>
  <c r="Z77" i="3"/>
  <c r="Z76" i="3"/>
  <c r="Z75" i="3"/>
  <c r="Z74" i="3"/>
  <c r="Z73" i="3"/>
  <c r="Z65" i="3"/>
  <c r="Z57" i="3"/>
  <c r="Z56" i="3"/>
  <c r="Z55" i="3"/>
  <c r="Z54" i="3"/>
  <c r="Z53" i="3"/>
  <c r="Z52" i="3"/>
  <c r="Z51" i="3"/>
  <c r="Z50" i="3"/>
  <c r="Z49" i="3"/>
  <c r="Z48" i="3"/>
  <c r="Z47" i="3"/>
  <c r="Z46" i="3"/>
  <c r="Z45" i="3"/>
  <c r="Z44" i="3"/>
  <c r="Z43" i="3"/>
  <c r="Z42" i="3"/>
  <c r="M53" i="1"/>
  <c r="J54" i="1" s="1"/>
  <c r="R1144" i="1"/>
  <c r="M635" i="1"/>
  <c r="M434" i="1"/>
  <c r="M572" i="1"/>
  <c r="N576" i="1" s="1"/>
  <c r="B576" i="1" s="1"/>
  <c r="B15" i="3" s="1"/>
  <c r="M409" i="1"/>
  <c r="M420" i="1"/>
  <c r="AD106" i="1" s="1"/>
  <c r="AC106" i="1" s="1"/>
  <c r="M421" i="1"/>
  <c r="N79" i="1" s="1"/>
  <c r="V60" i="1"/>
  <c r="AD465" i="1" s="1"/>
  <c r="AC465" i="1" s="1"/>
  <c r="V59" i="1"/>
  <c r="AD464" i="1" s="1"/>
  <c r="AC464" i="1" s="1"/>
  <c r="U59" i="1"/>
  <c r="M1003" i="1"/>
  <c r="Q1063" i="1" s="1"/>
  <c r="U1111" i="1"/>
  <c r="T1111" i="1"/>
  <c r="R1111" i="1"/>
  <c r="Q1111" i="1"/>
  <c r="R1099" i="1" s="1"/>
  <c r="P1111" i="1"/>
  <c r="O1111" i="1"/>
  <c r="P1099" i="1" s="1"/>
  <c r="N1111" i="1"/>
  <c r="U1110" i="1"/>
  <c r="V1097" i="1" s="1"/>
  <c r="S1110" i="1"/>
  <c r="O1110" i="1"/>
  <c r="U1177" i="1"/>
  <c r="V1165" i="1" s="1"/>
  <c r="T1177" i="1"/>
  <c r="R1177" i="1"/>
  <c r="Q1177" i="1"/>
  <c r="R1165" i="1" s="1"/>
  <c r="P1177" i="1"/>
  <c r="O1177" i="1"/>
  <c r="N1177" i="1"/>
  <c r="U1176" i="1"/>
  <c r="S1176" i="1"/>
  <c r="T1163" i="1" s="1"/>
  <c r="O1176" i="1"/>
  <c r="P14" i="1"/>
  <c r="E14" i="1" s="1"/>
  <c r="N1006" i="1"/>
  <c r="N1008" i="1" s="1"/>
  <c r="Q1066" i="1" s="1"/>
  <c r="E1063" i="1" s="1"/>
  <c r="AD8" i="1"/>
  <c r="AC8" i="1" s="1"/>
  <c r="AD9" i="1"/>
  <c r="AC9" i="1" s="1"/>
  <c r="AD10" i="1"/>
  <c r="P11" i="1"/>
  <c r="AD11" i="1" s="1"/>
  <c r="AC11" i="1" s="1"/>
  <c r="P12" i="1"/>
  <c r="P13" i="1"/>
  <c r="AD13" i="1" s="1"/>
  <c r="AC13" i="1" s="1"/>
  <c r="P15" i="1"/>
  <c r="AD15" i="1" s="1"/>
  <c r="AC15" i="1" s="1"/>
  <c r="P18" i="1"/>
  <c r="AD18" i="1" s="1"/>
  <c r="AC18" i="1" s="1"/>
  <c r="P19" i="1"/>
  <c r="P20" i="1"/>
  <c r="AD20" i="1" s="1"/>
  <c r="AC20" i="1" s="1"/>
  <c r="P24" i="1"/>
  <c r="AD24" i="1" s="1"/>
  <c r="AC24" i="1" s="1"/>
  <c r="P25" i="1"/>
  <c r="AD25" i="1" s="1"/>
  <c r="AC25" i="1" s="1"/>
  <c r="P27" i="1"/>
  <c r="P28" i="1"/>
  <c r="AD28" i="1" s="1"/>
  <c r="AC28" i="1" s="1"/>
  <c r="P29" i="1"/>
  <c r="AD29" i="1" s="1"/>
  <c r="AC29" i="1" s="1"/>
  <c r="P31" i="1"/>
  <c r="AD31" i="1" s="1"/>
  <c r="AC31" i="1" s="1"/>
  <c r="P32" i="1"/>
  <c r="P33" i="1"/>
  <c r="AD33" i="1" s="1"/>
  <c r="AC33" i="1" s="1"/>
  <c r="P37" i="1"/>
  <c r="AD37" i="1" s="1"/>
  <c r="AC37" i="1" s="1"/>
  <c r="P38" i="1"/>
  <c r="AD38" i="1" s="1"/>
  <c r="AC38" i="1" s="1"/>
  <c r="P40" i="1"/>
  <c r="P41" i="1"/>
  <c r="AD41" i="1" s="1"/>
  <c r="AC41" i="1" s="1"/>
  <c r="P42" i="1"/>
  <c r="AD42" i="1" s="1"/>
  <c r="AC42" i="1" s="1"/>
  <c r="P44" i="1"/>
  <c r="AD44" i="1" s="1"/>
  <c r="AC44" i="1" s="1"/>
  <c r="P45" i="1"/>
  <c r="P46" i="1"/>
  <c r="AD46" i="1" s="1"/>
  <c r="AC46" i="1" s="1"/>
  <c r="T11" i="1"/>
  <c r="AD48" i="1" s="1"/>
  <c r="AC48" i="1" s="1"/>
  <c r="AD49" i="1"/>
  <c r="T13" i="1"/>
  <c r="T14" i="1"/>
  <c r="AD51" i="1" s="1"/>
  <c r="AC51" i="1" s="1"/>
  <c r="T15" i="1"/>
  <c r="AD52" i="1" s="1"/>
  <c r="AC52" i="1" s="1"/>
  <c r="T18" i="1"/>
  <c r="AD54" i="1" s="1"/>
  <c r="AC54" i="1" s="1"/>
  <c r="T19" i="1"/>
  <c r="T20" i="1"/>
  <c r="AD56" i="1" s="1"/>
  <c r="AC56" i="1" s="1"/>
  <c r="T24" i="1"/>
  <c r="AD59" i="1" s="1"/>
  <c r="AC59" i="1" s="1"/>
  <c r="T25" i="1"/>
  <c r="AD60" i="1" s="1"/>
  <c r="AC60" i="1" s="1"/>
  <c r="T26" i="1"/>
  <c r="AD61" i="1" s="1"/>
  <c r="AC61" i="1" s="1"/>
  <c r="T28" i="1"/>
  <c r="AD63" i="1" s="1"/>
  <c r="AC63" i="1" s="1"/>
  <c r="T29" i="1"/>
  <c r="AD64" i="1" s="1"/>
  <c r="AC64" i="1" s="1"/>
  <c r="T32" i="1"/>
  <c r="T33" i="1"/>
  <c r="T37" i="1"/>
  <c r="AD71" i="1" s="1"/>
  <c r="AC71" i="1" s="1"/>
  <c r="T38" i="1"/>
  <c r="T39" i="1"/>
  <c r="T41" i="1"/>
  <c r="T42" i="1"/>
  <c r="AD77" i="1" s="1"/>
  <c r="AC77" i="1" s="1"/>
  <c r="T45" i="1"/>
  <c r="AD80" i="1" s="1"/>
  <c r="AC80" i="1" s="1"/>
  <c r="T46" i="1"/>
  <c r="AD81" i="1" s="1"/>
  <c r="AC81" i="1" s="1"/>
  <c r="U54" i="1"/>
  <c r="AD84" i="1" s="1"/>
  <c r="AC84" i="1" s="1"/>
  <c r="M469" i="1"/>
  <c r="AD86" i="1" s="1"/>
  <c r="AC86" i="1" s="1"/>
  <c r="AD92" i="1"/>
  <c r="AD93" i="1"/>
  <c r="AC93" i="1" s="1"/>
  <c r="M410" i="1"/>
  <c r="AD97" i="1" s="1"/>
  <c r="AC97" i="1" s="1"/>
  <c r="P414" i="1"/>
  <c r="Q414" i="1"/>
  <c r="P415" i="1"/>
  <c r="AD103" i="1" s="1"/>
  <c r="AC103" i="1" s="1"/>
  <c r="Q415" i="1"/>
  <c r="AD104" i="1" s="1"/>
  <c r="AC104" i="1" s="1"/>
  <c r="AD109" i="1"/>
  <c r="AC109" i="1" s="1"/>
  <c r="AD112" i="1"/>
  <c r="AC112" i="1" s="1"/>
  <c r="Q542" i="1"/>
  <c r="S542" i="1"/>
  <c r="AD114" i="1" s="1"/>
  <c r="AC114" i="1" s="1"/>
  <c r="M554" i="1"/>
  <c r="N554" i="1"/>
  <c r="AD119" i="1" s="1"/>
  <c r="AC119" i="1" s="1"/>
  <c r="M555" i="1"/>
  <c r="N555" i="1"/>
  <c r="S561" i="1" s="1"/>
  <c r="G561" i="1" s="1"/>
  <c r="M589" i="1"/>
  <c r="O590" i="1" s="1"/>
  <c r="P438" i="1"/>
  <c r="Q438" i="1"/>
  <c r="AD131" i="1" s="1"/>
  <c r="AC131" i="1" s="1"/>
  <c r="P439" i="1"/>
  <c r="AD133" i="1" s="1"/>
  <c r="AC133" i="1" s="1"/>
  <c r="Q439" i="1"/>
  <c r="O601" i="1"/>
  <c r="AD136" i="1" s="1"/>
  <c r="AC136" i="1" s="1"/>
  <c r="Q601" i="1"/>
  <c r="S601" i="1"/>
  <c r="AD138" i="1" s="1"/>
  <c r="AC138" i="1" s="1"/>
  <c r="AD141" i="1"/>
  <c r="AC141" i="1" s="1"/>
  <c r="M616" i="1"/>
  <c r="AD142" i="1" s="1"/>
  <c r="AC142" i="1" s="1"/>
  <c r="M617" i="1"/>
  <c r="N616" i="1"/>
  <c r="AD146" i="1" s="1"/>
  <c r="AC146" i="1" s="1"/>
  <c r="O616" i="1"/>
  <c r="N617" i="1"/>
  <c r="AD148" i="1" s="1"/>
  <c r="AC148" i="1" s="1"/>
  <c r="O617" i="1"/>
  <c r="AD151" i="1"/>
  <c r="AC151" i="1" s="1"/>
  <c r="M653" i="1"/>
  <c r="O654" i="1" s="1"/>
  <c r="AD155" i="1"/>
  <c r="O669" i="1"/>
  <c r="AD156" i="1" s="1"/>
  <c r="AC156" i="1" s="1"/>
  <c r="P669" i="1"/>
  <c r="AD157" i="1" s="1"/>
  <c r="AC157" i="1" s="1"/>
  <c r="Q669" i="1"/>
  <c r="R669" i="1"/>
  <c r="S669" i="1"/>
  <c r="AD160" i="1" s="1"/>
  <c r="AC160" i="1" s="1"/>
  <c r="AD162" i="1"/>
  <c r="AC162" i="1" s="1"/>
  <c r="V669" i="1"/>
  <c r="AD165" i="1"/>
  <c r="AC165" i="1" s="1"/>
  <c r="O674" i="1"/>
  <c r="AD166" i="1" s="1"/>
  <c r="AC166" i="1" s="1"/>
  <c r="P674" i="1"/>
  <c r="AD167" i="1" s="1"/>
  <c r="AC167" i="1" s="1"/>
  <c r="Q674" i="1"/>
  <c r="R674" i="1"/>
  <c r="AD169" i="1" s="1"/>
  <c r="AC169" i="1" s="1"/>
  <c r="S674" i="1"/>
  <c r="AD170" i="1" s="1"/>
  <c r="AC170" i="1" s="1"/>
  <c r="AD172" i="1"/>
  <c r="AC172" i="1" s="1"/>
  <c r="V674" i="1"/>
  <c r="AD173" i="1" s="1"/>
  <c r="AC173" i="1" s="1"/>
  <c r="O687" i="1"/>
  <c r="D507" i="1" s="1"/>
  <c r="AD178" i="1"/>
  <c r="AD179" i="1"/>
  <c r="O805" i="1"/>
  <c r="O822" i="1" s="1"/>
  <c r="M806" i="1"/>
  <c r="W754" i="1" s="1"/>
  <c r="AD185" i="1"/>
  <c r="J745" i="1"/>
  <c r="M1397" i="1"/>
  <c r="V1397" i="1" s="1"/>
  <c r="M1398" i="1"/>
  <c r="N1397" i="1"/>
  <c r="N1398" i="1"/>
  <c r="M1399" i="1"/>
  <c r="N1399" i="1"/>
  <c r="M1400" i="1"/>
  <c r="N1400" i="1"/>
  <c r="M1401" i="1"/>
  <c r="N1401" i="1"/>
  <c r="M1402" i="1"/>
  <c r="N1402" i="1"/>
  <c r="M1403" i="1"/>
  <c r="N1403" i="1"/>
  <c r="M1404" i="1"/>
  <c r="N1404" i="1"/>
  <c r="M1415" i="1"/>
  <c r="N1415" i="1"/>
  <c r="M1416" i="1"/>
  <c r="N1416" i="1"/>
  <c r="M1417" i="1"/>
  <c r="N1417" i="1"/>
  <c r="M1418" i="1"/>
  <c r="N1418" i="1"/>
  <c r="M1419" i="1"/>
  <c r="N1419" i="1"/>
  <c r="M80" i="1"/>
  <c r="AD234" i="1" s="1"/>
  <c r="AC234" i="1" s="1"/>
  <c r="M81" i="1"/>
  <c r="AD235" i="1" s="1"/>
  <c r="AC235" i="1" s="1"/>
  <c r="M87" i="1"/>
  <c r="M88" i="1"/>
  <c r="AD238" i="1" s="1"/>
  <c r="AC238" i="1" s="1"/>
  <c r="M89" i="1"/>
  <c r="AD239" i="1" s="1"/>
  <c r="AC239" i="1" s="1"/>
  <c r="M90" i="1"/>
  <c r="B408" i="1" s="1"/>
  <c r="M91" i="1"/>
  <c r="M92" i="1"/>
  <c r="AD242" i="1" s="1"/>
  <c r="AC242" i="1" s="1"/>
  <c r="M93" i="1"/>
  <c r="AD243" i="1" s="1"/>
  <c r="AC243" i="1" s="1"/>
  <c r="M94" i="1"/>
  <c r="M95" i="1"/>
  <c r="M96" i="1"/>
  <c r="AD246" i="1" s="1"/>
  <c r="AC246" i="1" s="1"/>
  <c r="N87" i="1"/>
  <c r="AD248" i="1" s="1"/>
  <c r="AC248" i="1" s="1"/>
  <c r="N88" i="1"/>
  <c r="N89" i="1"/>
  <c r="AD250" i="1" s="1"/>
  <c r="AC250" i="1" s="1"/>
  <c r="N90" i="1"/>
  <c r="AD251" i="1" s="1"/>
  <c r="AC251" i="1" s="1"/>
  <c r="N91" i="1"/>
  <c r="AD252" i="1" s="1"/>
  <c r="AC252" i="1" s="1"/>
  <c r="N92" i="1"/>
  <c r="AD253" i="1" s="1"/>
  <c r="AC253" i="1" s="1"/>
  <c r="N93" i="1"/>
  <c r="AD254" i="1" s="1"/>
  <c r="AC254" i="1" s="1"/>
  <c r="N94" i="1"/>
  <c r="AD255" i="1" s="1"/>
  <c r="AC255" i="1" s="1"/>
  <c r="N95" i="1"/>
  <c r="AD256" i="1" s="1"/>
  <c r="AC256" i="1" s="1"/>
  <c r="N96" i="1"/>
  <c r="AD257" i="1" s="1"/>
  <c r="AC257" i="1" s="1"/>
  <c r="O87" i="1"/>
  <c r="O88" i="1"/>
  <c r="AD260" i="1" s="1"/>
  <c r="AC260" i="1" s="1"/>
  <c r="O89" i="1"/>
  <c r="AD261" i="1" s="1"/>
  <c r="AC261" i="1" s="1"/>
  <c r="O90" i="1"/>
  <c r="O91" i="1"/>
  <c r="O92" i="1"/>
  <c r="AD264" i="1" s="1"/>
  <c r="AC264" i="1" s="1"/>
  <c r="O93" i="1"/>
  <c r="O94" i="1"/>
  <c r="AD266" i="1" s="1"/>
  <c r="AC266" i="1" s="1"/>
  <c r="O95" i="1"/>
  <c r="O96" i="1"/>
  <c r="AD268" i="1" s="1"/>
  <c r="AC268" i="1" s="1"/>
  <c r="P87" i="1"/>
  <c r="AD270" i="1" s="1"/>
  <c r="AC270" i="1" s="1"/>
  <c r="P88" i="1"/>
  <c r="AD271" i="1" s="1"/>
  <c r="AC271" i="1" s="1"/>
  <c r="P89" i="1"/>
  <c r="P90" i="1"/>
  <c r="AD273" i="1" s="1"/>
  <c r="AC273" i="1" s="1"/>
  <c r="P91" i="1"/>
  <c r="P92" i="1"/>
  <c r="P93" i="1"/>
  <c r="P94" i="1"/>
  <c r="AD277" i="1" s="1"/>
  <c r="AC277" i="1" s="1"/>
  <c r="P95" i="1"/>
  <c r="AD278" i="1" s="1"/>
  <c r="AC278" i="1" s="1"/>
  <c r="P96" i="1"/>
  <c r="Q87" i="1"/>
  <c r="Q88" i="1"/>
  <c r="AD282" i="1" s="1"/>
  <c r="AC282" i="1" s="1"/>
  <c r="Q89" i="1"/>
  <c r="Q90" i="1"/>
  <c r="Q91" i="1"/>
  <c r="Q92" i="1"/>
  <c r="AD286" i="1" s="1"/>
  <c r="AC286" i="1" s="1"/>
  <c r="Q93" i="1"/>
  <c r="AD287" i="1" s="1"/>
  <c r="AC287" i="1" s="1"/>
  <c r="Q94" i="1"/>
  <c r="Q95" i="1"/>
  <c r="Q96" i="1"/>
  <c r="AD290" i="1" s="1"/>
  <c r="AC290" i="1" s="1"/>
  <c r="R87" i="1"/>
  <c r="AD292" i="1" s="1"/>
  <c r="AC292" i="1" s="1"/>
  <c r="R88" i="1"/>
  <c r="R89" i="1"/>
  <c r="AD294" i="1" s="1"/>
  <c r="AC294" i="1" s="1"/>
  <c r="R90" i="1"/>
  <c r="AD295" i="1" s="1"/>
  <c r="AC295" i="1" s="1"/>
  <c r="R91" i="1"/>
  <c r="AD296" i="1" s="1"/>
  <c r="AC296" i="1" s="1"/>
  <c r="R92" i="1"/>
  <c r="R93" i="1"/>
  <c r="AD298" i="1" s="1"/>
  <c r="AC298" i="1" s="1"/>
  <c r="R94" i="1"/>
  <c r="AD299" i="1" s="1"/>
  <c r="AC299" i="1" s="1"/>
  <c r="R95" i="1"/>
  <c r="AD300" i="1" s="1"/>
  <c r="AC300" i="1" s="1"/>
  <c r="R96" i="1"/>
  <c r="W87" i="1"/>
  <c r="AD303" i="1" s="1"/>
  <c r="AC303" i="1" s="1"/>
  <c r="W88" i="1"/>
  <c r="AD304" i="1" s="1"/>
  <c r="AC304" i="1" s="1"/>
  <c r="W89" i="1"/>
  <c r="AD305" i="1" s="1"/>
  <c r="AC305" i="1" s="1"/>
  <c r="W90" i="1"/>
  <c r="AD306" i="1" s="1"/>
  <c r="AC306" i="1" s="1"/>
  <c r="W91" i="1"/>
  <c r="AD307" i="1" s="1"/>
  <c r="AC307" i="1" s="1"/>
  <c r="W92" i="1"/>
  <c r="AD308" i="1" s="1"/>
  <c r="AC308" i="1" s="1"/>
  <c r="W93" i="1"/>
  <c r="AD309" i="1" s="1"/>
  <c r="AC309" i="1" s="1"/>
  <c r="W94" i="1"/>
  <c r="AD310" i="1" s="1"/>
  <c r="AC310" i="1" s="1"/>
  <c r="W95" i="1"/>
  <c r="AD311" i="1" s="1"/>
  <c r="AC311" i="1" s="1"/>
  <c r="W96" i="1"/>
  <c r="AD312" i="1" s="1"/>
  <c r="AC312" i="1" s="1"/>
  <c r="AD314" i="1"/>
  <c r="AD316" i="1"/>
  <c r="AC316" i="1" s="1"/>
  <c r="AD318" i="1"/>
  <c r="AC318" i="1" s="1"/>
  <c r="AD320" i="1"/>
  <c r="AC320" i="1" s="1"/>
  <c r="AD322" i="1"/>
  <c r="AD324" i="1"/>
  <c r="AC324" i="1" s="1"/>
  <c r="AD326" i="1"/>
  <c r="AC326" i="1" s="1"/>
  <c r="AD328" i="1"/>
  <c r="AC328" i="1" s="1"/>
  <c r="AD330" i="1"/>
  <c r="AC330" i="1" s="1"/>
  <c r="AD332" i="1"/>
  <c r="AC332" i="1" s="1"/>
  <c r="AD334" i="1"/>
  <c r="AC334" i="1" s="1"/>
  <c r="AD336" i="1"/>
  <c r="AD338" i="1"/>
  <c r="AC338" i="1" s="1"/>
  <c r="AD340" i="1"/>
  <c r="AC340" i="1" s="1"/>
  <c r="AD342" i="1"/>
  <c r="AC342" i="1" s="1"/>
  <c r="AD344" i="1"/>
  <c r="AC344" i="1" s="1"/>
  <c r="AD346" i="1"/>
  <c r="AD348" i="1"/>
  <c r="AC348" i="1" s="1"/>
  <c r="AD350" i="1"/>
  <c r="AC350" i="1" s="1"/>
  <c r="AD352" i="1"/>
  <c r="AC352" i="1" s="1"/>
  <c r="AD354" i="1"/>
  <c r="AC354" i="1" s="1"/>
  <c r="AD356" i="1"/>
  <c r="AC356" i="1" s="1"/>
  <c r="AD358" i="1"/>
  <c r="AC358" i="1" s="1"/>
  <c r="AD360" i="1"/>
  <c r="AC360" i="1" s="1"/>
  <c r="AD362" i="1"/>
  <c r="AD364" i="1"/>
  <c r="AC364" i="1" s="1"/>
  <c r="AD366" i="1"/>
  <c r="AC366" i="1" s="1"/>
  <c r="AD368" i="1"/>
  <c r="AD370" i="1"/>
  <c r="AC370" i="1" s="1"/>
  <c r="AD372" i="1"/>
  <c r="AC372" i="1" s="1"/>
  <c r="AD374" i="1"/>
  <c r="AC374" i="1" s="1"/>
  <c r="AD376" i="1"/>
  <c r="AC376" i="1" s="1"/>
  <c r="AD378" i="1"/>
  <c r="AC378" i="1" s="1"/>
  <c r="AD380" i="1"/>
  <c r="AC380" i="1" s="1"/>
  <c r="AD382" i="1"/>
  <c r="AC382" i="1" s="1"/>
  <c r="AD384" i="1"/>
  <c r="AC384" i="1" s="1"/>
  <c r="AD386" i="1"/>
  <c r="AC386" i="1" s="1"/>
  <c r="AD388" i="1"/>
  <c r="AC388" i="1" s="1"/>
  <c r="AD390" i="1"/>
  <c r="AC390" i="1" s="1"/>
  <c r="AD392" i="1"/>
  <c r="AC392" i="1" s="1"/>
  <c r="AD394" i="1"/>
  <c r="AD396" i="1"/>
  <c r="AC396" i="1" s="1"/>
  <c r="AD398" i="1"/>
  <c r="AC398" i="1" s="1"/>
  <c r="AD400" i="1"/>
  <c r="AC400" i="1" s="1"/>
  <c r="AD402" i="1"/>
  <c r="AD404" i="1"/>
  <c r="AC404" i="1" s="1"/>
  <c r="AD406" i="1"/>
  <c r="AC406" i="1" s="1"/>
  <c r="AD408" i="1"/>
  <c r="AC408" i="1" s="1"/>
  <c r="AD410" i="1"/>
  <c r="AC410" i="1" s="1"/>
  <c r="AD412" i="1"/>
  <c r="AC412" i="1" s="1"/>
  <c r="AD414" i="1"/>
  <c r="AC414" i="1" s="1"/>
  <c r="AD416" i="1"/>
  <c r="AC416" i="1" s="1"/>
  <c r="AD418" i="1"/>
  <c r="AD420" i="1"/>
  <c r="AC420" i="1" s="1"/>
  <c r="AD422" i="1"/>
  <c r="AC422" i="1" s="1"/>
  <c r="AD424" i="1"/>
  <c r="AC424" i="1" s="1"/>
  <c r="AD426" i="1"/>
  <c r="AC426" i="1" s="1"/>
  <c r="O476" i="1"/>
  <c r="O488" i="1"/>
  <c r="O498" i="1"/>
  <c r="AD431" i="1" s="1"/>
  <c r="AC431" i="1" s="1"/>
  <c r="O510" i="1"/>
  <c r="C511" i="1" s="1"/>
  <c r="O565" i="1"/>
  <c r="O582" i="1"/>
  <c r="C581" i="1" s="1"/>
  <c r="O591" i="1"/>
  <c r="AD435" i="1" s="1"/>
  <c r="AC435" i="1" s="1"/>
  <c r="O628" i="1"/>
  <c r="C629" i="1" s="1"/>
  <c r="O646" i="1"/>
  <c r="O656" i="1"/>
  <c r="C655" i="1" s="1"/>
  <c r="O683" i="1"/>
  <c r="AD439" i="1" s="1"/>
  <c r="O703" i="1"/>
  <c r="O719" i="1"/>
  <c r="O751" i="1"/>
  <c r="O753" i="1"/>
  <c r="AD443" i="1" s="1"/>
  <c r="AC443" i="1" s="1"/>
  <c r="O770" i="1"/>
  <c r="P771" i="1" s="1"/>
  <c r="O772" i="1"/>
  <c r="AD445" i="1" s="1"/>
  <c r="AC445" i="1" s="1"/>
  <c r="O824" i="1"/>
  <c r="O877" i="1"/>
  <c r="AD447" i="1" s="1"/>
  <c r="AC447" i="1" s="1"/>
  <c r="O892" i="1"/>
  <c r="C893" i="1" s="1"/>
  <c r="O946" i="1"/>
  <c r="P947" i="1" s="1"/>
  <c r="O1105" i="1"/>
  <c r="P1106" i="1" s="1"/>
  <c r="O1171" i="1"/>
  <c r="AD451" i="1" s="1"/>
  <c r="AC451" i="1" s="1"/>
  <c r="O98" i="1"/>
  <c r="AD452" i="1" s="1"/>
  <c r="AC452" i="1" s="1"/>
  <c r="AD456" i="1"/>
  <c r="AC456" i="1" s="1"/>
  <c r="U60" i="1"/>
  <c r="AD457" i="1" s="1"/>
  <c r="AC457" i="1" s="1"/>
  <c r="U61" i="1"/>
  <c r="AD458" i="1" s="1"/>
  <c r="AC458" i="1" s="1"/>
  <c r="U62" i="1"/>
  <c r="AD459" i="1" s="1"/>
  <c r="AC459" i="1" s="1"/>
  <c r="U63" i="1"/>
  <c r="AD460" i="1" s="1"/>
  <c r="AC460" i="1" s="1"/>
  <c r="U64" i="1"/>
  <c r="AD461" i="1" s="1"/>
  <c r="AC461" i="1" s="1"/>
  <c r="U65" i="1"/>
  <c r="AD462" i="1" s="1"/>
  <c r="AC462" i="1" s="1"/>
  <c r="V61" i="1"/>
  <c r="AD466" i="1" s="1"/>
  <c r="AC466" i="1" s="1"/>
  <c r="V62" i="1"/>
  <c r="AD467" i="1" s="1"/>
  <c r="AC467" i="1" s="1"/>
  <c r="V63" i="1"/>
  <c r="AD468" i="1" s="1"/>
  <c r="AC468" i="1" s="1"/>
  <c r="V64" i="1"/>
  <c r="AD469" i="1" s="1"/>
  <c r="AC469" i="1" s="1"/>
  <c r="V65" i="1"/>
  <c r="AD470" i="1" s="1"/>
  <c r="AC470" i="1" s="1"/>
  <c r="F484" i="1"/>
  <c r="AD476" i="1"/>
  <c r="AC476" i="1" s="1"/>
  <c r="AD478" i="1"/>
  <c r="N955" i="1"/>
  <c r="O955" i="1" s="1"/>
  <c r="N956" i="1"/>
  <c r="O956" i="1" s="1"/>
  <c r="AD483" i="1"/>
  <c r="AC483" i="1" s="1"/>
  <c r="AD484" i="1"/>
  <c r="AC484" i="1" s="1"/>
  <c r="R1432" i="1"/>
  <c r="AD486" i="1" s="1"/>
  <c r="AC486" i="1" s="1"/>
  <c r="T1432" i="1"/>
  <c r="AD487" i="1" s="1"/>
  <c r="AC487" i="1" s="1"/>
  <c r="R1433" i="1"/>
  <c r="AD501" i="1"/>
  <c r="AC501" i="1" s="1"/>
  <c r="AD503" i="1"/>
  <c r="AD505" i="1"/>
  <c r="AC505" i="1" s="1"/>
  <c r="AD507" i="1"/>
  <c r="AC507" i="1" s="1"/>
  <c r="AD509" i="1"/>
  <c r="AC509" i="1" s="1"/>
  <c r="AD511" i="1"/>
  <c r="AD513" i="1"/>
  <c r="AC513" i="1" s="1"/>
  <c r="AD515" i="1"/>
  <c r="AC515" i="1" s="1"/>
  <c r="AD517" i="1"/>
  <c r="AC517" i="1" s="1"/>
  <c r="AD521" i="1"/>
  <c r="AC521" i="1" s="1"/>
  <c r="M1008" i="1"/>
  <c r="B1006" i="1" s="1"/>
  <c r="Q1064" i="1"/>
  <c r="R1128" i="1"/>
  <c r="T1" i="1"/>
  <c r="AD538" i="1" s="1"/>
  <c r="AC538" i="1" s="1"/>
  <c r="T2" i="1"/>
  <c r="AD539" i="1" s="1"/>
  <c r="AC539" i="1" s="1"/>
  <c r="T3" i="1"/>
  <c r="AD540" i="1" s="1"/>
  <c r="AC540" i="1" s="1"/>
  <c r="T4" i="1"/>
  <c r="AD541" i="1" s="1"/>
  <c r="AC541" i="1" s="1"/>
  <c r="T5" i="1"/>
  <c r="AD542" i="1" s="1"/>
  <c r="AC542" i="1" s="1"/>
  <c r="T6" i="1"/>
  <c r="AD543" i="1" s="1"/>
  <c r="AC543" i="1" s="1"/>
  <c r="U1013" i="1"/>
  <c r="R1013" i="1"/>
  <c r="G1014" i="1" s="1"/>
  <c r="U541" i="1"/>
  <c r="U600" i="1"/>
  <c r="U1165" i="1"/>
  <c r="I1164" i="1" s="1"/>
  <c r="S1165" i="1"/>
  <c r="G1164" i="1" s="1"/>
  <c r="Q1165" i="1"/>
  <c r="E1164" i="1" s="1"/>
  <c r="O1165" i="1"/>
  <c r="C1164" i="1" s="1"/>
  <c r="U1099" i="1"/>
  <c r="I1098" i="1" s="1"/>
  <c r="S1099" i="1"/>
  <c r="G1098" i="1" s="1"/>
  <c r="Q1099" i="1"/>
  <c r="E1098" i="1" s="1"/>
  <c r="O1099" i="1"/>
  <c r="C1098" i="1" s="1"/>
  <c r="H941" i="1"/>
  <c r="T1071" i="1"/>
  <c r="Q343" i="1"/>
  <c r="R344" i="1" s="1"/>
  <c r="Q1071" i="1"/>
  <c r="P1071" i="1"/>
  <c r="O1071" i="1"/>
  <c r="Q349" i="1"/>
  <c r="R350" i="1" s="1"/>
  <c r="J119" i="1"/>
  <c r="K119" i="1"/>
  <c r="F1526" i="1" a="1"/>
  <c r="K1531" i="1" s="1"/>
  <c r="E1003" i="1"/>
  <c r="E1004" i="1"/>
  <c r="E1005" i="1"/>
  <c r="E1006" i="1"/>
  <c r="E1007" i="1"/>
  <c r="E1008" i="1"/>
  <c r="P296" i="1"/>
  <c r="F746" i="1"/>
  <c r="F747" i="1"/>
  <c r="F750" i="1"/>
  <c r="F751" i="1"/>
  <c r="F752" i="1"/>
  <c r="F753" i="1"/>
  <c r="F754" i="1"/>
  <c r="J746" i="1"/>
  <c r="J747" i="1"/>
  <c r="J748" i="1"/>
  <c r="J749" i="1"/>
  <c r="J750" i="1"/>
  <c r="J751" i="1"/>
  <c r="J752" i="1"/>
  <c r="J753" i="1"/>
  <c r="J754" i="1"/>
  <c r="J117" i="1"/>
  <c r="K117" i="1"/>
  <c r="J118" i="1"/>
  <c r="K118" i="1"/>
  <c r="R1003" i="1"/>
  <c r="G1003" i="1" s="1"/>
  <c r="T1003" i="1"/>
  <c r="I1003" i="1" s="1"/>
  <c r="V1003" i="1"/>
  <c r="P1144" i="1"/>
  <c r="D1144" i="1" s="1"/>
  <c r="T1144" i="1"/>
  <c r="O1144" i="1"/>
  <c r="C1144" i="1" s="1"/>
  <c r="S1144" i="1"/>
  <c r="G1144" i="1" s="1"/>
  <c r="P1078" i="1"/>
  <c r="D1078" i="1" s="1"/>
  <c r="O1078" i="1"/>
  <c r="S1078" i="1"/>
  <c r="R1422" i="1"/>
  <c r="S1422" i="1"/>
  <c r="Q1422" i="1"/>
  <c r="R1407" i="1"/>
  <c r="S1407" i="1"/>
  <c r="Q1407" i="1"/>
  <c r="AC231" i="1"/>
  <c r="AC232" i="1"/>
  <c r="AC224" i="1"/>
  <c r="I944" i="1"/>
  <c r="I945" i="1"/>
  <c r="G945" i="1"/>
  <c r="I946" i="1"/>
  <c r="G946" i="1"/>
  <c r="I947" i="1"/>
  <c r="G947" i="1"/>
  <c r="I948" i="1"/>
  <c r="G948" i="1"/>
  <c r="I949" i="1"/>
  <c r="G949" i="1"/>
  <c r="I950" i="1"/>
  <c r="G950" i="1"/>
  <c r="I951" i="1"/>
  <c r="AC953" i="1"/>
  <c r="J944" i="1" s="1"/>
  <c r="AC954" i="1"/>
  <c r="J945" i="1" s="1"/>
  <c r="AC955" i="1"/>
  <c r="J946" i="1" s="1"/>
  <c r="AC956" i="1"/>
  <c r="AC957" i="1"/>
  <c r="J948" i="1" s="1"/>
  <c r="AC958" i="1"/>
  <c r="J949" i="1" s="1"/>
  <c r="AC959" i="1"/>
  <c r="J950" i="1" s="1"/>
  <c r="AC960" i="1"/>
  <c r="J951" i="1" s="1"/>
  <c r="H870" i="1"/>
  <c r="H871" i="1"/>
  <c r="C884" i="1"/>
  <c r="H885" i="1"/>
  <c r="H886" i="1"/>
  <c r="H872" i="1"/>
  <c r="H873" i="1"/>
  <c r="H874" i="1"/>
  <c r="H887" i="1"/>
  <c r="H888" i="1"/>
  <c r="H889" i="1"/>
  <c r="K819" i="1"/>
  <c r="K820" i="1"/>
  <c r="K821" i="1"/>
  <c r="K822" i="1"/>
  <c r="K823" i="1"/>
  <c r="R1533" i="1"/>
  <c r="T1527" i="1" s="1"/>
  <c r="V122" i="1"/>
  <c r="V121" i="1"/>
  <c r="V120" i="1"/>
  <c r="V119" i="1"/>
  <c r="V118" i="1"/>
  <c r="V117" i="1"/>
  <c r="V116" i="1"/>
  <c r="V115" i="1"/>
  <c r="V114" i="1"/>
  <c r="V113" i="1"/>
  <c r="AE139" i="1"/>
  <c r="AE115" i="1"/>
  <c r="R1534" i="1"/>
  <c r="R1535" i="1" s="1"/>
  <c r="U1532" i="1" s="1"/>
  <c r="T1532" i="1" s="1"/>
  <c r="R1531" i="1"/>
  <c r="R1532" i="1"/>
  <c r="V1529" i="1"/>
  <c r="P893" i="1"/>
  <c r="C591" i="1"/>
  <c r="C499" i="1"/>
  <c r="C337" i="1"/>
  <c r="C338" i="1"/>
  <c r="C339" i="1"/>
  <c r="E823" i="1"/>
  <c r="F823" i="1"/>
  <c r="E822" i="1"/>
  <c r="F822" i="1"/>
  <c r="E821" i="1"/>
  <c r="F821" i="1"/>
  <c r="E820" i="1"/>
  <c r="F820" i="1"/>
  <c r="P346" i="1"/>
  <c r="O1079" i="1"/>
  <c r="C1079" i="1" s="1"/>
  <c r="P1079" i="1"/>
  <c r="D1079" i="1" s="1"/>
  <c r="S1079" i="1"/>
  <c r="G1079" i="1" s="1"/>
  <c r="T1078" i="1"/>
  <c r="H1078" i="1" s="1"/>
  <c r="T1079" i="1"/>
  <c r="H1079" i="1" s="1"/>
  <c r="O1145" i="1"/>
  <c r="C1145" i="1" s="1"/>
  <c r="P1145" i="1"/>
  <c r="Q1145" i="1"/>
  <c r="E1145" i="1" s="1"/>
  <c r="R1145" i="1"/>
  <c r="F1145" i="1" s="1"/>
  <c r="S1145" i="1"/>
  <c r="G1145" i="1" s="1"/>
  <c r="T1145" i="1"/>
  <c r="T1146" i="1" s="1"/>
  <c r="H1146" i="1" s="1"/>
  <c r="O1091" i="1"/>
  <c r="C1090" i="1" s="1"/>
  <c r="Q1091" i="1"/>
  <c r="E1090" i="1" s="1"/>
  <c r="S1091" i="1"/>
  <c r="G1090" i="1" s="1"/>
  <c r="U1091" i="1"/>
  <c r="I1090" i="1" s="1"/>
  <c r="C1157" i="1"/>
  <c r="R1011" i="1"/>
  <c r="G1011" i="1" s="1"/>
  <c r="R1004" i="1"/>
  <c r="G1004" i="1" s="1"/>
  <c r="R1005" i="1"/>
  <c r="G1005" i="1" s="1"/>
  <c r="R1006" i="1"/>
  <c r="G1006" i="1" s="1"/>
  <c r="R1008" i="1"/>
  <c r="G1008" i="1" s="1"/>
  <c r="R1009" i="1"/>
  <c r="G1009" i="1" s="1"/>
  <c r="R1010" i="1"/>
  <c r="G1010" i="1" s="1"/>
  <c r="W1013" i="1"/>
  <c r="T1008" i="1"/>
  <c r="I1008" i="1" s="1"/>
  <c r="U1008" i="1"/>
  <c r="T1009" i="1"/>
  <c r="I1009" i="1" s="1"/>
  <c r="U1009" i="1"/>
  <c r="T1010" i="1"/>
  <c r="U1010" i="1"/>
  <c r="T1011" i="1"/>
  <c r="I1011" i="1" s="1"/>
  <c r="U1011" i="1"/>
  <c r="U1003" i="1"/>
  <c r="T1004" i="1"/>
  <c r="I1004" i="1" s="1"/>
  <c r="U1004" i="1"/>
  <c r="T1005" i="1"/>
  <c r="I1005" i="1" s="1"/>
  <c r="U1005" i="1"/>
  <c r="T1006" i="1"/>
  <c r="I1006" i="1" s="1"/>
  <c r="U1006" i="1"/>
  <c r="W1015" i="1"/>
  <c r="I1010" i="1"/>
  <c r="W1014" i="1"/>
  <c r="J1026" i="1"/>
  <c r="J142" i="1" s="1"/>
  <c r="J1027" i="1"/>
  <c r="J143" i="1" s="1"/>
  <c r="J1028" i="1"/>
  <c r="J144" i="1" s="1"/>
  <c r="K1027" i="1"/>
  <c r="K1028" i="1"/>
  <c r="K144" i="1" s="1"/>
  <c r="K1026" i="1"/>
  <c r="I1027" i="1"/>
  <c r="R609" i="1"/>
  <c r="T485" i="1"/>
  <c r="D1065" i="1"/>
  <c r="C1003" i="1"/>
  <c r="AC525" i="1"/>
  <c r="V1089" i="1"/>
  <c r="J1088" i="1" s="1"/>
  <c r="AC531" i="1"/>
  <c r="AC519" i="1"/>
  <c r="D1131" i="1"/>
  <c r="E1131" i="1"/>
  <c r="E1132" i="1"/>
  <c r="D1132" i="1"/>
  <c r="J1160" i="1"/>
  <c r="I1160" i="1"/>
  <c r="H1160" i="1"/>
  <c r="G1160" i="1"/>
  <c r="F1160" i="1"/>
  <c r="E1160" i="1"/>
  <c r="D1160" i="1"/>
  <c r="C1160" i="1"/>
  <c r="J1159" i="1"/>
  <c r="H1159" i="1"/>
  <c r="D1159" i="1"/>
  <c r="J1158" i="1"/>
  <c r="I1158" i="1"/>
  <c r="H1158" i="1"/>
  <c r="G1158" i="1"/>
  <c r="F1158" i="1"/>
  <c r="E1158" i="1"/>
  <c r="D1158" i="1"/>
  <c r="C1158" i="1"/>
  <c r="J1157" i="1"/>
  <c r="I1157" i="1"/>
  <c r="H1157" i="1"/>
  <c r="G1157" i="1"/>
  <c r="F1157" i="1"/>
  <c r="E1157" i="1"/>
  <c r="D1157" i="1"/>
  <c r="D1168" i="1"/>
  <c r="D1167" i="1"/>
  <c r="O1157" i="1"/>
  <c r="Q1157" i="1"/>
  <c r="S1157" i="1"/>
  <c r="U1157" i="1"/>
  <c r="Q1137" i="1"/>
  <c r="F1085" i="1"/>
  <c r="F1084" i="1"/>
  <c r="F1083" i="1"/>
  <c r="I1094" i="1"/>
  <c r="I1092" i="1"/>
  <c r="I1091" i="1"/>
  <c r="G1092" i="1"/>
  <c r="G1094" i="1"/>
  <c r="G1091" i="1"/>
  <c r="E1094" i="1"/>
  <c r="E1092" i="1"/>
  <c r="E1091" i="1"/>
  <c r="C1092" i="1"/>
  <c r="C1094" i="1"/>
  <c r="C1091" i="1"/>
  <c r="J1091" i="1"/>
  <c r="D1094" i="1"/>
  <c r="F1151" i="1"/>
  <c r="F1150" i="1"/>
  <c r="F1149" i="1"/>
  <c r="D1101" i="1"/>
  <c r="D1102" i="1"/>
  <c r="M956" i="1"/>
  <c r="AC92" i="1"/>
  <c r="AC94" i="1"/>
  <c r="AC95" i="1"/>
  <c r="AC98" i="1"/>
  <c r="AC99" i="1"/>
  <c r="AC102" i="1"/>
  <c r="AC105" i="1"/>
  <c r="AC108" i="1"/>
  <c r="AC111" i="1"/>
  <c r="AC116" i="1"/>
  <c r="AC117" i="1"/>
  <c r="AC122" i="1"/>
  <c r="AC125" i="1"/>
  <c r="AC126" i="1"/>
  <c r="AC128" i="1"/>
  <c r="AC129" i="1"/>
  <c r="AC132" i="1"/>
  <c r="AC135" i="1"/>
  <c r="AC140" i="1"/>
  <c r="AC144" i="1"/>
  <c r="AC145" i="1"/>
  <c r="AC150" i="1"/>
  <c r="AC153" i="1"/>
  <c r="AC154" i="1"/>
  <c r="AC155" i="1"/>
  <c r="AC161" i="1"/>
  <c r="AC164" i="1"/>
  <c r="AC171" i="1"/>
  <c r="AC174" i="1"/>
  <c r="AC176" i="1"/>
  <c r="AC177" i="1"/>
  <c r="AC178" i="1"/>
  <c r="AC179" i="1"/>
  <c r="AC180" i="1"/>
  <c r="AC181" i="1"/>
  <c r="AC184" i="1"/>
  <c r="AC185" i="1"/>
  <c r="AC186" i="1"/>
  <c r="AC187" i="1"/>
  <c r="AC189" i="1"/>
  <c r="AC198" i="1"/>
  <c r="AC207" i="1"/>
  <c r="AC208" i="1"/>
  <c r="AC210" i="1"/>
  <c r="AC217" i="1"/>
  <c r="AC236" i="1"/>
  <c r="AC247" i="1"/>
  <c r="AC258" i="1"/>
  <c r="AC269" i="1"/>
  <c r="AC280" i="1"/>
  <c r="AC291" i="1"/>
  <c r="AC302" i="1"/>
  <c r="AC313" i="1"/>
  <c r="AC314" i="1"/>
  <c r="AC315" i="1"/>
  <c r="AC317" i="1"/>
  <c r="AC319" i="1"/>
  <c r="AC321" i="1"/>
  <c r="AC322" i="1"/>
  <c r="AC323" i="1"/>
  <c r="AC325" i="1"/>
  <c r="AC327" i="1"/>
  <c r="AC329" i="1"/>
  <c r="AC331" i="1"/>
  <c r="AC333" i="1"/>
  <c r="AC335" i="1"/>
  <c r="AC336" i="1"/>
  <c r="AC337" i="1"/>
  <c r="AC339" i="1"/>
  <c r="AC341" i="1"/>
  <c r="AC343" i="1"/>
  <c r="AC345" i="1"/>
  <c r="AC346" i="1"/>
  <c r="AC347" i="1"/>
  <c r="AC349" i="1"/>
  <c r="AC351" i="1"/>
  <c r="AC353" i="1"/>
  <c r="AC355" i="1"/>
  <c r="AC357" i="1"/>
  <c r="AC359" i="1"/>
  <c r="AC361" i="1"/>
  <c r="AC362" i="1"/>
  <c r="AC363" i="1"/>
  <c r="AC365" i="1"/>
  <c r="AC367" i="1"/>
  <c r="AC368" i="1"/>
  <c r="AC369" i="1"/>
  <c r="AC371" i="1"/>
  <c r="AC373" i="1"/>
  <c r="AC375" i="1"/>
  <c r="AC377" i="1"/>
  <c r="AC379" i="1"/>
  <c r="AC381" i="1"/>
  <c r="AC383" i="1"/>
  <c r="AC385" i="1"/>
  <c r="AC387" i="1"/>
  <c r="AC389" i="1"/>
  <c r="AC391" i="1"/>
  <c r="AC393" i="1"/>
  <c r="AC394" i="1"/>
  <c r="AC395" i="1"/>
  <c r="AC397" i="1"/>
  <c r="AC399" i="1"/>
  <c r="AC401" i="1"/>
  <c r="AC402" i="1"/>
  <c r="AC403" i="1"/>
  <c r="AC405" i="1"/>
  <c r="AC407" i="1"/>
  <c r="AC409" i="1"/>
  <c r="AC411" i="1"/>
  <c r="AC413" i="1"/>
  <c r="AC415" i="1"/>
  <c r="AC417" i="1"/>
  <c r="AC418" i="1"/>
  <c r="AC419" i="1"/>
  <c r="AC421" i="1"/>
  <c r="AC423" i="1"/>
  <c r="AC425" i="1"/>
  <c r="AC427" i="1"/>
  <c r="AC428" i="1"/>
  <c r="AC439" i="1"/>
  <c r="AC455" i="1"/>
  <c r="AC463" i="1"/>
  <c r="AC471" i="1"/>
  <c r="AC477" i="1"/>
  <c r="AC478" i="1"/>
  <c r="AC479" i="1"/>
  <c r="AC482" i="1"/>
  <c r="AC485" i="1"/>
  <c r="AC489" i="1"/>
  <c r="AC500" i="1"/>
  <c r="AC502" i="1"/>
  <c r="AC503" i="1"/>
  <c r="AC504" i="1"/>
  <c r="AC506" i="1"/>
  <c r="AC508" i="1"/>
  <c r="AC510" i="1"/>
  <c r="AC511" i="1"/>
  <c r="AC512" i="1"/>
  <c r="AC514" i="1"/>
  <c r="AC516" i="1"/>
  <c r="AC518" i="1"/>
  <c r="AC10" i="1"/>
  <c r="AC16" i="1"/>
  <c r="AC17" i="1"/>
  <c r="AC22" i="1"/>
  <c r="AC23" i="1"/>
  <c r="AC26" i="1"/>
  <c r="AC30" i="1"/>
  <c r="AC34" i="1"/>
  <c r="AC35" i="1"/>
  <c r="AC36" i="1"/>
  <c r="AC39" i="1"/>
  <c r="AC43" i="1"/>
  <c r="AC47" i="1"/>
  <c r="AC49" i="1"/>
  <c r="AC53" i="1"/>
  <c r="AC57" i="1"/>
  <c r="AC58" i="1"/>
  <c r="AC62" i="1"/>
  <c r="AC65" i="1"/>
  <c r="AC66" i="1"/>
  <c r="AC69" i="1"/>
  <c r="AC70" i="1"/>
  <c r="AC75" i="1"/>
  <c r="AC78" i="1"/>
  <c r="AC79" i="1"/>
  <c r="AC85" i="1"/>
  <c r="AF109" i="1"/>
  <c r="AF110" i="1"/>
  <c r="AF108" i="1"/>
  <c r="W398" i="1"/>
  <c r="R398" i="1"/>
  <c r="W397" i="1"/>
  <c r="U509" i="1"/>
  <c r="Q339" i="1"/>
  <c r="R340" i="1" s="1"/>
  <c r="Q341" i="1"/>
  <c r="R342" i="1" s="1"/>
  <c r="Q345" i="1"/>
  <c r="R346" i="1" s="1"/>
  <c r="Q347" i="1"/>
  <c r="R348" i="1" s="1"/>
  <c r="Q351" i="1"/>
  <c r="R352" i="1" s="1"/>
  <c r="Q353" i="1"/>
  <c r="R354" i="1" s="1"/>
  <c r="Q355" i="1"/>
  <c r="R356" i="1" s="1"/>
  <c r="Q357" i="1"/>
  <c r="R358" i="1" s="1"/>
  <c r="Q359" i="1"/>
  <c r="R360" i="1" s="1"/>
  <c r="Q361" i="1"/>
  <c r="R362" i="1" s="1"/>
  <c r="Q363" i="1"/>
  <c r="R364" i="1" s="1"/>
  <c r="Q365" i="1"/>
  <c r="R366" i="1" s="1"/>
  <c r="Q367" i="1"/>
  <c r="R368" i="1" s="1"/>
  <c r="Q369" i="1"/>
  <c r="R370" i="1" s="1"/>
  <c r="Q371" i="1"/>
  <c r="R372" i="1" s="1"/>
  <c r="Q373" i="1"/>
  <c r="R374" i="1" s="1"/>
  <c r="Q337" i="1"/>
  <c r="R338" i="1" s="1"/>
  <c r="P342" i="1"/>
  <c r="P344" i="1"/>
  <c r="P348" i="1"/>
  <c r="P350" i="1"/>
  <c r="P352" i="1"/>
  <c r="P354" i="1"/>
  <c r="P356" i="1"/>
  <c r="P358" i="1"/>
  <c r="P360" i="1"/>
  <c r="P362" i="1"/>
  <c r="P364" i="1"/>
  <c r="P366" i="1"/>
  <c r="P368" i="1"/>
  <c r="P370" i="1"/>
  <c r="P372" i="1"/>
  <c r="P374" i="1"/>
  <c r="P340" i="1"/>
  <c r="P338" i="1"/>
  <c r="Q273" i="1"/>
  <c r="R274" i="1" s="1"/>
  <c r="Q275" i="1"/>
  <c r="R276" i="1" s="1"/>
  <c r="Q277" i="1"/>
  <c r="R278" i="1" s="1"/>
  <c r="Q279" i="1"/>
  <c r="R280" i="1" s="1"/>
  <c r="Q281" i="1"/>
  <c r="R282" i="1" s="1"/>
  <c r="Q283" i="1"/>
  <c r="R284" i="1" s="1"/>
  <c r="Q285" i="1"/>
  <c r="R286" i="1" s="1"/>
  <c r="Q287" i="1"/>
  <c r="R288" i="1" s="1"/>
  <c r="Q289" i="1"/>
  <c r="R290" i="1" s="1"/>
  <c r="Q291" i="1"/>
  <c r="R292" i="1" s="1"/>
  <c r="Q293" i="1"/>
  <c r="R294" i="1" s="1"/>
  <c r="Q295" i="1"/>
  <c r="R296" i="1" s="1"/>
  <c r="Q297" i="1"/>
  <c r="R298" i="1" s="1"/>
  <c r="Q299" i="1"/>
  <c r="R300" i="1" s="1"/>
  <c r="Q301" i="1"/>
  <c r="R302" i="1" s="1"/>
  <c r="Q303" i="1"/>
  <c r="R304" i="1" s="1"/>
  <c r="Q305" i="1"/>
  <c r="R306" i="1" s="1"/>
  <c r="Q307" i="1"/>
  <c r="R308" i="1" s="1"/>
  <c r="Q271" i="1"/>
  <c r="R272" i="1" s="1"/>
  <c r="P274" i="1"/>
  <c r="P276" i="1"/>
  <c r="P278" i="1"/>
  <c r="P280" i="1"/>
  <c r="P282" i="1"/>
  <c r="P284" i="1"/>
  <c r="P286" i="1"/>
  <c r="P288" i="1"/>
  <c r="P290" i="1"/>
  <c r="P292" i="1"/>
  <c r="P294" i="1"/>
  <c r="P298" i="1"/>
  <c r="P300" i="1"/>
  <c r="P302" i="1"/>
  <c r="P304" i="1"/>
  <c r="P306" i="1"/>
  <c r="P308" i="1"/>
  <c r="P272" i="1"/>
  <c r="Q209" i="1"/>
  <c r="R210" i="1" s="1"/>
  <c r="Q211" i="1"/>
  <c r="R212" i="1" s="1"/>
  <c r="Q213" i="1"/>
  <c r="R214" i="1" s="1"/>
  <c r="Q215" i="1"/>
  <c r="R216" i="1" s="1"/>
  <c r="Q217" i="1"/>
  <c r="R218" i="1" s="1"/>
  <c r="Q219" i="1"/>
  <c r="R220" i="1" s="1"/>
  <c r="Q221" i="1"/>
  <c r="R222" i="1" s="1"/>
  <c r="Q223" i="1"/>
  <c r="R224" i="1" s="1"/>
  <c r="Q225" i="1"/>
  <c r="R226" i="1" s="1"/>
  <c r="Q227" i="1"/>
  <c r="R228" i="1" s="1"/>
  <c r="Q229" i="1"/>
  <c r="R230" i="1" s="1"/>
  <c r="Q231" i="1"/>
  <c r="R232" i="1" s="1"/>
  <c r="Q233" i="1"/>
  <c r="R234" i="1" s="1"/>
  <c r="Q235" i="1"/>
  <c r="R236" i="1" s="1"/>
  <c r="Q237" i="1"/>
  <c r="R238" i="1" s="1"/>
  <c r="Q239" i="1"/>
  <c r="R240" i="1" s="1"/>
  <c r="Q241" i="1"/>
  <c r="R242" i="1" s="1"/>
  <c r="Q207" i="1"/>
  <c r="R208" i="1" s="1"/>
  <c r="Q205" i="1"/>
  <c r="R206" i="1" s="1"/>
  <c r="Q186" i="1"/>
  <c r="R187" i="1" s="1"/>
  <c r="Q184" i="1"/>
  <c r="R185" i="1" s="1"/>
  <c r="Q182" i="1"/>
  <c r="R183" i="1" s="1"/>
  <c r="Q180" i="1"/>
  <c r="R181" i="1" s="1"/>
  <c r="Q178" i="1"/>
  <c r="R179" i="1" s="1"/>
  <c r="Q176" i="1"/>
  <c r="R177" i="1" s="1"/>
  <c r="Q174" i="1"/>
  <c r="R175" i="1" s="1"/>
  <c r="Q172" i="1"/>
  <c r="R173" i="1" s="1"/>
  <c r="Q170" i="1"/>
  <c r="R171" i="1" s="1"/>
  <c r="P208" i="1"/>
  <c r="P210" i="1"/>
  <c r="P212" i="1"/>
  <c r="P214" i="1"/>
  <c r="P216" i="1"/>
  <c r="P218" i="1"/>
  <c r="P220" i="1"/>
  <c r="P222" i="1"/>
  <c r="P224" i="1"/>
  <c r="P226" i="1"/>
  <c r="P228" i="1"/>
  <c r="P230" i="1"/>
  <c r="P232" i="1"/>
  <c r="P234" i="1"/>
  <c r="P236" i="1"/>
  <c r="P238" i="1"/>
  <c r="P240" i="1"/>
  <c r="P242" i="1"/>
  <c r="P206" i="1"/>
  <c r="P173" i="1"/>
  <c r="P175" i="1"/>
  <c r="P177" i="1"/>
  <c r="P179" i="1"/>
  <c r="P181" i="1"/>
  <c r="P183" i="1"/>
  <c r="P185" i="1"/>
  <c r="P187" i="1"/>
  <c r="P171" i="1"/>
  <c r="W1433" i="1"/>
  <c r="W1432" i="1"/>
  <c r="W1431" i="1"/>
  <c r="W1128" i="1"/>
  <c r="W1062" i="1"/>
  <c r="S963" i="1"/>
  <c r="S962" i="1"/>
  <c r="R548" i="1"/>
  <c r="R538" i="1"/>
  <c r="V445" i="1"/>
  <c r="V420" i="1"/>
  <c r="M552" i="1"/>
  <c r="M615" i="1"/>
  <c r="D1658" i="1" a="1"/>
  <c r="D1660" i="1" s="1"/>
  <c r="D1592" i="1" a="1"/>
  <c r="D1594" i="1" s="1"/>
  <c r="D1526" i="1" a="1"/>
  <c r="D1555" i="1" s="1"/>
  <c r="D1460" i="1" a="1"/>
  <c r="D1478" i="1" s="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O9" i="1"/>
  <c r="V9" i="1"/>
  <c r="V1009" i="1"/>
  <c r="V1010" i="1"/>
  <c r="V1011" i="1"/>
  <c r="V1008" i="1"/>
  <c r="V1004" i="1"/>
  <c r="V1005" i="1"/>
  <c r="V1006" i="1"/>
  <c r="G1064" i="1"/>
  <c r="G1130" i="1"/>
  <c r="U424" i="1"/>
  <c r="R495" i="1"/>
  <c r="Q495" i="1"/>
  <c r="F202" i="1"/>
  <c r="R268" i="1"/>
  <c r="F268" i="1" s="1"/>
  <c r="R334" i="1"/>
  <c r="F334" i="1" s="1"/>
  <c r="T1027" i="1"/>
  <c r="W674" i="1"/>
  <c r="K677" i="1" s="1"/>
  <c r="W669" i="1"/>
  <c r="K672" i="1" s="1"/>
  <c r="N573" i="1"/>
  <c r="AA68" i="1"/>
  <c r="AA69" i="1"/>
  <c r="AA71" i="1"/>
  <c r="AA72" i="1"/>
  <c r="AA73" i="1"/>
  <c r="AA76" i="1"/>
  <c r="AA77" i="1"/>
  <c r="AA78" i="1"/>
  <c r="AA80" i="1"/>
  <c r="AA81" i="1"/>
  <c r="AA55" i="1"/>
  <c r="AA56" i="1"/>
  <c r="AA57" i="1"/>
  <c r="AA59" i="1"/>
  <c r="AA60" i="1"/>
  <c r="AA61" i="1"/>
  <c r="AA63" i="1"/>
  <c r="AA64" i="1"/>
  <c r="AA65" i="1"/>
  <c r="AA67" i="1"/>
  <c r="AA49" i="1"/>
  <c r="AA50" i="1"/>
  <c r="AA51" i="1"/>
  <c r="AA52" i="1"/>
  <c r="AA53" i="1"/>
  <c r="AA54" i="1"/>
  <c r="AA48" i="1"/>
  <c r="AA12" i="1"/>
  <c r="AA13" i="1"/>
  <c r="AA14" i="1"/>
  <c r="AA15" i="1"/>
  <c r="AA16" i="1"/>
  <c r="AA18" i="1"/>
  <c r="AA19" i="1"/>
  <c r="AA20" i="1"/>
  <c r="AA21" i="1"/>
  <c r="AA22" i="1"/>
  <c r="AA24" i="1"/>
  <c r="AA25" i="1"/>
  <c r="AA26" i="1"/>
  <c r="AA27" i="1"/>
  <c r="AA28" i="1"/>
  <c r="AA29" i="1"/>
  <c r="AA30" i="1"/>
  <c r="AA31" i="1"/>
  <c r="AA32" i="1"/>
  <c r="AA33" i="1"/>
  <c r="AA34" i="1"/>
  <c r="AA35" i="1"/>
  <c r="AA37" i="1"/>
  <c r="AA38" i="1"/>
  <c r="AA39" i="1"/>
  <c r="AA40" i="1"/>
  <c r="AA41" i="1"/>
  <c r="AA42" i="1"/>
  <c r="AA43" i="1"/>
  <c r="AA44" i="1"/>
  <c r="AA45" i="1"/>
  <c r="AA46" i="1"/>
  <c r="AA11" i="1"/>
  <c r="R834" i="1"/>
  <c r="S834" i="1"/>
  <c r="R835" i="1"/>
  <c r="S835" i="1"/>
  <c r="R836" i="1"/>
  <c r="S836" i="1"/>
  <c r="R837" i="1"/>
  <c r="S837" i="1"/>
  <c r="K1322" i="1"/>
  <c r="F1322" i="1"/>
  <c r="K1321" i="1"/>
  <c r="K1256" i="1"/>
  <c r="F1256" i="1"/>
  <c r="K1255" i="1"/>
  <c r="F1193" i="1"/>
  <c r="W1190" i="1"/>
  <c r="Q1190" i="1"/>
  <c r="K1190" i="1"/>
  <c r="F1190" i="1"/>
  <c r="W1189" i="1"/>
  <c r="K1189" i="1"/>
  <c r="K332" i="1"/>
  <c r="F332" i="1"/>
  <c r="K331" i="1"/>
  <c r="W332" i="1"/>
  <c r="W331" i="1"/>
  <c r="E1009" i="1"/>
  <c r="E1010" i="1"/>
  <c r="E1011" i="1"/>
  <c r="K1460" i="1" a="1"/>
  <c r="K1497" i="1" s="1"/>
  <c r="E1460" i="1" a="1"/>
  <c r="E1494" i="1" s="1"/>
  <c r="F1456" i="1"/>
  <c r="K1454" i="1"/>
  <c r="K1453" i="1"/>
  <c r="K1658" i="1" a="1"/>
  <c r="K1695" i="1" s="1"/>
  <c r="F1658" i="1" a="1"/>
  <c r="G1658" i="1" s="1"/>
  <c r="E1658" i="1" a="1"/>
  <c r="E1674" i="1" s="1"/>
  <c r="F1654" i="1"/>
  <c r="K1652" i="1"/>
  <c r="K1651" i="1"/>
  <c r="J1593" i="1" a="1"/>
  <c r="J1606" i="1" s="1"/>
  <c r="F1593" i="1" a="1"/>
  <c r="F1618" i="1" s="1"/>
  <c r="K1592" i="1" a="1"/>
  <c r="K1599" i="1" s="1"/>
  <c r="I1592" i="1" a="1"/>
  <c r="I1592" i="1" s="1"/>
  <c r="H1592" i="1"/>
  <c r="F1592" i="1"/>
  <c r="E1592" i="1" a="1"/>
  <c r="E1615" i="1" s="1"/>
  <c r="F1588" i="1"/>
  <c r="K1586" i="1"/>
  <c r="K1585" i="1"/>
  <c r="F1526" i="1"/>
  <c r="G1526" i="1"/>
  <c r="H1526" i="1"/>
  <c r="I1526" i="1"/>
  <c r="J1526" i="1"/>
  <c r="K1526" i="1"/>
  <c r="F1527" i="1"/>
  <c r="G1527" i="1"/>
  <c r="H1527" i="1"/>
  <c r="I1527" i="1"/>
  <c r="J1527" i="1"/>
  <c r="K1527" i="1"/>
  <c r="F1528" i="1"/>
  <c r="G1528" i="1"/>
  <c r="H1528" i="1"/>
  <c r="I1528" i="1"/>
  <c r="J1528" i="1"/>
  <c r="K1528" i="1"/>
  <c r="F1529" i="1"/>
  <c r="G1529" i="1"/>
  <c r="H1529" i="1"/>
  <c r="I1529" i="1"/>
  <c r="J1529" i="1"/>
  <c r="K1529" i="1"/>
  <c r="F1530" i="1"/>
  <c r="G1530" i="1"/>
  <c r="H1530" i="1"/>
  <c r="I1530" i="1"/>
  <c r="J1530" i="1"/>
  <c r="K1530" i="1"/>
  <c r="F1531" i="1"/>
  <c r="G1531" i="1"/>
  <c r="H1531" i="1"/>
  <c r="I1531" i="1"/>
  <c r="J1531" i="1"/>
  <c r="F1532" i="1"/>
  <c r="G1532" i="1"/>
  <c r="H1532" i="1"/>
  <c r="I1532" i="1"/>
  <c r="J1532" i="1"/>
  <c r="K1532" i="1"/>
  <c r="F1533" i="1"/>
  <c r="G1533" i="1"/>
  <c r="H1533" i="1"/>
  <c r="I1533" i="1"/>
  <c r="J1533" i="1"/>
  <c r="K1533" i="1"/>
  <c r="F1534" i="1"/>
  <c r="G1534" i="1"/>
  <c r="H1534" i="1"/>
  <c r="I1534" i="1"/>
  <c r="J1534" i="1"/>
  <c r="K1534" i="1"/>
  <c r="F1535" i="1"/>
  <c r="G1535" i="1"/>
  <c r="H1535" i="1"/>
  <c r="I1535" i="1"/>
  <c r="J1535" i="1"/>
  <c r="K1535" i="1"/>
  <c r="F1536" i="1"/>
  <c r="G1536" i="1"/>
  <c r="H1536" i="1"/>
  <c r="I1536" i="1"/>
  <c r="J1536" i="1"/>
  <c r="K1536" i="1"/>
  <c r="F1537" i="1"/>
  <c r="G1537" i="1"/>
  <c r="H1537" i="1"/>
  <c r="I1537" i="1"/>
  <c r="J1537" i="1"/>
  <c r="K1537" i="1"/>
  <c r="F1538" i="1"/>
  <c r="G1538" i="1"/>
  <c r="H1538" i="1"/>
  <c r="I1538" i="1"/>
  <c r="J1538" i="1"/>
  <c r="K1538" i="1"/>
  <c r="F1539" i="1"/>
  <c r="G1539" i="1"/>
  <c r="H1539" i="1"/>
  <c r="I1539" i="1"/>
  <c r="J1539" i="1"/>
  <c r="K1539" i="1"/>
  <c r="F1540" i="1"/>
  <c r="G1540" i="1"/>
  <c r="H1540" i="1"/>
  <c r="I1540" i="1"/>
  <c r="J1540" i="1"/>
  <c r="K1540" i="1"/>
  <c r="F1541" i="1"/>
  <c r="G1541" i="1"/>
  <c r="H1541" i="1"/>
  <c r="I1541" i="1"/>
  <c r="J1541" i="1"/>
  <c r="K1541" i="1"/>
  <c r="F1542" i="1"/>
  <c r="G1542" i="1"/>
  <c r="H1542" i="1"/>
  <c r="I1542" i="1"/>
  <c r="J1542" i="1"/>
  <c r="K1542" i="1"/>
  <c r="F1543" i="1"/>
  <c r="G1543" i="1"/>
  <c r="H1543" i="1"/>
  <c r="I1543" i="1"/>
  <c r="J1543" i="1"/>
  <c r="K1543" i="1"/>
  <c r="F1544" i="1"/>
  <c r="G1544" i="1"/>
  <c r="H1544" i="1"/>
  <c r="I1544" i="1"/>
  <c r="J1544" i="1"/>
  <c r="K1544" i="1"/>
  <c r="F1545" i="1"/>
  <c r="G1545" i="1"/>
  <c r="H1545" i="1"/>
  <c r="I1545" i="1"/>
  <c r="J1545" i="1"/>
  <c r="K1545" i="1"/>
  <c r="F1546" i="1"/>
  <c r="G1546" i="1"/>
  <c r="H1546" i="1"/>
  <c r="I1546" i="1"/>
  <c r="J1546" i="1"/>
  <c r="K1546" i="1"/>
  <c r="F1547" i="1"/>
  <c r="G1547" i="1"/>
  <c r="H1547" i="1"/>
  <c r="I1547" i="1"/>
  <c r="J1547" i="1"/>
  <c r="K1547" i="1"/>
  <c r="F1548" i="1"/>
  <c r="G1548" i="1"/>
  <c r="H1548" i="1"/>
  <c r="I1548" i="1"/>
  <c r="J1548" i="1"/>
  <c r="K1548" i="1"/>
  <c r="F1549" i="1"/>
  <c r="G1549" i="1"/>
  <c r="H1549" i="1"/>
  <c r="I1549" i="1"/>
  <c r="J1549" i="1"/>
  <c r="K1549" i="1"/>
  <c r="F1550" i="1"/>
  <c r="G1550" i="1"/>
  <c r="H1550" i="1"/>
  <c r="I1550" i="1"/>
  <c r="J1550" i="1"/>
  <c r="K1550" i="1"/>
  <c r="F1551" i="1"/>
  <c r="G1551" i="1"/>
  <c r="H1551" i="1"/>
  <c r="I1551" i="1"/>
  <c r="J1551" i="1"/>
  <c r="K1551" i="1"/>
  <c r="F1552" i="1"/>
  <c r="G1552" i="1"/>
  <c r="H1552" i="1"/>
  <c r="I1552" i="1"/>
  <c r="J1552" i="1"/>
  <c r="K1552" i="1"/>
  <c r="F1553" i="1"/>
  <c r="G1553" i="1"/>
  <c r="H1553" i="1"/>
  <c r="I1553" i="1"/>
  <c r="J1553" i="1"/>
  <c r="K1553" i="1"/>
  <c r="F1554" i="1"/>
  <c r="G1554" i="1"/>
  <c r="H1554" i="1"/>
  <c r="I1554" i="1"/>
  <c r="J1554" i="1"/>
  <c r="K1554" i="1"/>
  <c r="F1555" i="1"/>
  <c r="G1555" i="1"/>
  <c r="H1555" i="1"/>
  <c r="I1555" i="1"/>
  <c r="J1555" i="1"/>
  <c r="K1555" i="1"/>
  <c r="F1556" i="1"/>
  <c r="G1556" i="1"/>
  <c r="H1556" i="1"/>
  <c r="I1556" i="1"/>
  <c r="J1556" i="1"/>
  <c r="K1556" i="1"/>
  <c r="F1557" i="1"/>
  <c r="G1557" i="1"/>
  <c r="H1557" i="1"/>
  <c r="I1557" i="1"/>
  <c r="J1557" i="1"/>
  <c r="K1557" i="1"/>
  <c r="F1558" i="1"/>
  <c r="G1558" i="1"/>
  <c r="H1558" i="1"/>
  <c r="I1558" i="1"/>
  <c r="J1558" i="1"/>
  <c r="K1558" i="1"/>
  <c r="F1559" i="1"/>
  <c r="G1559" i="1"/>
  <c r="H1559" i="1"/>
  <c r="I1559" i="1"/>
  <c r="J1559" i="1"/>
  <c r="K1559" i="1"/>
  <c r="F1560" i="1"/>
  <c r="G1560" i="1"/>
  <c r="H1560" i="1"/>
  <c r="I1560" i="1"/>
  <c r="J1560" i="1"/>
  <c r="K1560" i="1"/>
  <c r="F1561" i="1"/>
  <c r="G1561" i="1"/>
  <c r="H1561" i="1"/>
  <c r="I1561" i="1"/>
  <c r="J1561" i="1"/>
  <c r="K1561" i="1"/>
  <c r="F1562" i="1"/>
  <c r="G1562" i="1"/>
  <c r="H1562" i="1"/>
  <c r="I1562" i="1"/>
  <c r="J1562" i="1"/>
  <c r="K1562" i="1"/>
  <c r="F1563" i="1"/>
  <c r="G1563" i="1"/>
  <c r="H1563" i="1"/>
  <c r="I1563" i="1"/>
  <c r="J1563" i="1"/>
  <c r="K1563" i="1"/>
  <c r="F1564" i="1"/>
  <c r="G1564" i="1"/>
  <c r="H1564" i="1"/>
  <c r="I1564" i="1"/>
  <c r="J1564" i="1"/>
  <c r="K1564" i="1"/>
  <c r="F1565" i="1"/>
  <c r="G1565" i="1"/>
  <c r="H1565" i="1"/>
  <c r="I1565" i="1"/>
  <c r="J1565" i="1"/>
  <c r="K1565" i="1"/>
  <c r="E1526" i="1" a="1"/>
  <c r="E1527" i="1" s="1"/>
  <c r="F1522" i="1"/>
  <c r="K1520" i="1"/>
  <c r="K1519" i="1"/>
  <c r="K266" i="1"/>
  <c r="F266" i="1"/>
  <c r="K265" i="1"/>
  <c r="K200" i="1"/>
  <c r="F200" i="1"/>
  <c r="K199" i="1"/>
  <c r="K1388" i="1"/>
  <c r="F1388" i="1"/>
  <c r="K1387" i="1"/>
  <c r="B1160" i="1"/>
  <c r="B1159" i="1"/>
  <c r="B1158" i="1"/>
  <c r="B1157" i="1"/>
  <c r="J1156" i="1"/>
  <c r="I1156" i="1"/>
  <c r="H1156" i="1"/>
  <c r="G1156" i="1"/>
  <c r="F1156" i="1"/>
  <c r="E1156" i="1"/>
  <c r="D1156" i="1"/>
  <c r="C1156" i="1"/>
  <c r="V1155" i="1"/>
  <c r="J1154" i="1" s="1"/>
  <c r="H1145" i="1"/>
  <c r="H1144" i="1"/>
  <c r="F1144" i="1"/>
  <c r="H1142" i="1"/>
  <c r="G1142" i="1"/>
  <c r="F1142" i="1"/>
  <c r="E1142" i="1"/>
  <c r="D1142" i="1"/>
  <c r="C1142" i="1"/>
  <c r="H1141" i="1"/>
  <c r="G1141" i="1"/>
  <c r="F1141" i="1"/>
  <c r="E1141" i="1"/>
  <c r="D1141" i="1"/>
  <c r="C1141" i="1"/>
  <c r="H1140" i="1"/>
  <c r="G1140" i="1"/>
  <c r="F1140" i="1"/>
  <c r="E1140" i="1"/>
  <c r="D1140" i="1"/>
  <c r="C1140" i="1"/>
  <c r="H1139" i="1"/>
  <c r="G1139" i="1"/>
  <c r="F1139" i="1"/>
  <c r="E1139" i="1"/>
  <c r="D1139" i="1"/>
  <c r="C1139" i="1"/>
  <c r="H1138" i="1"/>
  <c r="G1138" i="1"/>
  <c r="F1138" i="1"/>
  <c r="E1138" i="1"/>
  <c r="D1138" i="1"/>
  <c r="C1138" i="1"/>
  <c r="H1137" i="1"/>
  <c r="G1137" i="1"/>
  <c r="F1137" i="1"/>
  <c r="E1137" i="1"/>
  <c r="D1137" i="1"/>
  <c r="C1137" i="1"/>
  <c r="U1135" i="1"/>
  <c r="I1135" i="1" s="1"/>
  <c r="I1129" i="1"/>
  <c r="C1128" i="1"/>
  <c r="K1124" i="1"/>
  <c r="F1124" i="1"/>
  <c r="K1123" i="1"/>
  <c r="J1094" i="1"/>
  <c r="H1094" i="1"/>
  <c r="F1094" i="1"/>
  <c r="B1094" i="1"/>
  <c r="J1093" i="1"/>
  <c r="H1093" i="1"/>
  <c r="D1093" i="1"/>
  <c r="B1093" i="1"/>
  <c r="J1092" i="1"/>
  <c r="H1092" i="1"/>
  <c r="F1092" i="1"/>
  <c r="D1092" i="1"/>
  <c r="B1092" i="1"/>
  <c r="H1091" i="1"/>
  <c r="F1091" i="1"/>
  <c r="D1091" i="1"/>
  <c r="B1091" i="1"/>
  <c r="V1091" i="1"/>
  <c r="J1090" i="1" s="1"/>
  <c r="T1091" i="1"/>
  <c r="H1090" i="1" s="1"/>
  <c r="R1091" i="1"/>
  <c r="F1090" i="1" s="1"/>
  <c r="P1091" i="1"/>
  <c r="D1090" i="1" s="1"/>
  <c r="H1076" i="1"/>
  <c r="G1076" i="1"/>
  <c r="F1076" i="1"/>
  <c r="E1076" i="1"/>
  <c r="D1076" i="1"/>
  <c r="C1076" i="1"/>
  <c r="H1075" i="1"/>
  <c r="G1075" i="1"/>
  <c r="F1075" i="1"/>
  <c r="E1075" i="1"/>
  <c r="D1075" i="1"/>
  <c r="C1075" i="1"/>
  <c r="H1074" i="1"/>
  <c r="G1074" i="1"/>
  <c r="F1074" i="1"/>
  <c r="E1074" i="1"/>
  <c r="D1074" i="1"/>
  <c r="C1074" i="1"/>
  <c r="H1073" i="1"/>
  <c r="G1073" i="1"/>
  <c r="F1073" i="1"/>
  <c r="E1073" i="1"/>
  <c r="D1073" i="1"/>
  <c r="C1073" i="1"/>
  <c r="H1072" i="1"/>
  <c r="G1072" i="1"/>
  <c r="D1072" i="1"/>
  <c r="C1072" i="1"/>
  <c r="H1071" i="1"/>
  <c r="G1071" i="1"/>
  <c r="F1071" i="1"/>
  <c r="E1071" i="1"/>
  <c r="D1071" i="1"/>
  <c r="C1071" i="1"/>
  <c r="I1063" i="1"/>
  <c r="K1058" i="1"/>
  <c r="F1058" i="1"/>
  <c r="K1057" i="1"/>
  <c r="J1014" i="1"/>
  <c r="H1011" i="1"/>
  <c r="F1011" i="1"/>
  <c r="H1010" i="1"/>
  <c r="F1010" i="1"/>
  <c r="H1009" i="1"/>
  <c r="F1009" i="1"/>
  <c r="H1008" i="1"/>
  <c r="F1008" i="1"/>
  <c r="T1007" i="1"/>
  <c r="I1007" i="1" s="1"/>
  <c r="H1007" i="1"/>
  <c r="R1007" i="1"/>
  <c r="G1007" i="1" s="1"/>
  <c r="F1007" i="1"/>
  <c r="H1006" i="1"/>
  <c r="F1006" i="1"/>
  <c r="H1005" i="1"/>
  <c r="F1005" i="1"/>
  <c r="H1004" i="1"/>
  <c r="F1004" i="1"/>
  <c r="H1003" i="1"/>
  <c r="F1003" i="1"/>
  <c r="H1002" i="1"/>
  <c r="F1002" i="1"/>
  <c r="F995" i="1"/>
  <c r="K992" i="1"/>
  <c r="F992" i="1"/>
  <c r="K991" i="1"/>
  <c r="H951" i="1"/>
  <c r="G951" i="1"/>
  <c r="H950" i="1"/>
  <c r="H949" i="1"/>
  <c r="H948" i="1"/>
  <c r="H944" i="1"/>
  <c r="H945" i="1"/>
  <c r="H946" i="1"/>
  <c r="H947" i="1"/>
  <c r="J947" i="1"/>
  <c r="E942" i="1"/>
  <c r="D942" i="1"/>
  <c r="C942" i="1"/>
  <c r="E941" i="1"/>
  <c r="D941" i="1"/>
  <c r="C941" i="1"/>
  <c r="D938" i="1"/>
  <c r="N933" i="1"/>
  <c r="E933" i="1" s="1"/>
  <c r="D932" i="1"/>
  <c r="K926" i="1"/>
  <c r="F926" i="1"/>
  <c r="K925" i="1"/>
  <c r="K920" i="1"/>
  <c r="K108" i="1" s="1"/>
  <c r="J920" i="1"/>
  <c r="J108" i="1" s="1"/>
  <c r="K919" i="1"/>
  <c r="J919" i="1"/>
  <c r="K918" i="1"/>
  <c r="J918" i="1"/>
  <c r="K917" i="1"/>
  <c r="J917" i="1"/>
  <c r="K916" i="1"/>
  <c r="J916" i="1"/>
  <c r="K915" i="1"/>
  <c r="J915" i="1"/>
  <c r="F889" i="1"/>
  <c r="F888" i="1"/>
  <c r="F887" i="1"/>
  <c r="F886" i="1"/>
  <c r="F885" i="1"/>
  <c r="G882" i="1"/>
  <c r="F874" i="1"/>
  <c r="F873" i="1"/>
  <c r="F872" i="1"/>
  <c r="F871" i="1"/>
  <c r="F870" i="1"/>
  <c r="E870" i="1"/>
  <c r="G867" i="1"/>
  <c r="K860" i="1"/>
  <c r="F860" i="1"/>
  <c r="K859" i="1"/>
  <c r="R818" i="1"/>
  <c r="D823" i="1" s="1"/>
  <c r="C823" i="1"/>
  <c r="B823" i="1"/>
  <c r="R817" i="1"/>
  <c r="C822" i="1"/>
  <c r="B822" i="1"/>
  <c r="R816" i="1"/>
  <c r="D821" i="1" s="1"/>
  <c r="C821" i="1"/>
  <c r="B821" i="1"/>
  <c r="R815" i="1"/>
  <c r="D820" i="1" s="1"/>
  <c r="C820" i="1"/>
  <c r="B820" i="1"/>
  <c r="C819" i="1"/>
  <c r="C818" i="1"/>
  <c r="C817" i="1"/>
  <c r="C816" i="1"/>
  <c r="C815" i="1"/>
  <c r="J814" i="1"/>
  <c r="C814" i="1"/>
  <c r="N739" i="1"/>
  <c r="K807" i="1" s="1"/>
  <c r="E738" i="1"/>
  <c r="N808" i="1"/>
  <c r="E807" i="1" s="1"/>
  <c r="G800" i="1"/>
  <c r="F794" i="1"/>
  <c r="K794" i="1"/>
  <c r="K793" i="1"/>
  <c r="I741" i="1"/>
  <c r="N758" i="1"/>
  <c r="J738" i="1" s="1"/>
  <c r="F728" i="1"/>
  <c r="K728" i="1"/>
  <c r="K727" i="1"/>
  <c r="G712" i="1"/>
  <c r="H712" i="1"/>
  <c r="B712" i="1"/>
  <c r="C712" i="1"/>
  <c r="B713" i="1"/>
  <c r="C713" i="1"/>
  <c r="B714" i="1"/>
  <c r="C714" i="1"/>
  <c r="D714" i="1"/>
  <c r="D713" i="1"/>
  <c r="I712" i="1"/>
  <c r="D712" i="1"/>
  <c r="I711" i="1"/>
  <c r="D711" i="1"/>
  <c r="I710" i="1"/>
  <c r="D710" i="1"/>
  <c r="I709" i="1"/>
  <c r="D709" i="1"/>
  <c r="I708" i="1"/>
  <c r="D708" i="1"/>
  <c r="I707" i="1"/>
  <c r="D707" i="1"/>
  <c r="I699" i="1"/>
  <c r="D699" i="1"/>
  <c r="J679" i="1"/>
  <c r="I677" i="1"/>
  <c r="D676" i="1"/>
  <c r="D674" i="1"/>
  <c r="I672" i="1"/>
  <c r="D669" i="1"/>
  <c r="M667" i="1"/>
  <c r="B669" i="1" s="1"/>
  <c r="K662" i="1"/>
  <c r="F662" i="1"/>
  <c r="K661" i="1"/>
  <c r="K641" i="1"/>
  <c r="B636" i="1"/>
  <c r="E635" i="1"/>
  <c r="C635" i="1"/>
  <c r="F620" i="1"/>
  <c r="I616" i="1"/>
  <c r="G17" i="3" s="1"/>
  <c r="H616" i="1"/>
  <c r="F17" i="3" s="1"/>
  <c r="G616" i="1"/>
  <c r="E17" i="3" s="1"/>
  <c r="F616" i="1"/>
  <c r="D17" i="3" s="1"/>
  <c r="I615" i="1"/>
  <c r="G16" i="3" s="1"/>
  <c r="H615" i="1"/>
  <c r="F16" i="3" s="1"/>
  <c r="G615" i="1"/>
  <c r="E16" i="3" s="1"/>
  <c r="F615" i="1"/>
  <c r="D16" i="3" s="1"/>
  <c r="C614" i="1"/>
  <c r="H613" i="1"/>
  <c r="F613" i="1"/>
  <c r="D613" i="1"/>
  <c r="C608" i="1"/>
  <c r="C607" i="1"/>
  <c r="C604" i="1"/>
  <c r="K596" i="1"/>
  <c r="F596" i="1"/>
  <c r="K595" i="1"/>
  <c r="K579" i="1"/>
  <c r="D573" i="1"/>
  <c r="B573" i="1"/>
  <c r="F558" i="1"/>
  <c r="G555" i="1"/>
  <c r="G13" i="3" s="1"/>
  <c r="F555" i="1"/>
  <c r="F13" i="3" s="1"/>
  <c r="E555" i="1"/>
  <c r="E13" i="3" s="1"/>
  <c r="D555" i="1"/>
  <c r="D13" i="3" s="1"/>
  <c r="G554" i="1"/>
  <c r="G12" i="3" s="1"/>
  <c r="F554" i="1"/>
  <c r="F12" i="3" s="1"/>
  <c r="E554" i="1"/>
  <c r="E12" i="3" s="1"/>
  <c r="F552" i="1"/>
  <c r="D552" i="1"/>
  <c r="B552" i="1"/>
  <c r="C547" i="1"/>
  <c r="C546" i="1"/>
  <c r="E537" i="1"/>
  <c r="K530" i="1"/>
  <c r="F530" i="1"/>
  <c r="K529" i="1"/>
  <c r="G504" i="1"/>
  <c r="F504" i="1"/>
  <c r="E504" i="1"/>
  <c r="D504" i="1"/>
  <c r="V494" i="1"/>
  <c r="J494" i="1" s="1"/>
  <c r="J77" i="1" s="1"/>
  <c r="G494" i="1"/>
  <c r="F494" i="1"/>
  <c r="K472" i="1"/>
  <c r="E484" i="1"/>
  <c r="J472" i="1"/>
  <c r="K471" i="1"/>
  <c r="K75" i="1" s="1"/>
  <c r="J471" i="1"/>
  <c r="J75" i="1" s="1"/>
  <c r="K470" i="1"/>
  <c r="K74" i="1" s="1"/>
  <c r="J470" i="1"/>
  <c r="J74" i="1" s="1"/>
  <c r="K468" i="1"/>
  <c r="K72" i="1" s="1"/>
  <c r="J468" i="1"/>
  <c r="J72" i="1" s="1"/>
  <c r="K464" i="1"/>
  <c r="K463" i="1"/>
  <c r="F414" i="1"/>
  <c r="D414" i="1"/>
  <c r="B414" i="1"/>
  <c r="E412" i="1"/>
  <c r="C412" i="1"/>
  <c r="F410" i="1"/>
  <c r="D410" i="1"/>
  <c r="B410" i="1"/>
  <c r="E408" i="1"/>
  <c r="C408" i="1"/>
  <c r="F406" i="1"/>
  <c r="B406" i="1"/>
  <c r="U83" i="1"/>
  <c r="I401" i="1" s="1"/>
  <c r="K397" i="1"/>
  <c r="K168" i="1"/>
  <c r="K167" i="1"/>
  <c r="J167" i="1"/>
  <c r="K166" i="1"/>
  <c r="J166" i="1"/>
  <c r="K165" i="1"/>
  <c r="J165" i="1"/>
  <c r="K164" i="1"/>
  <c r="J164" i="1"/>
  <c r="K163" i="1"/>
  <c r="J163" i="1"/>
  <c r="K162" i="1"/>
  <c r="J162" i="1"/>
  <c r="K161" i="1"/>
  <c r="J161" i="1"/>
  <c r="K160" i="1"/>
  <c r="J160" i="1"/>
  <c r="K134" i="1"/>
  <c r="F134" i="1"/>
  <c r="K133" i="1"/>
  <c r="K128" i="1"/>
  <c r="J128" i="1"/>
  <c r="J124" i="1"/>
  <c r="K121" i="1"/>
  <c r="J121" i="1"/>
  <c r="K120" i="1"/>
  <c r="J120" i="1"/>
  <c r="K116" i="1"/>
  <c r="J116" i="1"/>
  <c r="D108" i="1"/>
  <c r="D107" i="1"/>
  <c r="D106" i="1"/>
  <c r="D105" i="1"/>
  <c r="D104" i="1"/>
  <c r="D103" i="1"/>
  <c r="D102" i="1"/>
  <c r="D101" i="1"/>
  <c r="K68" i="1"/>
  <c r="F68" i="1"/>
  <c r="K67" i="1"/>
  <c r="J65" i="1"/>
  <c r="H65" i="1"/>
  <c r="G65" i="1"/>
  <c r="C65" i="1"/>
  <c r="K63" i="1"/>
  <c r="K61" i="1"/>
  <c r="J61" i="1"/>
  <c r="K60" i="1"/>
  <c r="J60" i="1"/>
  <c r="K59" i="1"/>
  <c r="J59" i="1"/>
  <c r="I59" i="1"/>
  <c r="K58" i="1"/>
  <c r="J58" i="1"/>
  <c r="I58" i="1"/>
  <c r="I46" i="1"/>
  <c r="E44" i="1"/>
  <c r="I39" i="1"/>
  <c r="H38" i="1"/>
  <c r="E38" i="1"/>
  <c r="H37" i="1"/>
  <c r="C36" i="1"/>
  <c r="I32" i="1"/>
  <c r="I25" i="1"/>
  <c r="H25" i="1"/>
  <c r="E25" i="1"/>
  <c r="H24" i="1"/>
  <c r="C23" i="1"/>
  <c r="I18" i="1"/>
  <c r="E18" i="1"/>
  <c r="I12" i="1"/>
  <c r="E11" i="1"/>
  <c r="W266" i="1"/>
  <c r="W265" i="1"/>
  <c r="W200" i="1"/>
  <c r="W199" i="1"/>
  <c r="W77" i="1"/>
  <c r="W76" i="1"/>
  <c r="O1435" i="1"/>
  <c r="P1411" i="1"/>
  <c r="P1394" i="1"/>
  <c r="W1388" i="1"/>
  <c r="Q1388" i="1"/>
  <c r="W1387" i="1"/>
  <c r="V1157" i="1"/>
  <c r="T1157" i="1"/>
  <c r="R1157" i="1"/>
  <c r="P1157" i="1"/>
  <c r="T1137" i="1"/>
  <c r="S1137" i="1"/>
  <c r="R1137" i="1"/>
  <c r="P1137" i="1"/>
  <c r="O1137" i="1"/>
  <c r="W1124" i="1"/>
  <c r="Q1124" i="1"/>
  <c r="W1123" i="1"/>
  <c r="S1071" i="1"/>
  <c r="R1071" i="1"/>
  <c r="W1058" i="1"/>
  <c r="Q1058" i="1"/>
  <c r="W1057" i="1"/>
  <c r="V1014" i="1"/>
  <c r="V1013" i="1"/>
  <c r="S1002" i="1"/>
  <c r="Q1002" i="1"/>
  <c r="W992" i="1"/>
  <c r="Q992" i="1"/>
  <c r="W991" i="1"/>
  <c r="S942" i="1"/>
  <c r="S943" i="1" s="1"/>
  <c r="S944" i="1"/>
  <c r="S945" i="1" s="1"/>
  <c r="R942" i="1"/>
  <c r="R943" i="1" s="1"/>
  <c r="R944" i="1"/>
  <c r="R945" i="1" s="1"/>
  <c r="Q942" i="1"/>
  <c r="Q944" i="1"/>
  <c r="O944" i="1" s="1"/>
  <c r="N944" i="1"/>
  <c r="N945" i="1" s="1"/>
  <c r="M945" i="1"/>
  <c r="N942" i="1"/>
  <c r="N943" i="1" s="1"/>
  <c r="M943" i="1"/>
  <c r="W926" i="1"/>
  <c r="R926" i="1"/>
  <c r="W925" i="1"/>
  <c r="N884" i="1"/>
  <c r="N869" i="1"/>
  <c r="W860" i="1"/>
  <c r="R860" i="1"/>
  <c r="W859" i="1"/>
  <c r="Q796" i="1"/>
  <c r="W794" i="1"/>
  <c r="W793" i="1"/>
  <c r="S768" i="1"/>
  <c r="R768" i="1"/>
  <c r="Q768" i="1"/>
  <c r="O768" i="1"/>
  <c r="N768" i="1"/>
  <c r="S767" i="1"/>
  <c r="R767" i="1"/>
  <c r="Q767" i="1"/>
  <c r="O767" i="1"/>
  <c r="N767" i="1"/>
  <c r="S766" i="1"/>
  <c r="R766" i="1"/>
  <c r="Q766" i="1"/>
  <c r="O766" i="1"/>
  <c r="N766" i="1"/>
  <c r="S765" i="1"/>
  <c r="R765" i="1"/>
  <c r="Q765" i="1"/>
  <c r="O765" i="1"/>
  <c r="N765" i="1"/>
  <c r="S764" i="1"/>
  <c r="R764" i="1"/>
  <c r="Q764" i="1"/>
  <c r="O764" i="1"/>
  <c r="N764" i="1"/>
  <c r="S749" i="1"/>
  <c r="R749" i="1"/>
  <c r="Q749" i="1"/>
  <c r="O749" i="1"/>
  <c r="N749" i="1"/>
  <c r="S748" i="1"/>
  <c r="R748" i="1"/>
  <c r="Q748" i="1"/>
  <c r="O748" i="1"/>
  <c r="N748" i="1"/>
  <c r="S747" i="1"/>
  <c r="R747" i="1"/>
  <c r="Q747" i="1"/>
  <c r="O747" i="1"/>
  <c r="N747" i="1"/>
  <c r="S746" i="1"/>
  <c r="R746" i="1"/>
  <c r="Q746" i="1"/>
  <c r="O746" i="1"/>
  <c r="N746" i="1"/>
  <c r="S745" i="1"/>
  <c r="R745" i="1"/>
  <c r="Q745" i="1"/>
  <c r="O745" i="1"/>
  <c r="N745" i="1"/>
  <c r="R729" i="1"/>
  <c r="W728" i="1"/>
  <c r="W727" i="1"/>
  <c r="O717" i="1"/>
  <c r="O701" i="1"/>
  <c r="O700" i="1"/>
  <c r="O699" i="1"/>
  <c r="W662" i="1"/>
  <c r="Q662" i="1"/>
  <c r="W661" i="1"/>
  <c r="M638" i="1"/>
  <c r="P637" i="1"/>
  <c r="N637" i="1"/>
  <c r="R620" i="1"/>
  <c r="R614" i="1"/>
  <c r="P614" i="1"/>
  <c r="N614" i="1"/>
  <c r="Q607" i="1"/>
  <c r="W596" i="1"/>
  <c r="R596" i="1"/>
  <c r="W595" i="1"/>
  <c r="P573" i="1"/>
  <c r="R558" i="1"/>
  <c r="Q552" i="1"/>
  <c r="O552" i="1"/>
  <c r="Q546" i="1"/>
  <c r="W530" i="1"/>
  <c r="R530" i="1"/>
  <c r="W529" i="1"/>
  <c r="W464" i="1"/>
  <c r="R464" i="1"/>
  <c r="W463" i="1"/>
  <c r="R49" i="1"/>
  <c r="R8" i="1"/>
  <c r="P5" i="1"/>
  <c r="Q3" i="1"/>
  <c r="Q2" i="1"/>
  <c r="D554" i="1"/>
  <c r="D12" i="3" s="1"/>
  <c r="E1560" i="1"/>
  <c r="E1550" i="1"/>
  <c r="H1628" i="1"/>
  <c r="G1607" i="1"/>
  <c r="H1596" i="1"/>
  <c r="F1595" i="1"/>
  <c r="H1597" i="1"/>
  <c r="G1600" i="1"/>
  <c r="H1605" i="1"/>
  <c r="G1608" i="1"/>
  <c r="F1611" i="1"/>
  <c r="G1616" i="1"/>
  <c r="F1619" i="1"/>
  <c r="H1621" i="1"/>
  <c r="F1627" i="1"/>
  <c r="H1629" i="1"/>
  <c r="F1593" i="1"/>
  <c r="G1598" i="1"/>
  <c r="F1601" i="1"/>
  <c r="H1603" i="1"/>
  <c r="F1609" i="1"/>
  <c r="H1611" i="1"/>
  <c r="G1614" i="1"/>
  <c r="H1619" i="1"/>
  <c r="G1622" i="1"/>
  <c r="F1625" i="1"/>
  <c r="G1630" i="1"/>
  <c r="E1499" i="1"/>
  <c r="E1473" i="1"/>
  <c r="K1485" i="1"/>
  <c r="E1691" i="1"/>
  <c r="E1683" i="1"/>
  <c r="E1675" i="1"/>
  <c r="E1667" i="1"/>
  <c r="E1480" i="1"/>
  <c r="E1484" i="1"/>
  <c r="R1130" i="1"/>
  <c r="E1129" i="1" s="1"/>
  <c r="AD183" i="1"/>
  <c r="AC183" i="1" s="1"/>
  <c r="C1105" i="1"/>
  <c r="AD454" i="1"/>
  <c r="AC454" i="1" s="1"/>
  <c r="AD474" i="1"/>
  <c r="AC474" i="1" s="1"/>
  <c r="G944" i="1" l="1"/>
  <c r="J712" i="1"/>
  <c r="E1496" i="1"/>
  <c r="E1478" i="1"/>
  <c r="Q1079" i="1"/>
  <c r="E1079" i="1" s="1"/>
  <c r="K1494" i="1"/>
  <c r="E1472" i="1"/>
  <c r="E1488" i="1"/>
  <c r="E1468" i="1"/>
  <c r="E712" i="1"/>
  <c r="E1072" i="1"/>
  <c r="O836" i="1"/>
  <c r="C833" i="1" s="1"/>
  <c r="O780" i="1"/>
  <c r="C771" i="1" s="1"/>
  <c r="E713" i="1"/>
  <c r="K1483" i="1"/>
  <c r="E714" i="1"/>
  <c r="K55" i="1"/>
  <c r="J126" i="1"/>
  <c r="S1433" i="1"/>
  <c r="O913" i="1"/>
  <c r="J913" i="1"/>
  <c r="J101" i="1" s="1"/>
  <c r="K104" i="1"/>
  <c r="K106" i="1"/>
  <c r="AC209" i="1"/>
  <c r="J56" i="1"/>
  <c r="O59" i="1"/>
  <c r="U1432" i="1"/>
  <c r="I45" i="1"/>
  <c r="J122" i="1"/>
  <c r="D616" i="1"/>
  <c r="B17" i="3" s="1"/>
  <c r="J103" i="1"/>
  <c r="O64" i="1"/>
  <c r="O799" i="1"/>
  <c r="O863" i="1"/>
  <c r="O914" i="1"/>
  <c r="O1433" i="1"/>
  <c r="O1436" i="1"/>
  <c r="I24" i="1"/>
  <c r="E29" i="1"/>
  <c r="E37" i="1"/>
  <c r="J57" i="1"/>
  <c r="J62" i="1"/>
  <c r="C66" i="1"/>
  <c r="K122" i="1"/>
  <c r="K124" i="1"/>
  <c r="K126" i="1"/>
  <c r="C554" i="1"/>
  <c r="C12" i="3" s="1"/>
  <c r="D733" i="1"/>
  <c r="K913" i="1"/>
  <c r="K101" i="1" s="1"/>
  <c r="K103" i="1"/>
  <c r="J105" i="1"/>
  <c r="J107" i="1"/>
  <c r="C1104" i="1"/>
  <c r="P1155" i="1"/>
  <c r="D1154" i="1" s="1"/>
  <c r="K53" i="1"/>
  <c r="AD14" i="1"/>
  <c r="AC14" i="1" s="1"/>
  <c r="K56" i="1"/>
  <c r="C582" i="1"/>
  <c r="K829" i="1"/>
  <c r="J112" i="1" s="1"/>
  <c r="H829" i="1"/>
  <c r="K111" i="1" s="1"/>
  <c r="O65" i="1"/>
  <c r="O1432" i="1"/>
  <c r="Q1433" i="1"/>
  <c r="O1437" i="1"/>
  <c r="I11" i="1"/>
  <c r="I29" i="1"/>
  <c r="E42" i="1"/>
  <c r="K57" i="1"/>
  <c r="K62" i="1"/>
  <c r="J123" i="1"/>
  <c r="J125" i="1"/>
  <c r="J127" i="1"/>
  <c r="C407" i="1"/>
  <c r="C411" i="1"/>
  <c r="R623" i="1"/>
  <c r="F623" i="1" s="1"/>
  <c r="D863" i="1"/>
  <c r="J914" i="1"/>
  <c r="J102" i="1" s="1"/>
  <c r="J104" i="1"/>
  <c r="K105" i="1"/>
  <c r="K107" i="1"/>
  <c r="P583" i="1"/>
  <c r="Q575" i="1"/>
  <c r="S575" i="1" s="1"/>
  <c r="V575" i="1" s="1"/>
  <c r="J575" i="1" s="1"/>
  <c r="O734" i="1"/>
  <c r="Q1432" i="1"/>
  <c r="O1434" i="1"/>
  <c r="E24" i="1"/>
  <c r="J55" i="1"/>
  <c r="J63" i="1"/>
  <c r="K123" i="1"/>
  <c r="K125" i="1"/>
  <c r="K127" i="1"/>
  <c r="G407" i="1"/>
  <c r="G411" i="1"/>
  <c r="C543" i="1"/>
  <c r="C615" i="1"/>
  <c r="B11" i="3" s="1"/>
  <c r="F677" i="1"/>
  <c r="D797" i="1"/>
  <c r="K914" i="1"/>
  <c r="K102" i="1" s="1"/>
  <c r="J106" i="1"/>
  <c r="S1432" i="1"/>
  <c r="AB51" i="3"/>
  <c r="AB43" i="3"/>
  <c r="K816" i="1"/>
  <c r="AA46" i="3"/>
  <c r="AA48" i="3"/>
  <c r="AA52" i="3"/>
  <c r="AA74" i="3"/>
  <c r="AA76" i="3"/>
  <c r="AA80" i="3"/>
  <c r="AA82" i="3"/>
  <c r="AA84" i="3"/>
  <c r="AA88" i="3"/>
  <c r="AA90" i="3"/>
  <c r="AB89" i="3"/>
  <c r="F818" i="1"/>
  <c r="AA44" i="3"/>
  <c r="AB46" i="3"/>
  <c r="AB48" i="3"/>
  <c r="AB50" i="3"/>
  <c r="AB52" i="3"/>
  <c r="AB54" i="3"/>
  <c r="AB56" i="3"/>
  <c r="AB74" i="3"/>
  <c r="AB76" i="3"/>
  <c r="AB78" i="3"/>
  <c r="AB80" i="3"/>
  <c r="AB82" i="3"/>
  <c r="AB84" i="3"/>
  <c r="AB86" i="3"/>
  <c r="AB88" i="3"/>
  <c r="AB90" i="3"/>
  <c r="AB49" i="3"/>
  <c r="AB42" i="3"/>
  <c r="AA49" i="3"/>
  <c r="AA51" i="3"/>
  <c r="AA57" i="3"/>
  <c r="AA65" i="3"/>
  <c r="D1408" i="1"/>
  <c r="B29" i="3" s="1"/>
  <c r="AB65" i="3"/>
  <c r="N743" i="1"/>
  <c r="B74" i="3"/>
  <c r="B86" i="3"/>
  <c r="B90" i="3"/>
  <c r="E77" i="3"/>
  <c r="E81" i="3"/>
  <c r="E87" i="3"/>
  <c r="E85" i="3"/>
  <c r="B45" i="3"/>
  <c r="B75" i="3"/>
  <c r="B83" i="3"/>
  <c r="B87" i="3"/>
  <c r="O741" i="1"/>
  <c r="O742" i="1" s="1"/>
  <c r="O743" i="1" s="1"/>
  <c r="O744" i="1" s="1"/>
  <c r="N741" i="1"/>
  <c r="E74" i="3"/>
  <c r="E78" i="3"/>
  <c r="D885" i="1"/>
  <c r="N713" i="1"/>
  <c r="B56" i="3"/>
  <c r="B76" i="3"/>
  <c r="B84" i="3"/>
  <c r="G711" i="1"/>
  <c r="J711" i="1" s="1"/>
  <c r="B88" i="3"/>
  <c r="E75" i="3"/>
  <c r="E79" i="3"/>
  <c r="N742" i="1"/>
  <c r="N763" i="1"/>
  <c r="B85" i="3"/>
  <c r="B89" i="3"/>
  <c r="P1090" i="1"/>
  <c r="E76" i="3"/>
  <c r="E80" i="3"/>
  <c r="D887" i="1"/>
  <c r="E86" i="3"/>
  <c r="N810" i="1"/>
  <c r="E82" i="3"/>
  <c r="AD158" i="1"/>
  <c r="AC158" i="1" s="1"/>
  <c r="E672" i="1"/>
  <c r="AD147" i="1"/>
  <c r="AC147" i="1" s="1"/>
  <c r="E615" i="1"/>
  <c r="C16" i="3" s="1"/>
  <c r="D1528" i="1"/>
  <c r="D1539" i="1"/>
  <c r="Q1411" i="1"/>
  <c r="I738" i="1"/>
  <c r="N870" i="1"/>
  <c r="F867" i="1" s="1"/>
  <c r="C699" i="1"/>
  <c r="N700" i="1"/>
  <c r="Q640" i="1"/>
  <c r="F638" i="1" s="1"/>
  <c r="K633" i="1"/>
  <c r="P640" i="1"/>
  <c r="E638" i="1" s="1"/>
  <c r="AB34" i="3"/>
  <c r="AA54" i="3"/>
  <c r="E872" i="1"/>
  <c r="AA56" i="3"/>
  <c r="E874" i="1"/>
  <c r="AA78" i="3"/>
  <c r="AA86" i="3"/>
  <c r="H710" i="1"/>
  <c r="AA92" i="3"/>
  <c r="B818" i="1"/>
  <c r="R1078" i="1"/>
  <c r="F1072" i="1"/>
  <c r="B42" i="3"/>
  <c r="D1542" i="1"/>
  <c r="S622" i="1"/>
  <c r="G622" i="1" s="1"/>
  <c r="M672" i="1"/>
  <c r="B674" i="1" s="1"/>
  <c r="K1465" i="1"/>
  <c r="K1467" i="1"/>
  <c r="K1473" i="1"/>
  <c r="P1146" i="1"/>
  <c r="D1146" i="1" s="1"/>
  <c r="D1145" i="1"/>
  <c r="AD527" i="1"/>
  <c r="AC527" i="1" s="1"/>
  <c r="S1089" i="1"/>
  <c r="G1088" i="1" s="1"/>
  <c r="AD488" i="1"/>
  <c r="AC488" i="1" s="1"/>
  <c r="H123" i="1"/>
  <c r="AD283" i="1"/>
  <c r="AC283" i="1" s="1"/>
  <c r="F407" i="1"/>
  <c r="D1564" i="1"/>
  <c r="B814" i="1"/>
  <c r="B816" i="1"/>
  <c r="E886" i="1"/>
  <c r="E888" i="1"/>
  <c r="K1667" i="1"/>
  <c r="K1696" i="1"/>
  <c r="E1470" i="1"/>
  <c r="E1489" i="1"/>
  <c r="E1460" i="1"/>
  <c r="E1476" i="1"/>
  <c r="E1492" i="1"/>
  <c r="E1483" i="1"/>
  <c r="E1464" i="1"/>
  <c r="H1627" i="1"/>
  <c r="F1617" i="1"/>
  <c r="G1606" i="1"/>
  <c r="H1595" i="1"/>
  <c r="G1624" i="1"/>
  <c r="H1613" i="1"/>
  <c r="F1603" i="1"/>
  <c r="E1528" i="1"/>
  <c r="E31" i="1"/>
  <c r="D406" i="1"/>
  <c r="G408" i="1"/>
  <c r="G412" i="1"/>
  <c r="AA495" i="1"/>
  <c r="C877" i="1"/>
  <c r="K818" i="1"/>
  <c r="B1055" i="1" a="1"/>
  <c r="B1056" i="1" s="1"/>
  <c r="E1465" i="1"/>
  <c r="J586" i="1"/>
  <c r="J87" i="1" s="1"/>
  <c r="R537" i="1"/>
  <c r="AC188" i="1"/>
  <c r="AA200" i="1"/>
  <c r="V1080" i="1"/>
  <c r="V1081" i="1" s="1"/>
  <c r="J1081" i="1" s="1"/>
  <c r="J149" i="1" s="1"/>
  <c r="V1146" i="1"/>
  <c r="G482" i="1"/>
  <c r="G484" i="1"/>
  <c r="G483" i="1"/>
  <c r="AD175" i="1"/>
  <c r="AC175" i="1" s="1"/>
  <c r="D692" i="1"/>
  <c r="AA499" i="1"/>
  <c r="R1079" i="1"/>
  <c r="C683" i="1"/>
  <c r="C879" i="1"/>
  <c r="B593" i="1" a="1"/>
  <c r="B594" i="1" s="1"/>
  <c r="B1121" i="1" a="1"/>
  <c r="B1121" i="1" s="1"/>
  <c r="S560" i="1"/>
  <c r="G560" i="1" s="1"/>
  <c r="M639" i="1"/>
  <c r="N639" i="1" s="1"/>
  <c r="O639" i="1" s="1"/>
  <c r="D637" i="1" s="1"/>
  <c r="C18" i="3" s="1"/>
  <c r="P499" i="1"/>
  <c r="C589" i="1"/>
  <c r="C684" i="1"/>
  <c r="P878" i="1"/>
  <c r="C1169" i="1"/>
  <c r="C710" i="1"/>
  <c r="B263" i="1" a="1"/>
  <c r="C263" i="1" s="1"/>
  <c r="AD535" i="1"/>
  <c r="AC535" i="1" s="1"/>
  <c r="U1068" i="1"/>
  <c r="I1068" i="1" s="1"/>
  <c r="AA491" i="1"/>
  <c r="C498" i="1"/>
  <c r="C590" i="1"/>
  <c r="C685" i="1"/>
  <c r="C1171" i="1"/>
  <c r="K815" i="1"/>
  <c r="P1172" i="1"/>
  <c r="B659" i="1" a="1"/>
  <c r="B660" i="1" s="1"/>
  <c r="AC472" i="1"/>
  <c r="B3" i="3"/>
  <c r="E1495" i="1"/>
  <c r="K1600" i="1"/>
  <c r="K1621" i="1"/>
  <c r="E1612" i="1"/>
  <c r="E1602" i="1"/>
  <c r="E1617" i="1"/>
  <c r="K1630" i="1"/>
  <c r="S828" i="1"/>
  <c r="E1625" i="1"/>
  <c r="E1613" i="1"/>
  <c r="K1622" i="1"/>
  <c r="E1622" i="1"/>
  <c r="E1598" i="1"/>
  <c r="E1608" i="1"/>
  <c r="Q945" i="1"/>
  <c r="O945" i="1" s="1"/>
  <c r="K1609" i="1"/>
  <c r="E1621" i="1"/>
  <c r="K1628" i="1"/>
  <c r="E1618" i="1"/>
  <c r="E1628" i="1"/>
  <c r="E1596" i="1"/>
  <c r="E1631" i="1"/>
  <c r="E1609" i="1"/>
  <c r="E1629" i="1"/>
  <c r="K1616" i="1"/>
  <c r="E1614" i="1"/>
  <c r="E1620" i="1"/>
  <c r="E1592" i="1"/>
  <c r="E1595" i="1"/>
  <c r="B65" i="3"/>
  <c r="C708" i="1"/>
  <c r="AA42" i="3"/>
  <c r="B43" i="3"/>
  <c r="B73" i="3"/>
  <c r="B77" i="3"/>
  <c r="AB44" i="3"/>
  <c r="AA47" i="3"/>
  <c r="E871" i="1"/>
  <c r="AA53" i="3"/>
  <c r="E873" i="1"/>
  <c r="AA55" i="3"/>
  <c r="C711" i="1"/>
  <c r="AA73" i="3"/>
  <c r="AA75" i="3"/>
  <c r="AA77" i="3"/>
  <c r="AA79" i="3"/>
  <c r="E885" i="1"/>
  <c r="AA81" i="3"/>
  <c r="E887" i="1"/>
  <c r="AA83" i="3"/>
  <c r="E889" i="1"/>
  <c r="AA85" i="3"/>
  <c r="H711" i="1"/>
  <c r="AA87" i="3"/>
  <c r="B815" i="1"/>
  <c r="AA89" i="3"/>
  <c r="B817" i="1"/>
  <c r="AA91" i="3"/>
  <c r="B819" i="1"/>
  <c r="AA93" i="3"/>
  <c r="B34" i="3"/>
  <c r="F935" i="1"/>
  <c r="AA45" i="3"/>
  <c r="B44" i="3"/>
  <c r="B78" i="3"/>
  <c r="AA34" i="3"/>
  <c r="AA43" i="3"/>
  <c r="K817" i="1"/>
  <c r="AB45" i="3"/>
  <c r="AB47" i="3"/>
  <c r="G871" i="1"/>
  <c r="AB53" i="3"/>
  <c r="G873" i="1"/>
  <c r="AB55" i="3"/>
  <c r="AB57" i="3"/>
  <c r="AB73" i="3"/>
  <c r="AB75" i="3"/>
  <c r="AB77" i="3"/>
  <c r="AB79" i="3"/>
  <c r="G885" i="1"/>
  <c r="AB81" i="3"/>
  <c r="G887" i="1"/>
  <c r="AB83" i="3"/>
  <c r="G889" i="1"/>
  <c r="AB85" i="3"/>
  <c r="AB87" i="3"/>
  <c r="C57" i="3"/>
  <c r="C75" i="3"/>
  <c r="C87" i="3"/>
  <c r="B57" i="3"/>
  <c r="AA50" i="3"/>
  <c r="C672" i="1"/>
  <c r="G413" i="1"/>
  <c r="E405" i="1"/>
  <c r="C677" i="1"/>
  <c r="G405" i="1"/>
  <c r="B407" i="1"/>
  <c r="F411" i="1"/>
  <c r="N667" i="1"/>
  <c r="C669" i="1" s="1"/>
  <c r="N672" i="1"/>
  <c r="C674" i="1" s="1"/>
  <c r="AA496" i="1"/>
  <c r="C510" i="1"/>
  <c r="H26" i="1"/>
  <c r="C409" i="1"/>
  <c r="C413" i="1"/>
  <c r="G672" i="1"/>
  <c r="G677" i="1"/>
  <c r="AD444" i="1"/>
  <c r="AC444" i="1" s="1"/>
  <c r="I26" i="1"/>
  <c r="F122" i="1"/>
  <c r="C405" i="1"/>
  <c r="D407" i="1"/>
  <c r="G409" i="1"/>
  <c r="B411" i="1"/>
  <c r="E413" i="1"/>
  <c r="T674" i="1"/>
  <c r="H677" i="1" s="1"/>
  <c r="AA492" i="1"/>
  <c r="O721" i="1"/>
  <c r="P722" i="1" s="1"/>
  <c r="C834" i="1"/>
  <c r="C555" i="1"/>
  <c r="C13" i="3" s="1"/>
  <c r="J66" i="1"/>
  <c r="B2" i="3"/>
  <c r="E33" i="1"/>
  <c r="I37" i="1"/>
  <c r="E41" i="1"/>
  <c r="V1398" i="1"/>
  <c r="V1399" i="1" s="1"/>
  <c r="V1400" i="1" s="1"/>
  <c r="V1401" i="1" s="1"/>
  <c r="V1402" i="1" s="1"/>
  <c r="V1403" i="1" s="1"/>
  <c r="V1404" i="1" s="1"/>
  <c r="C835" i="1"/>
  <c r="E46" i="1"/>
  <c r="H122" i="1"/>
  <c r="D672" i="1"/>
  <c r="C1063" i="1"/>
  <c r="O782" i="1"/>
  <c r="C772" i="1" s="1"/>
  <c r="I42" i="1"/>
  <c r="J469" i="1"/>
  <c r="J73" i="1" s="1"/>
  <c r="G543" i="1"/>
  <c r="G604" i="1"/>
  <c r="D615" i="1"/>
  <c r="B16" i="3" s="1"/>
  <c r="R622" i="1"/>
  <c r="F622" i="1" s="1"/>
  <c r="D677" i="1"/>
  <c r="I14" i="1"/>
  <c r="I28" i="1"/>
  <c r="I20" i="1"/>
  <c r="E28" i="1"/>
  <c r="E20" i="1"/>
  <c r="J807" i="1"/>
  <c r="E13" i="1"/>
  <c r="O942" i="1"/>
  <c r="Q943" i="1"/>
  <c r="O943" i="1" s="1"/>
  <c r="C1121" i="1"/>
  <c r="B725" i="1" a="1"/>
  <c r="C726" i="1" s="1"/>
  <c r="B1583" i="1" a="1"/>
  <c r="B1584" i="1" s="1"/>
  <c r="B329" i="1" a="1"/>
  <c r="C329" i="1" s="1"/>
  <c r="B791" i="1" a="1"/>
  <c r="C791" i="1" s="1"/>
  <c r="B1319" i="1" a="1"/>
  <c r="C1319" i="1" s="1"/>
  <c r="B989" i="1" a="1"/>
  <c r="B990" i="1" s="1"/>
  <c r="B1187" i="1" a="1"/>
  <c r="B1188" i="1" s="1"/>
  <c r="B923" i="1" a="1"/>
  <c r="B1451" i="1" a="1"/>
  <c r="C1452" i="1" s="1"/>
  <c r="B1253" i="1" a="1"/>
  <c r="B1254" i="1" s="1"/>
  <c r="B527" i="1" a="1"/>
  <c r="B1385" i="1" a="1"/>
  <c r="B395" i="1" a="1"/>
  <c r="C396" i="1" s="1"/>
  <c r="B1649" i="1" a="1"/>
  <c r="C1649" i="1" s="1"/>
  <c r="B857" i="1" a="1"/>
  <c r="G1593" i="1"/>
  <c r="F1620" i="1"/>
  <c r="F1626" i="1"/>
  <c r="G1615" i="1"/>
  <c r="H1604" i="1"/>
  <c r="G1596" i="1"/>
  <c r="H1601" i="1"/>
  <c r="F1607" i="1"/>
  <c r="G1612" i="1"/>
  <c r="H1617" i="1"/>
  <c r="F1623" i="1"/>
  <c r="G1628" i="1"/>
  <c r="G1594" i="1"/>
  <c r="H1599" i="1"/>
  <c r="F1605" i="1"/>
  <c r="G1610" i="1"/>
  <c r="H1615" i="1"/>
  <c r="F1621" i="1"/>
  <c r="G1626" i="1"/>
  <c r="H1631" i="1"/>
  <c r="G1627" i="1"/>
  <c r="G1623" i="1"/>
  <c r="H1612" i="1"/>
  <c r="F1602" i="1"/>
  <c r="G1631" i="1"/>
  <c r="H1620" i="1"/>
  <c r="F1610" i="1"/>
  <c r="G1599" i="1"/>
  <c r="H1593" i="1"/>
  <c r="F1599" i="1"/>
  <c r="G1604" i="1"/>
  <c r="H1609" i="1"/>
  <c r="F1615" i="1"/>
  <c r="G1620" i="1"/>
  <c r="H1625" i="1"/>
  <c r="F1631" i="1"/>
  <c r="F1597" i="1"/>
  <c r="G1602" i="1"/>
  <c r="H1607" i="1"/>
  <c r="F1613" i="1"/>
  <c r="G1618" i="1"/>
  <c r="H1623" i="1"/>
  <c r="F1629" i="1"/>
  <c r="K1463" i="1"/>
  <c r="K1481" i="1"/>
  <c r="K1488" i="1"/>
  <c r="K1462" i="1"/>
  <c r="K1469" i="1"/>
  <c r="K1489" i="1"/>
  <c r="K1472" i="1"/>
  <c r="B593" i="1"/>
  <c r="C593" i="1"/>
  <c r="E1680" i="1"/>
  <c r="E1658" i="1"/>
  <c r="E1685" i="1"/>
  <c r="E1695" i="1"/>
  <c r="E1679" i="1"/>
  <c r="E1663" i="1"/>
  <c r="E1666" i="1"/>
  <c r="E1688" i="1"/>
  <c r="E1669" i="1"/>
  <c r="E1696" i="1"/>
  <c r="E1687" i="1"/>
  <c r="E1671" i="1"/>
  <c r="D1471" i="1"/>
  <c r="D1472" i="1"/>
  <c r="K1674" i="1"/>
  <c r="I143" i="1"/>
  <c r="J1098" i="1"/>
  <c r="U1100" i="1"/>
  <c r="I1099" i="1" s="1"/>
  <c r="S1098" i="1"/>
  <c r="G1097" i="1" s="1"/>
  <c r="U1164" i="1"/>
  <c r="I1163" i="1" s="1"/>
  <c r="J1164" i="1"/>
  <c r="U1166" i="1"/>
  <c r="I1165" i="1" s="1"/>
  <c r="G710" i="1"/>
  <c r="J710" i="1" s="1"/>
  <c r="F1098" i="1"/>
  <c r="Q1100" i="1"/>
  <c r="E1099" i="1" s="1"/>
  <c r="O1098" i="1"/>
  <c r="D1164" i="1"/>
  <c r="O1166" i="1"/>
  <c r="C1165" i="1" s="1"/>
  <c r="I395" i="1" a="1"/>
  <c r="I395" i="1" s="1"/>
  <c r="E1593" i="1"/>
  <c r="K1693" i="1"/>
  <c r="E1597" i="1"/>
  <c r="K1606" i="1"/>
  <c r="E1630" i="1"/>
  <c r="E1606" i="1"/>
  <c r="E1624" i="1"/>
  <c r="E1604" i="1"/>
  <c r="I1319" i="1" a="1"/>
  <c r="J1319" i="1" s="1"/>
  <c r="E1485" i="1"/>
  <c r="K143" i="1"/>
  <c r="D1098" i="1"/>
  <c r="O1100" i="1"/>
  <c r="C1099" i="1" s="1"/>
  <c r="F1164" i="1"/>
  <c r="Q1166" i="1"/>
  <c r="E1165" i="1" s="1"/>
  <c r="U1098" i="1"/>
  <c r="I1097" i="1" s="1"/>
  <c r="S1164" i="1"/>
  <c r="G1163" i="1" s="1"/>
  <c r="AD121" i="1"/>
  <c r="AC121" i="1" s="1"/>
  <c r="W555" i="1"/>
  <c r="U555" i="1"/>
  <c r="V555" i="1"/>
  <c r="T555" i="1"/>
  <c r="W617" i="1"/>
  <c r="W616" i="1"/>
  <c r="V617" i="1"/>
  <c r="V616" i="1"/>
  <c r="U617" i="1"/>
  <c r="U616" i="1"/>
  <c r="T617" i="1"/>
  <c r="T616" i="1"/>
  <c r="D1551" i="1"/>
  <c r="D1535" i="1"/>
  <c r="D1548" i="1"/>
  <c r="D1563" i="1"/>
  <c r="D1547" i="1"/>
  <c r="D1531" i="1"/>
  <c r="D1532" i="1"/>
  <c r="D1553" i="1"/>
  <c r="D1559" i="1"/>
  <c r="D1543" i="1"/>
  <c r="D1527" i="1"/>
  <c r="D1537" i="1"/>
  <c r="D1558" i="1"/>
  <c r="C709" i="1"/>
  <c r="K1617" i="1"/>
  <c r="K1597" i="1"/>
  <c r="K1626" i="1"/>
  <c r="K1598" i="1"/>
  <c r="K1604" i="1"/>
  <c r="K1601" i="1"/>
  <c r="K1629" i="1"/>
  <c r="K1610" i="1"/>
  <c r="K1620" i="1"/>
  <c r="K1596" i="1"/>
  <c r="E1534" i="1"/>
  <c r="E1544" i="1"/>
  <c r="E1547" i="1"/>
  <c r="K1603" i="1"/>
  <c r="H1598" i="1"/>
  <c r="E1538" i="1"/>
  <c r="E1548" i="1"/>
  <c r="E1554" i="1"/>
  <c r="E1564" i="1"/>
  <c r="E1532" i="1"/>
  <c r="E1537" i="1"/>
  <c r="E1479" i="1"/>
  <c r="H1162" i="1"/>
  <c r="S832" i="1"/>
  <c r="D1463" i="1"/>
  <c r="D1483" i="1"/>
  <c r="D1492" i="1"/>
  <c r="D1465" i="1"/>
  <c r="D1470" i="1"/>
  <c r="D1494" i="1"/>
  <c r="O575" i="1"/>
  <c r="C575" i="1" s="1"/>
  <c r="C14" i="3" s="1"/>
  <c r="P576" i="1"/>
  <c r="D576" i="1" s="1"/>
  <c r="K571" i="1"/>
  <c r="D1486" i="1"/>
  <c r="D1487" i="1"/>
  <c r="D1493" i="1"/>
  <c r="I197" i="1" a="1"/>
  <c r="AD529" i="1"/>
  <c r="AC529" i="1" s="1"/>
  <c r="B1187" i="1"/>
  <c r="I1253" i="1" a="1"/>
  <c r="C857" i="1"/>
  <c r="P575" i="1"/>
  <c r="D575" i="1" s="1"/>
  <c r="N575" i="1"/>
  <c r="B575" i="1" s="1"/>
  <c r="B14" i="3" s="1"/>
  <c r="D1482" i="1"/>
  <c r="D1461" i="1"/>
  <c r="D1499" i="1"/>
  <c r="E1603" i="1"/>
  <c r="E1599" i="1"/>
  <c r="E1623" i="1"/>
  <c r="E1600" i="1"/>
  <c r="E1616" i="1"/>
  <c r="E1594" i="1"/>
  <c r="E1610" i="1"/>
  <c r="E1626" i="1"/>
  <c r="E1605" i="1"/>
  <c r="E1601" i="1"/>
  <c r="E1607" i="1"/>
  <c r="E1627" i="1"/>
  <c r="C770" i="1"/>
  <c r="N701" i="1"/>
  <c r="N699" i="1"/>
  <c r="N885" i="1"/>
  <c r="F882" i="1" s="1"/>
  <c r="D807" i="1"/>
  <c r="Q1394" i="1"/>
  <c r="AD163" i="1"/>
  <c r="AC163" i="1" s="1"/>
  <c r="J672" i="1"/>
  <c r="AD134" i="1"/>
  <c r="AC134" i="1" s="1"/>
  <c r="Q440" i="1"/>
  <c r="AD124" i="1"/>
  <c r="AC124" i="1" s="1"/>
  <c r="K588" i="1"/>
  <c r="K88" i="1" s="1"/>
  <c r="U504" i="1"/>
  <c r="B4" i="3" s="1"/>
  <c r="J506" i="1"/>
  <c r="J78" i="1" s="1"/>
  <c r="R1156" i="1"/>
  <c r="P1176" i="1" s="1"/>
  <c r="B1386" i="1"/>
  <c r="Q576" i="1"/>
  <c r="O576" i="1"/>
  <c r="C576" i="1" s="1"/>
  <c r="C15" i="3" s="1"/>
  <c r="D1498" i="1"/>
  <c r="D1466" i="1"/>
  <c r="D1481" i="1"/>
  <c r="D1477" i="1"/>
  <c r="K76" i="1"/>
  <c r="E1611" i="1"/>
  <c r="AD76" i="1"/>
  <c r="AC76" i="1" s="1"/>
  <c r="I41" i="1"/>
  <c r="AD55" i="1"/>
  <c r="AC55" i="1" s="1"/>
  <c r="I19" i="1"/>
  <c r="AD45" i="1"/>
  <c r="AC45" i="1" s="1"/>
  <c r="E45" i="1"/>
  <c r="AD32" i="1"/>
  <c r="AC32" i="1" s="1"/>
  <c r="E32" i="1"/>
  <c r="AD123" i="1"/>
  <c r="AC123" i="1" s="1"/>
  <c r="D1462" i="1"/>
  <c r="I131" i="1" a="1"/>
  <c r="I131" i="1" s="1"/>
  <c r="I329" i="1" a="1"/>
  <c r="I329" i="1" s="1"/>
  <c r="K1660" i="1"/>
  <c r="K1683" i="1"/>
  <c r="K1672" i="1"/>
  <c r="AD446" i="1"/>
  <c r="AC446" i="1" s="1"/>
  <c r="P825" i="1"/>
  <c r="AD442" i="1"/>
  <c r="AC442" i="1" s="1"/>
  <c r="P752" i="1"/>
  <c r="AD438" i="1"/>
  <c r="AC438" i="1" s="1"/>
  <c r="C654" i="1"/>
  <c r="C653" i="1"/>
  <c r="P657" i="1"/>
  <c r="C489" i="1"/>
  <c r="C488" i="1"/>
  <c r="C490" i="1"/>
  <c r="AD289" i="1"/>
  <c r="AC289" i="1" s="1"/>
  <c r="F413" i="1"/>
  <c r="AD285" i="1"/>
  <c r="AC285" i="1" s="1"/>
  <c r="F409" i="1"/>
  <c r="AD281" i="1"/>
  <c r="AC281" i="1" s="1"/>
  <c r="F405" i="1"/>
  <c r="AD276" i="1"/>
  <c r="AC276" i="1" s="1"/>
  <c r="E411" i="1"/>
  <c r="AD272" i="1"/>
  <c r="AC272" i="1" s="1"/>
  <c r="E407" i="1"/>
  <c r="AD263" i="1"/>
  <c r="AC263" i="1" s="1"/>
  <c r="D409" i="1"/>
  <c r="T1080" i="1"/>
  <c r="H1080" i="1" s="1"/>
  <c r="B1715" i="1" a="1"/>
  <c r="S1080" i="1"/>
  <c r="O1397" i="1"/>
  <c r="U1397" i="1" s="1"/>
  <c r="E1557" i="1"/>
  <c r="K142" i="1"/>
  <c r="O1080" i="1"/>
  <c r="C1080" i="1" s="1"/>
  <c r="O816" i="1"/>
  <c r="N816" i="1"/>
  <c r="D1096" i="1"/>
  <c r="Q816" i="1"/>
  <c r="D889" i="1"/>
  <c r="B1055" i="1"/>
  <c r="B528" i="1"/>
  <c r="C527" i="1"/>
  <c r="B527" i="1"/>
  <c r="C1253" i="1"/>
  <c r="H708" i="1"/>
  <c r="I132" i="1"/>
  <c r="D1689" i="1"/>
  <c r="D1667" i="1"/>
  <c r="D1692" i="1"/>
  <c r="D1694" i="1"/>
  <c r="D1683" i="1"/>
  <c r="D1674" i="1"/>
  <c r="AD113" i="1"/>
  <c r="AC113" i="1" s="1"/>
  <c r="E543" i="1"/>
  <c r="AD107" i="1"/>
  <c r="AC107" i="1" s="1"/>
  <c r="K535" i="1"/>
  <c r="B1526" i="1" a="1"/>
  <c r="D1662" i="1"/>
  <c r="B329" i="1"/>
  <c r="K469" i="1"/>
  <c r="K73" i="1" s="1"/>
  <c r="AD437" i="1"/>
  <c r="AC437" i="1" s="1"/>
  <c r="P647" i="1"/>
  <c r="C645" i="1"/>
  <c r="C646" i="1"/>
  <c r="C644" i="1"/>
  <c r="AD249" i="1"/>
  <c r="AC249" i="1" s="1"/>
  <c r="C406" i="1"/>
  <c r="AD244" i="1"/>
  <c r="AC244" i="1" s="1"/>
  <c r="AA497" i="1"/>
  <c r="B412" i="1"/>
  <c r="AD240" i="1"/>
  <c r="AC240" i="1" s="1"/>
  <c r="AA493" i="1"/>
  <c r="F1459" i="1" a="1"/>
  <c r="H1459" i="1" s="1"/>
  <c r="E937" i="1"/>
  <c r="F749" i="1"/>
  <c r="D937" i="1"/>
  <c r="F748" i="1"/>
  <c r="I263" i="1" a="1"/>
  <c r="I857" i="1" a="1"/>
  <c r="I527" i="1" a="1"/>
  <c r="I1055" i="1" a="1"/>
  <c r="D1669" i="1"/>
  <c r="C1583" i="1"/>
  <c r="C410" i="1"/>
  <c r="B1592" i="1" a="1"/>
  <c r="B1614" i="1" s="1"/>
  <c r="B1658" i="1" a="1"/>
  <c r="B1687" i="1" s="1"/>
  <c r="B1460" i="1" a="1"/>
  <c r="B1480" i="1" s="1"/>
  <c r="P773" i="1"/>
  <c r="M952" i="1"/>
  <c r="AD100" i="1"/>
  <c r="AC100" i="1" s="1"/>
  <c r="P416" i="1"/>
  <c r="AD72" i="1"/>
  <c r="AC72" i="1" s="1"/>
  <c r="I38" i="1"/>
  <c r="Q1146" i="1"/>
  <c r="V1148" i="1"/>
  <c r="U1168" i="1" s="1"/>
  <c r="E1144" i="1"/>
  <c r="K814" i="1"/>
  <c r="G870" i="1"/>
  <c r="G1080" i="1"/>
  <c r="I1583" i="1" a="1"/>
  <c r="I923" i="1" a="1"/>
  <c r="I1187" i="1" a="1"/>
  <c r="I1649" i="1" a="1"/>
  <c r="I593" i="1" a="1"/>
  <c r="I659" i="1" a="1"/>
  <c r="J138" i="1"/>
  <c r="K138" i="1"/>
  <c r="AD453" i="1"/>
  <c r="AC453" i="1" s="1"/>
  <c r="AD449" i="1"/>
  <c r="AC449" i="1" s="1"/>
  <c r="C952" i="1"/>
  <c r="C953" i="1"/>
  <c r="C954" i="1"/>
  <c r="AD441" i="1"/>
  <c r="AC441" i="1" s="1"/>
  <c r="P720" i="1"/>
  <c r="AD433" i="1"/>
  <c r="AC433" i="1" s="1"/>
  <c r="C567" i="1"/>
  <c r="C566" i="1"/>
  <c r="P566" i="1"/>
  <c r="AD279" i="1"/>
  <c r="AC279" i="1" s="1"/>
  <c r="E414" i="1"/>
  <c r="AD275" i="1"/>
  <c r="AC275" i="1" s="1"/>
  <c r="E410" i="1"/>
  <c r="U1134" i="1"/>
  <c r="I1134" i="1" s="1"/>
  <c r="J1253" i="1"/>
  <c r="I1121" i="1" a="1"/>
  <c r="I791" i="1" a="1"/>
  <c r="I1517" i="1" a="1"/>
  <c r="I1385" i="1" a="1"/>
  <c r="I330" i="1"/>
  <c r="J1623" i="1"/>
  <c r="I461" i="1" a="1"/>
  <c r="D1676" i="1"/>
  <c r="I725" i="1" a="1"/>
  <c r="I1715" i="1" a="1"/>
  <c r="D412" i="1"/>
  <c r="C414" i="1"/>
  <c r="K77" i="1"/>
  <c r="D822" i="1"/>
  <c r="Q817" i="1"/>
  <c r="C938" i="1"/>
  <c r="C1078" i="1"/>
  <c r="G1078" i="1"/>
  <c r="O1146" i="1"/>
  <c r="C565" i="1"/>
  <c r="B131" i="1" a="1"/>
  <c r="B197" i="1" a="1"/>
  <c r="B461" i="1" a="1"/>
  <c r="C462" i="1" s="1"/>
  <c r="E1661" i="1"/>
  <c r="E1664" i="1"/>
  <c r="E1677" i="1"/>
  <c r="E1690" i="1"/>
  <c r="U1531" i="1"/>
  <c r="T1531" i="1" s="1"/>
  <c r="U1530" i="1"/>
  <c r="T1530" i="1" s="1"/>
  <c r="AD522" i="1"/>
  <c r="AC522" i="1" s="1"/>
  <c r="R1129" i="1"/>
  <c r="Q1065" i="1"/>
  <c r="E1490" i="1"/>
  <c r="E1463" i="1"/>
  <c r="E1477" i="1"/>
  <c r="E1493" i="1"/>
  <c r="E1467" i="1"/>
  <c r="E1471" i="1"/>
  <c r="E1486" i="1"/>
  <c r="S1146" i="1"/>
  <c r="AD67" i="1"/>
  <c r="AC67" i="1" s="1"/>
  <c r="U1069" i="1"/>
  <c r="I1069" i="1" s="1"/>
  <c r="AD450" i="1"/>
  <c r="AC450" i="1" s="1"/>
  <c r="C1103" i="1"/>
  <c r="AD434" i="1"/>
  <c r="AC434" i="1" s="1"/>
  <c r="C583" i="1"/>
  <c r="AD430" i="1"/>
  <c r="AC430" i="1" s="1"/>
  <c r="P489" i="1"/>
  <c r="P1080" i="1"/>
  <c r="D1080" i="1" s="1"/>
  <c r="F1159" i="1"/>
  <c r="R1146" i="1"/>
  <c r="F1146" i="1" s="1"/>
  <c r="C500" i="1"/>
  <c r="P592" i="1"/>
  <c r="P684" i="1"/>
  <c r="P754" i="1"/>
  <c r="C878" i="1"/>
  <c r="C1170" i="1"/>
  <c r="AD83" i="1"/>
  <c r="AC83" i="1" s="1"/>
  <c r="U542" i="1"/>
  <c r="I543" i="1" s="1"/>
  <c r="AD520" i="1"/>
  <c r="AC520" i="1" s="1"/>
  <c r="J1162" i="1"/>
  <c r="R1127" i="1"/>
  <c r="J1096" i="1"/>
  <c r="B1003" i="1"/>
  <c r="N952" i="1"/>
  <c r="O815" i="1"/>
  <c r="D888" i="1"/>
  <c r="N815" i="1"/>
  <c r="D886" i="1"/>
  <c r="D1162" i="1"/>
  <c r="Q815" i="1"/>
  <c r="H1096" i="1"/>
  <c r="J1613" i="1"/>
  <c r="J1605" i="1"/>
  <c r="J1615" i="1"/>
  <c r="D1697" i="1"/>
  <c r="D1686" i="1"/>
  <c r="D1693" i="1"/>
  <c r="D1661" i="1"/>
  <c r="D1666" i="1"/>
  <c r="D1688" i="1"/>
  <c r="D1672" i="1"/>
  <c r="D1695" i="1"/>
  <c r="D1679" i="1"/>
  <c r="D1663" i="1"/>
  <c r="D1673" i="1"/>
  <c r="J1597" i="1"/>
  <c r="J1607" i="1"/>
  <c r="J1604" i="1"/>
  <c r="D1690" i="1"/>
  <c r="D1659" i="1"/>
  <c r="J1629" i="1"/>
  <c r="D1665" i="1"/>
  <c r="D1678" i="1"/>
  <c r="D1685" i="1"/>
  <c r="D1658" i="1"/>
  <c r="D1684" i="1"/>
  <c r="D1668" i="1"/>
  <c r="D1691" i="1"/>
  <c r="D1675" i="1"/>
  <c r="J1621" i="1"/>
  <c r="J1631" i="1"/>
  <c r="J1599" i="1"/>
  <c r="J1620" i="1"/>
  <c r="D1681" i="1"/>
  <c r="D1670" i="1"/>
  <c r="D1677" i="1"/>
  <c r="D1682" i="1"/>
  <c r="D1696" i="1"/>
  <c r="D1680" i="1"/>
  <c r="D1664" i="1"/>
  <c r="D1687" i="1"/>
  <c r="D1671" i="1"/>
  <c r="B1537" i="1"/>
  <c r="B1556" i="1"/>
  <c r="B1563" i="1"/>
  <c r="B1535" i="1"/>
  <c r="B1551" i="1"/>
  <c r="O817" i="1"/>
  <c r="E1562" i="1"/>
  <c r="E1546" i="1"/>
  <c r="E1530" i="1"/>
  <c r="E1556" i="1"/>
  <c r="E1540" i="1"/>
  <c r="B1562" i="1"/>
  <c r="B1554" i="1"/>
  <c r="B1549" i="1"/>
  <c r="B1544" i="1"/>
  <c r="B1536" i="1"/>
  <c r="B1526" i="1"/>
  <c r="E1563" i="1"/>
  <c r="E1553" i="1"/>
  <c r="E1541" i="1"/>
  <c r="E1531" i="1"/>
  <c r="G1613" i="1"/>
  <c r="B1539" i="1"/>
  <c r="B1559" i="1"/>
  <c r="E1558" i="1"/>
  <c r="E1542" i="1"/>
  <c r="E1526" i="1"/>
  <c r="E1552" i="1"/>
  <c r="E1536" i="1"/>
  <c r="N817" i="1"/>
  <c r="B1561" i="1"/>
  <c r="B1553" i="1"/>
  <c r="B1548" i="1"/>
  <c r="B1542" i="1"/>
  <c r="B1533" i="1"/>
  <c r="B1527" i="1"/>
  <c r="E1561" i="1"/>
  <c r="E1549" i="1"/>
  <c r="E1539" i="1"/>
  <c r="E1529" i="1"/>
  <c r="E1619" i="1"/>
  <c r="F1606" i="1"/>
  <c r="E1491" i="1"/>
  <c r="E1482" i="1"/>
  <c r="E1475" i="1"/>
  <c r="E1469" i="1"/>
  <c r="E1462" i="1"/>
  <c r="E1498" i="1"/>
  <c r="E1487" i="1"/>
  <c r="E1481" i="1"/>
  <c r="E1474" i="1"/>
  <c r="E1466" i="1"/>
  <c r="E1461" i="1"/>
  <c r="B1564" i="1"/>
  <c r="B1557" i="1"/>
  <c r="B1550" i="1"/>
  <c r="B1545" i="1"/>
  <c r="B1538" i="1"/>
  <c r="E1565" i="1"/>
  <c r="E1555" i="1"/>
  <c r="E1545" i="1"/>
  <c r="E1533" i="1"/>
  <c r="J1617" i="1"/>
  <c r="J1601" i="1"/>
  <c r="J1627" i="1"/>
  <c r="J1611" i="1"/>
  <c r="J1595" i="1"/>
  <c r="K1661" i="1"/>
  <c r="K1669" i="1"/>
  <c r="K1675" i="1"/>
  <c r="J1612" i="1"/>
  <c r="J1610" i="1"/>
  <c r="J1600" i="1"/>
  <c r="J1625" i="1"/>
  <c r="J1609" i="1"/>
  <c r="J1593" i="1"/>
  <c r="J1619" i="1"/>
  <c r="J1603" i="1"/>
  <c r="K1682" i="1"/>
  <c r="K1680" i="1"/>
  <c r="K1691" i="1"/>
  <c r="K1663" i="1"/>
  <c r="J1628" i="1"/>
  <c r="K1619" i="1"/>
  <c r="J1594" i="1"/>
  <c r="K1686" i="1"/>
  <c r="J1616" i="1"/>
  <c r="D1490" i="1"/>
  <c r="D1474" i="1"/>
  <c r="D1476" i="1"/>
  <c r="D1497" i="1"/>
  <c r="D1467" i="1"/>
  <c r="D1488" i="1"/>
  <c r="K1478" i="1"/>
  <c r="K1499" i="1"/>
  <c r="K1493" i="1"/>
  <c r="K1477" i="1"/>
  <c r="K1461" i="1"/>
  <c r="K1677" i="1"/>
  <c r="K1690" i="1"/>
  <c r="K1658" i="1"/>
  <c r="K1679" i="1"/>
  <c r="K1659" i="1"/>
  <c r="K1605" i="1"/>
  <c r="K1614" i="1"/>
  <c r="K1594" i="1"/>
  <c r="K1612" i="1"/>
  <c r="I1617" i="1"/>
  <c r="K1623" i="1"/>
  <c r="K1595" i="1"/>
  <c r="K1673" i="1"/>
  <c r="I1601" i="1"/>
  <c r="I1623" i="1"/>
  <c r="I1596" i="1"/>
  <c r="K1611" i="1"/>
  <c r="K1487" i="1"/>
  <c r="F1667" i="1"/>
  <c r="I1677" i="1"/>
  <c r="J1692" i="1"/>
  <c r="H1672" i="1"/>
  <c r="I1663" i="1"/>
  <c r="I1690" i="1"/>
  <c r="H1663" i="1"/>
  <c r="I1662" i="1"/>
  <c r="F1668" i="1"/>
  <c r="H1673" i="1"/>
  <c r="G1679" i="1"/>
  <c r="G1683" i="1"/>
  <c r="J1688" i="1"/>
  <c r="G1695" i="1"/>
  <c r="I1675" i="1"/>
  <c r="J1670" i="1"/>
  <c r="J1666" i="1"/>
  <c r="J1662" i="1"/>
  <c r="F1658" i="1"/>
  <c r="F1697" i="1"/>
  <c r="H1688" i="1"/>
  <c r="J1679" i="1"/>
  <c r="J1672" i="1"/>
  <c r="G1667" i="1"/>
  <c r="H1661" i="1"/>
  <c r="H1682" i="1"/>
  <c r="H1676" i="1"/>
  <c r="F1675" i="1"/>
  <c r="H1658" i="1"/>
  <c r="J1663" i="1"/>
  <c r="F1669" i="1"/>
  <c r="H1675" i="1"/>
  <c r="F1680" i="1"/>
  <c r="F1684" i="1"/>
  <c r="I1689" i="1"/>
  <c r="F1696" i="1"/>
  <c r="F1674" i="1"/>
  <c r="F1670" i="1"/>
  <c r="F1666" i="1"/>
  <c r="G1661" i="1"/>
  <c r="J1694" i="1"/>
  <c r="G1686" i="1"/>
  <c r="J1677" i="1"/>
  <c r="F1672" i="1"/>
  <c r="H1666" i="1"/>
  <c r="J1660" i="1"/>
  <c r="I1660" i="1"/>
  <c r="G1672" i="1"/>
  <c r="H1686" i="1"/>
  <c r="I1667" i="1"/>
  <c r="I1659" i="1"/>
  <c r="F1682" i="1"/>
  <c r="H1669" i="1"/>
  <c r="H1659" i="1"/>
  <c r="J1664" i="1"/>
  <c r="G1671" i="1"/>
  <c r="I1676" i="1"/>
  <c r="J1680" i="1"/>
  <c r="I1685" i="1"/>
  <c r="F1692" i="1"/>
  <c r="G1677" i="1"/>
  <c r="G1673" i="1"/>
  <c r="G1669" i="1"/>
  <c r="H1664" i="1"/>
  <c r="H1660" i="1"/>
  <c r="I1692" i="1"/>
  <c r="G1684" i="1"/>
  <c r="J1675" i="1"/>
  <c r="J1669" i="1"/>
  <c r="G1664" i="1"/>
  <c r="I1658" i="1"/>
  <c r="G1687" i="1"/>
  <c r="I1693" i="1"/>
  <c r="H1696" i="1"/>
  <c r="G1694" i="1"/>
  <c r="G1692" i="1"/>
  <c r="F1690" i="1"/>
  <c r="J1687" i="1"/>
  <c r="J1685" i="1"/>
  <c r="I1683" i="1"/>
  <c r="H1681" i="1"/>
  <c r="H1679" i="1"/>
  <c r="F1677" i="1"/>
  <c r="G1674" i="1"/>
  <c r="H1671" i="1"/>
  <c r="I1668" i="1"/>
  <c r="I1665" i="1"/>
  <c r="F1663" i="1"/>
  <c r="F1660" i="1"/>
  <c r="K1694" i="1"/>
  <c r="K1678" i="1"/>
  <c r="K1665" i="1"/>
  <c r="H1690" i="1"/>
  <c r="J1696" i="1"/>
  <c r="I1612" i="1"/>
  <c r="I1661" i="1"/>
  <c r="J1665" i="1"/>
  <c r="G1670" i="1"/>
  <c r="H1674" i="1"/>
  <c r="H1678" i="1"/>
  <c r="I1681" i="1"/>
  <c r="J1684" i="1"/>
  <c r="F1688" i="1"/>
  <c r="G1691" i="1"/>
  <c r="H1694" i="1"/>
  <c r="I1697" i="1"/>
  <c r="J1674" i="1"/>
  <c r="I1671" i="1"/>
  <c r="H1668" i="1"/>
  <c r="G1665" i="1"/>
  <c r="F1662" i="1"/>
  <c r="J1658" i="1"/>
  <c r="K1593" i="1"/>
  <c r="K1625" i="1"/>
  <c r="K1688" i="1"/>
  <c r="K1666" i="1"/>
  <c r="K1685" i="1"/>
  <c r="K1664" i="1"/>
  <c r="K1687" i="1"/>
  <c r="K1671" i="1"/>
  <c r="K1613" i="1"/>
  <c r="K1618" i="1"/>
  <c r="K1602" i="1"/>
  <c r="K1624" i="1"/>
  <c r="K1608" i="1"/>
  <c r="K1592" i="1"/>
  <c r="I1628" i="1"/>
  <c r="I1607" i="1"/>
  <c r="K1627" i="1"/>
  <c r="K1607" i="1"/>
  <c r="J1695" i="1"/>
  <c r="J1693" i="1"/>
  <c r="I1691" i="1"/>
  <c r="H1689" i="1"/>
  <c r="H1687" i="1"/>
  <c r="G1685" i="1"/>
  <c r="F1683" i="1"/>
  <c r="F1681" i="1"/>
  <c r="J1678" i="1"/>
  <c r="G1676" i="1"/>
  <c r="I1673" i="1"/>
  <c r="I1670" i="1"/>
  <c r="J1667" i="1"/>
  <c r="F1665" i="1"/>
  <c r="G1662" i="1"/>
  <c r="G1659" i="1"/>
  <c r="K1689" i="1"/>
  <c r="K1676" i="1"/>
  <c r="K1662" i="1"/>
  <c r="K1480" i="1"/>
  <c r="H1697" i="1"/>
  <c r="H1695" i="1"/>
  <c r="G1693" i="1"/>
  <c r="F1691" i="1"/>
  <c r="F1689" i="1"/>
  <c r="J1686" i="1"/>
  <c r="I1684" i="1"/>
  <c r="I1682" i="1"/>
  <c r="H1680" i="1"/>
  <c r="G1678" i="1"/>
  <c r="K1474" i="1"/>
  <c r="K1684" i="1"/>
  <c r="K1668" i="1"/>
  <c r="K1495" i="1"/>
  <c r="K1466" i="1"/>
  <c r="B1602" i="1"/>
  <c r="I1631" i="1"/>
  <c r="I1625" i="1"/>
  <c r="I1620" i="1"/>
  <c r="I1615" i="1"/>
  <c r="I1609" i="1"/>
  <c r="I1604" i="1"/>
  <c r="I1599" i="1"/>
  <c r="I1593" i="1"/>
  <c r="G1629" i="1"/>
  <c r="F1622" i="1"/>
  <c r="H1614" i="1"/>
  <c r="F1608" i="1"/>
  <c r="H1600" i="1"/>
  <c r="B1623" i="1"/>
  <c r="I1629" i="1"/>
  <c r="I1624" i="1"/>
  <c r="I1619" i="1"/>
  <c r="I1613" i="1"/>
  <c r="I1608" i="1"/>
  <c r="I1603" i="1"/>
  <c r="I1597" i="1"/>
  <c r="F1594" i="1"/>
  <c r="F1596" i="1"/>
  <c r="F1600" i="1"/>
  <c r="G1603" i="1"/>
  <c r="H1606" i="1"/>
  <c r="H1610" i="1"/>
  <c r="F1614" i="1"/>
  <c r="G1617" i="1"/>
  <c r="G1621" i="1"/>
  <c r="H1624" i="1"/>
  <c r="F1628" i="1"/>
  <c r="H1594" i="1"/>
  <c r="F1598" i="1"/>
  <c r="G1601" i="1"/>
  <c r="G1605" i="1"/>
  <c r="H1608" i="1"/>
  <c r="F1612" i="1"/>
  <c r="F1616" i="1"/>
  <c r="G1619" i="1"/>
  <c r="H1622" i="1"/>
  <c r="H1626" i="1"/>
  <c r="F1630" i="1"/>
  <c r="J1596" i="1"/>
  <c r="J1602" i="1"/>
  <c r="J1614" i="1"/>
  <c r="J1624" i="1"/>
  <c r="J1598" i="1"/>
  <c r="J1608" i="1"/>
  <c r="J1618" i="1"/>
  <c r="J1630" i="1"/>
  <c r="E1693" i="1"/>
  <c r="E1682" i="1"/>
  <c r="E1672" i="1"/>
  <c r="B1609" i="1"/>
  <c r="I1594" i="1"/>
  <c r="I1598" i="1"/>
  <c r="I1602" i="1"/>
  <c r="I1606" i="1"/>
  <c r="I1610" i="1"/>
  <c r="I1614" i="1"/>
  <c r="I1618" i="1"/>
  <c r="I1622" i="1"/>
  <c r="I1626" i="1"/>
  <c r="I1630" i="1"/>
  <c r="G1625" i="1"/>
  <c r="H1618" i="1"/>
  <c r="G1611" i="1"/>
  <c r="F1604" i="1"/>
  <c r="G1597" i="1"/>
  <c r="J1626" i="1"/>
  <c r="E1559" i="1"/>
  <c r="E1551" i="1"/>
  <c r="E1543" i="1"/>
  <c r="E1535" i="1"/>
  <c r="I1627" i="1"/>
  <c r="I1621" i="1"/>
  <c r="I1616" i="1"/>
  <c r="I1611" i="1"/>
  <c r="I1605" i="1"/>
  <c r="I1600" i="1"/>
  <c r="I1595" i="1"/>
  <c r="H1630" i="1"/>
  <c r="F1624" i="1"/>
  <c r="H1616" i="1"/>
  <c r="G1609" i="1"/>
  <c r="H1602" i="1"/>
  <c r="G1595" i="1"/>
  <c r="J1622" i="1"/>
  <c r="E1659" i="1"/>
  <c r="E1662" i="1"/>
  <c r="E1668" i="1"/>
  <c r="E1673" i="1"/>
  <c r="E1678" i="1"/>
  <c r="E1684" i="1"/>
  <c r="E1689" i="1"/>
  <c r="E1694" i="1"/>
  <c r="E1660" i="1"/>
  <c r="E1665" i="1"/>
  <c r="E1670" i="1"/>
  <c r="E1676" i="1"/>
  <c r="E1681" i="1"/>
  <c r="E1686" i="1"/>
  <c r="E1692" i="1"/>
  <c r="E1697" i="1"/>
  <c r="E1497" i="1"/>
  <c r="K1496" i="1"/>
  <c r="K1490" i="1"/>
  <c r="K1482" i="1"/>
  <c r="K1475" i="1"/>
  <c r="K1468" i="1"/>
  <c r="K1460" i="1"/>
  <c r="B1530" i="1"/>
  <c r="K1631" i="1"/>
  <c r="K1615" i="1"/>
  <c r="J1697" i="1"/>
  <c r="I1696" i="1"/>
  <c r="I1695" i="1"/>
  <c r="I1694" i="1"/>
  <c r="H1693" i="1"/>
  <c r="H1692" i="1"/>
  <c r="H1691" i="1"/>
  <c r="G1690" i="1"/>
  <c r="G1689" i="1"/>
  <c r="G1688" i="1"/>
  <c r="F1687" i="1"/>
  <c r="F1686" i="1"/>
  <c r="F1685" i="1"/>
  <c r="J1683" i="1"/>
  <c r="J1682" i="1"/>
  <c r="J1681" i="1"/>
  <c r="I1680" i="1"/>
  <c r="I1679" i="1"/>
  <c r="I1678" i="1"/>
  <c r="H1677" i="1"/>
  <c r="F1676" i="1"/>
  <c r="I1674" i="1"/>
  <c r="F1673" i="1"/>
  <c r="J1671" i="1"/>
  <c r="H1670" i="1"/>
  <c r="J1668" i="1"/>
  <c r="H1667" i="1"/>
  <c r="G1666" i="1"/>
  <c r="I1664" i="1"/>
  <c r="G1663" i="1"/>
  <c r="J1661" i="1"/>
  <c r="G1660" i="1"/>
  <c r="F1659" i="1"/>
  <c r="K1697" i="1"/>
  <c r="K1492" i="1"/>
  <c r="K1486" i="1"/>
  <c r="K1479" i="1"/>
  <c r="K1471" i="1"/>
  <c r="K1464" i="1"/>
  <c r="G1697" i="1"/>
  <c r="G1696" i="1"/>
  <c r="F1695" i="1"/>
  <c r="F1694" i="1"/>
  <c r="F1693" i="1"/>
  <c r="J1691" i="1"/>
  <c r="J1690" i="1"/>
  <c r="J1689" i="1"/>
  <c r="I1688" i="1"/>
  <c r="I1687" i="1"/>
  <c r="I1686" i="1"/>
  <c r="H1685" i="1"/>
  <c r="H1684" i="1"/>
  <c r="H1683" i="1"/>
  <c r="G1682" i="1"/>
  <c r="G1681" i="1"/>
  <c r="G1680" i="1"/>
  <c r="F1679" i="1"/>
  <c r="F1678" i="1"/>
  <c r="J1676" i="1"/>
  <c r="G1675" i="1"/>
  <c r="J1673" i="1"/>
  <c r="I1672" i="1"/>
  <c r="F1671" i="1"/>
  <c r="I1669" i="1"/>
  <c r="G1668" i="1"/>
  <c r="I1666" i="1"/>
  <c r="H1665" i="1"/>
  <c r="F1664" i="1"/>
  <c r="H1662" i="1"/>
  <c r="F1661" i="1"/>
  <c r="J1659" i="1"/>
  <c r="K1692" i="1"/>
  <c r="K1681" i="1"/>
  <c r="K1670" i="1"/>
  <c r="K1498" i="1"/>
  <c r="K1491" i="1"/>
  <c r="K1484" i="1"/>
  <c r="K1476" i="1"/>
  <c r="K1470" i="1"/>
  <c r="B1541" i="1"/>
  <c r="D1561" i="1"/>
  <c r="D1621" i="1"/>
  <c r="D1550" i="1"/>
  <c r="D1623" i="1"/>
  <c r="D1538" i="1"/>
  <c r="D1607" i="1"/>
  <c r="N818" i="1"/>
  <c r="D1605" i="1"/>
  <c r="D1560" i="1"/>
  <c r="D1546" i="1"/>
  <c r="D1533" i="1"/>
  <c r="D1631" i="1"/>
  <c r="D1615" i="1"/>
  <c r="D1599" i="1"/>
  <c r="O818" i="1"/>
  <c r="D1557" i="1"/>
  <c r="D1544" i="1"/>
  <c r="D1530" i="1"/>
  <c r="D1629" i="1"/>
  <c r="D1613" i="1"/>
  <c r="D1597" i="1"/>
  <c r="D1552" i="1"/>
  <c r="D1540" i="1"/>
  <c r="D1529" i="1"/>
  <c r="Q818" i="1"/>
  <c r="K1012" i="1"/>
  <c r="F738" i="1"/>
  <c r="C1163" i="1"/>
  <c r="O833" i="1"/>
  <c r="C832" i="1" s="1"/>
  <c r="Q639" i="1"/>
  <c r="F637" i="1" s="1"/>
  <c r="O1414" i="1"/>
  <c r="C924" i="1"/>
  <c r="P477" i="1"/>
  <c r="AD429" i="1"/>
  <c r="AC429" i="1" s="1"/>
  <c r="C478" i="1"/>
  <c r="C477" i="1"/>
  <c r="AD127" i="1"/>
  <c r="AC127" i="1" s="1"/>
  <c r="J649" i="1"/>
  <c r="J96" i="1" s="1"/>
  <c r="U608" i="1"/>
  <c r="J608" i="1" s="1"/>
  <c r="P598" i="1"/>
  <c r="J633" i="1"/>
  <c r="C1188" i="1"/>
  <c r="V808" i="1"/>
  <c r="C476" i="1"/>
  <c r="C417" i="1"/>
  <c r="P99" i="1"/>
  <c r="C418" i="1"/>
  <c r="AD448" i="1"/>
  <c r="AC448" i="1" s="1"/>
  <c r="C894" i="1"/>
  <c r="C892" i="1"/>
  <c r="AD440" i="1"/>
  <c r="AC440" i="1" s="1"/>
  <c r="O1422" i="1"/>
  <c r="AD436" i="1"/>
  <c r="AC436" i="1" s="1"/>
  <c r="P629" i="1"/>
  <c r="C628" i="1"/>
  <c r="C627" i="1"/>
  <c r="AD432" i="1"/>
  <c r="AC432" i="1" s="1"/>
  <c r="C509" i="1"/>
  <c r="P511" i="1"/>
  <c r="AD274" i="1"/>
  <c r="AC274" i="1" s="1"/>
  <c r="E409" i="1"/>
  <c r="AD265" i="1"/>
  <c r="AC265" i="1" s="1"/>
  <c r="D411" i="1"/>
  <c r="AD118" i="1"/>
  <c r="AC118" i="1" s="1"/>
  <c r="F560" i="1"/>
  <c r="B554" i="1"/>
  <c r="B12" i="3" s="1"/>
  <c r="AD101" i="1"/>
  <c r="AC101" i="1" s="1"/>
  <c r="Q416" i="1"/>
  <c r="AD50" i="1"/>
  <c r="AC50" i="1" s="1"/>
  <c r="I13" i="1"/>
  <c r="AD40" i="1"/>
  <c r="AC40" i="1" s="1"/>
  <c r="E40" i="1"/>
  <c r="AD27" i="1"/>
  <c r="AC27" i="1" s="1"/>
  <c r="E27" i="1"/>
  <c r="AD19" i="1"/>
  <c r="AC19" i="1" s="1"/>
  <c r="E19" i="1"/>
  <c r="AD12" i="1"/>
  <c r="AC12" i="1" s="1"/>
  <c r="E12" i="1"/>
  <c r="AD96" i="1"/>
  <c r="AC96" i="1" s="1"/>
  <c r="M79" i="1"/>
  <c r="J571" i="1"/>
  <c r="K586" i="1"/>
  <c r="K87" i="1" s="1"/>
  <c r="B5" i="3"/>
  <c r="U547" i="1"/>
  <c r="J547" i="1" s="1"/>
  <c r="P532" i="1"/>
  <c r="AD533" i="1"/>
  <c r="AC533" i="1" s="1"/>
  <c r="C1129" i="1"/>
  <c r="S1155" i="1"/>
  <c r="G1154" i="1" s="1"/>
  <c r="AD297" i="1"/>
  <c r="AC297" i="1" s="1"/>
  <c r="G410" i="1"/>
  <c r="AD293" i="1"/>
  <c r="AC293" i="1" s="1"/>
  <c r="G406" i="1"/>
  <c r="AD284" i="1"/>
  <c r="AC284" i="1" s="1"/>
  <c r="F408" i="1"/>
  <c r="AD182" i="1"/>
  <c r="AC182" i="1" s="1"/>
  <c r="Q805" i="1"/>
  <c r="F803" i="1" s="1"/>
  <c r="J812" i="1"/>
  <c r="S808" i="1"/>
  <c r="T827" i="1"/>
  <c r="E812" i="1"/>
  <c r="E803" i="1"/>
  <c r="R826" i="1"/>
  <c r="AD159" i="1"/>
  <c r="AC159" i="1" s="1"/>
  <c r="F672" i="1"/>
  <c r="T669" i="1"/>
  <c r="H672" i="1" s="1"/>
  <c r="C858" i="1"/>
  <c r="E406" i="1"/>
  <c r="K649" i="1"/>
  <c r="K96" i="1" s="1"/>
  <c r="J677" i="1"/>
  <c r="G813" i="1"/>
  <c r="P704" i="1"/>
  <c r="C416" i="1"/>
  <c r="V1414" i="1"/>
  <c r="V1415" i="1" s="1"/>
  <c r="V1416" i="1" s="1"/>
  <c r="V1417" i="1" s="1"/>
  <c r="V1418" i="1" s="1"/>
  <c r="V1419" i="1" s="1"/>
  <c r="AD73" i="1"/>
  <c r="AC73" i="1" s="1"/>
  <c r="H39" i="1"/>
  <c r="J39" i="1"/>
  <c r="AD68" i="1"/>
  <c r="AC68" i="1" s="1"/>
  <c r="N83" i="1"/>
  <c r="C401" i="1" s="1"/>
  <c r="I33" i="1"/>
  <c r="AD523" i="1"/>
  <c r="AC523" i="1" s="1"/>
  <c r="C1006" i="1"/>
  <c r="AD301" i="1"/>
  <c r="AC301" i="1" s="1"/>
  <c r="G414" i="1"/>
  <c r="AD288" i="1"/>
  <c r="AC288" i="1" s="1"/>
  <c r="F412" i="1"/>
  <c r="AD262" i="1"/>
  <c r="AC262" i="1" s="1"/>
  <c r="D408" i="1"/>
  <c r="AD168" i="1"/>
  <c r="AC168" i="1" s="1"/>
  <c r="E677" i="1"/>
  <c r="AD130" i="1"/>
  <c r="AC130" i="1" s="1"/>
  <c r="P440" i="1"/>
  <c r="AD267" i="1"/>
  <c r="AC267" i="1" s="1"/>
  <c r="D413" i="1"/>
  <c r="AD259" i="1"/>
  <c r="AC259" i="1" s="1"/>
  <c r="D405" i="1"/>
  <c r="AD245" i="1"/>
  <c r="AC245" i="1" s="1"/>
  <c r="B413" i="1"/>
  <c r="AA498" i="1"/>
  <c r="AD241" i="1"/>
  <c r="AC241" i="1" s="1"/>
  <c r="B409" i="1"/>
  <c r="AA494" i="1"/>
  <c r="AD237" i="1"/>
  <c r="AC237" i="1" s="1"/>
  <c r="B405" i="1"/>
  <c r="AA490" i="1"/>
  <c r="AD149" i="1"/>
  <c r="AC149" i="1" s="1"/>
  <c r="E616" i="1"/>
  <c r="C17" i="3" s="1"/>
  <c r="S623" i="1"/>
  <c r="G623" i="1" s="1"/>
  <c r="AD143" i="1"/>
  <c r="AC143" i="1" s="1"/>
  <c r="M640" i="1"/>
  <c r="C616" i="1"/>
  <c r="AD137" i="1"/>
  <c r="AC137" i="1" s="1"/>
  <c r="E604" i="1"/>
  <c r="AD120" i="1"/>
  <c r="AC120" i="1" s="1"/>
  <c r="R561" i="1"/>
  <c r="F561" i="1" s="1"/>
  <c r="B555" i="1"/>
  <c r="B13" i="3" s="1"/>
  <c r="AD152" i="1"/>
  <c r="AC152" i="1" s="1"/>
  <c r="J651" i="1"/>
  <c r="J97" i="1" s="1"/>
  <c r="S640" i="1"/>
  <c r="H638" i="1" s="1"/>
  <c r="J588" i="1"/>
  <c r="J88" i="1" s="1"/>
  <c r="U601" i="1"/>
  <c r="AD139" i="1" s="1"/>
  <c r="AC139" i="1" s="1"/>
  <c r="U423" i="1"/>
  <c r="T554" i="1" s="1"/>
  <c r="P639" i="1"/>
  <c r="J756" i="1"/>
  <c r="J757" i="1"/>
  <c r="R1069" i="1"/>
  <c r="F1069" i="1" s="1"/>
  <c r="P1089" i="1"/>
  <c r="D1088" i="1" s="1"/>
  <c r="AD526" i="1"/>
  <c r="AC526" i="1" s="1"/>
  <c r="B1063" i="1"/>
  <c r="J396" i="1"/>
  <c r="J587" i="1"/>
  <c r="D588" i="1" s="1"/>
  <c r="D88" i="1" s="1"/>
  <c r="J650" i="1"/>
  <c r="D1489" i="1"/>
  <c r="D1565" i="1"/>
  <c r="D1554" i="1"/>
  <c r="D1545" i="1"/>
  <c r="D1536" i="1"/>
  <c r="D1526" i="1"/>
  <c r="D1627" i="1"/>
  <c r="D1619" i="1"/>
  <c r="D1611" i="1"/>
  <c r="D1603" i="1"/>
  <c r="D1595" i="1"/>
  <c r="D1479" i="1"/>
  <c r="D1625" i="1"/>
  <c r="D1617" i="1"/>
  <c r="D1609" i="1"/>
  <c r="D1601" i="1"/>
  <c r="D1593" i="1"/>
  <c r="E741" i="1"/>
  <c r="D1468" i="1"/>
  <c r="D1491" i="1"/>
  <c r="D1480" i="1"/>
  <c r="D1469" i="1"/>
  <c r="D1460" i="1"/>
  <c r="D1628" i="1"/>
  <c r="D1624" i="1"/>
  <c r="D1620" i="1"/>
  <c r="D1616" i="1"/>
  <c r="D1612" i="1"/>
  <c r="D1608" i="1"/>
  <c r="D1604" i="1"/>
  <c r="D1600" i="1"/>
  <c r="D1596" i="1"/>
  <c r="D1592" i="1"/>
  <c r="D1496" i="1"/>
  <c r="D1485" i="1"/>
  <c r="D1475" i="1"/>
  <c r="D1464" i="1"/>
  <c r="D1495" i="1"/>
  <c r="D1484" i="1"/>
  <c r="D1473" i="1"/>
  <c r="D1562" i="1"/>
  <c r="D1556" i="1"/>
  <c r="D1549" i="1"/>
  <c r="D1541" i="1"/>
  <c r="D1534" i="1"/>
  <c r="D1630" i="1"/>
  <c r="D1626" i="1"/>
  <c r="D1622" i="1"/>
  <c r="D1618" i="1"/>
  <c r="D1614" i="1"/>
  <c r="D1610" i="1"/>
  <c r="D1606" i="1"/>
  <c r="D1602" i="1"/>
  <c r="D1598" i="1"/>
  <c r="J111" i="1" l="1"/>
  <c r="B1597" i="1"/>
  <c r="B1604" i="1"/>
  <c r="B1631" i="1"/>
  <c r="B1618" i="1"/>
  <c r="B1615" i="1"/>
  <c r="B1601" i="1"/>
  <c r="B1625" i="1"/>
  <c r="B1619" i="1"/>
  <c r="B1608" i="1"/>
  <c r="B1596" i="1"/>
  <c r="B1583" i="1"/>
  <c r="E575" i="1"/>
  <c r="C769" i="1"/>
  <c r="B1253" i="1"/>
  <c r="R640" i="1"/>
  <c r="U640" i="1" s="1"/>
  <c r="J638" i="1" s="1"/>
  <c r="C1254" i="1"/>
  <c r="Q1080" i="1"/>
  <c r="T1081" i="1"/>
  <c r="H1081" i="1" s="1"/>
  <c r="O1398" i="1"/>
  <c r="U1398" i="1" s="1"/>
  <c r="C1055" i="1"/>
  <c r="B1477" i="1"/>
  <c r="J395" i="1"/>
  <c r="C989" i="1"/>
  <c r="B989" i="1"/>
  <c r="I1320" i="1"/>
  <c r="B263" i="1"/>
  <c r="I396" i="1"/>
  <c r="C1056" i="1"/>
  <c r="I1319" i="1"/>
  <c r="B1517" i="1" a="1"/>
  <c r="C889" i="1"/>
  <c r="R808" i="1"/>
  <c r="D813" i="1" s="1"/>
  <c r="R933" i="1"/>
  <c r="H707" i="1"/>
  <c r="C1650" i="1"/>
  <c r="C330" i="1"/>
  <c r="C198" i="1"/>
  <c r="C990" i="1"/>
  <c r="C1584" i="1"/>
  <c r="C792" i="1"/>
  <c r="C132" i="1"/>
  <c r="C528" i="1"/>
  <c r="K112" i="1"/>
  <c r="C594" i="1"/>
  <c r="C1386" i="1"/>
  <c r="C1716" i="1"/>
  <c r="E940" i="1"/>
  <c r="F942" i="1"/>
  <c r="E939" i="1"/>
  <c r="D939" i="1"/>
  <c r="M939" i="1"/>
  <c r="N938" i="1"/>
  <c r="N939" i="1" s="1"/>
  <c r="R940" i="1"/>
  <c r="R941" i="1" s="1"/>
  <c r="Q940" i="1"/>
  <c r="S940" i="1"/>
  <c r="S941" i="1" s="1"/>
  <c r="M941" i="1"/>
  <c r="N940" i="1"/>
  <c r="N941" i="1" s="1"/>
  <c r="AD211" i="1"/>
  <c r="AC211" i="1" s="1"/>
  <c r="C887" i="1"/>
  <c r="N811" i="1"/>
  <c r="S934" i="1"/>
  <c r="S935" i="1" s="1"/>
  <c r="S937" i="1" s="1"/>
  <c r="S938" i="1" s="1"/>
  <c r="S939" i="1" s="1"/>
  <c r="M694" i="1"/>
  <c r="N714" i="1"/>
  <c r="N716" i="1"/>
  <c r="H702" i="1"/>
  <c r="O715" i="1"/>
  <c r="O716" i="1" s="1"/>
  <c r="N715" i="1"/>
  <c r="M697" i="1"/>
  <c r="H745" i="1"/>
  <c r="M696" i="1"/>
  <c r="N744" i="1"/>
  <c r="D808" i="1"/>
  <c r="N762" i="1"/>
  <c r="N761" i="1"/>
  <c r="N760" i="1"/>
  <c r="O760" i="1"/>
  <c r="O761" i="1" s="1"/>
  <c r="O762" i="1" s="1"/>
  <c r="O763" i="1" s="1"/>
  <c r="N717" i="1"/>
  <c r="N886" i="1"/>
  <c r="F816" i="1"/>
  <c r="S830" i="1"/>
  <c r="C774" i="1"/>
  <c r="D934" i="1"/>
  <c r="B264" i="1"/>
  <c r="I756" i="1"/>
  <c r="F1093" i="1"/>
  <c r="F1078" i="1"/>
  <c r="D1407" i="1"/>
  <c r="B28" i="3" s="1"/>
  <c r="C773" i="1"/>
  <c r="C660" i="1"/>
  <c r="C886" i="1"/>
  <c r="B1605" i="1"/>
  <c r="B1627" i="1"/>
  <c r="B1598" i="1"/>
  <c r="B1613" i="1"/>
  <c r="B1610" i="1"/>
  <c r="B1320" i="1"/>
  <c r="B711" i="1"/>
  <c r="E711" i="1" s="1"/>
  <c r="G707" i="1"/>
  <c r="J707" i="1" s="1"/>
  <c r="H699" i="1"/>
  <c r="H709" i="1"/>
  <c r="D745" i="1"/>
  <c r="J808" i="1"/>
  <c r="S1414" i="1" a="1"/>
  <c r="S1416" i="1" s="1"/>
  <c r="W1414" i="1"/>
  <c r="AH1405" i="1" s="1"/>
  <c r="C264" i="1"/>
  <c r="C1122" i="1"/>
  <c r="B1611" i="1"/>
  <c r="B1624" i="1"/>
  <c r="B1592" i="1"/>
  <c r="B1617" i="1"/>
  <c r="K78" i="1"/>
  <c r="B659" i="1"/>
  <c r="J329" i="1"/>
  <c r="R1090" i="1"/>
  <c r="P1110" i="1" s="1"/>
  <c r="B330" i="1"/>
  <c r="B708" i="1"/>
  <c r="E708" i="1" s="1"/>
  <c r="C659" i="1"/>
  <c r="B1122" i="1"/>
  <c r="J330" i="1"/>
  <c r="V1082" i="1"/>
  <c r="J132" i="1"/>
  <c r="J1518" i="1"/>
  <c r="J660" i="1"/>
  <c r="J924" i="1"/>
  <c r="J264" i="1"/>
  <c r="J1386" i="1"/>
  <c r="J462" i="1"/>
  <c r="J198" i="1"/>
  <c r="J1056" i="1"/>
  <c r="J1320" i="1"/>
  <c r="J726" i="1"/>
  <c r="J792" i="1"/>
  <c r="J1650" i="1"/>
  <c r="J528" i="1"/>
  <c r="J858" i="1"/>
  <c r="T1090" i="1"/>
  <c r="R1110" i="1" s="1"/>
  <c r="J1122" i="1"/>
  <c r="J1584" i="1"/>
  <c r="J1254" i="1"/>
  <c r="J1716" i="1"/>
  <c r="J1188" i="1"/>
  <c r="J594" i="1"/>
  <c r="B709" i="1"/>
  <c r="E709" i="1" s="1"/>
  <c r="T1156" i="1"/>
  <c r="H1155" i="1" s="1"/>
  <c r="C637" i="1"/>
  <c r="B18" i="3" s="1"/>
  <c r="B1666" i="1"/>
  <c r="I757" i="1"/>
  <c r="K826" i="1"/>
  <c r="B637" i="1"/>
  <c r="AD115" i="1"/>
  <c r="AC115" i="1" s="1"/>
  <c r="B1665" i="1"/>
  <c r="B1689" i="1"/>
  <c r="B1659" i="1"/>
  <c r="N887" i="1"/>
  <c r="G575" i="1"/>
  <c r="C885" i="1"/>
  <c r="J76" i="1"/>
  <c r="J145" i="1"/>
  <c r="K145" i="1"/>
  <c r="J131" i="1"/>
  <c r="C1187" i="1"/>
  <c r="R1080" i="1"/>
  <c r="F1080" i="1" s="1"/>
  <c r="F1079" i="1"/>
  <c r="I989" i="1" a="1"/>
  <c r="I1451" i="1" a="1"/>
  <c r="K825" i="1"/>
  <c r="G708" i="1"/>
  <c r="J708" i="1" s="1"/>
  <c r="C722" i="1"/>
  <c r="Q1163" i="1"/>
  <c r="E1162" i="1" s="1"/>
  <c r="C723" i="1"/>
  <c r="C721" i="1"/>
  <c r="R576" i="1"/>
  <c r="T576" i="1" s="1"/>
  <c r="N889" i="1"/>
  <c r="U554" i="1"/>
  <c r="B857" i="1"/>
  <c r="B858" i="1"/>
  <c r="C725" i="1"/>
  <c r="B726" i="1"/>
  <c r="B725" i="1"/>
  <c r="B1495" i="1"/>
  <c r="N951" i="1"/>
  <c r="O951" i="1" s="1"/>
  <c r="C1097" i="1"/>
  <c r="B1649" i="1"/>
  <c r="B1650" i="1"/>
  <c r="B395" i="1"/>
  <c r="B396" i="1"/>
  <c r="C395" i="1"/>
  <c r="C1451" i="1"/>
  <c r="B1451" i="1"/>
  <c r="B1452" i="1"/>
  <c r="B1319" i="1"/>
  <c r="C1320" i="1"/>
  <c r="C831" i="1"/>
  <c r="B1497" i="1"/>
  <c r="B1385" i="1"/>
  <c r="C1385" i="1"/>
  <c r="B923" i="1"/>
  <c r="C923" i="1"/>
  <c r="B924" i="1"/>
  <c r="B791" i="1"/>
  <c r="B792" i="1"/>
  <c r="V554" i="1"/>
  <c r="J554" i="1" s="1"/>
  <c r="W554" i="1"/>
  <c r="K554" i="1" s="1"/>
  <c r="F1155" i="1"/>
  <c r="G1479" i="1"/>
  <c r="H937" i="1"/>
  <c r="J1460" i="1"/>
  <c r="F1485" i="1"/>
  <c r="H1460" i="1"/>
  <c r="F1464" i="1"/>
  <c r="F1484" i="1"/>
  <c r="G1484" i="1"/>
  <c r="I1488" i="1"/>
  <c r="G1460" i="1"/>
  <c r="I1462" i="1"/>
  <c r="G1478" i="1"/>
  <c r="G1491" i="1"/>
  <c r="F1463" i="1"/>
  <c r="J1470" i="1"/>
  <c r="G1473" i="1"/>
  <c r="G1467" i="1"/>
  <c r="I1486" i="1"/>
  <c r="I1469" i="1"/>
  <c r="I1495" i="1"/>
  <c r="J1474" i="1"/>
  <c r="F1498" i="1"/>
  <c r="I1471" i="1"/>
  <c r="F1496" i="1"/>
  <c r="J1467" i="1"/>
  <c r="I1470" i="1"/>
  <c r="F1467" i="1"/>
  <c r="H1465" i="1"/>
  <c r="F1474" i="1"/>
  <c r="I1494" i="1"/>
  <c r="J1477" i="1"/>
  <c r="I1461" i="1"/>
  <c r="H1493" i="1"/>
  <c r="G1477" i="1"/>
  <c r="G1470" i="1"/>
  <c r="J1496" i="1"/>
  <c r="F1491" i="1"/>
  <c r="J1482" i="1"/>
  <c r="J1475" i="1"/>
  <c r="J1494" i="1"/>
  <c r="G1496" i="1"/>
  <c r="H1484" i="1"/>
  <c r="I1480" i="1"/>
  <c r="J1495" i="1"/>
  <c r="G1483" i="1"/>
  <c r="P1156" i="1"/>
  <c r="D1155" i="1" s="1"/>
  <c r="V1156" i="1"/>
  <c r="J1155" i="1" s="1"/>
  <c r="J1473" i="1"/>
  <c r="F1481" i="1"/>
  <c r="G1481" i="1"/>
  <c r="F1488" i="1"/>
  <c r="F1477" i="1"/>
  <c r="H1494" i="1"/>
  <c r="J1478" i="1"/>
  <c r="H1480" i="1"/>
  <c r="AD473" i="1"/>
  <c r="AC473" i="1" s="1"/>
  <c r="I504" i="1"/>
  <c r="Q949" i="1"/>
  <c r="R575" i="1"/>
  <c r="F575" i="1" s="1"/>
  <c r="R440" i="1"/>
  <c r="B710" i="1"/>
  <c r="E710" i="1" s="1"/>
  <c r="V1090" i="1"/>
  <c r="B1499" i="1"/>
  <c r="O1399" i="1"/>
  <c r="U1399" i="1" s="1"/>
  <c r="B1716" i="1"/>
  <c r="C1715" i="1"/>
  <c r="B1715" i="1"/>
  <c r="F934" i="1"/>
  <c r="P1081" i="1"/>
  <c r="D1081" i="1" s="1"/>
  <c r="D933" i="1"/>
  <c r="J197" i="1"/>
  <c r="I197" i="1"/>
  <c r="I198" i="1"/>
  <c r="S639" i="1"/>
  <c r="H637" i="1" s="1"/>
  <c r="B1479" i="1"/>
  <c r="B1474" i="1"/>
  <c r="S1081" i="1"/>
  <c r="G1081" i="1" s="1"/>
  <c r="E576" i="1"/>
  <c r="S576" i="1"/>
  <c r="I1253" i="1"/>
  <c r="I1254" i="1"/>
  <c r="J1080" i="1"/>
  <c r="F757" i="1"/>
  <c r="F756" i="1"/>
  <c r="H881" i="1"/>
  <c r="F881" i="1"/>
  <c r="J1148" i="1"/>
  <c r="C830" i="1"/>
  <c r="H1476" i="1"/>
  <c r="G1488" i="1"/>
  <c r="H1466" i="1"/>
  <c r="G1494" i="1"/>
  <c r="G1485" i="1"/>
  <c r="H1495" i="1"/>
  <c r="G1463" i="1"/>
  <c r="G1497" i="1"/>
  <c r="J1472" i="1"/>
  <c r="J1491" i="1"/>
  <c r="F1482" i="1"/>
  <c r="G1492" i="1"/>
  <c r="G1486" i="1"/>
  <c r="F1476" i="1"/>
  <c r="G1487" i="1"/>
  <c r="F1471" i="1"/>
  <c r="J1483" i="1"/>
  <c r="H1471" i="1"/>
  <c r="I1481" i="1"/>
  <c r="I1498" i="1"/>
  <c r="G1495" i="1"/>
  <c r="I1491" i="1"/>
  <c r="I1460" i="1"/>
  <c r="J1463" i="1"/>
  <c r="F1472" i="1"/>
  <c r="F1483" i="1"/>
  <c r="F1462" i="1"/>
  <c r="J1479" i="1"/>
  <c r="F1468" i="1"/>
  <c r="I1479" i="1"/>
  <c r="J1490" i="1"/>
  <c r="F1492" i="1"/>
  <c r="F1459" i="1"/>
  <c r="J1471" i="1"/>
  <c r="I1484" i="1"/>
  <c r="H1497" i="1"/>
  <c r="H1472" i="1"/>
  <c r="I1465" i="1"/>
  <c r="I1482" i="1"/>
  <c r="I1499" i="1"/>
  <c r="J1465" i="1"/>
  <c r="I1477" i="1"/>
  <c r="J1488" i="1"/>
  <c r="H1498" i="1"/>
  <c r="G1464" i="1"/>
  <c r="H1469" i="1"/>
  <c r="G1482" i="1"/>
  <c r="F1495" i="1"/>
  <c r="G1469" i="1"/>
  <c r="H1486" i="1"/>
  <c r="H1462" i="1"/>
  <c r="H1479" i="1"/>
  <c r="H1492" i="1"/>
  <c r="I1492" i="1"/>
  <c r="I1497" i="1"/>
  <c r="H1467" i="1"/>
  <c r="I1478" i="1"/>
  <c r="H1490" i="1"/>
  <c r="F1494" i="1"/>
  <c r="H1461" i="1"/>
  <c r="G1474" i="1"/>
  <c r="F1487" i="1"/>
  <c r="J1499" i="1"/>
  <c r="I1475" i="1"/>
  <c r="J1492" i="1"/>
  <c r="J1485" i="1"/>
  <c r="H1475" i="1"/>
  <c r="I1487" i="1"/>
  <c r="G1493" i="1"/>
  <c r="H1473" i="1"/>
  <c r="J1484" i="1"/>
  <c r="I1476" i="1"/>
  <c r="F1461" i="1"/>
  <c r="H1470" i="1"/>
  <c r="G1471" i="1"/>
  <c r="H1482" i="1"/>
  <c r="I1493" i="1"/>
  <c r="H1483" i="1"/>
  <c r="G1462" i="1"/>
  <c r="F1475" i="1"/>
  <c r="J1487" i="1"/>
  <c r="I1459" i="1"/>
  <c r="J1476" i="1"/>
  <c r="J1493" i="1"/>
  <c r="J1469" i="1"/>
  <c r="J1486" i="1"/>
  <c r="F1499" i="1"/>
  <c r="F1469" i="1"/>
  <c r="G1480" i="1"/>
  <c r="H1491" i="1"/>
  <c r="J1489" i="1"/>
  <c r="J1459" i="1"/>
  <c r="I1472" i="1"/>
  <c r="H1485" i="1"/>
  <c r="G1498" i="1"/>
  <c r="I1473" i="1"/>
  <c r="I1490" i="1"/>
  <c r="I1466" i="1"/>
  <c r="I1483" i="1"/>
  <c r="F1478" i="1"/>
  <c r="J1497" i="1"/>
  <c r="H1487" i="1"/>
  <c r="F1460" i="1"/>
  <c r="F1470" i="1"/>
  <c r="J1481" i="1"/>
  <c r="F1493" i="1"/>
  <c r="I1485" i="1"/>
  <c r="I1464" i="1"/>
  <c r="H1477" i="1"/>
  <c r="G1490" i="1"/>
  <c r="J1462" i="1"/>
  <c r="F1480" i="1"/>
  <c r="F1497" i="1"/>
  <c r="F1473" i="1"/>
  <c r="F1490" i="1"/>
  <c r="J1480" i="1"/>
  <c r="H1489" i="1"/>
  <c r="I1463" i="1"/>
  <c r="J1461" i="1"/>
  <c r="J1466" i="1"/>
  <c r="F1466" i="1"/>
  <c r="G1472" i="1"/>
  <c r="H1463" i="1"/>
  <c r="G1459" i="1"/>
  <c r="R416" i="1"/>
  <c r="S553" i="1" s="1" a="1"/>
  <c r="B707" i="1"/>
  <c r="E707" i="1" s="1"/>
  <c r="B1494" i="1"/>
  <c r="B1463" i="1"/>
  <c r="B1485" i="1"/>
  <c r="B1491" i="1"/>
  <c r="B1483" i="1"/>
  <c r="B1461" i="1"/>
  <c r="B1482" i="1"/>
  <c r="B1460" i="1"/>
  <c r="T1147" i="1"/>
  <c r="H1147" i="1" s="1"/>
  <c r="G1146" i="1"/>
  <c r="S1147" i="1"/>
  <c r="G1147" i="1" s="1"/>
  <c r="T1533" i="1"/>
  <c r="B461" i="1"/>
  <c r="B462" i="1"/>
  <c r="C461" i="1"/>
  <c r="P1147" i="1"/>
  <c r="D1147" i="1" s="1"/>
  <c r="C1146" i="1"/>
  <c r="O1147" i="1"/>
  <c r="C1147" i="1" s="1"/>
  <c r="I725" i="1"/>
  <c r="J725" i="1"/>
  <c r="I726" i="1"/>
  <c r="I1518" i="1"/>
  <c r="I1517" i="1"/>
  <c r="J1517" i="1"/>
  <c r="I1188" i="1"/>
  <c r="I1187" i="1"/>
  <c r="J1187" i="1"/>
  <c r="V1147" i="1"/>
  <c r="J1147" i="1" s="1"/>
  <c r="J1146" i="1"/>
  <c r="I528" i="1"/>
  <c r="J527" i="1"/>
  <c r="I527" i="1"/>
  <c r="W1415" i="1"/>
  <c r="AD528" i="1"/>
  <c r="AC528" i="1" s="1"/>
  <c r="R1068" i="1"/>
  <c r="F1068" i="1" s="1"/>
  <c r="G1063" i="1"/>
  <c r="B198" i="1"/>
  <c r="C197" i="1"/>
  <c r="B197" i="1"/>
  <c r="I659" i="1"/>
  <c r="J659" i="1"/>
  <c r="I660" i="1"/>
  <c r="M954" i="1"/>
  <c r="C940" i="1"/>
  <c r="B1481" i="1"/>
  <c r="B1489" i="1"/>
  <c r="B1475" i="1"/>
  <c r="B1467" i="1"/>
  <c r="B1462" i="1"/>
  <c r="I1468" i="1"/>
  <c r="G1461" i="1"/>
  <c r="H1474" i="1"/>
  <c r="F1479" i="1"/>
  <c r="G1475" i="1"/>
  <c r="F1489" i="1"/>
  <c r="H1468" i="1"/>
  <c r="H1488" i="1"/>
  <c r="G1476" i="1"/>
  <c r="B1471" i="1"/>
  <c r="B1490" i="1"/>
  <c r="B1476" i="1"/>
  <c r="B1493" i="1"/>
  <c r="B1473" i="1"/>
  <c r="B1492" i="1"/>
  <c r="B1472" i="1"/>
  <c r="B1488" i="1"/>
  <c r="B1469" i="1"/>
  <c r="K149" i="1"/>
  <c r="E1080" i="1"/>
  <c r="R1081" i="1"/>
  <c r="F1081" i="1" s="1"/>
  <c r="AD534" i="1"/>
  <c r="AC534" i="1" s="1"/>
  <c r="R1134" i="1"/>
  <c r="F1134" i="1" s="1"/>
  <c r="G1129" i="1"/>
  <c r="C131" i="1"/>
  <c r="B132" i="1"/>
  <c r="B131" i="1"/>
  <c r="J461" i="1"/>
  <c r="I462" i="1"/>
  <c r="I461" i="1"/>
  <c r="J1121" i="1"/>
  <c r="I1122" i="1"/>
  <c r="I1121" i="1"/>
  <c r="J593" i="1"/>
  <c r="I594" i="1"/>
  <c r="I593" i="1"/>
  <c r="I1584" i="1"/>
  <c r="J1583" i="1"/>
  <c r="I1583" i="1"/>
  <c r="Q1178" i="1"/>
  <c r="I1159" i="1"/>
  <c r="E1159" i="1"/>
  <c r="G1159" i="1"/>
  <c r="S1177" i="1"/>
  <c r="T1165" i="1" s="1"/>
  <c r="S1166" i="1" s="1"/>
  <c r="C1159" i="1"/>
  <c r="Q1176" i="1"/>
  <c r="R1163" i="1" s="1"/>
  <c r="Q1164" i="1" s="1"/>
  <c r="B1697" i="1"/>
  <c r="B1693" i="1"/>
  <c r="B1683" i="1"/>
  <c r="B1678" i="1"/>
  <c r="B1660" i="1"/>
  <c r="B1680" i="1"/>
  <c r="B1685" i="1"/>
  <c r="B1675" i="1"/>
  <c r="B1658" i="1"/>
  <c r="B1682" i="1"/>
  <c r="B1664" i="1"/>
  <c r="B1684" i="1"/>
  <c r="B1679" i="1"/>
  <c r="B1667" i="1"/>
  <c r="B1686" i="1"/>
  <c r="B1696" i="1"/>
  <c r="B1676" i="1"/>
  <c r="B1688" i="1"/>
  <c r="B1673" i="1"/>
  <c r="B1681" i="1"/>
  <c r="B1663" i="1"/>
  <c r="B1691" i="1"/>
  <c r="B1674" i="1"/>
  <c r="B1672" i="1"/>
  <c r="B1677" i="1"/>
  <c r="B1694" i="1"/>
  <c r="B1671" i="1"/>
  <c r="B1662" i="1"/>
  <c r="B1669" i="1"/>
  <c r="B1670" i="1"/>
  <c r="B1668" i="1"/>
  <c r="B1690" i="1"/>
  <c r="B1661" i="1"/>
  <c r="B1695" i="1"/>
  <c r="B1692" i="1"/>
  <c r="C707" i="1"/>
  <c r="G709" i="1"/>
  <c r="J709" i="1" s="1"/>
  <c r="I1386" i="1"/>
  <c r="I1385" i="1"/>
  <c r="J1385" i="1"/>
  <c r="I792" i="1"/>
  <c r="I791" i="1"/>
  <c r="J791" i="1"/>
  <c r="I923" i="1"/>
  <c r="I924" i="1"/>
  <c r="J923" i="1"/>
  <c r="R1147" i="1"/>
  <c r="F1147" i="1" s="1"/>
  <c r="E1146" i="1"/>
  <c r="Q1147" i="1"/>
  <c r="E1147" i="1" s="1"/>
  <c r="I858" i="1"/>
  <c r="I857" i="1"/>
  <c r="J857" i="1"/>
  <c r="F817" i="1"/>
  <c r="S831" i="1"/>
  <c r="G1465" i="1"/>
  <c r="H1499" i="1"/>
  <c r="H1481" i="1"/>
  <c r="G1468" i="1"/>
  <c r="H1478" i="1"/>
  <c r="F1486" i="1"/>
  <c r="G1466" i="1"/>
  <c r="F1465" i="1"/>
  <c r="G1499" i="1"/>
  <c r="G1489" i="1"/>
  <c r="J1464" i="1"/>
  <c r="J1498" i="1"/>
  <c r="I1496" i="1"/>
  <c r="H1464" i="1"/>
  <c r="I1467" i="1"/>
  <c r="I1489" i="1"/>
  <c r="H1496" i="1"/>
  <c r="J1468" i="1"/>
  <c r="I1474" i="1"/>
  <c r="B1478" i="1"/>
  <c r="B1498" i="1"/>
  <c r="B1465" i="1"/>
  <c r="B1470" i="1"/>
  <c r="B1496" i="1"/>
  <c r="B1487" i="1"/>
  <c r="B1468" i="1"/>
  <c r="B1486" i="1"/>
  <c r="B1466" i="1"/>
  <c r="B1484" i="1"/>
  <c r="B1464" i="1"/>
  <c r="Z1098" i="1"/>
  <c r="Q1112" i="1"/>
  <c r="Q1110" i="1"/>
  <c r="R1097" i="1" s="1"/>
  <c r="Q1098" i="1" s="1"/>
  <c r="Z1099" i="1"/>
  <c r="G1093" i="1"/>
  <c r="C1093" i="1"/>
  <c r="I1093" i="1"/>
  <c r="E1093" i="1"/>
  <c r="S1111" i="1"/>
  <c r="T1099" i="1" s="1"/>
  <c r="S1100" i="1" s="1"/>
  <c r="J1715" i="1"/>
  <c r="I1716" i="1"/>
  <c r="I1715" i="1"/>
  <c r="I1650" i="1"/>
  <c r="J1649" i="1"/>
  <c r="I1649" i="1"/>
  <c r="B1593" i="1"/>
  <c r="B1606" i="1"/>
  <c r="B1628" i="1"/>
  <c r="B1612" i="1"/>
  <c r="B1620" i="1"/>
  <c r="B1595" i="1"/>
  <c r="B1599" i="1"/>
  <c r="B1630" i="1"/>
  <c r="B1594" i="1"/>
  <c r="B1600" i="1"/>
  <c r="B1629" i="1"/>
  <c r="B1607" i="1"/>
  <c r="B1626" i="1"/>
  <c r="B1616" i="1"/>
  <c r="B1622" i="1"/>
  <c r="B1621" i="1"/>
  <c r="B1603" i="1"/>
  <c r="J1055" i="1"/>
  <c r="I1055" i="1"/>
  <c r="I1056" i="1"/>
  <c r="I263" i="1"/>
  <c r="I264" i="1"/>
  <c r="J263" i="1"/>
  <c r="F819" i="1"/>
  <c r="S833" i="1"/>
  <c r="F815" i="1"/>
  <c r="S829" i="1"/>
  <c r="B1528" i="1"/>
  <c r="B1546" i="1"/>
  <c r="B1552" i="1"/>
  <c r="B1543" i="1"/>
  <c r="B1540" i="1"/>
  <c r="B1558" i="1"/>
  <c r="B1534" i="1"/>
  <c r="B1529" i="1"/>
  <c r="B1555" i="1"/>
  <c r="B1547" i="1"/>
  <c r="B1560" i="1"/>
  <c r="B1565" i="1"/>
  <c r="B1532" i="1"/>
  <c r="B1531" i="1"/>
  <c r="M953" i="1"/>
  <c r="C939" i="1"/>
  <c r="O1081" i="1"/>
  <c r="C1081" i="1" s="1"/>
  <c r="AD212" i="1"/>
  <c r="AC212" i="1" s="1"/>
  <c r="V640" i="1"/>
  <c r="K638" i="1" s="1"/>
  <c r="AD532" i="1"/>
  <c r="AC532" i="1" s="1"/>
  <c r="R1135" i="1"/>
  <c r="F1135" i="1" s="1"/>
  <c r="B1129" i="1"/>
  <c r="C888" i="1"/>
  <c r="N888" i="1"/>
  <c r="O952" i="1"/>
  <c r="O1097" i="1"/>
  <c r="C1096" i="1" s="1"/>
  <c r="D1089" i="1"/>
  <c r="N1110" i="1"/>
  <c r="S699" i="1"/>
  <c r="U1414" i="1"/>
  <c r="O1415" i="1"/>
  <c r="T622" i="1"/>
  <c r="H622" i="1" s="1"/>
  <c r="B622" i="1"/>
  <c r="K92" i="1"/>
  <c r="J92" i="1"/>
  <c r="I604" i="1"/>
  <c r="H555" i="1"/>
  <c r="T561" i="1"/>
  <c r="H561" i="1" s="1"/>
  <c r="AD233" i="1"/>
  <c r="AC233" i="1" s="1"/>
  <c r="N103" i="1"/>
  <c r="C1415" i="1"/>
  <c r="C1416" i="1"/>
  <c r="C1417" i="1"/>
  <c r="D623" i="1"/>
  <c r="V623" i="1"/>
  <c r="J623" i="1" s="1"/>
  <c r="R639" i="1"/>
  <c r="E637" i="1"/>
  <c r="J83" i="1"/>
  <c r="K83" i="1"/>
  <c r="C623" i="1"/>
  <c r="U623" i="1"/>
  <c r="I623" i="1" s="1"/>
  <c r="V622" i="1"/>
  <c r="J622" i="1" s="1"/>
  <c r="D622" i="1"/>
  <c r="W623" i="1"/>
  <c r="K623" i="1" s="1"/>
  <c r="E623" i="1"/>
  <c r="N640" i="1"/>
  <c r="B638" i="1"/>
  <c r="I555" i="1"/>
  <c r="U561" i="1"/>
  <c r="I561" i="1" s="1"/>
  <c r="AD110" i="1"/>
  <c r="AC110" i="1" s="1"/>
  <c r="K543" i="1"/>
  <c r="B10" i="3" s="1"/>
  <c r="J555" i="1"/>
  <c r="V561" i="1"/>
  <c r="J561" i="1" s="1"/>
  <c r="AD475" i="1"/>
  <c r="AC475" i="1" s="1"/>
  <c r="U537" i="1"/>
  <c r="J537" i="1" s="1"/>
  <c r="G537" i="1"/>
  <c r="W561" i="1"/>
  <c r="K561" i="1" s="1"/>
  <c r="K555" i="1"/>
  <c r="T623" i="1"/>
  <c r="H623" i="1" s="1"/>
  <c r="B623" i="1"/>
  <c r="U622" i="1"/>
  <c r="I622" i="1" s="1"/>
  <c r="C622" i="1"/>
  <c r="W622" i="1"/>
  <c r="K622" i="1" s="1"/>
  <c r="E622" i="1"/>
  <c r="J758" i="1"/>
  <c r="D651" i="1"/>
  <c r="D97" i="1" s="1"/>
  <c r="K651" i="1"/>
  <c r="K97" i="1" s="1"/>
  <c r="T640" i="1" l="1"/>
  <c r="W640" i="1" s="1"/>
  <c r="G638" i="1"/>
  <c r="B1518" i="1"/>
  <c r="B1517" i="1"/>
  <c r="C1517" i="1"/>
  <c r="C1518" i="1"/>
  <c r="O1163" i="1"/>
  <c r="C1162" i="1" s="1"/>
  <c r="S1419" i="1"/>
  <c r="N953" i="1"/>
  <c r="O953" i="1" s="1"/>
  <c r="Q939" i="1"/>
  <c r="O938" i="1"/>
  <c r="I758" i="1"/>
  <c r="Q941" i="1"/>
  <c r="O941" i="1" s="1"/>
  <c r="O940" i="1"/>
  <c r="S700" i="1"/>
  <c r="S1163" i="1"/>
  <c r="G1162" i="1" s="1"/>
  <c r="S1414" i="1"/>
  <c r="F1407" i="1" s="1"/>
  <c r="R1176" i="1"/>
  <c r="S717" i="1"/>
  <c r="N1176" i="1"/>
  <c r="K827" i="1"/>
  <c r="U1163" i="1"/>
  <c r="I1162" i="1" s="1"/>
  <c r="F1089" i="1"/>
  <c r="V1102" i="1"/>
  <c r="J1082" i="1"/>
  <c r="S1415" i="1"/>
  <c r="F1408" i="1" s="1"/>
  <c r="S1417" i="1"/>
  <c r="Q1081" i="1"/>
  <c r="E1081" i="1" s="1"/>
  <c r="J150" i="1" s="1"/>
  <c r="K150" i="1" s="1"/>
  <c r="S1418" i="1"/>
  <c r="C702" i="1"/>
  <c r="S701" i="1"/>
  <c r="Q1097" i="1"/>
  <c r="E1096" i="1" s="1"/>
  <c r="O1400" i="1"/>
  <c r="U1400" i="1" s="1"/>
  <c r="Q951" i="1"/>
  <c r="S1097" i="1"/>
  <c r="G1096" i="1" s="1"/>
  <c r="H1089" i="1"/>
  <c r="U576" i="1"/>
  <c r="I576" i="1" s="1"/>
  <c r="W774" i="1"/>
  <c r="V721" i="1"/>
  <c r="F758" i="1"/>
  <c r="J155" i="1"/>
  <c r="K155" i="1" s="1"/>
  <c r="J156" i="1"/>
  <c r="K156" i="1" s="1"/>
  <c r="V639" i="1"/>
  <c r="K637" i="1" s="1"/>
  <c r="J1451" i="1"/>
  <c r="I1452" i="1"/>
  <c r="J1452" i="1"/>
  <c r="I1451" i="1"/>
  <c r="J989" i="1"/>
  <c r="J990" i="1"/>
  <c r="I989" i="1"/>
  <c r="I990" i="1"/>
  <c r="F576" i="1"/>
  <c r="U1101" i="1"/>
  <c r="T1176" i="1"/>
  <c r="V560" i="1"/>
  <c r="J560" i="1" s="1"/>
  <c r="W560" i="1"/>
  <c r="K560" i="1" s="1"/>
  <c r="U1167" i="1"/>
  <c r="S555" i="1"/>
  <c r="S1167" i="1"/>
  <c r="G1166" i="1" s="1"/>
  <c r="J716" i="1"/>
  <c r="U575" i="1"/>
  <c r="I575" i="1" s="1"/>
  <c r="J86" i="1" s="1"/>
  <c r="T575" i="1"/>
  <c r="I638" i="1"/>
  <c r="U1097" i="1"/>
  <c r="I1096" i="1" s="1"/>
  <c r="T1110" i="1"/>
  <c r="J1089" i="1"/>
  <c r="G576" i="1"/>
  <c r="V576" i="1"/>
  <c r="J576" i="1" s="1"/>
  <c r="W1416" i="1"/>
  <c r="AH1406" i="1"/>
  <c r="S554" i="1"/>
  <c r="S553" i="1"/>
  <c r="K532" i="1"/>
  <c r="D1409" i="1"/>
  <c r="AD213" i="1"/>
  <c r="AC213" i="1" s="1"/>
  <c r="F1096" i="1"/>
  <c r="S1101" i="1"/>
  <c r="G1100" i="1" s="1"/>
  <c r="D940" i="1"/>
  <c r="N954" i="1"/>
  <c r="O954" i="1" s="1"/>
  <c r="H1164" i="1"/>
  <c r="G1165" i="1"/>
  <c r="B420" i="1" a="1"/>
  <c r="C420" i="1" s="1"/>
  <c r="H1098" i="1"/>
  <c r="G1099" i="1"/>
  <c r="W1397" i="1"/>
  <c r="AH1397" i="1" s="1"/>
  <c r="D1394" i="1"/>
  <c r="B20" i="3" s="1"/>
  <c r="AD190" i="1"/>
  <c r="AC190" i="1" s="1"/>
  <c r="F1162" i="1"/>
  <c r="H576" i="1"/>
  <c r="W576" i="1"/>
  <c r="K576" i="1" s="1"/>
  <c r="I935" i="1"/>
  <c r="O1416" i="1"/>
  <c r="U1415" i="1"/>
  <c r="U560" i="1"/>
  <c r="I560" i="1" s="1"/>
  <c r="I554" i="1"/>
  <c r="K93" i="1"/>
  <c r="J93" i="1"/>
  <c r="T639" i="1"/>
  <c r="G637" i="1"/>
  <c r="U639" i="1"/>
  <c r="J637" i="1" s="1"/>
  <c r="O640" i="1"/>
  <c r="D638" i="1" s="1"/>
  <c r="C19" i="3" s="1"/>
  <c r="C638" i="1"/>
  <c r="B19" i="3" s="1"/>
  <c r="K94" i="1"/>
  <c r="J94" i="1"/>
  <c r="H554" i="1"/>
  <c r="T560" i="1"/>
  <c r="H560" i="1" s="1"/>
  <c r="K82" i="1"/>
  <c r="J82" i="1"/>
  <c r="E757" i="1"/>
  <c r="E756" i="1"/>
  <c r="S954" i="1" l="1" a="1"/>
  <c r="S954" i="1" s="1"/>
  <c r="S956" i="1" a="1"/>
  <c r="S956" i="1" s="1"/>
  <c r="F949" i="1" s="1"/>
  <c r="S955" i="1" a="1"/>
  <c r="S955" i="1" s="1"/>
  <c r="F948" i="1" s="1"/>
  <c r="O1401" i="1"/>
  <c r="O1402" i="1" s="1"/>
  <c r="O939" i="1"/>
  <c r="F947" i="1"/>
  <c r="E947" i="1"/>
  <c r="S950" i="1"/>
  <c r="AD480" i="1" s="1"/>
  <c r="AC480" i="1" s="1"/>
  <c r="I937" i="1"/>
  <c r="M976" i="1" s="1"/>
  <c r="E949" i="1"/>
  <c r="F937" i="1"/>
  <c r="E948" i="1"/>
  <c r="P952" i="1"/>
  <c r="P956" i="1" s="1"/>
  <c r="Q956" i="1" s="1"/>
  <c r="V754" i="1"/>
  <c r="F760" i="1"/>
  <c r="F1409" i="1"/>
  <c r="B30" i="3"/>
  <c r="J85" i="1"/>
  <c r="K85" i="1"/>
  <c r="K86" i="1"/>
  <c r="P951" i="1"/>
  <c r="H575" i="1"/>
  <c r="W575" i="1"/>
  <c r="K575" i="1" s="1"/>
  <c r="B420" i="1"/>
  <c r="E716" i="1"/>
  <c r="V704" i="1"/>
  <c r="E1163" i="1"/>
  <c r="I1166" i="1"/>
  <c r="E1097" i="1"/>
  <c r="I1100" i="1"/>
  <c r="W1417" i="1"/>
  <c r="AH1408" i="1" s="1"/>
  <c r="AH1407" i="1"/>
  <c r="W1398" i="1"/>
  <c r="S1397" i="1" a="1"/>
  <c r="D1395" i="1"/>
  <c r="B21" i="3" s="1"/>
  <c r="AD191" i="1"/>
  <c r="AC191" i="1" s="1"/>
  <c r="AD214" i="1"/>
  <c r="AC214" i="1" s="1"/>
  <c r="D1410" i="1"/>
  <c r="E758" i="1"/>
  <c r="U1416" i="1"/>
  <c r="O1417" i="1"/>
  <c r="J95" i="1"/>
  <c r="K95" i="1"/>
  <c r="K84" i="1"/>
  <c r="W639" i="1"/>
  <c r="I637" i="1"/>
  <c r="U1401" i="1" l="1"/>
  <c r="J157" i="1"/>
  <c r="P955" i="1"/>
  <c r="Q955" i="1" s="1"/>
  <c r="S951" i="1"/>
  <c r="C97" i="3"/>
  <c r="J151" i="1"/>
  <c r="K151" i="1" s="1"/>
  <c r="F1410" i="1"/>
  <c r="B31" i="3"/>
  <c r="S1401" i="1"/>
  <c r="S1399" i="1"/>
  <c r="S1403" i="1"/>
  <c r="S1402" i="1"/>
  <c r="S1400" i="1"/>
  <c r="S1398" i="1"/>
  <c r="F1395" i="1" s="1"/>
  <c r="S1397" i="1"/>
  <c r="F1394" i="1" s="1"/>
  <c r="S1404" i="1"/>
  <c r="U1402" i="1"/>
  <c r="O1403" i="1"/>
  <c r="K157" i="1"/>
  <c r="W1399" i="1"/>
  <c r="AH1399" i="1" s="1"/>
  <c r="AH1398" i="1"/>
  <c r="D1411" i="1"/>
  <c r="W1418" i="1"/>
  <c r="AH1409" i="1" s="1"/>
  <c r="AD215" i="1"/>
  <c r="AC215" i="1" s="1"/>
  <c r="AD192" i="1"/>
  <c r="AC192" i="1" s="1"/>
  <c r="D1396" i="1"/>
  <c r="B22" i="3" s="1"/>
  <c r="K109" i="1"/>
  <c r="J109" i="1"/>
  <c r="O1418" i="1"/>
  <c r="O1419" i="1" s="1"/>
  <c r="U1417" i="1"/>
  <c r="K110" i="1"/>
  <c r="J110" i="1"/>
  <c r="M979" i="1" l="1"/>
  <c r="N978" i="1"/>
  <c r="M978" i="1"/>
  <c r="I939" i="1"/>
  <c r="J79" i="1" s="1"/>
  <c r="AD481" i="1"/>
  <c r="AC481" i="1" s="1"/>
  <c r="M983" i="1"/>
  <c r="N983" i="1" s="1"/>
  <c r="M957" i="1"/>
  <c r="N957" i="1" s="1"/>
  <c r="I938" i="1"/>
  <c r="M982" i="1"/>
  <c r="N982" i="1" s="1"/>
  <c r="M981" i="1"/>
  <c r="N981" i="1" s="1"/>
  <c r="F1411" i="1"/>
  <c r="B32" i="3"/>
  <c r="U1418" i="1"/>
  <c r="U1419" i="1" s="1"/>
  <c r="N979" i="1"/>
  <c r="M980" i="1"/>
  <c r="N980" i="1" s="1"/>
  <c r="F1396" i="1"/>
  <c r="W1400" i="1"/>
  <c r="AH1400" i="1" s="1"/>
  <c r="AD193" i="1"/>
  <c r="AC193" i="1" s="1"/>
  <c r="D1397" i="1"/>
  <c r="U1403" i="1"/>
  <c r="O1404" i="1"/>
  <c r="AD216" i="1"/>
  <c r="AC216" i="1" s="1"/>
  <c r="W1419" i="1"/>
  <c r="AH1410" i="1" s="1"/>
  <c r="D1412" i="1"/>
  <c r="K79" i="1" l="1"/>
  <c r="F1397" i="1"/>
  <c r="B23" i="3"/>
  <c r="F1412" i="1"/>
  <c r="B33" i="3"/>
  <c r="U1404" i="1"/>
  <c r="D1398" i="1"/>
  <c r="W1401" i="1"/>
  <c r="AH1401" i="1" s="1"/>
  <c r="AD194" i="1"/>
  <c r="AC194" i="1" s="1"/>
  <c r="F1398" i="1" l="1"/>
  <c r="B24" i="3"/>
  <c r="D1399" i="1"/>
  <c r="W1402" i="1"/>
  <c r="AH1402" i="1" s="1"/>
  <c r="AD195" i="1"/>
  <c r="AC195" i="1" s="1"/>
  <c r="F1399" i="1" l="1"/>
  <c r="B25" i="3"/>
  <c r="AD196" i="1"/>
  <c r="AC196" i="1" s="1"/>
  <c r="D1400" i="1"/>
  <c r="S90" i="1"/>
  <c r="W1403" i="1"/>
  <c r="AH1403" i="1" s="1"/>
  <c r="F1400" i="1" l="1"/>
  <c r="B26" i="3"/>
  <c r="H408" i="1"/>
  <c r="T90" i="1"/>
  <c r="I408" i="1" s="1"/>
  <c r="S91" i="1"/>
  <c r="S95" i="1"/>
  <c r="W1404" i="1"/>
  <c r="AH1404" i="1" s="1"/>
  <c r="D1401" i="1"/>
  <c r="AD197" i="1"/>
  <c r="AC197" i="1" s="1"/>
  <c r="S93" i="1"/>
  <c r="S89" i="1"/>
  <c r="S92" i="1"/>
  <c r="S96" i="1"/>
  <c r="S87" i="1"/>
  <c r="S88" i="1"/>
  <c r="S94" i="1"/>
  <c r="F1401" i="1" l="1"/>
  <c r="B27" i="3"/>
  <c r="H406" i="1"/>
  <c r="T88" i="1"/>
  <c r="H407" i="1"/>
  <c r="T89" i="1"/>
  <c r="H409" i="1"/>
  <c r="T91" i="1"/>
  <c r="H405" i="1"/>
  <c r="T87" i="1"/>
  <c r="H411" i="1"/>
  <c r="T93" i="1"/>
  <c r="H413" i="1"/>
  <c r="T95" i="1"/>
  <c r="H414" i="1"/>
  <c r="T96" i="1"/>
  <c r="H412" i="1"/>
  <c r="T94" i="1"/>
  <c r="H410" i="1"/>
  <c r="T92" i="1"/>
  <c r="I410" i="1" l="1"/>
  <c r="I414" i="1"/>
  <c r="I411" i="1"/>
  <c r="I409" i="1"/>
  <c r="I406" i="1"/>
  <c r="I412" i="1"/>
  <c r="I413" i="1"/>
  <c r="I405" i="1"/>
  <c r="I407" i="1"/>
  <c r="R884" i="1" l="1"/>
  <c r="I887" i="1"/>
  <c r="U832" i="1"/>
  <c r="U829" i="1"/>
  <c r="R758" i="1"/>
  <c r="U828" i="1"/>
  <c r="T834" i="1"/>
  <c r="U830" i="1"/>
  <c r="H404" i="1"/>
  <c r="I888" i="1"/>
  <c r="W832" i="1"/>
  <c r="V828" i="1"/>
  <c r="T837" i="1"/>
  <c r="W828" i="1"/>
  <c r="V830" i="1"/>
  <c r="U831" i="1"/>
  <c r="R739" i="1"/>
  <c r="I886" i="1"/>
  <c r="V832" i="1"/>
  <c r="V831" i="1"/>
  <c r="R711" i="1"/>
  <c r="W830" i="1"/>
  <c r="W831" i="1"/>
  <c r="C869" i="1"/>
  <c r="I889" i="1"/>
  <c r="T836" i="1"/>
  <c r="V829" i="1"/>
  <c r="D671" i="1"/>
  <c r="R693" i="1"/>
  <c r="W829" i="1"/>
  <c r="T835" i="1"/>
  <c r="I885" i="1"/>
  <c r="G823" i="1"/>
  <c r="H823" i="1" s="1"/>
  <c r="G822" i="1"/>
  <c r="H822" i="1" s="1"/>
  <c r="G821" i="1"/>
  <c r="H821" i="1" s="1"/>
  <c r="G820" i="1"/>
  <c r="H820" i="1" s="1"/>
  <c r="E48" i="3"/>
  <c r="N1202" i="1"/>
  <c r="D1201" i="1" s="1"/>
  <c r="R934" i="1"/>
  <c r="R935" i="1" s="1"/>
  <c r="R937" i="1" s="1"/>
  <c r="R938" i="1" s="1"/>
  <c r="R939" i="1" s="1"/>
  <c r="E49" i="3"/>
  <c r="E50" i="3"/>
  <c r="E47" i="3"/>
  <c r="E51" i="3"/>
  <c r="P668" i="1"/>
  <c r="E35" i="3" l="1"/>
  <c r="E65" i="3"/>
  <c r="E56" i="3"/>
  <c r="E90" i="3"/>
  <c r="E819" i="1"/>
  <c r="N814" i="1"/>
  <c r="E52" i="3"/>
  <c r="D871" i="1"/>
  <c r="I871" i="1" s="1"/>
  <c r="E66" i="3"/>
  <c r="E58" i="3"/>
  <c r="D872" i="1"/>
  <c r="I872" i="1" s="1"/>
  <c r="D874" i="1"/>
  <c r="I874" i="1" s="1"/>
  <c r="R832" i="1"/>
  <c r="D873" i="1"/>
  <c r="I873" i="1" s="1"/>
  <c r="D814" i="1"/>
  <c r="C870" i="1"/>
  <c r="E42" i="3"/>
  <c r="D870" i="1"/>
  <c r="I870" i="1" s="1"/>
  <c r="E88" i="3"/>
  <c r="R830" i="1"/>
  <c r="E93" i="3"/>
  <c r="E814" i="1"/>
  <c r="R828" i="1"/>
  <c r="E46" i="3"/>
  <c r="E44" i="3"/>
  <c r="E55" i="3"/>
  <c r="C1526" i="1"/>
  <c r="C1460" i="1"/>
  <c r="C1461" i="1" a="1"/>
  <c r="C1659" i="1" a="1"/>
  <c r="C1658" i="1"/>
  <c r="C1593" i="1" a="1"/>
  <c r="C1527" i="1" a="1"/>
  <c r="E34" i="3"/>
  <c r="C1592" i="1"/>
  <c r="E91" i="3"/>
  <c r="E816" i="1"/>
  <c r="E54" i="3"/>
  <c r="E89" i="3"/>
  <c r="E45" i="3"/>
  <c r="E43" i="3"/>
  <c r="J885" i="1"/>
  <c r="J887" i="1"/>
  <c r="E53" i="3"/>
  <c r="E57" i="3"/>
  <c r="E73" i="3"/>
  <c r="E92" i="3"/>
  <c r="E818" i="1" l="1"/>
  <c r="R833" i="1"/>
  <c r="N812" i="1"/>
  <c r="D819" i="1"/>
  <c r="J872" i="1"/>
  <c r="K874" i="1" s="1"/>
  <c r="I739" i="1"/>
  <c r="I740" i="1"/>
  <c r="H700" i="1"/>
  <c r="H1423" i="1"/>
  <c r="H1424" i="1" s="1"/>
  <c r="H1425" i="1" s="1"/>
  <c r="H1426" i="1" s="1"/>
  <c r="H1427" i="1" s="1"/>
  <c r="H1428" i="1" s="1"/>
  <c r="H1429" i="1" s="1"/>
  <c r="H1430" i="1" s="1"/>
  <c r="H1431" i="1" s="1"/>
  <c r="H1432" i="1" s="1"/>
  <c r="H701" i="1"/>
  <c r="R717" i="1"/>
  <c r="Q1414" i="1"/>
  <c r="N813" i="1"/>
  <c r="V837" i="1"/>
  <c r="J870" i="1"/>
  <c r="D901" i="1"/>
  <c r="E901" i="1"/>
  <c r="D900" i="1"/>
  <c r="E739" i="1"/>
  <c r="E740" i="1"/>
  <c r="J809" i="1"/>
  <c r="J810" i="1"/>
  <c r="E817" i="1"/>
  <c r="R831" i="1"/>
  <c r="D816" i="1"/>
  <c r="F866" i="1"/>
  <c r="R869" i="1"/>
  <c r="H866" i="1"/>
  <c r="C871" i="1"/>
  <c r="N871" i="1"/>
  <c r="C874" i="1"/>
  <c r="N874" i="1"/>
  <c r="D815" i="1"/>
  <c r="G816" i="1"/>
  <c r="H816" i="1" s="1"/>
  <c r="T830" i="1"/>
  <c r="C1686" i="1"/>
  <c r="C1674" i="1"/>
  <c r="C1678" i="1"/>
  <c r="C1680" i="1"/>
  <c r="C1661" i="1"/>
  <c r="C1690" i="1"/>
  <c r="C1696" i="1"/>
  <c r="C1659" i="1"/>
  <c r="C1665" i="1"/>
  <c r="C1695" i="1"/>
  <c r="C1693" i="1"/>
  <c r="C1662" i="1"/>
  <c r="C1667" i="1"/>
  <c r="C1672" i="1"/>
  <c r="C1670" i="1"/>
  <c r="C1697" i="1"/>
  <c r="C1676" i="1"/>
  <c r="C1694" i="1"/>
  <c r="C1687" i="1"/>
  <c r="C1677" i="1"/>
  <c r="C1682" i="1"/>
  <c r="C1689" i="1"/>
  <c r="C1671" i="1"/>
  <c r="C1664" i="1"/>
  <c r="C1673" i="1"/>
  <c r="C1668" i="1"/>
  <c r="C1675" i="1"/>
  <c r="C1669" i="1"/>
  <c r="C1681" i="1"/>
  <c r="C1685" i="1"/>
  <c r="C1688" i="1"/>
  <c r="C1666" i="1"/>
  <c r="C1691" i="1"/>
  <c r="C1663" i="1"/>
  <c r="C1679" i="1"/>
  <c r="C1684" i="1"/>
  <c r="C1660" i="1"/>
  <c r="C1683" i="1"/>
  <c r="C1692" i="1"/>
  <c r="U837" i="1"/>
  <c r="W837" i="1"/>
  <c r="V895" i="1"/>
  <c r="K889" i="1"/>
  <c r="T832" i="1"/>
  <c r="G818" i="1"/>
  <c r="H818" i="1" s="1"/>
  <c r="D817" i="1"/>
  <c r="C1540" i="1"/>
  <c r="C1534" i="1"/>
  <c r="C1564" i="1"/>
  <c r="C1563" i="1"/>
  <c r="C1528" i="1"/>
  <c r="C1538" i="1"/>
  <c r="C1562" i="1"/>
  <c r="C1543" i="1"/>
  <c r="C1541" i="1"/>
  <c r="C1533" i="1"/>
  <c r="C1527" i="1"/>
  <c r="C1544" i="1"/>
  <c r="C1554" i="1"/>
  <c r="C1539" i="1"/>
  <c r="C1559" i="1"/>
  <c r="C1546" i="1"/>
  <c r="C1549" i="1"/>
  <c r="C1537" i="1"/>
  <c r="C1560" i="1"/>
  <c r="C1558" i="1"/>
  <c r="C1547" i="1"/>
  <c r="C1550" i="1"/>
  <c r="C1532" i="1"/>
  <c r="C1545" i="1"/>
  <c r="C1536" i="1"/>
  <c r="C1551" i="1"/>
  <c r="C1557" i="1"/>
  <c r="C1565" i="1"/>
  <c r="C1552" i="1"/>
  <c r="C1555" i="1"/>
  <c r="C1542" i="1"/>
  <c r="C1561" i="1"/>
  <c r="C1530" i="1"/>
  <c r="C1535" i="1"/>
  <c r="C1553" i="1"/>
  <c r="C1529" i="1"/>
  <c r="C1548" i="1"/>
  <c r="C1531" i="1"/>
  <c r="C1556" i="1"/>
  <c r="C1468" i="1"/>
  <c r="C1469" i="1"/>
  <c r="C1483" i="1"/>
  <c r="C1494" i="1"/>
  <c r="C1475" i="1"/>
  <c r="C1485" i="1"/>
  <c r="C1488" i="1"/>
  <c r="C1489" i="1"/>
  <c r="C1484" i="1"/>
  <c r="C1493" i="1"/>
  <c r="C1492" i="1"/>
  <c r="C1462" i="1"/>
  <c r="C1495" i="1"/>
  <c r="C1496" i="1"/>
  <c r="C1472" i="1"/>
  <c r="C1480" i="1"/>
  <c r="C1467" i="1"/>
  <c r="C1464" i="1"/>
  <c r="C1491" i="1"/>
  <c r="C1499" i="1"/>
  <c r="C1481" i="1"/>
  <c r="C1497" i="1"/>
  <c r="C1479" i="1"/>
  <c r="C1473" i="1"/>
  <c r="C1466" i="1"/>
  <c r="C1476" i="1"/>
  <c r="C1487" i="1"/>
  <c r="C1461" i="1"/>
  <c r="C1474" i="1"/>
  <c r="C1478" i="1"/>
  <c r="C1477" i="1"/>
  <c r="C1498" i="1"/>
  <c r="C1482" i="1"/>
  <c r="C1486" i="1"/>
  <c r="C1470" i="1"/>
  <c r="C1465" i="1"/>
  <c r="C1463" i="1"/>
  <c r="C1471" i="1"/>
  <c r="C1490" i="1"/>
  <c r="C873" i="1"/>
  <c r="N873" i="1"/>
  <c r="D818" i="1"/>
  <c r="R829" i="1"/>
  <c r="E815" i="1"/>
  <c r="G819" i="1"/>
  <c r="H819" i="1" s="1"/>
  <c r="T833" i="1"/>
  <c r="V893" i="1"/>
  <c r="K886" i="1"/>
  <c r="C872" i="1"/>
  <c r="N872" i="1"/>
  <c r="C700" i="1"/>
  <c r="C1423" i="1"/>
  <c r="C1424" i="1" s="1"/>
  <c r="C1425" i="1" s="1"/>
  <c r="C1426" i="1" s="1"/>
  <c r="C1427" i="1" s="1"/>
  <c r="C1428" i="1" s="1"/>
  <c r="C1429" i="1" s="1"/>
  <c r="C1430" i="1" s="1"/>
  <c r="C1431" i="1" s="1"/>
  <c r="C1432" i="1" s="1"/>
  <c r="R701" i="1"/>
  <c r="C701" i="1"/>
  <c r="R700" i="1"/>
  <c r="R699" i="1"/>
  <c r="Q1397" i="1"/>
  <c r="Q1398" i="1" s="1"/>
  <c r="C1604" i="1"/>
  <c r="C1599" i="1"/>
  <c r="C1623" i="1"/>
  <c r="C1627" i="1"/>
  <c r="C1618" i="1"/>
  <c r="C1594" i="1"/>
  <c r="C1620" i="1"/>
  <c r="C1614" i="1"/>
  <c r="C1612" i="1"/>
  <c r="C1630" i="1"/>
  <c r="C1617" i="1"/>
  <c r="C1610" i="1"/>
  <c r="C1598" i="1"/>
  <c r="C1628" i="1"/>
  <c r="C1621" i="1"/>
  <c r="C1624" i="1"/>
  <c r="C1595" i="1"/>
  <c r="C1615" i="1"/>
  <c r="C1600" i="1"/>
  <c r="C1625" i="1"/>
  <c r="C1631" i="1"/>
  <c r="C1605" i="1"/>
  <c r="C1619" i="1"/>
  <c r="C1603" i="1"/>
  <c r="C1613" i="1"/>
  <c r="C1626" i="1"/>
  <c r="C1629" i="1"/>
  <c r="C1611" i="1"/>
  <c r="C1593" i="1"/>
  <c r="C1597" i="1"/>
  <c r="C1608" i="1"/>
  <c r="C1596" i="1"/>
  <c r="C1601" i="1"/>
  <c r="C1616" i="1"/>
  <c r="C1607" i="1"/>
  <c r="C1609" i="1"/>
  <c r="C1622" i="1"/>
  <c r="C1606" i="1"/>
  <c r="C1602" i="1"/>
  <c r="T828" i="1"/>
  <c r="G814" i="1"/>
  <c r="H814" i="1" s="1"/>
  <c r="V880" i="1" l="1"/>
  <c r="R1414" i="1"/>
  <c r="Q1415" i="1"/>
  <c r="R1398" i="1"/>
  <c r="Q1399" i="1"/>
  <c r="G815" i="1"/>
  <c r="T829" i="1"/>
  <c r="H815" i="1"/>
  <c r="U834" i="1"/>
  <c r="W834" i="1"/>
  <c r="V834" i="1"/>
  <c r="W833" i="1"/>
  <c r="U833" i="1"/>
  <c r="V833" i="1"/>
  <c r="G817" i="1"/>
  <c r="H817" i="1" s="1"/>
  <c r="T831" i="1"/>
  <c r="V903" i="1"/>
  <c r="G901" i="1"/>
  <c r="D1423" i="1" a="1"/>
  <c r="V836" i="1"/>
  <c r="W836" i="1"/>
  <c r="U836" i="1"/>
  <c r="V835" i="1"/>
  <c r="W835" i="1"/>
  <c r="U835" i="1"/>
  <c r="I933" i="1"/>
  <c r="I934" i="1"/>
  <c r="V878" i="1"/>
  <c r="K871" i="1"/>
  <c r="I1423" i="1" l="1" a="1"/>
  <c r="R1415" i="1"/>
  <c r="Q1416" i="1"/>
  <c r="AD218" i="1"/>
  <c r="AC218" i="1" s="1"/>
  <c r="Y1414" i="1"/>
  <c r="E1407" i="1"/>
  <c r="Y1397" i="1"/>
  <c r="E1394" i="1"/>
  <c r="AD199" i="1"/>
  <c r="AC199" i="1" s="1"/>
  <c r="D1424" i="1"/>
  <c r="D1425" i="1"/>
  <c r="D1428" i="1"/>
  <c r="D1427" i="1"/>
  <c r="D1431" i="1"/>
  <c r="D1429" i="1"/>
  <c r="D1432" i="1"/>
  <c r="D1430" i="1"/>
  <c r="D1426" i="1"/>
  <c r="D1423" i="1"/>
  <c r="R1399" i="1"/>
  <c r="Q1400" i="1"/>
  <c r="K113" i="1"/>
  <c r="J113" i="1"/>
  <c r="Y1398" i="1"/>
  <c r="AI1398" i="1" s="1"/>
  <c r="AD200" i="1"/>
  <c r="AC200" i="1" s="1"/>
  <c r="E1395" i="1"/>
  <c r="Q1417" i="1" l="1"/>
  <c r="R1416" i="1"/>
  <c r="G1407" i="1"/>
  <c r="C28" i="3"/>
  <c r="H1407" i="1"/>
  <c r="AD219" i="1"/>
  <c r="AC219" i="1" s="1"/>
  <c r="E1408" i="1"/>
  <c r="Y1415" i="1"/>
  <c r="AI1406" i="1" s="1"/>
  <c r="AI1405" i="1"/>
  <c r="G459" i="1"/>
  <c r="I1431" i="1"/>
  <c r="I1425" i="1"/>
  <c r="I1424" i="1"/>
  <c r="I1428" i="1"/>
  <c r="I1426" i="1"/>
  <c r="I1430" i="1"/>
  <c r="I1427" i="1"/>
  <c r="I1429" i="1"/>
  <c r="I1432" i="1"/>
  <c r="I1423" i="1"/>
  <c r="D459" i="1"/>
  <c r="AI1397" i="1"/>
  <c r="J459" i="1" s="1"/>
  <c r="R1400" i="1"/>
  <c r="Q1401" i="1"/>
  <c r="C21" i="3"/>
  <c r="G1395" i="1"/>
  <c r="E1396" i="1"/>
  <c r="Y1399" i="1"/>
  <c r="AI1399" i="1" s="1"/>
  <c r="AD201" i="1"/>
  <c r="AC201" i="1" s="1"/>
  <c r="C20" i="3"/>
  <c r="H1394" i="1"/>
  <c r="G1394" i="1"/>
  <c r="G1408" i="1" l="1"/>
  <c r="C29" i="3"/>
  <c r="AD220" i="1"/>
  <c r="AC220" i="1" s="1"/>
  <c r="Y1416" i="1"/>
  <c r="AI1407" i="1" s="1"/>
  <c r="E1409" i="1"/>
  <c r="H1408" i="1"/>
  <c r="R1417" i="1"/>
  <c r="Q1418" i="1"/>
  <c r="H1395" i="1"/>
  <c r="H1396" i="1" s="1"/>
  <c r="C22" i="3"/>
  <c r="G1396" i="1"/>
  <c r="E1397" i="1"/>
  <c r="Y1400" i="1"/>
  <c r="AI1400" i="1" s="1"/>
  <c r="AD202" i="1"/>
  <c r="AC202" i="1" s="1"/>
  <c r="R1401" i="1"/>
  <c r="Q1402" i="1"/>
  <c r="H1409" i="1" l="1"/>
  <c r="R1418" i="1"/>
  <c r="Q1419" i="1"/>
  <c r="AD221" i="1"/>
  <c r="AC221" i="1" s="1"/>
  <c r="Y1417" i="1"/>
  <c r="AI1408" i="1" s="1"/>
  <c r="E1410" i="1"/>
  <c r="C30" i="3"/>
  <c r="G1409" i="1"/>
  <c r="H1397" i="1"/>
  <c r="E1398" i="1"/>
  <c r="AD203" i="1"/>
  <c r="AC203" i="1" s="1"/>
  <c r="Y1401" i="1"/>
  <c r="AI1401" i="1" s="1"/>
  <c r="R1402" i="1"/>
  <c r="Q1403" i="1"/>
  <c r="C23" i="3"/>
  <c r="G1397" i="1"/>
  <c r="R1419" i="1" l="1"/>
  <c r="E1412" i="1" s="1"/>
  <c r="H1410" i="1"/>
  <c r="C31" i="3"/>
  <c r="G1410" i="1"/>
  <c r="Y1418" i="1"/>
  <c r="AI1409" i="1" s="1"/>
  <c r="E1411" i="1"/>
  <c r="AD222" i="1"/>
  <c r="AC222" i="1" s="1"/>
  <c r="H1398" i="1"/>
  <c r="R1403" i="1"/>
  <c r="Q1404" i="1"/>
  <c r="E1399" i="1"/>
  <c r="Y1402" i="1"/>
  <c r="AI1402" i="1" s="1"/>
  <c r="AD204" i="1"/>
  <c r="AC204" i="1" s="1"/>
  <c r="G1398" i="1"/>
  <c r="C24" i="3"/>
  <c r="Y1419" i="1" l="1"/>
  <c r="AI1410" i="1" s="1"/>
  <c r="AD223" i="1"/>
  <c r="AC223" i="1" s="1"/>
  <c r="H1411" i="1"/>
  <c r="H1412" i="1" s="1"/>
  <c r="V1421" i="1" s="1"/>
  <c r="J1412" i="1" s="1"/>
  <c r="C32" i="3"/>
  <c r="G1411" i="1"/>
  <c r="G1412" i="1"/>
  <c r="C33" i="3"/>
  <c r="H1399" i="1"/>
  <c r="R1404" i="1"/>
  <c r="U94" i="1"/>
  <c r="U93" i="1"/>
  <c r="U90" i="1"/>
  <c r="U92" i="1"/>
  <c r="U88" i="1"/>
  <c r="E1400" i="1"/>
  <c r="AD205" i="1"/>
  <c r="AC205" i="1" s="1"/>
  <c r="Y1403" i="1"/>
  <c r="AI1403" i="1" s="1"/>
  <c r="U87" i="1"/>
  <c r="U96" i="1"/>
  <c r="U91" i="1"/>
  <c r="G1399" i="1"/>
  <c r="C25" i="3"/>
  <c r="U89" i="1"/>
  <c r="U95" i="1"/>
  <c r="H1400" i="1" l="1"/>
  <c r="S1421" i="1"/>
  <c r="AD230" i="1" s="1"/>
  <c r="AC230" i="1" s="1"/>
  <c r="R1421" i="1"/>
  <c r="AD229" i="1" s="1"/>
  <c r="AC229" i="1" s="1"/>
  <c r="Q1421" i="1"/>
  <c r="AD228" i="1" s="1"/>
  <c r="AC228" i="1" s="1"/>
  <c r="W120" i="1"/>
  <c r="AD497" i="1"/>
  <c r="AC497" i="1" s="1"/>
  <c r="J412" i="1"/>
  <c r="V94" i="1"/>
  <c r="K412" i="1" s="1"/>
  <c r="T120" i="1"/>
  <c r="T118" i="1"/>
  <c r="V92" i="1"/>
  <c r="K410" i="1" s="1"/>
  <c r="AD495" i="1"/>
  <c r="AC495" i="1" s="1"/>
  <c r="W118" i="1"/>
  <c r="J410" i="1"/>
  <c r="U118" i="1"/>
  <c r="E1401" i="1"/>
  <c r="Y1404" i="1"/>
  <c r="AI1404" i="1" s="1"/>
  <c r="AD206" i="1"/>
  <c r="AC206" i="1" s="1"/>
  <c r="U114" i="1"/>
  <c r="V88" i="1"/>
  <c r="K406" i="1" s="1"/>
  <c r="J406" i="1"/>
  <c r="W114" i="1"/>
  <c r="T114" i="1"/>
  <c r="AD491" i="1"/>
  <c r="AC491" i="1" s="1"/>
  <c r="J408" i="1"/>
  <c r="W116" i="1"/>
  <c r="U116" i="1"/>
  <c r="AD493" i="1"/>
  <c r="AC493" i="1" s="1"/>
  <c r="V90" i="1"/>
  <c r="K408" i="1" s="1"/>
  <c r="T116" i="1"/>
  <c r="W113" i="1"/>
  <c r="T113" i="1"/>
  <c r="V87" i="1"/>
  <c r="K405" i="1" s="1"/>
  <c r="U113" i="1"/>
  <c r="AD490" i="1"/>
  <c r="AC490" i="1" s="1"/>
  <c r="J405" i="1"/>
  <c r="J413" i="1"/>
  <c r="AD498" i="1"/>
  <c r="AC498" i="1" s="1"/>
  <c r="W121" i="1"/>
  <c r="V95" i="1"/>
  <c r="K413" i="1" s="1"/>
  <c r="T121" i="1"/>
  <c r="T117" i="1"/>
  <c r="W117" i="1"/>
  <c r="V91" i="1"/>
  <c r="K409" i="1" s="1"/>
  <c r="J409" i="1"/>
  <c r="AD494" i="1"/>
  <c r="AC494" i="1" s="1"/>
  <c r="U117" i="1"/>
  <c r="T115" i="1"/>
  <c r="J407" i="1"/>
  <c r="W115" i="1"/>
  <c r="V89" i="1"/>
  <c r="K407" i="1" s="1"/>
  <c r="AD492" i="1"/>
  <c r="AC492" i="1" s="1"/>
  <c r="W122" i="1"/>
  <c r="V96" i="1"/>
  <c r="K414" i="1" s="1"/>
  <c r="J414" i="1"/>
  <c r="T122" i="1"/>
  <c r="AD499" i="1"/>
  <c r="AC499" i="1" s="1"/>
  <c r="G1400" i="1"/>
  <c r="C26" i="3"/>
  <c r="W119" i="1"/>
  <c r="V93" i="1"/>
  <c r="K411" i="1" s="1"/>
  <c r="J411" i="1"/>
  <c r="AD496" i="1"/>
  <c r="AC496" i="1" s="1"/>
  <c r="T119" i="1"/>
  <c r="U123" i="1" l="1"/>
  <c r="K129" i="1" s="1"/>
  <c r="G1401" i="1"/>
  <c r="C27" i="3"/>
  <c r="H1401" i="1"/>
  <c r="V1406" i="1" s="1"/>
  <c r="J1401" i="1" s="1"/>
  <c r="J139" i="1" l="1"/>
  <c r="K139" i="1"/>
  <c r="J129" i="1"/>
  <c r="S1406" i="1"/>
  <c r="AD227" i="1" s="1"/>
  <c r="AC227" i="1" s="1"/>
  <c r="R1406" i="1"/>
  <c r="AD226" i="1" s="1"/>
  <c r="AC226" i="1" s="1"/>
  <c r="Q1406" i="1"/>
  <c r="AD225" i="1" s="1"/>
  <c r="AC2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H941" authorId="0" shapeId="0" xr:uid="{00000000-0006-0000-0000-000001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 ref="U950" authorId="0" shapeId="0" xr:uid="{00000000-0006-0000-0000-000002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 ref="AA950" authorId="0" shapeId="0" xr:uid="{00000000-0006-0000-0000-000003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 ref="AF950" authorId="0" shapeId="0" xr:uid="{792A5692-8EE8-4415-87CA-628719B7EDD1}">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Eugene Mah</author>
  </authors>
  <commentList>
    <comment ref="A9" authorId="0" shapeId="0" xr:uid="{00000000-0006-0000-0000-000005000000}">
      <text>
        <r>
          <rPr>
            <b/>
            <sz val="9"/>
            <color indexed="81"/>
            <rFont val="Tahoma"/>
            <family val="2"/>
          </rPr>
          <t>Eugene Mah:</t>
        </r>
        <r>
          <rPr>
            <sz val="9"/>
            <color indexed="81"/>
            <rFont val="Tahoma"/>
            <family val="2"/>
          </rPr>
          <t xml:space="preserve">
Multiply by this number to get µGy·m²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<sst xmlns="http://schemas.openxmlformats.org/spreadsheetml/2006/main" count="6272" uniqueCount="1225">
  <si>
    <t>For PBL, x-ray field length/width and film size are equal to within 3% SID.</t>
  </si>
  <si>
    <t>Timer accuracy within 10%.</t>
  </si>
  <si>
    <t>Density control produces a percentage increment between 15-50%.</t>
  </si>
  <si>
    <t>Response of detectors is the same to within MUSC standards.</t>
  </si>
  <si>
    <t>Performance with varying kVp and thickness is within MUSC standards.</t>
  </si>
  <si>
    <t>Eugene Mah</t>
  </si>
  <si>
    <t>RADIOGRAPHIC UNITS (MUSC CRITERIA)</t>
  </si>
  <si>
    <t>thick. (cm)</t>
  </si>
  <si>
    <t>Yes</t>
  </si>
  <si>
    <t>CXR</t>
  </si>
  <si>
    <t>14x17</t>
  </si>
  <si>
    <t>Accession Number:</t>
  </si>
  <si>
    <t>Site Number:</t>
  </si>
  <si>
    <t>Ribs</t>
  </si>
  <si>
    <t>10x12</t>
  </si>
  <si>
    <t>No</t>
  </si>
  <si>
    <t>T15</t>
  </si>
  <si>
    <t>Center of x-ray field to center of image receptor &lt;= 2% SID.</t>
  </si>
  <si>
    <t>Foot</t>
  </si>
  <si>
    <t>Knee</t>
  </si>
  <si>
    <t>Maximum Change:</t>
  </si>
  <si>
    <t>Sum</t>
  </si>
  <si>
    <t>C-Spine AP</t>
  </si>
  <si>
    <t>Abdomen AP</t>
  </si>
  <si>
    <t>Pelvis AP</t>
  </si>
  <si>
    <t>Shoulder</t>
  </si>
  <si>
    <t>LS Spine AP</t>
  </si>
  <si>
    <t>8x10</t>
  </si>
  <si>
    <t>Sum of length/width differences is less than 3% SID</t>
  </si>
  <si>
    <t>For PBL, x-ray field length/width and film size are equal to within 2% SID.</t>
  </si>
  <si>
    <t>Projection</t>
  </si>
  <si>
    <t>Skull</t>
  </si>
  <si>
    <t>Pregnancy Warning sign is posted</t>
  </si>
  <si>
    <t>Min</t>
  </si>
  <si>
    <t>**The light field illumination failed to meet the minimum specification of 160 lux. The light source should be adjusted or replaced so as to meet this requirement.</t>
  </si>
  <si>
    <t>Lrg Focus Max.</t>
  </si>
  <si>
    <t>Lrg Focus Median</t>
  </si>
  <si>
    <t>Lrg Focus Min</t>
  </si>
  <si>
    <t>Sml Focus Max.</t>
  </si>
  <si>
    <t>Sml Focus Median</t>
  </si>
  <si>
    <t>Sml Focus Min</t>
  </si>
  <si>
    <t>Q1406</t>
  </si>
  <si>
    <t>R1406</t>
  </si>
  <si>
    <t>S1406</t>
  </si>
  <si>
    <t>Q1421</t>
  </si>
  <si>
    <t>R1421</t>
  </si>
  <si>
    <t>S1421</t>
  </si>
  <si>
    <t>Test Equipment Used:</t>
  </si>
  <si>
    <t>Sensitivity</t>
  </si>
  <si>
    <t>Linearity</t>
  </si>
  <si>
    <t>New:</t>
  </si>
  <si>
    <t>Large</t>
  </si>
  <si>
    <t>GENERATOR PERFORMANCE</t>
  </si>
  <si>
    <t>Large Focus kV Accuracy and Output</t>
  </si>
  <si>
    <t>Note:  See focal spot data above for mA/mAs selector button</t>
  </si>
  <si>
    <t>Test</t>
  </si>
  <si>
    <t>SDD*</t>
  </si>
  <si>
    <t>Focal</t>
  </si>
  <si>
    <t>Filter Pack/</t>
  </si>
  <si>
    <t xml:space="preserve">  </t>
  </si>
  <si>
    <t>Set</t>
  </si>
  <si>
    <t>Measured values</t>
  </si>
  <si>
    <t>Setup</t>
  </si>
  <si>
    <t>Spot</t>
  </si>
  <si>
    <t>kV</t>
  </si>
  <si>
    <t>time(SEC)</t>
  </si>
  <si>
    <t>kV (max)</t>
  </si>
  <si>
    <t>kV (avg)</t>
  </si>
  <si>
    <t>kVp Accuracy</t>
  </si>
  <si>
    <t>Large Focal Spot</t>
  </si>
  <si>
    <t>Small Focal Spot</t>
  </si>
  <si>
    <t>SDD:</t>
  </si>
  <si>
    <t xml:space="preserve"> mA:</t>
  </si>
  <si>
    <t>time (s):</t>
  </si>
  <si>
    <t>*SDD=Source to detector distance</t>
  </si>
  <si>
    <t>% error</t>
  </si>
  <si>
    <t>Small Focus kV Accuracy and Output</t>
  </si>
  <si>
    <t>Small</t>
  </si>
  <si>
    <t>(Combined comments)</t>
  </si>
  <si>
    <t>SDD</t>
  </si>
  <si>
    <t>SDD*:</t>
  </si>
  <si>
    <t>Note:  Type comments in the below shaded cell.</t>
  </si>
  <si>
    <t>Additional comments:</t>
  </si>
  <si>
    <t>mean:</t>
  </si>
  <si>
    <t>std dev:</t>
  </si>
  <si>
    <t>Coeff. of var.</t>
  </si>
  <si>
    <t>*SDD = Source to Detector Distance</t>
  </si>
  <si>
    <t>kVp coefficient of variation (std dev./mean) &lt;= 5%.</t>
  </si>
  <si>
    <t>Timer performance (Large Focal Spot)</t>
  </si>
  <si>
    <t>NOTE: Enter "Dent" for Dental, "1*" for 1-phase, "3" for 3-phase, "HF" for High Frequency, "CP" for Constant Potential</t>
  </si>
  <si>
    <t>Generator Type:</t>
  </si>
  <si>
    <t>Timer Test is Valid for this generator</t>
  </si>
  <si>
    <t>Reproducibility</t>
  </si>
  <si>
    <t>Set Values*</t>
  </si>
  <si>
    <t>Measured Values*</t>
  </si>
  <si>
    <t>Measured Values</t>
  </si>
  <si>
    <t>*Record time in seconds for 3-phase, HF, and CP</t>
  </si>
  <si>
    <t xml:space="preserve"> For 1-phase, record time in pulses up to 0.5 sec. (60 pulses), and seconds thereafter.</t>
  </si>
  <si>
    <t>Note:  Type comments in the above shaded cell.</t>
  </si>
  <si>
    <t>3-Phase</t>
  </si>
  <si>
    <t>1-Phase</t>
  </si>
  <si>
    <t>Dent</t>
  </si>
  <si>
    <t>Coeff. of var.:</t>
  </si>
  <si>
    <t>Combined Comments</t>
  </si>
  <si>
    <t>Timer Specifications</t>
  </si>
  <si>
    <t>Type</t>
  </si>
  <si>
    <t>time (ms)</t>
  </si>
  <si>
    <t>error</t>
  </si>
  <si>
    <t>1f</t>
  </si>
  <si>
    <t>pulses</t>
  </si>
  <si>
    <t>Cine</t>
  </si>
  <si>
    <t>&lt; 2</t>
  </si>
  <si>
    <t>2 - 5</t>
  </si>
  <si>
    <t>&gt; 5</t>
  </si>
  <si>
    <t>mAs timer</t>
  </si>
  <si>
    <t>3f</t>
  </si>
  <si>
    <t>2 - 10</t>
  </si>
  <si>
    <t>5 - 100</t>
  </si>
  <si>
    <t xml:space="preserve"> 10 - 50</t>
  </si>
  <si>
    <t>&gt; 100</t>
  </si>
  <si>
    <t xml:space="preserve"> 50 - 100</t>
  </si>
  <si>
    <t>Dental</t>
  </si>
  <si>
    <t>All</t>
  </si>
  <si>
    <r>
      <t>+</t>
    </r>
    <r>
      <rPr>
        <sz val="10"/>
        <rFont val="Times New Roman"/>
        <family val="1"/>
      </rPr>
      <t>2</t>
    </r>
  </si>
  <si>
    <r>
      <t>+</t>
    </r>
    <r>
      <rPr>
        <sz val="10"/>
        <rFont val="Times New Roman"/>
        <family val="1"/>
      </rPr>
      <t>2</t>
    </r>
  </si>
  <si>
    <r>
      <t>+</t>
    </r>
    <r>
      <rPr>
        <sz val="10"/>
        <rFont val="Times New Roman"/>
        <family val="1"/>
      </rPr>
      <t>15%</t>
    </r>
  </si>
  <si>
    <t>Do NOT exceed 190</t>
  </si>
  <si>
    <t>AB</t>
  </si>
  <si>
    <t>Rows</t>
  </si>
  <si>
    <t>Comment:</t>
  </si>
  <si>
    <t>Column</t>
  </si>
  <si>
    <r>
      <t>Length for two lines (lower)-</t>
    </r>
    <r>
      <rPr>
        <sz val="10"/>
        <color indexed="10"/>
        <rFont val="Times New Roman"/>
        <family val="1"/>
      </rPr>
      <t>Calc</t>
    </r>
    <r>
      <rPr>
        <sz val="10"/>
        <rFont val="Times New Roman"/>
        <family val="1"/>
      </rPr>
      <t>:</t>
    </r>
  </si>
  <si>
    <r>
      <t>1st line split for two lines only-</t>
    </r>
    <r>
      <rPr>
        <sz val="10"/>
        <color indexed="10"/>
        <rFont val="Times New Roman"/>
        <family val="1"/>
      </rPr>
      <t>Calc</t>
    </r>
    <r>
      <rPr>
        <sz val="10"/>
        <rFont val="Times New Roman"/>
        <family val="1"/>
      </rPr>
      <t>:</t>
    </r>
  </si>
  <si>
    <r>
      <t>1st line split (max)-</t>
    </r>
    <r>
      <rPr>
        <sz val="10"/>
        <color indexed="10"/>
        <rFont val="Times New Roman"/>
        <family val="1"/>
      </rPr>
      <t>Calc</t>
    </r>
    <r>
      <rPr>
        <sz val="10"/>
        <rFont val="Times New Roman"/>
        <family val="1"/>
      </rPr>
      <t>:</t>
    </r>
  </si>
  <si>
    <r>
      <t>Length for two lines (max)-</t>
    </r>
    <r>
      <rPr>
        <sz val="10"/>
        <color indexed="10"/>
        <rFont val="Times New Roman"/>
        <family val="1"/>
      </rPr>
      <t>Calc</t>
    </r>
    <r>
      <rPr>
        <sz val="10"/>
        <rFont val="Times New Roman"/>
        <family val="1"/>
      </rPr>
      <t>:</t>
    </r>
  </si>
  <si>
    <r>
      <t>Count for lines 1 &amp; 2 when 3rd present-</t>
    </r>
    <r>
      <rPr>
        <sz val="10"/>
        <color indexed="10"/>
        <rFont val="Times New Roman"/>
        <family val="1"/>
      </rPr>
      <t>Calc</t>
    </r>
    <r>
      <rPr>
        <sz val="10"/>
        <rFont val="Times New Roman"/>
        <family val="1"/>
      </rPr>
      <t>:</t>
    </r>
  </si>
  <si>
    <t>Number of characters:</t>
  </si>
  <si>
    <r>
      <t>Long word factor(</t>
    </r>
    <r>
      <rPr>
        <sz val="10"/>
        <color indexed="12"/>
        <rFont val="Times New Roman"/>
        <family val="1"/>
      </rPr>
      <t xml:space="preserve"> variable</t>
    </r>
    <r>
      <rPr>
        <sz val="10"/>
        <rFont val="Times New Roman"/>
        <family val="1"/>
      </rPr>
      <t>):</t>
    </r>
  </si>
  <si>
    <r>
      <t>Max line1 (</t>
    </r>
    <r>
      <rPr>
        <sz val="10"/>
        <color indexed="12"/>
        <rFont val="Times New Roman"/>
        <family val="1"/>
      </rPr>
      <t>variable</t>
    </r>
    <r>
      <rPr>
        <sz val="10"/>
        <rFont val="Times New Roman"/>
        <family val="1"/>
      </rPr>
      <t>):</t>
    </r>
  </si>
  <si>
    <t>Film-Max difference 0.3 O.D. for individual kV or thickness; 0.4 O.D. overall</t>
  </si>
  <si>
    <t>Overall:</t>
  </si>
  <si>
    <t>P1475</t>
  </si>
  <si>
    <r>
      <t>+</t>
    </r>
    <r>
      <rPr>
        <sz val="10"/>
        <rFont val="Times New Roman"/>
        <family val="1"/>
      </rPr>
      <t>15%</t>
    </r>
  </si>
  <si>
    <t>kV filter:</t>
  </si>
  <si>
    <t>Large Focus</t>
  </si>
  <si>
    <t>Coeff. of</t>
  </si>
  <si>
    <t>@ SDD</t>
  </si>
  <si>
    <t>Adjacent*</t>
  </si>
  <si>
    <t>Adjacent</t>
  </si>
  <si>
    <t>Non-Adj.</t>
  </si>
  <si>
    <t>*For mAs generators, adjacent means two settings that differ by a factor of approximately 2X.</t>
  </si>
  <si>
    <t>Small Focus</t>
  </si>
  <si>
    <t>Combined Focal Spot Linearity</t>
  </si>
  <si>
    <t>Combined</t>
  </si>
  <si>
    <t>Coefficient of Linearity</t>
  </si>
  <si>
    <t>Max.:</t>
  </si>
  <si>
    <t>Adjacent:</t>
  </si>
  <si>
    <t>Min.:</t>
  </si>
  <si>
    <t>Non-Adjacent:</t>
  </si>
  <si>
    <t>Coefficient of linearity &lt;= 10% (Both adjacent and non-adjacent).</t>
  </si>
  <si>
    <t>Generator Functions</t>
  </si>
  <si>
    <t>Means are provided to indicate technique factors prior to exposure.</t>
  </si>
  <si>
    <t>All technique indicators functional and are free of excessive wear.</t>
  </si>
  <si>
    <t>Technique overload circuits function to block excessive technique.</t>
  </si>
  <si>
    <t>Technique overload circuits function to block excessive technique</t>
  </si>
  <si>
    <t>Anode heat calculator/indicator is functioning properly.</t>
  </si>
  <si>
    <t>Anode heat calculator/indicator is functioning properly</t>
  </si>
  <si>
    <t xml:space="preserve">Indicator of the individual x-ray tube selected present and operational. </t>
  </si>
  <si>
    <t>Indicator of the individual x-ray tube selected present and operational</t>
  </si>
  <si>
    <t>Visible "beam on" indicator present and operational.</t>
  </si>
  <si>
    <t>Visible "beam on" indicator present and operational</t>
  </si>
  <si>
    <t>Audible exposure end indicator present and operational.</t>
  </si>
  <si>
    <t>Audible exposure end indicator present and operational</t>
  </si>
  <si>
    <t>Exposure delay time is not excessive.</t>
  </si>
  <si>
    <t>HALF VALUE LAYER MEASUREMENT</t>
  </si>
  <si>
    <t>Measured HVL based on:</t>
  </si>
  <si>
    <t>Half Value Layer Measurement</t>
  </si>
  <si>
    <t>mm Al</t>
  </si>
  <si>
    <t>Set kVp:</t>
  </si>
  <si>
    <t>Al (mm)</t>
  </si>
  <si>
    <t>Meas. HVL:</t>
  </si>
  <si>
    <t>HVL</t>
  </si>
  <si>
    <t>MIN. HVL</t>
  </si>
  <si>
    <t>MAX. HVL</t>
  </si>
  <si>
    <t>* SDD = Source to Detector Distance.</t>
  </si>
  <si>
    <t>(mm Al)</t>
  </si>
  <si>
    <t>**ACCEPTABLE RESULTS (mm Al)</t>
  </si>
  <si>
    <t>Data Processing:</t>
  </si>
  <si>
    <t>mm Al.</t>
  </si>
  <si>
    <t>Avg. Exp.</t>
  </si>
  <si>
    <t>Meter</t>
  </si>
  <si>
    <t>DATA (1/2)</t>
  </si>
  <si>
    <t>Data Al</t>
  </si>
  <si>
    <t>Acceptable (mm Al)</t>
  </si>
  <si>
    <t>Data Exp</t>
  </si>
  <si>
    <t>LN(EXP)</t>
  </si>
  <si>
    <t>LOW:</t>
  </si>
  <si>
    <t>DESIRED:</t>
  </si>
  <si>
    <t>HIGH:</t>
  </si>
  <si>
    <t>PHOTOTIMING</t>
  </si>
  <si>
    <t>DENSITY CONTROL FUNCTION</t>
  </si>
  <si>
    <t>Density Control Function</t>
  </si>
  <si>
    <t>Thickness</t>
  </si>
  <si>
    <t>Density</t>
  </si>
  <si>
    <t>% change</t>
  </si>
  <si>
    <t>Either/Or</t>
  </si>
  <si>
    <t>Failure</t>
  </si>
  <si>
    <t>in.</t>
  </si>
  <si>
    <t>Minimum Step:</t>
  </si>
  <si>
    <t>Maximum Step:</t>
  </si>
  <si>
    <t>Either/Or:</t>
  </si>
  <si>
    <t>PHOTOTIMING CONTROL</t>
  </si>
  <si>
    <t>(Last Year)</t>
  </si>
  <si>
    <t>PHOTOTIMING TABLE BUCKY</t>
  </si>
  <si>
    <t>Typical Optical Density</t>
  </si>
  <si>
    <t>Atten. Thick:</t>
  </si>
  <si>
    <t>Detector Balance and Reproducibility</t>
  </si>
  <si>
    <t>Atten. thickness:</t>
  </si>
  <si>
    <t>Chamber:</t>
  </si>
  <si>
    <t>LEFT</t>
  </si>
  <si>
    <t>CENTER</t>
  </si>
  <si>
    <t>RIGHT</t>
  </si>
  <si>
    <t>Detector Balance</t>
  </si>
  <si>
    <t>stdev:</t>
  </si>
  <si>
    <t>Max. var:</t>
  </si>
  <si>
    <t>Coeff. of Var.:</t>
  </si>
  <si>
    <t>Criteria:  Detector Balance -</t>
  </si>
  <si>
    <t>Reproducibility -</t>
  </si>
  <si>
    <t>Coefficient of variation &lt;= 5% for each detector</t>
  </si>
  <si>
    <t>kVp and Thickness Compensation</t>
  </si>
  <si>
    <t>Detector:</t>
  </si>
  <si>
    <t>Backup mAs:</t>
  </si>
  <si>
    <t>Attenuator</t>
  </si>
  <si>
    <t>kVp1:</t>
  </si>
  <si>
    <t>kVp2:</t>
  </si>
  <si>
    <t>kVp3:</t>
  </si>
  <si>
    <t>kVp4:</t>
  </si>
  <si>
    <t>thickness (in)</t>
  </si>
  <si>
    <t>Vary Atten:</t>
  </si>
  <si>
    <t>TABLE</t>
  </si>
  <si>
    <t>Vary kVp:</t>
  </si>
  <si>
    <t>Overall Variation:</t>
  </si>
  <si>
    <t>PHOTOTIMING WALL BUCKY</t>
  </si>
  <si>
    <t>WALL</t>
  </si>
  <si>
    <t>Output - Large Focal Spot</t>
  </si>
  <si>
    <t>Calculated</t>
  </si>
  <si>
    <t>(Using</t>
  </si>
  <si>
    <t>Current</t>
  </si>
  <si>
    <t>Previous* Measurements</t>
  </si>
  <si>
    <t>Current Meas.</t>
  </si>
  <si>
    <t>Recorded</t>
  </si>
  <si>
    <t>@ Current</t>
  </si>
  <si>
    <t>SDD (in.):</t>
  </si>
  <si>
    <t>Adjusted to</t>
  </si>
  <si>
    <t>Meas.</t>
  </si>
  <si>
    <t>meas. kVp</t>
  </si>
  <si>
    <t>40" SID)</t>
  </si>
  <si>
    <t>kVp)</t>
  </si>
  <si>
    <t>@40"</t>
  </si>
  <si>
    <t>Change</t>
  </si>
  <si>
    <t>@SDD</t>
  </si>
  <si>
    <t>LN(kVp)</t>
  </si>
  <si>
    <t>*From previous compliance report</t>
  </si>
  <si>
    <t>Output - Small Focal Spot</t>
  </si>
  <si>
    <t>Continuous pressure on exposure switch required to make an exposure with selected tube</t>
  </si>
  <si>
    <t>Operator has full visibility of the exposure factors and patient</t>
  </si>
  <si>
    <t>Lrg. Focus</t>
  </si>
  <si>
    <t>Sm. Focus</t>
  </si>
  <si>
    <t>Enter the distance (cm) from the distal side of the patient to the image receptor for typical patient exposure conditions.</t>
  </si>
  <si>
    <t>Typical Large Focus mA (For technique chart)</t>
  </si>
  <si>
    <t>Typical Small Focus mA</t>
  </si>
  <si>
    <t>cm distance between patient and image receptor</t>
  </si>
  <si>
    <t>**Patient exposure/dose measurements from the previous report were not posted at the time of inspection.  The exposure measurements provided with this report should be posted near the operator's console.</t>
  </si>
  <si>
    <t>**Tube loading charts for each focal spot were not available at the time of inspection.  These charts should be obtained and posted near the operator's console.</t>
  </si>
  <si>
    <t>**Operator's manuals for the imaging equipment were not available at the time of inspection.  These should be obtained and made available to the operator of the equipment.</t>
  </si>
  <si>
    <t>**Monthly radiation monitoring reports were not available at the time of inspection.  These should be posted in accordance with the requirements of the radiation safety office.</t>
  </si>
  <si>
    <t>DO NOT USE THIS SPACE</t>
  </si>
  <si>
    <t>COMMENTS PAGE 2</t>
  </si>
  <si>
    <t>Chamber</t>
  </si>
  <si>
    <t>Technique</t>
  </si>
  <si>
    <t>Comments</t>
  </si>
  <si>
    <t>Note:  Type all comments in the shaded cells.</t>
  </si>
  <si>
    <t>Do NOT exceed 390</t>
  </si>
  <si>
    <t>Input Changes Only</t>
  </si>
  <si>
    <t>AB188</t>
  </si>
  <si>
    <t>N1411</t>
  </si>
  <si>
    <t>M1456</t>
  </si>
  <si>
    <t>Max. Variation 30% for individual kV or thickness; 35% overall</t>
  </si>
  <si>
    <t>M1457</t>
  </si>
  <si>
    <t>M1458</t>
  </si>
  <si>
    <t>NEW VALUES</t>
  </si>
  <si>
    <t>Tube Designation(column 1):</t>
  </si>
  <si>
    <t>Tube Designation(column 2):</t>
  </si>
  <si>
    <t>SID Indicator Accuracy:</t>
  </si>
  <si>
    <t>Average Illumination:</t>
  </si>
  <si>
    <t>Alignment Error (Degrees):</t>
  </si>
  <si>
    <t>TB Rad/Film Center:</t>
  </si>
  <si>
    <t>O353</t>
  </si>
  <si>
    <t>WB Rad/Film Center:</t>
  </si>
  <si>
    <t>HVL Measured kVp:</t>
  </si>
  <si>
    <t>HVL Measured:</t>
  </si>
  <si>
    <t>Table Bucky PT OD:</t>
  </si>
  <si>
    <t>Wall Bucky PT OD:</t>
  </si>
  <si>
    <t>No. Half Aprons:</t>
  </si>
  <si>
    <t>No. Full Aprons:</t>
  </si>
  <si>
    <t>No. Lead Gloves:</t>
  </si>
  <si>
    <t>Patient Entrance Exposure:</t>
  </si>
  <si>
    <t>COMMENT PAGE 1</t>
  </si>
  <si>
    <t>Values</t>
  </si>
  <si>
    <t>NEW</t>
  </si>
  <si>
    <t>Using</t>
  </si>
  <si>
    <t>Chest:</t>
  </si>
  <si>
    <t>Longitud</t>
  </si>
  <si>
    <t>Text if not tube 1 is:</t>
  </si>
  <si>
    <t>TABLE BUCKY</t>
  </si>
  <si>
    <t>throughout</t>
  </si>
  <si>
    <t xml:space="preserve">Use consistent units (cm/in.) </t>
  </si>
  <si>
    <t xml:space="preserve">NOTE: </t>
  </si>
  <si>
    <t>IMPORTANT!! Select below if radiation field is</t>
  </si>
  <si>
    <t>centered to upper or lower bead of the test object.</t>
  </si>
  <si>
    <t>Technique:</t>
  </si>
  <si>
    <t>Large Focus Timer Reprod-1</t>
  </si>
  <si>
    <t>Large Focus Timer Reprod-2</t>
  </si>
  <si>
    <t>Small Focus Timer Reprod-1</t>
  </si>
  <si>
    <t>Small Focus Timer Reprod-2</t>
  </si>
  <si>
    <t>WALL BUCKY</t>
  </si>
  <si>
    <t>SETUP FOR PERFORMANCE TESTING OF THE CASSETTE BUCKIES</t>
  </si>
  <si>
    <t xml:space="preserve">     Mag. Correction - Is beam alignment test being done with the film on the table top?</t>
  </si>
  <si>
    <t xml:space="preserve">(cm) Source to Table </t>
  </si>
  <si>
    <t xml:space="preserve">(cm) Table top to cassette </t>
  </si>
  <si>
    <t>M409</t>
  </si>
  <si>
    <t>M410</t>
  </si>
  <si>
    <t>P414</t>
  </si>
  <si>
    <t>Q414</t>
  </si>
  <si>
    <t>P415</t>
  </si>
  <si>
    <t>Q415</t>
  </si>
  <si>
    <t>M420</t>
  </si>
  <si>
    <t>M421</t>
  </si>
  <si>
    <t>Type:</t>
  </si>
  <si>
    <t>Gen. Radiog. Imaging</t>
  </si>
  <si>
    <t>Chest Imaging</t>
  </si>
  <si>
    <t>Radiographic:</t>
  </si>
  <si>
    <t>Criteria</t>
  </si>
  <si>
    <t>Detec.</t>
  </si>
  <si>
    <t>Atten. Thickness:</t>
  </si>
  <si>
    <t>M1003</t>
  </si>
  <si>
    <t>M1008</t>
  </si>
  <si>
    <t>Last year</t>
  </si>
  <si>
    <t>R1127</t>
  </si>
  <si>
    <t>R1128</t>
  </si>
  <si>
    <t>R1129</t>
  </si>
  <si>
    <t>R1130</t>
  </si>
  <si>
    <t>Q1063</t>
  </si>
  <si>
    <t>Q1064</t>
  </si>
  <si>
    <t>Q1065</t>
  </si>
  <si>
    <t>Q1066</t>
  </si>
  <si>
    <t>PHOTOTIMING DENS TECH</t>
  </si>
  <si>
    <t>PHOTOTIMING TB TECH</t>
  </si>
  <si>
    <t>PHOTOTIMING WB TECH</t>
  </si>
  <si>
    <t>Detector</t>
  </si>
  <si>
    <t>Previous Year Comments:</t>
  </si>
  <si>
    <t>PRINT AREAS</t>
  </si>
  <si>
    <t xml:space="preserve">ALL:  </t>
  </si>
  <si>
    <t xml:space="preserve">REM: </t>
  </si>
  <si>
    <t>Radiographic System Compliance Inspection</t>
  </si>
  <si>
    <t>(2) Come back to this sheet and paste (use paste special, "values") into "LAST YEAR" range</t>
  </si>
  <si>
    <t>LAST</t>
  </si>
  <si>
    <t>THIS</t>
  </si>
  <si>
    <t>Measurement Parameter</t>
  </si>
  <si>
    <t>YEAR</t>
  </si>
  <si>
    <t>(Locked)</t>
  </si>
  <si>
    <t>RANGES:</t>
  </si>
  <si>
    <t>System Information</t>
  </si>
  <si>
    <t>Date:</t>
  </si>
  <si>
    <t>Inspector:</t>
  </si>
  <si>
    <t>Print Area:</t>
  </si>
  <si>
    <t>Last Year:</t>
  </si>
  <si>
    <t>Location</t>
  </si>
  <si>
    <t>Facility:</t>
  </si>
  <si>
    <t>Department:</t>
  </si>
  <si>
    <t>Authorized Use:</t>
  </si>
  <si>
    <t>Area/Division:</t>
  </si>
  <si>
    <t>Date of Installation:</t>
  </si>
  <si>
    <t>Number of X-ray Tubes:</t>
  </si>
  <si>
    <t>Room Number:</t>
  </si>
  <si>
    <t>X-Ray Generator</t>
  </si>
  <si>
    <t>Manufacturer:</t>
  </si>
  <si>
    <t>Date of Manufacture:</t>
  </si>
  <si>
    <t>Model:</t>
  </si>
  <si>
    <t>Serial Number:</t>
  </si>
  <si>
    <t>Max. kVp:</t>
  </si>
  <si>
    <t>Max. mA:</t>
  </si>
  <si>
    <t>Focal Spot Sizes</t>
  </si>
  <si>
    <t>X-Ray Tube 1</t>
  </si>
  <si>
    <t>Focal Spot Sizes (mm)</t>
  </si>
  <si>
    <t>Tube Designation/Use:</t>
  </si>
  <si>
    <t>Large:</t>
  </si>
  <si>
    <t>Small:</t>
  </si>
  <si>
    <t>Micro:</t>
  </si>
  <si>
    <t>Insert Manufacturer:</t>
  </si>
  <si>
    <t>Filtration</t>
  </si>
  <si>
    <t>Insert Model:</t>
  </si>
  <si>
    <t>Inherent:</t>
  </si>
  <si>
    <t>Insert Serial Number:</t>
  </si>
  <si>
    <t>Added:</t>
  </si>
  <si>
    <t>Housing Manufacturer:</t>
  </si>
  <si>
    <t>Image Receptor</t>
  </si>
  <si>
    <t>Housing Model:</t>
  </si>
  <si>
    <t>Film:</t>
  </si>
  <si>
    <t>Housing Serial Number:</t>
  </si>
  <si>
    <t>Screen:</t>
  </si>
  <si>
    <t/>
  </si>
  <si>
    <t>X-Ray Tube 2</t>
  </si>
  <si>
    <t>Inspection Results</t>
  </si>
  <si>
    <t>Rule Number</t>
  </si>
  <si>
    <t>Labels, Notices, Postings</t>
  </si>
  <si>
    <t>Compliance</t>
  </si>
  <si>
    <t>Enter 1 for YES, 2 for NO, 3 for NA</t>
  </si>
  <si>
    <t>"(See tube 1 report)"</t>
  </si>
  <si>
    <t>Tube Number**</t>
  </si>
  <si>
    <t>for this room or</t>
  </si>
  <si>
    <t>generator</t>
  </si>
  <si>
    <t>Radiation warning label present on the generator control panel.</t>
  </si>
  <si>
    <r>
      <t xml:space="preserve">**Note:  Input </t>
    </r>
    <r>
      <rPr>
        <b/>
        <i/>
        <sz val="10"/>
        <rFont val="Times New Roman"/>
        <family val="1"/>
      </rPr>
      <t>only</t>
    </r>
    <r>
      <rPr>
        <sz val="10"/>
        <rFont val="Times New Roman"/>
        <family val="1"/>
      </rPr>
      <t xml:space="preserve"> one of the</t>
    </r>
  </si>
  <si>
    <t>Technique chart is present and accurate.</t>
  </si>
  <si>
    <t>DATE:</t>
  </si>
  <si>
    <t xml:space="preserve"> following numerals or names:</t>
  </si>
  <si>
    <t>Patient exposure/dose measurements are posted.</t>
  </si>
  <si>
    <t>Tube loading charts for each focal spot are posted.</t>
  </si>
  <si>
    <t>Technique chart present.</t>
  </si>
  <si>
    <t>Tube loading charts are correct for installed tube(s).</t>
  </si>
  <si>
    <t>Patient exposure/dose measurements posted.</t>
  </si>
  <si>
    <t>Operators manuals are available.</t>
  </si>
  <si>
    <t>Monthly radiation monitoring reports are posted.</t>
  </si>
  <si>
    <t>Beam Limiting Device</t>
  </si>
  <si>
    <t>A beam limiting device is provided to restrict the size of the useful beam.</t>
  </si>
  <si>
    <t>Fixed aperture device is marked with operating SID (i.e. Dental).</t>
  </si>
  <si>
    <t>Means are provided to indicate the projected field size at a specified SID.</t>
  </si>
  <si>
    <t>Positive means is provided to ensure the minimum filtration is in beam.</t>
  </si>
  <si>
    <t>SID indicator is present and accurate to within 2% SID.</t>
  </si>
  <si>
    <t>Minimum field size is &lt;= 5cm on each side.</t>
  </si>
  <si>
    <t>Average Light field illumination &gt;= 160 lux at 100cm.</t>
  </si>
  <si>
    <t>Table Bucky</t>
  </si>
  <si>
    <t>Central ray is perpendicular to image receptor to within 2 degrees</t>
  </si>
  <si>
    <t>The indicated field size is accurate to within 2% of the SID.</t>
  </si>
  <si>
    <t>Second Tube?</t>
  </si>
  <si>
    <t>X-ray field and light field length/width are congruent within 2% SID.</t>
  </si>
  <si>
    <t>Tube Designation</t>
  </si>
  <si>
    <t>For PBL, x-ray field length/width and film size are equal to within 1% SID.</t>
  </si>
  <si>
    <t>Radiographic image is free of O.D. variations due to grid cutoff.</t>
  </si>
  <si>
    <t>Fixed aperture SID marked</t>
  </si>
  <si>
    <t>Min. field-Longitudinal</t>
  </si>
  <si>
    <t>Min. field-Transverse</t>
  </si>
  <si>
    <t>Wall Bucky</t>
  </si>
  <si>
    <t>TB used?</t>
  </si>
  <si>
    <t>Beam alignment on table top?</t>
  </si>
  <si>
    <t>Phosphor Size</t>
  </si>
  <si>
    <t>Transverse</t>
  </si>
  <si>
    <t>Longitudinal</t>
  </si>
  <si>
    <t>Size on Film</t>
  </si>
  <si>
    <t>Generator</t>
  </si>
  <si>
    <t>Source to Table Top (cm)</t>
  </si>
  <si>
    <t>Table top to cassette (cm)</t>
  </si>
  <si>
    <t>Table bucky cm/in</t>
  </si>
  <si>
    <t>Bucky SID</t>
  </si>
  <si>
    <t>kVp</t>
  </si>
  <si>
    <t>kVp accurate to within 5% of indicated.</t>
  </si>
  <si>
    <t>mA</t>
  </si>
  <si>
    <t>Time</t>
  </si>
  <si>
    <t>New mAs value</t>
  </si>
  <si>
    <t>Timer reproducibility coeff. of var. &lt; 5%.</t>
  </si>
  <si>
    <t>Exposure coefficient of linearity &lt; 10%.</t>
  </si>
  <si>
    <t>Indicated field size</t>
  </si>
  <si>
    <t>Transverse 1</t>
  </si>
  <si>
    <t>Longitudinal 1</t>
  </si>
  <si>
    <t>Radiation Safety</t>
  </si>
  <si>
    <t>Transverse 2</t>
  </si>
  <si>
    <t>Continuous pressure on exposure switch required to make an exposure.</t>
  </si>
  <si>
    <t>Longitudinal 2</t>
  </si>
  <si>
    <t>Exposure switch for selected tube is secured at a safe location</t>
  </si>
  <si>
    <t>Operator has full visibility of the exposure factors and patient.</t>
  </si>
  <si>
    <t>PBL Present</t>
  </si>
  <si>
    <t>Lead aprons available.</t>
  </si>
  <si>
    <t>Stationary Grid?</t>
  </si>
  <si>
    <t>Lead gloves available.</t>
  </si>
  <si>
    <t>Number (Left + Right):</t>
  </si>
  <si>
    <t>A properly designed and installed apron rack is present.</t>
  </si>
  <si>
    <t>Documentation of annual protective apparel integrity inspection is available.</t>
  </si>
  <si>
    <t>Patient restraint devices available.</t>
  </si>
  <si>
    <t>WB used?</t>
  </si>
  <si>
    <t>Gonadal shielding is present and functional.</t>
  </si>
  <si>
    <t>Radiation warning light at room entrance is functional with selected tube</t>
  </si>
  <si>
    <t>X-ray Tube</t>
  </si>
  <si>
    <t>Focal spot resolution is within acceptable parameters</t>
  </si>
  <si>
    <t>The x-ray output @40" within +/-25% from previous measurements.</t>
  </si>
  <si>
    <t>Phototiming - General</t>
  </si>
  <si>
    <t>Wall bucky cm/in</t>
  </si>
  <si>
    <t>Indication given on control panel when AEC is selected.</t>
  </si>
  <si>
    <t>Wall Bucky SID 1</t>
  </si>
  <si>
    <t>Backup limit is &lt;= 600 mAs or 60 kWs</t>
  </si>
  <si>
    <t>Limit:</t>
  </si>
  <si>
    <t>Wall Bucky SID 2</t>
  </si>
  <si>
    <t>Visible signal indicates backup limit and subsequent exposures blocked.</t>
  </si>
  <si>
    <t>Phototiming - Table Bucky</t>
  </si>
  <si>
    <t>Vertical 1</t>
  </si>
  <si>
    <t>Vertical 2</t>
  </si>
  <si>
    <t>Reproducibility for each detector provides coeff. of var. &lt;=5%.</t>
  </si>
  <si>
    <t>Phototiming - Wall Bucky</t>
  </si>
  <si>
    <t>X-RAY TUBE</t>
  </si>
  <si>
    <t>Large Focus:</t>
  </si>
  <si>
    <t>mA/mAs</t>
  </si>
  <si>
    <t>Physical Inspection</t>
  </si>
  <si>
    <t>SID</t>
  </si>
  <si>
    <t>System clean and free of debris.</t>
  </si>
  <si>
    <t>OFD</t>
  </si>
  <si>
    <t>All cables free from excessive wear or restraints.</t>
  </si>
  <si>
    <t>System free of missing or damaged components.</t>
  </si>
  <si>
    <t>Last year Lrg FS resolution</t>
  </si>
  <si>
    <t>Table movements and locks acceptable</t>
  </si>
  <si>
    <t>Previous 1 yr Lrg FS resolution</t>
  </si>
  <si>
    <t>Table bucky cassette tray movements and locks acceptable</t>
  </si>
  <si>
    <t>Wall bucky movements and locks acceptable</t>
  </si>
  <si>
    <t>Small Focus:</t>
  </si>
  <si>
    <t>Wall bucky cassette tray movements and locks acceptable</t>
  </si>
  <si>
    <t>Tube crane movements and locks acceptable.</t>
  </si>
  <si>
    <t>All other movements and locks functional.</t>
  </si>
  <si>
    <t>Last year Sm FS resolution</t>
  </si>
  <si>
    <t>Previous 1 yr Sm FS resolution</t>
  </si>
  <si>
    <t>Test Equipment Utilized:</t>
  </si>
  <si>
    <t>LFSDD</t>
  </si>
  <si>
    <t>SFSDD</t>
  </si>
  <si>
    <t>Timer</t>
  </si>
  <si>
    <t>Generator Type</t>
  </si>
  <si>
    <t>Timer Test Valid?</t>
  </si>
  <si>
    <t>Phototime Backup</t>
  </si>
  <si>
    <t>Large Focus Output</t>
  </si>
  <si>
    <t>SDD(in.)</t>
  </si>
  <si>
    <t>N1003</t>
  </si>
  <si>
    <t>N1008</t>
  </si>
  <si>
    <t>Exposure/Dose Measurement</t>
  </si>
  <si>
    <t>Film/Screen:</t>
  </si>
  <si>
    <t>Patient</t>
  </si>
  <si>
    <t xml:space="preserve">Entrance </t>
  </si>
  <si>
    <t>thickness</t>
  </si>
  <si>
    <t>Field size</t>
  </si>
  <si>
    <t>exposure</t>
  </si>
  <si>
    <t>Small Focus Output</t>
  </si>
  <si>
    <t>Procedure</t>
  </si>
  <si>
    <t>Grid</t>
  </si>
  <si>
    <t>(in)</t>
  </si>
  <si>
    <t>(cm)</t>
  </si>
  <si>
    <t>time (s)</t>
  </si>
  <si>
    <t>Comments:</t>
  </si>
  <si>
    <t>Exposure Chart</t>
  </si>
  <si>
    <t>Patient to film distance (cm)</t>
  </si>
  <si>
    <t>LF mA</t>
  </si>
  <si>
    <t>SF mA</t>
  </si>
  <si>
    <t>SID (in.)</t>
  </si>
  <si>
    <t>thickness (cm)</t>
  </si>
  <si>
    <t>Measurement Data</t>
  </si>
  <si>
    <t>SID Indicator is present on the system.</t>
  </si>
  <si>
    <t>Field Size (in.)</t>
  </si>
  <si>
    <t>A light field is provided to indicate location and size of radiation field</t>
  </si>
  <si>
    <t>SID Indicator</t>
  </si>
  <si>
    <t>Percent</t>
  </si>
  <si>
    <t>Accuracy</t>
  </si>
  <si>
    <t>Indicated</t>
  </si>
  <si>
    <t>Measured</t>
  </si>
  <si>
    <t>Error</t>
  </si>
  <si>
    <t>Acceptable:</t>
  </si>
  <si>
    <t>Criteria:</t>
  </si>
  <si>
    <t>SID indicator accurate to within 2%</t>
  </si>
  <si>
    <t>Minimum</t>
  </si>
  <si>
    <t>Measurements (cm)</t>
  </si>
  <si>
    <t>Field Size</t>
  </si>
  <si>
    <t>mAs</t>
  </si>
  <si>
    <t>Each dimension of the minimum field size at an SID of 100 cm shall be &lt;= 5 cm</t>
  </si>
  <si>
    <t>Light Field</t>
  </si>
  <si>
    <t>Average Illumination</t>
  </si>
  <si>
    <t>Illumination</t>
  </si>
  <si>
    <t>1st quad.</t>
  </si>
  <si>
    <t>2nd quad.</t>
  </si>
  <si>
    <t>3rd quad.</t>
  </si>
  <si>
    <t>4th quad.</t>
  </si>
  <si>
    <t>*Or at maximum SID, whichever is smaller</t>
  </si>
  <si>
    <t>COMMENT PAGE 2</t>
  </si>
  <si>
    <t>CR Field Size Correction Factor:</t>
  </si>
  <si>
    <t>Enter 1 for YES, 2 for NO</t>
  </si>
  <si>
    <t xml:space="preserve">Distance (cm) from the distal side of the </t>
  </si>
  <si>
    <t xml:space="preserve">     Is this tube used with a table bucky or other horizontal type film  image receptor?</t>
  </si>
  <si>
    <t xml:space="preserve">patient to the image receptor for typical </t>
  </si>
  <si>
    <t>Beam Alignment</t>
  </si>
  <si>
    <t>Measured Separation</t>
  </si>
  <si>
    <t>patient exposure conditions:</t>
  </si>
  <si>
    <t>Computed Radiog.</t>
  </si>
  <si>
    <t>Of Steel Balls (mm)</t>
  </si>
  <si>
    <t>(Degrees)</t>
  </si>
  <si>
    <t>Phosphor Size:</t>
  </si>
  <si>
    <t>CR</t>
  </si>
  <si>
    <t>Size on Film:</t>
  </si>
  <si>
    <t>Avg. CF</t>
  </si>
  <si>
    <t>Correction Factor:</t>
  </si>
  <si>
    <t>Central ray perpendicular to image receptor to within 2 degrees.</t>
  </si>
  <si>
    <t>Upper</t>
  </si>
  <si>
    <t>Lower</t>
  </si>
  <si>
    <t>X-ray Centering and Congruence</t>
  </si>
  <si>
    <t>kVp:</t>
  </si>
  <si>
    <t>mA:</t>
  </si>
  <si>
    <t>time:</t>
  </si>
  <si>
    <t>mAs:</t>
  </si>
  <si>
    <t>SID:</t>
  </si>
  <si>
    <t>COMMENT PAGE 3</t>
  </si>
  <si>
    <t>Rad/Film Center</t>
  </si>
  <si>
    <t xml:space="preserve">Push button to select cm/in.       </t>
  </si>
  <si>
    <t>Bucky SID:</t>
  </si>
  <si>
    <t>cm</t>
  </si>
  <si>
    <t>Last Year</t>
  </si>
  <si>
    <t>Center of x-ray field to center of image receptor &lt;= 0.5 inches.</t>
  </si>
  <si>
    <t>Visual Check</t>
  </si>
  <si>
    <t>New</t>
  </si>
  <si>
    <t>Centering okay?</t>
  </si>
  <si>
    <t>Indicated Field Size @SID</t>
  </si>
  <si>
    <t>Measured* Radiation</t>
  </si>
  <si>
    <t>Measured** Light</t>
  </si>
  <si>
    <t>Field Size Indicators</t>
  </si>
  <si>
    <t>Light/Rad. Congruence</t>
  </si>
  <si>
    <t>Field size indicators okay?</t>
  </si>
  <si>
    <t>Error (% SID)</t>
  </si>
  <si>
    <t>Edge Congruence Okay?</t>
  </si>
  <si>
    <t>*Dimension of highest optical density region</t>
  </si>
  <si>
    <t>**Dimension between the image of the coins marking the edge of the light field</t>
  </si>
  <si>
    <t>Acceptable</t>
  </si>
  <si>
    <t>New Values</t>
  </si>
  <si>
    <t>The indicated field length/width are accurate to within 2% of the SID.</t>
  </si>
  <si>
    <t>Automatic (PBL) Collimation</t>
  </si>
  <si>
    <t>Positive beam limitation (PBL) is present and operational.</t>
  </si>
  <si>
    <t>Enter 1 for YES, 2 for PBL present but not functioning, 3 for No PBL or Intentionally disabled</t>
  </si>
  <si>
    <t xml:space="preserve">  Positive beam limitation (PBL) is present and operational.</t>
  </si>
  <si>
    <t>COMMENT PAGE 4</t>
  </si>
  <si>
    <t>Antiscatter Grid</t>
  </si>
  <si>
    <t>Is this a stationary grid?</t>
  </si>
  <si>
    <t xml:space="preserve">     Is this tube used with a wall bucky or other vertical type film  image receptor?</t>
  </si>
  <si>
    <t>Avg.</t>
  </si>
  <si>
    <t>CF</t>
  </si>
  <si>
    <t>Bucky</t>
  </si>
  <si>
    <t>Vertical</t>
  </si>
  <si>
    <t>COMMENTS</t>
  </si>
  <si>
    <t>Min. field size</t>
  </si>
  <si>
    <t>Light illumination</t>
  </si>
  <si>
    <t>Table Bucky Collimator</t>
  </si>
  <si>
    <t>Table Bucky PBL</t>
  </si>
  <si>
    <t>Table Bucky Grid</t>
  </si>
  <si>
    <t>Wall Bucky Collimator</t>
  </si>
  <si>
    <t>Wall Bucky PBL</t>
  </si>
  <si>
    <t>Wall Bucky Grid</t>
  </si>
  <si>
    <t>Focal Spot Resolution</t>
  </si>
  <si>
    <t>Large Focus kV accuracy</t>
  </si>
  <si>
    <t>Small Focus kV accuracy</t>
  </si>
  <si>
    <t>M555</t>
  </si>
  <si>
    <t>Exposure Timer</t>
  </si>
  <si>
    <t>Large Focus Linearity</t>
  </si>
  <si>
    <t>Small Focus Linearity</t>
  </si>
  <si>
    <t>Half Value Layer</t>
  </si>
  <si>
    <t>Phototiming-table bucky</t>
  </si>
  <si>
    <t>Phototiming-wall bucky</t>
  </si>
  <si>
    <t>Patient Exposure Data</t>
  </si>
  <si>
    <t>Phototime-Table bucky (CR)</t>
  </si>
  <si>
    <t>Phototime-Wall bucky (CR)</t>
  </si>
  <si>
    <t>1 Year</t>
  </si>
  <si>
    <t>2 Year</t>
  </si>
  <si>
    <t>Previous</t>
  </si>
  <si>
    <t>mm</t>
  </si>
  <si>
    <t>Resolution</t>
  </si>
  <si>
    <t>time</t>
  </si>
  <si>
    <t>SID*</t>
  </si>
  <si>
    <t>OFD**</t>
  </si>
  <si>
    <t>Magnification</t>
  </si>
  <si>
    <t>(lp/mm)</t>
  </si>
  <si>
    <t>New Values:</t>
  </si>
  <si>
    <t>* SID = Source to Image (film) Distance.</t>
  </si>
  <si>
    <t>** OFD = Object (resolution pattern) to Film Distance.</t>
  </si>
  <si>
    <t>No significant change in resolution since previous measurement.</t>
  </si>
  <si>
    <t>Generator Performance</t>
  </si>
  <si>
    <t>Y2</t>
  </si>
  <si>
    <t>O8</t>
  </si>
  <si>
    <t>V8</t>
  </si>
  <si>
    <t>P11</t>
  </si>
  <si>
    <t>P12</t>
  </si>
  <si>
    <t>P13</t>
  </si>
  <si>
    <t>P14</t>
  </si>
  <si>
    <t>P15</t>
  </si>
  <si>
    <t>P18</t>
  </si>
  <si>
    <t>P19</t>
  </si>
  <si>
    <t>P20</t>
  </si>
  <si>
    <t>P24</t>
  </si>
  <si>
    <t>P25</t>
  </si>
  <si>
    <t>P27</t>
  </si>
  <si>
    <t>P28</t>
  </si>
  <si>
    <t>P29</t>
  </si>
  <si>
    <t>P31</t>
  </si>
  <si>
    <t>P32</t>
  </si>
  <si>
    <t>P33</t>
  </si>
  <si>
    <t>P37</t>
  </si>
  <si>
    <t>P38</t>
  </si>
  <si>
    <t>P40</t>
  </si>
  <si>
    <t>P41</t>
  </si>
  <si>
    <t>P42</t>
  </si>
  <si>
    <t>P44</t>
  </si>
  <si>
    <t>P45</t>
  </si>
  <si>
    <t>P46</t>
  </si>
  <si>
    <t>T11</t>
  </si>
  <si>
    <t>T12</t>
  </si>
  <si>
    <t>T13</t>
  </si>
  <si>
    <t>T14</t>
  </si>
  <si>
    <t>T18</t>
  </si>
  <si>
    <t>T19</t>
  </si>
  <si>
    <t>T20</t>
  </si>
  <si>
    <t>T24</t>
  </si>
  <si>
    <t>T25</t>
  </si>
  <si>
    <t>T26</t>
  </si>
  <si>
    <t>T28</t>
  </si>
  <si>
    <t>T29</t>
  </si>
  <si>
    <t>T32</t>
  </si>
  <si>
    <t>T33</t>
  </si>
  <si>
    <t>T37</t>
  </si>
  <si>
    <t>T38</t>
  </si>
  <si>
    <t>T39</t>
  </si>
  <si>
    <t>T41</t>
  </si>
  <si>
    <t>T42</t>
  </si>
  <si>
    <t>T45</t>
  </si>
  <si>
    <t>T46</t>
  </si>
  <si>
    <t>M53</t>
  </si>
  <si>
    <t>U54</t>
  </si>
  <si>
    <t>M469</t>
  </si>
  <si>
    <t>Q494</t>
  </si>
  <si>
    <t>R494</t>
  </si>
  <si>
    <t>V423</t>
  </si>
  <si>
    <t>U423</t>
  </si>
  <si>
    <t>O542</t>
  </si>
  <si>
    <t>Q542</t>
  </si>
  <si>
    <t>S542</t>
  </si>
  <si>
    <t>M554</t>
  </si>
  <si>
    <t>N554</t>
  </si>
  <si>
    <t>N555</t>
  </si>
  <si>
    <t>M572</t>
  </si>
  <si>
    <t>M589</t>
  </si>
  <si>
    <t>M434</t>
  </si>
  <si>
    <t>P438</t>
  </si>
  <si>
    <t>Q438</t>
  </si>
  <si>
    <t>P439</t>
  </si>
  <si>
    <t>Q439</t>
  </si>
  <si>
    <t>O601</t>
  </si>
  <si>
    <t>Q601</t>
  </si>
  <si>
    <t>S601</t>
  </si>
  <si>
    <t>V448</t>
  </si>
  <si>
    <t>M616</t>
  </si>
  <si>
    <t>M617</t>
  </si>
  <si>
    <t>N616</t>
  </si>
  <si>
    <t>O616</t>
  </si>
  <si>
    <t>N617</t>
  </si>
  <si>
    <t>O617</t>
  </si>
  <si>
    <t>M635</t>
  </si>
  <si>
    <t>M653</t>
  </si>
  <si>
    <t>P668</t>
  </si>
  <si>
    <t>O669</t>
  </si>
  <si>
    <t>P669</t>
  </si>
  <si>
    <t>Q669</t>
  </si>
  <si>
    <t>R669</t>
  </si>
  <si>
    <t>S669</t>
  </si>
  <si>
    <t>U669</t>
  </si>
  <si>
    <t>V669</t>
  </si>
  <si>
    <t>P673</t>
  </si>
  <si>
    <t>O674</t>
  </si>
  <si>
    <t>P674</t>
  </si>
  <si>
    <t>Q674</t>
  </si>
  <si>
    <t>R674</t>
  </si>
  <si>
    <t>S674</t>
  </si>
  <si>
    <t>U674</t>
  </si>
  <si>
    <t>V674</t>
  </si>
  <si>
    <t>O687</t>
  </si>
  <si>
    <t>N693</t>
  </si>
  <si>
    <t>N711</t>
  </si>
  <si>
    <t>O805</t>
  </si>
  <si>
    <t>M806</t>
  </si>
  <si>
    <t>O1027</t>
  </si>
  <si>
    <t>P1397</t>
  </si>
  <si>
    <t>P1398</t>
  </si>
  <si>
    <t>P1399</t>
  </si>
  <si>
    <t>P1400</t>
  </si>
  <si>
    <t>P1401</t>
  </si>
  <si>
    <t>P1402</t>
  </si>
  <si>
    <t>P1403</t>
  </si>
  <si>
    <t>P1404</t>
  </si>
  <si>
    <t>R1397</t>
  </si>
  <si>
    <t>R1398</t>
  </si>
  <si>
    <t>R1399</t>
  </si>
  <si>
    <t>R1400</t>
  </si>
  <si>
    <t>R1401</t>
  </si>
  <si>
    <t>R1402</t>
  </si>
  <si>
    <t>R1403</t>
  </si>
  <si>
    <t>R1404</t>
  </si>
  <si>
    <t>P1414</t>
  </si>
  <si>
    <t>P1415</t>
  </si>
  <si>
    <t>P1416</t>
  </si>
  <si>
    <t>P1417</t>
  </si>
  <si>
    <t>P1418</t>
  </si>
  <si>
    <t>P1419</t>
  </si>
  <si>
    <t>R1414</t>
  </si>
  <si>
    <t>R1415</t>
  </si>
  <si>
    <t>R1416</t>
  </si>
  <si>
    <t>R1417</t>
  </si>
  <si>
    <t>R1418</t>
  </si>
  <si>
    <t>R1419</t>
  </si>
  <si>
    <t>N1464</t>
  </si>
  <si>
    <t>N1465</t>
  </si>
  <si>
    <t>N1466</t>
  </si>
  <si>
    <t>N1467</t>
  </si>
  <si>
    <t>N1468</t>
  </si>
  <si>
    <t>N1469</t>
  </si>
  <si>
    <t>N1470</t>
  </si>
  <si>
    <t>N1471</t>
  </si>
  <si>
    <t>N1472</t>
  </si>
  <si>
    <t>N1473</t>
  </si>
  <si>
    <t>O1464</t>
  </si>
  <si>
    <t>O1465</t>
  </si>
  <si>
    <t>O1466</t>
  </si>
  <si>
    <t>O1467</t>
  </si>
  <si>
    <t>O1468</t>
  </si>
  <si>
    <t>O1469</t>
  </si>
  <si>
    <t>O1470</t>
  </si>
  <si>
    <t>O1471</t>
  </si>
  <si>
    <t>O1472</t>
  </si>
  <si>
    <t>O1473</t>
  </si>
  <si>
    <t>P1464</t>
  </si>
  <si>
    <t>P1465</t>
  </si>
  <si>
    <t>P1466</t>
  </si>
  <si>
    <t>P1467</t>
  </si>
  <si>
    <t>P1468</t>
  </si>
  <si>
    <t>P1469</t>
  </si>
  <si>
    <t>P1470</t>
  </si>
  <si>
    <t>P1471</t>
  </si>
  <si>
    <t>P1472</t>
  </si>
  <si>
    <t>P1473</t>
  </si>
  <si>
    <t>Q1464</t>
  </si>
  <si>
    <t>Q1465</t>
  </si>
  <si>
    <t>Q1466</t>
  </si>
  <si>
    <t>Q1467</t>
  </si>
  <si>
    <t>Q1468</t>
  </si>
  <si>
    <t>Q1469</t>
  </si>
  <si>
    <t>Q1470</t>
  </si>
  <si>
    <t>Q1471</t>
  </si>
  <si>
    <t>Q1472</t>
  </si>
  <si>
    <t>Q1473</t>
  </si>
  <si>
    <t>R1464</t>
  </si>
  <si>
    <t>R1465</t>
  </si>
  <si>
    <t>R1466</t>
  </si>
  <si>
    <t>R1467</t>
  </si>
  <si>
    <t>R1468</t>
  </si>
  <si>
    <t>R1469</t>
  </si>
  <si>
    <t>R1470</t>
  </si>
  <si>
    <t>R1471</t>
  </si>
  <si>
    <t>R1472</t>
  </si>
  <si>
    <t>R1473</t>
  </si>
  <si>
    <t>S1464</t>
  </si>
  <si>
    <t>S1465</t>
  </si>
  <si>
    <t>S1466</t>
  </si>
  <si>
    <t>S1467</t>
  </si>
  <si>
    <t>S1468</t>
  </si>
  <si>
    <t>S1469</t>
  </si>
  <si>
    <t>S1470</t>
  </si>
  <si>
    <t>S1471</t>
  </si>
  <si>
    <t>S1472</t>
  </si>
  <si>
    <t>S1473</t>
  </si>
  <si>
    <t>W1464</t>
  </si>
  <si>
    <t>W1465</t>
  </si>
  <si>
    <t>W1466</t>
  </si>
  <si>
    <t>W1467</t>
  </si>
  <si>
    <t>W1468</t>
  </si>
  <si>
    <t>W1469</t>
  </si>
  <si>
    <t>W1470</t>
  </si>
  <si>
    <t>W1471</t>
  </si>
  <si>
    <t>W1472</t>
  </si>
  <si>
    <t>W1473</t>
  </si>
  <si>
    <t>O205</t>
  </si>
  <si>
    <t>O207</t>
  </si>
  <si>
    <t>O209</t>
  </si>
  <si>
    <t>O211</t>
  </si>
  <si>
    <t>O213</t>
  </si>
  <si>
    <t>O215</t>
  </si>
  <si>
    <t>O217</t>
  </si>
  <si>
    <t>O219</t>
  </si>
  <si>
    <t>O221</t>
  </si>
  <si>
    <t>O223</t>
  </si>
  <si>
    <t>O225</t>
  </si>
  <si>
    <t>O227</t>
  </si>
  <si>
    <t>O229</t>
  </si>
  <si>
    <t>O231</t>
  </si>
  <si>
    <t>O233</t>
  </si>
  <si>
    <t>O235</t>
  </si>
  <si>
    <t>O237</t>
  </si>
  <si>
    <t>O239</t>
  </si>
  <si>
    <t>O241</t>
  </si>
  <si>
    <t>O271</t>
  </si>
  <si>
    <t>O273</t>
  </si>
  <si>
    <t>O275</t>
  </si>
  <si>
    <t>O277</t>
  </si>
  <si>
    <t>O279</t>
  </si>
  <si>
    <t>O281</t>
  </si>
  <si>
    <t>O283</t>
  </si>
  <si>
    <t>O285</t>
  </si>
  <si>
    <t>O287</t>
  </si>
  <si>
    <t>O289</t>
  </si>
  <si>
    <t>O291</t>
  </si>
  <si>
    <t>O293</t>
  </si>
  <si>
    <t>O295</t>
  </si>
  <si>
    <t>O297</t>
  </si>
  <si>
    <t>O299</t>
  </si>
  <si>
    <t>O301</t>
  </si>
  <si>
    <t>O303</t>
  </si>
  <si>
    <t>O305</t>
  </si>
  <si>
    <t>O307</t>
  </si>
  <si>
    <t>O337</t>
  </si>
  <si>
    <t>O339</t>
  </si>
  <si>
    <t>O341</t>
  </si>
  <si>
    <t>O343</t>
  </si>
  <si>
    <t>O345</t>
  </si>
  <si>
    <t>O347</t>
  </si>
  <si>
    <t>O349</t>
  </si>
  <si>
    <t>O351</t>
  </si>
  <si>
    <t>O355</t>
  </si>
  <si>
    <t>O357</t>
  </si>
  <si>
    <t>O359</t>
  </si>
  <si>
    <t>O361</t>
  </si>
  <si>
    <t>O363</t>
  </si>
  <si>
    <t>O365</t>
  </si>
  <si>
    <t>O367</t>
  </si>
  <si>
    <t>O369</t>
  </si>
  <si>
    <t>O371</t>
  </si>
  <si>
    <t>O373</t>
  </si>
  <si>
    <t>O475</t>
  </si>
  <si>
    <t>O488</t>
  </si>
  <si>
    <t>O498</t>
  </si>
  <si>
    <t>O509</t>
  </si>
  <si>
    <t>O565</t>
  </si>
  <si>
    <t>O582</t>
  </si>
  <si>
    <t>O591</t>
  </si>
  <si>
    <t>O628</t>
  </si>
  <si>
    <t>O645</t>
  </si>
  <si>
    <t>O656</t>
  </si>
  <si>
    <t>O683</t>
  </si>
  <si>
    <t>O703</t>
  </si>
  <si>
    <t>O719</t>
  </si>
  <si>
    <t>O751</t>
  </si>
  <si>
    <t>O753</t>
  </si>
  <si>
    <t>P772</t>
  </si>
  <si>
    <t>O824</t>
  </si>
  <si>
    <t>O877</t>
  </si>
  <si>
    <t>O892</t>
  </si>
  <si>
    <t>O946</t>
  </si>
  <si>
    <t>O1105</t>
  </si>
  <si>
    <t>O1171</t>
  </si>
  <si>
    <t>O1301</t>
  </si>
  <si>
    <t>O1367</t>
  </si>
  <si>
    <t>U59</t>
  </si>
  <si>
    <t>U60</t>
  </si>
  <si>
    <t>U61</t>
  </si>
  <si>
    <t>U62</t>
  </si>
  <si>
    <t>U63</t>
  </si>
  <si>
    <t>U64</t>
  </si>
  <si>
    <t>U65</t>
  </si>
  <si>
    <t>V59</t>
  </si>
  <si>
    <t>V60</t>
  </si>
  <si>
    <t>V61</t>
  </si>
  <si>
    <t>V62</t>
  </si>
  <si>
    <t>V63</t>
  </si>
  <si>
    <t>V64</t>
  </si>
  <si>
    <t>V65</t>
  </si>
  <si>
    <t>U504</t>
  </si>
  <si>
    <t>R537</t>
  </si>
  <si>
    <t>Q547</t>
  </si>
  <si>
    <t>Q608</t>
  </si>
  <si>
    <t>S950</t>
  </si>
  <si>
    <t>S951</t>
  </si>
  <si>
    <t>W1063</t>
  </si>
  <si>
    <t>W1129</t>
  </si>
  <si>
    <t>R1430</t>
  </si>
  <si>
    <t>T1430</t>
  </si>
  <si>
    <t>R1431</t>
  </si>
  <si>
    <t>V1464</t>
  </si>
  <si>
    <t>V1465</t>
  </si>
  <si>
    <t>V1466</t>
  </si>
  <si>
    <t>V1467</t>
  </si>
  <si>
    <t>V1468</t>
  </si>
  <si>
    <t>V1469</t>
  </si>
  <si>
    <t>V1470</t>
  </si>
  <si>
    <t>V1471</t>
  </si>
  <si>
    <t>V1472</t>
  </si>
  <si>
    <t>V1473</t>
  </si>
  <si>
    <t>O170</t>
  </si>
  <si>
    <t>O172</t>
  </si>
  <si>
    <t>O174</t>
  </si>
  <si>
    <t>O176</t>
  </si>
  <si>
    <t>O178</t>
  </si>
  <si>
    <t>O180</t>
  </si>
  <si>
    <t>O182</t>
  </si>
  <si>
    <t>O184</t>
  </si>
  <si>
    <t>O186</t>
  </si>
  <si>
    <t>(1) Go to last year's spreadsheet (see "**Note", below) and copy from ITS "THIS YEAR" range</t>
  </si>
  <si>
    <t>Cell AD6</t>
  </si>
  <si>
    <t>LASTYEAR (Data, starting with cell AB8)</t>
  </si>
  <si>
    <t>THISYEAR  (Data, starting with cell AD8)</t>
  </si>
  <si>
    <t>Contact/access Info.:</t>
  </si>
  <si>
    <t>T1</t>
  </si>
  <si>
    <t>T2</t>
  </si>
  <si>
    <t>T3</t>
  </si>
  <si>
    <t>T4</t>
  </si>
  <si>
    <t>T5</t>
  </si>
  <si>
    <t>T6</t>
  </si>
  <si>
    <t>METHOD TO SET THE LINE LENGTH FOR THE COMMENTS: (1) Set the maximum for line 1. (2) Vary the long word factor until the three lines are fairly evenly distributed.</t>
  </si>
  <si>
    <t>I wanted every body to know that now is the time for all good women to come to the aid of their country, and if you don't belive that, then know that the sly brown fox jumped quickly over the lazy dog. I wanted every body to know that now is the time for all good men to come to the aid of their country, and if you don't belive that, the know that the sly brown fox jumped quickly over the lazy dog. The end.</t>
  </si>
  <si>
    <t>Max</t>
  </si>
  <si>
    <t>Median</t>
  </si>
  <si>
    <t>Min.</t>
  </si>
  <si>
    <t>P770</t>
  </si>
  <si>
    <t>Combined Comments:</t>
  </si>
  <si>
    <t>pulse</t>
  </si>
  <si>
    <t>25-60 pulses</t>
  </si>
  <si>
    <t>&gt;60 pulses</t>
  </si>
  <si>
    <t>&lt; =4 pulses</t>
  </si>
  <si>
    <t>5-24 pulses</t>
  </si>
  <si>
    <t>Exposure &amp; AEC Meter:  Max. Variation 35%</t>
  </si>
  <si>
    <t>Film:  Maximum variation of 0.4 O.D.</t>
  </si>
  <si>
    <t>Exposure &amp; AEC Meter-</t>
  </si>
  <si>
    <t>Spot film exposure blocked when there is no cassette</t>
  </si>
  <si>
    <t>Spot film exposure blocked when serial exposures are completed</t>
  </si>
  <si>
    <t>Spot film device provides acceptable centering to the image receptor</t>
  </si>
  <si>
    <t>21CFR 1020.31(g)(4)</t>
  </si>
  <si>
    <t>Medical University of South Carolina</t>
  </si>
  <si>
    <t>Charleston, South Carolina</t>
  </si>
  <si>
    <t>Survey ID:</t>
  </si>
  <si>
    <t>Site:</t>
  </si>
  <si>
    <t>JCAHO</t>
  </si>
  <si>
    <t>Center of the x-ray field to center of image receptor &lt;= 2% SID.</t>
  </si>
  <si>
    <t>Units:</t>
  </si>
  <si>
    <t>Enter 1 for ft-cd or 2 for lux</t>
  </si>
  <si>
    <t>Illumination units:</t>
  </si>
  <si>
    <t>1.9&lt;=lgM&lt;=2.1</t>
  </si>
  <si>
    <t>Is this the second or more report on the same generator (i.e. more than one tube?)</t>
  </si>
  <si>
    <t>HF</t>
  </si>
  <si>
    <t>Meets minimum HVL criteria:</t>
  </si>
  <si>
    <t>Meets min HVL:</t>
  </si>
  <si>
    <t>Unit has phototimer density control</t>
  </si>
  <si>
    <t>Grid type</t>
  </si>
  <si>
    <t>mGy</t>
  </si>
  <si>
    <t>mGy/mAs</t>
  </si>
  <si>
    <t>LN(mGy/mAs)</t>
  </si>
  <si>
    <t>(mGy)</t>
  </si>
  <si>
    <t>mGy/mAs Output</t>
  </si>
  <si>
    <t>(mGy/mAs)adj1 - (mGy/mAs)adj2</t>
  </si>
  <si>
    <t>(mGy/mAs)adj1 + (mGy/mAs)adj2</t>
  </si>
  <si>
    <t>(mGy/mAs)max - (mGy/mAs)min</t>
  </si>
  <si>
    <t>(mGy/mAs)max + (mGy/mAs)min</t>
  </si>
  <si>
    <t>air kerma</t>
  </si>
  <si>
    <t>KAP</t>
  </si>
  <si>
    <t>(Gy-cm^2)</t>
  </si>
  <si>
    <t>LFS Output Slope:</t>
  </si>
  <si>
    <t>SFS Output Slope:</t>
  </si>
  <si>
    <t>Overall Slope:</t>
  </si>
  <si>
    <t>Huttner Grating</t>
  </si>
  <si>
    <t>kVp and Exposure Reproducibility</t>
  </si>
  <si>
    <t>Large Focus kV, Exposure, Timer Reproducibility</t>
  </si>
  <si>
    <t>Small Focus kV, Exposure, Timer Reproducibility</t>
  </si>
  <si>
    <t>Criteria: lgM - Max difference 0.2 lgM for individual kV or thickness; 0.2 lgM overall</t>
  </si>
  <si>
    <t>Software Version:</t>
  </si>
  <si>
    <t>Beam Align</t>
  </si>
  <si>
    <t>Rad/film center table</t>
  </si>
  <si>
    <t>Rad/film center wall</t>
  </si>
  <si>
    <t>LFS</t>
  </si>
  <si>
    <t>SFS</t>
  </si>
  <si>
    <t>Table SID</t>
  </si>
  <si>
    <t>Wall SID</t>
  </si>
  <si>
    <t>Collimation table</t>
  </si>
  <si>
    <t>PBL table</t>
  </si>
  <si>
    <t>Collimation wall</t>
  </si>
  <si>
    <t>PBL wall</t>
  </si>
  <si>
    <t>LFS Output</t>
  </si>
  <si>
    <t>SFS Output</t>
  </si>
  <si>
    <t>Gen Test</t>
  </si>
  <si>
    <t>Sheet</t>
  </si>
  <si>
    <t>RAD</t>
  </si>
  <si>
    <t>SurveyID</t>
  </si>
  <si>
    <t>Piranha CB2-17090320</t>
  </si>
  <si>
    <t>Kerma Area Product/Air Kerma Accuracy</t>
  </si>
  <si>
    <t>Source-PDC distance (cm)</t>
  </si>
  <si>
    <t>Source-Isocenter</t>
  </si>
  <si>
    <t>Source-Ref Pt distance (cm)</t>
  </si>
  <si>
    <t>Table-Isocenter</t>
  </si>
  <si>
    <t>Ref Pt-Isocenter</t>
  </si>
  <si>
    <t>Gy·cm²</t>
  </si>
  <si>
    <t>Indicated KAP</t>
  </si>
  <si>
    <t>µGy·m²</t>
  </si>
  <si>
    <t>KAP Conversion Table</t>
  </si>
  <si>
    <t>cGy·cm²</t>
  </si>
  <si>
    <t>mGy·cm²</t>
  </si>
  <si>
    <t>Calibration Date:</t>
  </si>
  <si>
    <t>FIRST,EXP,BLD,TB,WB,FS_KV,REPRO,TIM,LIN,HALFVAL,PT_DEN,PT_TB,PT_WB,KAP_AK,LAST</t>
  </si>
  <si>
    <t>AK Ref Point correction factor</t>
  </si>
  <si>
    <t>kVp and exposure reproducibility coeff. of var. &lt; 5%.</t>
  </si>
  <si>
    <t>dGy·cm²</t>
  </si>
  <si>
    <t>Calibration Due:</t>
  </si>
  <si>
    <t>Test equipment:</t>
  </si>
  <si>
    <t>Calibration date:</t>
  </si>
  <si>
    <t>Calibration due:</t>
  </si>
  <si>
    <t>Prev SID</t>
  </si>
  <si>
    <t>SID Indicator Accuracy</t>
  </si>
  <si>
    <t>P482</t>
  </si>
  <si>
    <t>P483</t>
  </si>
  <si>
    <t>P484</t>
  </si>
  <si>
    <t>New SID</t>
  </si>
  <si>
    <t>Minimum SSD is &gt;= 30 cm for portable units</t>
  </si>
  <si>
    <t>Is this a new installation?</t>
  </si>
  <si>
    <t>New install?</t>
  </si>
  <si>
    <t>M52</t>
  </si>
  <si>
    <t>ESE Limits</t>
  </si>
  <si>
    <t>PA Chest - Grid</t>
  </si>
  <si>
    <t>PA Chest - Non grid</t>
  </si>
  <si>
    <t>AP Abdomen</t>
  </si>
  <si>
    <t>AP Lumbar spine</t>
  </si>
  <si>
    <t>AP full spine</t>
  </si>
  <si>
    <t>AP C-spine</t>
  </si>
  <si>
    <t>Lateral skull</t>
  </si>
  <si>
    <t>AP Ret Pyelogram</t>
  </si>
  <si>
    <t>AP T-spine</t>
  </si>
  <si>
    <t>DP Foot</t>
  </si>
  <si>
    <t>Cephalometric</t>
  </si>
  <si>
    <t>ESE Limits - Title B Part IV Appendix D</t>
  </si>
  <si>
    <t>200/Dig</t>
  </si>
  <si>
    <t>Film speed</t>
  </si>
  <si>
    <t>ESE</t>
  </si>
  <si>
    <t>within</t>
  </si>
  <si>
    <t>limits</t>
  </si>
  <si>
    <t>mR</t>
  </si>
  <si>
    <t>Entrance skin exposures are within limits</t>
  </si>
  <si>
    <t>NA</t>
  </si>
  <si>
    <t>S482</t>
  </si>
  <si>
    <t>Measurements</t>
  </si>
  <si>
    <t>Set kV_x000D_(kV)</t>
  </si>
  <si>
    <t>Set mA_x000D_(mA)</t>
  </si>
  <si>
    <t>Set mAs_x000D_(mAs)</t>
  </si>
  <si>
    <t>Added Filt</t>
  </si>
  <si>
    <t>Focal spot</t>
  </si>
  <si>
    <t>Tube voltage_x000D_(kV)</t>
  </si>
  <si>
    <t>Exposure_x000D_(mGy)</t>
  </si>
  <si>
    <t>Exposure rate_x000D_(mGy/s)</t>
  </si>
  <si>
    <t>Total filtr._x000D_(mm Al)</t>
  </si>
  <si>
    <t>HVL_x000D_(mm Al)</t>
  </si>
  <si>
    <t>Light_x000D_(lx)</t>
  </si>
  <si>
    <t>FIRST,COMPG2,COMPG3,COMPG4,EXP,BLD,TB,WB,FS_KV,REPRO,TIM,LIN,HALFVAL,PT_DEN,PT_TB,PT_WB,KAP_AK,LAST,DATA1,DATA2</t>
  </si>
  <si>
    <t>RTI Piranha</t>
  </si>
  <si>
    <t>Piranha 1</t>
  </si>
  <si>
    <t>Piranha 1 CB2-17090320</t>
  </si>
  <si>
    <t>Piranha 2</t>
  </si>
  <si>
    <t>Piranha 2 CB2-19020491</t>
  </si>
  <si>
    <t>Set time_x000D_(s)</t>
  </si>
  <si>
    <t>Exposure time_x000D_(s)</t>
  </si>
  <si>
    <t>Exposure (norm)_x000D_(mGy)</t>
  </si>
  <si>
    <t>Exposure rate (norm)_x000D_(mGy/s)</t>
  </si>
  <si>
    <t>Avg kV</t>
  </si>
  <si>
    <t>KAP exposure_x000D_(µGym²)</t>
  </si>
  <si>
    <t>KAP exposure rate_x000D_(mGycm²/s)</t>
  </si>
  <si>
    <t>KAP % diff</t>
  </si>
  <si>
    <t>RTI DAP chamber</t>
  </si>
  <si>
    <t>DAP 1</t>
  </si>
  <si>
    <t>DAP 2</t>
  </si>
  <si>
    <t>DAP 1 2501554</t>
  </si>
  <si>
    <t>DAP 2 2501555</t>
  </si>
  <si>
    <t>% diff</t>
  </si>
  <si>
    <t>RAD / DENTAL UNITS (SCDES CRITERIA)</t>
  </si>
  <si>
    <t>DAP Chamber</t>
  </si>
  <si>
    <t>Calibration date</t>
  </si>
  <si>
    <t>Calibration due</t>
  </si>
  <si>
    <t>Measured KAP should be within +/- 35% of the indicated value</t>
  </si>
  <si>
    <t>Kerma area product</t>
  </si>
  <si>
    <t>SCDES RHB 2.5.1.1</t>
  </si>
  <si>
    <t>SCDES registration sticker is present, clearly visible and legible.</t>
  </si>
  <si>
    <t>SCDES RHB 11.2.3</t>
  </si>
  <si>
    <t>SCDES form SC-RHA-20 "Notice to Employees" posted or referenced.</t>
  </si>
  <si>
    <t>SCDES RHB 4.2.7</t>
  </si>
  <si>
    <t>SCDES RHB 4.3.1</t>
  </si>
  <si>
    <t>SCDES RHB 4.2.6</t>
  </si>
  <si>
    <t>SCDES RHB 4.7.1.1</t>
  </si>
  <si>
    <t>SCDES RHB 4.7.1.4</t>
  </si>
  <si>
    <t>SCDES RHB 4.3.6</t>
  </si>
  <si>
    <t>SCDES RHB 4.7.11</t>
  </si>
  <si>
    <t>SCDES RHB 4.7.14</t>
  </si>
  <si>
    <t>SCDES RHB 4.7.8</t>
  </si>
  <si>
    <t>SCDES RHB 4.3.5</t>
  </si>
  <si>
    <t>The measured HVL meets SCDES minimum requirements.</t>
  </si>
  <si>
    <t>SCDES RHB 4.7.1.7</t>
  </si>
  <si>
    <t>SCDES RHB 4.7.1.5</t>
  </si>
  <si>
    <t>SCDES RHB 4.7.1.3</t>
  </si>
  <si>
    <t>SCDES RHB 4.7.12.1</t>
  </si>
  <si>
    <t>SCDES RHB 4.3.9.1</t>
  </si>
  <si>
    <t>SCDES RHB 4.3.7</t>
  </si>
  <si>
    <t>SCDES RHB 4.3.9.3</t>
  </si>
  <si>
    <t>SCDES RHB 4.7.4.2.3</t>
  </si>
  <si>
    <t>SCDES RHB 4.7.6</t>
  </si>
  <si>
    <t>SCDES RHB 4.7.5</t>
  </si>
  <si>
    <t>SCDES RHB 4.7.4.2.6</t>
  </si>
  <si>
    <t>SCDES RHB 4.7.7</t>
  </si>
  <si>
    <t>SCDES RHB 4.7.4.2.1</t>
  </si>
  <si>
    <t>SCDES RHB 4.7.4.2.2</t>
  </si>
  <si>
    <t>SCDES RHB 4.7.4.2.4</t>
  </si>
  <si>
    <t>SCDES RHB 4.2.12.7</t>
  </si>
  <si>
    <t>SCDES RHB 4.2.8</t>
  </si>
  <si>
    <t>SCDES RHB 4.2.13.2</t>
  </si>
  <si>
    <t>SCDES RHB 4.7.4.2.5.1</t>
  </si>
  <si>
    <t>SCDES RHB 4.7.4.2.5.4</t>
  </si>
  <si>
    <t>SCDES RHB 4.7.4.2.5.5</t>
  </si>
  <si>
    <t>**The SCDES registration tag was not present on the system or was damaged and should be replaced.  Arrangements must be made with the Radiation Safety Office to obtain the required registration tag.</t>
  </si>
  <si>
    <t>**A technique chart was not posted in the room.  A technique chart reflecting techniques currently used with the CR system must be provided (SCDES RHB 4.2.8).</t>
  </si>
  <si>
    <t>SCDES RHB 4.8.11</t>
  </si>
  <si>
    <t>Change to SCDES Standards?</t>
  </si>
  <si>
    <t>(Type 1 to base acceptance on SCDES criteria)</t>
  </si>
  <si>
    <t>Revision 101.4.2-20260417  (Has 39 data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</si>
</sst>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0000"/>
    <numFmt numFmtId="165" formatCode="0.000#"/>
    <numFmt numFmtId="166" formatCode="0.0"/>
    <numFmt numFmtId="167" formatCode="#,##0.0#"/>
    <numFmt numFmtId="168" formatCode="##0.0%"/>
    <numFmt numFmtId="169" formatCode="mmm\-yyyy"/>
    <numFmt numFmtId="170" formatCode="0.0#"/>
    <numFmt numFmtId="171" formatCode="0.##"/>
    <numFmt numFmtId="172" formatCode="#.##"/>
    <numFmt numFmtId="173" formatCode="#,##0.0"/>
    <numFmt numFmtId="174" formatCode="0&quot; kVp&quot;"/>
    <numFmt numFmtId="175" formatCode="0&quot;kVp&quot;"/>
    <numFmt numFmtId="176" formatCode="0\ &quot; ms&quot;"/>
    <numFmt numFmtId="177" formatCode="0.000"/>
    <numFmt numFmtId="178" formatCode="#"/>
    <numFmt numFmtId="179" formatCode="0.0##"/>
    <numFmt numFmtId="180" formatCode="#.0"/>
    <numFmt numFmtId="181" formatCode="#.00"/>
    <numFmt numFmtId="182" formatCode="#.0#"/>
    <numFmt numFmtId="183" formatCode="0.000000"/>
    <numFmt numFmtId="184" formatCode="0.0%"/>
    <numFmt numFmtId="185" formatCode="mmm\-d\-yy"/>
    <numFmt numFmtId="186" formatCode="#.#"/>
    <numFmt numFmtId="187" formatCode="0&quot;cm.&quot;"/>
    <numFmt numFmtId="188" formatCode="[$-409]mmm/yy;@"/>
    <numFmt numFmtId="189" formatCode="[$-409]d/mmm/yyyy;@"/>
    <numFmt numFmtId="190" formatCode="[$-409]d\-mmm\-yyyy;@"/>
  </numFmts>
  <fonts count="65">
    <font>
      <sz val="12"/>
      <name val="Times New Roman"/>
      <family val="1"/>
    </font>
    <font>
      <sz val="10"/>
      <name val="MS Sans Serif"/>
      <family val="2"/>
    </font>
    <font>
      <b/>
      <sz val="9"/>
      <name val="Times New Roman"/>
      <family val="1"/>
    </font>
    <font>
      <sz val="9"/>
      <name val="Times New Roman"/>
      <family val="1"/>
    </font>
    <font>
      <b/>
      <u/>
      <sz val="9"/>
      <name val="Times New Roman"/>
      <family val="1"/>
    </font>
    <font>
      <u/>
      <sz val="9"/>
      <name val="Times New Roman"/>
      <family val="1"/>
    </font>
    <font>
      <sz val="12"/>
      <name val="Times New Roman"/>
      <family val="1"/>
    </font>
    <font>
      <b/>
      <i/>
      <sz val="14"/>
      <name val="Monotype Corsiva"/>
      <family val="4"/>
    </font>
    <font>
      <b/>
      <u/>
      <sz val="10"/>
      <name val="Times New Roman"/>
      <family val="1"/>
    </font>
    <font>
      <sz val="10"/>
      <name val="Times New Roman"/>
      <family val="1"/>
    </font>
    <font>
      <sz val="8"/>
      <name val="Times New Roman"/>
      <family val="1"/>
    </font>
    <font>
      <b/>
      <sz val="14"/>
      <name val="Times New Roman"/>
      <family val="1"/>
    </font>
    <font>
      <u/>
      <sz val="10"/>
      <name val="Times New Roman"/>
      <family val="1"/>
    </font>
    <font>
      <b/>
      <sz val="10"/>
      <name val="Times New Roman"/>
      <family val="1"/>
    </font>
    <font>
      <b/>
      <i/>
      <sz val="16"/>
      <name val="Monotype Corsiva"/>
      <family val="4"/>
    </font>
    <font>
      <b/>
      <sz val="12"/>
      <name val="Times New Roman"/>
      <family val="1"/>
    </font>
    <font>
      <sz val="18"/>
      <name val="Times New Roman"/>
      <family val="1"/>
    </font>
    <font>
      <b/>
      <u/>
      <sz val="12"/>
      <name val="Times New Roman"/>
      <family val="1"/>
    </font>
    <font>
      <b/>
      <sz val="11"/>
      <name val="Times New Roman"/>
      <family val="1"/>
    </font>
    <font>
      <b/>
      <sz val="8"/>
      <name val="Times New Roman"/>
      <family val="1"/>
    </font>
    <font>
      <sz val="8"/>
      <name val="Times New Roman"/>
      <family val="1"/>
    </font>
    <font>
      <u/>
      <sz val="10"/>
      <name val="Times New Roman"/>
      <family val="1"/>
    </font>
    <font>
      <b/>
      <u/>
      <sz val="10"/>
      <name val="Times New Roman"/>
      <family val="1"/>
    </font>
    <font>
      <sz val="10"/>
      <name val="Times New Roman"/>
      <family val="1"/>
    </font>
    <font>
      <b/>
      <sz val="10"/>
      <name val="Times New Roman"/>
      <family val="1"/>
    </font>
    <font>
      <b/>
      <i/>
      <sz val="10"/>
      <name val="Times New Roman"/>
      <family val="1"/>
    </font>
    <font>
      <sz val="9"/>
      <name val="Times New Roman"/>
      <family val="1"/>
    </font>
    <font>
      <b/>
      <sz val="11"/>
      <name val="Times New Roman"/>
      <family val="1"/>
    </font>
    <font>
      <b/>
      <sz val="10"/>
      <color indexed="10"/>
      <name val="Times New Roman"/>
      <family val="1"/>
    </font>
    <font>
      <sz val="10"/>
      <color indexed="10"/>
      <name val="Times New Roman"/>
      <family val="1"/>
    </font>
    <font>
      <sz val="11"/>
      <color indexed="10"/>
      <name val="Times New Roman"/>
      <family val="1"/>
    </font>
    <font>
      <sz val="10"/>
      <name val="TimesNewRomanPS"/>
      <family val="1"/>
    </font>
    <font>
      <sz val="10"/>
      <color indexed="10"/>
      <name val="TimesNewRomanPS"/>
      <family val="1"/>
    </font>
    <font>
      <b/>
      <sz val="10"/>
      <name val="TimesNewRomanPS"/>
      <family val="1"/>
    </font>
    <font>
      <b/>
      <sz val="10"/>
      <color indexed="39"/>
      <name val="Times New Roman"/>
      <family val="1"/>
    </font>
    <font>
      <sz val="10"/>
      <color indexed="39"/>
      <name val="TimesNewRomanPS"/>
      <family val="1"/>
    </font>
    <font>
      <b/>
      <sz val="8"/>
      <color indexed="10"/>
      <name val="Times New Roman"/>
      <family val="1"/>
    </font>
    <font>
      <b/>
      <sz val="10"/>
      <color indexed="10"/>
      <name val="Times New Roman"/>
      <family val="1"/>
    </font>
    <font>
      <b/>
      <sz val="12"/>
      <name val="Times New Roman"/>
      <family val="1"/>
    </font>
    <font>
      <sz val="8"/>
      <color indexed="81"/>
      <name val="Tahoma"/>
      <family val="2"/>
    </font>
    <font>
      <sz val="10"/>
      <color indexed="12"/>
      <name val="Times New Roman"/>
      <family val="1"/>
    </font>
    <font>
      <sz val="10"/>
      <color indexed="53"/>
      <name val="Times New Roman"/>
      <family val="1"/>
    </font>
    <font>
      <b/>
      <sz val="8"/>
      <color indexed="53"/>
      <name val="Times New Roman"/>
      <family val="1"/>
    </font>
    <font>
      <b/>
      <sz val="7"/>
      <color indexed="10"/>
      <name val="Times New Roman"/>
      <family val="1"/>
    </font>
    <font>
      <sz val="8"/>
      <color indexed="61"/>
      <name val="Times New Roman"/>
      <family val="1"/>
    </font>
    <font>
      <sz val="10"/>
      <color indexed="61"/>
      <name val="Times New Roman"/>
      <family val="1"/>
    </font>
    <font>
      <b/>
      <sz val="10"/>
      <color indexed="12"/>
      <name val="Times New Roman"/>
      <family val="1"/>
    </font>
    <font>
      <b/>
      <sz val="9"/>
      <name val="Times New Roman"/>
      <family val="1"/>
    </font>
    <font>
      <b/>
      <u/>
      <sz val="12"/>
      <name val="Times New Roman"/>
      <family val="1"/>
    </font>
    <font>
      <sz val="10"/>
      <color indexed="10"/>
      <name val="Arial"/>
      <family val="2"/>
    </font>
    <font>
      <b/>
      <sz val="10"/>
      <color indexed="10"/>
      <name val="Arial"/>
      <family val="2"/>
    </font>
    <font>
      <b/>
      <sz val="9"/>
      <color indexed="10"/>
      <name val="Times New Roman"/>
      <family val="1"/>
    </font>
    <font>
      <sz val="9"/>
      <color indexed="10"/>
      <name val="Times New Roman"/>
      <family val="1"/>
    </font>
    <font>
      <sz val="8"/>
      <color indexed="10"/>
      <name val="Times New Roman"/>
      <family val="1"/>
    </font>
    <font>
      <b/>
      <sz val="11"/>
      <color indexed="10"/>
      <name val="Arial"/>
      <family val="2"/>
    </font>
    <font>
      <u/>
      <sz val="9"/>
      <name val="Times New Roman"/>
      <family val="1"/>
    </font>
    <font>
      <b/>
      <sz val="12"/>
      <color indexed="60"/>
      <name val="Times New Roman"/>
      <family val="1"/>
    </font>
    <font>
      <sz val="10"/>
      <color indexed="60"/>
      <name val="Times New Roman"/>
      <family val="1"/>
    </font>
    <font>
      <b/>
      <sz val="9"/>
      <color indexed="60"/>
      <name val="Times New Roman"/>
      <family val="1"/>
    </font>
    <font>
      <b/>
      <sz val="14"/>
      <color indexed="60"/>
      <name val="Times New Roman"/>
      <family val="1"/>
    </font>
    <font>
      <b/>
      <sz val="10"/>
      <color indexed="53"/>
      <name val="Times New Roman"/>
      <family val="1"/>
    </font>
    <font>
      <sz val="10"/>
      <color rgb="FF000000"/>
      <name val="Times New Roman"/>
      <family val="1"/>
    </font>
    <font>
      <sz val="9"/>
      <color indexed="81"/>
      <name val="Tahoma"/>
      <family val="2"/>
    </font>
    <font>
      <b/>
      <sz val="9"/>
      <color indexed="81"/>
      <name val="Tahoma"/>
      <family val="2"/>
    </font>
    <font>
      <b/>
      <sz val="12"/>
      <color rgb="FFFFFFFF"/>
      <name val="Times New Roman"/>
      <family val="1"/>
    </font>
  </fonts>
  <fills count="25">
    <fill>
      <patternFill patternType="none"/>
    </fill>
    <fill>
      <patternFill patternType="gray125"/>
    </fill>
    <fill>
      <patternFill patternType="mediumGray">
        <fgColor indexed="9"/>
        <bgColor indexed="13"/>
      </patternFill>
    </fill>
    <fill>
      <patternFill patternType="mediumGray"/>
    </fill>
    <fill>
      <patternFill patternType="solid">
        <fgColor indexed="22"/>
        <bgColor indexed="64"/>
      </patternFill>
    </fill>
    <fill>
      <patternFill patternType="solid">
        <fgColor indexed="31"/>
        <bgColor indexed="64"/>
      </patternFill>
    </fill>
    <fill>
      <patternFill patternType="solid">
        <fgColor indexed="10"/>
        <bgColor indexed="64"/>
      </patternFill>
    </fill>
    <fill>
      <patternFill patternType="solid">
        <fgColor indexed="63"/>
        <bgColor indexed="64"/>
      </patternFill>
    </fill>
    <fill>
      <patternFill patternType="mediumGray">
        <fgColor indexed="26"/>
        <bgColor indexed="26"/>
      </patternFill>
    </fill>
    <fill>
      <patternFill patternType="solid">
        <fgColor indexed="44"/>
        <bgColor indexed="64"/>
      </patternFill>
    </fill>
    <fill>
      <patternFill patternType="mediumGray">
        <fgColor indexed="9"/>
        <bgColor indexed="45"/>
      </patternFill>
    </fill>
    <fill>
      <patternFill patternType="darkGray">
        <bgColor indexed="22"/>
      </patternFill>
    </fill>
    <fill>
      <patternFill patternType="solid">
        <fgColor indexed="44"/>
        <bgColor indexed="26"/>
      </patternFill>
    </fill>
    <fill>
      <patternFill patternType="solid">
        <fgColor indexed="44"/>
        <bgColor indexed="9"/>
      </patternFill>
    </fill>
    <fill>
      <patternFill patternType="solid">
        <fgColor indexed="9"/>
        <bgColor indexed="64"/>
      </patternFill>
    </fill>
    <fill>
      <patternFill patternType="solid">
        <fgColor indexed="15"/>
        <bgColor indexed="64"/>
      </patternFill>
    </fill>
    <fill>
      <patternFill patternType="mediumGray">
        <fgColor indexed="9"/>
        <bgColor indexed="27"/>
      </patternFill>
    </fill>
    <fill>
      <patternFill patternType="mediumGray">
        <fgColor indexed="9"/>
        <bgColor indexed="41"/>
      </patternFill>
    </fill>
    <fill>
      <patternFill patternType="mediumGray">
        <fgColor indexed="9"/>
        <bgColor indexed="43"/>
      </patternFill>
    </fill>
    <fill>
      <patternFill patternType="mediumGray">
        <fgColor indexed="9"/>
        <bgColor indexed="42"/>
      </patternFill>
    </fill>
    <fill>
      <patternFill patternType="solid">
        <fgColor indexed="47"/>
        <bgColor indexed="64"/>
      </patternFill>
    </fill>
    <fill>
      <patternFill patternType="mediumGray">
        <fgColor indexed="9"/>
        <bgColor indexed="22"/>
      </patternFill>
    </fill>
    <fill>
      <patternFill patternType="solid">
        <fgColor rgb="FF000000"/>
        <bgColor indexed="64"/>
      </patternFill>
    </fill>
    <fill>
      <patternFill patternType="solid">
        <fgColor theme="0" tint="-0.24994659260841701"/>
        <bgColor indexed="64"/>
      </patternFill>
    </fill>
    <fill>
      <patternFill patternType="solid">
        <fgColor theme="0" tint="-0.24994659260841701"/>
        <bgColor auto="1"/>
      </patternFill>
    </fill>
  </fills>
  <borders count="16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bottom style="medium">
        <color indexed="64"/>
      </bottom>
      <diagonal/>
    </border>
    <border>
      <left style="thin">
        <color indexed="64"/>
      </left>
      <right/>
      <top/>
      <bottom style="medium">
        <color indexed="64"/>
      </bottom>
      <diagonal/>
    </border>
    <border>
      <left style="double">
        <color indexed="64"/>
      </left>
      <right/>
      <top/>
      <bottom style="medium">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diagonal/>
    </border>
    <border>
      <left style="double">
        <color indexed="64"/>
      </left>
      <right/>
      <top/>
      <bottom style="thin">
        <color indexed="64"/>
      </bottom>
      <diagonal/>
    </border>
    <border>
      <left/>
      <right style="double">
        <color indexed="64"/>
      </right>
      <top/>
      <bottom style="thin">
        <color indexed="64"/>
      </bottom>
      <diagonal/>
    </border>
    <border>
      <left style="thick">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double">
        <color indexed="64"/>
      </bottom>
      <diagonal/>
    </border>
    <border>
      <left/>
      <right style="double">
        <color indexed="64"/>
      </right>
      <top/>
      <bottom/>
      <diagonal/>
    </border>
    <border>
      <left style="thick">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double">
        <color indexed="64"/>
      </left>
      <right/>
      <top/>
      <bottom/>
      <diagonal/>
    </border>
    <border>
      <left style="double">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style="thin">
        <color indexed="64"/>
      </top>
      <bottom/>
      <diagonal/>
    </border>
    <border>
      <left/>
      <right style="double">
        <color indexed="64"/>
      </right>
      <top style="thin">
        <color indexed="64"/>
      </top>
      <bottom/>
      <diagonal/>
    </border>
    <border>
      <left/>
      <right/>
      <top/>
      <bottom style="double">
        <color indexed="64"/>
      </bottom>
      <diagonal/>
    </border>
    <border>
      <left/>
      <right style="double">
        <color indexed="64"/>
      </right>
      <top/>
      <bottom style="double">
        <color indexed="64"/>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double">
        <color indexed="64"/>
      </right>
      <top/>
      <bottom/>
      <diagonal/>
    </border>
    <border>
      <left style="double">
        <color indexed="64"/>
      </left>
      <right style="thin">
        <color indexed="64"/>
      </right>
      <top/>
      <bottom/>
      <diagonal/>
    </border>
    <border>
      <left style="thin">
        <color indexed="64"/>
      </left>
      <right style="double">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double">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ck">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thick">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double">
        <color indexed="64"/>
      </right>
      <top style="medium">
        <color indexed="64"/>
      </top>
      <bottom/>
      <diagonal/>
    </border>
    <border>
      <left style="thin">
        <color indexed="64"/>
      </left>
      <right style="double">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double">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double">
        <color indexed="64"/>
      </right>
      <top style="medium">
        <color indexed="64"/>
      </top>
      <bottom style="medium">
        <color indexed="64"/>
      </bottom>
      <diagonal/>
    </border>
    <border>
      <left style="medium">
        <color indexed="64"/>
      </left>
      <right style="double">
        <color indexed="64"/>
      </right>
      <top/>
      <bottom/>
      <diagonal/>
    </border>
    <border>
      <left style="medium">
        <color indexed="64"/>
      </left>
      <right style="double">
        <color indexed="64"/>
      </right>
      <top/>
      <bottom style="medium">
        <color indexed="64"/>
      </bottom>
      <diagonal/>
    </border>
    <border>
      <left style="medium">
        <color indexed="64"/>
      </left>
      <right style="double">
        <color indexed="64"/>
      </right>
      <top style="medium">
        <color indexed="64"/>
      </top>
      <bottom/>
      <diagonal/>
    </border>
    <border>
      <left style="double">
        <color indexed="64"/>
      </left>
      <right/>
      <top style="medium">
        <color indexed="64"/>
      </top>
      <bottom style="medium">
        <color indexed="64"/>
      </bottom>
      <diagonal/>
    </border>
    <border>
      <left style="double">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ck">
        <color indexed="64"/>
      </right>
      <top/>
      <bottom style="thin">
        <color indexed="64"/>
      </bottom>
      <diagonal/>
    </border>
    <border>
      <left style="thick">
        <color indexed="64"/>
      </left>
      <right/>
      <top style="medium">
        <color indexed="64"/>
      </top>
      <bottom/>
      <diagonal/>
    </border>
    <border>
      <left style="thick">
        <color indexed="64"/>
      </left>
      <right/>
      <top/>
      <bottom style="medium">
        <color indexed="64"/>
      </bottom>
      <diagonal/>
    </border>
    <border>
      <left/>
      <right/>
      <top/>
      <bottom style="hair">
        <color indexed="64"/>
      </bottom>
      <diagonal/>
    </border>
    <border>
      <left style="thick">
        <color indexed="64"/>
      </left>
      <right/>
      <top/>
      <bottom style="thin">
        <color indexed="64"/>
      </bottom>
      <diagonal/>
    </border>
    <border>
      <left style="thick">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double">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double">
        <color indexed="64"/>
      </left>
      <right/>
      <top style="thin">
        <color indexed="64"/>
      </top>
      <bottom style="thin">
        <color indexed="64"/>
      </bottom>
      <diagonal/>
    </border>
    <border>
      <left style="thick">
        <color indexed="64"/>
      </left>
      <right/>
      <top style="thick">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double">
        <color indexed="64"/>
      </right>
      <top style="medium">
        <color indexed="64"/>
      </top>
      <bottom style="thin">
        <color indexed="64"/>
      </bottom>
      <diagonal/>
    </border>
    <border>
      <left/>
      <right/>
      <top style="hair">
        <color indexed="64"/>
      </top>
      <bottom style="double">
        <color indexed="64"/>
      </bottom>
      <diagonal/>
    </border>
    <border>
      <left style="thin">
        <color indexed="64"/>
      </left>
      <right style="medium">
        <color indexed="64"/>
      </right>
      <top/>
      <bottom style="double">
        <color indexed="64"/>
      </bottom>
      <diagonal/>
    </border>
    <border>
      <left style="medium">
        <color indexed="64"/>
      </left>
      <right/>
      <top/>
      <bottom style="double">
        <color indexed="64"/>
      </bottom>
      <diagonal/>
    </border>
    <border>
      <left/>
      <right style="double">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style="thin">
        <color indexed="64"/>
      </top>
      <bottom/>
      <diagonal/>
    </border>
    <border>
      <left style="thin">
        <color indexed="64"/>
      </left>
      <right style="double">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style="double">
        <color indexed="64"/>
      </left>
      <right/>
      <top style="double">
        <color indexed="64"/>
      </top>
      <bottom style="thin">
        <color indexed="64"/>
      </bottom>
      <diagonal/>
    </border>
    <border>
      <left/>
      <right style="double">
        <color indexed="64"/>
      </right>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indexed="64"/>
      </left>
      <right style="medium">
        <color indexed="64"/>
      </right>
      <top style="double">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style="double">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double">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top style="medium">
        <color indexed="64"/>
      </top>
      <bottom/>
      <diagonal/>
    </border>
    <border>
      <left/>
      <right style="thick">
        <color indexed="64"/>
      </right>
      <top style="medium">
        <color indexed="64"/>
      </top>
      <bottom/>
      <diagonal/>
    </border>
    <border>
      <left style="thin">
        <color indexed="64"/>
      </left>
      <right/>
      <top style="medium">
        <color indexed="64"/>
      </top>
      <bottom/>
      <diagonal/>
    </border>
    <border>
      <left style="mediumDashed">
        <color indexed="64"/>
      </left>
      <right style="mediumDashed">
        <color indexed="64"/>
      </right>
      <top style="mediumDashed">
        <color indexed="64"/>
      </top>
      <bottom style="mediumDashed">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s>
  <cellStyleXfs count="5">
    <xf numFmtId="2" fontId="0" fillId="0" borderId="0">
      <alignment horizontal="center" vertical="center"/>
    </xf>
    <xf numFmtId="1" fontId="9" fillId="2" borderId="1">
      <alignment horizontal="left" vertical="center"/>
      <protection locked="0"/>
    </xf>
    <xf numFmtId="2" fontId="6" fillId="0" borderId="0">
      <alignment horizontal="center"/>
    </xf>
    <xf numFmtId="9" fontId="1" fillId="0" borderId="0" applyFont="0" applyFill="0" applyBorder="0" applyAlignment="0" applyProtection="0"/>
    <xf numFmtId="1" fontId="8" fillId="0" borderId="0">
      <alignment horizontal="left" vertical="center"/>
    </xf>
  </cellStyleXfs>
  <cellXfs count="1301">
    <xf numFmtId="2" fontId="0" fillId="0" borderId="0" xfId="0">
      <alignment horizontal="center" vertical="center"/>
    </xf>
    <xf numFmtId="2" fontId="3" fillId="0" borderId="0" xfId="0" applyFont="1">
      <alignment horizontal="center" vertical="center"/>
    </xf>
    <xf numFmtId="2" fontId="3" fillId="0" borderId="2" xfId="0" applyFont="1" applyBorder="1">
      <alignment horizontal="center" vertical="center"/>
    </xf>
    <xf numFmtId="2" fontId="3" fillId="0" borderId="0" xfId="0" applyFont="1" applyAlignment="1">
      <alignment horizontal="left" vertical="center"/>
    </xf>
    <xf numFmtId="2" fontId="3" fillId="0" borderId="3" xfId="0" applyFont="1" applyBorder="1">
      <alignment horizontal="center" vertical="center"/>
    </xf>
    <xf numFmtId="2" fontId="3" fillId="0" borderId="4" xfId="0" applyFont="1" applyBorder="1">
      <alignment horizontal="center" vertical="center"/>
    </xf>
    <xf numFmtId="2" fontId="3" fillId="0" borderId="5" xfId="0" applyFont="1" applyBorder="1">
      <alignment horizontal="center" vertical="center"/>
    </xf>
    <xf numFmtId="2" fontId="3" fillId="0" borderId="6" xfId="0" applyFont="1" applyBorder="1">
      <alignment horizontal="center" vertical="center"/>
    </xf>
    <xf numFmtId="2" fontId="3" fillId="0" borderId="7" xfId="0" applyFont="1" applyBorder="1">
      <alignment horizontal="center" vertical="center"/>
    </xf>
    <xf numFmtId="165" fontId="3" fillId="0" borderId="7" xfId="0" applyNumberFormat="1" applyFont="1" applyBorder="1">
      <alignment horizontal="center" vertical="center"/>
    </xf>
    <xf numFmtId="1" fontId="3" fillId="0" borderId="7" xfId="0" applyNumberFormat="1" applyFont="1" applyBorder="1">
      <alignment horizontal="center" vertical="center"/>
    </xf>
    <xf numFmtId="2" fontId="3" fillId="0" borderId="2" xfId="0" applyFont="1" applyBorder="1" applyAlignment="1">
      <alignment horizontal="left" vertical="center"/>
    </xf>
    <xf numFmtId="2" fontId="3" fillId="0" borderId="8" xfId="0" applyFont="1" applyBorder="1">
      <alignment horizontal="center" vertical="center"/>
    </xf>
    <xf numFmtId="2" fontId="3" fillId="0" borderId="9" xfId="0" applyFont="1" applyBorder="1">
      <alignment horizontal="center" vertical="center"/>
    </xf>
    <xf numFmtId="2" fontId="3" fillId="0" borderId="1" xfId="0" applyFont="1" applyBorder="1">
      <alignment horizontal="center" vertical="center"/>
    </xf>
    <xf numFmtId="2" fontId="3" fillId="0" borderId="10" xfId="0" applyFont="1" applyBorder="1">
      <alignment horizontal="center" vertical="center"/>
    </xf>
    <xf numFmtId="166" fontId="3" fillId="0" borderId="1" xfId="0" applyNumberFormat="1" applyFont="1" applyBorder="1">
      <alignment horizontal="center" vertical="center"/>
    </xf>
    <xf numFmtId="2" fontId="3" fillId="0" borderId="11" xfId="0" applyFont="1" applyBorder="1">
      <alignment horizontal="center" vertical="center"/>
    </xf>
    <xf numFmtId="2" fontId="3" fillId="0" borderId="12" xfId="0" applyFont="1" applyBorder="1">
      <alignment horizontal="center" vertical="center"/>
    </xf>
    <xf numFmtId="165" fontId="3" fillId="0" borderId="10" xfId="0" applyNumberFormat="1" applyFont="1" applyBorder="1">
      <alignment horizontal="center" vertical="center"/>
    </xf>
    <xf numFmtId="165" fontId="3" fillId="0" borderId="1" xfId="0" applyNumberFormat="1" applyFont="1" applyBorder="1">
      <alignment horizontal="center" vertical="center"/>
    </xf>
    <xf numFmtId="2" fontId="3" fillId="0" borderId="13" xfId="0" applyFont="1" applyBorder="1">
      <alignment horizontal="center" vertical="center"/>
    </xf>
    <xf numFmtId="165" fontId="3" fillId="0" borderId="13" xfId="0" applyNumberFormat="1" applyFont="1" applyBorder="1">
      <alignment horizontal="center" vertical="center"/>
    </xf>
    <xf numFmtId="2" fontId="3" fillId="0" borderId="14" xfId="0" applyFont="1" applyBorder="1">
      <alignment horizontal="center" vertical="center"/>
    </xf>
    <xf numFmtId="2" fontId="3" fillId="0" borderId="15" xfId="0" applyFont="1" applyBorder="1">
      <alignment horizontal="center" vertical="center"/>
    </xf>
    <xf numFmtId="10" fontId="3" fillId="0" borderId="15" xfId="0" applyNumberFormat="1" applyFont="1" applyBorder="1">
      <alignment horizontal="center" vertical="center"/>
    </xf>
    <xf numFmtId="10" fontId="3" fillId="0" borderId="7" xfId="0" applyNumberFormat="1" applyFont="1" applyBorder="1">
      <alignment horizontal="center" vertical="center"/>
    </xf>
    <xf numFmtId="2" fontId="3" fillId="0" borderId="16" xfId="0" applyFont="1" applyBorder="1">
      <alignment horizontal="center" vertical="center"/>
    </xf>
    <xf numFmtId="168" fontId="3" fillId="0" borderId="13" xfId="0" applyNumberFormat="1" applyFont="1" applyBorder="1">
      <alignment horizontal="center" vertical="center"/>
    </xf>
    <xf numFmtId="2" fontId="3" fillId="0" borderId="17" xfId="0" applyFont="1" applyBorder="1">
      <alignment horizontal="center" vertical="center"/>
    </xf>
    <xf numFmtId="2" fontId="3" fillId="0" borderId="18" xfId="0" applyFont="1" applyBorder="1" applyAlignment="1">
      <alignment horizontal="right" vertical="center"/>
    </xf>
    <xf numFmtId="2" fontId="3" fillId="0" borderId="19" xfId="0" applyFont="1" applyBorder="1">
      <alignment horizontal="center" vertical="center"/>
    </xf>
    <xf numFmtId="0" fontId="3" fillId="0" borderId="20" xfId="0" quotePrefix="1" applyNumberFormat="1" applyFont="1" applyBorder="1" applyAlignment="1">
      <alignment horizontal="right" vertical="center"/>
    </xf>
    <xf numFmtId="2" fontId="3" fillId="0" borderId="16" xfId="0" quotePrefix="1" applyFont="1" applyBorder="1">
      <alignment horizontal="center" vertical="center"/>
    </xf>
    <xf numFmtId="2" fontId="3" fillId="0" borderId="22" xfId="0" applyFont="1" applyBorder="1">
      <alignment horizontal="center" vertical="center"/>
    </xf>
    <xf numFmtId="1" fontId="3" fillId="0" borderId="2" xfId="0" applyNumberFormat="1" applyFont="1" applyBorder="1">
      <alignment horizontal="center" vertical="center"/>
    </xf>
    <xf numFmtId="165" fontId="3" fillId="0" borderId="2" xfId="0" applyNumberFormat="1" applyFont="1" applyBorder="1">
      <alignment horizontal="center" vertical="center"/>
    </xf>
    <xf numFmtId="2" fontId="3" fillId="0" borderId="0" xfId="0" applyFont="1" applyAlignment="1">
      <alignment horizontal="right" vertical="center"/>
    </xf>
    <xf numFmtId="166" fontId="3" fillId="0" borderId="2" xfId="0" applyNumberFormat="1" applyFont="1" applyBorder="1">
      <alignment horizontal="center" vertical="center"/>
    </xf>
    <xf numFmtId="2" fontId="3" fillId="0" borderId="23" xfId="0" applyFont="1" applyBorder="1">
      <alignment horizontal="center" vertical="center"/>
    </xf>
    <xf numFmtId="0" fontId="3" fillId="0" borderId="24" xfId="0" quotePrefix="1" applyNumberFormat="1" applyFont="1" applyBorder="1" applyAlignment="1">
      <alignment horizontal="right" vertical="center"/>
    </xf>
    <xf numFmtId="0" fontId="3" fillId="0" borderId="26" xfId="0" quotePrefix="1" applyNumberFormat="1" applyFont="1" applyBorder="1" applyAlignment="1">
      <alignment horizontal="right" vertical="center"/>
    </xf>
    <xf numFmtId="2" fontId="3" fillId="0" borderId="27" xfId="0" applyFont="1" applyBorder="1" applyAlignment="1">
      <alignment horizontal="right" vertical="center"/>
    </xf>
    <xf numFmtId="0" fontId="3" fillId="0" borderId="28" xfId="0" quotePrefix="1" applyNumberFormat="1" applyFont="1" applyBorder="1" applyAlignment="1">
      <alignment horizontal="right" vertical="center"/>
    </xf>
    <xf numFmtId="2" fontId="6" fillId="0" borderId="0" xfId="0" applyFont="1">
      <alignment horizontal="center" vertical="center"/>
    </xf>
    <xf numFmtId="2" fontId="3" fillId="0" borderId="29" xfId="0" applyFont="1" applyBorder="1">
      <alignment horizontal="center" vertical="center"/>
    </xf>
    <xf numFmtId="2" fontId="3" fillId="0" borderId="30" xfId="0" applyFont="1" applyBorder="1">
      <alignment horizontal="center" vertical="center"/>
    </xf>
    <xf numFmtId="14" fontId="9" fillId="0" borderId="2" xfId="0" applyNumberFormat="1" applyFont="1" applyBorder="1">
      <alignment horizontal="center" vertical="center"/>
    </xf>
    <xf numFmtId="2" fontId="9" fillId="0" borderId="2" xfId="0" applyFont="1" applyBorder="1">
      <alignment horizontal="center" vertical="center"/>
    </xf>
    <xf numFmtId="2" fontId="9" fillId="0" borderId="0" xfId="0" applyFont="1">
      <alignment horizontal="center" vertical="center"/>
    </xf>
    <xf numFmtId="2" fontId="9" fillId="0" borderId="0" xfId="0" applyFont="1" applyAlignment="1">
      <alignment horizontal="left" vertical="center"/>
    </xf>
    <xf numFmtId="2" fontId="10" fillId="0" borderId="0" xfId="0" applyFont="1">
      <alignment horizontal="center" vertical="center"/>
    </xf>
    <xf numFmtId="2" fontId="10" fillId="0" borderId="0" xfId="0" applyFont="1" applyAlignment="1">
      <alignment horizontal="right" vertical="center"/>
    </xf>
    <xf numFmtId="2" fontId="0" fillId="0" borderId="0" xfId="0" applyAlignment="1">
      <alignment horizontal="centerContinuous"/>
    </xf>
    <xf numFmtId="2" fontId="9" fillId="0" borderId="0" xfId="0" applyFont="1" applyAlignment="1">
      <alignment horizontal="right" vertical="center"/>
    </xf>
    <xf numFmtId="2" fontId="8" fillId="0" borderId="0" xfId="0" applyFont="1">
      <alignment horizontal="center" vertical="center"/>
    </xf>
    <xf numFmtId="14" fontId="9" fillId="0" borderId="0" xfId="0" applyNumberFormat="1" applyFont="1">
      <alignment horizontal="center" vertical="center"/>
    </xf>
    <xf numFmtId="14" fontId="9" fillId="0" borderId="2" xfId="0" applyNumberFormat="1" applyFont="1" applyBorder="1" applyAlignment="1">
      <alignment horizontal="left" vertical="center"/>
    </xf>
    <xf numFmtId="14" fontId="9" fillId="0" borderId="0" xfId="0" applyNumberFormat="1" applyFont="1" applyAlignment="1">
      <alignment horizontal="left" vertical="center"/>
    </xf>
    <xf numFmtId="2" fontId="9" fillId="0" borderId="2" xfId="0" applyFont="1" applyBorder="1" applyAlignment="1">
      <alignment horizontal="left" vertical="center"/>
    </xf>
    <xf numFmtId="1" fontId="9" fillId="0" borderId="2" xfId="0" applyNumberFormat="1" applyFont="1" applyBorder="1" applyAlignment="1">
      <alignment horizontal="left" vertical="center"/>
    </xf>
    <xf numFmtId="1" fontId="9" fillId="0" borderId="2" xfId="0" applyNumberFormat="1" applyFont="1" applyBorder="1">
      <alignment horizontal="center" vertical="center"/>
    </xf>
    <xf numFmtId="2" fontId="0" fillId="0" borderId="31" xfId="0" applyBorder="1">
      <alignment horizontal="center" vertical="center"/>
    </xf>
    <xf numFmtId="2" fontId="0" fillId="0" borderId="32" xfId="0" applyBorder="1">
      <alignment horizontal="center" vertical="center"/>
    </xf>
    <xf numFmtId="2" fontId="9" fillId="0" borderId="33" xfId="0" applyFont="1" applyBorder="1">
      <alignment horizontal="center" vertical="center"/>
    </xf>
    <xf numFmtId="2" fontId="9" fillId="0" borderId="34" xfId="0" applyFont="1" applyBorder="1">
      <alignment horizontal="center" vertical="center"/>
    </xf>
    <xf numFmtId="2" fontId="9" fillId="0" borderId="29" xfId="0" applyFont="1" applyBorder="1">
      <alignment horizontal="center" vertical="center"/>
    </xf>
    <xf numFmtId="2" fontId="9" fillId="0" borderId="35" xfId="0" applyFont="1" applyBorder="1">
      <alignment horizontal="center" vertical="center"/>
    </xf>
    <xf numFmtId="2" fontId="9" fillId="0" borderId="36" xfId="0" applyFont="1" applyBorder="1">
      <alignment horizontal="center" vertical="center"/>
    </xf>
    <xf numFmtId="2" fontId="9" fillId="0" borderId="23" xfId="0" applyFont="1" applyBorder="1">
      <alignment horizontal="center" vertical="center"/>
    </xf>
    <xf numFmtId="2" fontId="9" fillId="0" borderId="23" xfId="0" applyFont="1" applyBorder="1" applyAlignment="1">
      <alignment horizontal="left" vertical="center"/>
    </xf>
    <xf numFmtId="2" fontId="0" fillId="0" borderId="23" xfId="0" applyBorder="1">
      <alignment horizontal="center" vertical="center"/>
    </xf>
    <xf numFmtId="2" fontId="9" fillId="0" borderId="22" xfId="0" applyFont="1" applyBorder="1">
      <alignment horizontal="center" vertical="center"/>
    </xf>
    <xf numFmtId="2" fontId="9" fillId="0" borderId="37" xfId="0" applyFont="1" applyBorder="1">
      <alignment horizontal="center" vertical="center"/>
    </xf>
    <xf numFmtId="2" fontId="9" fillId="0" borderId="38" xfId="0" applyFont="1" applyBorder="1">
      <alignment horizontal="center" vertical="center"/>
    </xf>
    <xf numFmtId="2" fontId="9" fillId="0" borderId="32" xfId="0" applyFont="1" applyBorder="1">
      <alignment horizontal="center" vertical="center"/>
    </xf>
    <xf numFmtId="2" fontId="9" fillId="0" borderId="32" xfId="0" applyFont="1" applyBorder="1" applyAlignment="1">
      <alignment horizontal="left" vertical="center"/>
    </xf>
    <xf numFmtId="2" fontId="9" fillId="0" borderId="36" xfId="0" applyFont="1" applyBorder="1" applyAlignment="1">
      <alignment horizontal="left" vertical="center"/>
    </xf>
    <xf numFmtId="2" fontId="9" fillId="0" borderId="32" xfId="0" applyFont="1" applyBorder="1" applyAlignment="1">
      <alignment horizontal="right" vertical="center"/>
    </xf>
    <xf numFmtId="2" fontId="0" fillId="0" borderId="33" xfId="0" applyBorder="1">
      <alignment horizontal="center" vertical="center"/>
    </xf>
    <xf numFmtId="2" fontId="0" fillId="0" borderId="34" xfId="0" applyBorder="1">
      <alignment horizontal="center" vertical="center"/>
    </xf>
    <xf numFmtId="2" fontId="7" fillId="0" borderId="0" xfId="0" applyFont="1">
      <alignment horizontal="center" vertical="center"/>
    </xf>
    <xf numFmtId="2" fontId="11" fillId="0" borderId="0" xfId="0" applyFont="1">
      <alignment horizontal="center" vertical="center"/>
    </xf>
    <xf numFmtId="2" fontId="0" fillId="0" borderId="37" xfId="0" applyBorder="1">
      <alignment horizontal="center" vertical="center"/>
    </xf>
    <xf numFmtId="2" fontId="0" fillId="0" borderId="39" xfId="0" applyBorder="1">
      <alignment horizontal="center" vertical="center"/>
    </xf>
    <xf numFmtId="2" fontId="9" fillId="0" borderId="29" xfId="0" applyFont="1" applyBorder="1" applyAlignment="1">
      <alignment horizontal="left" vertical="center"/>
    </xf>
    <xf numFmtId="2" fontId="0" fillId="0" borderId="38" xfId="0" applyBorder="1">
      <alignment horizontal="center" vertical="center"/>
    </xf>
    <xf numFmtId="2" fontId="5" fillId="0" borderId="0" xfId="0" applyFont="1">
      <alignment horizontal="center" vertical="center"/>
    </xf>
    <xf numFmtId="2" fontId="0" fillId="0" borderId="40" xfId="0" applyBorder="1">
      <alignment horizontal="center" vertical="center"/>
    </xf>
    <xf numFmtId="2" fontId="3" fillId="0" borderId="41" xfId="0" applyFont="1" applyBorder="1">
      <alignment horizontal="center" vertical="center"/>
    </xf>
    <xf numFmtId="2" fontId="0" fillId="0" borderId="42" xfId="0" applyBorder="1">
      <alignment horizontal="center" vertical="center"/>
    </xf>
    <xf numFmtId="2" fontId="0" fillId="0" borderId="41" xfId="0" applyBorder="1">
      <alignment horizontal="center" vertical="center"/>
    </xf>
    <xf numFmtId="2" fontId="3" fillId="0" borderId="42" xfId="0" applyFont="1" applyBorder="1">
      <alignment horizontal="center" vertical="center"/>
    </xf>
    <xf numFmtId="2" fontId="0" fillId="0" borderId="43" xfId="0" applyBorder="1">
      <alignment horizontal="center" vertical="center"/>
    </xf>
    <xf numFmtId="2" fontId="3" fillId="0" borderId="44" xfId="0" applyFont="1" applyBorder="1">
      <alignment horizontal="center" vertical="center"/>
    </xf>
    <xf numFmtId="2" fontId="0" fillId="0" borderId="44" xfId="0" applyBorder="1">
      <alignment horizontal="center" vertical="center"/>
    </xf>
    <xf numFmtId="2" fontId="3" fillId="0" borderId="45" xfId="0" applyFont="1" applyBorder="1">
      <alignment horizontal="center" vertical="center"/>
    </xf>
    <xf numFmtId="2" fontId="3" fillId="0" borderId="43" xfId="0" applyFont="1" applyBorder="1">
      <alignment horizontal="center" vertical="center"/>
    </xf>
    <xf numFmtId="2" fontId="0" fillId="0" borderId="22" xfId="0" applyBorder="1">
      <alignment horizontal="center" vertical="center"/>
    </xf>
    <xf numFmtId="2" fontId="13" fillId="0" borderId="0" xfId="0" applyFont="1">
      <alignment horizontal="center" vertical="center"/>
    </xf>
    <xf numFmtId="2" fontId="13" fillId="0" borderId="0" xfId="0" applyFont="1" applyAlignment="1">
      <alignment horizontal="left" vertical="center"/>
    </xf>
    <xf numFmtId="2" fontId="13" fillId="0" borderId="0" xfId="0" applyFont="1" applyAlignment="1">
      <alignment horizontal="center"/>
    </xf>
    <xf numFmtId="2" fontId="9" fillId="0" borderId="29" xfId="0" applyFont="1" applyBorder="1" applyAlignment="1">
      <alignment horizontal="right" vertical="center"/>
    </xf>
    <xf numFmtId="2" fontId="9" fillId="0" borderId="19" xfId="0" applyFont="1" applyBorder="1">
      <alignment horizontal="center" vertical="center"/>
    </xf>
    <xf numFmtId="2" fontId="9" fillId="0" borderId="18" xfId="0" applyFont="1" applyBorder="1" applyAlignment="1">
      <alignment horizontal="left" vertical="center"/>
    </xf>
    <xf numFmtId="2" fontId="9" fillId="0" borderId="19" xfId="0" applyFont="1" applyBorder="1" applyAlignment="1">
      <alignment horizontal="left" vertical="center"/>
    </xf>
    <xf numFmtId="2" fontId="9" fillId="0" borderId="18" xfId="0" applyFont="1" applyBorder="1">
      <alignment horizontal="center" vertical="center"/>
    </xf>
    <xf numFmtId="2" fontId="11" fillId="0" borderId="29" xfId="0" applyFont="1" applyBorder="1">
      <alignment horizontal="center" vertical="center"/>
    </xf>
    <xf numFmtId="2" fontId="13" fillId="0" borderId="29" xfId="0" applyFont="1" applyBorder="1" applyAlignment="1">
      <alignment horizontal="centerContinuous" vertical="center"/>
    </xf>
    <xf numFmtId="2" fontId="3" fillId="0" borderId="0" xfId="0" applyFont="1" applyAlignment="1">
      <alignment horizontal="centerContinuous" vertical="center"/>
    </xf>
    <xf numFmtId="2" fontId="9" fillId="0" borderId="29" xfId="0" applyFont="1" applyBorder="1" applyAlignment="1">
      <alignment horizontal="centerContinuous" vertical="center"/>
    </xf>
    <xf numFmtId="2" fontId="9" fillId="0" borderId="0" xfId="0" applyFont="1" applyAlignment="1">
      <alignment horizontal="centerContinuous"/>
    </xf>
    <xf numFmtId="2" fontId="13" fillId="0" borderId="31" xfId="0" applyFont="1" applyBorder="1" applyAlignment="1">
      <alignment horizontal="right" vertical="center"/>
    </xf>
    <xf numFmtId="2" fontId="9" fillId="0" borderId="31" xfId="0" applyFont="1" applyBorder="1">
      <alignment horizontal="center" vertical="center"/>
    </xf>
    <xf numFmtId="2" fontId="12" fillId="0" borderId="0" xfId="0" applyFont="1">
      <alignment horizontal="center" vertical="center"/>
    </xf>
    <xf numFmtId="2" fontId="12" fillId="0" borderId="23" xfId="0" applyFont="1" applyBorder="1" applyAlignment="1">
      <alignment horizontal="left" vertical="center"/>
    </xf>
    <xf numFmtId="14" fontId="10" fillId="0" borderId="0" xfId="0" applyNumberFormat="1" applyFont="1">
      <alignment horizontal="center" vertical="center"/>
    </xf>
    <xf numFmtId="2" fontId="9" fillId="0" borderId="9" xfId="0" applyFont="1" applyBorder="1">
      <alignment horizontal="center" vertical="center"/>
    </xf>
    <xf numFmtId="2" fontId="9" fillId="0" borderId="13" xfId="0" applyFont="1" applyBorder="1">
      <alignment horizontal="center" vertical="center"/>
    </xf>
    <xf numFmtId="2" fontId="9" fillId="0" borderId="1" xfId="0" applyFont="1" applyBorder="1">
      <alignment horizontal="center" vertical="center"/>
    </xf>
    <xf numFmtId="165" fontId="9" fillId="0" borderId="1" xfId="0" applyNumberFormat="1" applyFont="1" applyBorder="1">
      <alignment horizontal="center" vertical="center"/>
    </xf>
    <xf numFmtId="2" fontId="9" fillId="0" borderId="31" xfId="0" applyFont="1" applyBorder="1" applyAlignment="1">
      <alignment horizontal="right" vertical="center"/>
    </xf>
    <xf numFmtId="2" fontId="9" fillId="0" borderId="46" xfId="0" applyFont="1" applyBorder="1">
      <alignment horizontal="center" vertical="center"/>
    </xf>
    <xf numFmtId="2" fontId="9" fillId="0" borderId="47" xfId="0" applyFont="1" applyBorder="1">
      <alignment horizontal="center" vertical="center"/>
    </xf>
    <xf numFmtId="2" fontId="9" fillId="0" borderId="15" xfId="0" applyFont="1" applyBorder="1">
      <alignment horizontal="center" vertical="center"/>
    </xf>
    <xf numFmtId="2" fontId="9" fillId="0" borderId="48" xfId="0" applyFont="1" applyBorder="1">
      <alignment horizontal="center" vertical="center"/>
    </xf>
    <xf numFmtId="2" fontId="14" fillId="0" borderId="0" xfId="0" applyFont="1">
      <alignment horizontal="center" vertical="center"/>
    </xf>
    <xf numFmtId="2" fontId="0" fillId="0" borderId="29" xfId="0" applyBorder="1">
      <alignment horizontal="center" vertical="center"/>
    </xf>
    <xf numFmtId="2" fontId="9" fillId="0" borderId="0" xfId="0" applyFont="1" applyAlignment="1">
      <alignment horizontal="centerContinuous" vertical="center"/>
    </xf>
    <xf numFmtId="2" fontId="0" fillId="0" borderId="0" xfId="0" applyAlignment="1">
      <alignment horizontal="center"/>
    </xf>
    <xf numFmtId="2" fontId="13" fillId="0" borderId="33" xfId="0" applyFont="1" applyBorder="1" applyAlignment="1">
      <alignment horizontal="left" vertical="center"/>
    </xf>
    <xf numFmtId="2" fontId="14" fillId="0" borderId="0" xfId="0" applyFont="1" applyAlignment="1">
      <alignment horizontal="right" vertical="center"/>
    </xf>
    <xf numFmtId="2" fontId="13" fillId="0" borderId="0" xfId="0" applyFont="1" applyAlignment="1">
      <alignment horizontal="right" vertical="center"/>
    </xf>
    <xf numFmtId="2" fontId="8" fillId="0" borderId="37" xfId="0" applyFont="1" applyBorder="1" applyAlignment="1">
      <alignment horizontal="left" vertical="center"/>
    </xf>
    <xf numFmtId="2" fontId="8" fillId="0" borderId="37" xfId="0" applyFont="1" applyBorder="1">
      <alignment horizontal="center" vertical="center"/>
    </xf>
    <xf numFmtId="2" fontId="9" fillId="0" borderId="37" xfId="0" applyFont="1" applyBorder="1" applyAlignment="1">
      <alignment horizontal="left" vertical="center"/>
    </xf>
    <xf numFmtId="10" fontId="9" fillId="0" borderId="13" xfId="0" applyNumberFormat="1" applyFont="1" applyBorder="1">
      <alignment horizontal="center" vertical="center"/>
    </xf>
    <xf numFmtId="2" fontId="9" fillId="0" borderId="4" xfId="0" applyFont="1" applyBorder="1">
      <alignment horizontal="center" vertical="center"/>
    </xf>
    <xf numFmtId="2" fontId="9" fillId="0" borderId="5" xfId="0" applyFont="1" applyBorder="1">
      <alignment horizontal="center" vertical="center"/>
    </xf>
    <xf numFmtId="2" fontId="12" fillId="0" borderId="37" xfId="0" applyFont="1" applyBorder="1">
      <alignment horizontal="center" vertical="center"/>
    </xf>
    <xf numFmtId="2" fontId="9" fillId="0" borderId="27" xfId="0" applyFont="1" applyBorder="1" applyAlignment="1">
      <alignment horizontal="right" vertical="center"/>
    </xf>
    <xf numFmtId="2" fontId="9" fillId="0" borderId="50" xfId="0" applyFont="1" applyBorder="1">
      <alignment horizontal="center" vertical="center"/>
    </xf>
    <xf numFmtId="2" fontId="3" fillId="0" borderId="51" xfId="0" applyFont="1" applyBorder="1" applyAlignment="1">
      <alignment horizontal="left" vertical="center"/>
    </xf>
    <xf numFmtId="2" fontId="9" fillId="0" borderId="28" xfId="0" applyFont="1" applyBorder="1" applyAlignment="1">
      <alignment horizontal="right" vertical="center"/>
    </xf>
    <xf numFmtId="2" fontId="9" fillId="0" borderId="22" xfId="0" applyFont="1" applyBorder="1" applyAlignment="1">
      <alignment horizontal="left" vertical="center"/>
    </xf>
    <xf numFmtId="2" fontId="9" fillId="0" borderId="37" xfId="0" applyFont="1" applyBorder="1" applyAlignment="1">
      <alignment vertical="center"/>
    </xf>
    <xf numFmtId="2" fontId="9" fillId="0" borderId="16" xfId="0" applyFont="1" applyBorder="1">
      <alignment horizontal="center" vertical="center"/>
    </xf>
    <xf numFmtId="2" fontId="9" fillId="0" borderId="7" xfId="0" applyFont="1" applyBorder="1" applyAlignment="1">
      <alignment horizontal="centerContinuous" vertical="center"/>
    </xf>
    <xf numFmtId="2" fontId="9" fillId="0" borderId="11" xfId="0" applyFont="1" applyBorder="1" applyAlignment="1">
      <alignment horizontal="centerContinuous" vertical="center"/>
    </xf>
    <xf numFmtId="2" fontId="9" fillId="0" borderId="3" xfId="0" applyFont="1" applyBorder="1" applyAlignment="1">
      <alignment horizontal="centerContinuous" vertical="center"/>
    </xf>
    <xf numFmtId="2" fontId="9" fillId="0" borderId="8" xfId="0" applyFont="1" applyBorder="1" applyAlignment="1">
      <alignment horizontal="centerContinuous" vertical="center"/>
    </xf>
    <xf numFmtId="2" fontId="9" fillId="0" borderId="52" xfId="0" applyFont="1" applyBorder="1" applyAlignment="1">
      <alignment horizontal="centerContinuous"/>
    </xf>
    <xf numFmtId="2" fontId="9" fillId="0" borderId="5" xfId="0" applyFont="1" applyBorder="1" applyAlignment="1">
      <alignment horizontal="centerContinuous" vertical="center"/>
    </xf>
    <xf numFmtId="2" fontId="9" fillId="0" borderId="52" xfId="0" applyFont="1" applyBorder="1" applyAlignment="1">
      <alignment horizontal="centerContinuous" vertical="center"/>
    </xf>
    <xf numFmtId="166" fontId="9" fillId="0" borderId="1" xfId="0" applyNumberFormat="1" applyFont="1" applyBorder="1">
      <alignment horizontal="center" vertical="center"/>
    </xf>
    <xf numFmtId="165" fontId="9" fillId="0" borderId="2" xfId="0" applyNumberFormat="1" applyFont="1" applyBorder="1">
      <alignment horizontal="center" vertical="center"/>
    </xf>
    <xf numFmtId="10" fontId="9" fillId="0" borderId="0" xfId="0" applyNumberFormat="1" applyFont="1">
      <alignment horizontal="center" vertical="center"/>
    </xf>
    <xf numFmtId="2" fontId="0" fillId="0" borderId="52" xfId="0" applyBorder="1" applyAlignment="1">
      <alignment horizontal="centerContinuous" vertical="center"/>
    </xf>
    <xf numFmtId="2" fontId="0" fillId="0" borderId="11" xfId="0" applyBorder="1" applyAlignment="1">
      <alignment horizontal="centerContinuous"/>
    </xf>
    <xf numFmtId="2" fontId="0" fillId="0" borderId="0" xfId="0" applyAlignment="1">
      <alignment horizontal="centerContinuous" vertical="center"/>
    </xf>
    <xf numFmtId="2" fontId="3" fillId="0" borderId="29" xfId="0" applyFont="1" applyBorder="1" applyAlignment="1">
      <alignment horizontal="left" vertical="center"/>
    </xf>
    <xf numFmtId="2" fontId="3" fillId="0" borderId="29" xfId="0" applyFont="1" applyBorder="1" applyAlignment="1">
      <alignment horizontal="centerContinuous" vertical="center"/>
    </xf>
    <xf numFmtId="2" fontId="3" fillId="0" borderId="53" xfId="0" applyFont="1" applyBorder="1">
      <alignment horizontal="center" vertical="center"/>
    </xf>
    <xf numFmtId="2" fontId="9" fillId="0" borderId="54" xfId="0" applyFont="1" applyBorder="1" applyAlignment="1">
      <alignment horizontal="centerContinuous" vertical="center"/>
    </xf>
    <xf numFmtId="2" fontId="9" fillId="0" borderId="55" xfId="0" applyFont="1" applyBorder="1">
      <alignment horizontal="center" vertical="center"/>
    </xf>
    <xf numFmtId="2" fontId="9" fillId="0" borderId="17" xfId="0" applyFont="1" applyBorder="1" applyAlignment="1">
      <alignment horizontal="centerContinuous" vertical="center"/>
    </xf>
    <xf numFmtId="2" fontId="9" fillId="0" borderId="41" xfId="0" applyFont="1" applyBorder="1" applyAlignment="1">
      <alignment horizontal="centerContinuous" vertical="center"/>
    </xf>
    <xf numFmtId="2" fontId="3" fillId="0" borderId="56" xfId="0" applyFont="1" applyBorder="1">
      <alignment horizontal="center" vertical="center"/>
    </xf>
    <xf numFmtId="2" fontId="3" fillId="0" borderId="57" xfId="0" applyFont="1" applyBorder="1">
      <alignment horizontal="center" vertical="center"/>
    </xf>
    <xf numFmtId="2" fontId="3" fillId="0" borderId="58" xfId="0" applyFont="1" applyBorder="1">
      <alignment horizontal="center" vertical="center"/>
    </xf>
    <xf numFmtId="2" fontId="3" fillId="0" borderId="42" xfId="0" applyFont="1" applyBorder="1" applyAlignment="1">
      <alignment horizontal="centerContinuous" vertical="center"/>
    </xf>
    <xf numFmtId="2" fontId="3" fillId="0" borderId="59" xfId="0" applyFont="1" applyBorder="1">
      <alignment horizontal="center" vertical="center"/>
    </xf>
    <xf numFmtId="2" fontId="3" fillId="0" borderId="17" xfId="0" applyFont="1" applyBorder="1" applyAlignment="1">
      <alignment horizontal="centerContinuous" vertical="center"/>
    </xf>
    <xf numFmtId="2" fontId="3" fillId="0" borderId="54" xfId="0" applyFont="1" applyBorder="1" applyAlignment="1">
      <alignment horizontal="centerContinuous" vertical="center"/>
    </xf>
    <xf numFmtId="168" fontId="9" fillId="0" borderId="60" xfId="0" applyNumberFormat="1" applyFont="1" applyBorder="1">
      <alignment horizontal="center" vertical="center"/>
    </xf>
    <xf numFmtId="168" fontId="9" fillId="0" borderId="61" xfId="0" applyNumberFormat="1" applyFont="1" applyBorder="1">
      <alignment horizontal="center" vertical="center"/>
    </xf>
    <xf numFmtId="168" fontId="9" fillId="0" borderId="55" xfId="0" applyNumberFormat="1" applyFont="1" applyBorder="1">
      <alignment horizontal="center" vertical="center"/>
    </xf>
    <xf numFmtId="168" fontId="9" fillId="0" borderId="13" xfId="0" applyNumberFormat="1" applyFont="1" applyBorder="1">
      <alignment horizontal="center" vertical="center"/>
    </xf>
    <xf numFmtId="2" fontId="9" fillId="0" borderId="62" xfId="0" applyFont="1" applyBorder="1">
      <alignment horizontal="center" vertical="center"/>
    </xf>
    <xf numFmtId="2" fontId="9" fillId="0" borderId="63" xfId="0" applyFont="1" applyBorder="1" applyAlignment="1">
      <alignment horizontal="centerContinuous" vertical="center"/>
    </xf>
    <xf numFmtId="2" fontId="9" fillId="0" borderId="64" xfId="0" applyFont="1" applyBorder="1">
      <alignment horizontal="center" vertical="center"/>
    </xf>
    <xf numFmtId="2" fontId="6" fillId="0" borderId="63" xfId="0" applyFont="1" applyBorder="1" applyAlignment="1">
      <alignment horizontal="centerContinuous" vertical="center"/>
    </xf>
    <xf numFmtId="2" fontId="9" fillId="0" borderId="61" xfId="0" applyFont="1" applyBorder="1">
      <alignment horizontal="center" vertical="center"/>
    </xf>
    <xf numFmtId="2" fontId="9" fillId="0" borderId="65" xfId="0" applyFont="1" applyBorder="1">
      <alignment horizontal="center" vertical="center"/>
    </xf>
    <xf numFmtId="2" fontId="3" fillId="0" borderId="64" xfId="0" applyFont="1" applyBorder="1" applyAlignment="1">
      <alignment horizontal="centerContinuous" vertical="center"/>
    </xf>
    <xf numFmtId="10" fontId="9" fillId="0" borderId="66" xfId="0" applyNumberFormat="1" applyFont="1" applyBorder="1" applyAlignment="1">
      <alignment horizontal="centerContinuous" vertical="center"/>
    </xf>
    <xf numFmtId="2" fontId="9" fillId="0" borderId="23" xfId="0" applyFont="1" applyBorder="1" applyAlignment="1">
      <alignment horizontal="centerContinuous" vertical="center"/>
    </xf>
    <xf numFmtId="168" fontId="9" fillId="0" borderId="48" xfId="0" applyNumberFormat="1" applyFont="1" applyBorder="1">
      <alignment horizontal="center" vertical="center"/>
    </xf>
    <xf numFmtId="2" fontId="0" fillId="0" borderId="67" xfId="0" applyBorder="1">
      <alignment horizontal="center" vertical="center"/>
    </xf>
    <xf numFmtId="2" fontId="9" fillId="0" borderId="68" xfId="0" applyFont="1" applyBorder="1">
      <alignment horizontal="center" vertical="center"/>
    </xf>
    <xf numFmtId="2" fontId="15" fillId="0" borderId="0" xfId="0" applyFont="1">
      <alignment horizontal="center" vertical="center"/>
    </xf>
    <xf numFmtId="1" fontId="8" fillId="0" borderId="29" xfId="4" applyBorder="1">
      <alignment horizontal="left" vertical="center"/>
    </xf>
    <xf numFmtId="2" fontId="13" fillId="0" borderId="29" xfId="0" applyFont="1" applyBorder="1" applyAlignment="1">
      <alignment horizontal="right" vertical="center"/>
    </xf>
    <xf numFmtId="1" fontId="8" fillId="0" borderId="22" xfId="4" applyBorder="1">
      <alignment horizontal="left" vertical="center"/>
    </xf>
    <xf numFmtId="1" fontId="8" fillId="0" borderId="0" xfId="4">
      <alignment horizontal="left" vertical="center"/>
    </xf>
    <xf numFmtId="2" fontId="3" fillId="0" borderId="69" xfId="0" applyFont="1" applyBorder="1" applyAlignment="1">
      <alignment horizontal="right" vertical="center"/>
    </xf>
    <xf numFmtId="2" fontId="9" fillId="0" borderId="11" xfId="0" applyFont="1" applyBorder="1">
      <alignment horizontal="center" vertical="center"/>
    </xf>
    <xf numFmtId="2" fontId="13" fillId="0" borderId="31" xfId="0" applyFont="1" applyBorder="1">
      <alignment horizontal="center" vertical="center"/>
    </xf>
    <xf numFmtId="1" fontId="8" fillId="0" borderId="29" xfId="4" applyBorder="1" applyAlignment="1">
      <alignment horizontal="centerContinuous" vertical="center"/>
    </xf>
    <xf numFmtId="1" fontId="8" fillId="0" borderId="0" xfId="4" applyAlignment="1">
      <alignment horizontal="centerContinuous" vertical="center"/>
    </xf>
    <xf numFmtId="2" fontId="15" fillId="0" borderId="29" xfId="0" applyFont="1" applyBorder="1">
      <alignment horizontal="center" vertical="center"/>
    </xf>
    <xf numFmtId="2" fontId="8" fillId="0" borderId="22" xfId="0" applyFont="1" applyBorder="1">
      <alignment horizontal="center" vertical="center"/>
    </xf>
    <xf numFmtId="2" fontId="13" fillId="0" borderId="29" xfId="0" applyFont="1" applyBorder="1" applyAlignment="1">
      <alignment horizontal="left" vertical="center"/>
    </xf>
    <xf numFmtId="2" fontId="3" fillId="0" borderId="70" xfId="0" applyFont="1" applyBorder="1">
      <alignment horizontal="center" vertical="center"/>
    </xf>
    <xf numFmtId="2" fontId="9" fillId="0" borderId="58" xfId="0" applyFont="1" applyBorder="1">
      <alignment horizontal="center" vertical="center"/>
    </xf>
    <xf numFmtId="2" fontId="6" fillId="0" borderId="64" xfId="0" applyFont="1" applyBorder="1" applyAlignment="1">
      <alignment horizontal="centerContinuous" vertical="center"/>
    </xf>
    <xf numFmtId="2" fontId="3" fillId="0" borderId="71" xfId="0" applyFont="1" applyBorder="1">
      <alignment horizontal="center" vertical="center"/>
    </xf>
    <xf numFmtId="2" fontId="9" fillId="0" borderId="67" xfId="0" applyFont="1" applyBorder="1" applyAlignment="1">
      <alignment horizontal="centerContinuous" vertical="center"/>
    </xf>
    <xf numFmtId="2" fontId="9" fillId="0" borderId="14" xfId="0" applyFont="1" applyBorder="1">
      <alignment horizontal="center" vertical="center"/>
    </xf>
    <xf numFmtId="2" fontId="0" fillId="0" borderId="0" xfId="0" applyAlignment="1"/>
    <xf numFmtId="1" fontId="9" fillId="0" borderId="29" xfId="0" applyNumberFormat="1" applyFont="1" applyBorder="1">
      <alignment horizontal="center" vertical="center"/>
    </xf>
    <xf numFmtId="2" fontId="0" fillId="0" borderId="29" xfId="0" applyBorder="1" applyAlignment="1"/>
    <xf numFmtId="2" fontId="4" fillId="0" borderId="29" xfId="0" applyFont="1" applyBorder="1" applyAlignment="1">
      <alignment horizontal="left" vertical="center"/>
    </xf>
    <xf numFmtId="2" fontId="3" fillId="0" borderId="29" xfId="0" applyFont="1" applyBorder="1" applyAlignment="1">
      <alignment horizontal="right" vertical="center"/>
    </xf>
    <xf numFmtId="2" fontId="3" fillId="0" borderId="19" xfId="0" applyFont="1" applyBorder="1" applyAlignment="1">
      <alignment horizontal="left" vertical="center"/>
    </xf>
    <xf numFmtId="2" fontId="16" fillId="0" borderId="0" xfId="0" applyFont="1">
      <alignment horizontal="center" vertical="center"/>
    </xf>
    <xf numFmtId="1" fontId="9" fillId="0" borderId="7" xfId="0" applyNumberFormat="1" applyFont="1" applyBorder="1">
      <alignment horizontal="center" vertical="center"/>
    </xf>
    <xf numFmtId="2" fontId="9" fillId="0" borderId="7" xfId="0" applyFont="1" applyBorder="1">
      <alignment horizontal="center" vertical="center"/>
    </xf>
    <xf numFmtId="2" fontId="9" fillId="0" borderId="3" xfId="0" applyFont="1" applyBorder="1">
      <alignment horizontal="center" vertical="center"/>
    </xf>
    <xf numFmtId="2" fontId="9" fillId="0" borderId="6" xfId="0" applyFont="1" applyBorder="1">
      <alignment horizontal="center" vertical="center"/>
    </xf>
    <xf numFmtId="166" fontId="9" fillId="0" borderId="7" xfId="0" applyNumberFormat="1" applyFont="1" applyBorder="1">
      <alignment horizontal="center" vertical="center"/>
    </xf>
    <xf numFmtId="165" fontId="9" fillId="0" borderId="7" xfId="0" applyNumberFormat="1" applyFont="1" applyBorder="1">
      <alignment horizontal="center" vertical="center"/>
    </xf>
    <xf numFmtId="166" fontId="9" fillId="0" borderId="2" xfId="0" applyNumberFormat="1" applyFont="1" applyBorder="1">
      <alignment horizontal="center" vertical="center"/>
    </xf>
    <xf numFmtId="1" fontId="9" fillId="0" borderId="72" xfId="0" applyNumberFormat="1" applyFont="1" applyBorder="1">
      <alignment horizontal="center" vertical="center"/>
    </xf>
    <xf numFmtId="2" fontId="9" fillId="0" borderId="2" xfId="0" applyFont="1" applyBorder="1" applyAlignment="1">
      <alignment horizontal="right" vertical="center"/>
    </xf>
    <xf numFmtId="1" fontId="9" fillId="0" borderId="3" xfId="0" applyNumberFormat="1" applyFont="1" applyBorder="1">
      <alignment horizontal="center" vertical="center"/>
    </xf>
    <xf numFmtId="9" fontId="9" fillId="0" borderId="3" xfId="0" applyNumberFormat="1" applyFont="1" applyBorder="1">
      <alignment horizontal="center" vertical="center"/>
    </xf>
    <xf numFmtId="2" fontId="9" fillId="0" borderId="3" xfId="0" quotePrefix="1" applyFont="1" applyBorder="1">
      <alignment horizontal="center" vertical="center"/>
    </xf>
    <xf numFmtId="9" fontId="9" fillId="0" borderId="7" xfId="0" applyNumberFormat="1" applyFont="1" applyBorder="1">
      <alignment horizontal="center" vertical="center"/>
    </xf>
    <xf numFmtId="2" fontId="9" fillId="0" borderId="12" xfId="0" applyFont="1" applyBorder="1">
      <alignment horizontal="center" vertical="center"/>
    </xf>
    <xf numFmtId="9" fontId="9" fillId="0" borderId="12" xfId="0" applyNumberFormat="1" applyFont="1" applyBorder="1">
      <alignment horizontal="center" vertical="center"/>
    </xf>
    <xf numFmtId="2" fontId="9" fillId="0" borderId="16" xfId="0" quotePrefix="1" applyFont="1" applyBorder="1">
      <alignment horizontal="center" vertical="center"/>
    </xf>
    <xf numFmtId="166" fontId="9" fillId="0" borderId="13" xfId="0" applyNumberFormat="1" applyFont="1" applyBorder="1">
      <alignment horizontal="center" vertical="center"/>
    </xf>
    <xf numFmtId="165" fontId="9" fillId="0" borderId="48" xfId="0" applyNumberFormat="1" applyFont="1" applyBorder="1">
      <alignment horizontal="center" vertical="center"/>
    </xf>
    <xf numFmtId="2" fontId="9" fillId="0" borderId="30" xfId="0" applyFont="1" applyBorder="1">
      <alignment horizontal="center" vertical="center"/>
    </xf>
    <xf numFmtId="166" fontId="9" fillId="0" borderId="16" xfId="0" applyNumberFormat="1" applyFont="1" applyBorder="1">
      <alignment horizontal="center" vertical="center"/>
    </xf>
    <xf numFmtId="165" fontId="9" fillId="0" borderId="14" xfId="0" applyNumberFormat="1" applyFont="1" applyBorder="1">
      <alignment horizontal="center" vertical="center"/>
    </xf>
    <xf numFmtId="2" fontId="9" fillId="0" borderId="73" xfId="0" applyFont="1" applyBorder="1">
      <alignment horizontal="center" vertical="center"/>
    </xf>
    <xf numFmtId="2" fontId="9" fillId="0" borderId="74" xfId="0" applyFont="1" applyBorder="1">
      <alignment horizontal="center" vertical="center"/>
    </xf>
    <xf numFmtId="165" fontId="9" fillId="0" borderId="74" xfId="0" applyNumberFormat="1" applyFont="1" applyBorder="1">
      <alignment horizontal="center" vertical="center"/>
    </xf>
    <xf numFmtId="2" fontId="9" fillId="0" borderId="16" xfId="0" quotePrefix="1" applyFont="1" applyBorder="1" applyAlignment="1">
      <alignment horizontal="centerContinuous" vertical="center"/>
    </xf>
    <xf numFmtId="2" fontId="9" fillId="0" borderId="51" xfId="0" applyFont="1" applyBorder="1" applyAlignment="1">
      <alignment horizontal="right" vertical="center"/>
    </xf>
    <xf numFmtId="2" fontId="9" fillId="0" borderId="4" xfId="0" applyFont="1" applyBorder="1" applyAlignment="1">
      <alignment horizontal="centerContinuous" vertical="center"/>
    </xf>
    <xf numFmtId="2" fontId="10" fillId="0" borderId="3" xfId="0" applyFont="1" applyBorder="1" applyAlignment="1">
      <alignment horizontal="centerContinuous" vertical="center"/>
    </xf>
    <xf numFmtId="2" fontId="10" fillId="0" borderId="17" xfId="0" applyFont="1" applyBorder="1" applyAlignment="1">
      <alignment horizontal="centerContinuous" vertical="center"/>
    </xf>
    <xf numFmtId="2" fontId="10" fillId="0" borderId="29" xfId="0" applyFont="1" applyBorder="1" applyAlignment="1">
      <alignment horizontal="centerContinuous" vertical="center"/>
    </xf>
    <xf numFmtId="2" fontId="3" fillId="0" borderId="8" xfId="0" applyFont="1" applyBorder="1" applyAlignment="1">
      <alignment horizontal="centerContinuous" vertical="center"/>
    </xf>
    <xf numFmtId="2" fontId="10" fillId="0" borderId="53" xfId="0" applyFont="1" applyBorder="1">
      <alignment horizontal="center" vertical="center"/>
    </xf>
    <xf numFmtId="2" fontId="10" fillId="0" borderId="57" xfId="0" applyFont="1" applyBorder="1">
      <alignment horizontal="center" vertical="center"/>
    </xf>
    <xf numFmtId="2" fontId="10" fillId="0" borderId="58" xfId="0" applyFont="1" applyBorder="1">
      <alignment horizontal="center" vertical="center"/>
    </xf>
    <xf numFmtId="2" fontId="10" fillId="0" borderId="16" xfId="0" applyFont="1" applyBorder="1">
      <alignment horizontal="center" vertical="center"/>
    </xf>
    <xf numFmtId="10" fontId="10" fillId="0" borderId="66" xfId="0" applyNumberFormat="1" applyFont="1" applyBorder="1" applyAlignment="1">
      <alignment horizontal="centerContinuous" vertical="center"/>
    </xf>
    <xf numFmtId="2" fontId="10" fillId="0" borderId="70" xfId="0" applyFont="1" applyBorder="1">
      <alignment horizontal="center" vertical="center"/>
    </xf>
    <xf numFmtId="2" fontId="10" fillId="0" borderId="14" xfId="0" applyFont="1" applyBorder="1">
      <alignment horizontal="center" vertical="center"/>
    </xf>
    <xf numFmtId="2" fontId="0" fillId="0" borderId="23" xfId="0" applyBorder="1" applyAlignment="1">
      <alignment horizontal="centerContinuous"/>
    </xf>
    <xf numFmtId="1" fontId="9" fillId="0" borderId="61" xfId="0" applyNumberFormat="1" applyFont="1" applyBorder="1">
      <alignment horizontal="center" vertical="center"/>
    </xf>
    <xf numFmtId="1" fontId="9" fillId="0" borderId="13" xfId="0" applyNumberFormat="1" applyFont="1" applyBorder="1">
      <alignment horizontal="center" vertical="center"/>
    </xf>
    <xf numFmtId="2" fontId="17" fillId="0" borderId="0" xfId="0" applyFont="1">
      <alignment horizontal="center" vertical="center"/>
    </xf>
    <xf numFmtId="2" fontId="9" fillId="0" borderId="27" xfId="0" applyFont="1" applyBorder="1">
      <alignment horizontal="center" vertical="center"/>
    </xf>
    <xf numFmtId="2" fontId="9" fillId="0" borderId="53" xfId="0" applyFont="1" applyBorder="1">
      <alignment horizontal="center" vertical="center"/>
    </xf>
    <xf numFmtId="2" fontId="3" fillId="0" borderId="16" xfId="0" applyFont="1" applyBorder="1" applyAlignment="1">
      <alignment horizontal="left" vertical="center"/>
    </xf>
    <xf numFmtId="2" fontId="9" fillId="0" borderId="26" xfId="0" applyFont="1" applyBorder="1">
      <alignment horizontal="center" vertical="center"/>
    </xf>
    <xf numFmtId="2" fontId="13" fillId="0" borderId="0" xfId="0" applyFont="1" applyAlignment="1">
      <alignment horizontal="centerContinuous" vertical="center"/>
    </xf>
    <xf numFmtId="165" fontId="9" fillId="0" borderId="49" xfId="0" applyNumberFormat="1" applyFont="1" applyBorder="1">
      <alignment horizontal="center" vertical="center"/>
    </xf>
    <xf numFmtId="2" fontId="9" fillId="0" borderId="8" xfId="0" applyFont="1" applyBorder="1">
      <alignment horizontal="center" vertical="center"/>
    </xf>
    <xf numFmtId="165" fontId="9" fillId="0" borderId="13" xfId="0" applyNumberFormat="1" applyFont="1" applyBorder="1">
      <alignment horizontal="center" vertical="center"/>
    </xf>
    <xf numFmtId="2" fontId="12" fillId="0" borderId="29" xfId="0" applyFont="1" applyBorder="1" applyAlignment="1">
      <alignment horizontal="left" vertical="center"/>
    </xf>
    <xf numFmtId="2" fontId="6" fillId="0" borderId="0" xfId="0" applyFont="1" applyAlignment="1">
      <alignment horizontal="centerContinuous" vertical="center"/>
    </xf>
    <xf numFmtId="2" fontId="9" fillId="0" borderId="57" xfId="0" applyFont="1" applyBorder="1">
      <alignment horizontal="center" vertical="center"/>
    </xf>
    <xf numFmtId="2" fontId="9" fillId="0" borderId="17" xfId="0" applyFont="1" applyBorder="1">
      <alignment horizontal="center" vertical="center"/>
    </xf>
    <xf numFmtId="2" fontId="9" fillId="0" borderId="71" xfId="0" applyFont="1" applyBorder="1">
      <alignment horizontal="center" vertical="center"/>
    </xf>
    <xf numFmtId="2" fontId="9" fillId="0" borderId="54" xfId="0" applyFont="1" applyBorder="1">
      <alignment horizontal="center" vertical="center"/>
    </xf>
    <xf numFmtId="2" fontId="6" fillId="0" borderId="0" xfId="0" applyFont="1" applyAlignment="1">
      <alignment horizontal="right" vertical="center"/>
    </xf>
    <xf numFmtId="1" fontId="6" fillId="0" borderId="0" xfId="0" applyNumberFormat="1" applyFont="1" applyAlignment="1">
      <alignment horizontal="right" vertical="center"/>
    </xf>
    <xf numFmtId="2" fontId="6" fillId="0" borderId="0" xfId="0" applyFont="1" applyAlignment="1">
      <alignment horizontal="left" vertical="center"/>
    </xf>
    <xf numFmtId="1" fontId="17" fillId="0" borderId="0" xfId="4" applyFont="1">
      <alignment horizontal="left" vertical="center"/>
    </xf>
    <xf numFmtId="1" fontId="17" fillId="0" borderId="0" xfId="4" applyFont="1" applyAlignment="1">
      <alignment horizontal="centerContinuous" vertical="center"/>
    </xf>
    <xf numFmtId="2" fontId="9" fillId="0" borderId="27" xfId="0" applyFont="1" applyBorder="1" applyAlignment="1">
      <alignment horizontal="left" vertical="center"/>
    </xf>
    <xf numFmtId="2" fontId="9" fillId="0" borderId="76" xfId="0" applyFont="1" applyBorder="1">
      <alignment horizontal="center" vertical="center"/>
    </xf>
    <xf numFmtId="2" fontId="12" fillId="0" borderId="77" xfId="0" applyFont="1" applyBorder="1">
      <alignment horizontal="center" vertical="center"/>
    </xf>
    <xf numFmtId="2" fontId="9" fillId="0" borderId="78" xfId="0" applyFont="1" applyBorder="1" applyAlignment="1">
      <alignment horizontal="right" vertical="center"/>
    </xf>
    <xf numFmtId="2" fontId="9" fillId="0" borderId="18" xfId="0" applyFont="1" applyBorder="1" applyAlignment="1">
      <alignment horizontal="center" vertical="center" wrapText="1"/>
    </xf>
    <xf numFmtId="2" fontId="12" fillId="0" borderId="79" xfId="0" applyFont="1" applyBorder="1">
      <alignment horizontal="center" vertical="center"/>
    </xf>
    <xf numFmtId="2" fontId="9" fillId="0" borderId="80" xfId="0" applyFont="1" applyBorder="1">
      <alignment horizontal="center" vertical="center"/>
    </xf>
    <xf numFmtId="2" fontId="9" fillId="0" borderId="79" xfId="0" applyFont="1" applyBorder="1">
      <alignment horizontal="center" vertical="center"/>
    </xf>
    <xf numFmtId="2" fontId="12" fillId="0" borderId="81" xfId="0" applyFont="1" applyBorder="1">
      <alignment horizontal="center" vertical="center"/>
    </xf>
    <xf numFmtId="2" fontId="9" fillId="0" borderId="81" xfId="0" applyFont="1" applyBorder="1">
      <alignment horizontal="center" vertical="center"/>
    </xf>
    <xf numFmtId="2" fontId="3" fillId="0" borderId="82" xfId="0" applyFont="1" applyBorder="1" applyAlignment="1">
      <alignment horizontal="right" vertical="center"/>
    </xf>
    <xf numFmtId="2" fontId="5" fillId="0" borderId="29" xfId="0" applyFont="1" applyBorder="1" applyAlignment="1">
      <alignment horizontal="left" vertical="center"/>
    </xf>
    <xf numFmtId="2" fontId="3" fillId="0" borderId="37" xfId="0" applyFont="1" applyBorder="1">
      <alignment horizontal="center" vertical="center"/>
    </xf>
    <xf numFmtId="2" fontId="3" fillId="0" borderId="38" xfId="0" applyFont="1" applyBorder="1">
      <alignment horizontal="center" vertical="center"/>
    </xf>
    <xf numFmtId="2" fontId="3" fillId="0" borderId="51" xfId="0" applyFont="1" applyBorder="1">
      <alignment horizontal="center" vertical="center"/>
    </xf>
    <xf numFmtId="2" fontId="18" fillId="0" borderId="0" xfId="0" applyFont="1">
      <alignment horizontal="center" vertical="center"/>
    </xf>
    <xf numFmtId="1" fontId="3" fillId="0" borderId="0" xfId="0" applyNumberFormat="1" applyFont="1" applyAlignment="1">
      <alignment horizontal="left" vertical="center"/>
    </xf>
    <xf numFmtId="2" fontId="0" fillId="0" borderId="0" xfId="0" applyAlignment="1">
      <alignment horizontal="left"/>
    </xf>
    <xf numFmtId="2" fontId="3" fillId="0" borderId="35" xfId="0" applyFont="1" applyBorder="1" applyAlignment="1">
      <alignment horizontal="right" vertical="center"/>
    </xf>
    <xf numFmtId="1" fontId="3" fillId="0" borderId="83" xfId="0" applyNumberFormat="1" applyFont="1" applyBorder="1">
      <alignment horizontal="center" vertical="center"/>
    </xf>
    <xf numFmtId="168" fontId="3" fillId="0" borderId="29" xfId="0" applyNumberFormat="1" applyFont="1" applyBorder="1">
      <alignment horizontal="center" vertical="center"/>
    </xf>
    <xf numFmtId="2" fontId="3" fillId="0" borderId="31" xfId="0" applyFont="1" applyBorder="1">
      <alignment horizontal="center" vertical="center"/>
    </xf>
    <xf numFmtId="2" fontId="3" fillId="0" borderId="34" xfId="0" applyFont="1" applyBorder="1">
      <alignment horizontal="center" vertical="center"/>
    </xf>
    <xf numFmtId="165" fontId="3" fillId="0" borderId="0" xfId="0" applyNumberFormat="1" applyFont="1">
      <alignment horizontal="center" vertical="center"/>
    </xf>
    <xf numFmtId="2" fontId="3" fillId="0" borderId="9" xfId="0" quotePrefix="1" applyFont="1" applyBorder="1">
      <alignment horizontal="center" vertical="center"/>
    </xf>
    <xf numFmtId="1" fontId="3" fillId="0" borderId="0" xfId="0" applyNumberFormat="1" applyFont="1">
      <alignment horizontal="center" vertical="center"/>
    </xf>
    <xf numFmtId="2" fontId="10" fillId="0" borderId="9" xfId="0" applyFont="1" applyBorder="1">
      <alignment horizontal="center" vertical="center"/>
    </xf>
    <xf numFmtId="2" fontId="10" fillId="0" borderId="9" xfId="0" quotePrefix="1" applyFont="1" applyBorder="1">
      <alignment horizontal="center" vertical="center"/>
    </xf>
    <xf numFmtId="2" fontId="10" fillId="0" borderId="16" xfId="0" quotePrefix="1" applyFont="1" applyBorder="1">
      <alignment horizontal="center" vertical="center"/>
    </xf>
    <xf numFmtId="2" fontId="3" fillId="0" borderId="0" xfId="0" quotePrefix="1" applyFont="1">
      <alignment horizontal="center" vertical="center"/>
    </xf>
    <xf numFmtId="2" fontId="3" fillId="0" borderId="54" xfId="0" applyFont="1" applyBorder="1">
      <alignment horizontal="center" vertical="center"/>
    </xf>
    <xf numFmtId="2" fontId="3" fillId="0" borderId="57" xfId="0" quotePrefix="1" applyFont="1" applyBorder="1">
      <alignment horizontal="center" vertical="center"/>
    </xf>
    <xf numFmtId="2" fontId="0" fillId="0" borderId="54" xfId="0" applyBorder="1" applyAlignment="1">
      <alignment horizontal="centerContinuous"/>
    </xf>
    <xf numFmtId="2" fontId="10" fillId="0" borderId="23" xfId="0" applyFont="1" applyBorder="1">
      <alignment horizontal="center" vertical="center"/>
    </xf>
    <xf numFmtId="2" fontId="10" fillId="0" borderId="46" xfId="0" applyFont="1" applyBorder="1">
      <alignment horizontal="center" vertical="center"/>
    </xf>
    <xf numFmtId="165" fontId="9" fillId="0" borderId="84" xfId="0" applyNumberFormat="1" applyFont="1" applyBorder="1">
      <alignment horizontal="center" vertical="center"/>
    </xf>
    <xf numFmtId="9" fontId="13" fillId="0" borderId="0" xfId="0" applyNumberFormat="1" applyFont="1">
      <alignment horizontal="center" vertical="center"/>
    </xf>
    <xf numFmtId="2" fontId="2" fillId="0" borderId="9" xfId="0" applyFont="1" applyBorder="1">
      <alignment horizontal="center" vertical="center"/>
    </xf>
    <xf numFmtId="2" fontId="2" fillId="0" borderId="13" xfId="0" applyFont="1" applyBorder="1">
      <alignment horizontal="center" vertical="center"/>
    </xf>
    <xf numFmtId="2" fontId="2" fillId="0" borderId="13" xfId="0" applyFont="1" applyBorder="1" applyAlignment="1">
      <alignment horizontal="left" vertical="center"/>
    </xf>
    <xf numFmtId="166" fontId="2" fillId="0" borderId="9" xfId="0" applyNumberFormat="1" applyFont="1" applyBorder="1">
      <alignment horizontal="center" vertical="center"/>
    </xf>
    <xf numFmtId="2" fontId="2" fillId="0" borderId="0" xfId="0" applyFont="1">
      <alignment horizontal="center" vertical="center"/>
    </xf>
    <xf numFmtId="2" fontId="2" fillId="0" borderId="46" xfId="0" applyFont="1" applyBorder="1">
      <alignment horizontal="center" vertical="center"/>
    </xf>
    <xf numFmtId="2" fontId="2" fillId="0" borderId="11" xfId="0" applyFont="1" applyBorder="1">
      <alignment horizontal="center" vertical="center"/>
    </xf>
    <xf numFmtId="2" fontId="2" fillId="0" borderId="48" xfId="0" applyFont="1" applyBorder="1" applyAlignment="1">
      <alignment horizontal="left" vertical="center"/>
    </xf>
    <xf numFmtId="1" fontId="2" fillId="0" borderId="8" xfId="0" applyNumberFormat="1" applyFont="1" applyBorder="1">
      <alignment horizontal="center" vertical="center"/>
    </xf>
    <xf numFmtId="166" fontId="2" fillId="0" borderId="46" xfId="0" applyNumberFormat="1" applyFont="1" applyBorder="1">
      <alignment horizontal="center" vertical="center"/>
    </xf>
    <xf numFmtId="10" fontId="3" fillId="0" borderId="13" xfId="0" applyNumberFormat="1" applyFont="1" applyBorder="1">
      <alignment horizontal="center" vertical="center"/>
    </xf>
    <xf numFmtId="10" fontId="3" fillId="0" borderId="50" xfId="0" applyNumberFormat="1" applyFont="1" applyBorder="1">
      <alignment horizontal="center" vertical="center"/>
    </xf>
    <xf numFmtId="2" fontId="9" fillId="0" borderId="0" xfId="0" applyFont="1" applyAlignment="1">
      <alignment vertical="center"/>
    </xf>
    <xf numFmtId="1" fontId="15" fillId="0" borderId="0" xfId="4" applyFont="1" applyAlignment="1">
      <alignment horizontal="center" vertical="center"/>
    </xf>
    <xf numFmtId="1" fontId="3" fillId="0" borderId="5" xfId="0" applyNumberFormat="1" applyFont="1" applyBorder="1">
      <alignment horizontal="center" vertical="center"/>
    </xf>
    <xf numFmtId="165" fontId="3" fillId="0" borderId="5" xfId="0" applyNumberFormat="1" applyFont="1" applyBorder="1">
      <alignment horizontal="center" vertical="center"/>
    </xf>
    <xf numFmtId="1" fontId="3" fillId="0" borderId="61" xfId="0" applyNumberFormat="1" applyFont="1" applyBorder="1">
      <alignment horizontal="center" vertical="center"/>
    </xf>
    <xf numFmtId="168" fontId="3" fillId="0" borderId="61" xfId="0" applyNumberFormat="1" applyFont="1" applyBorder="1">
      <alignment horizontal="center" vertical="center"/>
    </xf>
    <xf numFmtId="1" fontId="3" fillId="0" borderId="75" xfId="0" applyNumberFormat="1" applyFont="1" applyBorder="1">
      <alignment horizontal="center" vertical="center"/>
    </xf>
    <xf numFmtId="168" fontId="3" fillId="0" borderId="85" xfId="0" applyNumberFormat="1" applyFont="1" applyBorder="1">
      <alignment horizontal="center" vertical="center"/>
    </xf>
    <xf numFmtId="2" fontId="3" fillId="0" borderId="86" xfId="0" applyFont="1" applyBorder="1">
      <alignment horizontal="center" vertical="center"/>
    </xf>
    <xf numFmtId="165" fontId="3" fillId="0" borderId="86" xfId="0" applyNumberFormat="1" applyFont="1" applyBorder="1">
      <alignment horizontal="center" vertical="center"/>
    </xf>
    <xf numFmtId="2" fontId="3" fillId="0" borderId="27" xfId="0" applyFont="1" applyBorder="1">
      <alignment horizontal="center" vertical="center"/>
    </xf>
    <xf numFmtId="165" fontId="3" fillId="0" borderId="27" xfId="0" applyNumberFormat="1" applyFont="1" applyBorder="1">
      <alignment horizontal="center" vertical="center"/>
    </xf>
    <xf numFmtId="2" fontId="13" fillId="0" borderId="0" xfId="0" applyFont="1" applyAlignment="1">
      <alignment horizontal="right"/>
    </xf>
    <xf numFmtId="2" fontId="15" fillId="0" borderId="29" xfId="0" applyFont="1" applyBorder="1" applyAlignment="1">
      <alignment horizontal="left" vertical="center"/>
    </xf>
    <xf numFmtId="2" fontId="12" fillId="0" borderId="0" xfId="0" applyFont="1" applyAlignment="1">
      <alignment horizontal="left" vertical="center"/>
    </xf>
    <xf numFmtId="2" fontId="3" fillId="0" borderId="25" xfId="0" applyFont="1" applyBorder="1">
      <alignment horizontal="center" vertical="center"/>
    </xf>
    <xf numFmtId="2" fontId="13" fillId="0" borderId="0" xfId="0" applyFont="1" applyAlignment="1">
      <alignment horizontal="left"/>
    </xf>
    <xf numFmtId="2" fontId="12" fillId="0" borderId="23" xfId="0" applyFont="1" applyBorder="1">
      <alignment horizontal="center" vertical="center"/>
    </xf>
    <xf numFmtId="2" fontId="0" fillId="0" borderId="64" xfId="0" applyBorder="1">
      <alignment horizontal="center" vertical="center"/>
    </xf>
    <xf numFmtId="2" fontId="0" fillId="0" borderId="63" xfId="0" applyBorder="1">
      <alignment horizontal="center" vertical="center"/>
    </xf>
    <xf numFmtId="2" fontId="0" fillId="0" borderId="66" xfId="0" applyBorder="1">
      <alignment horizontal="center" vertical="center"/>
    </xf>
    <xf numFmtId="2" fontId="0" fillId="0" borderId="17" xfId="0" applyBorder="1">
      <alignment horizontal="center" vertical="center"/>
    </xf>
    <xf numFmtId="2" fontId="0" fillId="0" borderId="54" xfId="0" applyBorder="1">
      <alignment horizontal="center" vertical="center"/>
    </xf>
    <xf numFmtId="2" fontId="0" fillId="0" borderId="4" xfId="0" applyBorder="1">
      <alignment horizontal="center" vertical="center"/>
    </xf>
    <xf numFmtId="2" fontId="0" fillId="0" borderId="70" xfId="0" applyBorder="1">
      <alignment horizontal="center" vertical="center"/>
    </xf>
    <xf numFmtId="166" fontId="9" fillId="0" borderId="0" xfId="0" applyNumberFormat="1" applyFont="1">
      <alignment horizontal="center" vertical="center"/>
    </xf>
    <xf numFmtId="2" fontId="15" fillId="0" borderId="0" xfId="0" applyFont="1" applyAlignment="1">
      <alignment horizontal="left" vertical="center"/>
    </xf>
    <xf numFmtId="2" fontId="18" fillId="0" borderId="29" xfId="0" applyFont="1" applyBorder="1" applyAlignment="1">
      <alignment horizontal="right" vertical="center"/>
    </xf>
    <xf numFmtId="2" fontId="0" fillId="0" borderId="0" xfId="0" applyAlignment="1">
      <alignment horizontal="right" vertical="center"/>
    </xf>
    <xf numFmtId="170" fontId="9" fillId="0" borderId="2" xfId="0" applyNumberFormat="1" applyFont="1" applyBorder="1">
      <alignment horizontal="center" vertical="center"/>
    </xf>
    <xf numFmtId="170" fontId="9" fillId="0" borderId="7" xfId="0" applyNumberFormat="1" applyFont="1" applyBorder="1">
      <alignment horizontal="center" vertical="center"/>
    </xf>
    <xf numFmtId="170" fontId="9" fillId="0" borderId="72" xfId="0" applyNumberFormat="1" applyFont="1" applyBorder="1">
      <alignment horizontal="center" vertical="center"/>
    </xf>
    <xf numFmtId="170" fontId="3" fillId="0" borderId="5" xfId="0" applyNumberFormat="1" applyFont="1" applyBorder="1">
      <alignment horizontal="center" vertical="center"/>
    </xf>
    <xf numFmtId="170" fontId="3" fillId="0" borderId="7" xfId="0" applyNumberFormat="1" applyFont="1" applyBorder="1">
      <alignment horizontal="center" vertical="center"/>
    </xf>
    <xf numFmtId="2" fontId="3" fillId="0" borderId="23" xfId="0" applyFont="1" applyBorder="1" applyAlignment="1">
      <alignment horizontal="left" vertical="center"/>
    </xf>
    <xf numFmtId="2" fontId="3" fillId="0" borderId="5" xfId="0" quotePrefix="1" applyFont="1" applyBorder="1">
      <alignment horizontal="center" vertical="center"/>
    </xf>
    <xf numFmtId="2" fontId="9" fillId="0" borderId="42" xfId="0" applyFont="1" applyBorder="1" applyAlignment="1">
      <alignment horizontal="centerContinuous" vertical="center"/>
    </xf>
    <xf numFmtId="168" fontId="9" fillId="0" borderId="87" xfId="0" applyNumberFormat="1" applyFont="1" applyBorder="1">
      <alignment horizontal="center" vertical="center"/>
    </xf>
    <xf numFmtId="2" fontId="3" fillId="0" borderId="88" xfId="0" applyFont="1" applyBorder="1" applyAlignment="1">
      <alignment horizontal="centerContinuous" vertical="center"/>
    </xf>
    <xf numFmtId="2" fontId="9" fillId="0" borderId="41" xfId="0" applyFont="1" applyBorder="1">
      <alignment horizontal="center" vertical="center"/>
    </xf>
    <xf numFmtId="2" fontId="9" fillId="0" borderId="89" xfId="0" applyFont="1" applyBorder="1">
      <alignment horizontal="center" vertical="center"/>
    </xf>
    <xf numFmtId="168" fontId="9" fillId="0" borderId="15" xfId="0" applyNumberFormat="1" applyFont="1" applyBorder="1">
      <alignment horizontal="center" vertical="center"/>
    </xf>
    <xf numFmtId="166" fontId="9" fillId="0" borderId="11" xfId="0" applyNumberFormat="1" applyFont="1" applyBorder="1">
      <alignment horizontal="center" vertical="center"/>
    </xf>
    <xf numFmtId="2" fontId="10" fillId="0" borderId="2" xfId="0" applyFont="1" applyBorder="1" applyAlignment="1">
      <alignment vertical="center"/>
    </xf>
    <xf numFmtId="1" fontId="3" fillId="0" borderId="48" xfId="0" applyNumberFormat="1" applyFont="1" applyBorder="1">
      <alignment horizontal="center" vertical="center"/>
    </xf>
    <xf numFmtId="2" fontId="4" fillId="0" borderId="0" xfId="0" applyFont="1" applyAlignment="1">
      <alignment horizontal="left" vertical="center"/>
    </xf>
    <xf numFmtId="2" fontId="10" fillId="1" borderId="1" xfId="0" applyFont="1" applyFill="1" applyBorder="1" applyAlignment="1">
      <alignment vertical="center"/>
    </xf>
    <xf numFmtId="1" fontId="10" fillId="0" borderId="2" xfId="0" applyNumberFormat="1" applyFont="1" applyBorder="1" applyAlignment="1">
      <alignment horizontal="left" vertical="center"/>
    </xf>
    <xf numFmtId="2" fontId="10" fillId="0" borderId="0" xfId="0" applyFont="1" applyAlignment="1">
      <alignment vertical="center"/>
    </xf>
    <xf numFmtId="1" fontId="10" fillId="0" borderId="0" xfId="1" applyFont="1" applyFill="1" applyBorder="1" applyProtection="1">
      <alignment horizontal="left" vertical="center"/>
    </xf>
    <xf numFmtId="2" fontId="19" fillId="0" borderId="0" xfId="0" applyFont="1" applyAlignment="1">
      <alignment horizontal="left" vertical="center"/>
    </xf>
    <xf numFmtId="2" fontId="0" fillId="0" borderId="90" xfId="0" applyBorder="1">
      <alignment horizontal="center" vertical="center"/>
    </xf>
    <xf numFmtId="2" fontId="9" fillId="0" borderId="90" xfId="0" applyFont="1" applyBorder="1">
      <alignment horizontal="center" vertical="center"/>
    </xf>
    <xf numFmtId="170" fontId="9" fillId="0" borderId="55" xfId="0" applyNumberFormat="1" applyFont="1" applyBorder="1">
      <alignment horizontal="center" vertical="center"/>
    </xf>
    <xf numFmtId="170" fontId="9" fillId="0" borderId="61" xfId="0" applyNumberFormat="1" applyFont="1" applyBorder="1">
      <alignment horizontal="center" vertical="center"/>
    </xf>
    <xf numFmtId="170" fontId="9" fillId="0" borderId="62" xfId="0" applyNumberFormat="1" applyFont="1" applyBorder="1">
      <alignment horizontal="center" vertical="center"/>
    </xf>
    <xf numFmtId="170" fontId="9" fillId="0" borderId="65" xfId="0" applyNumberFormat="1" applyFont="1" applyBorder="1">
      <alignment horizontal="center" vertical="center"/>
    </xf>
    <xf numFmtId="170" fontId="9" fillId="0" borderId="91" xfId="0" applyNumberFormat="1" applyFont="1" applyBorder="1">
      <alignment horizontal="center" vertical="center"/>
    </xf>
    <xf numFmtId="170" fontId="9" fillId="0" borderId="87" xfId="0" applyNumberFormat="1" applyFont="1" applyBorder="1">
      <alignment horizontal="center" vertical="center"/>
    </xf>
    <xf numFmtId="170" fontId="9" fillId="0" borderId="89" xfId="0" applyNumberFormat="1" applyFont="1" applyBorder="1">
      <alignment horizontal="center" vertical="center"/>
    </xf>
    <xf numFmtId="170" fontId="9" fillId="0" borderId="58" xfId="0" applyNumberFormat="1" applyFont="1" applyBorder="1">
      <alignment horizontal="center" vertical="center"/>
    </xf>
    <xf numFmtId="170" fontId="9" fillId="0" borderId="57" xfId="0" applyNumberFormat="1" applyFont="1" applyBorder="1">
      <alignment horizontal="center" vertical="center"/>
    </xf>
    <xf numFmtId="170" fontId="9" fillId="0" borderId="59" xfId="0" applyNumberFormat="1" applyFont="1" applyBorder="1">
      <alignment horizontal="center" vertical="center"/>
    </xf>
    <xf numFmtId="170" fontId="9" fillId="0" borderId="60" xfId="0" applyNumberFormat="1" applyFont="1" applyBorder="1">
      <alignment horizontal="center" vertical="center"/>
    </xf>
    <xf numFmtId="170" fontId="9" fillId="0" borderId="92" xfId="0" applyNumberFormat="1" applyFont="1" applyBorder="1">
      <alignment horizontal="center" vertical="center"/>
    </xf>
    <xf numFmtId="170" fontId="9" fillId="0" borderId="93" xfId="0" applyNumberFormat="1" applyFont="1" applyBorder="1">
      <alignment horizontal="center" vertical="center"/>
    </xf>
    <xf numFmtId="170" fontId="9" fillId="0" borderId="15" xfId="0" applyNumberFormat="1" applyFont="1" applyBorder="1">
      <alignment horizontal="center" vertical="center"/>
    </xf>
    <xf numFmtId="170" fontId="9" fillId="0" borderId="18" xfId="0" applyNumberFormat="1" applyFont="1" applyBorder="1">
      <alignment horizontal="center" vertical="center"/>
    </xf>
    <xf numFmtId="2" fontId="12" fillId="0" borderId="0" xfId="0" applyFont="1" applyAlignment="1">
      <alignment horizontal="right" vertical="center"/>
    </xf>
    <xf numFmtId="2" fontId="9" fillId="0" borderId="23" xfId="0" applyFont="1" applyBorder="1" applyAlignment="1">
      <alignment horizontal="centerContinuous"/>
    </xf>
    <xf numFmtId="17" fontId="9" fillId="0" borderId="0" xfId="0" applyNumberFormat="1" applyFont="1" applyAlignment="1">
      <alignment horizontal="right" vertical="center"/>
    </xf>
    <xf numFmtId="14" fontId="9" fillId="0" borderId="0" xfId="0" applyNumberFormat="1" applyFont="1" applyAlignment="1">
      <alignment horizontal="right" vertical="center"/>
    </xf>
    <xf numFmtId="2" fontId="12" fillId="0" borderId="37" xfId="0" applyFont="1" applyBorder="1" applyAlignment="1">
      <alignment horizontal="right" vertical="center"/>
    </xf>
    <xf numFmtId="2" fontId="0" fillId="0" borderId="23" xfId="0" applyBorder="1" applyAlignment="1">
      <alignment horizontal="center"/>
    </xf>
    <xf numFmtId="1" fontId="12" fillId="0" borderId="23" xfId="0" applyNumberFormat="1" applyFont="1" applyBorder="1">
      <alignment horizontal="center" vertical="center"/>
    </xf>
    <xf numFmtId="2" fontId="12" fillId="0" borderId="38" xfId="0" applyFont="1" applyBorder="1">
      <alignment horizontal="center" vertical="center"/>
    </xf>
    <xf numFmtId="1" fontId="2" fillId="0" borderId="94" xfId="0" applyNumberFormat="1" applyFont="1" applyBorder="1">
      <alignment horizontal="center" vertical="center"/>
    </xf>
    <xf numFmtId="166" fontId="2" fillId="0" borderId="95" xfId="0" applyNumberFormat="1" applyFont="1" applyBorder="1">
      <alignment horizontal="center" vertical="center"/>
    </xf>
    <xf numFmtId="166" fontId="2" fillId="0" borderId="96" xfId="0" applyNumberFormat="1" applyFont="1" applyBorder="1">
      <alignment horizontal="center" vertical="center"/>
    </xf>
    <xf numFmtId="2" fontId="15" fillId="0" borderId="64" xfId="0" applyFont="1" applyBorder="1">
      <alignment horizontal="center" vertical="center"/>
    </xf>
    <xf numFmtId="2" fontId="8" fillId="0" borderId="63" xfId="0" applyFont="1" applyBorder="1" applyAlignment="1">
      <alignment horizontal="centerContinuous" vertical="center"/>
    </xf>
    <xf numFmtId="2" fontId="13" fillId="0" borderId="66" xfId="0" applyFont="1" applyBorder="1">
      <alignment horizontal="center" vertical="center"/>
    </xf>
    <xf numFmtId="2" fontId="15" fillId="0" borderId="17" xfId="0" applyFont="1" applyBorder="1">
      <alignment horizontal="center" vertical="center"/>
    </xf>
    <xf numFmtId="2" fontId="15" fillId="0" borderId="71" xfId="0" applyFont="1" applyBorder="1">
      <alignment horizontal="center" vertical="center"/>
    </xf>
    <xf numFmtId="2" fontId="3" fillId="0" borderId="66" xfId="0" applyFont="1" applyBorder="1" applyAlignment="1">
      <alignment horizontal="centerContinuous" vertical="center"/>
    </xf>
    <xf numFmtId="2" fontId="3" fillId="0" borderId="17" xfId="0" applyFont="1" applyBorder="1" applyAlignment="1">
      <alignment horizontal="right" vertical="center"/>
    </xf>
    <xf numFmtId="2" fontId="3" fillId="0" borderId="71" xfId="0" applyFont="1" applyBorder="1" applyAlignment="1">
      <alignment horizontal="right" vertical="center"/>
    </xf>
    <xf numFmtId="2" fontId="2" fillId="0" borderId="8" xfId="0" applyFont="1" applyBorder="1">
      <alignment horizontal="center" vertical="center"/>
    </xf>
    <xf numFmtId="2" fontId="2" fillId="0" borderId="3" xfId="0" applyFont="1" applyBorder="1">
      <alignment horizontal="center" vertical="center"/>
    </xf>
    <xf numFmtId="2" fontId="2" fillId="0" borderId="7" xfId="0" applyFont="1" applyBorder="1">
      <alignment horizontal="center" vertical="center"/>
    </xf>
    <xf numFmtId="166" fontId="2" fillId="0" borderId="3" xfId="0" applyNumberFormat="1" applyFont="1" applyBorder="1">
      <alignment horizontal="center" vertical="center"/>
    </xf>
    <xf numFmtId="165" fontId="9" fillId="0" borderId="16" xfId="0" applyNumberFormat="1" applyFont="1" applyBorder="1">
      <alignment horizontal="center" vertical="center"/>
    </xf>
    <xf numFmtId="2" fontId="13" fillId="0" borderId="54" xfId="0" applyFont="1" applyBorder="1">
      <alignment horizontal="center" vertical="center"/>
    </xf>
    <xf numFmtId="2" fontId="3" fillId="0" borderId="12" xfId="0" applyFont="1" applyBorder="1" applyAlignment="1">
      <alignment horizontal="right" vertical="center"/>
    </xf>
    <xf numFmtId="2" fontId="3" fillId="0" borderId="3" xfId="0" applyFont="1" applyBorder="1" applyAlignment="1">
      <alignment horizontal="right" vertical="center"/>
    </xf>
    <xf numFmtId="14" fontId="10" fillId="0" borderId="2" xfId="0" applyNumberFormat="1" applyFont="1" applyBorder="1" applyAlignment="1">
      <alignment horizontal="left" vertical="center"/>
    </xf>
    <xf numFmtId="167" fontId="3" fillId="0" borderId="7" xfId="0" applyNumberFormat="1" applyFont="1" applyBorder="1">
      <alignment horizontal="center" vertical="center"/>
    </xf>
    <xf numFmtId="167" fontId="9" fillId="0" borderId="13" xfId="0" applyNumberFormat="1" applyFont="1" applyBorder="1">
      <alignment horizontal="center" vertical="center"/>
    </xf>
    <xf numFmtId="167" fontId="9" fillId="0" borderId="0" xfId="0" applyNumberFormat="1" applyFont="1">
      <alignment horizontal="center" vertical="center"/>
    </xf>
    <xf numFmtId="167" fontId="9" fillId="0" borderId="1" xfId="0" applyNumberFormat="1" applyFont="1" applyBorder="1">
      <alignment horizontal="center" vertical="center"/>
    </xf>
    <xf numFmtId="171" fontId="9" fillId="0" borderId="7" xfId="0" applyNumberFormat="1" applyFont="1" applyBorder="1">
      <alignment horizontal="center" vertical="center"/>
    </xf>
    <xf numFmtId="171" fontId="3" fillId="0" borderId="5" xfId="0" applyNumberFormat="1" applyFont="1" applyBorder="1">
      <alignment horizontal="center" vertical="center"/>
    </xf>
    <xf numFmtId="171" fontId="3" fillId="0" borderId="7" xfId="0" applyNumberFormat="1" applyFont="1" applyBorder="1">
      <alignment horizontal="center" vertical="center"/>
    </xf>
    <xf numFmtId="174" fontId="3" fillId="0" borderId="19" xfId="0" applyNumberFormat="1" applyFont="1" applyBorder="1">
      <alignment horizontal="center" vertical="center"/>
    </xf>
    <xf numFmtId="174" fontId="3" fillId="0" borderId="11" xfId="0" applyNumberFormat="1" applyFont="1" applyBorder="1">
      <alignment horizontal="center" vertical="center"/>
    </xf>
    <xf numFmtId="175" fontId="3" fillId="0" borderId="19" xfId="0" applyNumberFormat="1" applyFont="1" applyBorder="1">
      <alignment horizontal="center" vertical="center"/>
    </xf>
    <xf numFmtId="175" fontId="3" fillId="0" borderId="11" xfId="0" applyNumberFormat="1" applyFont="1" applyBorder="1">
      <alignment horizontal="center" vertical="center"/>
    </xf>
    <xf numFmtId="2" fontId="2" fillId="0" borderId="31" xfId="0" applyFont="1" applyBorder="1" applyAlignment="1">
      <alignment horizontal="left" vertical="center"/>
    </xf>
    <xf numFmtId="2" fontId="2" fillId="0" borderId="0" xfId="0" applyFont="1" applyAlignment="1">
      <alignment horizontal="centerContinuous" vertical="center"/>
    </xf>
    <xf numFmtId="166" fontId="13" fillId="0" borderId="0" xfId="0" applyNumberFormat="1" applyFont="1">
      <alignment horizontal="center" vertical="center"/>
    </xf>
    <xf numFmtId="2" fontId="2" fillId="0" borderId="0" xfId="0" applyFont="1" applyAlignment="1">
      <alignment horizontal="left"/>
    </xf>
    <xf numFmtId="2" fontId="2" fillId="0" borderId="0" xfId="0" applyFont="1" applyAlignment="1">
      <alignment horizontal="left" vertical="center"/>
    </xf>
    <xf numFmtId="2" fontId="3" fillId="0" borderId="31" xfId="0" applyFont="1" applyBorder="1" applyAlignment="1">
      <alignment horizontal="left" vertical="center"/>
    </xf>
    <xf numFmtId="2" fontId="20" fillId="0" borderId="31" xfId="0" applyFont="1" applyBorder="1" applyAlignment="1">
      <alignment horizontal="left" vertical="center"/>
    </xf>
    <xf numFmtId="2" fontId="20" fillId="0" borderId="2" xfId="0" applyFont="1" applyBorder="1" applyAlignment="1">
      <alignment horizontal="left" vertical="center"/>
    </xf>
    <xf numFmtId="2" fontId="20" fillId="0" borderId="37" xfId="0" applyFont="1" applyBorder="1" applyAlignment="1">
      <alignment horizontal="left" vertical="center"/>
    </xf>
    <xf numFmtId="2" fontId="20" fillId="0" borderId="0" xfId="0" applyFont="1" applyAlignment="1">
      <alignment horizontal="left" vertical="center"/>
    </xf>
    <xf numFmtId="167" fontId="9" fillId="0" borderId="48" xfId="0" applyNumberFormat="1" applyFont="1" applyBorder="1">
      <alignment horizontal="center" vertical="center"/>
    </xf>
    <xf numFmtId="167" fontId="3" fillId="0" borderId="48" xfId="0" applyNumberFormat="1" applyFont="1" applyBorder="1">
      <alignment horizontal="center" vertical="center"/>
    </xf>
    <xf numFmtId="167" fontId="3" fillId="0" borderId="14" xfId="0" applyNumberFormat="1" applyFont="1" applyBorder="1">
      <alignment horizontal="center" vertical="center"/>
    </xf>
    <xf numFmtId="2" fontId="21" fillId="0" borderId="31" xfId="0" applyFont="1" applyBorder="1" applyAlignment="1">
      <alignment horizontal="left" vertical="center"/>
    </xf>
    <xf numFmtId="2" fontId="9" fillId="0" borderId="31" xfId="0" applyFont="1" applyBorder="1" applyAlignment="1">
      <alignment horizontal="left" vertical="center"/>
    </xf>
    <xf numFmtId="14" fontId="9" fillId="0" borderId="31" xfId="0" applyNumberFormat="1" applyFont="1" applyBorder="1" applyAlignment="1">
      <alignment horizontal="right" vertical="center"/>
    </xf>
    <xf numFmtId="2" fontId="20" fillId="0" borderId="33" xfId="0" applyFont="1" applyBorder="1" applyAlignment="1">
      <alignment horizontal="right" vertical="center"/>
    </xf>
    <xf numFmtId="2" fontId="9" fillId="0" borderId="31" xfId="2" applyFont="1" applyBorder="1" applyAlignment="1">
      <alignment horizontal="left" vertical="center"/>
    </xf>
    <xf numFmtId="2" fontId="3" fillId="0" borderId="46" xfId="0" applyFont="1" applyBorder="1">
      <alignment horizontal="center" vertical="center"/>
    </xf>
    <xf numFmtId="2" fontId="3" fillId="0" borderId="48" xfId="0" applyFont="1" applyBorder="1">
      <alignment horizontal="center" vertical="center"/>
    </xf>
    <xf numFmtId="2" fontId="0" fillId="0" borderId="71" xfId="0" applyBorder="1">
      <alignment horizontal="center" vertical="center"/>
    </xf>
    <xf numFmtId="2" fontId="13" fillId="0" borderId="37" xfId="0" applyFont="1" applyBorder="1">
      <alignment horizontal="center" vertical="center"/>
    </xf>
    <xf numFmtId="2" fontId="11" fillId="0" borderId="37" xfId="0" applyFont="1" applyBorder="1">
      <alignment horizontal="center" vertical="center"/>
    </xf>
    <xf numFmtId="2" fontId="22" fillId="0" borderId="0" xfId="0" applyFont="1" applyAlignment="1">
      <alignment horizontal="left" vertical="center"/>
    </xf>
    <xf numFmtId="2" fontId="23" fillId="0" borderId="0" xfId="0" applyFont="1">
      <alignment horizontal="center" vertical="center"/>
    </xf>
    <xf numFmtId="2" fontId="9" fillId="0" borderId="52" xfId="0" applyFont="1" applyBorder="1">
      <alignment horizontal="center" vertical="center"/>
    </xf>
    <xf numFmtId="165" fontId="9" fillId="0" borderId="11" xfId="0" applyNumberFormat="1" applyFont="1" applyBorder="1">
      <alignment horizontal="center" vertical="center"/>
    </xf>
    <xf numFmtId="167" fontId="9" fillId="0" borderId="19" xfId="0" applyNumberFormat="1" applyFont="1" applyBorder="1">
      <alignment horizontal="center" vertical="center"/>
    </xf>
    <xf numFmtId="171" fontId="9" fillId="0" borderId="72" xfId="0" applyNumberFormat="1" applyFont="1" applyBorder="1">
      <alignment horizontal="center" vertical="center"/>
    </xf>
    <xf numFmtId="2" fontId="23" fillId="0" borderId="0" xfId="0" applyFont="1" applyAlignment="1">
      <alignment horizontal="right" vertical="center"/>
    </xf>
    <xf numFmtId="2" fontId="23" fillId="0" borderId="29" xfId="0" applyFont="1" applyBorder="1">
      <alignment horizontal="center" vertical="center"/>
    </xf>
    <xf numFmtId="2" fontId="23" fillId="0" borderId="23" xfId="0" applyFont="1" applyBorder="1">
      <alignment horizontal="center" vertical="center"/>
    </xf>
    <xf numFmtId="2" fontId="5" fillId="0" borderId="64" xfId="0" applyFont="1" applyBorder="1" applyAlignment="1">
      <alignment horizontal="centerContinuous" vertical="center"/>
    </xf>
    <xf numFmtId="2" fontId="19" fillId="0" borderId="17" xfId="0" applyFont="1" applyBorder="1" applyAlignment="1">
      <alignment horizontal="right" vertical="center"/>
    </xf>
    <xf numFmtId="166" fontId="9" fillId="0" borderId="37" xfId="0" applyNumberFormat="1" applyFont="1" applyBorder="1">
      <alignment horizontal="center" vertical="center"/>
    </xf>
    <xf numFmtId="2" fontId="6" fillId="0" borderId="23" xfId="0" applyFont="1" applyBorder="1" applyAlignment="1">
      <alignment horizontal="centerContinuous"/>
    </xf>
    <xf numFmtId="10" fontId="9" fillId="0" borderId="48" xfId="0" applyNumberFormat="1" applyFont="1" applyBorder="1">
      <alignment horizontal="center" vertical="center"/>
    </xf>
    <xf numFmtId="2" fontId="9" fillId="0" borderId="25" xfId="0" applyFont="1" applyBorder="1">
      <alignment horizontal="center" vertical="center"/>
    </xf>
    <xf numFmtId="166" fontId="9" fillId="0" borderId="18" xfId="0" applyNumberFormat="1" applyFont="1" applyBorder="1">
      <alignment horizontal="center" vertical="center"/>
    </xf>
    <xf numFmtId="166" fontId="0" fillId="0" borderId="7" xfId="0" applyNumberFormat="1" applyBorder="1">
      <alignment horizontal="center" vertical="center"/>
    </xf>
    <xf numFmtId="166" fontId="23" fillId="0" borderId="7" xfId="0" applyNumberFormat="1" applyFont="1" applyBorder="1">
      <alignment horizontal="center" vertical="center"/>
    </xf>
    <xf numFmtId="2" fontId="23" fillId="0" borderId="29" xfId="0" applyFont="1" applyBorder="1" applyAlignment="1">
      <alignment horizontal="centerContinuous" vertical="center"/>
    </xf>
    <xf numFmtId="2" fontId="3" fillId="0" borderId="98" xfId="0" applyFont="1" applyBorder="1">
      <alignment horizontal="center" vertical="center"/>
    </xf>
    <xf numFmtId="2" fontId="3" fillId="0" borderId="99" xfId="0" applyFont="1" applyBorder="1">
      <alignment horizontal="center" vertical="center"/>
    </xf>
    <xf numFmtId="2" fontId="3" fillId="0" borderId="100" xfId="0" applyFont="1" applyBorder="1">
      <alignment horizontal="center" vertical="center"/>
    </xf>
    <xf numFmtId="2" fontId="26" fillId="0" borderId="3" xfId="0" applyFont="1" applyBorder="1">
      <alignment horizontal="center" vertical="center"/>
    </xf>
    <xf numFmtId="2" fontId="26" fillId="0" borderId="5" xfId="0" applyFont="1" applyBorder="1">
      <alignment horizontal="center" vertical="center"/>
    </xf>
    <xf numFmtId="165" fontId="9" fillId="0" borderId="61" xfId="0" applyNumberFormat="1" applyFont="1" applyBorder="1">
      <alignment horizontal="center" vertical="center"/>
    </xf>
    <xf numFmtId="170" fontId="9" fillId="0" borderId="5" xfId="0" applyNumberFormat="1" applyFont="1" applyBorder="1">
      <alignment horizontal="center" vertical="center"/>
    </xf>
    <xf numFmtId="1" fontId="9" fillId="0" borderId="5" xfId="0" applyNumberFormat="1" applyFont="1" applyBorder="1">
      <alignment horizontal="center" vertical="center"/>
    </xf>
    <xf numFmtId="171" fontId="9" fillId="0" borderId="5" xfId="0" applyNumberFormat="1" applyFont="1" applyBorder="1">
      <alignment horizontal="center" vertical="center"/>
    </xf>
    <xf numFmtId="165" fontId="9" fillId="0" borderId="5" xfId="0" applyNumberFormat="1" applyFont="1" applyBorder="1">
      <alignment horizontal="center" vertical="center"/>
    </xf>
    <xf numFmtId="167" fontId="9" fillId="0" borderId="14" xfId="0" applyNumberFormat="1" applyFont="1" applyBorder="1">
      <alignment horizontal="center" vertical="center"/>
    </xf>
    <xf numFmtId="2" fontId="3" fillId="0" borderId="18" xfId="0" applyFont="1" applyBorder="1">
      <alignment horizontal="center" vertical="center"/>
    </xf>
    <xf numFmtId="2" fontId="23" fillId="0" borderId="4" xfId="0" applyFont="1" applyBorder="1">
      <alignment horizontal="center" vertical="center"/>
    </xf>
    <xf numFmtId="165" fontId="23" fillId="0" borderId="0" xfId="0" applyNumberFormat="1" applyFont="1" applyAlignment="1">
      <alignment horizontal="right" vertical="center"/>
    </xf>
    <xf numFmtId="167" fontId="23" fillId="0" borderId="0" xfId="0" applyNumberFormat="1" applyFont="1" applyAlignment="1">
      <alignment horizontal="right" vertical="center"/>
    </xf>
    <xf numFmtId="2" fontId="23" fillId="0" borderId="0" xfId="0" applyFont="1" applyAlignment="1">
      <alignment horizontal="left" vertical="center"/>
    </xf>
    <xf numFmtId="2" fontId="22" fillId="0" borderId="0" xfId="0" applyFont="1">
      <alignment horizontal="center" vertical="center"/>
    </xf>
    <xf numFmtId="2" fontId="23" fillId="0" borderId="6" xfId="0" applyFont="1" applyBorder="1">
      <alignment horizontal="center" vertical="center"/>
    </xf>
    <xf numFmtId="2" fontId="23" fillId="0" borderId="97" xfId="0" applyFont="1" applyBorder="1">
      <alignment horizontal="center" vertical="center"/>
    </xf>
    <xf numFmtId="1" fontId="23" fillId="0" borderId="29" xfId="0" applyNumberFormat="1" applyFont="1" applyBorder="1">
      <alignment horizontal="center" vertical="center"/>
    </xf>
    <xf numFmtId="1" fontId="23" fillId="0" borderId="0" xfId="0" applyNumberFormat="1" applyFont="1">
      <alignment horizontal="center" vertical="center"/>
    </xf>
    <xf numFmtId="165" fontId="23" fillId="0" borderId="0" xfId="0" applyNumberFormat="1" applyFont="1">
      <alignment horizontal="center" vertical="center"/>
    </xf>
    <xf numFmtId="176" fontId="23" fillId="0" borderId="0" xfId="0" applyNumberFormat="1" applyFont="1">
      <alignment horizontal="center" vertical="center"/>
    </xf>
    <xf numFmtId="1" fontId="13" fillId="0" borderId="0" xfId="0" applyNumberFormat="1" applyFont="1">
      <alignment horizontal="center" vertical="center"/>
    </xf>
    <xf numFmtId="1" fontId="23" fillId="0" borderId="23" xfId="0" applyNumberFormat="1" applyFont="1" applyBorder="1">
      <alignment horizontal="center" vertical="center"/>
    </xf>
    <xf numFmtId="2" fontId="23" fillId="0" borderId="0" xfId="0" quotePrefix="1" applyFont="1">
      <alignment horizontal="center" vertical="center"/>
    </xf>
    <xf numFmtId="1" fontId="27" fillId="0" borderId="0" xfId="0" applyNumberFormat="1" applyFont="1">
      <alignment horizontal="center" vertical="center"/>
    </xf>
    <xf numFmtId="2" fontId="20" fillId="0" borderId="23" xfId="0" applyFont="1" applyBorder="1">
      <alignment horizontal="center" vertical="center"/>
    </xf>
    <xf numFmtId="1" fontId="27" fillId="0" borderId="0" xfId="0" quotePrefix="1" applyNumberFormat="1" applyFont="1">
      <alignment horizontal="center" vertical="center"/>
    </xf>
    <xf numFmtId="2" fontId="20" fillId="3" borderId="0" xfId="0" applyFont="1" applyFill="1" applyAlignment="1">
      <alignment horizontal="left" vertical="center"/>
    </xf>
    <xf numFmtId="2" fontId="9" fillId="3" borderId="0" xfId="0" applyFont="1" applyFill="1">
      <alignment horizontal="center" vertical="center"/>
    </xf>
    <xf numFmtId="2" fontId="9" fillId="3" borderId="32" xfId="0" applyFont="1" applyFill="1" applyBorder="1" applyAlignment="1">
      <alignment horizontal="left" vertical="center"/>
    </xf>
    <xf numFmtId="2" fontId="9" fillId="3" borderId="2" xfId="0" applyFont="1" applyFill="1" applyBorder="1">
      <alignment horizontal="center" vertical="center"/>
    </xf>
    <xf numFmtId="2" fontId="20" fillId="3" borderId="2" xfId="0" applyFont="1" applyFill="1" applyBorder="1" applyAlignment="1">
      <alignment horizontal="left" vertical="center"/>
    </xf>
    <xf numFmtId="2" fontId="20" fillId="3" borderId="32" xfId="0" applyFont="1" applyFill="1" applyBorder="1" applyAlignment="1">
      <alignment horizontal="left" vertical="center"/>
    </xf>
    <xf numFmtId="1" fontId="9" fillId="0" borderId="15" xfId="0" applyNumberFormat="1" applyFont="1" applyBorder="1">
      <alignment horizontal="center" vertical="center"/>
    </xf>
    <xf numFmtId="1" fontId="9" fillId="0" borderId="18" xfId="0" applyNumberFormat="1" applyFont="1" applyBorder="1">
      <alignment horizontal="center" vertical="center"/>
    </xf>
    <xf numFmtId="1" fontId="23" fillId="0" borderId="37" xfId="0" applyNumberFormat="1" applyFont="1" applyBorder="1">
      <alignment horizontal="center" vertical="center"/>
    </xf>
    <xf numFmtId="1" fontId="23" fillId="0" borderId="38" xfId="0" applyNumberFormat="1" applyFont="1" applyBorder="1">
      <alignment horizontal="center" vertical="center"/>
    </xf>
    <xf numFmtId="2" fontId="19" fillId="0" borderId="0" xfId="0" applyFont="1" applyAlignment="1">
      <alignment horizontal="left"/>
    </xf>
    <xf numFmtId="2" fontId="13" fillId="0" borderId="4" xfId="0" applyFont="1" applyBorder="1">
      <alignment horizontal="center" vertical="center"/>
    </xf>
    <xf numFmtId="2" fontId="13" fillId="0" borderId="4" xfId="0" applyFont="1" applyBorder="1" applyAlignment="1">
      <alignment horizontal="right" vertical="center"/>
    </xf>
    <xf numFmtId="2" fontId="13" fillId="0" borderId="70" xfId="0" applyFont="1" applyBorder="1">
      <alignment horizontal="center" vertical="center"/>
    </xf>
    <xf numFmtId="2" fontId="3" fillId="0" borderId="97" xfId="0" applyFont="1" applyBorder="1">
      <alignment horizontal="center" vertical="center"/>
    </xf>
    <xf numFmtId="168" fontId="3" fillId="0" borderId="99" xfId="0" applyNumberFormat="1" applyFont="1" applyBorder="1">
      <alignment horizontal="center" vertical="center"/>
    </xf>
    <xf numFmtId="2" fontId="23" fillId="0" borderId="71" xfId="0" applyFont="1" applyBorder="1">
      <alignment horizontal="center" vertical="center"/>
    </xf>
    <xf numFmtId="2" fontId="26" fillId="0" borderId="99" xfId="0" applyFont="1" applyBorder="1">
      <alignment horizontal="center" vertical="center"/>
    </xf>
    <xf numFmtId="2" fontId="23" fillId="0" borderId="86" xfId="0" applyFont="1" applyBorder="1">
      <alignment horizontal="center" vertical="center"/>
    </xf>
    <xf numFmtId="2" fontId="26" fillId="0" borderId="98" xfId="0" applyFont="1" applyBorder="1">
      <alignment horizontal="center" vertical="center"/>
    </xf>
    <xf numFmtId="2" fontId="23" fillId="4" borderId="26" xfId="0" applyFont="1" applyFill="1" applyBorder="1" applyAlignment="1">
      <alignment horizontal="centerContinuous" vertical="center"/>
    </xf>
    <xf numFmtId="2" fontId="13" fillId="4" borderId="27" xfId="0" applyFont="1" applyFill="1" applyBorder="1" applyAlignment="1">
      <alignment horizontal="centerContinuous" vertical="center"/>
    </xf>
    <xf numFmtId="2" fontId="23" fillId="5" borderId="77" xfId="0" applyFont="1" applyFill="1" applyBorder="1">
      <alignment horizontal="center" vertical="center"/>
    </xf>
    <xf numFmtId="2" fontId="23" fillId="5" borderId="76" xfId="0" applyFont="1" applyFill="1" applyBorder="1">
      <alignment horizontal="center" vertical="center"/>
    </xf>
    <xf numFmtId="177" fontId="23" fillId="5" borderId="76" xfId="0" applyNumberFormat="1" applyFont="1" applyFill="1" applyBorder="1">
      <alignment horizontal="center" vertical="center"/>
    </xf>
    <xf numFmtId="2" fontId="9" fillId="4" borderId="22" xfId="0" applyFont="1" applyFill="1" applyBorder="1" applyAlignment="1">
      <alignment horizontal="left" vertical="center"/>
    </xf>
    <xf numFmtId="2" fontId="9" fillId="4" borderId="37" xfId="0" applyFont="1" applyFill="1" applyBorder="1">
      <alignment horizontal="center" vertical="center"/>
    </xf>
    <xf numFmtId="2" fontId="9" fillId="4" borderId="38" xfId="0" applyFont="1" applyFill="1" applyBorder="1" applyAlignment="1">
      <alignment horizontal="left" vertical="center"/>
    </xf>
    <xf numFmtId="2" fontId="9" fillId="4" borderId="103" xfId="0" applyFont="1" applyFill="1" applyBorder="1">
      <alignment horizontal="center" vertical="center"/>
    </xf>
    <xf numFmtId="2" fontId="0" fillId="4" borderId="104" xfId="0" applyFill="1" applyBorder="1">
      <alignment horizontal="center" vertical="center"/>
    </xf>
    <xf numFmtId="2" fontId="9" fillId="4" borderId="104" xfId="0" applyFont="1" applyFill="1" applyBorder="1" applyAlignment="1">
      <alignment horizontal="right" vertical="center"/>
    </xf>
    <xf numFmtId="2" fontId="9" fillId="4" borderId="105" xfId="0" applyFont="1" applyFill="1" applyBorder="1">
      <alignment horizontal="center" vertical="center"/>
    </xf>
    <xf numFmtId="2" fontId="9" fillId="0" borderId="0" xfId="0" applyFont="1" applyAlignment="1"/>
    <xf numFmtId="2" fontId="9" fillId="4" borderId="33" xfId="0" applyFont="1" applyFill="1" applyBorder="1" applyAlignment="1">
      <alignment horizontal="centerContinuous" vertical="center"/>
    </xf>
    <xf numFmtId="2" fontId="9" fillId="4" borderId="31" xfId="0" applyFont="1" applyFill="1" applyBorder="1" applyAlignment="1">
      <alignment horizontal="centerContinuous" vertical="center"/>
    </xf>
    <xf numFmtId="2" fontId="0" fillId="4" borderId="31" xfId="0" applyFill="1" applyBorder="1" applyAlignment="1">
      <alignment horizontal="centerContinuous" vertical="center"/>
    </xf>
    <xf numFmtId="2" fontId="0" fillId="4" borderId="34" xfId="0" applyFill="1" applyBorder="1" applyAlignment="1">
      <alignment horizontal="centerContinuous" vertical="center"/>
    </xf>
    <xf numFmtId="2" fontId="9" fillId="4" borderId="29" xfId="0" applyFont="1" applyFill="1" applyBorder="1" applyAlignment="1">
      <alignment horizontal="centerContinuous" vertical="center"/>
    </xf>
    <xf numFmtId="2" fontId="9" fillId="4" borderId="0" xfId="0" applyFont="1" applyFill="1" applyAlignment="1">
      <alignment horizontal="centerContinuous" vertical="center"/>
    </xf>
    <xf numFmtId="2" fontId="0" fillId="4" borderId="0" xfId="0" applyFill="1" applyAlignment="1">
      <alignment horizontal="centerContinuous" vertical="center"/>
    </xf>
    <xf numFmtId="2" fontId="0" fillId="4" borderId="23" xfId="0" applyFill="1" applyBorder="1" applyAlignment="1">
      <alignment horizontal="centerContinuous" vertical="center"/>
    </xf>
    <xf numFmtId="2" fontId="9" fillId="4" borderId="37" xfId="0" applyFont="1" applyFill="1" applyBorder="1" applyAlignment="1">
      <alignment horizontal="right" vertical="center"/>
    </xf>
    <xf numFmtId="9" fontId="21" fillId="0" borderId="7" xfId="0" quotePrefix="1" applyNumberFormat="1" applyFont="1" applyBorder="1">
      <alignment horizontal="center" vertical="center"/>
    </xf>
    <xf numFmtId="1" fontId="21" fillId="0" borderId="3" xfId="0" quotePrefix="1" applyNumberFormat="1" applyFont="1" applyBorder="1">
      <alignment horizontal="center" vertical="center"/>
    </xf>
    <xf numFmtId="2" fontId="2" fillId="0" borderId="7" xfId="0" applyFont="1" applyBorder="1" applyAlignment="1">
      <alignment horizontal="left" vertical="center"/>
    </xf>
    <xf numFmtId="2" fontId="28" fillId="0" borderId="0" xfId="0" applyFont="1">
      <alignment horizontal="center" vertical="center"/>
    </xf>
    <xf numFmtId="2" fontId="28" fillId="0" borderId="4" xfId="0" applyFont="1" applyBorder="1">
      <alignment horizontal="center" vertical="center"/>
    </xf>
    <xf numFmtId="2" fontId="29" fillId="0" borderId="0" xfId="0" applyFont="1">
      <alignment horizontal="center" vertical="center"/>
    </xf>
    <xf numFmtId="177" fontId="23" fillId="0" borderId="5" xfId="0" applyNumberFormat="1" applyFont="1" applyBorder="1">
      <alignment horizontal="center" vertical="center"/>
    </xf>
    <xf numFmtId="2" fontId="23" fillId="4" borderId="28" xfId="0" applyFont="1" applyFill="1" applyBorder="1" applyAlignment="1">
      <alignment horizontal="right" vertical="center"/>
    </xf>
    <xf numFmtId="2" fontId="29" fillId="0" borderId="0" xfId="0" applyFont="1" applyAlignment="1">
      <alignment horizontal="right" vertical="center"/>
    </xf>
    <xf numFmtId="2" fontId="31" fillId="0" borderId="0" xfId="0" applyFont="1">
      <alignment horizontal="center" vertical="center"/>
    </xf>
    <xf numFmtId="2" fontId="31" fillId="0" borderId="0" xfId="0" applyFont="1" applyAlignment="1">
      <alignment horizontal="left" vertical="center"/>
    </xf>
    <xf numFmtId="1" fontId="31" fillId="0" borderId="0" xfId="0" applyNumberFormat="1" applyFont="1">
      <alignment horizontal="center" vertical="center"/>
    </xf>
    <xf numFmtId="2" fontId="33" fillId="0" borderId="0" xfId="0" applyFont="1" applyAlignment="1">
      <alignment horizontal="centerContinuous" vertical="center"/>
    </xf>
    <xf numFmtId="2" fontId="31" fillId="0" borderId="0" xfId="0" applyFont="1" applyAlignment="1">
      <alignment horizontal="centerContinuous" vertical="center"/>
    </xf>
    <xf numFmtId="2" fontId="33" fillId="0" borderId="0" xfId="0" applyFont="1">
      <alignment horizontal="center" vertical="center"/>
    </xf>
    <xf numFmtId="2" fontId="33" fillId="0" borderId="9" xfId="0" applyFont="1" applyBorder="1">
      <alignment horizontal="center" vertical="center"/>
    </xf>
    <xf numFmtId="2" fontId="33" fillId="0" borderId="3" xfId="0" applyFont="1" applyBorder="1">
      <alignment horizontal="center" vertical="center"/>
    </xf>
    <xf numFmtId="2" fontId="33" fillId="0" borderId="11" xfId="0" applyFont="1" applyBorder="1">
      <alignment horizontal="center" vertical="center"/>
    </xf>
    <xf numFmtId="2" fontId="33" fillId="0" borderId="13" xfId="0" applyFont="1" applyBorder="1" applyAlignment="1">
      <alignment horizontal="left" vertical="center"/>
    </xf>
    <xf numFmtId="2" fontId="33" fillId="0" borderId="7" xfId="0" applyFont="1" applyBorder="1" applyAlignment="1">
      <alignment horizontal="left" vertical="center"/>
    </xf>
    <xf numFmtId="1" fontId="33" fillId="0" borderId="8" xfId="0" applyNumberFormat="1" applyFont="1" applyBorder="1">
      <alignment horizontal="center" vertical="center"/>
    </xf>
    <xf numFmtId="166" fontId="33" fillId="0" borderId="9" xfId="0" applyNumberFormat="1" applyFont="1" applyBorder="1">
      <alignment horizontal="center" vertical="center"/>
    </xf>
    <xf numFmtId="166" fontId="33" fillId="0" borderId="3" xfId="0" applyNumberFormat="1" applyFont="1" applyBorder="1">
      <alignment horizontal="center" vertical="center"/>
    </xf>
    <xf numFmtId="1" fontId="33" fillId="0" borderId="52" xfId="0" applyNumberFormat="1" applyFont="1" applyBorder="1">
      <alignment horizontal="center" vertical="center"/>
    </xf>
    <xf numFmtId="166" fontId="33" fillId="0" borderId="16" xfId="0" applyNumberFormat="1" applyFont="1" applyBorder="1">
      <alignment horizontal="center" vertical="center"/>
    </xf>
    <xf numFmtId="166" fontId="33" fillId="0" borderId="5" xfId="0" applyNumberFormat="1" applyFont="1" applyBorder="1">
      <alignment horizontal="center" vertical="center"/>
    </xf>
    <xf numFmtId="166" fontId="33" fillId="0" borderId="0" xfId="0" applyNumberFormat="1" applyFont="1">
      <alignment horizontal="center" vertical="center"/>
    </xf>
    <xf numFmtId="49" fontId="31" fillId="0" borderId="0" xfId="0" applyNumberFormat="1" applyFont="1">
      <alignment horizontal="center" vertical="center"/>
    </xf>
    <xf numFmtId="178" fontId="23" fillId="0" borderId="0" xfId="0" applyNumberFormat="1" applyFont="1">
      <alignment horizontal="center" vertical="center"/>
    </xf>
    <xf numFmtId="178" fontId="23" fillId="0" borderId="0" xfId="0" applyNumberFormat="1" applyFont="1" applyAlignment="1">
      <alignment horizontal="left" vertical="center"/>
    </xf>
    <xf numFmtId="49" fontId="23" fillId="0" borderId="0" xfId="0" applyNumberFormat="1" applyFont="1">
      <alignment horizontal="center" vertical="center"/>
    </xf>
    <xf numFmtId="178" fontId="9" fillId="0" borderId="0" xfId="0" applyNumberFormat="1" applyFont="1" applyAlignment="1">
      <alignment horizontal="right" vertical="center"/>
    </xf>
    <xf numFmtId="178" fontId="0" fillId="0" borderId="0" xfId="0" applyNumberFormat="1">
      <alignment horizontal="center" vertical="center"/>
    </xf>
    <xf numFmtId="178" fontId="20" fillId="3" borderId="32" xfId="0" applyNumberFormat="1" applyFont="1" applyFill="1" applyBorder="1" applyAlignment="1">
      <alignment horizontal="left" vertical="center"/>
    </xf>
    <xf numFmtId="178" fontId="20" fillId="3" borderId="0" xfId="0" applyNumberFormat="1" applyFont="1" applyFill="1" applyAlignment="1">
      <alignment horizontal="left" vertical="center"/>
    </xf>
    <xf numFmtId="178" fontId="20" fillId="3" borderId="2" xfId="0" applyNumberFormat="1" applyFont="1" applyFill="1" applyBorder="1" applyAlignment="1">
      <alignment horizontal="left" vertical="center"/>
    </xf>
    <xf numFmtId="178" fontId="9" fillId="0" borderId="37" xfId="0" applyNumberFormat="1" applyFont="1" applyBorder="1">
      <alignment horizontal="center" vertical="center"/>
    </xf>
    <xf numFmtId="178" fontId="3" fillId="0" borderId="0" xfId="0" applyNumberFormat="1" applyFont="1">
      <alignment horizontal="center" vertical="center"/>
    </xf>
    <xf numFmtId="178" fontId="0" fillId="0" borderId="31" xfId="0" applyNumberFormat="1" applyBorder="1">
      <alignment horizontal="center" vertical="center"/>
    </xf>
    <xf numFmtId="2" fontId="9" fillId="5" borderId="28" xfId="0" applyFont="1" applyFill="1" applyBorder="1" applyAlignment="1">
      <alignment horizontal="left" vertical="center"/>
    </xf>
    <xf numFmtId="2" fontId="34" fillId="0" borderId="0" xfId="0" applyFont="1" applyAlignment="1">
      <alignment horizontal="right" vertical="center"/>
    </xf>
    <xf numFmtId="2" fontId="35" fillId="0" borderId="0" xfId="0" applyFont="1" applyAlignment="1">
      <alignment horizontal="right" vertical="center"/>
    </xf>
    <xf numFmtId="2" fontId="35" fillId="0" borderId="0" xfId="0" applyFont="1" applyAlignment="1">
      <alignment horizontal="left" vertical="center"/>
    </xf>
    <xf numFmtId="178" fontId="37" fillId="0" borderId="0" xfId="0" applyNumberFormat="1" applyFont="1" applyAlignment="1">
      <alignment horizontal="left" vertical="center"/>
    </xf>
    <xf numFmtId="178" fontId="23" fillId="6" borderId="0" xfId="0" applyNumberFormat="1" applyFont="1" applyFill="1" applyProtection="1">
      <alignment horizontal="center" vertical="center"/>
      <protection locked="0"/>
    </xf>
    <xf numFmtId="2" fontId="31" fillId="0" borderId="31" xfId="0" applyFont="1" applyBorder="1">
      <alignment horizontal="center" vertical="center"/>
    </xf>
    <xf numFmtId="2" fontId="31" fillId="0" borderId="37" xfId="0" applyFont="1" applyBorder="1">
      <alignment horizontal="center" vertical="center"/>
    </xf>
    <xf numFmtId="166" fontId="3" fillId="0" borderId="0" xfId="0" applyNumberFormat="1" applyFont="1" applyAlignment="1">
      <alignment horizontal="left" vertical="center"/>
    </xf>
    <xf numFmtId="2" fontId="38" fillId="0" borderId="0" xfId="0" applyFont="1">
      <alignment horizontal="center" vertical="center"/>
    </xf>
    <xf numFmtId="1" fontId="3" fillId="0" borderId="29" xfId="0" applyNumberFormat="1" applyFont="1" applyBorder="1">
      <alignment horizontal="center" vertical="center"/>
    </xf>
    <xf numFmtId="2" fontId="3" fillId="0" borderId="1" xfId="0" applyFont="1" applyBorder="1" applyAlignment="1">
      <alignment horizontal="left" vertical="center"/>
    </xf>
    <xf numFmtId="168" fontId="3" fillId="7" borderId="85" xfId="0" applyNumberFormat="1" applyFont="1" applyFill="1" applyBorder="1">
      <alignment horizontal="center" vertical="center"/>
    </xf>
    <xf numFmtId="2" fontId="2" fillId="5" borderId="106" xfId="0" applyFont="1" applyFill="1" applyBorder="1">
      <alignment horizontal="center" vertical="center"/>
    </xf>
    <xf numFmtId="2" fontId="9" fillId="0" borderId="33" xfId="0" applyFont="1" applyBorder="1" applyAlignment="1">
      <alignment horizontal="left" vertical="center"/>
    </xf>
    <xf numFmtId="168" fontId="9" fillId="0" borderId="107" xfId="0" applyNumberFormat="1" applyFont="1" applyBorder="1">
      <alignment horizontal="center" vertical="center"/>
    </xf>
    <xf numFmtId="168" fontId="9" fillId="0" borderId="10" xfId="0" applyNumberFormat="1" applyFont="1" applyBorder="1">
      <alignment horizontal="center" vertical="center"/>
    </xf>
    <xf numFmtId="168" fontId="9" fillId="0" borderId="108" xfId="0" applyNumberFormat="1" applyFont="1" applyBorder="1">
      <alignment horizontal="center" vertical="center"/>
    </xf>
    <xf numFmtId="168" fontId="9" fillId="0" borderId="58" xfId="0" applyNumberFormat="1" applyFont="1" applyBorder="1">
      <alignment horizontal="center" vertical="center"/>
    </xf>
    <xf numFmtId="168" fontId="9" fillId="0" borderId="16" xfId="0" applyNumberFormat="1" applyFont="1" applyBorder="1">
      <alignment horizontal="center" vertical="center"/>
    </xf>
    <xf numFmtId="168" fontId="9" fillId="0" borderId="76" xfId="0" applyNumberFormat="1" applyFont="1" applyBorder="1">
      <alignment horizontal="center" vertical="center"/>
    </xf>
    <xf numFmtId="168" fontId="9" fillId="0" borderId="109" xfId="0" applyNumberFormat="1" applyFont="1" applyBorder="1">
      <alignment horizontal="center" vertical="center"/>
    </xf>
    <xf numFmtId="168" fontId="9" fillId="0" borderId="80" xfId="0" applyNumberFormat="1" applyFont="1" applyBorder="1">
      <alignment horizontal="center" vertical="center"/>
    </xf>
    <xf numFmtId="185" fontId="10" fillId="0" borderId="102" xfId="0" applyNumberFormat="1" applyFont="1" applyBorder="1" applyAlignment="1">
      <alignment horizontal="left" vertical="center"/>
    </xf>
    <xf numFmtId="2" fontId="41" fillId="0" borderId="0" xfId="0" applyFont="1" applyAlignment="1">
      <alignment horizontal="right" vertical="center"/>
    </xf>
    <xf numFmtId="178" fontId="42" fillId="0" borderId="2" xfId="0" applyNumberFormat="1" applyFont="1" applyBorder="1">
      <alignment horizontal="center" vertical="center"/>
    </xf>
    <xf numFmtId="1" fontId="23" fillId="0" borderId="0" xfId="0" applyNumberFormat="1" applyFont="1" applyAlignment="1">
      <alignment horizontal="center"/>
    </xf>
    <xf numFmtId="1" fontId="9" fillId="0" borderId="29" xfId="0" applyNumberFormat="1" applyFont="1" applyBorder="1" applyAlignment="1">
      <alignment horizontal="right" vertical="center"/>
    </xf>
    <xf numFmtId="2" fontId="20" fillId="0" borderId="90" xfId="0" applyFont="1" applyBorder="1" applyAlignment="1">
      <alignment vertical="center"/>
    </xf>
    <xf numFmtId="2" fontId="20" fillId="0" borderId="110" xfId="0" applyFont="1" applyBorder="1" applyAlignment="1">
      <alignment vertical="center"/>
    </xf>
    <xf numFmtId="1" fontId="9" fillId="8" borderId="2" xfId="0" applyNumberFormat="1" applyFont="1" applyFill="1" applyBorder="1" applyProtection="1">
      <alignment horizontal="center" vertical="center"/>
      <protection locked="0"/>
    </xf>
    <xf numFmtId="170" fontId="9" fillId="8" borderId="13" xfId="0" applyNumberFormat="1" applyFont="1" applyFill="1" applyBorder="1" applyProtection="1">
      <alignment horizontal="center" vertical="center"/>
      <protection locked="0"/>
    </xf>
    <xf numFmtId="1" fontId="9" fillId="8" borderId="18" xfId="0" applyNumberFormat="1" applyFont="1" applyFill="1" applyBorder="1" applyProtection="1">
      <alignment horizontal="center" vertical="center"/>
      <protection locked="0"/>
    </xf>
    <xf numFmtId="170" fontId="9" fillId="8" borderId="55" xfId="0" applyNumberFormat="1" applyFont="1" applyFill="1" applyBorder="1" applyProtection="1">
      <alignment horizontal="center" vertical="center"/>
      <protection locked="0"/>
    </xf>
    <xf numFmtId="170" fontId="9" fillId="8" borderId="61" xfId="0" applyNumberFormat="1" applyFont="1" applyFill="1" applyBorder="1" applyProtection="1">
      <alignment horizontal="center" vertical="center"/>
      <protection locked="0"/>
    </xf>
    <xf numFmtId="170" fontId="3" fillId="8" borderId="1" xfId="0" applyNumberFormat="1" applyFont="1" applyFill="1" applyBorder="1" applyProtection="1">
      <alignment horizontal="center" vertical="center"/>
      <protection locked="0"/>
    </xf>
    <xf numFmtId="2" fontId="9" fillId="8" borderId="5" xfId="0" applyFont="1" applyFill="1" applyBorder="1" applyProtection="1">
      <alignment horizontal="center" vertical="center"/>
      <protection locked="0"/>
    </xf>
    <xf numFmtId="1" fontId="9" fillId="8" borderId="7" xfId="0" applyNumberFormat="1" applyFont="1" applyFill="1" applyBorder="1" applyProtection="1">
      <alignment horizontal="center" vertical="center"/>
      <protection locked="0"/>
    </xf>
    <xf numFmtId="2" fontId="9" fillId="8" borderId="7" xfId="0" applyFont="1" applyFill="1" applyBorder="1" applyProtection="1">
      <alignment horizontal="center" vertical="center"/>
      <protection locked="0"/>
    </xf>
    <xf numFmtId="165" fontId="9" fillId="8" borderId="7" xfId="0" applyNumberFormat="1" applyFont="1" applyFill="1" applyBorder="1" applyProtection="1">
      <alignment horizontal="center" vertical="center"/>
      <protection locked="0"/>
    </xf>
    <xf numFmtId="167" fontId="9" fillId="8" borderId="48" xfId="0" applyNumberFormat="1" applyFont="1" applyFill="1" applyBorder="1" applyProtection="1">
      <alignment horizontal="center" vertical="center"/>
      <protection locked="0"/>
    </xf>
    <xf numFmtId="2" fontId="9" fillId="8" borderId="72" xfId="0" applyFont="1" applyFill="1" applyBorder="1" applyProtection="1">
      <alignment horizontal="center" vertical="center"/>
      <protection locked="0"/>
    </xf>
    <xf numFmtId="165" fontId="9" fillId="8" borderId="72" xfId="0" applyNumberFormat="1" applyFont="1" applyFill="1" applyBorder="1" applyProtection="1">
      <alignment horizontal="center" vertical="center"/>
      <protection locked="0"/>
    </xf>
    <xf numFmtId="167" fontId="9" fillId="8" borderId="96" xfId="0" applyNumberFormat="1" applyFont="1" applyFill="1" applyBorder="1" applyProtection="1">
      <alignment horizontal="center" vertical="center"/>
      <protection locked="0"/>
    </xf>
    <xf numFmtId="2" fontId="9" fillId="8" borderId="11" xfId="0" applyFont="1" applyFill="1" applyBorder="1" applyProtection="1">
      <alignment horizontal="center" vertical="center"/>
      <protection locked="0"/>
    </xf>
    <xf numFmtId="165" fontId="9" fillId="8" borderId="11" xfId="0" applyNumberFormat="1" applyFont="1" applyFill="1" applyBorder="1" applyProtection="1">
      <alignment horizontal="center" vertical="center"/>
      <protection locked="0"/>
    </xf>
    <xf numFmtId="167" fontId="9" fillId="8" borderId="19" xfId="0" applyNumberFormat="1" applyFont="1" applyFill="1" applyBorder="1" applyProtection="1">
      <alignment horizontal="center" vertical="center"/>
      <protection locked="0"/>
    </xf>
    <xf numFmtId="165" fontId="9" fillId="8" borderId="61" xfId="0" applyNumberFormat="1" applyFont="1" applyFill="1" applyBorder="1" applyProtection="1">
      <alignment horizontal="center" vertical="center"/>
      <protection locked="0"/>
    </xf>
    <xf numFmtId="165" fontId="9" fillId="8" borderId="111" xfId="0" applyNumberFormat="1" applyFont="1" applyFill="1" applyBorder="1" applyProtection="1">
      <alignment horizontal="center" vertical="center"/>
      <protection locked="0"/>
    </xf>
    <xf numFmtId="1" fontId="9" fillId="8" borderId="1" xfId="0" applyNumberFormat="1" applyFont="1" applyFill="1" applyBorder="1" applyProtection="1">
      <alignment horizontal="center" vertical="center"/>
      <protection locked="0"/>
    </xf>
    <xf numFmtId="2" fontId="3" fillId="8" borderId="18" xfId="0" applyFont="1" applyFill="1" applyBorder="1" applyProtection="1">
      <alignment horizontal="center" vertical="center"/>
      <protection locked="0"/>
    </xf>
    <xf numFmtId="2" fontId="3" fillId="8" borderId="7" xfId="0" applyFont="1" applyFill="1" applyBorder="1" applyProtection="1">
      <alignment horizontal="center" vertical="center"/>
      <protection locked="0"/>
    </xf>
    <xf numFmtId="165" fontId="3" fillId="8" borderId="7" xfId="0" applyNumberFormat="1" applyFont="1" applyFill="1" applyBorder="1" applyProtection="1">
      <alignment horizontal="center" vertical="center"/>
      <protection locked="0"/>
    </xf>
    <xf numFmtId="167" fontId="3" fillId="8" borderId="48" xfId="0" applyNumberFormat="1" applyFont="1" applyFill="1" applyBorder="1" applyProtection="1">
      <alignment horizontal="center" vertical="center"/>
      <protection locked="0"/>
    </xf>
    <xf numFmtId="2" fontId="3" fillId="8" borderId="5" xfId="0" applyFont="1" applyFill="1" applyBorder="1" applyProtection="1">
      <alignment horizontal="center" vertical="center"/>
      <protection locked="0"/>
    </xf>
    <xf numFmtId="165" fontId="3" fillId="8" borderId="5" xfId="0" applyNumberFormat="1" applyFont="1" applyFill="1" applyBorder="1" applyProtection="1">
      <alignment horizontal="center" vertical="center"/>
      <protection locked="0"/>
    </xf>
    <xf numFmtId="167" fontId="3" fillId="8" borderId="14" xfId="0" applyNumberFormat="1" applyFont="1" applyFill="1" applyBorder="1" applyProtection="1">
      <alignment horizontal="center" vertical="center"/>
      <protection locked="0"/>
    </xf>
    <xf numFmtId="2" fontId="3" fillId="8" borderId="75" xfId="0" applyFont="1" applyFill="1" applyBorder="1" applyProtection="1">
      <alignment horizontal="center" vertical="center"/>
      <protection locked="0"/>
    </xf>
    <xf numFmtId="165" fontId="3" fillId="8" borderId="86" xfId="0" applyNumberFormat="1" applyFont="1" applyFill="1" applyBorder="1" applyProtection="1">
      <alignment horizontal="center" vertical="center"/>
      <protection locked="0"/>
    </xf>
    <xf numFmtId="165" fontId="3" fillId="8" borderId="27" xfId="0" applyNumberFormat="1" applyFont="1" applyFill="1" applyBorder="1" applyProtection="1">
      <alignment horizontal="center" vertical="center"/>
      <protection locked="0"/>
    </xf>
    <xf numFmtId="2" fontId="9" fillId="8" borderId="2" xfId="0" applyFont="1" applyFill="1" applyBorder="1" applyProtection="1">
      <alignment horizontal="center" vertical="center"/>
      <protection locked="0"/>
    </xf>
    <xf numFmtId="165" fontId="3" fillId="8" borderId="48" xfId="0" applyNumberFormat="1" applyFont="1" applyFill="1" applyBorder="1" applyProtection="1">
      <alignment horizontal="center" vertical="center"/>
      <protection locked="0"/>
    </xf>
    <xf numFmtId="2" fontId="3" fillId="8" borderId="15" xfId="0" applyFont="1" applyFill="1" applyBorder="1" applyProtection="1">
      <alignment horizontal="center" vertical="center"/>
      <protection locked="0"/>
    </xf>
    <xf numFmtId="165" fontId="3" fillId="8" borderId="11" xfId="0" applyNumberFormat="1" applyFont="1" applyFill="1" applyBorder="1" applyProtection="1">
      <alignment horizontal="center" vertical="center"/>
      <protection locked="0"/>
    </xf>
    <xf numFmtId="1" fontId="23" fillId="8" borderId="18" xfId="0" applyNumberFormat="1" applyFont="1" applyFill="1" applyBorder="1" applyProtection="1">
      <alignment horizontal="center" vertical="center"/>
      <protection locked="0"/>
    </xf>
    <xf numFmtId="49" fontId="9" fillId="8" borderId="2" xfId="0" applyNumberFormat="1" applyFont="1" applyFill="1" applyBorder="1" applyAlignment="1" applyProtection="1">
      <alignment horizontal="left" vertical="center"/>
      <protection locked="0"/>
    </xf>
    <xf numFmtId="2" fontId="12" fillId="0" borderId="38" xfId="0" applyFont="1" applyBorder="1" applyAlignment="1">
      <alignment horizontal="left" vertical="center"/>
    </xf>
    <xf numFmtId="2" fontId="0" fillId="0" borderId="29" xfId="0" applyBorder="1" applyAlignment="1">
      <alignment horizontal="left" vertical="center"/>
    </xf>
    <xf numFmtId="2" fontId="0" fillId="0" borderId="0" xfId="0" applyAlignment="1">
      <alignment horizontal="left" vertical="center"/>
    </xf>
    <xf numFmtId="2" fontId="9" fillId="0" borderId="101" xfId="0" applyFont="1" applyBorder="1">
      <alignment horizontal="center" vertical="center"/>
    </xf>
    <xf numFmtId="2" fontId="9" fillId="0" borderId="28" xfId="0" applyFont="1" applyBorder="1">
      <alignment horizontal="center" vertical="center"/>
    </xf>
    <xf numFmtId="166" fontId="9" fillId="0" borderId="28" xfId="0" applyNumberFormat="1" applyFont="1" applyBorder="1">
      <alignment horizontal="center" vertical="center"/>
    </xf>
    <xf numFmtId="1" fontId="9" fillId="0" borderId="28" xfId="0" applyNumberFormat="1" applyFont="1" applyBorder="1">
      <alignment horizontal="center" vertical="center"/>
    </xf>
    <xf numFmtId="165" fontId="9" fillId="0" borderId="28" xfId="0" applyNumberFormat="1" applyFont="1" applyBorder="1">
      <alignment horizontal="center" vertical="center"/>
    </xf>
    <xf numFmtId="2" fontId="23" fillId="0" borderId="0" xfId="0" applyFont="1" applyAlignment="1">
      <alignment horizontal="centerContinuous"/>
    </xf>
    <xf numFmtId="2" fontId="31" fillId="0" borderId="1" xfId="0" applyFont="1" applyBorder="1">
      <alignment horizontal="center" vertical="center"/>
    </xf>
    <xf numFmtId="2" fontId="0" fillId="0" borderId="1" xfId="0" applyBorder="1">
      <alignment horizontal="center" vertical="center"/>
    </xf>
    <xf numFmtId="49" fontId="20" fillId="0" borderId="0" xfId="0" applyNumberFormat="1" applyFont="1">
      <alignment horizontal="center" vertical="center"/>
    </xf>
    <xf numFmtId="2" fontId="23" fillId="4" borderId="51" xfId="0" applyFont="1" applyFill="1" applyBorder="1" applyAlignment="1">
      <alignment horizontal="right" vertical="center"/>
    </xf>
    <xf numFmtId="2" fontId="0" fillId="0" borderId="0" xfId="0" quotePrefix="1">
      <alignment horizontal="center" vertical="center"/>
    </xf>
    <xf numFmtId="2" fontId="24" fillId="9" borderId="1" xfId="0" applyFont="1" applyFill="1" applyBorder="1">
      <alignment horizontal="center" vertical="center"/>
    </xf>
    <xf numFmtId="2" fontId="30" fillId="0" borderId="0" xfId="0" applyFont="1" applyAlignment="1">
      <alignment horizontal="left" vertical="center"/>
    </xf>
    <xf numFmtId="14" fontId="31" fillId="0" borderId="0" xfId="0" applyNumberFormat="1" applyFont="1">
      <alignment horizontal="center" vertical="center"/>
    </xf>
    <xf numFmtId="14" fontId="31" fillId="0" borderId="0" xfId="0" applyNumberFormat="1" applyFont="1" applyAlignment="1">
      <alignment horizontal="left" vertical="center"/>
    </xf>
    <xf numFmtId="14" fontId="32" fillId="0" borderId="0" xfId="0" applyNumberFormat="1" applyFont="1" applyAlignment="1">
      <alignment horizontal="left" vertical="center"/>
    </xf>
    <xf numFmtId="14" fontId="31" fillId="0" borderId="0" xfId="0" applyNumberFormat="1" applyFont="1" applyAlignment="1">
      <alignment horizontal="right" vertical="center"/>
    </xf>
    <xf numFmtId="1" fontId="31" fillId="0" borderId="0" xfId="0" quotePrefix="1" applyNumberFormat="1" applyFont="1">
      <alignment horizontal="center" vertical="center"/>
    </xf>
    <xf numFmtId="2" fontId="23" fillId="4" borderId="49" xfId="0" applyFont="1" applyFill="1" applyBorder="1" applyAlignment="1">
      <alignment horizontal="right" vertical="center"/>
    </xf>
    <xf numFmtId="178" fontId="23" fillId="5" borderId="114" xfId="0" applyNumberFormat="1" applyFont="1" applyFill="1" applyBorder="1">
      <alignment horizontal="center" vertical="center"/>
    </xf>
    <xf numFmtId="178" fontId="23" fillId="5" borderId="115" xfId="0" applyNumberFormat="1" applyFont="1" applyFill="1" applyBorder="1">
      <alignment horizontal="center" vertical="center"/>
    </xf>
    <xf numFmtId="2" fontId="24" fillId="0" borderId="0" xfId="0" applyFont="1" applyAlignment="1">
      <alignment horizontal="right" vertical="center"/>
    </xf>
    <xf numFmtId="2" fontId="0" fillId="0" borderId="0" xfId="0" quotePrefix="1" applyAlignment="1">
      <alignment horizontal="left" vertical="center"/>
    </xf>
    <xf numFmtId="2" fontId="40" fillId="0" borderId="91" xfId="0" applyFont="1" applyBorder="1" applyAlignment="1">
      <alignment horizontal="left" vertical="center"/>
    </xf>
    <xf numFmtId="1" fontId="40" fillId="0" borderId="91" xfId="0" applyNumberFormat="1" applyFont="1" applyBorder="1" applyAlignment="1">
      <alignment horizontal="left" vertical="center"/>
    </xf>
    <xf numFmtId="178" fontId="42" fillId="0" borderId="20" xfId="0" applyNumberFormat="1" applyFont="1" applyBorder="1">
      <alignment horizontal="center" vertical="center"/>
    </xf>
    <xf numFmtId="2" fontId="44" fillId="0" borderId="2" xfId="0" applyFont="1" applyBorder="1" applyAlignment="1">
      <alignment horizontal="left" vertical="center"/>
    </xf>
    <xf numFmtId="2" fontId="45" fillId="0" borderId="2" xfId="0" applyFont="1" applyBorder="1">
      <alignment horizontal="center" vertical="center"/>
    </xf>
    <xf numFmtId="178" fontId="42" fillId="0" borderId="28" xfId="0" applyNumberFormat="1" applyFont="1" applyBorder="1">
      <alignment horizontal="center" vertical="center"/>
    </xf>
    <xf numFmtId="2" fontId="46" fillId="0" borderId="31" xfId="0" applyFont="1" applyBorder="1" applyAlignment="1">
      <alignment horizontal="left" vertical="center"/>
    </xf>
    <xf numFmtId="2" fontId="24" fillId="0" borderId="29" xfId="0" applyFont="1" applyBorder="1" applyAlignment="1">
      <alignment horizontal="right" vertical="center"/>
    </xf>
    <xf numFmtId="2" fontId="24" fillId="0" borderId="0" xfId="0" applyFont="1" applyAlignment="1">
      <alignment horizontal="left" vertical="center"/>
    </xf>
    <xf numFmtId="170" fontId="9" fillId="10" borderId="2" xfId="0" applyNumberFormat="1" applyFont="1" applyFill="1" applyBorder="1">
      <alignment horizontal="center" vertical="center"/>
    </xf>
    <xf numFmtId="2" fontId="24" fillId="10" borderId="77" xfId="0" applyFont="1" applyFill="1" applyBorder="1">
      <alignment horizontal="center" vertical="center"/>
    </xf>
    <xf numFmtId="2" fontId="24" fillId="10" borderId="116" xfId="0" applyFont="1" applyFill="1" applyBorder="1">
      <alignment horizontal="center" vertical="center"/>
    </xf>
    <xf numFmtId="2" fontId="9" fillId="10" borderId="116" xfId="0" applyFont="1" applyFill="1" applyBorder="1">
      <alignment horizontal="center" vertical="center"/>
    </xf>
    <xf numFmtId="2" fontId="9" fillId="10" borderId="117" xfId="0" applyFont="1" applyFill="1" applyBorder="1">
      <alignment horizontal="center" vertical="center"/>
    </xf>
    <xf numFmtId="178" fontId="9" fillId="10" borderId="2" xfId="0" applyNumberFormat="1" applyFont="1" applyFill="1" applyBorder="1" applyAlignment="1">
      <alignment horizontal="left" vertical="center"/>
    </xf>
    <xf numFmtId="178" fontId="9" fillId="10" borderId="2" xfId="0" applyNumberFormat="1" applyFont="1" applyFill="1" applyBorder="1">
      <alignment horizontal="center" vertical="center"/>
    </xf>
    <xf numFmtId="170" fontId="9" fillId="10" borderId="2" xfId="0" applyNumberFormat="1" applyFont="1" applyFill="1" applyBorder="1" applyAlignment="1">
      <alignment horizontal="left" vertical="center"/>
    </xf>
    <xf numFmtId="2" fontId="26" fillId="11" borderId="85" xfId="0" applyFont="1" applyFill="1" applyBorder="1">
      <alignment horizontal="center" vertical="center"/>
    </xf>
    <xf numFmtId="180" fontId="10" fillId="12" borderId="30" xfId="1" applyNumberFormat="1" applyFont="1" applyFill="1" applyBorder="1" applyAlignment="1">
      <alignment horizontal="center" vertical="center"/>
      <protection locked="0"/>
    </xf>
    <xf numFmtId="178" fontId="10" fillId="12" borderId="1" xfId="1" applyNumberFormat="1" applyFont="1" applyFill="1" applyAlignment="1">
      <alignment horizontal="center" vertical="center"/>
      <protection locked="0"/>
    </xf>
    <xf numFmtId="178" fontId="23" fillId="12" borderId="1" xfId="1" applyNumberFormat="1" applyFont="1" applyFill="1" applyAlignment="1">
      <alignment horizontal="center" vertical="center"/>
      <protection locked="0"/>
    </xf>
    <xf numFmtId="165" fontId="23" fillId="12" borderId="1" xfId="1" applyNumberFormat="1" applyFont="1" applyFill="1" applyAlignment="1">
      <alignment horizontal="center" vertical="center"/>
      <protection locked="0"/>
    </xf>
    <xf numFmtId="170" fontId="23" fillId="12" borderId="1" xfId="1" applyNumberFormat="1" applyFont="1" applyFill="1" applyAlignment="1">
      <alignment horizontal="center" vertical="center"/>
      <protection locked="0"/>
    </xf>
    <xf numFmtId="2" fontId="9" fillId="12" borderId="118" xfId="0" applyFont="1" applyFill="1" applyBorder="1" applyProtection="1">
      <alignment horizontal="center" vertical="center"/>
      <protection locked="0"/>
    </xf>
    <xf numFmtId="1" fontId="9" fillId="12" borderId="1" xfId="0" applyNumberFormat="1" applyFont="1" applyFill="1" applyBorder="1" applyProtection="1">
      <alignment horizontal="center" vertical="center"/>
      <protection locked="0"/>
    </xf>
    <xf numFmtId="172" fontId="9" fillId="12" borderId="18" xfId="0" applyNumberFormat="1" applyFont="1" applyFill="1" applyBorder="1" applyProtection="1">
      <alignment horizontal="center" vertical="center"/>
      <protection locked="0"/>
    </xf>
    <xf numFmtId="172" fontId="9" fillId="12" borderId="1" xfId="0" applyNumberFormat="1" applyFont="1" applyFill="1" applyBorder="1" applyProtection="1">
      <alignment horizontal="center" vertical="center"/>
      <protection locked="0"/>
    </xf>
    <xf numFmtId="172" fontId="9" fillId="12" borderId="7" xfId="0" applyNumberFormat="1" applyFont="1" applyFill="1" applyBorder="1" applyProtection="1">
      <alignment horizontal="center" vertical="center"/>
      <protection locked="0"/>
    </xf>
    <xf numFmtId="1" fontId="9" fillId="13" borderId="1" xfId="0" applyNumberFormat="1" applyFont="1" applyFill="1" applyBorder="1" applyProtection="1">
      <alignment horizontal="center" vertical="center"/>
      <protection locked="0"/>
    </xf>
    <xf numFmtId="1" fontId="23" fillId="12" borderId="101" xfId="0" applyNumberFormat="1" applyFont="1" applyFill="1" applyBorder="1" applyProtection="1">
      <alignment horizontal="center" vertical="center"/>
      <protection locked="0"/>
    </xf>
    <xf numFmtId="1" fontId="23" fillId="12" borderId="121" xfId="0" applyNumberFormat="1" applyFont="1" applyFill="1" applyBorder="1" applyProtection="1">
      <alignment horizontal="center" vertical="center"/>
      <protection locked="0"/>
    </xf>
    <xf numFmtId="1" fontId="23" fillId="12" borderId="122" xfId="0" applyNumberFormat="1" applyFont="1" applyFill="1" applyBorder="1" applyProtection="1">
      <alignment horizontal="center" vertical="center"/>
      <protection locked="0"/>
    </xf>
    <xf numFmtId="1" fontId="23" fillId="12" borderId="123" xfId="0" applyNumberFormat="1" applyFont="1" applyFill="1" applyBorder="1" applyProtection="1">
      <alignment horizontal="center" vertical="center"/>
      <protection locked="0"/>
    </xf>
    <xf numFmtId="1" fontId="23" fillId="12" borderId="18" xfId="0" applyNumberFormat="1" applyFont="1" applyFill="1" applyBorder="1" applyProtection="1">
      <alignment horizontal="center" vertical="center"/>
      <protection locked="0"/>
    </xf>
    <xf numFmtId="1" fontId="23" fillId="12" borderId="124" xfId="0" applyNumberFormat="1" applyFont="1" applyFill="1" applyBorder="1" applyProtection="1">
      <alignment horizontal="center" vertical="center"/>
      <protection locked="0"/>
    </xf>
    <xf numFmtId="2" fontId="13" fillId="10" borderId="51" xfId="0" applyFont="1" applyFill="1" applyBorder="1" applyAlignment="1">
      <alignment horizontal="right" vertical="center"/>
    </xf>
    <xf numFmtId="178" fontId="13" fillId="10" borderId="49" xfId="0" applyNumberFormat="1" applyFont="1" applyFill="1" applyBorder="1" applyAlignment="1">
      <alignment horizontal="left" vertical="center"/>
    </xf>
    <xf numFmtId="2" fontId="24" fillId="10" borderId="1" xfId="0" applyFont="1" applyFill="1" applyBorder="1" applyAlignment="1">
      <alignment horizontal="right" vertical="center"/>
    </xf>
    <xf numFmtId="2" fontId="0" fillId="0" borderId="12" xfId="0" applyBorder="1">
      <alignment horizontal="center" vertical="center"/>
    </xf>
    <xf numFmtId="2" fontId="13" fillId="10" borderId="1" xfId="0" applyFont="1" applyFill="1" applyBorder="1" applyAlignment="1">
      <alignment horizontal="right" vertical="center"/>
    </xf>
    <xf numFmtId="2" fontId="24" fillId="9" borderId="49" xfId="0" applyFont="1" applyFill="1" applyBorder="1" applyAlignment="1">
      <alignment horizontal="right" vertical="center"/>
    </xf>
    <xf numFmtId="2" fontId="0" fillId="9" borderId="49" xfId="0" applyFill="1" applyBorder="1" applyAlignment="1">
      <alignment horizontal="centerContinuous"/>
    </xf>
    <xf numFmtId="172" fontId="9" fillId="12" borderId="13" xfId="0" applyNumberFormat="1" applyFont="1" applyFill="1" applyBorder="1" applyProtection="1">
      <alignment horizontal="center" vertical="center"/>
      <protection locked="0"/>
    </xf>
    <xf numFmtId="2" fontId="10" fillId="0" borderId="74" xfId="0" applyFont="1" applyBorder="1">
      <alignment horizontal="center" vertical="center"/>
    </xf>
    <xf numFmtId="1" fontId="9" fillId="8" borderId="29" xfId="0" applyNumberFormat="1" applyFont="1" applyFill="1" applyBorder="1" applyProtection="1">
      <alignment horizontal="center" vertical="center"/>
      <protection locked="0"/>
    </xf>
    <xf numFmtId="2" fontId="13" fillId="10" borderId="49" xfId="0" applyFont="1" applyFill="1" applyBorder="1" applyAlignment="1">
      <alignment horizontal="left" vertical="center"/>
    </xf>
    <xf numFmtId="2" fontId="24" fillId="9" borderId="101" xfId="0" applyFont="1" applyFill="1" applyBorder="1" applyAlignment="1">
      <alignment horizontal="centerContinuous" vertical="center"/>
    </xf>
    <xf numFmtId="2" fontId="0" fillId="9" borderId="28" xfId="0" applyFill="1" applyBorder="1" applyAlignment="1">
      <alignment horizontal="centerContinuous"/>
    </xf>
    <xf numFmtId="2" fontId="3" fillId="9" borderId="101" xfId="0" applyFont="1" applyFill="1" applyBorder="1">
      <alignment horizontal="center" vertical="center"/>
    </xf>
    <xf numFmtId="2" fontId="10" fillId="1" borderId="125" xfId="0" applyFont="1" applyFill="1" applyBorder="1" applyAlignment="1">
      <alignment vertical="center"/>
    </xf>
    <xf numFmtId="181" fontId="13" fillId="10" borderId="1" xfId="0" applyNumberFormat="1" applyFont="1" applyFill="1" applyBorder="1">
      <alignment horizontal="center" vertical="center"/>
    </xf>
    <xf numFmtId="2" fontId="3" fillId="0" borderId="2" xfId="0" applyFont="1" applyBorder="1" applyAlignment="1">
      <alignment horizontal="right" vertical="center"/>
    </xf>
    <xf numFmtId="2" fontId="3" fillId="0" borderId="74" xfId="0" applyFont="1" applyBorder="1">
      <alignment horizontal="center" vertical="center"/>
    </xf>
    <xf numFmtId="1" fontId="9" fillId="13" borderId="13" xfId="0" applyNumberFormat="1" applyFont="1" applyFill="1" applyBorder="1" applyProtection="1">
      <alignment horizontal="center" vertical="center"/>
      <protection locked="0"/>
    </xf>
    <xf numFmtId="2" fontId="24" fillId="9" borderId="74" xfId="0" applyFont="1" applyFill="1" applyBorder="1">
      <alignment horizontal="center" vertical="center"/>
    </xf>
    <xf numFmtId="2" fontId="9" fillId="5" borderId="49" xfId="0" applyFont="1" applyFill="1" applyBorder="1">
      <alignment horizontal="center" vertical="center"/>
    </xf>
    <xf numFmtId="2" fontId="9" fillId="14" borderId="0" xfId="0" applyFont="1" applyFill="1" applyAlignment="1">
      <alignment horizontal="right" vertical="center"/>
    </xf>
    <xf numFmtId="2" fontId="13" fillId="9" borderId="125" xfId="0" applyFont="1" applyFill="1" applyBorder="1" applyAlignment="1">
      <alignment vertical="center"/>
    </xf>
    <xf numFmtId="2" fontId="13" fillId="9" borderId="13" xfId="0" applyFont="1" applyFill="1" applyBorder="1" applyAlignment="1">
      <alignment vertical="center"/>
    </xf>
    <xf numFmtId="2" fontId="24" fillId="9" borderId="126" xfId="0" applyFont="1" applyFill="1" applyBorder="1" applyAlignment="1">
      <alignment horizontal="right"/>
    </xf>
    <xf numFmtId="2" fontId="24" fillId="9" borderId="15" xfId="0" applyFont="1" applyFill="1" applyBorder="1" applyAlignment="1">
      <alignment horizontal="right"/>
    </xf>
    <xf numFmtId="2" fontId="3" fillId="15" borderId="26" xfId="0" applyFont="1" applyFill="1" applyBorder="1">
      <alignment horizontal="center" vertical="center"/>
    </xf>
    <xf numFmtId="2" fontId="3" fillId="15" borderId="127" xfId="0" applyFont="1" applyFill="1" applyBorder="1">
      <alignment horizontal="center" vertical="center"/>
    </xf>
    <xf numFmtId="2" fontId="9" fillId="15" borderId="50" xfId="0" applyFont="1" applyFill="1" applyBorder="1">
      <alignment horizontal="center" vertical="center"/>
    </xf>
    <xf numFmtId="2" fontId="9" fillId="15" borderId="13" xfId="0" applyFont="1" applyFill="1" applyBorder="1">
      <alignment horizontal="center" vertical="center"/>
    </xf>
    <xf numFmtId="2" fontId="9" fillId="15" borderId="48" xfId="0" applyFont="1" applyFill="1" applyBorder="1">
      <alignment horizontal="center" vertical="center"/>
    </xf>
    <xf numFmtId="2" fontId="3" fillId="15" borderId="25" xfId="0" applyFont="1" applyFill="1" applyBorder="1">
      <alignment horizontal="center" vertical="center"/>
    </xf>
    <xf numFmtId="2" fontId="9" fillId="15" borderId="25" xfId="0" applyFont="1" applyFill="1" applyBorder="1">
      <alignment horizontal="center" vertical="center"/>
    </xf>
    <xf numFmtId="181" fontId="13" fillId="10" borderId="21" xfId="0" applyNumberFormat="1" applyFont="1" applyFill="1" applyBorder="1" applyAlignment="1">
      <alignment horizontal="left" vertical="center"/>
    </xf>
    <xf numFmtId="2" fontId="10" fillId="0" borderId="0" xfId="0" applyFont="1" applyAlignment="1">
      <alignment horizontal="centerContinuous" vertical="center"/>
    </xf>
    <xf numFmtId="2" fontId="10" fillId="0" borderId="23" xfId="0" applyFont="1" applyBorder="1" applyAlignment="1">
      <alignment horizontal="centerContinuous"/>
    </xf>
    <xf numFmtId="2" fontId="10" fillId="0" borderId="71" xfId="0" applyFont="1" applyBorder="1">
      <alignment horizontal="center" vertical="center"/>
    </xf>
    <xf numFmtId="2" fontId="3" fillId="15" borderId="27" xfId="0" applyFont="1" applyFill="1" applyBorder="1" applyAlignment="1">
      <alignment horizontal="right" vertical="center"/>
    </xf>
    <xf numFmtId="2" fontId="9" fillId="15" borderId="75" xfId="0" applyFont="1" applyFill="1" applyBorder="1">
      <alignment horizontal="center" vertical="center"/>
    </xf>
    <xf numFmtId="2" fontId="9" fillId="15" borderId="78" xfId="0" applyFont="1" applyFill="1" applyBorder="1">
      <alignment horizontal="center" vertical="center"/>
    </xf>
    <xf numFmtId="2" fontId="13" fillId="10" borderId="128" xfId="0" applyFont="1" applyFill="1" applyBorder="1" applyAlignment="1">
      <alignment horizontal="right" vertical="center"/>
    </xf>
    <xf numFmtId="1" fontId="9" fillId="8" borderId="51" xfId="0" applyNumberFormat="1" applyFont="1" applyFill="1" applyBorder="1" applyProtection="1">
      <alignment horizontal="center" vertical="center"/>
      <protection locked="0"/>
    </xf>
    <xf numFmtId="168" fontId="13" fillId="10" borderId="49" xfId="0" applyNumberFormat="1" applyFont="1" applyFill="1" applyBorder="1">
      <alignment horizontal="center" vertical="center"/>
    </xf>
    <xf numFmtId="166" fontId="13" fillId="10" borderId="1" xfId="0" applyNumberFormat="1" applyFont="1" applyFill="1" applyBorder="1">
      <alignment horizontal="center" vertical="center"/>
    </xf>
    <xf numFmtId="181" fontId="13" fillId="10" borderId="21" xfId="0" applyNumberFormat="1" applyFont="1" applyFill="1" applyBorder="1">
      <alignment horizontal="center" vertical="center"/>
    </xf>
    <xf numFmtId="1" fontId="9" fillId="9" borderId="1" xfId="0" applyNumberFormat="1" applyFont="1" applyFill="1" applyBorder="1" applyProtection="1">
      <alignment horizontal="center" vertical="center"/>
      <protection locked="0"/>
    </xf>
    <xf numFmtId="178" fontId="23" fillId="10" borderId="0" xfId="0" applyNumberFormat="1" applyFont="1" applyFill="1" applyAlignment="1">
      <alignment horizontal="left" vertical="center"/>
    </xf>
    <xf numFmtId="2" fontId="24" fillId="9" borderId="129" xfId="0" applyFont="1" applyFill="1" applyBorder="1" applyAlignment="1">
      <alignment horizontal="left" vertical="center"/>
    </xf>
    <xf numFmtId="2" fontId="9" fillId="9" borderId="130" xfId="0" applyFont="1" applyFill="1" applyBorder="1">
      <alignment horizontal="center" vertical="center"/>
    </xf>
    <xf numFmtId="2" fontId="3" fillId="12" borderId="1" xfId="0" applyFont="1" applyFill="1" applyBorder="1" applyAlignment="1" applyProtection="1">
      <alignment horizontal="left" vertical="center"/>
      <protection locked="0"/>
    </xf>
    <xf numFmtId="178" fontId="9" fillId="12" borderId="1" xfId="0" quotePrefix="1" applyNumberFormat="1" applyFont="1" applyFill="1" applyBorder="1" applyAlignment="1" applyProtection="1">
      <alignment horizontal="left" vertical="center"/>
      <protection locked="0"/>
    </xf>
    <xf numFmtId="178" fontId="9" fillId="9" borderId="13" xfId="0" quotePrefix="1" applyNumberFormat="1" applyFont="1" applyFill="1" applyBorder="1" applyAlignment="1" applyProtection="1">
      <alignment horizontal="left" vertical="center"/>
      <protection locked="0"/>
    </xf>
    <xf numFmtId="178" fontId="9" fillId="9" borderId="1" xfId="0" quotePrefix="1" applyNumberFormat="1" applyFont="1" applyFill="1" applyBorder="1" applyAlignment="1" applyProtection="1">
      <alignment horizontal="left" vertical="center"/>
      <protection locked="0"/>
    </xf>
    <xf numFmtId="178" fontId="9" fillId="9" borderId="13" xfId="0" quotePrefix="1" applyNumberFormat="1" applyFont="1" applyFill="1" applyBorder="1" applyProtection="1">
      <alignment horizontal="center" vertical="center"/>
      <protection locked="0"/>
    </xf>
    <xf numFmtId="170" fontId="9" fillId="9" borderId="1" xfId="0" quotePrefix="1" applyNumberFormat="1" applyFont="1" applyFill="1" applyBorder="1" applyProtection="1">
      <alignment horizontal="center" vertical="center"/>
      <protection locked="0"/>
    </xf>
    <xf numFmtId="170" fontId="9" fillId="9" borderId="13" xfId="0" quotePrefix="1" applyNumberFormat="1" applyFont="1" applyFill="1" applyBorder="1" applyProtection="1">
      <alignment horizontal="center" vertical="center"/>
      <protection locked="0"/>
    </xf>
    <xf numFmtId="178" fontId="23" fillId="13" borderId="1" xfId="0" applyNumberFormat="1" applyFont="1" applyFill="1" applyBorder="1" applyProtection="1">
      <alignment horizontal="center" vertical="center"/>
      <protection locked="0"/>
    </xf>
    <xf numFmtId="182" fontId="9" fillId="13" borderId="13" xfId="0" applyNumberFormat="1" applyFont="1" applyFill="1" applyBorder="1" applyProtection="1">
      <alignment horizontal="center" vertical="center"/>
      <protection locked="0"/>
    </xf>
    <xf numFmtId="182" fontId="9" fillId="13" borderId="74" xfId="0" applyNumberFormat="1" applyFont="1" applyFill="1" applyBorder="1" applyProtection="1">
      <alignment horizontal="center" vertical="center"/>
      <protection locked="0"/>
    </xf>
    <xf numFmtId="165" fontId="23" fillId="13" borderId="1" xfId="0" applyNumberFormat="1" applyFont="1" applyFill="1" applyBorder="1" applyProtection="1">
      <alignment horizontal="center" vertical="center"/>
      <protection locked="0"/>
    </xf>
    <xf numFmtId="182" fontId="9" fillId="13" borderId="1" xfId="0" applyNumberFormat="1" applyFont="1" applyFill="1" applyBorder="1" applyProtection="1">
      <alignment horizontal="center" vertical="center"/>
      <protection locked="0"/>
    </xf>
    <xf numFmtId="2" fontId="13" fillId="10" borderId="49" xfId="0" applyFont="1" applyFill="1" applyBorder="1" applyAlignment="1">
      <alignment horizontal="right" vertical="center"/>
    </xf>
    <xf numFmtId="166" fontId="23" fillId="12" borderId="1" xfId="1" applyNumberFormat="1" applyFont="1" applyFill="1" applyAlignment="1">
      <alignment horizontal="center" vertical="center"/>
      <protection locked="0"/>
    </xf>
    <xf numFmtId="1" fontId="23" fillId="12" borderId="1" xfId="1" applyFont="1" applyFill="1" applyAlignment="1">
      <alignment horizontal="center" vertical="center"/>
      <protection locked="0"/>
    </xf>
    <xf numFmtId="10" fontId="9" fillId="0" borderId="0" xfId="3" applyNumberFormat="1" applyFont="1" applyBorder="1" applyAlignment="1">
      <alignment horizontal="center" vertical="center"/>
    </xf>
    <xf numFmtId="2" fontId="9" fillId="0" borderId="13" xfId="3" applyNumberFormat="1" applyFont="1" applyBorder="1" applyAlignment="1">
      <alignment horizontal="center" vertical="center"/>
    </xf>
    <xf numFmtId="183" fontId="3" fillId="0" borderId="131" xfId="0" applyNumberFormat="1" applyFont="1" applyBorder="1">
      <alignment horizontal="center" vertical="center"/>
    </xf>
    <xf numFmtId="2" fontId="3" fillId="15" borderId="99" xfId="0" applyFont="1" applyFill="1" applyBorder="1">
      <alignment horizontal="center" vertical="center"/>
    </xf>
    <xf numFmtId="2" fontId="3" fillId="15" borderId="99" xfId="0" applyFont="1" applyFill="1" applyBorder="1" applyAlignment="1">
      <alignment horizontal="right" vertical="center"/>
    </xf>
    <xf numFmtId="166" fontId="9" fillId="16" borderId="55" xfId="0" applyNumberFormat="1" applyFont="1" applyFill="1" applyBorder="1">
      <alignment horizontal="center" vertical="center"/>
    </xf>
    <xf numFmtId="166" fontId="9" fillId="16" borderId="13" xfId="0" applyNumberFormat="1" applyFont="1" applyFill="1" applyBorder="1">
      <alignment horizontal="center" vertical="center"/>
    </xf>
    <xf numFmtId="170" fontId="9" fillId="16" borderId="55" xfId="0" applyNumberFormat="1" applyFont="1" applyFill="1" applyBorder="1">
      <alignment horizontal="center" vertical="center"/>
    </xf>
    <xf numFmtId="170" fontId="9" fillId="16" borderId="93" xfId="0" applyNumberFormat="1" applyFont="1" applyFill="1" applyBorder="1">
      <alignment horizontal="center" vertical="center"/>
    </xf>
    <xf numFmtId="2" fontId="3" fillId="16" borderId="2" xfId="0" applyFont="1" applyFill="1" applyBorder="1">
      <alignment horizontal="center" vertical="center"/>
    </xf>
    <xf numFmtId="165" fontId="3" fillId="16" borderId="13" xfId="0" applyNumberFormat="1" applyFont="1" applyFill="1" applyBorder="1">
      <alignment horizontal="center" vertical="center"/>
    </xf>
    <xf numFmtId="2" fontId="9" fillId="16" borderId="0" xfId="0" applyFont="1" applyFill="1" applyAlignment="1">
      <alignment horizontal="left" vertical="center"/>
    </xf>
    <xf numFmtId="2" fontId="3" fillId="16" borderId="1" xfId="0" applyFont="1" applyFill="1" applyBorder="1">
      <alignment horizontal="center" vertical="center"/>
    </xf>
    <xf numFmtId="1" fontId="3" fillId="16" borderId="1" xfId="0" applyNumberFormat="1" applyFont="1" applyFill="1" applyBorder="1">
      <alignment horizontal="center" vertical="center"/>
    </xf>
    <xf numFmtId="2" fontId="3" fillId="16" borderId="1" xfId="0" applyFont="1" applyFill="1" applyBorder="1" applyAlignment="1">
      <alignment horizontal="left" vertical="center"/>
    </xf>
    <xf numFmtId="174" fontId="3" fillId="16" borderId="1" xfId="0" applyNumberFormat="1" applyFont="1" applyFill="1" applyBorder="1">
      <alignment horizontal="center" vertical="center"/>
    </xf>
    <xf numFmtId="175" fontId="3" fillId="16" borderId="1" xfId="0" applyNumberFormat="1" applyFont="1" applyFill="1" applyBorder="1">
      <alignment horizontal="center" vertical="center"/>
    </xf>
    <xf numFmtId="2" fontId="9" fillId="17" borderId="133" xfId="0" applyFont="1" applyFill="1" applyBorder="1">
      <alignment horizontal="center" vertical="center"/>
    </xf>
    <xf numFmtId="2" fontId="9" fillId="17" borderId="1" xfId="0" applyFont="1" applyFill="1" applyBorder="1">
      <alignment horizontal="center" vertical="center"/>
    </xf>
    <xf numFmtId="2" fontId="9" fillId="17" borderId="13" xfId="0" applyFont="1" applyFill="1" applyBorder="1">
      <alignment horizontal="center" vertical="center"/>
    </xf>
    <xf numFmtId="165" fontId="9" fillId="17" borderId="13" xfId="0" applyNumberFormat="1" applyFont="1" applyFill="1" applyBorder="1">
      <alignment horizontal="center" vertical="center"/>
    </xf>
    <xf numFmtId="2" fontId="9" fillId="17" borderId="86" xfId="0" applyFont="1" applyFill="1" applyBorder="1">
      <alignment horizontal="center" vertical="center"/>
    </xf>
    <xf numFmtId="164" fontId="9" fillId="17" borderId="13" xfId="0" applyNumberFormat="1" applyFont="1" applyFill="1" applyBorder="1">
      <alignment horizontal="center" vertical="center"/>
    </xf>
    <xf numFmtId="164" fontId="9" fillId="17" borderId="1" xfId="0" applyNumberFormat="1" applyFont="1" applyFill="1" applyBorder="1">
      <alignment horizontal="center" vertical="center"/>
    </xf>
    <xf numFmtId="165" fontId="9" fillId="17" borderId="84" xfId="0" applyNumberFormat="1" applyFont="1" applyFill="1" applyBorder="1">
      <alignment horizontal="center" vertical="center"/>
    </xf>
    <xf numFmtId="164" fontId="9" fillId="17" borderId="84" xfId="0" applyNumberFormat="1" applyFont="1" applyFill="1" applyBorder="1">
      <alignment horizontal="center" vertical="center"/>
    </xf>
    <xf numFmtId="2" fontId="10" fillId="0" borderId="125" xfId="0" applyFont="1" applyBorder="1">
      <alignment horizontal="center" vertical="center"/>
    </xf>
    <xf numFmtId="2" fontId="3" fillId="17" borderId="1" xfId="0" applyFont="1" applyFill="1" applyBorder="1">
      <alignment horizontal="center" vertical="center"/>
    </xf>
    <xf numFmtId="2" fontId="38" fillId="0" borderId="0" xfId="0" applyFont="1" applyAlignment="1">
      <alignment horizontal="left" vertical="center"/>
    </xf>
    <xf numFmtId="2" fontId="0" fillId="0" borderId="25" xfId="0" applyBorder="1">
      <alignment horizontal="center" vertical="center"/>
    </xf>
    <xf numFmtId="2" fontId="6" fillId="0" borderId="27" xfId="0" applyFont="1" applyBorder="1">
      <alignment horizontal="center" vertical="center"/>
    </xf>
    <xf numFmtId="170" fontId="24" fillId="10" borderId="1" xfId="0" applyNumberFormat="1" applyFont="1" applyFill="1" applyBorder="1">
      <alignment horizontal="center" vertical="center"/>
    </xf>
    <xf numFmtId="178" fontId="24" fillId="10" borderId="18" xfId="0" applyNumberFormat="1" applyFont="1" applyFill="1" applyBorder="1">
      <alignment horizontal="center" vertical="center"/>
    </xf>
    <xf numFmtId="179" fontId="24" fillId="10" borderId="7" xfId="0" applyNumberFormat="1" applyFont="1" applyFill="1" applyBorder="1">
      <alignment horizontal="center" vertical="center"/>
    </xf>
    <xf numFmtId="179" fontId="24" fillId="10" borderId="5" xfId="0" applyNumberFormat="1" applyFont="1" applyFill="1" applyBorder="1">
      <alignment horizontal="center" vertical="center"/>
    </xf>
    <xf numFmtId="170" fontId="24" fillId="10" borderId="53" xfId="0" applyNumberFormat="1" applyFont="1" applyFill="1" applyBorder="1">
      <alignment horizontal="center" vertical="center"/>
    </xf>
    <xf numFmtId="170" fontId="24" fillId="10" borderId="18" xfId="0" applyNumberFormat="1" applyFont="1" applyFill="1" applyBorder="1">
      <alignment horizontal="center" vertical="center"/>
    </xf>
    <xf numFmtId="1" fontId="24" fillId="10" borderId="2" xfId="0" applyNumberFormat="1" applyFont="1" applyFill="1" applyBorder="1">
      <alignment horizontal="center" vertical="center"/>
    </xf>
    <xf numFmtId="172" fontId="24" fillId="10" borderId="15" xfId="0" applyNumberFormat="1" applyFont="1" applyFill="1" applyBorder="1">
      <alignment horizontal="center" vertical="center"/>
    </xf>
    <xf numFmtId="172" fontId="24" fillId="10" borderId="61" xfId="0" applyNumberFormat="1" applyFont="1" applyFill="1" applyBorder="1">
      <alignment horizontal="center" vertical="center"/>
    </xf>
    <xf numFmtId="1" fontId="24" fillId="10" borderId="30" xfId="0" applyNumberFormat="1" applyFont="1" applyFill="1" applyBorder="1">
      <alignment horizontal="center" vertical="center"/>
    </xf>
    <xf numFmtId="1" fontId="24" fillId="10" borderId="13" xfId="0" applyNumberFormat="1" applyFont="1" applyFill="1" applyBorder="1">
      <alignment horizontal="center" vertical="center"/>
    </xf>
    <xf numFmtId="178" fontId="24" fillId="10" borderId="30" xfId="0" applyNumberFormat="1" applyFont="1" applyFill="1" applyBorder="1">
      <alignment horizontal="center" vertical="center"/>
    </xf>
    <xf numFmtId="172" fontId="24" fillId="10" borderId="7" xfId="0" applyNumberFormat="1" applyFont="1" applyFill="1" applyBorder="1">
      <alignment horizontal="center" vertical="center"/>
    </xf>
    <xf numFmtId="172" fontId="24" fillId="10" borderId="5" xfId="0" applyNumberFormat="1" applyFont="1" applyFill="1" applyBorder="1">
      <alignment horizontal="center" vertical="center"/>
    </xf>
    <xf numFmtId="1" fontId="24" fillId="10" borderId="1" xfId="0" applyNumberFormat="1" applyFont="1" applyFill="1" applyBorder="1">
      <alignment horizontal="center" vertical="center"/>
    </xf>
    <xf numFmtId="170" fontId="24" fillId="10" borderId="55" xfId="0" applyNumberFormat="1" applyFont="1" applyFill="1" applyBorder="1">
      <alignment horizontal="center" vertical="center"/>
    </xf>
    <xf numFmtId="170" fontId="24" fillId="10" borderId="61" xfId="0" applyNumberFormat="1" applyFont="1" applyFill="1" applyBorder="1">
      <alignment horizontal="center" vertical="center"/>
    </xf>
    <xf numFmtId="170" fontId="24" fillId="10" borderId="135" xfId="0" applyNumberFormat="1" applyFont="1" applyFill="1" applyBorder="1">
      <alignment horizontal="center" vertical="center"/>
    </xf>
    <xf numFmtId="1" fontId="47" fillId="10" borderId="13" xfId="0" applyNumberFormat="1" applyFont="1" applyFill="1" applyBorder="1">
      <alignment horizontal="center" vertical="center"/>
    </xf>
    <xf numFmtId="165" fontId="47" fillId="10" borderId="13" xfId="0" applyNumberFormat="1" applyFont="1" applyFill="1" applyBorder="1">
      <alignment horizontal="center" vertical="center"/>
    </xf>
    <xf numFmtId="2" fontId="47" fillId="10" borderId="13" xfId="0" applyFont="1" applyFill="1" applyBorder="1">
      <alignment horizontal="center" vertical="center"/>
    </xf>
    <xf numFmtId="170" fontId="47" fillId="10" borderId="51" xfId="0" applyNumberFormat="1" applyFont="1" applyFill="1" applyBorder="1">
      <alignment horizontal="center" vertical="center"/>
    </xf>
    <xf numFmtId="170" fontId="47" fillId="10" borderId="84" xfId="0" applyNumberFormat="1" applyFont="1" applyFill="1" applyBorder="1">
      <alignment horizontal="center" vertical="center"/>
    </xf>
    <xf numFmtId="178" fontId="24" fillId="10" borderId="51" xfId="0" applyNumberFormat="1" applyFont="1" applyFill="1" applyBorder="1">
      <alignment horizontal="center" vertical="center"/>
    </xf>
    <xf numFmtId="2" fontId="24" fillId="10" borderId="15" xfId="0" applyFont="1" applyFill="1" applyBorder="1">
      <alignment horizontal="center" vertical="center"/>
    </xf>
    <xf numFmtId="2" fontId="24" fillId="10" borderId="136" xfId="0" applyFont="1" applyFill="1" applyBorder="1">
      <alignment horizontal="center" vertical="center"/>
    </xf>
    <xf numFmtId="1" fontId="24" fillId="10" borderId="18" xfId="0" applyNumberFormat="1" applyFont="1" applyFill="1" applyBorder="1">
      <alignment horizontal="center" vertical="center"/>
    </xf>
    <xf numFmtId="2" fontId="23" fillId="10" borderId="2" xfId="0" applyFont="1" applyFill="1" applyBorder="1" applyAlignment="1">
      <alignment horizontal="right" vertical="center"/>
    </xf>
    <xf numFmtId="2" fontId="23" fillId="10" borderId="0" xfId="0" applyFont="1" applyFill="1" applyAlignment="1">
      <alignment horizontal="right" vertical="center"/>
    </xf>
    <xf numFmtId="178" fontId="24" fillId="10" borderId="101" xfId="0" applyNumberFormat="1" applyFont="1" applyFill="1" applyBorder="1">
      <alignment horizontal="center" vertical="center"/>
    </xf>
    <xf numFmtId="178" fontId="24" fillId="10" borderId="28" xfId="0" applyNumberFormat="1" applyFont="1" applyFill="1" applyBorder="1">
      <alignment horizontal="center" vertical="center"/>
    </xf>
    <xf numFmtId="1" fontId="24" fillId="10" borderId="140" xfId="0" applyNumberFormat="1" applyFont="1" applyFill="1" applyBorder="1">
      <alignment horizontal="center" vertical="center"/>
    </xf>
    <xf numFmtId="1" fontId="24" fillId="10" borderId="113" xfId="0" applyNumberFormat="1" applyFont="1" applyFill="1" applyBorder="1">
      <alignment horizontal="center" vertical="center"/>
    </xf>
    <xf numFmtId="1" fontId="24" fillId="10" borderId="141" xfId="0" applyNumberFormat="1" applyFont="1" applyFill="1" applyBorder="1">
      <alignment horizontal="center" vertical="center"/>
    </xf>
    <xf numFmtId="1" fontId="24" fillId="10" borderId="21" xfId="0" applyNumberFormat="1" applyFont="1" applyFill="1" applyBorder="1">
      <alignment horizontal="center" vertical="center"/>
    </xf>
    <xf numFmtId="1" fontId="24" fillId="10" borderId="142" xfId="0" applyNumberFormat="1" applyFont="1" applyFill="1" applyBorder="1">
      <alignment horizontal="center" vertical="center"/>
    </xf>
    <xf numFmtId="1" fontId="24" fillId="10" borderId="143" xfId="0" applyNumberFormat="1" applyFont="1" applyFill="1" applyBorder="1">
      <alignment horizontal="center" vertical="center"/>
    </xf>
    <xf numFmtId="2" fontId="15" fillId="0" borderId="0" xfId="0" applyFont="1" applyAlignment="1">
      <alignment horizontal="right" vertical="center"/>
    </xf>
    <xf numFmtId="2" fontId="0" fillId="0" borderId="8" xfId="0" applyBorder="1">
      <alignment horizontal="center" vertical="center"/>
    </xf>
    <xf numFmtId="181" fontId="13" fillId="10" borderId="49" xfId="0" applyNumberFormat="1" applyFont="1" applyFill="1" applyBorder="1">
      <alignment horizontal="center" vertical="center"/>
    </xf>
    <xf numFmtId="166" fontId="9" fillId="17" borderId="2" xfId="0" applyNumberFormat="1" applyFont="1" applyFill="1" applyBorder="1">
      <alignment horizontal="center" vertical="center"/>
    </xf>
    <xf numFmtId="165" fontId="24" fillId="10" borderId="28" xfId="0" applyNumberFormat="1" applyFont="1" applyFill="1" applyBorder="1">
      <alignment horizontal="center" vertical="center"/>
    </xf>
    <xf numFmtId="2" fontId="24" fillId="0" borderId="64" xfId="0" applyFont="1" applyBorder="1" applyAlignment="1">
      <alignment horizontal="centerContinuous" vertical="center"/>
    </xf>
    <xf numFmtId="2" fontId="24" fillId="0" borderId="66" xfId="0" applyFont="1" applyBorder="1" applyAlignment="1">
      <alignment horizontal="centerContinuous"/>
    </xf>
    <xf numFmtId="2" fontId="24" fillId="0" borderId="71" xfId="0" applyFont="1" applyBorder="1" applyAlignment="1">
      <alignment horizontal="centerContinuous" vertical="center"/>
    </xf>
    <xf numFmtId="2" fontId="24" fillId="0" borderId="70" xfId="0" applyFont="1" applyBorder="1" applyAlignment="1">
      <alignment horizontal="centerContinuous"/>
    </xf>
    <xf numFmtId="178" fontId="23" fillId="0" borderId="31" xfId="0" applyNumberFormat="1" applyFont="1" applyBorder="1">
      <alignment horizontal="center" vertical="center"/>
    </xf>
    <xf numFmtId="166" fontId="9" fillId="12" borderId="49" xfId="0" applyNumberFormat="1" applyFont="1" applyFill="1" applyBorder="1" applyProtection="1">
      <alignment horizontal="center" vertical="center"/>
      <protection locked="0"/>
    </xf>
    <xf numFmtId="2" fontId="36" fillId="0" borderId="0" xfId="0" applyFont="1" applyAlignment="1">
      <alignment horizontal="left" vertical="center"/>
    </xf>
    <xf numFmtId="2" fontId="43" fillId="0" borderId="0" xfId="0" applyFont="1" applyAlignment="1">
      <alignment horizontal="right" vertical="center"/>
    </xf>
    <xf numFmtId="2" fontId="28" fillId="0" borderId="0" xfId="0" applyFont="1" applyAlignment="1">
      <alignment horizontal="left" vertical="center"/>
    </xf>
    <xf numFmtId="170" fontId="9" fillId="12" borderId="13" xfId="0" applyNumberFormat="1" applyFont="1" applyFill="1" applyBorder="1" applyProtection="1">
      <alignment horizontal="center" vertical="center"/>
      <protection locked="0"/>
    </xf>
    <xf numFmtId="2" fontId="24" fillId="0" borderId="2" xfId="0" applyFont="1" applyBorder="1" applyAlignment="1">
      <alignment horizontal="right" vertical="center"/>
    </xf>
    <xf numFmtId="2" fontId="24" fillId="0" borderId="4" xfId="0" applyFont="1" applyBorder="1" applyAlignment="1">
      <alignment horizontal="right" vertical="center"/>
    </xf>
    <xf numFmtId="2" fontId="0" fillId="0" borderId="102" xfId="0" applyBorder="1">
      <alignment horizontal="center" vertical="center"/>
    </xf>
    <xf numFmtId="2" fontId="0" fillId="0" borderId="45" xfId="0" applyBorder="1">
      <alignment horizontal="center" vertical="center"/>
    </xf>
    <xf numFmtId="170" fontId="23" fillId="16" borderId="125" xfId="0" applyNumberFormat="1" applyFont="1" applyFill="1" applyBorder="1">
      <alignment horizontal="center" vertical="center"/>
    </xf>
    <xf numFmtId="2" fontId="13" fillId="10" borderId="27" xfId="0" applyFont="1" applyFill="1" applyBorder="1" applyAlignment="1">
      <alignment horizontal="right" vertical="center"/>
    </xf>
    <xf numFmtId="170" fontId="24" fillId="10" borderId="50" xfId="0" applyNumberFormat="1" applyFont="1" applyFill="1" applyBorder="1">
      <alignment horizontal="center" vertical="center"/>
    </xf>
    <xf numFmtId="170" fontId="24" fillId="16" borderId="74" xfId="0" applyNumberFormat="1" applyFont="1" applyFill="1" applyBorder="1" applyAlignment="1" applyProtection="1">
      <alignment horizontal="centerContinuous" vertical="center"/>
      <protection locked="0"/>
    </xf>
    <xf numFmtId="165" fontId="24" fillId="10" borderId="1" xfId="0" applyNumberFormat="1" applyFont="1" applyFill="1" applyBorder="1">
      <alignment horizontal="center" vertical="center"/>
    </xf>
    <xf numFmtId="2" fontId="9" fillId="0" borderId="8" xfId="0" applyFont="1" applyBorder="1" applyAlignment="1">
      <alignment horizontal="right" vertical="center"/>
    </xf>
    <xf numFmtId="2" fontId="24" fillId="0" borderId="8" xfId="0" applyFont="1" applyBorder="1" applyAlignment="1">
      <alignment horizontal="right" vertical="center"/>
    </xf>
    <xf numFmtId="1" fontId="8" fillId="0" borderId="0" xfId="4" applyAlignment="1">
      <alignment horizontal="center" vertical="center"/>
    </xf>
    <xf numFmtId="180" fontId="23" fillId="13" borderId="1" xfId="0" applyNumberFormat="1" applyFont="1" applyFill="1" applyBorder="1" applyProtection="1">
      <alignment horizontal="center" vertical="center"/>
      <protection locked="0"/>
    </xf>
    <xf numFmtId="180" fontId="23" fillId="13" borderId="10" xfId="0" applyNumberFormat="1" applyFont="1" applyFill="1" applyBorder="1" applyProtection="1">
      <alignment horizontal="center" vertical="center"/>
      <protection locked="0"/>
    </xf>
    <xf numFmtId="166" fontId="9" fillId="17" borderId="51" xfId="0" applyNumberFormat="1" applyFont="1" applyFill="1" applyBorder="1" applyAlignment="1">
      <alignment horizontal="centerContinuous" vertical="center"/>
    </xf>
    <xf numFmtId="166" fontId="9" fillId="17" borderId="11" xfId="0" applyNumberFormat="1" applyFont="1" applyFill="1" applyBorder="1" applyAlignment="1">
      <alignment horizontal="centerContinuous" vertical="center"/>
    </xf>
    <xf numFmtId="177" fontId="9" fillId="17" borderId="125" xfId="0" applyNumberFormat="1" applyFont="1" applyFill="1" applyBorder="1">
      <alignment horizontal="center" vertical="center"/>
    </xf>
    <xf numFmtId="2" fontId="14" fillId="0" borderId="34" xfId="0" applyFont="1" applyBorder="1" applyAlignment="1">
      <alignment horizontal="right" vertical="center"/>
    </xf>
    <xf numFmtId="2" fontId="13" fillId="0" borderId="23" xfId="0" applyFont="1" applyBorder="1" applyAlignment="1">
      <alignment horizontal="right" vertical="center"/>
    </xf>
    <xf numFmtId="2" fontId="48" fillId="0" borderId="29" xfId="0" applyFont="1" applyBorder="1" applyAlignment="1">
      <alignment horizontal="left" vertical="center"/>
    </xf>
    <xf numFmtId="2" fontId="3" fillId="17" borderId="30" xfId="0" applyFont="1" applyFill="1" applyBorder="1">
      <alignment horizontal="center" vertical="center"/>
    </xf>
    <xf numFmtId="2" fontId="3" fillId="0" borderId="50" xfId="0" applyFont="1" applyBorder="1">
      <alignment horizontal="center" vertical="center"/>
    </xf>
    <xf numFmtId="2" fontId="3" fillId="0" borderId="109" xfId="0" applyFont="1" applyBorder="1">
      <alignment horizontal="center" vertical="center"/>
    </xf>
    <xf numFmtId="2" fontId="3" fillId="0" borderId="141" xfId="0" applyFont="1" applyBorder="1">
      <alignment horizontal="center" vertical="center"/>
    </xf>
    <xf numFmtId="2" fontId="3" fillId="0" borderId="121" xfId="0" applyFont="1" applyBorder="1">
      <alignment horizontal="center" vertical="center"/>
    </xf>
    <xf numFmtId="2" fontId="3" fillId="0" borderId="144" xfId="0" applyFont="1" applyBorder="1">
      <alignment horizontal="center" vertical="center"/>
    </xf>
    <xf numFmtId="2" fontId="3" fillId="0" borderId="145" xfId="0" applyFont="1" applyBorder="1">
      <alignment horizontal="center" vertical="center"/>
    </xf>
    <xf numFmtId="2" fontId="46" fillId="0" borderId="0" xfId="0" applyFont="1" applyAlignment="1">
      <alignment horizontal="right" vertical="center"/>
    </xf>
    <xf numFmtId="10" fontId="0" fillId="0" borderId="0" xfId="3" applyNumberFormat="1" applyFont="1" applyAlignment="1">
      <alignment horizontal="center" vertical="center"/>
    </xf>
    <xf numFmtId="0" fontId="3" fillId="0" borderId="82" xfId="0" quotePrefix="1" applyNumberFormat="1" applyFont="1" applyBorder="1" applyAlignment="1">
      <alignment horizontal="right" vertical="center"/>
    </xf>
    <xf numFmtId="181" fontId="23" fillId="12" borderId="132" xfId="1" applyNumberFormat="1" applyFont="1" applyFill="1" applyBorder="1" applyAlignment="1">
      <alignment horizontal="center" vertical="center"/>
      <protection locked="0"/>
    </xf>
    <xf numFmtId="2" fontId="47" fillId="10" borderId="57" xfId="0" applyFont="1" applyFill="1" applyBorder="1">
      <alignment horizontal="center" vertical="center"/>
    </xf>
    <xf numFmtId="1" fontId="3" fillId="0" borderId="93" xfId="0" applyNumberFormat="1" applyFont="1" applyBorder="1">
      <alignment horizontal="center" vertical="center"/>
    </xf>
    <xf numFmtId="1" fontId="3" fillId="12" borderId="146" xfId="0" applyNumberFormat="1" applyFont="1" applyFill="1" applyBorder="1" applyProtection="1">
      <alignment horizontal="center" vertical="center"/>
      <protection locked="0"/>
    </xf>
    <xf numFmtId="1" fontId="47" fillId="10" borderId="53" xfId="0" applyNumberFormat="1" applyFont="1" applyFill="1" applyBorder="1">
      <alignment horizontal="center" vertical="center"/>
    </xf>
    <xf numFmtId="2" fontId="24" fillId="9" borderId="82" xfId="0" applyFont="1" applyFill="1" applyBorder="1" applyAlignment="1">
      <alignment horizontal="centerContinuous" vertical="center"/>
    </xf>
    <xf numFmtId="2" fontId="3" fillId="9" borderId="50" xfId="0" applyFont="1" applyFill="1" applyBorder="1" applyAlignment="1">
      <alignment horizontal="centerContinuous" vertical="center"/>
    </xf>
    <xf numFmtId="2" fontId="0" fillId="0" borderId="82" xfId="0" applyBorder="1">
      <alignment horizontal="center" vertical="center"/>
    </xf>
    <xf numFmtId="166" fontId="47" fillId="10" borderId="53" xfId="0" applyNumberFormat="1" applyFont="1" applyFill="1" applyBorder="1">
      <alignment horizontal="center" vertical="center"/>
    </xf>
    <xf numFmtId="166" fontId="3" fillId="12" borderId="146" xfId="0" applyNumberFormat="1" applyFont="1" applyFill="1" applyBorder="1" applyProtection="1">
      <alignment horizontal="center" vertical="center"/>
      <protection locked="0"/>
    </xf>
    <xf numFmtId="2" fontId="3" fillId="10" borderId="1" xfId="0" applyFont="1" applyFill="1" applyBorder="1">
      <alignment horizontal="center" vertical="center"/>
    </xf>
    <xf numFmtId="1" fontId="3" fillId="10" borderId="1" xfId="0" applyNumberFormat="1" applyFont="1" applyFill="1" applyBorder="1">
      <alignment horizontal="center" vertical="center"/>
    </xf>
    <xf numFmtId="2" fontId="24" fillId="0" borderId="0" xfId="0" applyFont="1">
      <alignment horizontal="center" vertical="center"/>
    </xf>
    <xf numFmtId="166" fontId="3" fillId="10" borderId="1" xfId="0" applyNumberFormat="1" applyFont="1" applyFill="1" applyBorder="1">
      <alignment horizontal="center" vertical="center"/>
    </xf>
    <xf numFmtId="2" fontId="26" fillId="9" borderId="1" xfId="0" applyFont="1" applyFill="1" applyBorder="1" applyProtection="1">
      <alignment horizontal="center" vertical="center"/>
      <protection locked="0"/>
    </xf>
    <xf numFmtId="166" fontId="26" fillId="9" borderId="1" xfId="0" applyNumberFormat="1" applyFont="1" applyFill="1" applyBorder="1" applyProtection="1">
      <alignment horizontal="center" vertical="center"/>
      <protection locked="0"/>
    </xf>
    <xf numFmtId="1" fontId="26" fillId="9" borderId="1" xfId="0" applyNumberFormat="1" applyFont="1" applyFill="1" applyBorder="1" applyProtection="1">
      <alignment horizontal="center" vertical="center"/>
      <protection locked="0"/>
    </xf>
    <xf numFmtId="49" fontId="3" fillId="10" borderId="1" xfId="0" applyNumberFormat="1" applyFont="1" applyFill="1" applyBorder="1">
      <alignment horizontal="center" vertical="center"/>
    </xf>
    <xf numFmtId="49" fontId="26" fillId="9" borderId="1" xfId="0" applyNumberFormat="1" applyFont="1" applyFill="1" applyBorder="1" applyProtection="1">
      <alignment horizontal="center" vertical="center"/>
      <protection locked="0"/>
    </xf>
    <xf numFmtId="2" fontId="3" fillId="0" borderId="146" xfId="0" applyFont="1" applyBorder="1">
      <alignment horizontal="center" vertical="center"/>
    </xf>
    <xf numFmtId="2" fontId="3" fillId="0" borderId="132" xfId="0" applyFont="1" applyBorder="1">
      <alignment horizontal="center" vertical="center"/>
    </xf>
    <xf numFmtId="2" fontId="3" fillId="0" borderId="65" xfId="0" applyFont="1" applyBorder="1">
      <alignment horizontal="center" vertical="center"/>
    </xf>
    <xf numFmtId="166" fontId="3" fillId="0" borderId="73" xfId="0" applyNumberFormat="1" applyFont="1" applyBorder="1">
      <alignment horizontal="center" vertical="center"/>
    </xf>
    <xf numFmtId="1" fontId="3" fillId="0" borderId="53" xfId="0" applyNumberFormat="1" applyFont="1" applyBorder="1">
      <alignment horizontal="center" vertical="center"/>
    </xf>
    <xf numFmtId="2" fontId="18" fillId="0" borderId="31" xfId="0" applyFont="1" applyBorder="1">
      <alignment horizontal="center" vertical="center"/>
    </xf>
    <xf numFmtId="2" fontId="6" fillId="0" borderId="31" xfId="0" applyFont="1" applyBorder="1">
      <alignment horizontal="center" vertical="center"/>
    </xf>
    <xf numFmtId="180" fontId="13" fillId="10" borderId="1" xfId="0" applyNumberFormat="1" applyFont="1" applyFill="1" applyBorder="1">
      <alignment horizontal="center" vertical="center"/>
    </xf>
    <xf numFmtId="2" fontId="13" fillId="10" borderId="49" xfId="0" applyFont="1" applyFill="1" applyBorder="1">
      <alignment horizontal="center" vertical="center"/>
    </xf>
    <xf numFmtId="2" fontId="21" fillId="0" borderId="0" xfId="0" applyFont="1" applyAlignment="1">
      <alignment horizontal="left" vertical="center"/>
    </xf>
    <xf numFmtId="177" fontId="23" fillId="0" borderId="0" xfId="0" applyNumberFormat="1" applyFont="1">
      <alignment horizontal="center" vertical="center"/>
    </xf>
    <xf numFmtId="2" fontId="47" fillId="0" borderId="0" xfId="0" applyFont="1">
      <alignment horizontal="center" vertical="center"/>
    </xf>
    <xf numFmtId="1" fontId="41" fillId="0" borderId="0" xfId="0" applyNumberFormat="1" applyFont="1">
      <alignment horizontal="center" vertical="center"/>
    </xf>
    <xf numFmtId="1" fontId="41" fillId="0" borderId="28" xfId="0" applyNumberFormat="1" applyFont="1" applyBorder="1">
      <alignment horizontal="center" vertical="center"/>
    </xf>
    <xf numFmtId="2" fontId="20" fillId="0" borderId="2" xfId="0" applyFont="1" applyBorder="1" applyAlignment="1">
      <alignment vertical="center"/>
    </xf>
    <xf numFmtId="2" fontId="20" fillId="0" borderId="28" xfId="0" applyFont="1" applyBorder="1" applyAlignment="1">
      <alignment vertical="center"/>
    </xf>
    <xf numFmtId="2" fontId="23" fillId="2" borderId="1" xfId="0" applyFont="1" applyFill="1" applyBorder="1" applyAlignment="1">
      <alignment horizontal="left" vertical="center"/>
    </xf>
    <xf numFmtId="2" fontId="23" fillId="0" borderId="63" xfId="0" applyFont="1" applyBorder="1" applyAlignment="1">
      <alignment horizontal="right" vertical="center"/>
    </xf>
    <xf numFmtId="2" fontId="23" fillId="0" borderId="4" xfId="0" applyFont="1" applyBorder="1" applyAlignment="1">
      <alignment horizontal="right" vertical="center"/>
    </xf>
    <xf numFmtId="1" fontId="24" fillId="0" borderId="0" xfId="0" applyNumberFormat="1" applyFont="1" applyAlignment="1">
      <alignment horizontal="right" vertical="center"/>
    </xf>
    <xf numFmtId="2" fontId="23" fillId="0" borderId="41" xfId="0" applyFont="1" applyBorder="1">
      <alignment horizontal="center" vertical="center"/>
    </xf>
    <xf numFmtId="1" fontId="24" fillId="0" borderId="0" xfId="0" applyNumberFormat="1" applyFont="1">
      <alignment horizontal="center" vertical="center"/>
    </xf>
    <xf numFmtId="1" fontId="24" fillId="0" borderId="89" xfId="0" applyNumberFormat="1" applyFont="1" applyBorder="1">
      <alignment horizontal="center" vertical="center"/>
    </xf>
    <xf numFmtId="2" fontId="23" fillId="0" borderId="64" xfId="0" applyFont="1" applyBorder="1">
      <alignment horizontal="center" vertical="center"/>
    </xf>
    <xf numFmtId="2" fontId="23" fillId="0" borderId="63" xfId="0" applyFont="1" applyBorder="1">
      <alignment horizontal="center" vertical="center"/>
    </xf>
    <xf numFmtId="2" fontId="23" fillId="0" borderId="66" xfId="0" applyFont="1" applyBorder="1">
      <alignment horizontal="center" vertical="center"/>
    </xf>
    <xf numFmtId="2" fontId="23" fillId="0" borderId="17" xfId="0" applyFont="1" applyBorder="1">
      <alignment horizontal="center" vertical="center"/>
    </xf>
    <xf numFmtId="1" fontId="24" fillId="0" borderId="116" xfId="0" applyNumberFormat="1" applyFont="1" applyBorder="1">
      <alignment horizontal="center" vertical="center"/>
    </xf>
    <xf numFmtId="1" fontId="24" fillId="0" borderId="76" xfId="0" applyNumberFormat="1" applyFont="1" applyBorder="1">
      <alignment horizontal="center" vertical="center"/>
    </xf>
    <xf numFmtId="2" fontId="23" fillId="17" borderId="2" xfId="0" applyFont="1" applyFill="1" applyBorder="1" applyAlignment="1">
      <alignment horizontal="left" vertical="center"/>
    </xf>
    <xf numFmtId="2" fontId="23" fillId="17" borderId="2" xfId="0" applyFont="1" applyFill="1" applyBorder="1">
      <alignment horizontal="center" vertical="center"/>
    </xf>
    <xf numFmtId="2" fontId="31" fillId="17" borderId="2" xfId="0" applyFont="1" applyFill="1" applyBorder="1">
      <alignment horizontal="center" vertical="center"/>
    </xf>
    <xf numFmtId="2" fontId="0" fillId="17" borderId="2" xfId="0" applyFill="1" applyBorder="1">
      <alignment horizontal="center" vertical="center"/>
    </xf>
    <xf numFmtId="2" fontId="29" fillId="0" borderId="54" xfId="0" applyFont="1" applyBorder="1">
      <alignment horizontal="center" vertical="center"/>
    </xf>
    <xf numFmtId="2" fontId="29" fillId="0" borderId="70" xfId="0" applyFont="1" applyBorder="1">
      <alignment horizontal="center" vertical="center"/>
    </xf>
    <xf numFmtId="1" fontId="24" fillId="0" borderId="54" xfId="0" applyNumberFormat="1" applyFont="1" applyBorder="1">
      <alignment horizontal="center" vertical="center"/>
    </xf>
    <xf numFmtId="2" fontId="40" fillId="18" borderId="132" xfId="0" applyFont="1" applyFill="1" applyBorder="1">
      <alignment horizontal="center" vertical="center"/>
    </xf>
    <xf numFmtId="2" fontId="40" fillId="18" borderId="134" xfId="0" applyFont="1" applyFill="1" applyBorder="1">
      <alignment horizontal="center" vertical="center"/>
    </xf>
    <xf numFmtId="2" fontId="46" fillId="0" borderId="0" xfId="0" applyFont="1" applyAlignment="1">
      <alignment horizontal="left" vertical="center"/>
    </xf>
    <xf numFmtId="2" fontId="28" fillId="0" borderId="0" xfId="0" applyFont="1" applyAlignment="1">
      <alignment horizontal="right" vertical="center"/>
    </xf>
    <xf numFmtId="1" fontId="49" fillId="0" borderId="0" xfId="0" applyNumberFormat="1" applyFont="1">
      <alignment horizontal="center" vertical="center"/>
    </xf>
    <xf numFmtId="1" fontId="49" fillId="0" borderId="71" xfId="0" applyNumberFormat="1" applyFont="1" applyBorder="1">
      <alignment horizontal="center" vertical="center"/>
    </xf>
    <xf numFmtId="1" fontId="50" fillId="0" borderId="0" xfId="0" applyNumberFormat="1" applyFont="1">
      <alignment horizontal="center" vertical="center"/>
    </xf>
    <xf numFmtId="1" fontId="28" fillId="0" borderId="0" xfId="0" applyNumberFormat="1" applyFont="1" applyAlignment="1">
      <alignment horizontal="left" vertical="center"/>
    </xf>
    <xf numFmtId="2" fontId="31" fillId="0" borderId="0" xfId="0" quotePrefix="1" applyFont="1">
      <alignment horizontal="center" vertical="center"/>
    </xf>
    <xf numFmtId="2" fontId="0" fillId="0" borderId="23" xfId="0" quotePrefix="1" applyBorder="1">
      <alignment horizontal="center" vertical="center"/>
    </xf>
    <xf numFmtId="2" fontId="51" fillId="0" borderId="64" xfId="0" applyFont="1" applyBorder="1" applyAlignment="1">
      <alignment horizontal="left" vertical="center"/>
    </xf>
    <xf numFmtId="2" fontId="3" fillId="0" borderId="63" xfId="0" applyFont="1" applyBorder="1">
      <alignment horizontal="center" vertical="center"/>
    </xf>
    <xf numFmtId="2" fontId="3" fillId="0" borderId="66" xfId="0" applyFont="1" applyBorder="1">
      <alignment horizontal="center" vertical="center"/>
    </xf>
    <xf numFmtId="175" fontId="3" fillId="16" borderId="147" xfId="0" applyNumberFormat="1" applyFont="1" applyFill="1" applyBorder="1">
      <alignment horizontal="center" vertical="center"/>
    </xf>
    <xf numFmtId="175" fontId="3" fillId="16" borderId="28" xfId="0" applyNumberFormat="1" applyFont="1" applyFill="1" applyBorder="1">
      <alignment horizontal="center" vertical="center"/>
    </xf>
    <xf numFmtId="2" fontId="47" fillId="0" borderId="74" xfId="0" applyFont="1" applyBorder="1">
      <alignment horizontal="center" vertical="center"/>
    </xf>
    <xf numFmtId="2" fontId="3" fillId="8" borderId="11" xfId="0" applyFont="1" applyFill="1" applyBorder="1" applyProtection="1">
      <alignment horizontal="center" vertical="center"/>
      <protection locked="0"/>
    </xf>
    <xf numFmtId="2" fontId="3" fillId="19" borderId="11" xfId="0" applyFont="1" applyFill="1" applyBorder="1" applyProtection="1">
      <alignment horizontal="center" vertical="center"/>
      <protection locked="0"/>
    </xf>
    <xf numFmtId="2" fontId="3" fillId="8" borderId="48" xfId="0" applyFont="1" applyFill="1" applyBorder="1" applyProtection="1">
      <alignment horizontal="center" vertical="center"/>
      <protection locked="0"/>
    </xf>
    <xf numFmtId="1" fontId="9" fillId="18" borderId="2" xfId="0" applyNumberFormat="1" applyFont="1" applyFill="1" applyBorder="1" applyProtection="1">
      <alignment horizontal="center" vertical="center"/>
      <protection locked="0"/>
    </xf>
    <xf numFmtId="2" fontId="13" fillId="10" borderId="148" xfId="0" applyFont="1" applyFill="1" applyBorder="1" applyAlignment="1">
      <alignment horizontal="left" vertical="center"/>
    </xf>
    <xf numFmtId="2" fontId="3" fillId="19" borderId="15" xfId="0" applyFont="1" applyFill="1" applyBorder="1" applyProtection="1">
      <alignment horizontal="center" vertical="center"/>
      <protection locked="0"/>
    </xf>
    <xf numFmtId="2" fontId="9" fillId="0" borderId="149" xfId="0" applyFont="1" applyBorder="1" applyAlignment="1">
      <alignment horizontal="centerContinuous" vertical="center"/>
    </xf>
    <xf numFmtId="2" fontId="9" fillId="0" borderId="66" xfId="0" applyFont="1" applyBorder="1" applyAlignment="1">
      <alignment horizontal="centerContinuous" vertical="center"/>
    </xf>
    <xf numFmtId="2" fontId="9" fillId="0" borderId="64" xfId="0" applyFont="1" applyBorder="1" applyAlignment="1">
      <alignment horizontal="centerContinuous" vertical="center"/>
    </xf>
    <xf numFmtId="2" fontId="3" fillId="0" borderId="150" xfId="0" applyFont="1" applyBorder="1" applyAlignment="1">
      <alignment horizontal="centerContinuous" vertical="center"/>
    </xf>
    <xf numFmtId="2" fontId="0" fillId="0" borderId="88" xfId="0" applyBorder="1">
      <alignment horizontal="center" vertical="center"/>
    </xf>
    <xf numFmtId="2" fontId="9" fillId="0" borderId="88" xfId="0" applyFont="1" applyBorder="1">
      <alignment horizontal="center" vertical="center"/>
    </xf>
    <xf numFmtId="2" fontId="3" fillId="0" borderId="149" xfId="0" applyFont="1" applyBorder="1" applyAlignment="1">
      <alignment horizontal="centerContinuous" vertical="center"/>
    </xf>
    <xf numFmtId="2" fontId="9" fillId="0" borderId="149" xfId="0" applyFont="1" applyBorder="1">
      <alignment horizontal="center" vertical="center"/>
    </xf>
    <xf numFmtId="2" fontId="3" fillId="0" borderId="151" xfId="0" applyFont="1" applyBorder="1" applyAlignment="1">
      <alignment horizontal="centerContinuous" vertical="center"/>
    </xf>
    <xf numFmtId="2" fontId="0" fillId="0" borderId="66" xfId="0" applyBorder="1" applyAlignment="1">
      <alignment horizontal="centerContinuous" vertical="center"/>
    </xf>
    <xf numFmtId="2" fontId="3" fillId="0" borderId="67" xfId="0" applyFont="1" applyBorder="1" applyAlignment="1">
      <alignment horizontal="centerContinuous" vertical="center"/>
    </xf>
    <xf numFmtId="2" fontId="20" fillId="0" borderId="0" xfId="0" applyFont="1">
      <alignment horizontal="center" vertical="center"/>
    </xf>
    <xf numFmtId="1" fontId="10" fillId="0" borderId="0" xfId="3" applyNumberFormat="1" applyFont="1" applyFill="1" applyBorder="1" applyAlignment="1" applyProtection="1">
      <alignment horizontal="left" vertical="center"/>
    </xf>
    <xf numFmtId="2" fontId="52" fillId="0" borderId="39" xfId="0" applyFont="1" applyBorder="1" applyAlignment="1">
      <alignment horizontal="left" vertical="center"/>
    </xf>
    <xf numFmtId="2" fontId="52" fillId="0" borderId="0" xfId="0" applyFont="1" applyAlignment="1">
      <alignment horizontal="left" vertical="center"/>
    </xf>
    <xf numFmtId="2" fontId="52" fillId="0" borderId="44" xfId="0" applyFont="1" applyBorder="1" applyAlignment="1">
      <alignment horizontal="left" vertical="center"/>
    </xf>
    <xf numFmtId="1" fontId="8" fillId="0" borderId="33" xfId="4" applyBorder="1">
      <alignment horizontal="left" vertical="center"/>
    </xf>
    <xf numFmtId="2" fontId="23" fillId="19" borderId="77" xfId="0" applyFont="1" applyFill="1" applyBorder="1">
      <alignment horizontal="center" vertical="center"/>
    </xf>
    <xf numFmtId="2" fontId="23" fillId="19" borderId="76" xfId="0" applyFont="1" applyFill="1" applyBorder="1">
      <alignment horizontal="center" vertical="center"/>
    </xf>
    <xf numFmtId="0" fontId="9" fillId="10" borderId="2" xfId="0" applyNumberFormat="1" applyFont="1" applyFill="1" applyBorder="1" applyAlignment="1">
      <alignment horizontal="left" vertical="center"/>
    </xf>
    <xf numFmtId="178" fontId="10" fillId="16" borderId="1" xfId="1" applyNumberFormat="1" applyFont="1" applyFill="1" applyProtection="1">
      <alignment horizontal="left" vertical="center"/>
    </xf>
    <xf numFmtId="2" fontId="53" fillId="0" borderId="39" xfId="0" applyFont="1" applyBorder="1" applyAlignment="1">
      <alignment horizontal="left" vertical="center"/>
    </xf>
    <xf numFmtId="2" fontId="53" fillId="0" borderId="40" xfId="0" applyFont="1" applyBorder="1" applyAlignment="1">
      <alignment horizontal="left" vertical="center"/>
    </xf>
    <xf numFmtId="2" fontId="53" fillId="0" borderId="0" xfId="0" applyFont="1" applyAlignment="1">
      <alignment horizontal="left" vertical="center"/>
    </xf>
    <xf numFmtId="2" fontId="53" fillId="0" borderId="42" xfId="0" applyFont="1" applyBorder="1" applyAlignment="1">
      <alignment horizontal="left" vertical="center"/>
    </xf>
    <xf numFmtId="2" fontId="53" fillId="0" borderId="44" xfId="0" applyFont="1" applyBorder="1" applyAlignment="1">
      <alignment horizontal="left" vertical="center"/>
    </xf>
    <xf numFmtId="2" fontId="53" fillId="0" borderId="45" xfId="0" applyFont="1" applyBorder="1" applyAlignment="1">
      <alignment horizontal="left" vertical="center"/>
    </xf>
    <xf numFmtId="1" fontId="23" fillId="10" borderId="1" xfId="0" applyNumberFormat="1" applyFont="1" applyFill="1" applyBorder="1">
      <alignment horizontal="center" vertical="center"/>
    </xf>
    <xf numFmtId="2" fontId="54" fillId="20" borderId="152" xfId="0" applyFont="1" applyFill="1" applyBorder="1">
      <alignment horizontal="center" vertical="center"/>
    </xf>
    <xf numFmtId="2" fontId="9" fillId="0" borderId="51" xfId="0" applyFont="1" applyBorder="1">
      <alignment horizontal="center" vertical="center"/>
    </xf>
    <xf numFmtId="2" fontId="22" fillId="0" borderId="0" xfId="0" applyFont="1" applyAlignment="1">
      <alignment horizontal="right" vertical="center"/>
    </xf>
    <xf numFmtId="2" fontId="38" fillId="0" borderId="23" xfId="0" applyFont="1" applyBorder="1" applyAlignment="1">
      <alignment horizontal="right" vertical="center"/>
    </xf>
    <xf numFmtId="2" fontId="3" fillId="15" borderId="4" xfId="0" applyFont="1" applyFill="1" applyBorder="1">
      <alignment horizontal="center" vertical="center"/>
    </xf>
    <xf numFmtId="2" fontId="3" fillId="15" borderId="71" xfId="0" applyFont="1" applyFill="1" applyBorder="1">
      <alignment horizontal="center" vertical="center"/>
    </xf>
    <xf numFmtId="2" fontId="3" fillId="15" borderId="80" xfId="0" applyFont="1" applyFill="1" applyBorder="1">
      <alignment horizontal="center" vertical="center"/>
    </xf>
    <xf numFmtId="2" fontId="3" fillId="15" borderId="27" xfId="0" applyFont="1" applyFill="1" applyBorder="1">
      <alignment horizontal="center" vertical="center"/>
    </xf>
    <xf numFmtId="2" fontId="3" fillId="15" borderId="78" xfId="0" applyFont="1" applyFill="1" applyBorder="1">
      <alignment horizontal="center" vertical="center"/>
    </xf>
    <xf numFmtId="2" fontId="9" fillId="15" borderId="76" xfId="0" applyFont="1" applyFill="1" applyBorder="1">
      <alignment horizontal="center" vertical="center"/>
    </xf>
    <xf numFmtId="2" fontId="56" fillId="0" borderId="0" xfId="0" applyFont="1" applyAlignment="1" applyProtection="1">
      <alignment horizontal="left" vertical="center"/>
      <protection locked="0"/>
    </xf>
    <xf numFmtId="2" fontId="3" fillId="15" borderId="26" xfId="0" applyFont="1" applyFill="1" applyBorder="1" applyAlignment="1">
      <alignment horizontal="right" vertical="center"/>
    </xf>
    <xf numFmtId="2" fontId="9" fillId="17" borderId="125" xfId="0" applyFont="1" applyFill="1" applyBorder="1">
      <alignment horizontal="center" vertical="center"/>
    </xf>
    <xf numFmtId="2" fontId="9" fillId="17" borderId="9" xfId="0" applyFont="1" applyFill="1" applyBorder="1">
      <alignment horizontal="center" vertical="center"/>
    </xf>
    <xf numFmtId="2" fontId="10" fillId="1" borderId="51" xfId="0" applyFont="1" applyFill="1" applyBorder="1" applyAlignment="1">
      <alignment vertical="center"/>
    </xf>
    <xf numFmtId="164" fontId="9" fillId="17" borderId="9" xfId="0" applyNumberFormat="1" applyFont="1" applyFill="1" applyBorder="1">
      <alignment horizontal="center" vertical="center"/>
    </xf>
    <xf numFmtId="2" fontId="24" fillId="10" borderId="73" xfId="0" applyFont="1" applyFill="1" applyBorder="1">
      <alignment horizontal="center" vertical="center"/>
    </xf>
    <xf numFmtId="2" fontId="9" fillId="17" borderId="128" xfId="0" applyFont="1" applyFill="1" applyBorder="1">
      <alignment horizontal="center" vertical="center"/>
    </xf>
    <xf numFmtId="2" fontId="9" fillId="17" borderId="74" xfId="0" applyFont="1" applyFill="1" applyBorder="1">
      <alignment horizontal="center" vertical="center"/>
    </xf>
    <xf numFmtId="165" fontId="9" fillId="17" borderId="74" xfId="0" applyNumberFormat="1" applyFont="1" applyFill="1" applyBorder="1">
      <alignment horizontal="center" vertical="center"/>
    </xf>
    <xf numFmtId="2" fontId="47" fillId="0" borderId="27" xfId="0" applyFont="1" applyBorder="1">
      <alignment horizontal="center" vertical="center"/>
    </xf>
    <xf numFmtId="184" fontId="9" fillId="10" borderId="26" xfId="0" applyNumberFormat="1" applyFont="1" applyFill="1" applyBorder="1">
      <alignment horizontal="center" vertical="center"/>
    </xf>
    <xf numFmtId="168" fontId="57" fillId="0" borderId="71" xfId="0" applyNumberFormat="1" applyFont="1" applyBorder="1">
      <alignment horizontal="center" vertical="center"/>
    </xf>
    <xf numFmtId="168" fontId="57" fillId="0" borderId="5" xfId="0" applyNumberFormat="1" applyFont="1" applyBorder="1">
      <alignment horizontal="center" vertical="center"/>
    </xf>
    <xf numFmtId="184" fontId="9" fillId="10" borderId="99" xfId="0" applyNumberFormat="1" applyFont="1" applyFill="1" applyBorder="1">
      <alignment horizontal="center" vertical="center"/>
    </xf>
    <xf numFmtId="168" fontId="57" fillId="0" borderId="57" xfId="0" applyNumberFormat="1" applyFont="1" applyBorder="1">
      <alignment horizontal="center" vertical="center"/>
    </xf>
    <xf numFmtId="184" fontId="9" fillId="10" borderId="85" xfId="0" applyNumberFormat="1" applyFont="1" applyFill="1" applyBorder="1">
      <alignment horizontal="center" vertical="center"/>
    </xf>
    <xf numFmtId="2" fontId="58" fillId="0" borderId="64" xfId="0" applyFont="1" applyBorder="1">
      <alignment horizontal="center" vertical="center"/>
    </xf>
    <xf numFmtId="2" fontId="58" fillId="0" borderId="151" xfId="0" applyFont="1" applyBorder="1">
      <alignment horizontal="center" vertical="center"/>
    </xf>
    <xf numFmtId="2" fontId="58" fillId="0" borderId="153" xfId="0" applyFont="1" applyBorder="1">
      <alignment horizontal="center" vertical="center"/>
    </xf>
    <xf numFmtId="2" fontId="13" fillId="0" borderId="8" xfId="0" applyFont="1" applyBorder="1" applyAlignment="1">
      <alignment horizontal="right" vertical="center"/>
    </xf>
    <xf numFmtId="178" fontId="13" fillId="10" borderId="1" xfId="0" applyNumberFormat="1" applyFont="1" applyFill="1" applyBorder="1" applyAlignment="1">
      <alignment horizontal="left" vertical="center"/>
    </xf>
    <xf numFmtId="170" fontId="9" fillId="12" borderId="13" xfId="0" applyNumberFormat="1" applyFont="1" applyFill="1" applyBorder="1" applyAlignment="1" applyProtection="1">
      <alignment horizontal="left" vertical="center"/>
      <protection locked="0"/>
    </xf>
    <xf numFmtId="2" fontId="9" fillId="0" borderId="21" xfId="0" applyFont="1" applyBorder="1">
      <alignment horizontal="center" vertical="center"/>
    </xf>
    <xf numFmtId="2" fontId="0" fillId="0" borderId="7" xfId="0" applyBorder="1">
      <alignment horizontal="center" vertical="center"/>
    </xf>
    <xf numFmtId="2" fontId="3" fillId="15" borderId="75" xfId="0" applyFont="1" applyFill="1" applyBorder="1">
      <alignment horizontal="center" vertical="center"/>
    </xf>
    <xf numFmtId="1" fontId="23" fillId="10" borderId="30" xfId="0" applyNumberFormat="1" applyFont="1" applyFill="1" applyBorder="1">
      <alignment horizontal="center" vertical="center"/>
    </xf>
    <xf numFmtId="2" fontId="13" fillId="0" borderId="0" xfId="0" applyFont="1" applyAlignment="1"/>
    <xf numFmtId="2" fontId="59" fillId="0" borderId="0" xfId="0" applyFont="1" applyAlignment="1" applyProtection="1">
      <alignment horizontal="left" vertical="center"/>
      <protection locked="0"/>
    </xf>
    <xf numFmtId="49" fontId="23" fillId="21" borderId="2" xfId="0" applyNumberFormat="1" applyFont="1" applyFill="1" applyBorder="1" applyAlignment="1">
      <alignment horizontal="left" vertical="center"/>
    </xf>
    <xf numFmtId="178" fontId="9" fillId="9" borderId="1" xfId="0" applyNumberFormat="1" applyFont="1" applyFill="1" applyBorder="1" applyAlignment="1" applyProtection="1">
      <alignment horizontal="left" vertical="center"/>
      <protection locked="0"/>
    </xf>
    <xf numFmtId="0" fontId="9" fillId="0" borderId="2" xfId="0" applyNumberFormat="1" applyFont="1" applyBorder="1" applyAlignment="1">
      <alignment horizontal="left" vertical="center"/>
    </xf>
    <xf numFmtId="187" fontId="3" fillId="16" borderId="147" xfId="0" applyNumberFormat="1" applyFont="1" applyFill="1" applyBorder="1">
      <alignment horizontal="center" vertical="center"/>
    </xf>
    <xf numFmtId="187" fontId="3" fillId="16" borderId="1" xfId="0" applyNumberFormat="1" applyFont="1" applyFill="1" applyBorder="1">
      <alignment horizontal="center" vertical="center"/>
    </xf>
    <xf numFmtId="2" fontId="10" fillId="0" borderId="80" xfId="0" applyFont="1" applyBorder="1">
      <alignment horizontal="center" vertical="center"/>
    </xf>
    <xf numFmtId="15" fontId="0" fillId="0" borderId="0" xfId="0" applyNumberFormat="1">
      <alignment horizontal="center" vertical="center"/>
    </xf>
    <xf numFmtId="166" fontId="51" fillId="0" borderId="1" xfId="0" applyNumberFormat="1" applyFont="1" applyBorder="1">
      <alignment horizontal="center" vertical="center"/>
    </xf>
    <xf numFmtId="166" fontId="51" fillId="0" borderId="51" xfId="0" applyNumberFormat="1" applyFont="1" applyBorder="1">
      <alignment horizontal="center" vertical="center"/>
    </xf>
    <xf numFmtId="166" fontId="51" fillId="0" borderId="74" xfId="0" applyNumberFormat="1" applyFont="1" applyBorder="1">
      <alignment horizontal="center" vertical="center"/>
    </xf>
    <xf numFmtId="166" fontId="51" fillId="0" borderId="134" xfId="0" applyNumberFormat="1" applyFont="1" applyBorder="1">
      <alignment horizontal="center" vertical="center"/>
    </xf>
    <xf numFmtId="2" fontId="9" fillId="0" borderId="97" xfId="0" applyFont="1" applyBorder="1">
      <alignment horizontal="center" vertical="center"/>
    </xf>
    <xf numFmtId="0" fontId="20" fillId="0" borderId="2" xfId="0" applyNumberFormat="1" applyFont="1" applyBorder="1">
      <alignment horizontal="center" vertical="center"/>
    </xf>
    <xf numFmtId="14" fontId="20" fillId="0" borderId="2" xfId="0" applyNumberFormat="1" applyFont="1" applyBorder="1" applyAlignment="1">
      <alignment horizontal="left" vertical="center"/>
    </xf>
    <xf numFmtId="9" fontId="3" fillId="0" borderId="21" xfId="3" applyFont="1" applyBorder="1" applyAlignment="1">
      <alignment horizontal="center" vertical="center"/>
    </xf>
    <xf numFmtId="9" fontId="3" fillId="0" borderId="25" xfId="3" applyFont="1" applyBorder="1" applyAlignment="1">
      <alignment horizontal="center" vertical="center"/>
    </xf>
    <xf numFmtId="9" fontId="3" fillId="0" borderId="49" xfId="3" applyFont="1" applyBorder="1" applyAlignment="1">
      <alignment horizontal="center" vertical="center"/>
    </xf>
    <xf numFmtId="14" fontId="23" fillId="21" borderId="2" xfId="0" applyNumberFormat="1" applyFont="1" applyFill="1" applyBorder="1" applyAlignment="1">
      <alignment horizontal="left" vertical="center"/>
    </xf>
    <xf numFmtId="49" fontId="23" fillId="21" borderId="2" xfId="0" applyNumberFormat="1" applyFont="1" applyFill="1" applyBorder="1">
      <alignment horizontal="center" vertical="center"/>
    </xf>
    <xf numFmtId="169" fontId="23" fillId="21" borderId="2" xfId="0" applyNumberFormat="1" applyFont="1" applyFill="1" applyBorder="1" applyAlignment="1">
      <alignment horizontal="left" vertical="center"/>
    </xf>
    <xf numFmtId="1" fontId="23" fillId="21" borderId="2" xfId="0" applyNumberFormat="1" applyFont="1" applyFill="1" applyBorder="1">
      <alignment horizontal="center" vertical="center"/>
    </xf>
    <xf numFmtId="170" fontId="23" fillId="21" borderId="2" xfId="0" applyNumberFormat="1" applyFont="1" applyFill="1" applyBorder="1">
      <alignment horizontal="center" vertical="center"/>
    </xf>
    <xf numFmtId="2" fontId="23" fillId="21" borderId="2" xfId="0" applyFont="1" applyFill="1" applyBorder="1">
      <alignment horizontal="center" vertical="center"/>
    </xf>
    <xf numFmtId="166" fontId="23" fillId="21" borderId="2" xfId="0" applyNumberFormat="1" applyFont="1" applyFill="1" applyBorder="1">
      <alignment horizontal="center" vertical="center"/>
    </xf>
    <xf numFmtId="178" fontId="23" fillId="21" borderId="2" xfId="0" applyNumberFormat="1" applyFont="1" applyFill="1" applyBorder="1">
      <alignment horizontal="center" vertical="center"/>
    </xf>
    <xf numFmtId="172" fontId="23" fillId="21" borderId="2" xfId="0" applyNumberFormat="1" applyFont="1" applyFill="1" applyBorder="1">
      <alignment horizontal="center" vertical="center"/>
    </xf>
    <xf numFmtId="165" fontId="23" fillId="21" borderId="2" xfId="0" applyNumberFormat="1" applyFont="1" applyFill="1" applyBorder="1">
      <alignment horizontal="center" vertical="center"/>
    </xf>
    <xf numFmtId="186" fontId="23" fillId="21" borderId="2" xfId="0" applyNumberFormat="1" applyFont="1" applyFill="1" applyBorder="1">
      <alignment horizontal="center" vertical="center"/>
    </xf>
    <xf numFmtId="184" fontId="23" fillId="21" borderId="2" xfId="3" applyNumberFormat="1" applyFont="1" applyFill="1" applyBorder="1" applyAlignment="1" applyProtection="1">
      <alignment horizontal="center" vertical="center"/>
    </xf>
    <xf numFmtId="178" fontId="23" fillId="21" borderId="2" xfId="0" applyNumberFormat="1" applyFont="1" applyFill="1" applyBorder="1" applyAlignment="1">
      <alignment horizontal="left" vertical="center"/>
    </xf>
    <xf numFmtId="178" fontId="23" fillId="0" borderId="0" xfId="0" applyNumberFormat="1" applyFont="1" applyAlignment="1">
      <alignment horizontal="left"/>
    </xf>
    <xf numFmtId="10" fontId="23" fillId="21" borderId="2" xfId="3" applyNumberFormat="1" applyFont="1" applyFill="1" applyBorder="1" applyAlignment="1" applyProtection="1">
      <alignment horizontal="left" vertical="center"/>
    </xf>
    <xf numFmtId="180" fontId="23" fillId="21" borderId="2" xfId="0" applyNumberFormat="1" applyFont="1" applyFill="1" applyBorder="1" applyAlignment="1">
      <alignment horizontal="left" vertical="center"/>
    </xf>
    <xf numFmtId="181" fontId="23" fillId="21" borderId="2" xfId="0" applyNumberFormat="1" applyFont="1" applyFill="1" applyBorder="1" applyAlignment="1">
      <alignment horizontal="left" vertical="center"/>
    </xf>
    <xf numFmtId="181" fontId="23" fillId="21" borderId="2" xfId="0" applyNumberFormat="1" applyFont="1" applyFill="1" applyBorder="1">
      <alignment horizontal="center" vertical="center"/>
    </xf>
    <xf numFmtId="180" fontId="23" fillId="21" borderId="2" xfId="0" applyNumberFormat="1" applyFont="1" applyFill="1" applyBorder="1">
      <alignment horizontal="center" vertical="center"/>
    </xf>
    <xf numFmtId="170" fontId="9" fillId="0" borderId="2" xfId="0" applyNumberFormat="1" applyFont="1" applyBorder="1" applyAlignment="1">
      <alignment horizontal="left" vertical="center"/>
    </xf>
    <xf numFmtId="2" fontId="23" fillId="0" borderId="0" xfId="0" applyFont="1" applyAlignment="1">
      <alignment vertical="center"/>
    </xf>
    <xf numFmtId="2" fontId="23" fillId="0" borderId="0" xfId="0" quotePrefix="1" applyFont="1" applyAlignment="1">
      <alignment vertical="center"/>
    </xf>
    <xf numFmtId="178" fontId="9" fillId="9" borderId="13" xfId="0" applyNumberFormat="1" applyFont="1" applyFill="1" applyBorder="1" applyAlignment="1" applyProtection="1">
      <alignment horizontal="left" vertical="center"/>
      <protection locked="0"/>
    </xf>
    <xf numFmtId="0" fontId="9" fillId="9" borderId="13" xfId="0" applyNumberFormat="1" applyFont="1" applyFill="1" applyBorder="1" applyAlignment="1" applyProtection="1">
      <alignment horizontal="left" vertical="center"/>
      <protection locked="0"/>
    </xf>
    <xf numFmtId="188" fontId="23" fillId="21" borderId="2" xfId="0" applyNumberFormat="1" applyFont="1" applyFill="1" applyBorder="1" applyAlignment="1">
      <alignment horizontal="left" vertical="center"/>
    </xf>
    <xf numFmtId="188" fontId="9" fillId="9" borderId="13" xfId="0" quotePrefix="1" applyNumberFormat="1" applyFont="1" applyFill="1" applyBorder="1" applyAlignment="1" applyProtection="1">
      <alignment horizontal="left" vertical="center"/>
      <protection locked="0"/>
    </xf>
    <xf numFmtId="188" fontId="9" fillId="10" borderId="2" xfId="0" applyNumberFormat="1" applyFont="1" applyFill="1" applyBorder="1" applyAlignment="1">
      <alignment horizontal="left" vertical="center"/>
    </xf>
    <xf numFmtId="188" fontId="9" fillId="9" borderId="1" xfId="0" quotePrefix="1" applyNumberFormat="1" applyFont="1" applyFill="1" applyBorder="1" applyAlignment="1" applyProtection="1">
      <alignment horizontal="left" vertical="center"/>
      <protection locked="0"/>
    </xf>
    <xf numFmtId="178" fontId="13" fillId="10" borderId="49" xfId="0" applyNumberFormat="1" applyFont="1" applyFill="1" applyBorder="1">
      <alignment horizontal="center" vertical="center"/>
    </xf>
    <xf numFmtId="0" fontId="23" fillId="21" borderId="2" xfId="0" applyNumberFormat="1" applyFont="1" applyFill="1" applyBorder="1" applyAlignment="1">
      <alignment horizontal="left" vertical="center"/>
    </xf>
    <xf numFmtId="169" fontId="9" fillId="0" borderId="2" xfId="0" applyNumberFormat="1" applyFont="1" applyBorder="1" applyAlignment="1">
      <alignment horizontal="left" vertical="center"/>
    </xf>
    <xf numFmtId="2" fontId="9" fillId="8" borderId="19" xfId="0" applyFont="1" applyFill="1" applyBorder="1" applyProtection="1">
      <alignment horizontal="center" vertical="center"/>
      <protection locked="0"/>
    </xf>
    <xf numFmtId="2" fontId="9" fillId="15" borderId="27" xfId="0" applyFont="1" applyFill="1" applyBorder="1" applyAlignment="1">
      <alignment horizontal="right" vertical="center"/>
    </xf>
    <xf numFmtId="0" fontId="3" fillId="8" borderId="75" xfId="0" applyNumberFormat="1" applyFont="1" applyFill="1" applyBorder="1" applyProtection="1">
      <alignment horizontal="center" vertical="center"/>
      <protection locked="0"/>
    </xf>
    <xf numFmtId="178" fontId="9" fillId="8" borderId="1" xfId="1" applyNumberFormat="1" applyFill="1">
      <alignment horizontal="left" vertical="center"/>
      <protection locked="0"/>
    </xf>
    <xf numFmtId="178" fontId="60" fillId="0" borderId="2" xfId="0" applyNumberFormat="1" applyFont="1" applyBorder="1">
      <alignment horizontal="center" vertical="center"/>
    </xf>
    <xf numFmtId="9" fontId="3" fillId="0" borderId="25" xfId="0" applyNumberFormat="1" applyFont="1" applyBorder="1">
      <alignment horizontal="center" vertical="center"/>
    </xf>
    <xf numFmtId="9" fontId="3" fillId="0" borderId="50" xfId="0" applyNumberFormat="1" applyFont="1" applyBorder="1">
      <alignment horizontal="center" vertical="center"/>
    </xf>
    <xf numFmtId="9" fontId="3" fillId="0" borderId="49" xfId="0" applyNumberFormat="1" applyFont="1" applyBorder="1">
      <alignment horizontal="center" vertical="center"/>
    </xf>
    <xf numFmtId="2" fontId="13" fillId="0" borderId="102" xfId="0" applyFont="1" applyBorder="1" applyAlignment="1">
      <alignment horizontal="left" vertical="center"/>
    </xf>
    <xf numFmtId="173" fontId="9" fillId="0" borderId="28" xfId="0" applyNumberFormat="1" applyFont="1" applyBorder="1">
      <alignment horizontal="center" vertical="center"/>
    </xf>
    <xf numFmtId="185" fontId="10" fillId="0" borderId="159" xfId="0" applyNumberFormat="1" applyFont="1" applyBorder="1" applyAlignment="1">
      <alignment horizontal="left" vertical="center"/>
    </xf>
    <xf numFmtId="2" fontId="9" fillId="0" borderId="125" xfId="0" applyFont="1" applyBorder="1">
      <alignment horizontal="center" vertical="center"/>
    </xf>
    <xf numFmtId="166" fontId="31" fillId="0" borderId="0" xfId="0" applyNumberFormat="1" applyFont="1">
      <alignment horizontal="center" vertical="center"/>
    </xf>
    <xf numFmtId="4" fontId="9" fillId="0" borderId="21" xfId="0" applyNumberFormat="1" applyFont="1" applyBorder="1">
      <alignment horizontal="center" vertical="center"/>
    </xf>
    <xf numFmtId="177" fontId="9" fillId="0" borderId="1" xfId="0" applyNumberFormat="1" applyFont="1" applyBorder="1">
      <alignment horizontal="center" vertical="center"/>
    </xf>
    <xf numFmtId="177" fontId="9" fillId="0" borderId="74" xfId="0" applyNumberFormat="1" applyFont="1" applyBorder="1">
      <alignment horizontal="center" vertical="center"/>
    </xf>
    <xf numFmtId="177" fontId="9" fillId="0" borderId="49" xfId="0" applyNumberFormat="1" applyFont="1" applyBorder="1">
      <alignment horizontal="center" vertical="center"/>
    </xf>
    <xf numFmtId="177" fontId="9" fillId="0" borderId="13" xfId="0" applyNumberFormat="1" applyFont="1" applyBorder="1">
      <alignment horizontal="center" vertical="center"/>
    </xf>
    <xf numFmtId="177" fontId="24" fillId="10" borderId="13" xfId="0" applyNumberFormat="1" applyFont="1" applyFill="1" applyBorder="1">
      <alignment horizontal="center" vertical="center"/>
    </xf>
    <xf numFmtId="177" fontId="9" fillId="17" borderId="132" xfId="0" applyNumberFormat="1" applyFont="1" applyFill="1" applyBorder="1">
      <alignment horizontal="center" vertical="center"/>
    </xf>
    <xf numFmtId="177" fontId="9" fillId="17" borderId="134" xfId="0" applyNumberFormat="1" applyFont="1" applyFill="1" applyBorder="1">
      <alignment horizontal="center" vertical="center"/>
    </xf>
    <xf numFmtId="177" fontId="24" fillId="10" borderId="74" xfId="0" applyNumberFormat="1" applyFont="1" applyFill="1" applyBorder="1">
      <alignment horizontal="center" vertical="center"/>
    </xf>
    <xf numFmtId="177" fontId="9" fillId="17" borderId="65" xfId="0" applyNumberFormat="1" applyFont="1" applyFill="1" applyBorder="1">
      <alignment horizontal="center" vertical="center"/>
    </xf>
    <xf numFmtId="177" fontId="9" fillId="17" borderId="10" xfId="0" applyNumberFormat="1" applyFont="1" applyFill="1" applyBorder="1">
      <alignment horizontal="center" vertical="center"/>
    </xf>
    <xf numFmtId="177" fontId="9" fillId="17" borderId="133" xfId="0" applyNumberFormat="1" applyFont="1" applyFill="1" applyBorder="1">
      <alignment horizontal="center" vertical="center"/>
    </xf>
    <xf numFmtId="177" fontId="9" fillId="17" borderId="86" xfId="0" applyNumberFormat="1" applyFont="1" applyFill="1" applyBorder="1">
      <alignment horizontal="center" vertical="center"/>
    </xf>
    <xf numFmtId="177" fontId="9" fillId="17" borderId="17" xfId="0" applyNumberFormat="1" applyFont="1" applyFill="1" applyBorder="1">
      <alignment horizontal="center" vertical="center"/>
    </xf>
    <xf numFmtId="177" fontId="23" fillId="21" borderId="2" xfId="0" applyNumberFormat="1" applyFont="1" applyFill="1" applyBorder="1">
      <alignment horizontal="center" vertical="center"/>
    </xf>
    <xf numFmtId="1" fontId="12" fillId="0" borderId="0" xfId="0" applyNumberFormat="1" applyFont="1">
      <alignment horizontal="center" vertical="center"/>
    </xf>
    <xf numFmtId="2" fontId="12" fillId="0" borderId="0" xfId="2" applyFont="1" applyAlignment="1">
      <alignment horizontal="center" vertical="center"/>
    </xf>
    <xf numFmtId="1" fontId="9" fillId="12" borderId="49" xfId="1" applyFill="1" applyBorder="1">
      <alignment horizontal="left" vertical="center"/>
      <protection locked="0"/>
    </xf>
    <xf numFmtId="49" fontId="9" fillId="21" borderId="2" xfId="0" applyNumberFormat="1" applyFont="1" applyFill="1" applyBorder="1">
      <alignment horizontal="center" vertical="center"/>
    </xf>
    <xf numFmtId="2" fontId="9" fillId="0" borderId="154" xfId="0" applyFont="1" applyBorder="1">
      <alignment horizontal="center" vertical="center"/>
    </xf>
    <xf numFmtId="2" fontId="0" fillId="0" borderId="125" xfId="0" applyBorder="1">
      <alignment horizontal="center" vertical="center"/>
    </xf>
    <xf numFmtId="1" fontId="23" fillId="8" borderId="2" xfId="0" applyNumberFormat="1" applyFont="1" applyFill="1" applyBorder="1" applyProtection="1">
      <alignment horizontal="center" vertical="center"/>
      <protection locked="0"/>
    </xf>
    <xf numFmtId="1" fontId="23" fillId="0" borderId="18" xfId="0" applyNumberFormat="1" applyFont="1" applyBorder="1" applyProtection="1">
      <alignment horizontal="center" vertical="center"/>
      <protection locked="0"/>
    </xf>
    <xf numFmtId="1" fontId="23" fillId="8" borderId="136" xfId="0" applyNumberFormat="1" applyFont="1" applyFill="1" applyBorder="1" applyProtection="1">
      <alignment horizontal="center" vertical="center"/>
      <protection locked="0"/>
    </xf>
    <xf numFmtId="1" fontId="23" fillId="8" borderId="159" xfId="0" applyNumberFormat="1" applyFont="1" applyFill="1" applyBorder="1" applyProtection="1">
      <alignment horizontal="center" vertical="center"/>
      <protection locked="0"/>
    </xf>
    <xf numFmtId="1" fontId="9" fillId="0" borderId="51" xfId="0" applyNumberFormat="1" applyFont="1" applyBorder="1">
      <alignment horizontal="center" vertical="center"/>
    </xf>
    <xf numFmtId="2" fontId="9" fillId="0" borderId="160" xfId="0" applyFont="1" applyBorder="1">
      <alignment horizontal="center" vertical="center"/>
    </xf>
    <xf numFmtId="1" fontId="9" fillId="0" borderId="154" xfId="0" applyNumberFormat="1" applyFont="1" applyBorder="1">
      <alignment horizontal="center" vertical="center"/>
    </xf>
    <xf numFmtId="184" fontId="9" fillId="0" borderId="134" xfId="3" applyNumberFormat="1" applyFont="1" applyBorder="1" applyAlignment="1">
      <alignment horizontal="center" vertical="center"/>
    </xf>
    <xf numFmtId="1" fontId="9" fillId="0" borderId="62" xfId="0" applyNumberFormat="1" applyFont="1" applyBorder="1">
      <alignment horizontal="center" vertical="center"/>
    </xf>
    <xf numFmtId="1" fontId="9" fillId="0" borderId="156" xfId="0" applyNumberFormat="1" applyFont="1" applyBorder="1">
      <alignment horizontal="center" vertical="center"/>
    </xf>
    <xf numFmtId="184" fontId="9" fillId="0" borderId="65" xfId="3" applyNumberFormat="1" applyFont="1" applyBorder="1" applyAlignment="1">
      <alignment horizontal="center" vertical="center"/>
    </xf>
    <xf numFmtId="2" fontId="9" fillId="0" borderId="75" xfId="0" applyFont="1" applyBorder="1">
      <alignment horizontal="center" vertical="center"/>
    </xf>
    <xf numFmtId="1" fontId="9" fillId="0" borderId="107" xfId="0" applyNumberFormat="1" applyFont="1" applyBorder="1">
      <alignment horizontal="center" vertical="center"/>
    </xf>
    <xf numFmtId="1" fontId="9" fillId="0" borderId="69" xfId="0" applyNumberFormat="1" applyFont="1" applyBorder="1">
      <alignment horizontal="center" vertical="center"/>
    </xf>
    <xf numFmtId="2" fontId="9" fillId="0" borderId="107" xfId="0" applyFont="1" applyBorder="1">
      <alignment horizontal="center" vertical="center"/>
    </xf>
    <xf numFmtId="2" fontId="9" fillId="0" borderId="10" xfId="0" applyFont="1" applyBorder="1">
      <alignment horizontal="center" vertical="center"/>
    </xf>
    <xf numFmtId="190" fontId="9" fillId="12" borderId="1" xfId="0" applyNumberFormat="1" applyFont="1" applyFill="1" applyBorder="1" applyAlignment="1" applyProtection="1">
      <alignment horizontal="left" vertical="center"/>
      <protection locked="0"/>
    </xf>
    <xf numFmtId="190" fontId="23" fillId="10" borderId="2" xfId="0" applyNumberFormat="1" applyFont="1" applyFill="1" applyBorder="1" applyAlignment="1">
      <alignment horizontal="left" vertical="center"/>
    </xf>
    <xf numFmtId="190" fontId="10" fillId="0" borderId="2" xfId="0" applyNumberFormat="1" applyFont="1" applyBorder="1" applyAlignment="1">
      <alignment horizontal="left" vertical="center"/>
    </xf>
    <xf numFmtId="190" fontId="9" fillId="0" borderId="2" xfId="0" applyNumberFormat="1" applyFont="1" applyBorder="1">
      <alignment horizontal="center" vertical="center"/>
    </xf>
    <xf numFmtId="190" fontId="3" fillId="8" borderId="2" xfId="0" applyNumberFormat="1" applyFont="1" applyFill="1" applyBorder="1" applyAlignment="1" applyProtection="1">
      <alignment horizontal="left" vertical="center"/>
      <protection locked="0"/>
    </xf>
    <xf numFmtId="2" fontId="55" fillId="15" borderId="77" xfId="0" applyFont="1" applyFill="1" applyBorder="1">
      <alignment horizontal="center" vertical="center"/>
    </xf>
    <xf numFmtId="2" fontId="9" fillId="0" borderId="78" xfId="0" applyFont="1" applyBorder="1">
      <alignment horizontal="center" vertical="center"/>
    </xf>
    <xf numFmtId="190" fontId="23" fillId="21" borderId="2" xfId="0" applyNumberFormat="1" applyFont="1" applyFill="1" applyBorder="1" applyAlignment="1">
      <alignment horizontal="left" vertical="center"/>
    </xf>
    <xf numFmtId="2" fontId="61" fillId="0" borderId="0" xfId="0" applyFont="1" applyAlignment="1">
      <alignment horizontal="right" vertical="center"/>
    </xf>
    <xf numFmtId="189" fontId="23" fillId="12" borderId="2" xfId="1" applyNumberFormat="1" applyFont="1" applyFill="1" applyBorder="1" applyAlignment="1">
      <alignment horizontal="center" vertical="center"/>
      <protection locked="0"/>
    </xf>
    <xf numFmtId="189" fontId="23" fillId="12" borderId="28" xfId="1" applyNumberFormat="1" applyFont="1" applyFill="1" applyBorder="1" applyAlignment="1">
      <alignment horizontal="center" vertical="center"/>
      <protection locked="0"/>
    </xf>
    <xf numFmtId="9" fontId="3" fillId="16" borderId="74" xfId="3" applyFont="1" applyFill="1" applyBorder="1" applyAlignment="1">
      <alignment horizontal="center" vertical="center"/>
    </xf>
    <xf numFmtId="189" fontId="9" fillId="0" borderId="2" xfId="0" applyNumberFormat="1" applyFont="1" applyBorder="1" applyAlignment="1">
      <alignment horizontal="center" vertical="center" shrinkToFit="1"/>
    </xf>
    <xf numFmtId="189" fontId="9" fillId="0" borderId="19" xfId="0" applyNumberFormat="1" applyFont="1" applyBorder="1" applyAlignment="1">
      <alignment horizontal="center" vertical="center" shrinkToFit="1"/>
    </xf>
    <xf numFmtId="2" fontId="24" fillId="9" borderId="129" xfId="0" applyFont="1" applyFill="1" applyBorder="1">
      <alignment horizontal="center" vertical="center"/>
    </xf>
    <xf numFmtId="2" fontId="24" fillId="9" borderId="130" xfId="0" applyFont="1" applyFill="1" applyBorder="1">
      <alignment horizontal="center" vertical="center"/>
    </xf>
    <xf numFmtId="166" fontId="9" fillId="12" borderId="13" xfId="0" applyNumberFormat="1" applyFont="1" applyFill="1" applyBorder="1" applyProtection="1">
      <alignment horizontal="center" vertical="center"/>
      <protection locked="0"/>
    </xf>
    <xf numFmtId="168" fontId="9" fillId="0" borderId="51" xfId="0" applyNumberFormat="1" applyFont="1" applyBorder="1">
      <alignment horizontal="center" vertical="center"/>
    </xf>
    <xf numFmtId="2" fontId="9" fillId="15" borderId="108" xfId="0" applyFont="1" applyFill="1" applyBorder="1">
      <alignment horizontal="center" vertical="center"/>
    </xf>
    <xf numFmtId="2" fontId="9" fillId="15" borderId="138" xfId="0" applyFont="1" applyFill="1" applyBorder="1">
      <alignment horizontal="center" vertical="center"/>
    </xf>
    <xf numFmtId="2" fontId="9" fillId="15" borderId="139" xfId="0" applyFont="1" applyFill="1" applyBorder="1">
      <alignment horizontal="center" vertical="center"/>
    </xf>
    <xf numFmtId="2" fontId="3" fillId="15" borderId="75" xfId="0" applyFont="1" applyFill="1" applyBorder="1" applyAlignment="1">
      <alignment horizontal="right" vertical="center"/>
    </xf>
    <xf numFmtId="2" fontId="3" fillId="0" borderId="108" xfId="0" applyFont="1" applyBorder="1" applyAlignment="1">
      <alignment horizontal="right" vertical="center"/>
    </xf>
    <xf numFmtId="2" fontId="9" fillId="0" borderId="138" xfId="0" applyFont="1" applyBorder="1">
      <alignment horizontal="center" vertical="center"/>
    </xf>
    <xf numFmtId="2" fontId="9" fillId="0" borderId="139" xfId="0" applyFont="1" applyBorder="1">
      <alignment horizontal="center" vertical="center"/>
    </xf>
    <xf numFmtId="178" fontId="9" fillId="12" borderId="1" xfId="1" applyNumberFormat="1" applyFill="1" applyAlignment="1">
      <alignment horizontal="center" vertical="center"/>
      <protection locked="0"/>
    </xf>
    <xf numFmtId="2" fontId="12" fillId="0" borderId="0" xfId="0" applyFont="1" applyAlignment="1">
      <alignment horizontal="center" vertical="center" wrapText="1"/>
    </xf>
    <xf numFmtId="2" fontId="3" fillId="0" borderId="131" xfId="0" applyFont="1" applyBorder="1">
      <alignment horizontal="center" vertical="center"/>
    </xf>
    <xf numFmtId="1" fontId="9" fillId="8" borderId="122" xfId="0" applyNumberFormat="1" applyFont="1" applyFill="1" applyBorder="1" applyProtection="1">
      <alignment horizontal="center" vertical="center"/>
      <protection locked="0"/>
    </xf>
    <xf numFmtId="2" fontId="9" fillId="0" borderId="2" xfId="0" applyFont="1" applyBorder="1" applyAlignment="1">
      <alignment vertical="center"/>
    </xf>
    <xf numFmtId="166" fontId="9" fillId="10" borderId="1" xfId="0" applyNumberFormat="1" applyFont="1" applyFill="1" applyBorder="1">
      <alignment horizontal="center" vertical="center"/>
    </xf>
    <xf numFmtId="166" fontId="9" fillId="8" borderId="1" xfId="0" applyNumberFormat="1" applyFont="1" applyFill="1" applyBorder="1" applyProtection="1">
      <alignment horizontal="center" vertical="center"/>
      <protection locked="0"/>
    </xf>
    <xf numFmtId="0" fontId="9" fillId="0" borderId="0" xfId="0" applyNumberFormat="1" applyFont="1">
      <alignment horizontal="center" vertical="center"/>
    </xf>
    <xf numFmtId="178" fontId="9" fillId="12" borderId="30" xfId="1" applyNumberFormat="1" applyFill="1" applyBorder="1" applyAlignment="1">
      <alignment horizontal="center" vertical="center"/>
      <protection locked="0"/>
    </xf>
    <xf numFmtId="166" fontId="9" fillId="12" borderId="1" xfId="1" applyNumberFormat="1" applyFill="1" applyAlignment="1">
      <alignment horizontal="center" vertical="center"/>
      <protection locked="0"/>
    </xf>
    <xf numFmtId="2" fontId="9" fillId="12" borderId="1" xfId="1" applyNumberFormat="1" applyFill="1" applyAlignment="1">
      <alignment horizontal="center" vertical="center"/>
      <protection locked="0"/>
    </xf>
    <xf numFmtId="178" fontId="9" fillId="12" borderId="119" xfId="1" applyNumberFormat="1" applyFill="1" applyBorder="1" applyAlignment="1">
      <alignment horizontal="center" vertical="center"/>
      <protection locked="0"/>
    </xf>
    <xf numFmtId="178" fontId="9" fillId="12" borderId="120" xfId="1" applyNumberFormat="1" applyFill="1" applyBorder="1" applyAlignment="1">
      <alignment horizontal="center" vertical="center"/>
      <protection locked="0"/>
    </xf>
    <xf numFmtId="166" fontId="9" fillId="12" borderId="120" xfId="1" applyNumberFormat="1" applyFill="1" applyBorder="1" applyAlignment="1">
      <alignment horizontal="center" vertical="center"/>
      <protection locked="0"/>
    </xf>
    <xf numFmtId="2" fontId="9" fillId="12" borderId="120" xfId="1" applyNumberFormat="1" applyFill="1" applyBorder="1" applyAlignment="1">
      <alignment horizontal="center" vertical="center"/>
      <protection locked="0"/>
    </xf>
    <xf numFmtId="170" fontId="9" fillId="0" borderId="1" xfId="0" applyNumberFormat="1" applyFont="1" applyBorder="1">
      <alignment horizontal="center" vertical="center"/>
    </xf>
    <xf numFmtId="2" fontId="23" fillId="0" borderId="75" xfId="0" applyFont="1" applyBorder="1">
      <alignment horizontal="center" vertical="center"/>
    </xf>
    <xf numFmtId="178" fontId="9" fillId="10" borderId="30" xfId="0" applyNumberFormat="1" applyFont="1" applyFill="1" applyBorder="1">
      <alignment horizontal="center" vertical="center"/>
    </xf>
    <xf numFmtId="178" fontId="9" fillId="10" borderId="1" xfId="0" applyNumberFormat="1" applyFont="1" applyFill="1" applyBorder="1">
      <alignment horizontal="center" vertical="center"/>
    </xf>
    <xf numFmtId="180" fontId="9" fillId="10" borderId="1" xfId="0" applyNumberFormat="1" applyFont="1" applyFill="1" applyBorder="1">
      <alignment horizontal="center" vertical="center"/>
    </xf>
    <xf numFmtId="2" fontId="9" fillId="10" borderId="137" xfId="0" applyFont="1" applyFill="1" applyBorder="1">
      <alignment horizontal="center" vertical="center"/>
    </xf>
    <xf numFmtId="2" fontId="13" fillId="10" borderId="162" xfId="0" applyFont="1" applyFill="1" applyBorder="1">
      <alignment horizontal="center" vertical="center"/>
    </xf>
    <xf numFmtId="184" fontId="9" fillId="19" borderId="117" xfId="3" applyNumberFormat="1" applyFont="1" applyFill="1" applyBorder="1" applyAlignment="1">
      <alignment horizontal="center" vertical="center"/>
    </xf>
    <xf numFmtId="2" fontId="13" fillId="10" borderId="148" xfId="0" applyFont="1" applyFill="1" applyBorder="1">
      <alignment horizontal="center" vertical="center"/>
    </xf>
    <xf numFmtId="184" fontId="9" fillId="19" borderId="76" xfId="3" applyNumberFormat="1" applyFont="1" applyFill="1" applyBorder="1" applyAlignment="1">
      <alignment horizontal="center" vertical="center"/>
    </xf>
    <xf numFmtId="184" fontId="3" fillId="0" borderId="74" xfId="3" applyNumberFormat="1" applyFont="1" applyBorder="1" applyAlignment="1">
      <alignment horizontal="center" vertical="center"/>
    </xf>
    <xf numFmtId="49" fontId="9" fillId="0" borderId="0" xfId="0" applyNumberFormat="1" applyFont="1">
      <alignment horizontal="center" vertical="center"/>
    </xf>
    <xf numFmtId="2" fontId="64" fillId="22" borderId="0" xfId="0" applyFont="1" applyFill="1">
      <alignment horizontal="center" vertical="center"/>
    </xf>
    <xf numFmtId="190" fontId="9" fillId="10" borderId="2" xfId="0" applyNumberFormat="1" applyFont="1" applyFill="1" applyBorder="1" applyAlignment="1">
      <alignment horizontal="left" vertical="center"/>
    </xf>
    <xf numFmtId="169" fontId="9" fillId="10" borderId="2" xfId="0" applyNumberFormat="1" applyFont="1" applyFill="1" applyBorder="1" applyAlignment="1">
      <alignment horizontal="left" vertical="center"/>
    </xf>
    <xf numFmtId="0" fontId="9" fillId="10" borderId="2" xfId="0" applyNumberFormat="1" applyFont="1" applyFill="1" applyBorder="1">
      <alignment horizontal="center" vertical="center"/>
    </xf>
    <xf numFmtId="166" fontId="9" fillId="10" borderId="2" xfId="0" applyNumberFormat="1" applyFont="1" applyFill="1" applyBorder="1">
      <alignment horizontal="center" vertical="center"/>
    </xf>
    <xf numFmtId="177" fontId="9" fillId="10" borderId="2" xfId="0" applyNumberFormat="1" applyFont="1" applyFill="1" applyBorder="1">
      <alignment horizontal="center" vertical="center"/>
    </xf>
    <xf numFmtId="2" fontId="9" fillId="10" borderId="2" xfId="0" applyFont="1" applyFill="1" applyBorder="1">
      <alignment horizontal="center" vertical="center"/>
    </xf>
    <xf numFmtId="1" fontId="9" fillId="10" borderId="2" xfId="0" applyNumberFormat="1" applyFont="1" applyFill="1" applyBorder="1">
      <alignment horizontal="center" vertical="center"/>
    </xf>
    <xf numFmtId="10" fontId="9" fillId="10" borderId="2" xfId="0" applyNumberFormat="1" applyFont="1" applyFill="1" applyBorder="1">
      <alignment horizontal="center" vertical="center"/>
    </xf>
    <xf numFmtId="0" fontId="9" fillId="10" borderId="28" xfId="0" applyNumberFormat="1" applyFont="1" applyFill="1" applyBorder="1" applyAlignment="1">
      <alignment horizontal="left" vertical="center"/>
    </xf>
    <xf numFmtId="178" fontId="9" fillId="10" borderId="2" xfId="1" applyNumberFormat="1" applyFill="1" applyBorder="1" applyProtection="1">
      <alignment horizontal="left" vertical="center"/>
    </xf>
    <xf numFmtId="178" fontId="9" fillId="10" borderId="28" xfId="1" applyNumberFormat="1" applyFill="1" applyBorder="1" applyProtection="1">
      <alignment horizontal="left" vertical="center"/>
    </xf>
    <xf numFmtId="184" fontId="9" fillId="10" borderId="2" xfId="3" applyNumberFormat="1" applyFont="1" applyFill="1" applyBorder="1" applyAlignment="1" applyProtection="1">
      <alignment horizontal="left" vertical="center"/>
    </xf>
    <xf numFmtId="2" fontId="9" fillId="10" borderId="32" xfId="3" applyNumberFormat="1" applyFont="1" applyFill="1" applyBorder="1" applyAlignment="1" applyProtection="1">
      <alignment horizontal="left" vertical="center"/>
    </xf>
    <xf numFmtId="2" fontId="9" fillId="10" borderId="28" xfId="3" applyNumberFormat="1" applyFont="1" applyFill="1" applyBorder="1" applyAlignment="1" applyProtection="1">
      <alignment horizontal="left" vertical="center"/>
    </xf>
    <xf numFmtId="2" fontId="9" fillId="10" borderId="2" xfId="3" applyNumberFormat="1" applyFont="1" applyFill="1" applyBorder="1" applyAlignment="1" applyProtection="1">
      <alignment horizontal="left" vertical="center"/>
    </xf>
    <xf numFmtId="1" fontId="9" fillId="10" borderId="2" xfId="3" applyNumberFormat="1" applyFont="1" applyFill="1" applyBorder="1" applyAlignment="1" applyProtection="1">
      <alignment horizontal="center" vertical="center"/>
    </xf>
    <xf numFmtId="1" fontId="9" fillId="10" borderId="28" xfId="3" applyNumberFormat="1" applyFont="1" applyFill="1" applyBorder="1" applyAlignment="1" applyProtection="1">
      <alignment horizontal="center" vertical="center"/>
    </xf>
    <xf numFmtId="2" fontId="9" fillId="10" borderId="2" xfId="3" applyNumberFormat="1" applyFont="1" applyFill="1" applyBorder="1" applyAlignment="1" applyProtection="1">
      <alignment horizontal="center" vertical="center"/>
    </xf>
    <xf numFmtId="2" fontId="9" fillId="10" borderId="28" xfId="3" applyNumberFormat="1" applyFont="1" applyFill="1" applyBorder="1" applyAlignment="1" applyProtection="1">
      <alignment horizontal="center" vertical="center"/>
    </xf>
    <xf numFmtId="1" fontId="9" fillId="10" borderId="2" xfId="3" applyNumberFormat="1" applyFont="1" applyFill="1" applyBorder="1" applyAlignment="1" applyProtection="1">
      <alignment horizontal="left" vertical="center"/>
    </xf>
    <xf numFmtId="2" fontId="9" fillId="23" borderId="18" xfId="0" applyFont="1" applyFill="1" applyBorder="1">
      <alignment horizontal="center" vertical="center"/>
    </xf>
    <xf numFmtId="2" fontId="9" fillId="24" borderId="18" xfId="0" applyFont="1" applyFill="1" applyBorder="1" applyProtection="1">
      <alignment horizontal="center" vertical="center"/>
      <protection locked="0"/>
    </xf>
    <xf numFmtId="1" fontId="20" fillId="23" borderId="7" xfId="0" applyNumberFormat="1" applyFont="1" applyFill="1" applyBorder="1">
      <alignment horizontal="center" vertical="center"/>
    </xf>
    <xf numFmtId="1" fontId="20" fillId="23" borderId="7" xfId="0" applyNumberFormat="1" applyFont="1" applyFill="1" applyBorder="1" applyProtection="1">
      <alignment horizontal="center" vertical="center"/>
      <protection locked="0"/>
    </xf>
    <xf numFmtId="2" fontId="20" fillId="23" borderId="18" xfId="0" applyFont="1" applyFill="1" applyBorder="1" applyAlignment="1">
      <alignment horizontal="left" vertical="center" wrapText="1"/>
    </xf>
    <xf numFmtId="2" fontId="9" fillId="23" borderId="15" xfId="0" applyFont="1" applyFill="1" applyBorder="1">
      <alignment horizontal="center" vertical="center"/>
    </xf>
    <xf numFmtId="1" fontId="3" fillId="23" borderId="7" xfId="0" applyNumberFormat="1" applyFont="1" applyFill="1" applyBorder="1" applyProtection="1">
      <alignment horizontal="center" vertical="center"/>
      <protection locked="0"/>
    </xf>
    <xf numFmtId="2" fontId="9" fillId="23" borderId="18" xfId="0" applyFont="1" applyFill="1" applyBorder="1" applyProtection="1">
      <alignment horizontal="center" vertical="center"/>
      <protection locked="0"/>
    </xf>
    <xf numFmtId="2" fontId="20" fillId="23" borderId="22" xfId="0" applyFont="1" applyFill="1" applyBorder="1" applyAlignment="1">
      <alignment horizontal="left" vertical="center" wrapText="1"/>
    </xf>
    <xf numFmtId="2" fontId="9" fillId="24" borderId="18" xfId="0" applyFont="1" applyFill="1" applyBorder="1">
      <alignment horizontal="center" vertical="center"/>
    </xf>
    <xf numFmtId="2" fontId="9" fillId="24" borderId="22" xfId="0" applyFont="1" applyFill="1" applyBorder="1" applyProtection="1">
      <alignment horizontal="center" vertical="center"/>
      <protection locked="0"/>
    </xf>
    <xf numFmtId="1" fontId="20" fillId="23" borderId="72" xfId="0" applyNumberFormat="1" applyFont="1" applyFill="1" applyBorder="1">
      <alignment horizontal="center" vertical="center"/>
    </xf>
    <xf numFmtId="2" fontId="20" fillId="24" borderId="18" xfId="0" applyFont="1" applyFill="1" applyBorder="1" applyAlignment="1">
      <alignment horizontal="left" vertical="center" wrapText="1"/>
    </xf>
    <xf numFmtId="2" fontId="9" fillId="24" borderId="22" xfId="0" applyFont="1" applyFill="1" applyBorder="1">
      <alignment horizontal="center" vertical="center"/>
    </xf>
    <xf numFmtId="1" fontId="20" fillId="24" borderId="7" xfId="0" applyNumberFormat="1" applyFont="1" applyFill="1" applyBorder="1">
      <alignment horizontal="center" vertical="center"/>
    </xf>
    <xf numFmtId="170" fontId="9" fillId="24" borderId="7" xfId="0" applyNumberFormat="1" applyFont="1" applyFill="1" applyBorder="1">
      <alignment horizontal="center" vertical="center"/>
    </xf>
    <xf numFmtId="170" fontId="9" fillId="24" borderId="72" xfId="0" applyNumberFormat="1" applyFont="1" applyFill="1" applyBorder="1">
      <alignment horizontal="center" vertical="center"/>
    </xf>
    <xf numFmtId="2" fontId="9" fillId="24" borderId="15" xfId="0" applyFont="1" applyFill="1" applyBorder="1">
      <alignment horizontal="center" vertical="center"/>
    </xf>
    <xf numFmtId="2" fontId="9" fillId="24" borderId="15" xfId="0" applyFont="1" applyFill="1" applyBorder="1" applyProtection="1">
      <alignment horizontal="center" vertical="center"/>
      <protection locked="0"/>
    </xf>
    <xf numFmtId="2" fontId="20" fillId="24" borderId="7" xfId="0" applyFont="1" applyFill="1" applyBorder="1">
      <alignment horizontal="center" vertical="center"/>
    </xf>
    <xf numFmtId="2" fontId="9" fillId="24" borderId="7" xfId="0" applyFont="1" applyFill="1" applyBorder="1">
      <alignment horizontal="center" vertical="center"/>
    </xf>
    <xf numFmtId="2" fontId="9" fillId="24" borderId="86" xfId="0" applyFont="1" applyFill="1" applyBorder="1" applyProtection="1">
      <alignment horizontal="center" vertical="center"/>
      <protection locked="0"/>
    </xf>
    <xf numFmtId="2" fontId="9" fillId="24" borderId="112" xfId="0" applyFont="1" applyFill="1" applyBorder="1" applyProtection="1">
      <alignment horizontal="center" vertical="center"/>
      <protection locked="0"/>
    </xf>
    <xf numFmtId="1" fontId="20" fillId="23" borderId="5" xfId="0" applyNumberFormat="1" applyFont="1" applyFill="1" applyBorder="1">
      <alignment horizontal="center" vertical="center"/>
    </xf>
    <xf numFmtId="2" fontId="9" fillId="23" borderId="7" xfId="0" applyFont="1" applyFill="1" applyBorder="1">
      <alignment horizontal="center" vertical="center"/>
    </xf>
    <xf numFmtId="2" fontId="9" fillId="23" borderId="5" xfId="0" applyFont="1" applyFill="1" applyBorder="1">
      <alignment horizontal="center" vertical="center"/>
    </xf>
    <xf numFmtId="2" fontId="9" fillId="0" borderId="161" xfId="0" applyFont="1" applyBorder="1" applyAlignment="1">
      <alignment horizontal="center" vertical="center" wrapText="1"/>
    </xf>
    <xf numFmtId="2" fontId="9" fillId="0" borderId="160" xfId="0" applyFont="1" applyBorder="1" applyAlignment="1">
      <alignment horizontal="center" vertical="center" wrapText="1"/>
    </xf>
    <xf numFmtId="2" fontId="9" fillId="0" borderId="9" xfId="0" applyFont="1" applyBorder="1" applyAlignment="1">
      <alignment horizontal="center" vertical="center" wrapText="1"/>
    </xf>
    <xf numFmtId="2" fontId="0" fillId="0" borderId="0" xfId="0" applyAlignment="1">
      <alignment vertical="center"/>
    </xf>
    <xf numFmtId="0" fontId="0" fillId="0" borderId="0" xfId="0" applyNumberFormat="1" applyAlignment="1">
      <alignment vertical="center"/>
    </xf>
    <xf numFmtId="2" fontId="9" fillId="0" borderId="1" xfId="0" applyFont="1" applyBorder="1" applyProtection="1">
      <alignment horizontal="center" vertical="center"/>
      <protection locked="0"/>
    </xf>
    <xf numFmtId="2" fontId="9" fillId="0" borderId="161" xfId="0" applyFont="1" applyBorder="1" applyAlignment="1">
      <alignment vertical="center" wrapText="1"/>
    </xf>
    <xf numFmtId="9" fontId="9" fillId="0" borderId="132" xfId="3" applyFont="1" applyBorder="1" applyAlignment="1">
      <alignment horizontal="center" vertical="center"/>
    </xf>
    <xf numFmtId="2" fontId="0" fillId="0" borderId="161" xfId="0" applyBorder="1">
      <alignment horizontal="center" vertical="center"/>
    </xf>
    <xf numFmtId="2" fontId="9" fillId="0" borderId="74" xfId="0" applyFont="1" applyBorder="1" applyProtection="1">
      <alignment horizontal="center" vertical="center"/>
      <protection locked="0"/>
    </xf>
    <xf numFmtId="2" fontId="9" fillId="0" borderId="30" xfId="0" applyFont="1" applyBorder="1" applyProtection="1">
      <alignment horizontal="center" vertical="center"/>
      <protection locked="0"/>
    </xf>
    <xf numFmtId="2" fontId="9" fillId="8" borderId="30" xfId="0" applyFont="1" applyFill="1" applyBorder="1" applyProtection="1">
      <alignment horizontal="center" vertical="center"/>
      <protection locked="0"/>
    </xf>
    <xf numFmtId="2" fontId="9" fillId="8" borderId="1" xfId="0" applyFont="1" applyFill="1" applyBorder="1" applyProtection="1">
      <alignment horizontal="center" vertical="center"/>
      <protection locked="0"/>
    </xf>
    <xf numFmtId="2" fontId="9" fillId="8" borderId="119" xfId="0" applyFont="1" applyFill="1" applyBorder="1" applyProtection="1">
      <alignment horizontal="center" vertical="center"/>
      <protection locked="0"/>
    </xf>
    <xf numFmtId="2" fontId="9" fillId="8" borderId="120" xfId="0" applyFont="1" applyFill="1" applyBorder="1" applyProtection="1">
      <alignment horizontal="center" vertical="center"/>
      <protection locked="0"/>
    </xf>
    <xf numFmtId="9" fontId="0" fillId="0" borderId="134" xfId="3" applyFont="1" applyBorder="1" applyAlignment="1">
      <alignment horizontal="center" vertical="center"/>
    </xf>
    <xf numFmtId="9" fontId="0" fillId="0" borderId="65" xfId="3" applyFont="1" applyBorder="1" applyAlignment="1">
      <alignment horizontal="center" vertical="center"/>
    </xf>
    <xf numFmtId="2" fontId="20" fillId="23" borderId="7" xfId="0" applyFont="1" applyFill="1" applyBorder="1">
      <alignment horizontal="center" vertical="center"/>
    </xf>
    <xf numFmtId="2" fontId="20" fillId="23" borderId="5" xfId="0" applyFont="1" applyFill="1" applyBorder="1">
      <alignment horizontal="center" vertical="center"/>
    </xf>
    <xf numFmtId="2" fontId="3" fillId="23" borderId="86" xfId="0" applyFont="1" applyFill="1" applyBorder="1">
      <alignment horizontal="center" vertical="center"/>
    </xf>
    <xf numFmtId="2" fontId="3" fillId="23" borderId="71" xfId="0" applyFont="1" applyFill="1" applyBorder="1">
      <alignment horizontal="center" vertical="center"/>
    </xf>
    <xf numFmtId="2" fontId="3" fillId="23" borderId="86" xfId="0" applyFont="1" applyFill="1" applyBorder="1" applyProtection="1">
      <alignment horizontal="center" vertical="center"/>
      <protection locked="0"/>
    </xf>
    <xf numFmtId="2" fontId="3" fillId="23" borderId="71" xfId="0" applyFont="1" applyFill="1" applyBorder="1" applyProtection="1">
      <alignment horizontal="center" vertical="center"/>
      <protection locked="0"/>
    </xf>
    <xf numFmtId="1" fontId="23" fillId="8" borderId="159" xfId="0" applyNumberFormat="1" applyFont="1" applyFill="1" applyBorder="1" applyAlignment="1" applyProtection="1">
      <alignment vertical="center"/>
      <protection locked="0"/>
    </xf>
    <xf numFmtId="190" fontId="23" fillId="8" borderId="2" xfId="0" applyNumberFormat="1" applyFont="1" applyFill="1" applyBorder="1" applyProtection="1">
      <alignment horizontal="center" vertical="center"/>
      <protection locked="0"/>
    </xf>
    <xf numFmtId="166" fontId="9" fillId="0" borderId="69" xfId="0" applyNumberFormat="1" applyFont="1" applyBorder="1">
      <alignment horizontal="center" vertical="center"/>
    </xf>
    <xf numFmtId="166" fontId="9" fillId="0" borderId="155" xfId="0" applyNumberFormat="1" applyFont="1" applyBorder="1">
      <alignment horizontal="center" vertical="center"/>
    </xf>
    <xf numFmtId="2" fontId="9" fillId="0" borderId="71" xfId="0" applyFont="1" applyBorder="1" applyAlignment="1">
      <alignment horizontal="center" vertical="center" wrapText="1"/>
    </xf>
    <xf numFmtId="2" fontId="9" fillId="0" borderId="52" xfId="0" applyFont="1" applyBorder="1" applyAlignment="1">
      <alignment horizontal="center" vertical="center" wrapText="1"/>
    </xf>
    <xf numFmtId="2" fontId="9" fillId="0" borderId="0" xfId="0" applyFont="1">
      <alignment horizontal="center" vertical="center"/>
    </xf>
    <xf numFmtId="2" fontId="0" fillId="0" borderId="0" xfId="0">
      <alignment horizontal="center" vertical="center"/>
    </xf>
    <xf numFmtId="2" fontId="9" fillId="0" borderId="0" xfId="0" applyFont="1" applyAlignment="1">
      <alignment vertical="center"/>
    </xf>
    <xf numFmtId="2" fontId="3" fillId="0" borderId="82" xfId="0" applyFont="1" applyBorder="1">
      <alignment horizontal="center" vertical="center"/>
    </xf>
    <xf numFmtId="2" fontId="3" fillId="0" borderId="50" xfId="0" applyFont="1" applyBorder="1">
      <alignment horizontal="center" vertical="center"/>
    </xf>
    <xf numFmtId="2" fontId="3" fillId="15" borderId="26" xfId="0" applyFont="1" applyFill="1" applyBorder="1">
      <alignment horizontal="center" vertical="center"/>
    </xf>
    <xf numFmtId="2" fontId="3" fillId="15" borderId="25" xfId="0" applyFont="1" applyFill="1" applyBorder="1">
      <alignment horizontal="center" vertical="center"/>
    </xf>
    <xf numFmtId="2" fontId="23" fillId="0" borderId="17" xfId="0" applyFont="1" applyBorder="1">
      <alignment horizontal="center" vertical="center"/>
    </xf>
    <xf numFmtId="2" fontId="23" fillId="0" borderId="0" xfId="0" applyFont="1">
      <alignment horizontal="center" vertical="center"/>
    </xf>
    <xf numFmtId="2" fontId="23" fillId="0" borderId="23" xfId="0" applyFont="1" applyBorder="1">
      <alignment horizontal="center" vertical="center"/>
    </xf>
    <xf numFmtId="2" fontId="23" fillId="0" borderId="64" xfId="0" applyFont="1" applyBorder="1">
      <alignment horizontal="center" vertical="center"/>
    </xf>
    <xf numFmtId="2" fontId="23" fillId="0" borderId="63" xfId="0" applyFont="1" applyBorder="1">
      <alignment horizontal="center" vertical="center"/>
    </xf>
    <xf numFmtId="2" fontId="23" fillId="0" borderId="67" xfId="0" applyFont="1" applyBorder="1">
      <alignment horizontal="center" vertical="center"/>
    </xf>
    <xf numFmtId="2" fontId="3" fillId="0" borderId="4" xfId="0" applyFont="1" applyBorder="1">
      <alignment horizontal="center" vertical="center"/>
    </xf>
    <xf numFmtId="2" fontId="9" fillId="8" borderId="69" xfId="0" applyFont="1" applyFill="1" applyBorder="1" applyProtection="1">
      <alignment horizontal="center" vertical="center"/>
      <protection locked="0"/>
    </xf>
    <xf numFmtId="2" fontId="9" fillId="8" borderId="155" xfId="0" applyFont="1" applyFill="1" applyBorder="1" applyProtection="1">
      <alignment horizontal="center" vertical="center"/>
      <protection locked="0"/>
    </xf>
    <xf numFmtId="2" fontId="9" fillId="0" borderId="17" xfId="0" applyFont="1" applyBorder="1">
      <alignment horizontal="center" vertical="center"/>
    </xf>
    <xf numFmtId="2" fontId="9" fillId="0" borderId="54" xfId="0" applyFont="1" applyBorder="1">
      <alignment horizontal="center" vertical="center"/>
    </xf>
    <xf numFmtId="10" fontId="9" fillId="0" borderId="153" xfId="0" applyNumberFormat="1" applyFont="1" applyBorder="1">
      <alignment horizontal="center" vertical="center"/>
    </xf>
    <xf numFmtId="10" fontId="9" fillId="0" borderId="57" xfId="0" applyNumberFormat="1" applyFont="1" applyBorder="1">
      <alignment horizontal="center" vertical="center"/>
    </xf>
    <xf numFmtId="2" fontId="9" fillId="8" borderId="9" xfId="0" applyFont="1" applyFill="1" applyBorder="1" applyProtection="1">
      <alignment horizontal="center" vertical="center"/>
      <protection locked="0"/>
    </xf>
    <xf numFmtId="2" fontId="3" fillId="0" borderId="27" xfId="0" applyFont="1" applyBorder="1">
      <alignment horizontal="center" vertical="center"/>
    </xf>
    <xf numFmtId="2" fontId="0" fillId="0" borderId="25" xfId="0" applyBorder="1">
      <alignment horizontal="center" vertical="center"/>
    </xf>
    <xf numFmtId="2" fontId="22" fillId="0" borderId="0" xfId="0" applyFont="1">
      <alignment horizontal="center" vertical="center"/>
    </xf>
    <xf numFmtId="2" fontId="22" fillId="0" borderId="54" xfId="0" applyFont="1" applyBorder="1">
      <alignment horizontal="center" vertical="center"/>
    </xf>
    <xf numFmtId="2" fontId="3" fillId="15" borderId="82" xfId="0" applyFont="1" applyFill="1" applyBorder="1">
      <alignment horizontal="center" vertical="center"/>
    </xf>
    <xf numFmtId="2" fontId="24" fillId="9" borderId="136" xfId="0" applyFont="1" applyFill="1" applyBorder="1">
      <alignment horizontal="center" vertical="center"/>
    </xf>
    <xf numFmtId="2" fontId="24" fillId="9" borderId="113" xfId="0" applyFont="1" applyFill="1" applyBorder="1">
      <alignment horizontal="center" vertical="center"/>
    </xf>
    <xf numFmtId="166" fontId="24" fillId="10" borderId="156" xfId="0" applyNumberFormat="1" applyFont="1" applyFill="1" applyBorder="1">
      <alignment horizontal="center" vertical="center"/>
    </xf>
    <xf numFmtId="166" fontId="24" fillId="10" borderId="157" xfId="0" applyNumberFormat="1" applyFont="1" applyFill="1" applyBorder="1">
      <alignment horizontal="center" vertical="center"/>
    </xf>
    <xf numFmtId="2" fontId="9" fillId="8" borderId="133" xfId="0" applyFont="1" applyFill="1" applyBorder="1" applyProtection="1">
      <alignment horizontal="center" vertical="center"/>
      <protection locked="0"/>
    </xf>
    <xf numFmtId="2" fontId="9" fillId="8" borderId="158" xfId="0" applyFont="1" applyFill="1" applyBorder="1" applyProtection="1">
      <alignment horizontal="center" vertical="center"/>
      <protection locked="0"/>
    </xf>
    <xf numFmtId="166" fontId="9" fillId="8" borderId="69" xfId="0" applyNumberFormat="1" applyFont="1" applyFill="1" applyBorder="1" applyProtection="1">
      <alignment horizontal="center" vertical="center"/>
      <protection locked="0"/>
    </xf>
    <xf numFmtId="166" fontId="9" fillId="8" borderId="155" xfId="0" applyNumberFormat="1" applyFont="1" applyFill="1" applyBorder="1" applyProtection="1">
      <alignment horizontal="center" vertical="center"/>
      <protection locked="0"/>
    </xf>
    <xf numFmtId="2" fontId="0" fillId="0" borderId="26" xfId="0" applyBorder="1">
      <alignment horizontal="center" vertical="center"/>
    </xf>
    <xf numFmtId="2" fontId="9" fillId="0" borderId="5" xfId="0" applyFont="1" applyBorder="1">
      <alignment horizontal="center" vertical="center"/>
    </xf>
    <xf numFmtId="2" fontId="9" fillId="0" borderId="52" xfId="0" applyFont="1" applyBorder="1">
      <alignment horizontal="center" vertical="center"/>
    </xf>
    <xf numFmtId="2" fontId="3" fillId="0" borderId="25" xfId="0" applyFont="1" applyBorder="1">
      <alignment horizontal="center" vertical="center"/>
    </xf>
    <xf numFmtId="2" fontId="9" fillId="0" borderId="64" xfId="0" applyFont="1" applyBorder="1">
      <alignment horizontal="center" vertical="center"/>
    </xf>
    <xf numFmtId="2" fontId="9" fillId="0" borderId="63" xfId="0" applyFont="1" applyBorder="1">
      <alignment horizontal="center" vertical="center"/>
    </xf>
    <xf numFmtId="2" fontId="9" fillId="0" borderId="66" xfId="0" applyFont="1" applyBorder="1">
      <alignment horizontal="center" vertical="center"/>
    </xf>
    <xf numFmtId="10" fontId="9" fillId="0" borderId="161" xfId="0" applyNumberFormat="1" applyFont="1" applyBorder="1">
      <alignment horizontal="center" vertical="center"/>
    </xf>
  </cellXfs>
  <cellStyles count="5">
    <cellStyle name="COMMENT" xfId="1" xr:uid="{00000000-0005-0000-0000-000000000000}"/>
    <cellStyle name="Normal" xfId="0" builtinId="0"/>
    <cellStyle name="Normal_GEN_FORM" xfId="2" xr:uid="{00000000-0005-0000-0000-000002000000}"/>
    <cellStyle name="Percent" xfId="3" builtinId="5"/>
    <cellStyle name="SUBTITLE" xfId="4" xr:uid="{00000000-0005-0000-0000-000005000000}"/>
  </cellStyles>
  <dxfs count="90">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ont>
        <condense val="0"/>
        <extend val="0"/>
        <color auto="1"/>
      </font>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ont>
        <color rgb="FF9C0006"/>
      </font>
      <fill>
        <patternFill>
          <bgColor rgb="FFFFC7CE"/>
        </patternFill>
      </fill>
    </dxf>
    <dxf>
      <font>
        <color rgb="FF006100"/>
      </font>
      <fill>
        <patternFill>
          <bgColor rgb="FFC6EF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42"/>
          <bgColor indexed="11"/>
        </patternFill>
      </fill>
    </dxf>
    <dxf>
      <fill>
        <patternFill patternType="mediumGray">
          <fgColor indexed="29"/>
          <bgColor indexed="10"/>
        </patternFill>
      </fill>
    </dxf>
    <dxf>
      <fill>
        <patternFill>
          <bgColor indexed="44"/>
        </patternFill>
      </fill>
    </dxf>
    <dxf>
      <fill>
        <patternFill patternType="solid">
          <fgColor indexed="9"/>
          <bgColor indexed="44"/>
        </patternFill>
      </fill>
      <border>
        <bottom style="thin">
          <color indexed="64"/>
        </bottom>
      </border>
    </dxf>
    <dxf>
      <fill>
        <patternFill>
          <bgColor indexed="44"/>
        </patternFill>
      </fill>
      <border>
        <bottom style="thin">
          <color indexed="64"/>
        </bottom>
      </border>
    </dxf>
    <dxf>
      <font>
        <color rgb="FF9C0006"/>
      </font>
      <fill>
        <patternFill>
          <bgColor rgb="FFFFC7CE"/>
        </patternFill>
      </fill>
    </dxf>
    <dxf>
      <font>
        <condense val="0"/>
        <extend val="0"/>
        <color auto="1"/>
      </font>
      <fill>
        <patternFill patternType="mediumGray">
          <fgColor indexed="42"/>
          <bgColor indexed="11"/>
        </patternFill>
      </fill>
    </dxf>
    <dxf>
      <fill>
        <patternFill patternType="mediumGray">
          <fgColor indexed="29"/>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mediumGray">
          <fgColor indexed="42"/>
          <bgColor indexed="11"/>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42"/>
          <bgColor indexed="11"/>
        </patternFill>
      </fill>
    </dxf>
    <dxf>
      <font>
        <condense val="0"/>
        <extend val="0"/>
        <color auto="1"/>
      </font>
      <fill>
        <patternFill>
          <fgColor indexed="64"/>
          <bgColor indexed="8"/>
        </patternFill>
      </fill>
    </dxf>
    <dxf>
      <font>
        <condense val="0"/>
        <extend val="0"/>
        <color auto="1"/>
      </font>
      <fill>
        <patternFill>
          <fgColor indexed="64"/>
          <bgColor indexed="8"/>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MS Sans Serif"/>
                <a:ea typeface="MS Sans Serif"/>
                <a:cs typeface="MS Sans Serif"/>
              </a:defRPr>
            </a:pPr>
            <a:r>
              <a:rPr lang="en-US"/>
              <a:t>Radiation Output</a:t>
            </a:r>
          </a:p>
        </c:rich>
      </c:tx>
      <c:layout>
        <c:manualLayout>
          <c:xMode val="edge"/>
          <c:yMode val="edge"/>
          <c:x val="0.38606679717514369"/>
          <c:y val="5.9644129112172463E-2"/>
        </c:manualLayout>
      </c:layout>
      <c:overlay val="0"/>
      <c:spPr>
        <a:noFill/>
        <a:ln w="25400">
          <a:noFill/>
        </a:ln>
      </c:spPr>
    </c:title>
    <c:autoTitleDeleted val="0"/>
    <c:plotArea>
      <c:layout>
        <c:manualLayout>
          <c:layoutTarget val="inner"/>
          <c:xMode val="edge"/>
          <c:yMode val="edge"/>
          <c:x val="0.13214723986514434"/>
          <c:y val="0.15643021493817388"/>
          <c:w val="0.80495323253959616"/>
          <c:h val="0.71033426209397299"/>
        </c:manualLayout>
      </c:layout>
      <c:scatterChart>
        <c:scatterStyle val="lineMarker"/>
        <c:varyColors val="0"/>
        <c:ser>
          <c:idx val="0"/>
          <c:order val="0"/>
          <c:tx>
            <c:v>Lrg Focus</c:v>
          </c:tx>
          <c:spPr>
            <a:ln w="12700">
              <a:solidFill>
                <a:srgbClr val="000000"/>
              </a:solidFill>
              <a:prstDash val="solid"/>
            </a:ln>
          </c:spPr>
          <c:marker>
            <c:symbol val="square"/>
            <c:size val="5"/>
            <c:spPr>
              <a:solidFill>
                <a:srgbClr val="FF0000"/>
              </a:solidFill>
              <a:ln>
                <a:solidFill>
                  <a:srgbClr val="000000"/>
                </a:solidFill>
                <a:prstDash val="solid"/>
              </a:ln>
            </c:spPr>
          </c:marker>
          <c:xVal>
            <c:numRef>
              <c:f>Gen_form!$C$1423:$C$1432</c:f>
              <c:numCache>
                <c:formatCode>0</c:formatCode>
                <c:ptCount val="10"/>
                <c:pt idx="0">
                  <c:v>55</c:v>
                </c:pt>
                <c:pt idx="1">
                  <c:v>60</c:v>
                </c:pt>
                <c:pt idx="2">
                  <c:v>70</c:v>
                </c:pt>
                <c:pt idx="3">
                  <c:v>80</c:v>
                </c:pt>
                <c:pt idx="4">
                  <c:v>90</c:v>
                </c:pt>
                <c:pt idx="5">
                  <c:v>100</c:v>
                </c:pt>
                <c:pt idx="6">
                  <c:v>110</c:v>
                </c:pt>
                <c:pt idx="7">
                  <c:v>120</c:v>
                </c:pt>
                <c:pt idx="8">
                  <c:v>130</c:v>
                </c:pt>
                <c:pt idx="9">
                  <c:v>140</c:v>
                </c:pt>
              </c:numCache>
            </c:numRef>
          </c:xVal>
          <c:yVal>
            <c:numRef>
              <c:f>Gen_form!$D$1423:$D$1432</c:f>
              <c:numCache>
                <c:formatCode>0.000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0-FD00-4974-AB86-80467A6F28E0}"/>
            </c:ext>
          </c:extLst>
        </c:ser>
        <c:ser>
          <c:idx val="1"/>
          <c:order val="1"/>
          <c:tx>
            <c:v>Sm Focus</c:v>
          </c:tx>
          <c:spPr>
            <a:ln w="12700">
              <a:solidFill>
                <a:srgbClr val="000000"/>
              </a:solidFill>
              <a:prstDash val="solid"/>
            </a:ln>
          </c:spPr>
          <c:marker>
            <c:symbol val="square"/>
            <c:size val="5"/>
            <c:spPr>
              <a:solidFill>
                <a:srgbClr val="00FF00"/>
              </a:solidFill>
              <a:ln>
                <a:solidFill>
                  <a:srgbClr val="000000"/>
                </a:solidFill>
                <a:prstDash val="solid"/>
              </a:ln>
            </c:spPr>
          </c:marker>
          <c:xVal>
            <c:numRef>
              <c:f>Gen_form!$H$1423:$H$1432</c:f>
              <c:numCache>
                <c:formatCode>0</c:formatCode>
                <c:ptCount val="10"/>
                <c:pt idx="0">
                  <c:v>45</c:v>
                </c:pt>
                <c:pt idx="1">
                  <c:v>55</c:v>
                </c:pt>
                <c:pt idx="2">
                  <c:v>65</c:v>
                </c:pt>
                <c:pt idx="3">
                  <c:v>75</c:v>
                </c:pt>
                <c:pt idx="4">
                  <c:v>85</c:v>
                </c:pt>
                <c:pt idx="5">
                  <c:v>95</c:v>
                </c:pt>
                <c:pt idx="6">
                  <c:v>105</c:v>
                </c:pt>
                <c:pt idx="7">
                  <c:v>115</c:v>
                </c:pt>
                <c:pt idx="8">
                  <c:v>125</c:v>
                </c:pt>
                <c:pt idx="9">
                  <c:v>135</c:v>
                </c:pt>
              </c:numCache>
            </c:numRef>
          </c:xVal>
          <c:yVal>
            <c:numRef>
              <c:f>Gen_form!$I$1423:$I$1432</c:f>
              <c:numCache>
                <c:formatCode>0.000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1-FD00-4974-AB86-80467A6F28E0}"/>
            </c:ext>
          </c:extLst>
        </c:ser>
        <c:dLbls>
          <c:showLegendKey val="0"/>
          <c:showVal val="0"/>
          <c:showCatName val="0"/>
          <c:showSerName val="0"/>
          <c:showPercent val="0"/>
          <c:showBubbleSize val="0"/>
        </c:dLbls>
        <c:axId val="201235168"/>
        <c:axId val="201468488"/>
      </c:scatterChart>
      <c:valAx>
        <c:axId val="201235168"/>
        <c:scaling>
          <c:orientation val="minMax"/>
          <c:max val="140"/>
          <c:min val="40"/>
        </c:scaling>
        <c:delete val="0"/>
        <c:axPos val="b"/>
        <c:majorGridlines>
          <c:spPr>
            <a:ln w="3175">
              <a:solidFill>
                <a:srgbClr val="000000"/>
              </a:solidFill>
              <a:prstDash val="solid"/>
            </a:ln>
          </c:spPr>
        </c:majorGridlines>
        <c:minorGridlines/>
        <c:title>
          <c:tx>
            <c:rich>
              <a:bodyPr/>
              <a:lstStyle/>
              <a:p>
                <a:pPr>
                  <a:defRPr sz="1000" b="1" i="0" u="none" strike="noStrike" baseline="0">
                    <a:solidFill>
                      <a:srgbClr val="000000"/>
                    </a:solidFill>
                    <a:latin typeface="MS Sans Serif"/>
                    <a:ea typeface="MS Sans Serif"/>
                    <a:cs typeface="MS Sans Serif"/>
                  </a:defRPr>
                </a:pPr>
                <a:r>
                  <a:rPr lang="en-US"/>
                  <a:t>kVp</a:t>
                </a:r>
              </a:p>
            </c:rich>
          </c:tx>
          <c:layout>
            <c:manualLayout>
              <c:xMode val="edge"/>
              <c:yMode val="edge"/>
              <c:x val="0.4813078663524985"/>
              <c:y val="0.94635309154368885"/>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MS Sans Serif"/>
                <a:ea typeface="MS Sans Serif"/>
                <a:cs typeface="MS Sans Serif"/>
              </a:defRPr>
            </a:pPr>
            <a:endParaRPr lang="en-US"/>
          </a:p>
        </c:txPr>
        <c:crossAx val="201468488"/>
        <c:crosses val="autoZero"/>
        <c:crossBetween val="midCat"/>
      </c:valAx>
      <c:valAx>
        <c:axId val="201468488"/>
        <c:scaling>
          <c:orientation val="minMax"/>
        </c:scaling>
        <c:delete val="0"/>
        <c:axPos val="l"/>
        <c:majorGridlines>
          <c:spPr>
            <a:ln w="3175">
              <a:solidFill>
                <a:srgbClr val="000000"/>
              </a:solidFill>
              <a:prstDash val="solid"/>
            </a:ln>
          </c:spPr>
        </c:majorGridlines>
        <c:minorGridlines/>
        <c:title>
          <c:tx>
            <c:rich>
              <a:bodyPr/>
              <a:lstStyle/>
              <a:p>
                <a:pPr>
                  <a:defRPr sz="1000" b="1" i="0" u="none" strike="noStrike" baseline="0">
                    <a:solidFill>
                      <a:srgbClr val="000000"/>
                    </a:solidFill>
                    <a:latin typeface="MS Sans Serif"/>
                    <a:ea typeface="MS Sans Serif"/>
                    <a:cs typeface="MS Sans Serif"/>
                  </a:defRPr>
                </a:pPr>
                <a:r>
                  <a:rPr lang="en-US"/>
                  <a:t>mGy/mAs @ 40"</a:t>
                </a:r>
              </a:p>
            </c:rich>
          </c:tx>
          <c:layout>
            <c:manualLayout>
              <c:xMode val="edge"/>
              <c:yMode val="edge"/>
              <c:x val="8.5037024831934073E-3"/>
              <c:y val="0.39166288804143462"/>
            </c:manualLayout>
          </c:layout>
          <c:overlay val="0"/>
          <c:spPr>
            <a:noFill/>
            <a:ln w="25400">
              <a:noFill/>
            </a:ln>
          </c:spPr>
        </c:title>
        <c:numFmt formatCode="0.00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MS Sans Serif"/>
                <a:ea typeface="MS Sans Serif"/>
                <a:cs typeface="MS Sans Serif"/>
              </a:defRPr>
            </a:pPr>
            <a:endParaRPr lang="en-US"/>
          </a:p>
        </c:txPr>
        <c:crossAx val="201235168"/>
        <c:crosses val="autoZero"/>
        <c:crossBetween val="midCat"/>
      </c:valAx>
      <c:spPr>
        <a:noFill/>
        <a:ln w="25400">
          <a:noFill/>
        </a:ln>
      </c:spPr>
    </c:plotArea>
    <c:legend>
      <c:legendPos val="r"/>
      <c:layout>
        <c:manualLayout>
          <c:xMode val="edge"/>
          <c:yMode val="edge"/>
          <c:x val="0.19578945724928307"/>
          <c:y val="0.24008672465404488"/>
          <c:w val="0.1566315990189607"/>
          <c:h val="9.1272592033175087E-2"/>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MS Sans Serif"/>
              <a:ea typeface="MS Sans Serif"/>
              <a:cs typeface="MS Sans Serif"/>
            </a:defRPr>
          </a:pPr>
          <a:endParaRPr lang="en-US"/>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MS Sans Serif"/>
          <a:ea typeface="MS Sans Serif"/>
          <a:cs typeface="MS Sans Serif"/>
        </a:defRPr>
      </a:pPr>
      <a:endParaRPr lang="en-US"/>
    </a:p>
  </c:txPr>
  <c:printSettings>
    <c:headerFooter alignWithMargins="0">
      <c:oddHeader>&amp;F</c:oddHeader>
      <c:oddFooter>Page &amp;P</c:oddFooter>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US"/>
              <a:t>Large Focus mGy/mAs</a:t>
            </a:r>
          </a:p>
        </c:rich>
      </c:tx>
      <c:layout>
        <c:manualLayout>
          <c:xMode val="edge"/>
          <c:yMode val="edge"/>
          <c:x val="0.34106346275864952"/>
          <c:y val="3.6102084221509075E-2"/>
        </c:manualLayout>
      </c:layout>
      <c:overlay val="0"/>
      <c:spPr>
        <a:noFill/>
        <a:ln w="25400">
          <a:noFill/>
        </a:ln>
      </c:spPr>
    </c:title>
    <c:autoTitleDeleted val="0"/>
    <c:plotArea>
      <c:layout>
        <c:manualLayout>
          <c:layoutTarget val="inner"/>
          <c:xMode val="edge"/>
          <c:yMode val="edge"/>
          <c:x val="0.12421446866953142"/>
          <c:y val="0.14440909446475139"/>
          <c:w val="0.76423478181423576"/>
          <c:h val="0.63178978828328736"/>
        </c:manualLayout>
      </c:layout>
      <c:scatterChart>
        <c:scatterStyle val="lineMarker"/>
        <c:varyColors val="0"/>
        <c:ser>
          <c:idx val="0"/>
          <c:order val="0"/>
          <c:tx>
            <c:v>Current mR/mAs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Gen_form!$W$1397:$W$1404</c:f>
            </c:numRef>
          </c:xVal>
          <c:yVal>
            <c:numRef>
              <c:f>Gen_form!$Y$1397:$Y$1404</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7C44-42D9-8E8B-DD508155E88B}"/>
            </c:ext>
          </c:extLst>
        </c:ser>
        <c:ser>
          <c:idx val="1"/>
          <c:order val="1"/>
          <c:tx>
            <c:v>Previous mR/mAs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Gen_form!$V$1397:$V$1404</c:f>
            </c:numRef>
          </c:xVal>
          <c:yVal>
            <c:numRef>
              <c:f>Gen_form!$U$1397:$U$1404</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7C44-42D9-8E8B-DD508155E88B}"/>
            </c:ext>
          </c:extLst>
        </c:ser>
        <c:dLbls>
          <c:showLegendKey val="0"/>
          <c:showVal val="0"/>
          <c:showCatName val="0"/>
          <c:showSerName val="0"/>
          <c:showPercent val="0"/>
          <c:showBubbleSize val="0"/>
        </c:dLbls>
        <c:axId val="155941920"/>
        <c:axId val="156171280"/>
      </c:scatterChart>
      <c:valAx>
        <c:axId val="155941920"/>
        <c:scaling>
          <c:orientation val="minMax"/>
          <c:max val="5"/>
          <c:min val="3.6"/>
        </c:scaling>
        <c:delete val="0"/>
        <c:axPos val="b"/>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Ln (kVp)</a:t>
                </a:r>
              </a:p>
            </c:rich>
          </c:tx>
          <c:layout>
            <c:manualLayout>
              <c:xMode val="edge"/>
              <c:yMode val="edge"/>
              <c:x val="0.43159263059392"/>
              <c:y val="0.8808957817727862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56171280"/>
        <c:crosses val="autoZero"/>
        <c:crossBetween val="midCat"/>
        <c:majorUnit val="0.2"/>
        <c:minorUnit val="0.1"/>
      </c:valAx>
      <c:valAx>
        <c:axId val="156171280"/>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Ln (mGy/mAs)</a:t>
                </a:r>
              </a:p>
            </c:rich>
          </c:tx>
          <c:layout>
            <c:manualLayout>
              <c:xMode val="edge"/>
              <c:yMode val="edge"/>
              <c:x val="1.0526810363889309E-2"/>
              <c:y val="0.27798731992961079"/>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55941920"/>
        <c:crosses val="autoZero"/>
        <c:crossBetween val="midCat"/>
      </c:valAx>
      <c:spPr>
        <a:solidFill>
          <a:srgbClr val="CCFFFF"/>
        </a:solidFill>
        <a:ln w="12700">
          <a:solidFill>
            <a:srgbClr val="808080"/>
          </a:solidFill>
          <a:prstDash val="solid"/>
        </a:ln>
      </c:spPr>
    </c:plotArea>
    <c:legend>
      <c:legendPos val="r"/>
      <c:layout>
        <c:manualLayout>
          <c:xMode val="edge"/>
          <c:yMode val="edge"/>
          <c:x val="0.69908814902846006"/>
          <c:y val="2.1583614205461319E-2"/>
          <c:w val="0.28038289126966942"/>
          <c:h val="0.15468144273248086"/>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US"/>
              <a:t>Small Focus mGy/mAs</a:t>
            </a:r>
          </a:p>
        </c:rich>
      </c:tx>
      <c:layout>
        <c:manualLayout>
          <c:xMode val="edge"/>
          <c:yMode val="edge"/>
          <c:x val="0.3452741206523875"/>
          <c:y val="3.6102136372651993E-2"/>
        </c:manualLayout>
      </c:layout>
      <c:overlay val="0"/>
      <c:spPr>
        <a:noFill/>
        <a:ln w="25400">
          <a:noFill/>
        </a:ln>
      </c:spPr>
    </c:title>
    <c:autoTitleDeleted val="0"/>
    <c:plotArea>
      <c:layout>
        <c:manualLayout>
          <c:layoutTarget val="inner"/>
          <c:xMode val="edge"/>
          <c:yMode val="edge"/>
          <c:x val="0.113687818782283"/>
          <c:y val="0.14440909446475139"/>
          <c:w val="0.77265610172403443"/>
          <c:h val="0.64623069772976249"/>
        </c:manualLayout>
      </c:layout>
      <c:scatterChart>
        <c:scatterStyle val="lineMarker"/>
        <c:varyColors val="0"/>
        <c:ser>
          <c:idx val="0"/>
          <c:order val="0"/>
          <c:tx>
            <c:v>Current mR/mAs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Gen_form!$W$1414:$W$1419</c:f>
            </c:numRef>
          </c:xVal>
          <c:yVal>
            <c:numRef>
              <c:f>Gen_form!$Y$1414:$Y$1419</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0-6446-4E9F-A416-C92A7B234A57}"/>
            </c:ext>
          </c:extLst>
        </c:ser>
        <c:ser>
          <c:idx val="1"/>
          <c:order val="1"/>
          <c:tx>
            <c:v>Previous mR/mAs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Gen_form!$V$1414:$V$1419</c:f>
            </c:numRef>
          </c:xVal>
          <c:yVal>
            <c:numRef>
              <c:f>Gen_form!$U$1414:$U$1419</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1-6446-4E9F-A416-C92A7B234A57}"/>
            </c:ext>
          </c:extLst>
        </c:ser>
        <c:dLbls>
          <c:showLegendKey val="0"/>
          <c:showVal val="0"/>
          <c:showCatName val="0"/>
          <c:showSerName val="0"/>
          <c:showPercent val="0"/>
          <c:showBubbleSize val="0"/>
        </c:dLbls>
        <c:axId val="112385600"/>
        <c:axId val="112385992"/>
      </c:scatterChart>
      <c:valAx>
        <c:axId val="112385600"/>
        <c:scaling>
          <c:orientation val="minMax"/>
          <c:max val="5"/>
          <c:min val="3.6"/>
        </c:scaling>
        <c:delete val="0"/>
        <c:axPos val="b"/>
        <c:majorGridlines>
          <c:spPr>
            <a:ln w="3175">
              <a:solidFill>
                <a:srgbClr val="000000"/>
              </a:solidFill>
              <a:prstDash val="solid"/>
            </a:ln>
          </c:spPr>
        </c:majorGridlines>
        <c:title>
          <c:tx>
            <c:rich>
              <a:bodyPr/>
              <a:lstStyle/>
              <a:p>
                <a:pPr>
                  <a:defRPr sz="950" b="1" i="0" u="none" strike="noStrike" baseline="0">
                    <a:solidFill>
                      <a:srgbClr val="000000"/>
                    </a:solidFill>
                    <a:latin typeface="Arial"/>
                    <a:ea typeface="Arial"/>
                    <a:cs typeface="Arial"/>
                  </a:defRPr>
                </a:pPr>
                <a:r>
                  <a:rPr lang="en-US"/>
                  <a:t>Ln (kVp)</a:t>
                </a:r>
              </a:p>
            </c:rich>
          </c:tx>
          <c:layout>
            <c:manualLayout>
              <c:xMode val="edge"/>
              <c:yMode val="edge"/>
              <c:x val="0.44001385858042624"/>
              <c:y val="0.90255697237874399"/>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12385992"/>
        <c:crosses val="autoZero"/>
        <c:crossBetween val="midCat"/>
        <c:majorUnit val="0.2"/>
        <c:minorUnit val="0.1"/>
      </c:valAx>
      <c:valAx>
        <c:axId val="112385992"/>
        <c:scaling>
          <c:orientation val="minMax"/>
        </c:scaling>
        <c:delete val="0"/>
        <c:axPos val="l"/>
        <c:majorGridlines>
          <c:spPr>
            <a:ln w="3175">
              <a:solidFill>
                <a:srgbClr val="000000"/>
              </a:solidFill>
              <a:prstDash val="solid"/>
            </a:ln>
          </c:spPr>
        </c:majorGridlines>
        <c:title>
          <c:tx>
            <c:rich>
              <a:bodyPr/>
              <a:lstStyle/>
              <a:p>
                <a:pPr>
                  <a:defRPr sz="1125" b="1" i="0" u="none" strike="noStrike" baseline="0">
                    <a:solidFill>
                      <a:srgbClr val="000000"/>
                    </a:solidFill>
                    <a:latin typeface="Arial"/>
                    <a:ea typeface="Arial"/>
                    <a:cs typeface="Arial"/>
                  </a:defRPr>
                </a:pPr>
                <a:r>
                  <a:rPr lang="en-US"/>
                  <a:t>Ln (mGy/mAs)</a:t>
                </a:r>
              </a:p>
            </c:rich>
          </c:tx>
          <c:layout>
            <c:manualLayout>
              <c:xMode val="edge"/>
              <c:yMode val="edge"/>
              <c:x val="1.0526729478441632E-2"/>
              <c:y val="0.3068695448029369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12385600"/>
        <c:crosses val="autoZero"/>
        <c:crossBetween val="midCat"/>
      </c:valAx>
      <c:spPr>
        <a:solidFill>
          <a:srgbClr val="CCFFFF"/>
        </a:solidFill>
        <a:ln w="12700">
          <a:solidFill>
            <a:srgbClr val="808080"/>
          </a:solidFill>
          <a:prstDash val="solid"/>
        </a:ln>
      </c:spPr>
    </c:plotArea>
    <c:legend>
      <c:legendPos val="r"/>
      <c:layout>
        <c:manualLayout>
          <c:xMode val="edge"/>
          <c:yMode val="edge"/>
          <c:x val="0.70414309501401373"/>
          <c:y val="2.8778063570576547E-2"/>
          <c:w val="0.28090825412913301"/>
          <c:h val="0.15468125041321626"/>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294073132532325"/>
          <c:y val="0.17127611843284429"/>
          <c:w val="0.81351790811018698"/>
          <c:h val="0.64090418510354641"/>
        </c:manualLayout>
      </c:layout>
      <c:scatterChart>
        <c:scatterStyle val="smoothMarker"/>
        <c:varyColors val="0"/>
        <c:ser>
          <c:idx val="0"/>
          <c:order val="0"/>
          <c:tx>
            <c:strRef>
              <c:f>Gen_form!$M$976</c:f>
              <c:strCache>
                <c:ptCount val="1"/>
                <c:pt idx="0">
                  <c:v>80 kV</c:v>
                </c:pt>
              </c:strCache>
            </c:strRef>
          </c:tx>
          <c:spPr>
            <a:ln w="38100">
              <a:solidFill>
                <a:srgbClr val="000000"/>
              </a:solidFill>
              <a:prstDash val="solid"/>
            </a:ln>
          </c:spPr>
          <c:marker>
            <c:symbol val="diamond"/>
            <c:size val="8"/>
            <c:spPr>
              <a:solidFill>
                <a:srgbClr val="000000"/>
              </a:solidFill>
              <a:ln>
                <a:solidFill>
                  <a:srgbClr val="000000"/>
                </a:solidFill>
                <a:prstDash val="solid"/>
              </a:ln>
            </c:spPr>
          </c:marker>
          <c:dLbls>
            <c:spPr>
              <a:noFill/>
              <a:ln w="25400">
                <a:noFill/>
              </a:ln>
            </c:spPr>
            <c:txPr>
              <a:bodyPr/>
              <a:lstStyle/>
              <a:p>
                <a:pPr algn="ctr" rtl="1">
                  <a:defRPr sz="1000" b="1" i="0" u="none" strike="noStrike" baseline="0">
                    <a:solidFill>
                      <a:srgbClr val="000000"/>
                    </a:solidFill>
                    <a:latin typeface="Arial"/>
                    <a:ea typeface="Arial"/>
                    <a:cs typeface="Arial"/>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Gen_form!$M$978:$M$983</c:f>
              <c:numCache>
                <c:formatCode>0.00</c:formatCode>
                <c:ptCount val="6"/>
                <c:pt idx="0">
                  <c:v>0</c:v>
                </c:pt>
                <c:pt idx="1">
                  <c:v>0</c:v>
                </c:pt>
                <c:pt idx="2">
                  <c:v>0</c:v>
                </c:pt>
                <c:pt idx="3">
                  <c:v>0</c:v>
                </c:pt>
                <c:pt idx="4">
                  <c:v>0</c:v>
                </c:pt>
                <c:pt idx="5">
                  <c:v>0</c:v>
                </c:pt>
              </c:numCache>
            </c:numRef>
          </c:xVal>
          <c:yVal>
            <c:numRef>
              <c:f>Gen_form!$N$978:$N$983</c:f>
              <c:numCache>
                <c:formatCode>0.00</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0-8E48-4B27-9FD3-4D8638CFAE57}"/>
            </c:ext>
          </c:extLst>
        </c:ser>
        <c:ser>
          <c:idx val="1"/>
          <c:order val="1"/>
          <c:tx>
            <c:strRef>
              <c:f>Gen_form!$M$962</c:f>
              <c:strCache>
                <c:ptCount val="1"/>
              </c:strCache>
            </c:strRef>
          </c:tx>
          <c:dLbls>
            <c:spPr>
              <a:noFill/>
              <a:ln>
                <a:noFill/>
              </a:ln>
              <a:effectLst/>
            </c:spPr>
            <c:txPr>
              <a:bodyPr wrap="square" lIns="38100" tIns="19050" rIns="38100" bIns="19050" anchor="ctr">
                <a:spAutoFit/>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Gen_form!$M$964:$M$967</c:f>
              <c:numCache>
                <c:formatCode>0.00</c:formatCode>
                <c:ptCount val="4"/>
              </c:numCache>
            </c:numRef>
          </c:xVal>
          <c:yVal>
            <c:numRef>
              <c:f>Gen_form!$N$964:$N$967</c:f>
              <c:numCache>
                <c:formatCode>0.00</c:formatCode>
                <c:ptCount val="4"/>
              </c:numCache>
            </c:numRef>
          </c:yVal>
          <c:smooth val="1"/>
          <c:extLst>
            <c:ext xmlns:c16="http://schemas.microsoft.com/office/drawing/2014/chart" uri="{C3380CC4-5D6E-409C-BE32-E72D297353CC}">
              <c16:uniqueId val="{00000001-8E48-4B27-9FD3-4D8638CFAE57}"/>
            </c:ext>
          </c:extLst>
        </c:ser>
        <c:ser>
          <c:idx val="2"/>
          <c:order val="2"/>
          <c:tx>
            <c:strRef>
              <c:f>Gen_form!$M$969</c:f>
              <c:strCache>
                <c:ptCount val="1"/>
              </c:strCache>
            </c:strRef>
          </c:tx>
          <c:dLbls>
            <c:spPr>
              <a:noFill/>
              <a:ln>
                <a:noFill/>
              </a:ln>
              <a:effectLst/>
            </c:spPr>
            <c:txPr>
              <a:bodyPr wrap="square" lIns="38100" tIns="19050" rIns="38100" bIns="19050" anchor="ctr">
                <a:spAutoFit/>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Gen_form!$M$971:$M$974</c:f>
              <c:numCache>
                <c:formatCode>0.00</c:formatCode>
                <c:ptCount val="4"/>
              </c:numCache>
            </c:numRef>
          </c:xVal>
          <c:yVal>
            <c:numRef>
              <c:f>Gen_form!$N$971:$N$974</c:f>
              <c:numCache>
                <c:formatCode>0.00</c:formatCode>
                <c:ptCount val="4"/>
              </c:numCache>
            </c:numRef>
          </c:yVal>
          <c:smooth val="1"/>
          <c:extLst>
            <c:ext xmlns:c16="http://schemas.microsoft.com/office/drawing/2014/chart" uri="{C3380CC4-5D6E-409C-BE32-E72D297353CC}">
              <c16:uniqueId val="{00000002-8E48-4B27-9FD3-4D8638CFAE57}"/>
            </c:ext>
          </c:extLst>
        </c:ser>
        <c:ser>
          <c:idx val="3"/>
          <c:order val="3"/>
          <c:tx>
            <c:strRef>
              <c:f>Gen_form!$M$985</c:f>
              <c:strCache>
                <c:ptCount val="1"/>
              </c:strCache>
            </c:strRef>
          </c:tx>
          <c:dLbls>
            <c:spPr>
              <a:noFill/>
              <a:ln>
                <a:noFill/>
              </a:ln>
              <a:effectLst/>
            </c:spPr>
            <c:txPr>
              <a:bodyPr wrap="square" lIns="38100" tIns="19050" rIns="38100" bIns="19050" anchor="ctr">
                <a:spAutoFit/>
              </a:bodyPr>
              <a:lstStyle/>
              <a:p>
                <a:pPr>
                  <a:defRPr b="1"/>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Gen_form!$M$987:$M$990</c:f>
              <c:numCache>
                <c:formatCode>0.00</c:formatCode>
                <c:ptCount val="4"/>
              </c:numCache>
            </c:numRef>
          </c:xVal>
          <c:yVal>
            <c:numRef>
              <c:f>Gen_form!$N$987:$N$990</c:f>
              <c:numCache>
                <c:formatCode>0.00</c:formatCode>
                <c:ptCount val="4"/>
              </c:numCache>
            </c:numRef>
          </c:yVal>
          <c:smooth val="1"/>
          <c:extLst>
            <c:ext xmlns:c16="http://schemas.microsoft.com/office/drawing/2014/chart" uri="{C3380CC4-5D6E-409C-BE32-E72D297353CC}">
              <c16:uniqueId val="{00000003-8E48-4B27-9FD3-4D8638CFAE57}"/>
            </c:ext>
          </c:extLst>
        </c:ser>
        <c:dLbls>
          <c:showLegendKey val="0"/>
          <c:showVal val="0"/>
          <c:showCatName val="0"/>
          <c:showSerName val="0"/>
          <c:showPercent val="0"/>
          <c:showBubbleSize val="0"/>
        </c:dLbls>
        <c:axId val="203103544"/>
        <c:axId val="203103936"/>
      </c:scatterChart>
      <c:valAx>
        <c:axId val="203103544"/>
        <c:scaling>
          <c:orientation val="minMax"/>
          <c:min val="2"/>
        </c:scaling>
        <c:delete val="0"/>
        <c:axPos val="b"/>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n-US"/>
                  <a:t>Attenuator (mm Al)</a:t>
                </a:r>
              </a:p>
            </c:rich>
          </c:tx>
          <c:layout>
            <c:manualLayout>
              <c:xMode val="edge"/>
              <c:yMode val="edge"/>
              <c:x val="0.40874303631294345"/>
              <c:y val="0.89781848405756604"/>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n-US"/>
          </a:p>
        </c:txPr>
        <c:crossAx val="203103936"/>
        <c:crosses val="autoZero"/>
        <c:crossBetween val="midCat"/>
      </c:valAx>
      <c:valAx>
        <c:axId val="203103936"/>
        <c:scaling>
          <c:orientation val="minMax"/>
        </c:scaling>
        <c:delete val="0"/>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n-US"/>
                  <a:t>Exposure (mGy)</a:t>
                </a:r>
              </a:p>
            </c:rich>
          </c:tx>
          <c:layout>
            <c:manualLayout>
              <c:xMode val="edge"/>
              <c:yMode val="edge"/>
              <c:x val="1.5873508394673885E-2"/>
              <c:y val="0.33978965958514101"/>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n-US"/>
          </a:p>
        </c:txPr>
        <c:crossAx val="203103544"/>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952543877003439"/>
          <c:y val="3.2420045438778758E-2"/>
        </c:manualLayout>
      </c:layout>
      <c:overlay val="0"/>
      <c:spPr>
        <a:noFill/>
        <a:ln w="25400">
          <a:noFill/>
        </a:ln>
      </c:spPr>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3746630894926096"/>
          <c:y val="0.17207560495583554"/>
          <c:w val="0.79783788108252929"/>
          <c:h val="0.6608700770042959"/>
        </c:manualLayout>
      </c:layout>
      <c:scatterChart>
        <c:scatterStyle val="smoothMarker"/>
        <c:varyColors val="0"/>
        <c:ser>
          <c:idx val="0"/>
          <c:order val="0"/>
          <c:tx>
            <c:v>HVL</c:v>
          </c:tx>
          <c:spPr>
            <a:ln w="38100">
              <a:solidFill>
                <a:srgbClr val="000000"/>
              </a:solidFill>
              <a:prstDash val="solid"/>
            </a:ln>
          </c:spPr>
          <c:marker>
            <c:symbol val="diamond"/>
            <c:size val="8"/>
            <c:spPr>
              <a:solidFill>
                <a:srgbClr val="000000"/>
              </a:solidFill>
              <a:ln>
                <a:solidFill>
                  <a:srgbClr val="000000"/>
                </a:solidFill>
                <a:prstDash val="solid"/>
              </a:ln>
            </c:spPr>
          </c:marker>
          <c:dLbls>
            <c:spPr>
              <a:noFill/>
              <a:ln w="25400">
                <a:noFill/>
              </a:ln>
            </c:spPr>
            <c:txPr>
              <a:bodyPr/>
              <a:lstStyle/>
              <a:p>
                <a:pPr algn="ctr" rtl="1">
                  <a:defRPr sz="1200" b="1" i="0" u="none" strike="noStrike" baseline="0">
                    <a:solidFill>
                      <a:srgbClr val="000000"/>
                    </a:solidFill>
                    <a:latin typeface="Arial"/>
                    <a:ea typeface="Arial"/>
                    <a:cs typeface="Arial"/>
                  </a:defRPr>
                </a:pPr>
                <a:endParaRPr lang="en-US"/>
              </a:p>
            </c:txPr>
            <c:dLblPos val="b"/>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Gen_form!$M$978:$M$983</c:f>
              <c:numCache>
                <c:formatCode>0.00</c:formatCode>
                <c:ptCount val="6"/>
                <c:pt idx="0">
                  <c:v>0</c:v>
                </c:pt>
                <c:pt idx="1">
                  <c:v>0</c:v>
                </c:pt>
                <c:pt idx="2">
                  <c:v>0</c:v>
                </c:pt>
                <c:pt idx="3">
                  <c:v>0</c:v>
                </c:pt>
                <c:pt idx="4">
                  <c:v>0</c:v>
                </c:pt>
                <c:pt idx="5">
                  <c:v>0</c:v>
                </c:pt>
              </c:numCache>
            </c:numRef>
          </c:xVal>
          <c:yVal>
            <c:numRef>
              <c:f>Gen_form!$N$978:$N$983</c:f>
              <c:numCache>
                <c:formatCode>0.00</c:formatCode>
                <c:ptCount val="6"/>
                <c:pt idx="0">
                  <c:v>0</c:v>
                </c:pt>
                <c:pt idx="1">
                  <c:v>0</c:v>
                </c:pt>
                <c:pt idx="2">
                  <c:v>0</c:v>
                </c:pt>
                <c:pt idx="3">
                  <c:v>0</c:v>
                </c:pt>
                <c:pt idx="4">
                  <c:v>0</c:v>
                </c:pt>
                <c:pt idx="5">
                  <c:v>0</c:v>
                </c:pt>
              </c:numCache>
            </c:numRef>
          </c:yVal>
          <c:smooth val="1"/>
          <c:extLst>
            <c:ext xmlns:c16="http://schemas.microsoft.com/office/drawing/2014/chart" uri="{C3380CC4-5D6E-409C-BE32-E72D297353CC}">
              <c16:uniqueId val="{00000000-C511-4378-B3FA-D6E623590FEB}"/>
            </c:ext>
          </c:extLst>
        </c:ser>
        <c:dLbls>
          <c:showLegendKey val="0"/>
          <c:showVal val="0"/>
          <c:showCatName val="0"/>
          <c:showSerName val="0"/>
          <c:showPercent val="0"/>
          <c:showBubbleSize val="0"/>
        </c:dLbls>
        <c:axId val="203103152"/>
        <c:axId val="203102760"/>
      </c:scatterChart>
      <c:valAx>
        <c:axId val="203103152"/>
        <c:scaling>
          <c:orientation val="minMax"/>
        </c:scaling>
        <c:delete val="0"/>
        <c:axPos val="b"/>
        <c:majorGridlines>
          <c:spPr>
            <a:ln w="3175">
              <a:solidFill>
                <a:srgbClr val="000000"/>
              </a:solidFill>
              <a:prstDash val="solid"/>
            </a:ln>
          </c:spPr>
        </c:majorGridlines>
        <c:title>
          <c:tx>
            <c:rich>
              <a:bodyPr/>
              <a:lstStyle/>
              <a:p>
                <a:pPr>
                  <a:defRPr sz="1425" b="1" i="0" u="none" strike="noStrike" baseline="0">
                    <a:solidFill>
                      <a:srgbClr val="000000"/>
                    </a:solidFill>
                    <a:latin typeface="Arial"/>
                    <a:ea typeface="Arial"/>
                    <a:cs typeface="Arial"/>
                  </a:defRPr>
                </a:pPr>
                <a:r>
                  <a:rPr lang="en-US"/>
                  <a:t>Attenuator (mm Al)</a:t>
                </a:r>
              </a:p>
            </c:rich>
          </c:tx>
          <c:layout>
            <c:manualLayout>
              <c:xMode val="edge"/>
              <c:yMode val="edge"/>
              <c:x val="0.38027078686271915"/>
              <c:y val="0.910254951578384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203102760"/>
        <c:crosses val="autoZero"/>
        <c:crossBetween val="midCat"/>
      </c:valAx>
      <c:valAx>
        <c:axId val="203102760"/>
        <c:scaling>
          <c:orientation val="minMax"/>
        </c:scaling>
        <c:delete val="0"/>
        <c:axPos val="l"/>
        <c:majorGridlines>
          <c:spPr>
            <a:ln w="3175">
              <a:solidFill>
                <a:srgbClr val="000000"/>
              </a:solidFill>
              <a:prstDash val="solid"/>
            </a:ln>
          </c:spPr>
        </c:majorGridlines>
        <c:title>
          <c:tx>
            <c:rich>
              <a:bodyPr/>
              <a:lstStyle/>
              <a:p>
                <a:pPr>
                  <a:defRPr sz="1425" b="1" i="0" u="none" strike="noStrike" baseline="0">
                    <a:solidFill>
                      <a:srgbClr val="000000"/>
                    </a:solidFill>
                    <a:latin typeface="Arial"/>
                    <a:ea typeface="Arial"/>
                    <a:cs typeface="Arial"/>
                  </a:defRPr>
                </a:pPr>
                <a:r>
                  <a:rPr lang="en-US"/>
                  <a:t>Exposure (mGy)</a:t>
                </a:r>
              </a:p>
            </c:rich>
          </c:tx>
          <c:layout>
            <c:manualLayout>
              <c:xMode val="edge"/>
              <c:yMode val="edge"/>
              <c:x val="8.0907064249699599E-3"/>
              <c:y val="0.32420045438778761"/>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203103152"/>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Large Focus mGy/mAs</a:t>
            </a:r>
          </a:p>
        </c:rich>
      </c:tx>
      <c:layout>
        <c:manualLayout>
          <c:xMode val="edge"/>
          <c:yMode val="edge"/>
          <c:x val="8.3097346592772778E-2"/>
          <c:y val="2.3347248361549479E-2"/>
        </c:manualLayout>
      </c:layout>
      <c:overlay val="0"/>
      <c:spPr>
        <a:noFill/>
        <a:ln w="25400">
          <a:noFill/>
        </a:ln>
      </c:spPr>
    </c:title>
    <c:autoTitleDeleted val="0"/>
    <c:plotArea>
      <c:layout>
        <c:manualLayout>
          <c:layoutTarget val="inner"/>
          <c:xMode val="edge"/>
          <c:yMode val="edge"/>
          <c:x val="0.13467500138310184"/>
          <c:y val="0.22179708215567021"/>
          <c:w val="0.73927979482638884"/>
          <c:h val="0.58367653198860581"/>
        </c:manualLayout>
      </c:layout>
      <c:scatterChart>
        <c:scatterStyle val="lineMarker"/>
        <c:varyColors val="0"/>
        <c:ser>
          <c:idx val="0"/>
          <c:order val="0"/>
          <c:tx>
            <c:v>Current mGy/mAs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Gen_form!$W$1397:$W$1404</c:f>
            </c:numRef>
          </c:xVal>
          <c:yVal>
            <c:numRef>
              <c:f>Gen_form!$Y$1397:$Y$1404</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6647-4C17-9D34-5CC6789F1900}"/>
            </c:ext>
          </c:extLst>
        </c:ser>
        <c:ser>
          <c:idx val="1"/>
          <c:order val="1"/>
          <c:tx>
            <c:v>Previous mGy/mAs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Gen_form!$V$1397:$V$1404</c:f>
            </c:numRef>
          </c:xVal>
          <c:yVal>
            <c:numRef>
              <c:f>Gen_form!$U$1397:$U$1404</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6647-4C17-9D34-5CC6789F1900}"/>
            </c:ext>
          </c:extLst>
        </c:ser>
        <c:dLbls>
          <c:showLegendKey val="0"/>
          <c:showVal val="0"/>
          <c:showCatName val="0"/>
          <c:showSerName val="0"/>
          <c:showPercent val="0"/>
          <c:showBubbleSize val="0"/>
        </c:dLbls>
        <c:axId val="203517976"/>
        <c:axId val="203518368"/>
      </c:scatterChart>
      <c:valAx>
        <c:axId val="203517976"/>
        <c:scaling>
          <c:orientation val="minMax"/>
          <c:max val="5"/>
          <c:min val="3.6"/>
        </c:scaling>
        <c:delete val="0"/>
        <c:axPos val="b"/>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(kVp)</a:t>
                </a:r>
              </a:p>
            </c:rich>
          </c:tx>
          <c:layout>
            <c:manualLayout>
              <c:xMode val="edge"/>
              <c:yMode val="edge"/>
              <c:x val="0.43267911386617725"/>
              <c:y val="0.898861540669975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8368"/>
        <c:crosses val="autoZero"/>
        <c:crossBetween val="midCat"/>
        <c:majorUnit val="0.2"/>
        <c:minorUnit val="0.1"/>
      </c:valAx>
      <c:valAx>
        <c:axId val="203518368"/>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(mGy/mAs)</a:t>
                </a:r>
              </a:p>
            </c:rich>
          </c:tx>
          <c:layout>
            <c:manualLayout>
              <c:xMode val="edge"/>
              <c:yMode val="edge"/>
              <c:x val="1.4327263718013858E-2"/>
              <c:y val="0.3696616855937123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7976"/>
        <c:crosses val="autoZero"/>
        <c:crossBetween val="midCat"/>
      </c:valAx>
      <c:spPr>
        <a:noFill/>
        <a:ln w="12700">
          <a:solidFill>
            <a:srgbClr val="808080"/>
          </a:solidFill>
          <a:prstDash val="solid"/>
        </a:ln>
      </c:spPr>
    </c:plotArea>
    <c:legend>
      <c:legendPos val="r"/>
      <c:layout>
        <c:manualLayout>
          <c:xMode val="edge"/>
          <c:yMode val="edge"/>
          <c:x val="0.5949553132879527"/>
          <c:y val="3.8911937340683815E-2"/>
          <c:w val="0.37975861541520295"/>
          <c:h val="0.16732072886496605"/>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Small Focus mGy/mAs</a:t>
            </a:r>
          </a:p>
        </c:rich>
      </c:tx>
      <c:layout>
        <c:manualLayout>
          <c:xMode val="edge"/>
          <c:yMode val="edge"/>
          <c:x val="9.943498685502844E-2"/>
          <c:y val="5.058534662861057E-2"/>
        </c:manualLayout>
      </c:layout>
      <c:overlay val="0"/>
      <c:spPr>
        <a:noFill/>
        <a:ln w="25400">
          <a:noFill/>
        </a:ln>
      </c:spPr>
    </c:title>
    <c:autoTitleDeleted val="0"/>
    <c:plotArea>
      <c:layout>
        <c:manualLayout>
          <c:layoutTarget val="inner"/>
          <c:xMode val="edge"/>
          <c:yMode val="edge"/>
          <c:x val="0.12500416885176152"/>
          <c:y val="0.21012355151589807"/>
          <c:w val="0.74718400927302908"/>
          <c:h val="0.59535006262837786"/>
        </c:manualLayout>
      </c:layout>
      <c:scatterChart>
        <c:scatterStyle val="lineMarker"/>
        <c:varyColors val="0"/>
        <c:ser>
          <c:idx val="0"/>
          <c:order val="0"/>
          <c:tx>
            <c:v>Current mGy/mAs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Gen_form!$W$1414:$W$1419</c:f>
            </c:numRef>
          </c:xVal>
          <c:yVal>
            <c:numRef>
              <c:f>Gen_form!$Y$1414:$Y$1419</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0-3464-4E1E-9F53-D131E0F1387E}"/>
            </c:ext>
          </c:extLst>
        </c:ser>
        <c:ser>
          <c:idx val="1"/>
          <c:order val="1"/>
          <c:tx>
            <c:v>Previous mGy/mAs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Gen_form!$V$1414:$V$1419</c:f>
            </c:numRef>
          </c:xVal>
          <c:yVal>
            <c:numRef>
              <c:f>Gen_form!$U$1414:$U$1419</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1-3464-4E1E-9F53-D131E0F1387E}"/>
            </c:ext>
          </c:extLst>
        </c:ser>
        <c:dLbls>
          <c:showLegendKey val="0"/>
          <c:showVal val="0"/>
          <c:showCatName val="0"/>
          <c:showSerName val="0"/>
          <c:showPercent val="0"/>
          <c:showBubbleSize val="0"/>
        </c:dLbls>
        <c:axId val="203519152"/>
        <c:axId val="203519544"/>
      </c:scatterChart>
      <c:valAx>
        <c:axId val="203519152"/>
        <c:scaling>
          <c:orientation val="minMax"/>
          <c:max val="5"/>
          <c:min val="3.6"/>
        </c:scaling>
        <c:delete val="0"/>
        <c:axPos val="b"/>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(kVp)</a:t>
                </a:r>
              </a:p>
            </c:rich>
          </c:tx>
          <c:layout>
            <c:manualLayout>
              <c:xMode val="edge"/>
              <c:yMode val="edge"/>
              <c:x val="0.42615073659297548"/>
              <c:y val="0.898861540669975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9544"/>
        <c:crosses val="autoZero"/>
        <c:crossBetween val="midCat"/>
        <c:majorUnit val="0.2"/>
        <c:minorUnit val="0.1"/>
      </c:valAx>
      <c:valAx>
        <c:axId val="203519544"/>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(mGy/mAs)</a:t>
                </a:r>
              </a:p>
            </c:rich>
          </c:tx>
          <c:layout>
            <c:manualLayout>
              <c:xMode val="edge"/>
              <c:yMode val="edge"/>
              <c:x val="1.42051170614321E-2"/>
              <c:y val="0.3618795559969932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9152"/>
        <c:crosses val="autoZero"/>
        <c:crossBetween val="midCat"/>
      </c:valAx>
      <c:spPr>
        <a:noFill/>
        <a:ln w="12700">
          <a:solidFill>
            <a:srgbClr val="808080"/>
          </a:solidFill>
          <a:prstDash val="solid"/>
        </a:ln>
      </c:spPr>
    </c:plotArea>
    <c:legend>
      <c:legendPos val="r"/>
      <c:layout>
        <c:manualLayout>
          <c:xMode val="edge"/>
          <c:yMode val="edge"/>
          <c:x val="0.600522468562662"/>
          <c:y val="2.7238098267061091E-2"/>
          <c:w val="0.37689698743838607"/>
          <c:h val="0.16732072886496605"/>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Phototimer Performance</a:t>
            </a:r>
          </a:p>
        </c:rich>
      </c:tx>
      <c:layout>
        <c:manualLayout>
          <c:xMode val="edge"/>
          <c:yMode val="edge"/>
          <c:x val="9.9345370605936886E-2"/>
          <c:y val="5.0078247261345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658013101750372E-2"/>
          <c:y val="0.25039123630672927"/>
          <c:w val="0.87324290158966156"/>
          <c:h val="0.57387551908124157"/>
        </c:manualLayout>
      </c:layout>
      <c:scatterChart>
        <c:scatterStyle val="lineMarker"/>
        <c:varyColors val="0"/>
        <c:ser>
          <c:idx val="0"/>
          <c:order val="0"/>
          <c:tx>
            <c:strRef>
              <c:f>Gen_form!$D$1089</c:f>
              <c:strCache>
                <c:ptCount val="1"/>
                <c:pt idx="0">
                  <c:v>60 kVp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Gen_form!$B$1091:$B$1093</c:f>
              <c:numCache>
                <c:formatCode>0</c:formatCode>
                <c:ptCount val="3"/>
                <c:pt idx="0">
                  <c:v>10</c:v>
                </c:pt>
                <c:pt idx="1">
                  <c:v>15</c:v>
                </c:pt>
                <c:pt idx="2">
                  <c:v>20</c:v>
                </c:pt>
              </c:numCache>
            </c:numRef>
          </c:xVal>
          <c:yVal>
            <c:numRef>
              <c:f>Gen_form!$C$1091:$C$1093</c:f>
              <c:numCache>
                <c:formatCode>0.00</c:formatCode>
                <c:ptCount val="3"/>
                <c:pt idx="0">
                  <c:v>#N/A</c:v>
                </c:pt>
                <c:pt idx="1">
                  <c:v>#N/A</c:v>
                </c:pt>
                <c:pt idx="2">
                  <c:v>#N/A</c:v>
                </c:pt>
              </c:numCache>
            </c:numRef>
          </c:yVal>
          <c:smooth val="0"/>
          <c:extLst>
            <c:ext xmlns:c16="http://schemas.microsoft.com/office/drawing/2014/chart" uri="{C3380CC4-5D6E-409C-BE32-E72D297353CC}">
              <c16:uniqueId val="{00000021-6B93-42BA-AD8C-656EA1DEA9C3}"/>
            </c:ext>
          </c:extLst>
        </c:ser>
        <c:ser>
          <c:idx val="1"/>
          <c:order val="1"/>
          <c:tx>
            <c:strRef>
              <c:f>Gen_form!$F$1089</c:f>
              <c:strCache>
                <c:ptCount val="1"/>
                <c:pt idx="0">
                  <c:v>80 kVp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Gen_form!$B$1091:$B$1094</c:f>
              <c:numCache>
                <c:formatCode>0</c:formatCode>
                <c:ptCount val="4"/>
                <c:pt idx="0">
                  <c:v>10</c:v>
                </c:pt>
                <c:pt idx="1">
                  <c:v>15</c:v>
                </c:pt>
                <c:pt idx="2">
                  <c:v>20</c:v>
                </c:pt>
                <c:pt idx="3">
                  <c:v>25</c:v>
                </c:pt>
              </c:numCache>
            </c:numRef>
          </c:xVal>
          <c:yVal>
            <c:numRef>
              <c:f>Gen_form!$E$1091:$E$1094</c:f>
              <c:numCache>
                <c:formatCode>0.00</c:formatCode>
                <c:ptCount val="4"/>
                <c:pt idx="0">
                  <c:v>#N/A</c:v>
                </c:pt>
                <c:pt idx="1">
                  <c:v>#N/A</c:v>
                </c:pt>
                <c:pt idx="2">
                  <c:v>#N/A</c:v>
                </c:pt>
                <c:pt idx="3">
                  <c:v>#N/A</c:v>
                </c:pt>
              </c:numCache>
            </c:numRef>
          </c:yVal>
          <c:smooth val="0"/>
          <c:extLst>
            <c:ext xmlns:c16="http://schemas.microsoft.com/office/drawing/2014/chart" uri="{C3380CC4-5D6E-409C-BE32-E72D297353CC}">
              <c16:uniqueId val="{00000022-6B93-42BA-AD8C-656EA1DEA9C3}"/>
            </c:ext>
          </c:extLst>
        </c:ser>
        <c:ser>
          <c:idx val="2"/>
          <c:order val="2"/>
          <c:tx>
            <c:strRef>
              <c:f>Gen_form!$H$1089</c:f>
              <c:strCache>
                <c:ptCount val="1"/>
                <c:pt idx="0">
                  <c:v>100 kVp</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Gen_form!$B$1091:$B$1094</c:f>
              <c:numCache>
                <c:formatCode>0</c:formatCode>
                <c:ptCount val="4"/>
                <c:pt idx="0">
                  <c:v>10</c:v>
                </c:pt>
                <c:pt idx="1">
                  <c:v>15</c:v>
                </c:pt>
                <c:pt idx="2">
                  <c:v>20</c:v>
                </c:pt>
                <c:pt idx="3">
                  <c:v>25</c:v>
                </c:pt>
              </c:numCache>
            </c:numRef>
          </c:xVal>
          <c:yVal>
            <c:numRef>
              <c:f>Gen_form!$G$1091:$G$1094</c:f>
              <c:numCache>
                <c:formatCode>0.00</c:formatCode>
                <c:ptCount val="4"/>
                <c:pt idx="0">
                  <c:v>#N/A</c:v>
                </c:pt>
                <c:pt idx="1">
                  <c:v>#N/A</c:v>
                </c:pt>
                <c:pt idx="2">
                  <c:v>#N/A</c:v>
                </c:pt>
                <c:pt idx="3">
                  <c:v>#N/A</c:v>
                </c:pt>
              </c:numCache>
            </c:numRef>
          </c:yVal>
          <c:smooth val="0"/>
          <c:extLst>
            <c:ext xmlns:c16="http://schemas.microsoft.com/office/drawing/2014/chart" uri="{C3380CC4-5D6E-409C-BE32-E72D297353CC}">
              <c16:uniqueId val="{00000023-6B93-42BA-AD8C-656EA1DEA9C3}"/>
            </c:ext>
          </c:extLst>
        </c:ser>
        <c:ser>
          <c:idx val="3"/>
          <c:order val="3"/>
          <c:tx>
            <c:strRef>
              <c:f>Gen_form!$J$1089</c:f>
              <c:strCache>
                <c:ptCount val="1"/>
                <c:pt idx="0">
                  <c:v>120 kVp</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Gen_form!$B$1092:$B$1094</c:f>
              <c:numCache>
                <c:formatCode>0</c:formatCode>
                <c:ptCount val="3"/>
                <c:pt idx="0">
                  <c:v>15</c:v>
                </c:pt>
                <c:pt idx="1">
                  <c:v>20</c:v>
                </c:pt>
                <c:pt idx="2">
                  <c:v>25</c:v>
                </c:pt>
              </c:numCache>
            </c:numRef>
          </c:xVal>
          <c:yVal>
            <c:numRef>
              <c:f>Gen_form!$I$1092:$I$1094</c:f>
              <c:numCache>
                <c:formatCode>0.00</c:formatCode>
                <c:ptCount val="3"/>
                <c:pt idx="0">
                  <c:v>#N/A</c:v>
                </c:pt>
                <c:pt idx="1">
                  <c:v>#N/A</c:v>
                </c:pt>
                <c:pt idx="2">
                  <c:v>#N/A</c:v>
                </c:pt>
              </c:numCache>
            </c:numRef>
          </c:yVal>
          <c:smooth val="0"/>
          <c:extLst>
            <c:ext xmlns:c16="http://schemas.microsoft.com/office/drawing/2014/chart" uri="{C3380CC4-5D6E-409C-BE32-E72D297353CC}">
              <c16:uniqueId val="{00000024-6B93-42BA-AD8C-656EA1DEA9C3}"/>
            </c:ext>
          </c:extLst>
        </c:ser>
        <c:dLbls>
          <c:showLegendKey val="0"/>
          <c:showVal val="0"/>
          <c:showCatName val="0"/>
          <c:showSerName val="0"/>
          <c:showPercent val="0"/>
          <c:showBubbleSize val="0"/>
        </c:dLbls>
        <c:axId val="406946248"/>
        <c:axId val="406975768"/>
      </c:scatterChart>
      <c:valAx>
        <c:axId val="406946248"/>
        <c:scaling>
          <c:orientation val="minMax"/>
          <c:max val="25"/>
          <c:min val="10"/>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Attenuator Thickness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975768"/>
        <c:crosses val="autoZero"/>
        <c:crossBetween val="midCat"/>
      </c:valAx>
      <c:valAx>
        <c:axId val="40697576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Meter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946248"/>
        <c:crosses val="autoZero"/>
        <c:crossBetween val="midCat"/>
      </c:valAx>
      <c:spPr>
        <a:noFill/>
        <a:ln>
          <a:noFill/>
        </a:ln>
        <a:effectLst/>
      </c:spPr>
    </c:plotArea>
    <c:legend>
      <c:legendPos val="b"/>
      <c:layout>
        <c:manualLayout>
          <c:xMode val="edge"/>
          <c:yMode val="edge"/>
          <c:x val="0.67015431771668299"/>
          <c:y val="4.9295035303685661E-2"/>
          <c:w val="0.31714585982183841"/>
          <c:h val="0.18701169396079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Phototimer Performance</a:t>
            </a:r>
          </a:p>
        </c:rich>
      </c:tx>
      <c:layout>
        <c:manualLayout>
          <c:xMode val="edge"/>
          <c:yMode val="edge"/>
          <c:x val="9.9345370605936886E-2"/>
          <c:y val="5.0078247261345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658013101750372E-2"/>
          <c:y val="0.25039123630672927"/>
          <c:w val="0.87324290158966156"/>
          <c:h val="0.57387551908124157"/>
        </c:manualLayout>
      </c:layout>
      <c:scatterChart>
        <c:scatterStyle val="lineMarker"/>
        <c:varyColors val="0"/>
        <c:ser>
          <c:idx val="0"/>
          <c:order val="0"/>
          <c:tx>
            <c:strRef>
              <c:f>Gen_form!$D$1155</c:f>
              <c:strCache>
                <c:ptCount val="1"/>
                <c:pt idx="0">
                  <c:v>60kVp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Gen_form!$B$1157:$B$1159</c:f>
              <c:numCache>
                <c:formatCode>0</c:formatCode>
                <c:ptCount val="3"/>
                <c:pt idx="0">
                  <c:v>10</c:v>
                </c:pt>
                <c:pt idx="1">
                  <c:v>15</c:v>
                </c:pt>
                <c:pt idx="2">
                  <c:v>20</c:v>
                </c:pt>
              </c:numCache>
            </c:numRef>
          </c:xVal>
          <c:yVal>
            <c:numRef>
              <c:f>Gen_form!$C$1157:$C$1159</c:f>
              <c:numCache>
                <c:formatCode>0.00</c:formatCode>
                <c:ptCount val="3"/>
                <c:pt idx="0">
                  <c:v>#N/A</c:v>
                </c:pt>
                <c:pt idx="1">
                  <c:v>#N/A</c:v>
                </c:pt>
                <c:pt idx="2">
                  <c:v>#N/A</c:v>
                </c:pt>
              </c:numCache>
            </c:numRef>
          </c:yVal>
          <c:smooth val="0"/>
          <c:extLst>
            <c:ext xmlns:c16="http://schemas.microsoft.com/office/drawing/2014/chart" uri="{C3380CC4-5D6E-409C-BE32-E72D297353CC}">
              <c16:uniqueId val="{00000000-35BD-4570-8439-EAA92E63D866}"/>
            </c:ext>
          </c:extLst>
        </c:ser>
        <c:ser>
          <c:idx val="1"/>
          <c:order val="1"/>
          <c:tx>
            <c:strRef>
              <c:f>Gen_form!$F$1155</c:f>
              <c:strCache>
                <c:ptCount val="1"/>
                <c:pt idx="0">
                  <c:v>80kVp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Gen_form!$B$1157:$B$1160</c:f>
              <c:numCache>
                <c:formatCode>0</c:formatCode>
                <c:ptCount val="4"/>
                <c:pt idx="0">
                  <c:v>10</c:v>
                </c:pt>
                <c:pt idx="1">
                  <c:v>15</c:v>
                </c:pt>
                <c:pt idx="2">
                  <c:v>20</c:v>
                </c:pt>
                <c:pt idx="3">
                  <c:v>25</c:v>
                </c:pt>
              </c:numCache>
            </c:numRef>
          </c:xVal>
          <c:yVal>
            <c:numRef>
              <c:f>Gen_form!$E$1157:$E$1160</c:f>
              <c:numCache>
                <c:formatCode>0.00</c:formatCode>
                <c:ptCount val="4"/>
                <c:pt idx="0">
                  <c:v>#N/A</c:v>
                </c:pt>
                <c:pt idx="1">
                  <c:v>#N/A</c:v>
                </c:pt>
                <c:pt idx="2">
                  <c:v>#N/A</c:v>
                </c:pt>
                <c:pt idx="3">
                  <c:v>#N/A</c:v>
                </c:pt>
              </c:numCache>
            </c:numRef>
          </c:yVal>
          <c:smooth val="0"/>
          <c:extLst>
            <c:ext xmlns:c16="http://schemas.microsoft.com/office/drawing/2014/chart" uri="{C3380CC4-5D6E-409C-BE32-E72D297353CC}">
              <c16:uniqueId val="{00000001-35BD-4570-8439-EAA92E63D866}"/>
            </c:ext>
          </c:extLst>
        </c:ser>
        <c:ser>
          <c:idx val="2"/>
          <c:order val="2"/>
          <c:tx>
            <c:strRef>
              <c:f>Gen_form!$H$1155</c:f>
              <c:strCache>
                <c:ptCount val="1"/>
                <c:pt idx="0">
                  <c:v>100kVp</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Gen_form!$B$1157:$B$1160</c:f>
              <c:numCache>
                <c:formatCode>0</c:formatCode>
                <c:ptCount val="4"/>
                <c:pt idx="0">
                  <c:v>10</c:v>
                </c:pt>
                <c:pt idx="1">
                  <c:v>15</c:v>
                </c:pt>
                <c:pt idx="2">
                  <c:v>20</c:v>
                </c:pt>
                <c:pt idx="3">
                  <c:v>25</c:v>
                </c:pt>
              </c:numCache>
            </c:numRef>
          </c:xVal>
          <c:yVal>
            <c:numRef>
              <c:f>Gen_form!$G$1157:$G$1160</c:f>
              <c:numCache>
                <c:formatCode>0.00</c:formatCode>
                <c:ptCount val="4"/>
                <c:pt idx="0">
                  <c:v>#N/A</c:v>
                </c:pt>
                <c:pt idx="1">
                  <c:v>#N/A</c:v>
                </c:pt>
                <c:pt idx="2">
                  <c:v>#N/A</c:v>
                </c:pt>
                <c:pt idx="3">
                  <c:v>#N/A</c:v>
                </c:pt>
              </c:numCache>
            </c:numRef>
          </c:yVal>
          <c:smooth val="0"/>
          <c:extLst>
            <c:ext xmlns:c16="http://schemas.microsoft.com/office/drawing/2014/chart" uri="{C3380CC4-5D6E-409C-BE32-E72D297353CC}">
              <c16:uniqueId val="{00000002-35BD-4570-8439-EAA92E63D866}"/>
            </c:ext>
          </c:extLst>
        </c:ser>
        <c:ser>
          <c:idx val="3"/>
          <c:order val="3"/>
          <c:tx>
            <c:strRef>
              <c:f>Gen_form!$J$1155</c:f>
              <c:strCache>
                <c:ptCount val="1"/>
                <c:pt idx="0">
                  <c:v>120kVp</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Gen_form!$B$1158:$B$1160</c:f>
              <c:numCache>
                <c:formatCode>0</c:formatCode>
                <c:ptCount val="3"/>
                <c:pt idx="0">
                  <c:v>15</c:v>
                </c:pt>
                <c:pt idx="1">
                  <c:v>20</c:v>
                </c:pt>
                <c:pt idx="2">
                  <c:v>25</c:v>
                </c:pt>
              </c:numCache>
            </c:numRef>
          </c:xVal>
          <c:yVal>
            <c:numRef>
              <c:f>Gen_form!$I$1158:$I$1160</c:f>
              <c:numCache>
                <c:formatCode>0.00</c:formatCode>
                <c:ptCount val="3"/>
                <c:pt idx="0">
                  <c:v>#N/A</c:v>
                </c:pt>
                <c:pt idx="1">
                  <c:v>#N/A</c:v>
                </c:pt>
                <c:pt idx="2">
                  <c:v>#N/A</c:v>
                </c:pt>
              </c:numCache>
            </c:numRef>
          </c:yVal>
          <c:smooth val="0"/>
          <c:extLst>
            <c:ext xmlns:c16="http://schemas.microsoft.com/office/drawing/2014/chart" uri="{C3380CC4-5D6E-409C-BE32-E72D297353CC}">
              <c16:uniqueId val="{00000003-35BD-4570-8439-EAA92E63D866}"/>
            </c:ext>
          </c:extLst>
        </c:ser>
        <c:dLbls>
          <c:showLegendKey val="0"/>
          <c:showVal val="0"/>
          <c:showCatName val="0"/>
          <c:showSerName val="0"/>
          <c:showPercent val="0"/>
          <c:showBubbleSize val="0"/>
        </c:dLbls>
        <c:axId val="406946248"/>
        <c:axId val="406975768"/>
      </c:scatterChart>
      <c:valAx>
        <c:axId val="406946248"/>
        <c:scaling>
          <c:orientation val="minMax"/>
          <c:max val="25"/>
          <c:min val="10"/>
        </c:scaling>
        <c:delete val="0"/>
        <c:axPos val="b"/>
        <c:majorGridlines>
          <c:spPr>
            <a:ln w="9525" cap="flat" cmpd="sng" algn="ctr">
              <a:solidFill>
                <a:schemeClr val="tx1"/>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Attenuator Thickness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975768"/>
        <c:crosses val="autoZero"/>
        <c:crossBetween val="midCat"/>
      </c:valAx>
      <c:valAx>
        <c:axId val="406975768"/>
        <c:scaling>
          <c:orientation val="minMax"/>
        </c:scaling>
        <c:delete val="0"/>
        <c:axPos val="l"/>
        <c:majorGridlines>
          <c:spPr>
            <a:ln w="9525" cap="flat" cmpd="sng" algn="ctr">
              <a:solidFill>
                <a:schemeClr val="tx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Meter</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946248"/>
        <c:crosses val="autoZero"/>
        <c:crossBetween val="midCat"/>
      </c:valAx>
      <c:spPr>
        <a:noFill/>
        <a:ln>
          <a:noFill/>
        </a:ln>
        <a:effectLst/>
      </c:spPr>
    </c:plotArea>
    <c:legend>
      <c:legendPos val="b"/>
      <c:layout>
        <c:manualLayout>
          <c:xMode val="edge"/>
          <c:yMode val="edge"/>
          <c:x val="0.67015431771668299"/>
          <c:y val="4.9295035303685661E-2"/>
          <c:w val="0.31714585982183841"/>
          <c:h val="0.187011693960790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33410</xdr:colOff>
      <xdr:row>421</xdr:row>
      <xdr:rowOff>135545</xdr:rowOff>
    </xdr:from>
    <xdr:to>
      <xdr:col>10</xdr:col>
      <xdr:colOff>623206</xdr:colOff>
      <xdr:row>457</xdr:row>
      <xdr:rowOff>13606</xdr:rowOff>
    </xdr:to>
    <xdr:graphicFrame macro="">
      <xdr:nvGraphicFramePr>
        <xdr:cNvPr id="1916" name="Chart 33">
          <a:extLst>
            <a:ext uri="{FF2B5EF4-FFF2-40B4-BE49-F238E27FC236}">
              <a16:creationId xmlns:a16="http://schemas.microsoft.com/office/drawing/2014/main" id="{00000000-0008-0000-0000-00007C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27160</xdr:colOff>
      <xdr:row>1387</xdr:row>
      <xdr:rowOff>36214</xdr:rowOff>
    </xdr:from>
    <xdr:to>
      <xdr:col>32</xdr:col>
      <xdr:colOff>479834</xdr:colOff>
      <xdr:row>1405</xdr:row>
      <xdr:rowOff>108642</xdr:rowOff>
    </xdr:to>
    <xdr:graphicFrame macro="">
      <xdr:nvGraphicFramePr>
        <xdr:cNvPr id="1918" name="Chart 82">
          <a:extLst>
            <a:ext uri="{FF2B5EF4-FFF2-40B4-BE49-F238E27FC236}">
              <a16:creationId xmlns:a16="http://schemas.microsoft.com/office/drawing/2014/main" id="{00000000-0008-0000-0000-00007E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45267</xdr:colOff>
      <xdr:row>1406</xdr:row>
      <xdr:rowOff>36214</xdr:rowOff>
    </xdr:from>
    <xdr:to>
      <xdr:col>32</xdr:col>
      <xdr:colOff>488887</xdr:colOff>
      <xdr:row>1424</xdr:row>
      <xdr:rowOff>108642</xdr:rowOff>
    </xdr:to>
    <xdr:graphicFrame macro="">
      <xdr:nvGraphicFramePr>
        <xdr:cNvPr id="1919" name="Chart 83">
          <a:extLst>
            <a:ext uri="{FF2B5EF4-FFF2-40B4-BE49-F238E27FC236}">
              <a16:creationId xmlns:a16="http://schemas.microsoft.com/office/drawing/2014/main" id="{00000000-0008-0000-0000-00007F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81481</xdr:colOff>
      <xdr:row>964</xdr:row>
      <xdr:rowOff>27160</xdr:rowOff>
    </xdr:from>
    <xdr:to>
      <xdr:col>22</xdr:col>
      <xdr:colOff>579422</xdr:colOff>
      <xdr:row>988</xdr:row>
      <xdr:rowOff>45267</xdr:rowOff>
    </xdr:to>
    <xdr:graphicFrame macro="">
      <xdr:nvGraphicFramePr>
        <xdr:cNvPr id="1921" name="Chart 109">
          <a:extLst>
            <a:ext uri="{FF2B5EF4-FFF2-40B4-BE49-F238E27FC236}">
              <a16:creationId xmlns:a16="http://schemas.microsoft.com/office/drawing/2014/main" id="{00000000-0008-0000-0000-000081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81643</xdr:colOff>
      <xdr:row>958</xdr:row>
      <xdr:rowOff>108858</xdr:rowOff>
    </xdr:from>
    <xdr:to>
      <xdr:col>10</xdr:col>
      <xdr:colOff>517071</xdr:colOff>
      <xdr:row>987</xdr:row>
      <xdr:rowOff>63374</xdr:rowOff>
    </xdr:to>
    <xdr:graphicFrame macro="">
      <xdr:nvGraphicFramePr>
        <xdr:cNvPr id="1922" name="Chart 110">
          <a:extLst>
            <a:ext uri="{FF2B5EF4-FFF2-40B4-BE49-F238E27FC236}">
              <a16:creationId xmlns:a16="http://schemas.microsoft.com/office/drawing/2014/main" id="{00000000-0008-0000-0000-000082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27160</xdr:colOff>
      <xdr:row>1432</xdr:row>
      <xdr:rowOff>27160</xdr:rowOff>
    </xdr:from>
    <xdr:to>
      <xdr:col>5</xdr:col>
      <xdr:colOff>534154</xdr:colOff>
      <xdr:row>1449</xdr:row>
      <xdr:rowOff>45267</xdr:rowOff>
    </xdr:to>
    <xdr:graphicFrame macro="">
      <xdr:nvGraphicFramePr>
        <xdr:cNvPr id="1925" name="Chart 159">
          <a:extLst>
            <a:ext uri="{FF2B5EF4-FFF2-40B4-BE49-F238E27FC236}">
              <a16:creationId xmlns:a16="http://schemas.microsoft.com/office/drawing/2014/main" id="{00000000-0008-0000-0000-000085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615636</xdr:colOff>
      <xdr:row>1432</xdr:row>
      <xdr:rowOff>27160</xdr:rowOff>
    </xdr:from>
    <xdr:to>
      <xdr:col>10</xdr:col>
      <xdr:colOff>688063</xdr:colOff>
      <xdr:row>1449</xdr:row>
      <xdr:rowOff>45267</xdr:rowOff>
    </xdr:to>
    <xdr:graphicFrame macro="">
      <xdr:nvGraphicFramePr>
        <xdr:cNvPr id="1926" name="Chart 160">
          <a:extLst>
            <a:ext uri="{FF2B5EF4-FFF2-40B4-BE49-F238E27FC236}">
              <a16:creationId xmlns:a16="http://schemas.microsoft.com/office/drawing/2014/main" id="{00000000-0008-0000-0000-000086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119062</xdr:colOff>
      <xdr:row>1105</xdr:row>
      <xdr:rowOff>66675</xdr:rowOff>
    </xdr:from>
    <xdr:to>
      <xdr:col>10</xdr:col>
      <xdr:colOff>523875</xdr:colOff>
      <xdr:row>1119</xdr:row>
      <xdr:rowOff>95250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76200</xdr:colOff>
      <xdr:row>1171</xdr:row>
      <xdr:rowOff>57150</xdr:rowOff>
    </xdr:from>
    <xdr:to>
      <xdr:col>10</xdr:col>
      <xdr:colOff>481013</xdr:colOff>
      <xdr:row>1185</xdr:row>
      <xdr:rowOff>85725</xdr:rowOff>
    </xdr:to>
    <xdr:graphicFrame macro="">
      <xdr:nvGraphicFramePr>
        <xdr:cNvPr id="16" name="Chart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1716"/>
  <sheetViews>
    <sheetView tabSelected="1" topLeftCell="I1" workbookViewId="0">
      <selection activeCell="M1" sqref="M1"/>
    </sheetView>
  </sheetViews>
  <sheetFormatPr defaultColWidth="8.09765625" defaultRowHeight="11.25" customHeight="1"/>
  <cols>
    <col min="1" max="1" width="3.59765625" customWidth="1"/>
    <col min="2" max="2" width="11.59765625" customWidth="1"/>
    <col min="3" max="11" width="8.59765625" customWidth="1"/>
    <col min="12" max="12" width="1.59765625" style="653" customWidth="1"/>
    <col min="13" max="23" width="8.09765625" customWidth="1"/>
    <col min="24" max="24" width="1.59765625" customWidth="1"/>
    <col min="25" max="25" width="8.09765625" customWidth="1"/>
    <col min="26" max="26" width="7.59765625" customWidth="1"/>
    <col min="27" max="27" width="9.5" customWidth="1"/>
    <col min="28" max="28" width="7.69921875" customWidth="1"/>
    <col min="29" max="30" width="6.59765625" customWidth="1"/>
    <col min="31" max="31" width="8.19921875" style="555" customWidth="1"/>
    <col min="32" max="32" width="7.5" style="555" customWidth="1"/>
    <col min="33" max="33" width="6.69921875" style="555" customWidth="1"/>
    <col min="34" max="34" width="7.5" style="555" customWidth="1"/>
    <col min="35" max="35" width="6.09765625" style="555" customWidth="1"/>
    <col min="36" max="36" width="9" customWidth="1"/>
    <col min="37" max="37" width="6.59765625" customWidth="1"/>
    <col min="38" max="55" width="8.09765625" customWidth="1"/>
    <col min="56" max="56" width="14" customWidth="1"/>
  </cols>
  <sheetData>
    <row r="1" spans="1:35" ht="11.25" customHeight="1" thickTop="1">
      <c r="A1" s="611">
        <v>1</v>
      </c>
      <c r="B1" s="608"/>
      <c r="C1" s="84"/>
      <c r="D1" s="84"/>
      <c r="E1" s="84"/>
      <c r="F1" s="84"/>
      <c r="G1" s="84"/>
      <c r="H1" s="84"/>
      <c r="I1" s="84"/>
      <c r="J1" s="84"/>
      <c r="K1" s="88"/>
      <c r="L1" s="676" t="s">
        <v>411</v>
      </c>
      <c r="M1" s="1089" t="s">
        <v>1224</v>
      </c>
      <c r="N1" s="84"/>
      <c r="O1" s="84"/>
      <c r="P1" s="84"/>
      <c r="Q1" s="84"/>
      <c r="R1" s="84"/>
      <c r="S1" s="84"/>
      <c r="T1" s="979" t="str">
        <f t="shared" ref="T1:T6" si="0">IF(OR(AB538="",AB538=0),"",AB538)</f>
        <v/>
      </c>
      <c r="U1" s="987"/>
      <c r="V1" s="987"/>
      <c r="W1" s="988"/>
      <c r="X1" s="664" t="s">
        <v>411</v>
      </c>
      <c r="Y1" s="456" t="s">
        <v>361</v>
      </c>
      <c r="AE1"/>
    </row>
    <row r="2" spans="1:35" ht="11.25" customHeight="1">
      <c r="A2" s="611">
        <v>2</v>
      </c>
      <c r="B2" s="91"/>
      <c r="C2" s="1"/>
      <c r="D2" s="1"/>
      <c r="E2" s="1"/>
      <c r="F2" s="81" t="s">
        <v>1037</v>
      </c>
      <c r="G2" s="1"/>
      <c r="H2" s="1"/>
      <c r="I2" s="1"/>
      <c r="J2" s="1"/>
      <c r="K2" s="90"/>
      <c r="L2" s="676" t="s">
        <v>411</v>
      </c>
      <c r="M2" s="89"/>
      <c r="N2" s="1"/>
      <c r="O2" s="1"/>
      <c r="P2" s="1"/>
      <c r="Q2" s="126" t="str">
        <f>$F$2</f>
        <v>Medical University of South Carolina</v>
      </c>
      <c r="S2" s="1"/>
      <c r="T2" s="980" t="str">
        <f t="shared" si="0"/>
        <v/>
      </c>
      <c r="U2" s="977"/>
      <c r="V2" s="989"/>
      <c r="W2" s="990"/>
      <c r="X2" s="664" t="s">
        <v>411</v>
      </c>
      <c r="Y2" s="650" t="s">
        <v>1105</v>
      </c>
      <c r="AE2"/>
    </row>
    <row r="3" spans="1:35" ht="11.25" customHeight="1">
      <c r="A3" s="611">
        <v>3</v>
      </c>
      <c r="B3" s="91"/>
      <c r="C3" s="1"/>
      <c r="D3" s="1"/>
      <c r="E3" s="1"/>
      <c r="F3" s="81" t="s">
        <v>1038</v>
      </c>
      <c r="G3" s="1"/>
      <c r="H3" s="1"/>
      <c r="I3" s="1"/>
      <c r="J3" s="1"/>
      <c r="K3" s="90"/>
      <c r="L3" s="676" t="s">
        <v>411</v>
      </c>
      <c r="M3" s="89"/>
      <c r="N3" s="1"/>
      <c r="O3" s="1"/>
      <c r="P3" s="1"/>
      <c r="Q3" s="81" t="str">
        <f>$F$3</f>
        <v>Charleston, South Carolina</v>
      </c>
      <c r="S3" s="1"/>
      <c r="T3" s="980" t="str">
        <f t="shared" si="0"/>
        <v/>
      </c>
      <c r="U3" s="977"/>
      <c r="V3" s="989"/>
      <c r="W3" s="990"/>
      <c r="X3" s="664" t="s">
        <v>411</v>
      </c>
      <c r="Y3" s="37" t="s">
        <v>362</v>
      </c>
      <c r="Z3" s="50" t="s">
        <v>1157</v>
      </c>
    </row>
    <row r="4" spans="1:35" ht="11.25" customHeight="1">
      <c r="A4" s="611">
        <v>4</v>
      </c>
      <c r="B4" s="91"/>
      <c r="K4" s="90"/>
      <c r="L4" s="676" t="s">
        <v>411</v>
      </c>
      <c r="M4" s="89"/>
      <c r="T4" s="980" t="str">
        <f t="shared" si="0"/>
        <v/>
      </c>
      <c r="U4" s="977"/>
      <c r="V4" s="989"/>
      <c r="W4" s="990"/>
      <c r="X4" s="664" t="s">
        <v>411</v>
      </c>
      <c r="Y4" s="457"/>
      <c r="AA4" s="554" t="s">
        <v>363</v>
      </c>
      <c r="AB4" s="666" t="s">
        <v>1007</v>
      </c>
      <c r="AC4" s="457"/>
      <c r="AD4" s="457"/>
    </row>
    <row r="5" spans="1:35" ht="11.25" customHeight="1">
      <c r="A5" s="611">
        <v>5</v>
      </c>
      <c r="B5" s="91"/>
      <c r="E5" s="1"/>
      <c r="F5" s="82" t="s">
        <v>364</v>
      </c>
      <c r="I5" s="1"/>
      <c r="J5" s="1"/>
      <c r="K5" s="92"/>
      <c r="L5" s="676" t="s">
        <v>411</v>
      </c>
      <c r="M5" s="89"/>
      <c r="P5" s="82" t="str">
        <f>$F$5</f>
        <v>Radiographic System Compliance Inspection</v>
      </c>
      <c r="T5" s="980" t="str">
        <f t="shared" si="0"/>
        <v/>
      </c>
      <c r="U5" s="977"/>
      <c r="V5" s="989"/>
      <c r="W5" s="990"/>
      <c r="X5" s="664" t="s">
        <v>411</v>
      </c>
      <c r="Y5" s="457"/>
      <c r="AB5" s="666" t="s">
        <v>365</v>
      </c>
    </row>
    <row r="6" spans="1:35" ht="11.25" customHeight="1" thickBot="1">
      <c r="A6" s="611">
        <v>6</v>
      </c>
      <c r="B6" s="93"/>
      <c r="C6" s="94"/>
      <c r="D6" s="94"/>
      <c r="E6" s="94"/>
      <c r="F6" s="95"/>
      <c r="G6" s="94"/>
      <c r="H6" s="94"/>
      <c r="I6" s="94"/>
      <c r="J6" s="94"/>
      <c r="K6" s="96"/>
      <c r="L6" s="676" t="s">
        <v>411</v>
      </c>
      <c r="M6" s="97"/>
      <c r="N6" s="95"/>
      <c r="O6" s="95"/>
      <c r="P6" s="95"/>
      <c r="Q6" s="95"/>
      <c r="R6" s="95"/>
      <c r="S6" s="95"/>
      <c r="T6" s="981" t="str">
        <f t="shared" si="0"/>
        <v/>
      </c>
      <c r="U6" s="991"/>
      <c r="V6" s="991"/>
      <c r="W6" s="992"/>
      <c r="X6" s="664" t="s">
        <v>411</v>
      </c>
      <c r="Y6" s="457"/>
      <c r="Z6" s="457"/>
      <c r="AB6" s="549" t="s">
        <v>366</v>
      </c>
      <c r="AC6" s="586" t="s">
        <v>1008</v>
      </c>
      <c r="AD6" s="99" t="s">
        <v>367</v>
      </c>
    </row>
    <row r="7" spans="1:35" ht="11.25" customHeight="1" thickTop="1" thickBot="1">
      <c r="A7" s="611">
        <v>7</v>
      </c>
      <c r="B7" s="49"/>
      <c r="G7" s="49"/>
      <c r="H7" s="49"/>
      <c r="I7" s="49"/>
      <c r="J7" s="49"/>
      <c r="K7" s="49"/>
      <c r="L7" s="676" t="s">
        <v>411</v>
      </c>
      <c r="M7" s="1"/>
      <c r="T7" s="37"/>
      <c r="U7" s="1"/>
      <c r="V7" s="1"/>
      <c r="W7" s="1"/>
      <c r="X7" s="664" t="s">
        <v>411</v>
      </c>
      <c r="Y7" s="462"/>
      <c r="Z7" s="462"/>
      <c r="AA7" s="132" t="s">
        <v>368</v>
      </c>
      <c r="AB7" s="550" t="s">
        <v>369</v>
      </c>
      <c r="AD7" s="515" t="s">
        <v>369</v>
      </c>
      <c r="AE7" s="556" t="s">
        <v>370</v>
      </c>
      <c r="AF7" s="587" t="s">
        <v>371</v>
      </c>
      <c r="AG7" s="588" t="s">
        <v>1009</v>
      </c>
    </row>
    <row r="8" spans="1:35" ht="11.25" customHeight="1">
      <c r="A8" s="611">
        <v>8</v>
      </c>
      <c r="B8" s="49"/>
      <c r="F8" s="82" t="s">
        <v>372</v>
      </c>
      <c r="G8" s="53"/>
      <c r="H8" s="49"/>
      <c r="I8" s="54"/>
      <c r="J8" s="49"/>
      <c r="K8" s="49"/>
      <c r="L8" s="676" t="s">
        <v>411</v>
      </c>
      <c r="M8" s="1"/>
      <c r="N8" s="37" t="s">
        <v>373</v>
      </c>
      <c r="O8" s="1131"/>
      <c r="R8" s="82" t="str">
        <f>$F$8</f>
        <v>System Information</v>
      </c>
      <c r="U8" s="37" t="s">
        <v>374</v>
      </c>
      <c r="V8" s="761" t="s">
        <v>5</v>
      </c>
      <c r="W8" s="1"/>
      <c r="X8" s="664" t="s">
        <v>411</v>
      </c>
      <c r="Y8" s="462"/>
      <c r="Z8" s="462"/>
      <c r="AA8" s="462" t="s">
        <v>375</v>
      </c>
      <c r="AB8" s="985"/>
      <c r="AC8" s="551" t="str">
        <f>IF(AND(OR(AB8="",AB8=0),OR(AD8="",AD8=0)),"",IF(AB8&lt;&gt;AD8,"Change",""))</f>
        <v>Change</v>
      </c>
      <c r="AD8" s="1050" t="str">
        <f>IF(Y2="","",Y2)</f>
        <v>FIRST,EXP,BLD,TB,WB,FS_KV,REPRO,TIM,LIN,HALFVAL,PT_DEN,PT_TB,PT_WB,KAP_AK,LAST</v>
      </c>
      <c r="AE8" s="555" t="s">
        <v>683</v>
      </c>
      <c r="AG8" s="588" t="s">
        <v>1010</v>
      </c>
    </row>
    <row r="9" spans="1:35" ht="11.25" customHeight="1" thickBot="1">
      <c r="A9" s="611">
        <v>9</v>
      </c>
      <c r="B9" s="49"/>
      <c r="H9" s="49"/>
      <c r="I9" s="49"/>
      <c r="J9" s="49"/>
      <c r="K9" s="49"/>
      <c r="L9" s="676" t="s">
        <v>411</v>
      </c>
      <c r="M9" s="1"/>
      <c r="N9" s="834" t="s">
        <v>376</v>
      </c>
      <c r="O9" s="1132" t="str">
        <f>IF(OR(AB9=0,AB9=""),"",AB9)</f>
        <v/>
      </c>
      <c r="P9" s="1"/>
      <c r="Q9" s="1"/>
      <c r="R9" s="1"/>
      <c r="S9" s="1"/>
      <c r="T9" s="1"/>
      <c r="U9" s="835" t="s">
        <v>376</v>
      </c>
      <c r="V9" s="758" t="str">
        <f>IF(OR(AB10=0,AB10=""),"",AB10)</f>
        <v/>
      </c>
      <c r="W9" s="1"/>
      <c r="X9" s="664"/>
      <c r="Y9" s="462"/>
      <c r="AA9" s="462" t="s">
        <v>373</v>
      </c>
      <c r="AB9" s="1184"/>
      <c r="AC9" s="551" t="str">
        <f t="shared" ref="AC9:AC53" si="1">IF(AND(OR(AB9="",AB9=0),OR(AD9="",AD9=0)),"",IF(AB9&lt;&gt;AD9,"Change",""))</f>
        <v/>
      </c>
      <c r="AD9" s="1138" t="str">
        <f>IF(O8="","",O8)</f>
        <v/>
      </c>
      <c r="AE9" s="555" t="s">
        <v>684</v>
      </c>
    </row>
    <row r="10" spans="1:35" ht="11.25" customHeight="1" thickTop="1">
      <c r="A10" s="611">
        <v>10</v>
      </c>
      <c r="B10" s="64"/>
      <c r="C10" s="112" t="s">
        <v>377</v>
      </c>
      <c r="D10" s="62"/>
      <c r="E10" s="62"/>
      <c r="F10" s="62"/>
      <c r="G10" s="62"/>
      <c r="H10" s="113"/>
      <c r="I10" s="113"/>
      <c r="J10" s="113"/>
      <c r="K10" s="65"/>
      <c r="L10" s="676" t="s">
        <v>411</v>
      </c>
      <c r="M10" s="64"/>
      <c r="N10" s="112" t="s">
        <v>377</v>
      </c>
      <c r="O10" s="113"/>
      <c r="P10" s="113"/>
      <c r="Q10" s="759" t="s">
        <v>283</v>
      </c>
      <c r="R10" s="760"/>
      <c r="S10" s="113"/>
      <c r="T10" s="113"/>
      <c r="U10" s="759" t="s">
        <v>283</v>
      </c>
      <c r="V10" s="760"/>
      <c r="W10" s="65"/>
      <c r="X10" s="664" t="s">
        <v>411</v>
      </c>
      <c r="Y10" s="462"/>
      <c r="Z10" s="462"/>
      <c r="AA10" s="462" t="s">
        <v>374</v>
      </c>
      <c r="AB10" s="985"/>
      <c r="AC10" s="551" t="str">
        <f t="shared" si="1"/>
        <v>Change</v>
      </c>
      <c r="AD10" s="1050" t="str">
        <f>IF(V8="","",V8)</f>
        <v>Eugene Mah</v>
      </c>
      <c r="AE10" s="555" t="s">
        <v>685</v>
      </c>
      <c r="AF10"/>
      <c r="AG10"/>
      <c r="AH10"/>
      <c r="AI10"/>
    </row>
    <row r="11" spans="1:35" ht="11.25" customHeight="1">
      <c r="A11" s="611">
        <v>11</v>
      </c>
      <c r="B11" s="66"/>
      <c r="D11" s="54" t="s">
        <v>378</v>
      </c>
      <c r="E11" s="57" t="str">
        <f>IF(P11="","",P11)</f>
        <v/>
      </c>
      <c r="F11" s="48"/>
      <c r="G11" s="49"/>
      <c r="H11" s="54" t="s">
        <v>1040</v>
      </c>
      <c r="I11" s="1035" t="str">
        <f>IF(T11="","",T11)</f>
        <v/>
      </c>
      <c r="K11" s="69"/>
      <c r="L11" s="676" t="s">
        <v>411</v>
      </c>
      <c r="M11" s="66"/>
      <c r="N11" s="49"/>
      <c r="O11" s="54" t="s">
        <v>378</v>
      </c>
      <c r="P11" s="691" t="str">
        <f>IF(Q11&lt;&gt;"",Q11,IF(OR(AB11=0,AB11=""),"",AB11))</f>
        <v/>
      </c>
      <c r="Q11" s="762"/>
      <c r="R11" s="50"/>
      <c r="S11" s="54" t="s">
        <v>12</v>
      </c>
      <c r="T11" s="691" t="str">
        <f>IF(U11&lt;&gt;"",U11,IF(OR(AB48=0,AB48=""),"",AB48))</f>
        <v/>
      </c>
      <c r="U11" s="764"/>
      <c r="V11" s="50"/>
      <c r="W11" s="69"/>
      <c r="X11" s="664" t="s">
        <v>411</v>
      </c>
      <c r="Y11" s="462"/>
      <c r="Z11" s="462"/>
      <c r="AA11" s="462" t="str">
        <f>IF(O11="","",O11)</f>
        <v>Facility:</v>
      </c>
      <c r="AB11" s="985"/>
      <c r="AC11" s="551" t="str">
        <f t="shared" si="1"/>
        <v/>
      </c>
      <c r="AD11" s="1033" t="str">
        <f t="shared" ref="AD11:AD25" si="2">IF(P11="","",P11)</f>
        <v/>
      </c>
      <c r="AE11" s="555" t="s">
        <v>686</v>
      </c>
      <c r="AF11"/>
      <c r="AG11"/>
      <c r="AH11"/>
      <c r="AI11"/>
    </row>
    <row r="12" spans="1:35" ht="11.25" customHeight="1">
      <c r="A12" s="611">
        <v>12</v>
      </c>
      <c r="B12" s="66"/>
      <c r="D12" s="54" t="s">
        <v>379</v>
      </c>
      <c r="E12" s="57" t="str">
        <f>IF(P12="","",P12)</f>
        <v/>
      </c>
      <c r="F12" s="48"/>
      <c r="H12" s="54" t="s">
        <v>380</v>
      </c>
      <c r="I12" s="57" t="str">
        <f>IF(T12="","",T12)</f>
        <v/>
      </c>
      <c r="J12" s="48"/>
      <c r="K12" s="70"/>
      <c r="L12" s="676" t="s">
        <v>411</v>
      </c>
      <c r="M12" s="66"/>
      <c r="N12" s="49"/>
      <c r="O12" s="54" t="s">
        <v>379</v>
      </c>
      <c r="P12" s="691" t="str">
        <f>IF(Q12&lt;&gt;"",Q12,IF(OR(AB12=0,AB12=""),"",AB12))</f>
        <v/>
      </c>
      <c r="Q12" s="763"/>
      <c r="R12" s="49"/>
      <c r="S12" s="54" t="s">
        <v>380</v>
      </c>
      <c r="T12" s="691" t="str">
        <f>IF(U12&lt;&gt;"",U12,IF(OR(AB49=0,AB49=""),"",AB49))</f>
        <v/>
      </c>
      <c r="U12" s="1072"/>
      <c r="V12" s="49"/>
      <c r="W12" s="69"/>
      <c r="X12" s="664" t="s">
        <v>411</v>
      </c>
      <c r="Y12" s="462"/>
      <c r="Z12" s="462"/>
      <c r="AA12" s="462" t="str">
        <f t="shared" ref="AA12:AA27" si="3">IF(O12="","",O12)</f>
        <v>Department:</v>
      </c>
      <c r="AB12" s="985"/>
      <c r="AC12" s="551" t="str">
        <f t="shared" si="1"/>
        <v/>
      </c>
      <c r="AD12" s="1033" t="str">
        <f t="shared" si="2"/>
        <v/>
      </c>
      <c r="AE12" s="555" t="s">
        <v>687</v>
      </c>
      <c r="AF12"/>
      <c r="AG12"/>
      <c r="AH12"/>
      <c r="AI12"/>
    </row>
    <row r="13" spans="1:35" ht="11.25" customHeight="1">
      <c r="A13" s="611">
        <v>13</v>
      </c>
      <c r="B13" s="66"/>
      <c r="D13" s="54" t="s">
        <v>381</v>
      </c>
      <c r="E13" s="57" t="str">
        <f>IF(P13="","",P13)</f>
        <v/>
      </c>
      <c r="F13" s="48"/>
      <c r="G13" s="49"/>
      <c r="H13" s="54" t="s">
        <v>382</v>
      </c>
      <c r="I13" s="1080" t="str">
        <f>IF(T13="","",T13)</f>
        <v/>
      </c>
      <c r="J13" s="49"/>
      <c r="K13" s="69"/>
      <c r="L13" s="676" t="s">
        <v>411</v>
      </c>
      <c r="M13" s="66"/>
      <c r="N13" s="49"/>
      <c r="O13" s="54" t="s">
        <v>381</v>
      </c>
      <c r="P13" s="691" t="str">
        <f>IF(Q13&lt;&gt;"",Q13,IF(OR(AB13=0,AB13=""),"",AB13))</f>
        <v/>
      </c>
      <c r="Q13" s="1072"/>
      <c r="R13" s="49"/>
      <c r="S13" s="54" t="s">
        <v>382</v>
      </c>
      <c r="T13" s="1076" t="str">
        <f>IF(U13&lt;&gt;"",U13,IF(OR(AB50=0,AB50=""),"",AB50))</f>
        <v/>
      </c>
      <c r="U13" s="1075"/>
      <c r="V13" s="49"/>
      <c r="W13" s="69"/>
      <c r="X13" s="664" t="s">
        <v>411</v>
      </c>
      <c r="Y13" s="462"/>
      <c r="Z13" s="462"/>
      <c r="AA13" s="462" t="str">
        <f t="shared" si="3"/>
        <v>Area/Division:</v>
      </c>
      <c r="AB13" s="985"/>
      <c r="AC13" s="551" t="str">
        <f t="shared" si="1"/>
        <v/>
      </c>
      <c r="AD13" s="1033" t="str">
        <f t="shared" si="2"/>
        <v/>
      </c>
      <c r="AE13" s="555" t="s">
        <v>688</v>
      </c>
      <c r="AF13"/>
      <c r="AG13"/>
      <c r="AH13"/>
      <c r="AI13"/>
    </row>
    <row r="14" spans="1:35" ht="11.25" customHeight="1">
      <c r="A14" s="611">
        <v>14</v>
      </c>
      <c r="B14" s="66"/>
      <c r="C14" s="49"/>
      <c r="D14" s="54" t="s">
        <v>1039</v>
      </c>
      <c r="E14" s="1035" t="str">
        <f>IF(P14="","",P14)</f>
        <v/>
      </c>
      <c r="H14" s="54" t="s">
        <v>383</v>
      </c>
      <c r="I14" s="61" t="str">
        <f>IF(T14="","",T14)</f>
        <v/>
      </c>
      <c r="J14" s="49"/>
      <c r="K14" s="69"/>
      <c r="L14" s="676" t="s">
        <v>411</v>
      </c>
      <c r="M14" s="66"/>
      <c r="N14" s="49"/>
      <c r="O14" s="54" t="s">
        <v>1039</v>
      </c>
      <c r="P14" s="691" t="str">
        <f>IF(Q14&lt;&gt;"",Q14,IF(OR(AB14=0,AB14=""),"",AB14))</f>
        <v/>
      </c>
      <c r="Q14" s="763"/>
      <c r="R14" s="49"/>
      <c r="S14" s="54" t="s">
        <v>383</v>
      </c>
      <c r="T14" s="692" t="str">
        <f>IF(U14&lt;&gt;"",U14,IF(OR(AB51=0,AB51=""),"",AB51))</f>
        <v/>
      </c>
      <c r="U14" s="765"/>
      <c r="V14" s="49"/>
      <c r="W14" s="69"/>
      <c r="X14" s="664" t="s">
        <v>411</v>
      </c>
      <c r="Y14" s="462"/>
      <c r="Z14" s="462"/>
      <c r="AA14" s="462" t="str">
        <f t="shared" si="3"/>
        <v>Survey ID:</v>
      </c>
      <c r="AB14" s="985"/>
      <c r="AC14" s="551" t="str">
        <f t="shared" si="1"/>
        <v/>
      </c>
      <c r="AD14" s="1033" t="str">
        <f t="shared" si="2"/>
        <v/>
      </c>
      <c r="AE14" s="555" t="s">
        <v>689</v>
      </c>
      <c r="AF14"/>
      <c r="AG14"/>
      <c r="AH14"/>
      <c r="AI14"/>
    </row>
    <row r="15" spans="1:35" ht="11.25" customHeight="1">
      <c r="A15" s="611">
        <v>15</v>
      </c>
      <c r="B15" s="66"/>
      <c r="C15" s="49"/>
      <c r="D15" s="54"/>
      <c r="E15" s="58"/>
      <c r="F15" s="49"/>
      <c r="J15" s="49"/>
      <c r="K15" s="69"/>
      <c r="L15" s="676" t="s">
        <v>411</v>
      </c>
      <c r="M15" s="66"/>
      <c r="N15" s="49"/>
      <c r="O15" s="54" t="s">
        <v>384</v>
      </c>
      <c r="P15" s="691" t="str">
        <f>IF(Q15&lt;&gt;"",Q15,IF(OR(AB15=0,AB15=""),"",AB15))</f>
        <v/>
      </c>
      <c r="Q15" s="1072"/>
      <c r="R15" s="49"/>
      <c r="S15" s="54" t="s">
        <v>11</v>
      </c>
      <c r="T15" s="692" t="str">
        <f>IF(U15&lt;&gt;"",U15,IF(OR(AB52=0,AB52=""),"",AB52))</f>
        <v/>
      </c>
      <c r="U15" s="765"/>
      <c r="V15" s="50"/>
      <c r="W15" s="69"/>
      <c r="X15" s="664" t="s">
        <v>411</v>
      </c>
      <c r="Y15" s="462"/>
      <c r="Z15" s="462"/>
      <c r="AA15" s="462" t="str">
        <f t="shared" si="3"/>
        <v>Room Number:</v>
      </c>
      <c r="AB15" s="985"/>
      <c r="AC15" s="551" t="str">
        <f t="shared" si="1"/>
        <v/>
      </c>
      <c r="AD15" s="1033" t="str">
        <f t="shared" si="2"/>
        <v/>
      </c>
      <c r="AE15" s="555" t="s">
        <v>690</v>
      </c>
    </row>
    <row r="16" spans="1:35" ht="11.25" customHeight="1">
      <c r="A16" s="611">
        <v>16</v>
      </c>
      <c r="B16" s="67"/>
      <c r="C16" s="75"/>
      <c r="D16" s="63"/>
      <c r="E16" s="63"/>
      <c r="F16" s="63"/>
      <c r="G16" s="63"/>
      <c r="H16" s="75"/>
      <c r="I16" s="76"/>
      <c r="J16" s="76"/>
      <c r="K16" s="77"/>
      <c r="L16" s="676" t="s">
        <v>411</v>
      </c>
      <c r="M16" s="66"/>
      <c r="N16" s="49"/>
      <c r="O16" s="49"/>
      <c r="P16" s="49"/>
      <c r="Q16" s="49"/>
      <c r="R16" s="49"/>
      <c r="S16" s="49"/>
      <c r="T16" s="49"/>
      <c r="U16" s="49"/>
      <c r="V16" s="49"/>
      <c r="W16" s="69"/>
      <c r="X16" s="664" t="s">
        <v>411</v>
      </c>
      <c r="Y16" s="462"/>
      <c r="AA16" s="462" t="str">
        <f t="shared" si="3"/>
        <v/>
      </c>
      <c r="AB16" s="54"/>
      <c r="AC16" s="551" t="str">
        <f t="shared" si="1"/>
        <v/>
      </c>
      <c r="AD16" s="457"/>
      <c r="AG16" s="1070"/>
      <c r="AH16" s="1070"/>
      <c r="AI16" s="1070"/>
    </row>
    <row r="17" spans="1:35" ht="11.25" customHeight="1">
      <c r="A17" s="611">
        <v>17</v>
      </c>
      <c r="B17" s="66"/>
      <c r="C17" s="100" t="s">
        <v>385</v>
      </c>
      <c r="D17" s="99"/>
      <c r="H17" s="49"/>
      <c r="I17" s="54"/>
      <c r="J17" s="50"/>
      <c r="K17" s="70"/>
      <c r="L17" s="676" t="s">
        <v>411</v>
      </c>
      <c r="M17" s="66"/>
      <c r="N17" s="100" t="s">
        <v>385</v>
      </c>
      <c r="O17" s="99"/>
      <c r="P17" s="49"/>
      <c r="Q17" s="49"/>
      <c r="R17" s="49"/>
      <c r="S17" s="49"/>
      <c r="T17" s="49"/>
      <c r="U17" s="49"/>
      <c r="V17" s="49"/>
      <c r="W17" s="69"/>
      <c r="X17" s="664" t="s">
        <v>411</v>
      </c>
      <c r="Y17" s="462"/>
      <c r="Z17" s="462"/>
      <c r="AA17" s="132" t="s">
        <v>385</v>
      </c>
      <c r="AB17" s="54"/>
      <c r="AC17" s="551" t="str">
        <f t="shared" si="1"/>
        <v/>
      </c>
      <c r="AD17" s="462"/>
      <c r="AG17" s="1070"/>
      <c r="AH17" s="1070"/>
      <c r="AI17" s="1070"/>
    </row>
    <row r="18" spans="1:35" ht="11.25" customHeight="1">
      <c r="A18" s="611">
        <v>18</v>
      </c>
      <c r="B18" s="66"/>
      <c r="C18" s="49"/>
      <c r="D18" s="54" t="s">
        <v>386</v>
      </c>
      <c r="E18" s="57" t="str">
        <f>IF(P18="","",P18)</f>
        <v/>
      </c>
      <c r="F18" s="49"/>
      <c r="H18" s="54" t="s">
        <v>387</v>
      </c>
      <c r="I18" s="1080" t="str">
        <f>IF(T18="","",T18)</f>
        <v/>
      </c>
      <c r="J18" s="50"/>
      <c r="K18" s="69"/>
      <c r="L18" s="676" t="s">
        <v>411</v>
      </c>
      <c r="M18" s="66"/>
      <c r="N18" s="49"/>
      <c r="O18" s="54" t="s">
        <v>386</v>
      </c>
      <c r="P18" s="691" t="str">
        <f>IF(Q18&lt;&gt;"",Q18,IF(OR(AB18=0,AB18=""),"",AB18))</f>
        <v/>
      </c>
      <c r="Q18" s="1034"/>
      <c r="R18" s="49"/>
      <c r="S18" s="54" t="s">
        <v>387</v>
      </c>
      <c r="T18" s="1076" t="str">
        <f>IF(U18&lt;&gt;"",U18,IF(OR(AB54=0,AB54=""),"",AB54))</f>
        <v/>
      </c>
      <c r="U18" s="1077"/>
      <c r="V18" s="49"/>
      <c r="W18" s="69"/>
      <c r="X18" s="664" t="s">
        <v>411</v>
      </c>
      <c r="Y18" s="462"/>
      <c r="Z18" s="462"/>
      <c r="AA18" s="462" t="str">
        <f t="shared" si="3"/>
        <v>Manufacturer:</v>
      </c>
      <c r="AB18" s="985"/>
      <c r="AC18" s="551" t="str">
        <f t="shared" si="1"/>
        <v/>
      </c>
      <c r="AD18" s="1033" t="str">
        <f t="shared" si="2"/>
        <v/>
      </c>
      <c r="AE18" s="555" t="s">
        <v>691</v>
      </c>
      <c r="AG18" s="1070"/>
      <c r="AH18" s="1070"/>
      <c r="AI18" s="1070"/>
    </row>
    <row r="19" spans="1:35" ht="11.25" customHeight="1">
      <c r="A19" s="611">
        <v>19</v>
      </c>
      <c r="B19" s="66"/>
      <c r="C19" s="49"/>
      <c r="D19" s="54" t="s">
        <v>388</v>
      </c>
      <c r="E19" s="57" t="str">
        <f>IF(P19="","",P19)</f>
        <v/>
      </c>
      <c r="F19" s="49"/>
      <c r="H19" s="54" t="s">
        <v>389</v>
      </c>
      <c r="I19" s="1035" t="str">
        <f>IF(T19="","",T19)</f>
        <v/>
      </c>
      <c r="J19" s="56"/>
      <c r="K19" s="69"/>
      <c r="L19" s="676" t="s">
        <v>411</v>
      </c>
      <c r="M19" s="66"/>
      <c r="N19" s="49"/>
      <c r="O19" s="54" t="s">
        <v>388</v>
      </c>
      <c r="P19" s="691" t="str">
        <f>IF(Q19&lt;&gt;"",Q19,IF(OR(AB19=0,AB19=""),"",AB19))</f>
        <v/>
      </c>
      <c r="Q19" s="1072"/>
      <c r="R19" s="49"/>
      <c r="S19" s="54" t="s">
        <v>389</v>
      </c>
      <c r="T19" s="985" t="str">
        <f>IF(U19&lt;&gt;"",U19,IF(OR(AB55=0,AB55=""),"",AB55))</f>
        <v/>
      </c>
      <c r="U19" s="1073"/>
      <c r="V19" s="49"/>
      <c r="W19" s="69"/>
      <c r="X19" s="664" t="s">
        <v>411</v>
      </c>
      <c r="Y19" s="462"/>
      <c r="Z19" s="462"/>
      <c r="AA19" s="462" t="str">
        <f t="shared" si="3"/>
        <v>Model:</v>
      </c>
      <c r="AB19" s="985"/>
      <c r="AC19" s="551" t="str">
        <f t="shared" si="1"/>
        <v/>
      </c>
      <c r="AD19" s="1033" t="str">
        <f t="shared" si="2"/>
        <v/>
      </c>
      <c r="AE19" s="555" t="s">
        <v>692</v>
      </c>
      <c r="AF19" s="556"/>
      <c r="AG19" s="1070"/>
      <c r="AH19" s="1070"/>
      <c r="AI19" s="1070"/>
    </row>
    <row r="20" spans="1:35" ht="11.25" customHeight="1">
      <c r="A20" s="611">
        <v>20</v>
      </c>
      <c r="B20" s="66"/>
      <c r="C20" s="49"/>
      <c r="D20" s="54" t="s">
        <v>390</v>
      </c>
      <c r="E20" s="61" t="str">
        <f>IF(P20="","",P20)</f>
        <v/>
      </c>
      <c r="F20" s="49"/>
      <c r="G20" s="49"/>
      <c r="H20" s="54" t="s">
        <v>391</v>
      </c>
      <c r="I20" s="61" t="str">
        <f>IF(T20="","",T20)</f>
        <v/>
      </c>
      <c r="J20" s="49"/>
      <c r="K20" s="69"/>
      <c r="L20" s="676" t="s">
        <v>411</v>
      </c>
      <c r="M20" s="66"/>
      <c r="N20" s="49"/>
      <c r="O20" s="54" t="s">
        <v>390</v>
      </c>
      <c r="P20" s="692" t="str">
        <f>IF(Q20&lt;&gt;"",Q20,IF(OR(AB20=0,AB20=""),"",AB20))</f>
        <v/>
      </c>
      <c r="Q20" s="765"/>
      <c r="R20" s="49"/>
      <c r="S20" s="54" t="s">
        <v>391</v>
      </c>
      <c r="T20" s="692" t="str">
        <f>IF(U20&lt;&gt;"",U20,IF(OR(AB56=0,AB56=""),"",AB56))</f>
        <v/>
      </c>
      <c r="U20" s="765"/>
      <c r="W20" s="69"/>
      <c r="X20" s="664" t="s">
        <v>411</v>
      </c>
      <c r="Y20" s="462"/>
      <c r="Z20" s="462"/>
      <c r="AA20" s="462" t="str">
        <f t="shared" si="3"/>
        <v>Max. kVp:</v>
      </c>
      <c r="AB20" s="985"/>
      <c r="AC20" s="551" t="str">
        <f t="shared" si="1"/>
        <v/>
      </c>
      <c r="AD20" s="1051" t="str">
        <f t="shared" si="2"/>
        <v/>
      </c>
      <c r="AE20" s="555" t="s">
        <v>693</v>
      </c>
      <c r="AG20" s="1070"/>
      <c r="AH20" s="1070"/>
      <c r="AI20" s="1070"/>
    </row>
    <row r="21" spans="1:35" ht="11.25" customHeight="1">
      <c r="A21" s="611">
        <v>21</v>
      </c>
      <c r="B21" s="66"/>
      <c r="C21" s="49"/>
      <c r="D21" s="54" t="s">
        <v>1073</v>
      </c>
      <c r="E21" s="61" t="str">
        <f>IF(P21="","",P21)</f>
        <v/>
      </c>
      <c r="F21" s="49"/>
      <c r="G21" s="49"/>
      <c r="H21" s="49"/>
      <c r="I21" s="49"/>
      <c r="J21" s="50"/>
      <c r="K21" s="69"/>
      <c r="L21" s="676" t="s">
        <v>411</v>
      </c>
      <c r="M21" s="66"/>
      <c r="N21" s="49"/>
      <c r="O21" s="54" t="s">
        <v>1073</v>
      </c>
      <c r="P21" s="692" t="str">
        <f>IF(Q21&lt;&gt;"",Q21,IF(OR(AB21=0,AB21=""),"",AB21))</f>
        <v/>
      </c>
      <c r="Q21" s="765"/>
      <c r="R21" s="49"/>
      <c r="S21" s="49"/>
      <c r="T21" s="54"/>
      <c r="U21" s="58"/>
      <c r="V21" s="49"/>
      <c r="W21" s="69"/>
      <c r="X21" s="664" t="s">
        <v>411</v>
      </c>
      <c r="Y21" s="462"/>
      <c r="Z21" s="462"/>
      <c r="AA21" s="462" t="str">
        <f t="shared" si="3"/>
        <v>Software Version:</v>
      </c>
      <c r="AB21" s="985"/>
      <c r="AC21" s="551" t="str">
        <f t="shared" ref="AC21" si="4">IF(AND(OR(AB21="",AB21=0),OR(AD21="",AD21=0)),"",IF(AB21&lt;&gt;AD21,"Change",""))</f>
        <v/>
      </c>
      <c r="AD21" s="1112" t="str">
        <f t="shared" si="2"/>
        <v/>
      </c>
      <c r="AG21" s="1070"/>
      <c r="AH21" s="1070"/>
      <c r="AI21" s="1070"/>
    </row>
    <row r="22" spans="1:35" ht="11.25" customHeight="1">
      <c r="A22" s="611">
        <v>22</v>
      </c>
      <c r="B22" s="67"/>
      <c r="C22" s="63"/>
      <c r="D22" s="78"/>
      <c r="E22" s="75"/>
      <c r="F22" s="75"/>
      <c r="G22" s="75"/>
      <c r="H22" s="75"/>
      <c r="I22" s="76"/>
      <c r="J22" s="75"/>
      <c r="K22" s="68"/>
      <c r="L22" s="676" t="s">
        <v>411</v>
      </c>
      <c r="M22" s="66"/>
      <c r="N22" s="49"/>
      <c r="O22" s="54"/>
      <c r="P22" s="49"/>
      <c r="Q22" s="49"/>
      <c r="R22" s="49"/>
      <c r="S22" s="49"/>
      <c r="T22" s="50"/>
      <c r="U22" s="50"/>
      <c r="V22" s="49"/>
      <c r="W22" s="69"/>
      <c r="X22" s="664" t="s">
        <v>411</v>
      </c>
      <c r="Y22" s="462"/>
      <c r="AA22" s="462" t="str">
        <f t="shared" si="3"/>
        <v/>
      </c>
      <c r="AB22" s="54"/>
      <c r="AC22" s="551" t="str">
        <f t="shared" si="1"/>
        <v/>
      </c>
      <c r="AD22" s="462"/>
      <c r="AG22" s="1070"/>
      <c r="AH22" s="1070"/>
      <c r="AI22" s="1070"/>
    </row>
    <row r="23" spans="1:35" ht="11.25" customHeight="1">
      <c r="A23" s="611">
        <v>23</v>
      </c>
      <c r="B23" s="66"/>
      <c r="C23" s="100" t="str">
        <f>IF(N23="","",N23)</f>
        <v>X-Ray Tube 1</v>
      </c>
      <c r="D23" s="99"/>
      <c r="E23" s="49"/>
      <c r="F23" s="49"/>
      <c r="H23" s="50"/>
      <c r="I23" s="99" t="s">
        <v>392</v>
      </c>
      <c r="J23" s="50"/>
      <c r="K23" s="69"/>
      <c r="L23" s="676" t="s">
        <v>411</v>
      </c>
      <c r="M23" s="66"/>
      <c r="N23" s="100" t="s">
        <v>393</v>
      </c>
      <c r="O23" s="49"/>
      <c r="P23" s="49"/>
      <c r="Q23" s="49"/>
      <c r="R23" s="49"/>
      <c r="S23" s="49"/>
      <c r="T23" s="99" t="s">
        <v>394</v>
      </c>
      <c r="U23" s="50"/>
      <c r="V23" s="49"/>
      <c r="W23" s="69"/>
      <c r="X23" s="664" t="s">
        <v>411</v>
      </c>
      <c r="Y23" s="462"/>
      <c r="Z23" s="462"/>
      <c r="AA23" s="132" t="s">
        <v>393</v>
      </c>
      <c r="AB23" s="54"/>
      <c r="AC23" s="551" t="str">
        <f t="shared" si="1"/>
        <v/>
      </c>
      <c r="AD23" s="457"/>
      <c r="AG23" s="1070"/>
      <c r="AH23" s="1070"/>
      <c r="AI23" s="1071"/>
    </row>
    <row r="24" spans="1:35" ht="11.25" customHeight="1">
      <c r="A24" s="611">
        <v>24</v>
      </c>
      <c r="B24" s="66"/>
      <c r="C24" s="49"/>
      <c r="D24" s="54" t="s">
        <v>395</v>
      </c>
      <c r="E24" s="57" t="str">
        <f>IF(P24="","",P24)</f>
        <v/>
      </c>
      <c r="F24" s="49"/>
      <c r="H24" s="54" t="str">
        <f t="shared" ref="H24:I26" si="5">IF(S24="","",S24)</f>
        <v>Large:</v>
      </c>
      <c r="I24" s="355" t="str">
        <f t="shared" si="5"/>
        <v/>
      </c>
      <c r="J24" s="50"/>
      <c r="K24" s="69"/>
      <c r="L24" s="676" t="s">
        <v>411</v>
      </c>
      <c r="M24" s="66"/>
      <c r="N24" s="49"/>
      <c r="O24" s="54" t="s">
        <v>395</v>
      </c>
      <c r="P24" s="691" t="str">
        <f>IF(Q24&lt;&gt;"",Q24,IF(OR(AB24=0,AB24=""),"",AB24))</f>
        <v/>
      </c>
      <c r="Q24" s="1034"/>
      <c r="R24" s="49"/>
      <c r="S24" s="54" t="s">
        <v>396</v>
      </c>
      <c r="T24" s="686" t="str">
        <f>IF(U24&lt;&gt;"",U24,IF(OR(AB59=0,AB59=""),"",AB59))</f>
        <v/>
      </c>
      <c r="U24" s="766"/>
      <c r="V24" s="49"/>
      <c r="W24" s="69"/>
      <c r="X24" s="664" t="s">
        <v>411</v>
      </c>
      <c r="Y24" s="462"/>
      <c r="Z24" s="462"/>
      <c r="AA24" s="462" t="str">
        <f t="shared" si="3"/>
        <v>Tube Designation/Use:</v>
      </c>
      <c r="AB24" s="985"/>
      <c r="AC24" s="551" t="str">
        <f t="shared" si="1"/>
        <v/>
      </c>
      <c r="AD24" s="1033" t="str">
        <f t="shared" si="2"/>
        <v/>
      </c>
      <c r="AE24" s="555" t="s">
        <v>694</v>
      </c>
      <c r="AG24" s="1070"/>
      <c r="AH24" s="1070"/>
      <c r="AI24" s="1070"/>
    </row>
    <row r="25" spans="1:35" ht="11.25" customHeight="1">
      <c r="A25" s="611">
        <v>25</v>
      </c>
      <c r="B25" s="66"/>
      <c r="C25" s="49"/>
      <c r="D25" s="54" t="s">
        <v>387</v>
      </c>
      <c r="E25" s="1080" t="str">
        <f>IF(P25="","",P25)</f>
        <v/>
      </c>
      <c r="F25" s="49"/>
      <c r="H25" s="54" t="str">
        <f t="shared" si="5"/>
        <v>Small:</v>
      </c>
      <c r="I25" s="355" t="str">
        <f t="shared" si="5"/>
        <v/>
      </c>
      <c r="J25" s="50"/>
      <c r="K25" s="69"/>
      <c r="L25" s="676" t="s">
        <v>411</v>
      </c>
      <c r="M25" s="66"/>
      <c r="N25" s="49"/>
      <c r="O25" s="54" t="s">
        <v>387</v>
      </c>
      <c r="P25" s="1076" t="str">
        <f>IF(Q25&lt;&gt;"",Q25,IF(OR(AB25=0,AB25=""),"",AB25))</f>
        <v/>
      </c>
      <c r="Q25" s="1075"/>
      <c r="R25" s="49"/>
      <c r="S25" s="54" t="s">
        <v>397</v>
      </c>
      <c r="T25" s="686" t="str">
        <f>IF(U25&lt;&gt;"",U25,IF(OR(AB60=0,AB60=""),"",AB60))</f>
        <v/>
      </c>
      <c r="U25" s="767"/>
      <c r="V25" s="49"/>
      <c r="W25" s="69"/>
      <c r="X25" s="664" t="s">
        <v>411</v>
      </c>
      <c r="Y25" s="462"/>
      <c r="Z25" s="462"/>
      <c r="AA25" s="462" t="str">
        <f t="shared" si="3"/>
        <v>Date of Manufacture:</v>
      </c>
      <c r="AB25" s="1185"/>
      <c r="AC25" s="551" t="str">
        <f t="shared" si="1"/>
        <v/>
      </c>
      <c r="AD25" s="1074" t="str">
        <f t="shared" si="2"/>
        <v/>
      </c>
      <c r="AE25" s="555" t="s">
        <v>695</v>
      </c>
      <c r="AG25" s="1070"/>
      <c r="AH25" s="1070"/>
      <c r="AI25" s="1070"/>
    </row>
    <row r="26" spans="1:35" ht="11.25" customHeight="1">
      <c r="A26" s="611">
        <v>26</v>
      </c>
      <c r="B26" s="66"/>
      <c r="C26" s="49"/>
      <c r="D26" s="54"/>
      <c r="H26" s="54" t="str">
        <f>IF(T26="","",S26)</f>
        <v/>
      </c>
      <c r="I26" s="355" t="str">
        <f t="shared" si="5"/>
        <v/>
      </c>
      <c r="J26" s="50"/>
      <c r="K26" s="69"/>
      <c r="L26" s="676" t="s">
        <v>411</v>
      </c>
      <c r="M26" s="66"/>
      <c r="N26" s="49"/>
      <c r="O26" s="54"/>
      <c r="P26" s="49"/>
      <c r="Q26" s="49"/>
      <c r="R26" s="49"/>
      <c r="S26" s="54" t="s">
        <v>398</v>
      </c>
      <c r="T26" s="686" t="str">
        <f>IF(U26&lt;&gt;"",U26,IF(OR(AB61=0,AB61=""),"",AB61))</f>
        <v/>
      </c>
      <c r="U26" s="767"/>
      <c r="V26" s="49"/>
      <c r="W26" s="69"/>
      <c r="X26" s="664" t="s">
        <v>411</v>
      </c>
      <c r="Y26" s="462"/>
      <c r="Z26" s="462"/>
      <c r="AA26" s="462" t="str">
        <f t="shared" si="3"/>
        <v/>
      </c>
      <c r="AB26" s="54"/>
      <c r="AC26" s="551" t="str">
        <f t="shared" si="1"/>
        <v/>
      </c>
      <c r="AD26" s="462"/>
      <c r="AG26" s="1070"/>
      <c r="AH26" s="1070"/>
      <c r="AI26" s="1070"/>
    </row>
    <row r="27" spans="1:35" ht="11.25" customHeight="1">
      <c r="A27" s="611">
        <v>27</v>
      </c>
      <c r="B27" s="66"/>
      <c r="C27" s="49"/>
      <c r="D27" s="54" t="s">
        <v>399</v>
      </c>
      <c r="E27" s="57" t="str">
        <f>IF(P27="","",P27)</f>
        <v/>
      </c>
      <c r="F27" s="49"/>
      <c r="I27" s="99" t="s">
        <v>400</v>
      </c>
      <c r="K27" s="69"/>
      <c r="L27" s="676" t="s">
        <v>411</v>
      </c>
      <c r="M27" s="66"/>
      <c r="N27" s="49"/>
      <c r="O27" s="54" t="s">
        <v>399</v>
      </c>
      <c r="P27" s="691" t="str">
        <f>IF(Q27&lt;&gt;"",Q27,IF(OR(AB27=0,AB27=""),"",AB27))</f>
        <v/>
      </c>
      <c r="Q27" s="1034"/>
      <c r="R27" s="49"/>
      <c r="S27" s="49"/>
      <c r="T27" s="99" t="s">
        <v>400</v>
      </c>
      <c r="U27" s="50"/>
      <c r="V27" s="49"/>
      <c r="W27" s="69"/>
      <c r="X27" s="664" t="s">
        <v>411</v>
      </c>
      <c r="Y27" s="462"/>
      <c r="Z27" s="462"/>
      <c r="AA27" s="462" t="str">
        <f t="shared" si="3"/>
        <v>Insert Manufacturer:</v>
      </c>
      <c r="AB27" s="985"/>
      <c r="AC27" s="551" t="str">
        <f t="shared" si="1"/>
        <v/>
      </c>
      <c r="AD27" s="1033" t="str">
        <f t="shared" ref="AD27:AD42" si="6">IF(P27="","",P27)</f>
        <v/>
      </c>
      <c r="AE27" s="555" t="s">
        <v>696</v>
      </c>
      <c r="AG27" s="1070"/>
      <c r="AH27" s="1070"/>
      <c r="AI27" s="1070"/>
    </row>
    <row r="28" spans="1:35" ht="11.25" customHeight="1">
      <c r="A28" s="611">
        <v>28</v>
      </c>
      <c r="B28" s="66"/>
      <c r="C28" s="54"/>
      <c r="D28" s="54" t="s">
        <v>401</v>
      </c>
      <c r="E28" s="60" t="str">
        <f>IF(P28="","",P28)</f>
        <v/>
      </c>
      <c r="F28" s="49"/>
      <c r="G28" s="49"/>
      <c r="H28" s="54" t="s">
        <v>402</v>
      </c>
      <c r="I28" s="1069" t="str">
        <f>IF(T28="","",T28)</f>
        <v/>
      </c>
      <c r="K28" s="69"/>
      <c r="L28" s="676" t="s">
        <v>411</v>
      </c>
      <c r="M28" s="66"/>
      <c r="N28" s="54"/>
      <c r="O28" s="54" t="s">
        <v>401</v>
      </c>
      <c r="P28" s="691" t="str">
        <f>IF(Q28&lt;&gt;"",Q28,IF(OR(AB28=0,AB28=""),"",AB28))</f>
        <v/>
      </c>
      <c r="Q28" s="763"/>
      <c r="R28" s="49"/>
      <c r="S28" s="54" t="s">
        <v>402</v>
      </c>
      <c r="T28" s="693" t="str">
        <f>IF(U28&lt;&gt;"",U28,IF(OR(AB63=0,AB63=""),"",AB63))</f>
        <v/>
      </c>
      <c r="U28" s="1034"/>
      <c r="V28" s="50"/>
      <c r="W28" s="69"/>
      <c r="X28" s="664" t="s">
        <v>411</v>
      </c>
      <c r="Y28" s="462"/>
      <c r="Z28" s="462"/>
      <c r="AA28" s="462" t="str">
        <f t="shared" ref="AA28:AA43" si="7">IF(O28="","",O28)</f>
        <v>Insert Model:</v>
      </c>
      <c r="AB28" s="985"/>
      <c r="AC28" s="551" t="str">
        <f t="shared" si="1"/>
        <v/>
      </c>
      <c r="AD28" s="1051" t="str">
        <f t="shared" si="6"/>
        <v/>
      </c>
      <c r="AE28" s="555" t="s">
        <v>697</v>
      </c>
      <c r="AG28" s="1070"/>
      <c r="AH28" s="1070"/>
      <c r="AI28" s="1070"/>
    </row>
    <row r="29" spans="1:35" ht="11.25" customHeight="1">
      <c r="A29" s="611">
        <v>29</v>
      </c>
      <c r="B29" s="66"/>
      <c r="C29" s="49"/>
      <c r="D29" s="54" t="s">
        <v>403</v>
      </c>
      <c r="E29" s="60" t="str">
        <f>IF(P29="","",P29)</f>
        <v/>
      </c>
      <c r="F29" s="49"/>
      <c r="G29" s="49"/>
      <c r="H29" s="54" t="s">
        <v>404</v>
      </c>
      <c r="I29" s="1069" t="str">
        <f>IF(T29="","",T29)</f>
        <v/>
      </c>
      <c r="J29" s="50"/>
      <c r="K29" s="70"/>
      <c r="L29" s="676" t="s">
        <v>411</v>
      </c>
      <c r="M29" s="66"/>
      <c r="N29" s="49"/>
      <c r="O29" s="54" t="s">
        <v>403</v>
      </c>
      <c r="P29" s="691" t="str">
        <f>IF(Q29&lt;&gt;"",Q29,IF(OR(AB29=0,AB29=""),"",AB29))</f>
        <v/>
      </c>
      <c r="Q29" s="1072"/>
      <c r="R29" s="49"/>
      <c r="S29" s="54" t="s">
        <v>404</v>
      </c>
      <c r="T29" s="693" t="str">
        <f>IF(U29&lt;&gt;"",U29,IF(OR(AB64=0,AB64=""),"",AB64))</f>
        <v/>
      </c>
      <c r="U29" s="763"/>
      <c r="V29" s="50"/>
      <c r="W29" s="69"/>
      <c r="X29" s="664" t="s">
        <v>411</v>
      </c>
      <c r="Y29" s="462"/>
      <c r="Z29" s="462"/>
      <c r="AA29" s="462" t="str">
        <f t="shared" si="7"/>
        <v>Insert Serial Number:</v>
      </c>
      <c r="AB29" s="985"/>
      <c r="AC29" s="551" t="str">
        <f t="shared" si="1"/>
        <v/>
      </c>
      <c r="AD29" s="1051" t="str">
        <f t="shared" si="6"/>
        <v/>
      </c>
      <c r="AE29" s="555" t="s">
        <v>698</v>
      </c>
      <c r="AG29" s="1070"/>
      <c r="AH29" s="1070"/>
      <c r="AI29" s="1070"/>
    </row>
    <row r="30" spans="1:35" ht="11.25" customHeight="1">
      <c r="A30" s="611">
        <v>30</v>
      </c>
      <c r="B30" s="66"/>
      <c r="D30" s="49"/>
      <c r="E30" s="49"/>
      <c r="F30" s="49"/>
      <c r="G30" s="55"/>
      <c r="H30" s="49"/>
      <c r="I30" s="50"/>
      <c r="J30" s="50"/>
      <c r="K30" s="70"/>
      <c r="L30" s="676" t="s">
        <v>411</v>
      </c>
      <c r="M30" s="66"/>
      <c r="N30" s="49"/>
      <c r="O30" s="49"/>
      <c r="P30" s="49"/>
      <c r="Q30" s="49"/>
      <c r="R30" s="49"/>
      <c r="S30" s="54"/>
      <c r="T30" s="49"/>
      <c r="U30" s="49"/>
      <c r="V30" s="49"/>
      <c r="W30" s="69"/>
      <c r="X30" s="664" t="s">
        <v>411</v>
      </c>
      <c r="Y30" s="462"/>
      <c r="Z30" s="462"/>
      <c r="AA30" s="462" t="str">
        <f t="shared" si="7"/>
        <v/>
      </c>
      <c r="AB30" s="54"/>
      <c r="AC30" s="551" t="str">
        <f t="shared" si="1"/>
        <v/>
      </c>
      <c r="AD30" s="457"/>
      <c r="AG30" s="1070"/>
      <c r="AH30" s="1070"/>
      <c r="AI30" s="1070"/>
    </row>
    <row r="31" spans="1:35" ht="11.25" customHeight="1">
      <c r="A31" s="611">
        <v>31</v>
      </c>
      <c r="B31" s="66"/>
      <c r="C31" s="54"/>
      <c r="D31" s="54" t="s">
        <v>405</v>
      </c>
      <c r="E31" s="57" t="str">
        <f>IF(P31="","",P31)</f>
        <v/>
      </c>
      <c r="F31" s="49"/>
      <c r="I31" s="101" t="s">
        <v>406</v>
      </c>
      <c r="J31" s="53"/>
      <c r="K31" s="69"/>
      <c r="L31" s="676" t="s">
        <v>411</v>
      </c>
      <c r="M31" s="66"/>
      <c r="N31" s="54"/>
      <c r="O31" s="54" t="s">
        <v>405</v>
      </c>
      <c r="P31" s="691" t="str">
        <f>IF(Q31&lt;&gt;"",Q31,IF(OR(AB31=0,AB31=""),"",AB31))</f>
        <v/>
      </c>
      <c r="Q31" s="1034"/>
      <c r="R31" s="55"/>
      <c r="S31" s="49"/>
      <c r="T31" s="99" t="s">
        <v>406</v>
      </c>
      <c r="U31" s="128"/>
      <c r="V31" s="50"/>
      <c r="W31" s="69"/>
      <c r="X31" s="664" t="s">
        <v>411</v>
      </c>
      <c r="Y31" s="462"/>
      <c r="Z31" s="462"/>
      <c r="AA31" s="462" t="str">
        <f t="shared" si="7"/>
        <v>Housing Manufacturer:</v>
      </c>
      <c r="AB31" s="985"/>
      <c r="AC31" s="551" t="str">
        <f t="shared" si="1"/>
        <v/>
      </c>
      <c r="AD31" s="1033" t="str">
        <f t="shared" si="6"/>
        <v/>
      </c>
      <c r="AE31" s="555" t="s">
        <v>699</v>
      </c>
      <c r="AG31" s="1070"/>
      <c r="AH31" s="1070"/>
      <c r="AI31" s="1070"/>
    </row>
    <row r="32" spans="1:35" ht="11.25" customHeight="1">
      <c r="A32" s="611">
        <v>32</v>
      </c>
      <c r="B32" s="66"/>
      <c r="C32" s="49"/>
      <c r="D32" s="54" t="s">
        <v>407</v>
      </c>
      <c r="E32" s="60" t="str">
        <f>IF(P32="","",P32)</f>
        <v/>
      </c>
      <c r="F32" s="49"/>
      <c r="H32" s="54" t="s">
        <v>408</v>
      </c>
      <c r="I32" s="57" t="str">
        <f>IF(T32="","",T32)</f>
        <v/>
      </c>
      <c r="J32" s="48"/>
      <c r="K32" s="70"/>
      <c r="L32" s="676" t="s">
        <v>411</v>
      </c>
      <c r="M32" s="66"/>
      <c r="N32" s="49"/>
      <c r="O32" s="54" t="s">
        <v>407</v>
      </c>
      <c r="P32" s="691" t="str">
        <f>IF(Q32&lt;&gt;"",Q32,IF(OR(AB32=0,AB32=""),"",AB32))</f>
        <v/>
      </c>
      <c r="Q32" s="763"/>
      <c r="R32" s="49"/>
      <c r="S32" s="54" t="s">
        <v>408</v>
      </c>
      <c r="T32" s="693" t="str">
        <f>IF(U32&lt;&gt;"",U32,IF(OR(AB67=0,AB67=""),"",AB67))</f>
        <v/>
      </c>
      <c r="U32" s="1034"/>
      <c r="W32" s="69"/>
      <c r="X32" s="664" t="s">
        <v>411</v>
      </c>
      <c r="Y32" s="462"/>
      <c r="Z32" s="462"/>
      <c r="AA32" s="462" t="str">
        <f t="shared" si="7"/>
        <v>Housing Model:</v>
      </c>
      <c r="AB32" s="985"/>
      <c r="AC32" s="551" t="str">
        <f t="shared" si="1"/>
        <v/>
      </c>
      <c r="AD32" s="1033" t="str">
        <f t="shared" si="6"/>
        <v/>
      </c>
      <c r="AE32" s="555" t="s">
        <v>700</v>
      </c>
      <c r="AG32" s="1070"/>
      <c r="AH32" s="1070"/>
      <c r="AI32" s="1070"/>
    </row>
    <row r="33" spans="1:35" ht="11.25" customHeight="1">
      <c r="A33" s="611">
        <v>33</v>
      </c>
      <c r="B33" s="66"/>
      <c r="C33" s="49"/>
      <c r="D33" s="54" t="s">
        <v>409</v>
      </c>
      <c r="E33" s="60" t="str">
        <f>IF(P33="","",P33)</f>
        <v/>
      </c>
      <c r="F33" s="49"/>
      <c r="H33" s="54" t="s">
        <v>410</v>
      </c>
      <c r="I33" s="57" t="str">
        <f>IF(T33="","",T33)</f>
        <v/>
      </c>
      <c r="J33" s="48"/>
      <c r="K33" s="69"/>
      <c r="L33" s="676" t="s">
        <v>411</v>
      </c>
      <c r="M33" s="66"/>
      <c r="N33" s="49"/>
      <c r="O33" s="54" t="s">
        <v>409</v>
      </c>
      <c r="P33" s="691" t="str">
        <f>IF(Q33&lt;&gt;"",Q33,IF(OR(AB33=0,AB33=""),"",AB33))</f>
        <v/>
      </c>
      <c r="Q33" s="1072"/>
      <c r="R33" s="49"/>
      <c r="S33" s="54" t="s">
        <v>410</v>
      </c>
      <c r="T33" s="693" t="str">
        <f>IF(U33&lt;&gt;"",U33,IF(OR(AB68=0,AB68=""),"",AB68))</f>
        <v/>
      </c>
      <c r="U33" s="763"/>
      <c r="W33" s="69"/>
      <c r="X33" s="664" t="s">
        <v>411</v>
      </c>
      <c r="Y33" s="462"/>
      <c r="Z33" s="462"/>
      <c r="AA33" s="462" t="str">
        <f t="shared" si="7"/>
        <v>Housing Serial Number:</v>
      </c>
      <c r="AB33" s="985"/>
      <c r="AC33" s="551" t="str">
        <f t="shared" si="1"/>
        <v/>
      </c>
      <c r="AD33" s="1033" t="str">
        <f t="shared" si="6"/>
        <v/>
      </c>
      <c r="AE33" s="555" t="s">
        <v>701</v>
      </c>
      <c r="AG33" s="1070"/>
      <c r="AH33" s="1070"/>
      <c r="AI33" s="1071"/>
    </row>
    <row r="34" spans="1:35" ht="11.25" customHeight="1">
      <c r="A34" s="611">
        <v>34</v>
      </c>
      <c r="B34" s="66"/>
      <c r="C34" s="49"/>
      <c r="D34" s="54"/>
      <c r="E34" s="54"/>
      <c r="F34" s="49"/>
      <c r="G34" s="49"/>
      <c r="H34" s="54"/>
      <c r="I34" s="49"/>
      <c r="K34" s="69"/>
      <c r="L34" s="676" t="s">
        <v>411</v>
      </c>
      <c r="M34" s="66"/>
      <c r="N34" s="49"/>
      <c r="O34" s="54"/>
      <c r="P34" s="49"/>
      <c r="Q34" s="49"/>
      <c r="R34" s="49"/>
      <c r="S34" s="49"/>
      <c r="T34" s="49" t="s">
        <v>411</v>
      </c>
      <c r="U34" s="49"/>
      <c r="V34" s="49"/>
      <c r="W34" s="69"/>
      <c r="X34" s="664" t="s">
        <v>411</v>
      </c>
      <c r="Y34" s="462"/>
      <c r="Z34" s="462"/>
      <c r="AA34" s="462" t="str">
        <f t="shared" si="7"/>
        <v/>
      </c>
      <c r="AB34" s="54"/>
      <c r="AC34" s="551" t="str">
        <f t="shared" si="1"/>
        <v/>
      </c>
      <c r="AD34" s="462"/>
      <c r="AG34" s="1070"/>
      <c r="AH34" s="1070"/>
      <c r="AI34" s="1071"/>
    </row>
    <row r="35" spans="1:35" ht="11.25" customHeight="1">
      <c r="A35" s="611">
        <v>35</v>
      </c>
      <c r="B35" s="67"/>
      <c r="C35" s="63"/>
      <c r="D35" s="78"/>
      <c r="E35" s="63"/>
      <c r="F35" s="63"/>
      <c r="G35" s="63"/>
      <c r="H35" s="75"/>
      <c r="I35" s="63"/>
      <c r="J35" s="63"/>
      <c r="K35" s="68"/>
      <c r="L35" s="676" t="s">
        <v>411</v>
      </c>
      <c r="M35" s="66"/>
      <c r="N35" s="49"/>
      <c r="O35" s="54"/>
      <c r="P35" s="49"/>
      <c r="Q35" s="49"/>
      <c r="R35" s="49"/>
      <c r="S35" s="54"/>
      <c r="T35" s="49" t="s">
        <v>411</v>
      </c>
      <c r="U35" s="49"/>
      <c r="V35" s="49"/>
      <c r="W35" s="69"/>
      <c r="X35" s="664" t="s">
        <v>411</v>
      </c>
      <c r="Y35" s="462"/>
      <c r="AA35" s="462" t="str">
        <f t="shared" si="7"/>
        <v/>
      </c>
      <c r="AB35" s="54"/>
      <c r="AC35" s="551" t="str">
        <f t="shared" si="1"/>
        <v/>
      </c>
      <c r="AD35" s="462"/>
      <c r="AG35" s="1070"/>
      <c r="AH35" s="1070"/>
      <c r="AI35" s="1070"/>
    </row>
    <row r="36" spans="1:35" ht="11.25" customHeight="1">
      <c r="A36" s="611">
        <v>36</v>
      </c>
      <c r="B36" s="66"/>
      <c r="C36" s="100" t="str">
        <f>IF(N36="","",N36)</f>
        <v>X-Ray Tube 2</v>
      </c>
      <c r="D36" s="54"/>
      <c r="H36" s="50"/>
      <c r="I36" s="99" t="s">
        <v>392</v>
      </c>
      <c r="J36" s="49"/>
      <c r="K36" s="69"/>
      <c r="L36" s="676" t="s">
        <v>411</v>
      </c>
      <c r="M36" s="66"/>
      <c r="N36" s="100" t="s">
        <v>412</v>
      </c>
      <c r="O36" s="54"/>
      <c r="P36" s="49"/>
      <c r="Q36" s="49"/>
      <c r="R36" s="49"/>
      <c r="S36" s="50"/>
      <c r="T36" s="99" t="s">
        <v>394</v>
      </c>
      <c r="U36" s="49"/>
      <c r="V36" s="50"/>
      <c r="W36" s="69"/>
      <c r="X36" s="664" t="s">
        <v>411</v>
      </c>
      <c r="Y36" s="462"/>
      <c r="Z36" s="462"/>
      <c r="AA36" s="132" t="s">
        <v>412</v>
      </c>
      <c r="AB36" s="54"/>
      <c r="AC36" s="551" t="str">
        <f t="shared" si="1"/>
        <v/>
      </c>
      <c r="AD36" s="462"/>
      <c r="AG36" s="1070"/>
      <c r="AH36" s="1070"/>
      <c r="AI36" s="1070"/>
    </row>
    <row r="37" spans="1:35" ht="11.25" customHeight="1">
      <c r="A37" s="611">
        <v>37</v>
      </c>
      <c r="B37" s="66"/>
      <c r="C37" s="54"/>
      <c r="D37" s="54" t="s">
        <v>395</v>
      </c>
      <c r="E37" s="60" t="str">
        <f>IF(P37="","",P37)</f>
        <v/>
      </c>
      <c r="F37" s="49"/>
      <c r="H37" s="54" t="str">
        <f t="shared" ref="H37:I39" si="8">IF(S37="","",S37)</f>
        <v>Large:</v>
      </c>
      <c r="I37" s="355" t="str">
        <f t="shared" si="8"/>
        <v/>
      </c>
      <c r="J37" s="50"/>
      <c r="K37" s="71"/>
      <c r="L37" s="676" t="s">
        <v>411</v>
      </c>
      <c r="M37" s="66"/>
      <c r="N37" s="54"/>
      <c r="O37" s="54" t="s">
        <v>395</v>
      </c>
      <c r="P37" s="691" t="str">
        <f>IF(Q37&lt;&gt;"",Q37,IF(OR(AB37=0,AB37=""),"",AB37))</f>
        <v/>
      </c>
      <c r="Q37" s="764"/>
      <c r="R37" s="49"/>
      <c r="S37" s="54" t="s">
        <v>396</v>
      </c>
      <c r="T37" s="686" t="str">
        <f>IF(U37&lt;&gt;"",U37,IF(OR(AB71=0,AB71=""),"",AB71))</f>
        <v/>
      </c>
      <c r="U37" s="766"/>
      <c r="V37" s="50"/>
      <c r="W37" s="69"/>
      <c r="X37" s="664" t="s">
        <v>411</v>
      </c>
      <c r="Y37" s="462"/>
      <c r="Z37" s="462"/>
      <c r="AA37" s="462" t="str">
        <f t="shared" si="7"/>
        <v>Tube Designation/Use:</v>
      </c>
      <c r="AB37" s="985"/>
      <c r="AC37" s="551" t="str">
        <f t="shared" si="1"/>
        <v/>
      </c>
      <c r="AD37" s="1033" t="str">
        <f t="shared" si="6"/>
        <v/>
      </c>
      <c r="AE37" s="555" t="s">
        <v>702</v>
      </c>
      <c r="AG37" s="1070"/>
      <c r="AH37" s="1070"/>
      <c r="AI37" s="1071"/>
    </row>
    <row r="38" spans="1:35" ht="11.25" customHeight="1">
      <c r="A38" s="611">
        <v>38</v>
      </c>
      <c r="B38" s="66"/>
      <c r="C38" s="54"/>
      <c r="D38" s="54" t="s">
        <v>387</v>
      </c>
      <c r="E38" s="1080" t="str">
        <f>IF(P38="","",P38)</f>
        <v/>
      </c>
      <c r="F38" s="49"/>
      <c r="H38" s="54" t="str">
        <f t="shared" si="8"/>
        <v>Small:</v>
      </c>
      <c r="I38" s="355" t="str">
        <f t="shared" si="8"/>
        <v/>
      </c>
      <c r="J38" s="50"/>
      <c r="K38" s="71"/>
      <c r="L38" s="676" t="s">
        <v>411</v>
      </c>
      <c r="M38" s="66"/>
      <c r="N38" s="54"/>
      <c r="O38" s="54" t="s">
        <v>387</v>
      </c>
      <c r="P38" s="1076" t="str">
        <f>IF(Q38&lt;&gt;"",Q38,IF(OR(AB38=0,AB38=""),"",AB38))</f>
        <v/>
      </c>
      <c r="Q38" s="1075"/>
      <c r="R38" s="49"/>
      <c r="S38" s="54" t="s">
        <v>397</v>
      </c>
      <c r="T38" s="686" t="str">
        <f>IF(U38&lt;&gt;"",U38,IF(OR(AB72=0,AB72=""),"",AB72))</f>
        <v/>
      </c>
      <c r="U38" s="767"/>
      <c r="V38" s="50"/>
      <c r="W38" s="69"/>
      <c r="X38" s="664" t="s">
        <v>411</v>
      </c>
      <c r="Y38" s="462"/>
      <c r="Z38" s="462"/>
      <c r="AA38" s="462" t="str">
        <f t="shared" si="7"/>
        <v>Date of Manufacture:</v>
      </c>
      <c r="AB38" s="1185"/>
      <c r="AC38" s="551" t="str">
        <f t="shared" si="1"/>
        <v/>
      </c>
      <c r="AD38" s="1074" t="str">
        <f t="shared" si="6"/>
        <v/>
      </c>
      <c r="AE38" s="555" t="s">
        <v>703</v>
      </c>
      <c r="AG38" s="1070"/>
      <c r="AH38" s="1070"/>
      <c r="AI38" s="1070"/>
    </row>
    <row r="39" spans="1:35" ht="11.25" customHeight="1">
      <c r="A39" s="611">
        <v>39</v>
      </c>
      <c r="B39" s="66"/>
      <c r="C39" s="54"/>
      <c r="D39" s="54"/>
      <c r="H39" s="54" t="str">
        <f>IF(T39="","",S39)</f>
        <v/>
      </c>
      <c r="I39" s="355" t="str">
        <f t="shared" si="8"/>
        <v/>
      </c>
      <c r="J39" s="50" t="str">
        <f>IF(T39="","",U39)</f>
        <v/>
      </c>
      <c r="K39" s="71"/>
      <c r="L39" s="676" t="s">
        <v>411</v>
      </c>
      <c r="M39" s="66"/>
      <c r="N39" s="54"/>
      <c r="O39" s="54"/>
      <c r="P39" s="49"/>
      <c r="Q39" s="49"/>
      <c r="R39" s="49"/>
      <c r="S39" s="54" t="s">
        <v>398</v>
      </c>
      <c r="T39" s="686" t="str">
        <f>IF(U39&lt;&gt;"",U39,IF(OR(AB73=0,AB73=""),"",AB73))</f>
        <v/>
      </c>
      <c r="U39" s="767"/>
      <c r="V39" s="49"/>
      <c r="W39" s="69"/>
      <c r="X39" s="664" t="s">
        <v>411</v>
      </c>
      <c r="Y39" s="462"/>
      <c r="Z39" s="462"/>
      <c r="AA39" s="462" t="str">
        <f t="shared" si="7"/>
        <v/>
      </c>
      <c r="AB39" s="54"/>
      <c r="AC39" s="551" t="str">
        <f t="shared" si="1"/>
        <v/>
      </c>
      <c r="AD39" s="457"/>
      <c r="AG39" s="1070"/>
      <c r="AH39" s="1070"/>
      <c r="AI39" s="1070"/>
    </row>
    <row r="40" spans="1:35" ht="11.25" customHeight="1">
      <c r="A40" s="611">
        <v>40</v>
      </c>
      <c r="B40" s="66"/>
      <c r="C40" s="54"/>
      <c r="D40" s="54" t="s">
        <v>399</v>
      </c>
      <c r="E40" s="57" t="str">
        <f>IF(P40="","",P40)</f>
        <v/>
      </c>
      <c r="F40" s="49"/>
      <c r="I40" s="99" t="s">
        <v>400</v>
      </c>
      <c r="J40" s="49"/>
      <c r="K40" s="69"/>
      <c r="L40" s="676" t="s">
        <v>411</v>
      </c>
      <c r="M40" s="66"/>
      <c r="N40" s="54"/>
      <c r="O40" s="54" t="s">
        <v>399</v>
      </c>
      <c r="P40" s="691" t="str">
        <f>IF(Q40&lt;&gt;"",Q40,IF(OR(AB40=0,AB40=""),"",AB40))</f>
        <v/>
      </c>
      <c r="Q40" s="764"/>
      <c r="R40" s="49"/>
      <c r="S40" s="49"/>
      <c r="T40" s="99" t="s">
        <v>400</v>
      </c>
      <c r="U40" s="49"/>
      <c r="V40" s="49"/>
      <c r="W40" s="69"/>
      <c r="X40" s="664" t="s">
        <v>411</v>
      </c>
      <c r="Y40" s="462"/>
      <c r="Z40" s="462"/>
      <c r="AA40" s="462" t="str">
        <f t="shared" si="7"/>
        <v>Insert Manufacturer:</v>
      </c>
      <c r="AB40" s="985"/>
      <c r="AC40" s="551" t="str">
        <f t="shared" si="1"/>
        <v/>
      </c>
      <c r="AD40" s="1033" t="str">
        <f t="shared" si="6"/>
        <v/>
      </c>
      <c r="AE40" s="555" t="s">
        <v>704</v>
      </c>
      <c r="AG40" s="1070"/>
      <c r="AH40" s="1070"/>
      <c r="AI40" s="1070"/>
    </row>
    <row r="41" spans="1:35" ht="11.25" customHeight="1">
      <c r="A41" s="611">
        <v>41</v>
      </c>
      <c r="B41" s="66"/>
      <c r="C41" s="54"/>
      <c r="D41" s="54" t="s">
        <v>401</v>
      </c>
      <c r="E41" s="60" t="str">
        <f>IF(P41="","",P41)</f>
        <v/>
      </c>
      <c r="F41" s="49"/>
      <c r="H41" s="54" t="s">
        <v>402</v>
      </c>
      <c r="I41" s="355" t="str">
        <f>IF(T41="","",T41)</f>
        <v/>
      </c>
      <c r="J41" s="49"/>
      <c r="K41" s="69"/>
      <c r="L41" s="676" t="s">
        <v>411</v>
      </c>
      <c r="M41" s="66"/>
      <c r="N41" s="54"/>
      <c r="O41" s="54" t="s">
        <v>401</v>
      </c>
      <c r="P41" s="691" t="str">
        <f>IF(Q41&lt;&gt;"",Q41,IF(OR(AB41=0,AB41=""),"",AB41))</f>
        <v/>
      </c>
      <c r="Q41" s="763"/>
      <c r="R41" s="49"/>
      <c r="S41" s="54" t="s">
        <v>402</v>
      </c>
      <c r="T41" s="686" t="str">
        <f>IF(U41&lt;&gt;"",U41,IF(OR(AB76=0,AB76=""),"",AB76))</f>
        <v/>
      </c>
      <c r="U41" s="764"/>
      <c r="V41" s="50"/>
      <c r="W41" s="69"/>
      <c r="X41" s="664" t="s">
        <v>411</v>
      </c>
      <c r="Y41" s="462"/>
      <c r="Z41" s="462"/>
      <c r="AA41" s="462" t="str">
        <f t="shared" si="7"/>
        <v>Insert Model:</v>
      </c>
      <c r="AB41" s="985"/>
      <c r="AC41" s="551" t="str">
        <f t="shared" si="1"/>
        <v/>
      </c>
      <c r="AD41" s="1033" t="str">
        <f t="shared" si="6"/>
        <v/>
      </c>
      <c r="AE41" s="555" t="s">
        <v>705</v>
      </c>
      <c r="AG41" s="1070"/>
      <c r="AH41" s="1070"/>
      <c r="AI41" s="1070"/>
    </row>
    <row r="42" spans="1:35" ht="11.25" customHeight="1">
      <c r="A42" s="611">
        <v>42</v>
      </c>
      <c r="B42" s="66"/>
      <c r="C42" s="54"/>
      <c r="D42" s="54" t="s">
        <v>403</v>
      </c>
      <c r="E42" s="60" t="str">
        <f>IF(P42="","",P42)</f>
        <v/>
      </c>
      <c r="F42" s="49"/>
      <c r="G42" s="49"/>
      <c r="H42" s="54" t="s">
        <v>404</v>
      </c>
      <c r="I42" s="355" t="str">
        <f>IF(T42="","",T42)</f>
        <v/>
      </c>
      <c r="K42" s="70"/>
      <c r="L42" s="676" t="s">
        <v>411</v>
      </c>
      <c r="M42" s="66"/>
      <c r="N42" s="54"/>
      <c r="O42" s="54" t="s">
        <v>403</v>
      </c>
      <c r="P42" s="691" t="str">
        <f>IF(Q42&lt;&gt;"",Q42,IF(OR(AB42=0,AB42=""),"",AB42))</f>
        <v/>
      </c>
      <c r="Q42" s="763"/>
      <c r="R42" s="49"/>
      <c r="S42" s="54" t="s">
        <v>404</v>
      </c>
      <c r="T42" s="686" t="str">
        <f>IF(U42&lt;&gt;"",U42,IF(OR(AB77=0,AB77=""),"",AB77))</f>
        <v/>
      </c>
      <c r="U42" s="763"/>
      <c r="V42" s="50"/>
      <c r="W42" s="69"/>
      <c r="X42" s="664" t="s">
        <v>411</v>
      </c>
      <c r="Y42" s="462"/>
      <c r="Z42" s="462"/>
      <c r="AA42" s="462" t="str">
        <f t="shared" si="7"/>
        <v>Insert Serial Number:</v>
      </c>
      <c r="AB42" s="985"/>
      <c r="AC42" s="551" t="str">
        <f t="shared" si="1"/>
        <v/>
      </c>
      <c r="AD42" s="1033" t="str">
        <f t="shared" si="6"/>
        <v/>
      </c>
      <c r="AE42" s="555" t="s">
        <v>706</v>
      </c>
      <c r="AG42" s="1070"/>
      <c r="AH42" s="1070"/>
      <c r="AI42" s="1070"/>
    </row>
    <row r="43" spans="1:35" ht="11.25" customHeight="1">
      <c r="A43" s="611">
        <v>43</v>
      </c>
      <c r="B43" s="66"/>
      <c r="C43" s="54"/>
      <c r="D43" s="54"/>
      <c r="E43" s="49"/>
      <c r="F43" s="49"/>
      <c r="G43" s="49"/>
      <c r="H43" s="49"/>
      <c r="I43" s="49"/>
      <c r="K43" s="70"/>
      <c r="L43" s="676" t="s">
        <v>411</v>
      </c>
      <c r="M43" s="66"/>
      <c r="N43" s="54"/>
      <c r="O43" s="54"/>
      <c r="P43" s="49"/>
      <c r="Q43" s="49"/>
      <c r="R43" s="49"/>
      <c r="S43" s="49"/>
      <c r="T43" s="49"/>
      <c r="U43" s="49"/>
      <c r="V43" s="50"/>
      <c r="W43" s="69"/>
      <c r="X43" s="664" t="s">
        <v>411</v>
      </c>
      <c r="Y43" s="462"/>
      <c r="Z43" s="462"/>
      <c r="AA43" s="462" t="str">
        <f t="shared" si="7"/>
        <v/>
      </c>
      <c r="AB43" s="54"/>
      <c r="AC43" s="551" t="str">
        <f t="shared" si="1"/>
        <v/>
      </c>
      <c r="AD43" s="457"/>
      <c r="AG43" s="1070"/>
      <c r="AH43" s="1070"/>
      <c r="AI43" s="1070"/>
    </row>
    <row r="44" spans="1:35" ht="11.25" customHeight="1">
      <c r="A44" s="611">
        <v>44</v>
      </c>
      <c r="B44" s="66"/>
      <c r="C44" s="54"/>
      <c r="D44" s="54" t="s">
        <v>405</v>
      </c>
      <c r="E44" s="57" t="str">
        <f>IF(P44="","",P44)</f>
        <v/>
      </c>
      <c r="F44" s="49"/>
      <c r="I44" s="101" t="s">
        <v>406</v>
      </c>
      <c r="J44" s="53"/>
      <c r="K44" s="70"/>
      <c r="L44" s="676" t="s">
        <v>411</v>
      </c>
      <c r="M44" s="66"/>
      <c r="N44" s="54"/>
      <c r="O44" s="54" t="s">
        <v>405</v>
      </c>
      <c r="P44" s="691" t="str">
        <f>IF(Q44&lt;&gt;"",Q44,IF(OR(AB44=0,AB44=""),"",AB44))</f>
        <v/>
      </c>
      <c r="Q44" s="764"/>
      <c r="R44" s="49"/>
      <c r="S44" s="49"/>
      <c r="T44" s="99" t="s">
        <v>406</v>
      </c>
      <c r="U44" s="128"/>
      <c r="V44" s="49"/>
      <c r="W44" s="69"/>
      <c r="X44" s="664" t="s">
        <v>411</v>
      </c>
      <c r="Y44" s="462"/>
      <c r="Z44" s="462"/>
      <c r="AA44" s="462" t="str">
        <f>IF(O44="","",O44)</f>
        <v>Housing Manufacturer:</v>
      </c>
      <c r="AB44" s="985"/>
      <c r="AC44" s="551" t="str">
        <f t="shared" si="1"/>
        <v/>
      </c>
      <c r="AD44" s="1033" t="str">
        <f>IF(P44="","",P44)</f>
        <v/>
      </c>
      <c r="AE44" s="555" t="s">
        <v>707</v>
      </c>
      <c r="AG44" s="1070"/>
      <c r="AH44" s="1070"/>
      <c r="AI44" s="1071"/>
    </row>
    <row r="45" spans="1:35" ht="11.25" customHeight="1">
      <c r="A45" s="611">
        <v>45</v>
      </c>
      <c r="B45" s="66"/>
      <c r="C45" s="54"/>
      <c r="D45" s="54" t="s">
        <v>407</v>
      </c>
      <c r="E45" s="60" t="str">
        <f>IF(P45="","",P45)</f>
        <v/>
      </c>
      <c r="F45" s="49"/>
      <c r="H45" s="54" t="s">
        <v>408</v>
      </c>
      <c r="I45" s="60" t="str">
        <f>IF(T45="","",T45)</f>
        <v/>
      </c>
      <c r="J45" s="47"/>
      <c r="K45" s="69"/>
      <c r="L45" s="676" t="s">
        <v>411</v>
      </c>
      <c r="M45" s="66"/>
      <c r="N45" s="54"/>
      <c r="O45" s="54" t="s">
        <v>407</v>
      </c>
      <c r="P45" s="691" t="str">
        <f>IF(Q45&lt;&gt;"",Q45,IF(OR(AB45=0,AB45=""),"",AB45))</f>
        <v/>
      </c>
      <c r="Q45" s="763"/>
      <c r="R45" s="49"/>
      <c r="S45" s="54" t="s">
        <v>408</v>
      </c>
      <c r="T45" s="693" t="str">
        <f>IF(U45&lt;&gt;"",U45,IF(OR(AB80=0,AB80=""),"",AB80))</f>
        <v/>
      </c>
      <c r="U45" s="1034"/>
      <c r="V45" s="49"/>
      <c r="W45" s="69"/>
      <c r="X45" s="664" t="s">
        <v>411</v>
      </c>
      <c r="Y45" s="462"/>
      <c r="Z45" s="462"/>
      <c r="AA45" s="462" t="str">
        <f>IF(O45="","",O45)</f>
        <v>Housing Model:</v>
      </c>
      <c r="AB45" s="985"/>
      <c r="AC45" s="551" t="str">
        <f t="shared" si="1"/>
        <v/>
      </c>
      <c r="AD45" s="1033" t="str">
        <f>IF(P45="","",P45)</f>
        <v/>
      </c>
      <c r="AE45" s="555" t="s">
        <v>708</v>
      </c>
      <c r="AG45" s="1070"/>
      <c r="AH45" s="1070"/>
      <c r="AI45" s="1071"/>
    </row>
    <row r="46" spans="1:35" ht="11.25" customHeight="1">
      <c r="A46" s="611">
        <v>46</v>
      </c>
      <c r="B46" s="66"/>
      <c r="C46" s="54"/>
      <c r="D46" s="54" t="s">
        <v>409</v>
      </c>
      <c r="E46" s="60" t="str">
        <f>IF(P46="","",P46)</f>
        <v/>
      </c>
      <c r="F46" s="49"/>
      <c r="H46" s="54" t="s">
        <v>410</v>
      </c>
      <c r="I46" s="60" t="str">
        <f>IF(T46="","",T46)</f>
        <v/>
      </c>
      <c r="J46" s="47"/>
      <c r="K46" s="69"/>
      <c r="L46" s="676" t="s">
        <v>411</v>
      </c>
      <c r="M46" s="66"/>
      <c r="N46" s="54"/>
      <c r="O46" s="54" t="s">
        <v>409</v>
      </c>
      <c r="P46" s="691" t="str">
        <f>IF(Q46&lt;&gt;"",Q46,IF(OR(AB46=0,AB46=""),"",AB46))</f>
        <v/>
      </c>
      <c r="Q46" s="763"/>
      <c r="R46" s="49"/>
      <c r="S46" s="54" t="s">
        <v>410</v>
      </c>
      <c r="T46" s="693" t="str">
        <f>IF(U46&lt;&gt;"",U46,IF(OR(AB81=0,AB81=""),"",AB81))</f>
        <v/>
      </c>
      <c r="U46" s="763"/>
      <c r="V46" s="49"/>
      <c r="W46" s="69"/>
      <c r="X46" s="664" t="s">
        <v>411</v>
      </c>
      <c r="Y46" s="462"/>
      <c r="Z46" s="462"/>
      <c r="AA46" s="462" t="str">
        <f>IF(O46="","",O46)</f>
        <v>Housing Serial Number:</v>
      </c>
      <c r="AB46" s="985"/>
      <c r="AC46" s="551" t="str">
        <f t="shared" si="1"/>
        <v/>
      </c>
      <c r="AD46" s="1033" t="str">
        <f>IF(P46="","",P46)</f>
        <v/>
      </c>
      <c r="AE46" s="555" t="s">
        <v>709</v>
      </c>
    </row>
    <row r="47" spans="1:35" ht="11.25" customHeight="1" thickBot="1">
      <c r="A47" s="611">
        <v>47</v>
      </c>
      <c r="B47" s="72"/>
      <c r="C47" s="83"/>
      <c r="D47" s="83"/>
      <c r="E47" s="83"/>
      <c r="F47" s="83"/>
      <c r="G47" s="83"/>
      <c r="H47" s="83"/>
      <c r="I47" s="83"/>
      <c r="J47" s="73"/>
      <c r="K47" s="74"/>
      <c r="L47" s="676" t="s">
        <v>411</v>
      </c>
      <c r="M47" s="72"/>
      <c r="N47" s="133"/>
      <c r="O47" s="73"/>
      <c r="P47" s="73"/>
      <c r="Q47" s="73"/>
      <c r="R47" s="134"/>
      <c r="S47" s="73"/>
      <c r="T47" s="135"/>
      <c r="U47" s="135"/>
      <c r="V47" s="135"/>
      <c r="W47" s="74"/>
      <c r="X47" s="664" t="s">
        <v>411</v>
      </c>
      <c r="Y47" s="462"/>
      <c r="Z47" s="50"/>
      <c r="AA47" s="462"/>
      <c r="AB47" s="54"/>
      <c r="AC47" s="551" t="str">
        <f t="shared" si="1"/>
        <v/>
      </c>
      <c r="AD47" s="551"/>
    </row>
    <row r="48" spans="1:35" ht="11.25" customHeight="1" thickTop="1">
      <c r="A48" s="611">
        <v>48</v>
      </c>
      <c r="B48" s="1"/>
      <c r="C48" s="1"/>
      <c r="D48" s="1"/>
      <c r="E48" s="1"/>
      <c r="F48" s="1"/>
      <c r="G48" s="1"/>
      <c r="H48" s="1"/>
      <c r="I48" s="1"/>
      <c r="J48" s="1"/>
      <c r="L48" s="676" t="s">
        <v>411</v>
      </c>
      <c r="M48" s="1"/>
      <c r="N48" s="1"/>
      <c r="O48" s="1"/>
      <c r="P48" s="1"/>
      <c r="Q48" s="1"/>
      <c r="R48" s="1"/>
      <c r="S48" s="1"/>
      <c r="T48" s="1"/>
      <c r="U48" s="1"/>
      <c r="V48" s="1"/>
      <c r="W48" s="1"/>
      <c r="X48" s="664" t="s">
        <v>411</v>
      </c>
      <c r="Y48" s="462"/>
      <c r="Z48" s="49"/>
      <c r="AA48" s="462" t="str">
        <f>IF(S11="","",S11)</f>
        <v>Site Number:</v>
      </c>
      <c r="AB48" s="985"/>
      <c r="AC48" s="551" t="str">
        <f t="shared" si="1"/>
        <v/>
      </c>
      <c r="AD48" s="1033" t="str">
        <f>IF(T11="","",T11)</f>
        <v/>
      </c>
      <c r="AE48" s="555" t="s">
        <v>710</v>
      </c>
    </row>
    <row r="49" spans="1:31" ht="11.25" customHeight="1">
      <c r="A49" s="611">
        <v>49</v>
      </c>
      <c r="F49" s="82" t="s">
        <v>413</v>
      </c>
      <c r="L49" s="676" t="s">
        <v>411</v>
      </c>
      <c r="M49" s="49"/>
      <c r="R49" s="82" t="str">
        <f>$F$49</f>
        <v>Inspection Results</v>
      </c>
      <c r="X49" s="664" t="s">
        <v>411</v>
      </c>
      <c r="Y49" s="462"/>
      <c r="Z49" s="49"/>
      <c r="AA49" s="462" t="str">
        <f t="shared" ref="AA49:AA53" si="9">IF(S12="","",S12)</f>
        <v>Authorized Use:</v>
      </c>
      <c r="AB49" s="985"/>
      <c r="AC49" s="551" t="str">
        <f t="shared" si="1"/>
        <v/>
      </c>
      <c r="AD49" s="1033" t="str">
        <f>IF(T12="","",T12)</f>
        <v/>
      </c>
      <c r="AE49" s="555" t="s">
        <v>711</v>
      </c>
    </row>
    <row r="50" spans="1:31" ht="11.25" customHeight="1" thickBot="1">
      <c r="A50" s="611">
        <v>50</v>
      </c>
      <c r="L50" s="676" t="s">
        <v>411</v>
      </c>
      <c r="N50" s="87"/>
      <c r="O50" s="87"/>
      <c r="P50" s="1"/>
      <c r="X50" s="664" t="s">
        <v>411</v>
      </c>
      <c r="Y50" s="462"/>
      <c r="Z50" s="49"/>
      <c r="AA50" s="462" t="str">
        <f t="shared" si="9"/>
        <v>Date of Installation:</v>
      </c>
      <c r="AB50" s="1185"/>
      <c r="AC50" s="551" t="str">
        <f t="shared" si="1"/>
        <v/>
      </c>
      <c r="AD50" s="1052" t="str">
        <f>IF(T13="","",T13)</f>
        <v/>
      </c>
      <c r="AE50" s="555" t="s">
        <v>712</v>
      </c>
    </row>
    <row r="51" spans="1:31" ht="11.25" customHeight="1" thickTop="1">
      <c r="A51" s="611">
        <v>51</v>
      </c>
      <c r="B51" s="64"/>
      <c r="C51" s="113"/>
      <c r="D51" s="113"/>
      <c r="E51" s="113"/>
      <c r="F51" s="113"/>
      <c r="G51" s="113"/>
      <c r="H51" s="113"/>
      <c r="I51" s="113"/>
      <c r="J51" s="113"/>
      <c r="K51" s="65"/>
      <c r="L51" s="676" t="s">
        <v>411</v>
      </c>
      <c r="M51" s="130" t="s">
        <v>417</v>
      </c>
      <c r="N51" s="113"/>
      <c r="O51" s="113"/>
      <c r="P51" s="113"/>
      <c r="Q51" s="113"/>
      <c r="R51" s="113"/>
      <c r="S51" s="113"/>
      <c r="T51" s="113"/>
      <c r="U51" s="113"/>
      <c r="V51" s="113"/>
      <c r="W51" s="65"/>
      <c r="X51" s="664" t="s">
        <v>411</v>
      </c>
      <c r="Y51" s="462"/>
      <c r="Z51" s="49"/>
      <c r="AA51" s="462" t="str">
        <f>IF(S14="","",S14)</f>
        <v>Number of X-ray Tubes:</v>
      </c>
      <c r="AB51" s="1186"/>
      <c r="AC51" s="551" t="str">
        <f t="shared" si="1"/>
        <v/>
      </c>
      <c r="AD51" s="1051" t="str">
        <f>IF(T14="","",T14)</f>
        <v/>
      </c>
      <c r="AE51" s="555" t="s">
        <v>713</v>
      </c>
    </row>
    <row r="52" spans="1:31" ht="11.25" customHeight="1">
      <c r="A52" s="611">
        <v>52</v>
      </c>
      <c r="B52" s="108" t="s">
        <v>414</v>
      </c>
      <c r="C52" s="128"/>
      <c r="D52" s="49"/>
      <c r="E52" s="49"/>
      <c r="F52" s="99" t="s">
        <v>415</v>
      </c>
      <c r="G52" s="49"/>
      <c r="H52" s="49"/>
      <c r="I52" s="49"/>
      <c r="J52" s="262" t="s">
        <v>416</v>
      </c>
      <c r="K52" s="186"/>
      <c r="L52" s="676" t="s">
        <v>411</v>
      </c>
      <c r="M52" s="836">
        <f>IF(N52&lt;&gt;"",N52,IF(OR(AB82=0,AB82=""),"",AB82))</f>
        <v>2</v>
      </c>
      <c r="N52" s="757">
        <v>2</v>
      </c>
      <c r="O52" s="326" t="s">
        <v>1120</v>
      </c>
      <c r="P52" s="49"/>
      <c r="R52" s="733"/>
      <c r="S52" s="733" t="s">
        <v>313</v>
      </c>
      <c r="T52" s="585" t="s">
        <v>418</v>
      </c>
      <c r="U52" s="732"/>
      <c r="V52" s="49"/>
      <c r="W52" s="69"/>
      <c r="X52" s="664" t="s">
        <v>411</v>
      </c>
      <c r="Y52" s="462"/>
      <c r="Z52" s="49"/>
      <c r="AA52" s="462" t="str">
        <f t="shared" si="9"/>
        <v>Accession Number:</v>
      </c>
      <c r="AB52" s="1186"/>
      <c r="AC52" s="551" t="str">
        <f t="shared" si="1"/>
        <v/>
      </c>
      <c r="AD52" s="1051" t="str">
        <f>IF(T15="","",T15)</f>
        <v/>
      </c>
      <c r="AE52" s="555" t="s">
        <v>16</v>
      </c>
    </row>
    <row r="53" spans="1:31" ht="11.25" customHeight="1">
      <c r="A53" s="611">
        <v>53</v>
      </c>
      <c r="B53" s="110"/>
      <c r="C53" s="128"/>
      <c r="D53" s="50"/>
      <c r="E53" s="49"/>
      <c r="F53" s="49"/>
      <c r="G53" s="49"/>
      <c r="H53" s="49"/>
      <c r="I53" s="49"/>
      <c r="J53" s="394"/>
      <c r="K53" s="343" t="str">
        <f>IF($M$53=1,"",IF(M55=2,"NO",""))</f>
        <v/>
      </c>
      <c r="L53" s="676" t="s">
        <v>411</v>
      </c>
      <c r="M53" s="836">
        <f>IF(N53&lt;&gt;"",N53,IF(OR(AB83=0,AB83=""),"",AB83))</f>
        <v>2</v>
      </c>
      <c r="N53" s="757">
        <v>2</v>
      </c>
      <c r="O53" s="50" t="s">
        <v>1047</v>
      </c>
      <c r="W53" s="71"/>
      <c r="X53" s="664" t="s">
        <v>411</v>
      </c>
      <c r="Y53" s="462"/>
      <c r="Z53" s="49"/>
      <c r="AA53" s="462" t="str">
        <f t="shared" si="9"/>
        <v/>
      </c>
      <c r="AB53" s="49"/>
      <c r="AC53" s="551" t="str">
        <f t="shared" si="1"/>
        <v/>
      </c>
      <c r="AD53" s="457"/>
    </row>
    <row r="54" spans="1:31" ht="11.25" customHeight="1">
      <c r="A54" s="611">
        <v>54</v>
      </c>
      <c r="B54" s="110" t="s">
        <v>1183</v>
      </c>
      <c r="C54" s="128"/>
      <c r="D54" s="50" t="s">
        <v>1184</v>
      </c>
      <c r="E54" s="49"/>
      <c r="F54" s="49"/>
      <c r="G54" s="49"/>
      <c r="H54" s="49"/>
      <c r="I54" s="49"/>
      <c r="J54" s="114" t="str">
        <f>IF($M$53=1,$T$52,IF(M56="","TBD",IF(M56=1,"YES",IF(M56=3,"NA",""))))</f>
        <v>TBD</v>
      </c>
      <c r="K54" s="343" t="str">
        <f>IF($M$53=1,"",IF(M56=2,"NO",""))</f>
        <v/>
      </c>
      <c r="L54" s="676" t="s">
        <v>411</v>
      </c>
      <c r="M54" s="127"/>
      <c r="Q54" s="99" t="s">
        <v>415</v>
      </c>
      <c r="T54" s="757">
        <v>1</v>
      </c>
      <c r="U54" s="837">
        <f>IF(T54&lt;&gt;"",T54,IF(OR(AB84=0,AB84=""),"",AB84))</f>
        <v>1</v>
      </c>
      <c r="V54" s="100" t="s">
        <v>419</v>
      </c>
      <c r="W54" s="71"/>
      <c r="X54" s="664" t="s">
        <v>411</v>
      </c>
      <c r="Y54" s="462"/>
      <c r="Z54" s="49"/>
      <c r="AA54" s="462" t="str">
        <f>IF(S18="","",S18)</f>
        <v>Date of Manufacture:</v>
      </c>
      <c r="AB54" s="1185"/>
      <c r="AC54" s="551" t="str">
        <f t="shared" ref="AC54:AC73" si="10">IF(AND(OR(AB54="",AB54=0),OR(AD54="",AD54=0)),"",IF(AB54&lt;&gt;AD54,"Change",""))</f>
        <v/>
      </c>
      <c r="AD54" s="1052" t="str">
        <f>IF(T18="","",T18)</f>
        <v/>
      </c>
      <c r="AE54" s="555" t="s">
        <v>714</v>
      </c>
    </row>
    <row r="55" spans="1:31" ht="11.25" customHeight="1">
      <c r="A55" s="611">
        <v>55</v>
      </c>
      <c r="B55" s="110" t="s">
        <v>1185</v>
      </c>
      <c r="C55" s="128"/>
      <c r="D55" s="50" t="s">
        <v>1186</v>
      </c>
      <c r="E55" s="49"/>
      <c r="F55" s="49"/>
      <c r="G55" s="49"/>
      <c r="H55" s="49"/>
      <c r="I55" s="49"/>
      <c r="J55" s="114" t="str">
        <f>IF($M$53=1,$T$52,IF(M57="","TBD",IF(M57=1,"YES",IF(M57=3,"NA",""))))</f>
        <v>TBD</v>
      </c>
      <c r="K55" s="343" t="str">
        <f>IF($M$53=1,"",IF(M57=2,"NO",""))</f>
        <v/>
      </c>
      <c r="L55" s="676" t="s">
        <v>411</v>
      </c>
      <c r="M55" s="617"/>
      <c r="N55" s="50"/>
      <c r="O55" s="50"/>
      <c r="P55" s="49"/>
      <c r="Q55" s="49"/>
      <c r="R55" s="49"/>
      <c r="S55" s="49"/>
      <c r="T55" s="49"/>
      <c r="V55" s="100" t="s">
        <v>420</v>
      </c>
      <c r="W55" s="69"/>
      <c r="X55" s="664" t="s">
        <v>411</v>
      </c>
      <c r="Y55" s="462"/>
      <c r="Z55" s="49"/>
      <c r="AA55" s="462" t="str">
        <f>IF(S19="","",S19)</f>
        <v>Serial Number:</v>
      </c>
      <c r="AB55" s="1186"/>
      <c r="AC55" s="551" t="str">
        <f t="shared" si="10"/>
        <v/>
      </c>
      <c r="AD55" s="1033" t="str">
        <f>IF(T19="","",T19)</f>
        <v/>
      </c>
      <c r="AE55" s="555" t="s">
        <v>715</v>
      </c>
    </row>
    <row r="56" spans="1:31" ht="11.25" customHeight="1">
      <c r="A56" s="611">
        <v>56</v>
      </c>
      <c r="B56" s="110" t="s">
        <v>1187</v>
      </c>
      <c r="C56" s="128"/>
      <c r="D56" s="50" t="s">
        <v>32</v>
      </c>
      <c r="E56" s="49"/>
      <c r="F56" s="49"/>
      <c r="G56" s="49"/>
      <c r="H56" s="49"/>
      <c r="I56" s="49"/>
      <c r="J56" s="114" t="str">
        <f>IF($M$53=1,$T$52,IF(M58="","TBD",IF(M58=1,"YES",IF(M58=3,"NA",""))))</f>
        <v>TBD</v>
      </c>
      <c r="K56" s="343" t="str">
        <f>IF($M$53=1,"",IF(M58=2,"NO",""))</f>
        <v/>
      </c>
      <c r="L56" s="676" t="s">
        <v>411</v>
      </c>
      <c r="M56" s="617"/>
      <c r="N56" s="50"/>
      <c r="O56" s="50" t="str">
        <f>IF(M53=1,"","SCDES registration sticker is present, clearly visible and legible.")</f>
        <v>SCDES registration sticker is present, clearly visible and legible.</v>
      </c>
      <c r="P56" s="49"/>
      <c r="Q56" s="49"/>
      <c r="R56" s="49"/>
      <c r="S56" s="49"/>
      <c r="T56" s="49"/>
      <c r="V56" s="100" t="s">
        <v>421</v>
      </c>
      <c r="W56" s="69"/>
      <c r="X56" s="664" t="s">
        <v>411</v>
      </c>
      <c r="Y56" s="462"/>
      <c r="Z56" s="49"/>
      <c r="AA56" s="462" t="str">
        <f>IF(S20="","",S20)</f>
        <v>Max. mA:</v>
      </c>
      <c r="AB56" s="1186"/>
      <c r="AC56" s="551" t="str">
        <f t="shared" si="10"/>
        <v/>
      </c>
      <c r="AD56" s="1051" t="str">
        <f>IF(T20="","",T20)</f>
        <v/>
      </c>
      <c r="AE56" s="555" t="s">
        <v>716</v>
      </c>
    </row>
    <row r="57" spans="1:31" ht="11.25" customHeight="1">
      <c r="A57" s="611">
        <v>57</v>
      </c>
      <c r="B57" s="110" t="s">
        <v>1188</v>
      </c>
      <c r="C57" s="128"/>
      <c r="D57" s="50" t="s">
        <v>422</v>
      </c>
      <c r="E57" s="49"/>
      <c r="F57" s="49"/>
      <c r="G57" s="49"/>
      <c r="H57" s="49"/>
      <c r="I57" s="49"/>
      <c r="J57" s="114" t="str">
        <f>IF($M$53=1,$T$52,IF(M59="","TBD",IF(M59=1,"YES",IF(M59=3,"NA",""))))</f>
        <v>TBD</v>
      </c>
      <c r="K57" s="343" t="str">
        <f>IF($M$53=1,"",IF(M59=2,"NO",""))</f>
        <v/>
      </c>
      <c r="L57" s="676" t="s">
        <v>411</v>
      </c>
      <c r="M57" s="617"/>
      <c r="N57" s="50"/>
      <c r="O57" s="50" t="str">
        <f>IF(M53=1,"","SCDES form SC-RHA-20 ""Notice to Employees"" posted or referenced.")</f>
        <v>SCDES form SC-RHA-20 "Notice to Employees" posted or referenced.</v>
      </c>
      <c r="P57" s="49"/>
      <c r="Q57" s="49"/>
      <c r="R57" s="49"/>
      <c r="S57" s="49"/>
      <c r="T57" s="49"/>
      <c r="U57" s="50" t="s">
        <v>423</v>
      </c>
      <c r="V57" s="49"/>
      <c r="W57" s="69"/>
      <c r="X57" s="664" t="s">
        <v>411</v>
      </c>
      <c r="Y57" s="462"/>
      <c r="Z57" s="49"/>
      <c r="AA57" s="462" t="str">
        <f>IF(S21="","",S21)</f>
        <v/>
      </c>
      <c r="AB57" s="49"/>
      <c r="AC57" s="551" t="str">
        <f t="shared" si="10"/>
        <v/>
      </c>
      <c r="AD57" s="490"/>
    </row>
    <row r="58" spans="1:31" ht="11.25" customHeight="1" thickBot="1">
      <c r="A58" s="611">
        <v>58</v>
      </c>
      <c r="B58" s="110" t="s">
        <v>1189</v>
      </c>
      <c r="C58" s="128"/>
      <c r="D58" s="50" t="s">
        <v>424</v>
      </c>
      <c r="E58" s="49"/>
      <c r="F58" s="49"/>
      <c r="G58" s="49"/>
      <c r="H58" s="396" t="s">
        <v>425</v>
      </c>
      <c r="I58" s="1134" t="str">
        <f>IF(O60="","",O60)</f>
        <v/>
      </c>
      <c r="J58" s="114" t="str">
        <f>IF(M60="","TBD",IF(M60=1,"YES",IF(M60=3,"NA","")))</f>
        <v>TBD</v>
      </c>
      <c r="K58" s="343" t="str">
        <f>IF(M60=2,"NO","")</f>
        <v/>
      </c>
      <c r="L58" s="676" t="s">
        <v>411</v>
      </c>
      <c r="M58" s="617"/>
      <c r="N58" s="49"/>
      <c r="O58" s="50" t="s">
        <v>32</v>
      </c>
      <c r="P58" s="49"/>
      <c r="Q58" s="49"/>
      <c r="R58" s="49"/>
      <c r="S58" s="49"/>
      <c r="T58" s="49"/>
      <c r="U58" s="50" t="s">
        <v>426</v>
      </c>
      <c r="V58" s="49"/>
      <c r="W58" s="69"/>
      <c r="X58" s="664" t="s">
        <v>411</v>
      </c>
      <c r="Y58" s="462"/>
      <c r="Z58" s="49"/>
      <c r="AA58" s="132" t="s">
        <v>392</v>
      </c>
      <c r="AB58" s="49"/>
      <c r="AC58" s="551" t="str">
        <f t="shared" si="10"/>
        <v/>
      </c>
      <c r="AD58" s="901"/>
    </row>
    <row r="59" spans="1:31" ht="11.25" customHeight="1" thickTop="1">
      <c r="A59" s="611">
        <v>59</v>
      </c>
      <c r="B59" s="110" t="s">
        <v>1041</v>
      </c>
      <c r="C59" s="128"/>
      <c r="D59" s="50" t="s">
        <v>427</v>
      </c>
      <c r="E59" s="49"/>
      <c r="F59" s="49"/>
      <c r="G59" s="49"/>
      <c r="H59" s="397" t="s">
        <v>425</v>
      </c>
      <c r="I59" s="1134" t="str">
        <f>IF(O61="","",O61)</f>
        <v/>
      </c>
      <c r="J59" s="114" t="str">
        <f>IF(M61="","TBD",IF(M61=1,"YES",IF(M61=3,"NA","")))</f>
        <v>TBD</v>
      </c>
      <c r="K59" s="343" t="str">
        <f>IF(M61=2,"NO","")</f>
        <v/>
      </c>
      <c r="L59" s="676" t="s">
        <v>411</v>
      </c>
      <c r="M59" s="617"/>
      <c r="N59" s="50"/>
      <c r="O59" s="50" t="str">
        <f>IF(M53=1,"","Radiation warning label present on the generator control panel.")</f>
        <v>Radiation warning label present on the generator control panel.</v>
      </c>
      <c r="P59" s="49"/>
      <c r="Q59" s="49"/>
      <c r="R59" s="49"/>
      <c r="S59" s="49"/>
      <c r="T59" s="49"/>
      <c r="U59" s="838">
        <f>IF(U68&lt;&gt;"",U68,IF(AB456="",1,AB456))</f>
        <v>1</v>
      </c>
      <c r="V59" s="839">
        <f>IF(V68&lt;&gt;"",V68,IF(AB464="",2,AB464))</f>
        <v>2</v>
      </c>
      <c r="W59" s="499"/>
      <c r="X59" s="664" t="s">
        <v>411</v>
      </c>
      <c r="Y59" s="462"/>
      <c r="Z59" s="49"/>
      <c r="AA59" s="462" t="str">
        <f>IF(S24="","",S24)</f>
        <v>Large:</v>
      </c>
      <c r="AB59" s="1186"/>
      <c r="AC59" s="551" t="str">
        <f t="shared" si="10"/>
        <v/>
      </c>
      <c r="AD59" s="1051" t="str">
        <f>IF(T24="","",T24)</f>
        <v/>
      </c>
      <c r="AE59" s="555" t="s">
        <v>717</v>
      </c>
    </row>
    <row r="60" spans="1:31" ht="11.25" customHeight="1">
      <c r="A60" s="611">
        <v>60</v>
      </c>
      <c r="B60" s="110"/>
      <c r="C60" s="128"/>
      <c r="D60" s="50" t="s">
        <v>428</v>
      </c>
      <c r="E60" s="49"/>
      <c r="F60" s="49"/>
      <c r="G60" s="49"/>
      <c r="H60" s="49"/>
      <c r="I60" s="49"/>
      <c r="J60" s="114" t="str">
        <f>IF(M62="","TBD",IF(M62=1,"YES",IF(M62=3,"NA","")))</f>
        <v>TBD</v>
      </c>
      <c r="K60" s="343" t="str">
        <f>IF(M62=2,"NO","")</f>
        <v/>
      </c>
      <c r="L60" s="676" t="s">
        <v>411</v>
      </c>
      <c r="M60" s="617"/>
      <c r="N60" s="54" t="s">
        <v>425</v>
      </c>
      <c r="O60" s="1135"/>
      <c r="P60" s="50" t="s">
        <v>429</v>
      </c>
      <c r="Q60" s="49"/>
      <c r="R60" s="49"/>
      <c r="S60" s="49"/>
      <c r="T60" s="49"/>
      <c r="U60" s="840" t="str">
        <f>IF(U69&lt;&gt;"",U69,IF(AB457="","AP",AB457))</f>
        <v>AP</v>
      </c>
      <c r="V60" s="841">
        <f>IF(V69&lt;&gt;"",V69,IF(AB465="",3,AB465))</f>
        <v>3</v>
      </c>
      <c r="W60" s="499"/>
      <c r="X60" s="664" t="s">
        <v>411</v>
      </c>
      <c r="Y60" s="462"/>
      <c r="Z60" s="49"/>
      <c r="AA60" s="462" t="str">
        <f>IF(S25="","",S25)</f>
        <v>Small:</v>
      </c>
      <c r="AB60" s="1186"/>
      <c r="AC60" s="551" t="str">
        <f t="shared" si="10"/>
        <v/>
      </c>
      <c r="AD60" s="1051" t="str">
        <f>IF(T25="","",T25)</f>
        <v/>
      </c>
      <c r="AE60" s="555" t="s">
        <v>718</v>
      </c>
    </row>
    <row r="61" spans="1:31" ht="11.25" customHeight="1">
      <c r="A61" s="611">
        <v>61</v>
      </c>
      <c r="B61" s="110"/>
      <c r="C61" s="128"/>
      <c r="D61" s="50" t="s">
        <v>430</v>
      </c>
      <c r="E61" s="49"/>
      <c r="F61" s="49"/>
      <c r="G61" s="49"/>
      <c r="H61" s="49"/>
      <c r="I61" s="49"/>
      <c r="J61" s="114" t="str">
        <f>IF(M63="","TBD",IF(M63=1,"YES",IF(M63=3,"NA","")))</f>
        <v>TBD</v>
      </c>
      <c r="K61" s="343" t="str">
        <f>IF(M63=2,"NO","")</f>
        <v/>
      </c>
      <c r="L61" s="676" t="s">
        <v>411</v>
      </c>
      <c r="M61" s="617"/>
      <c r="N61" s="54" t="s">
        <v>425</v>
      </c>
      <c r="O61" s="1135"/>
      <c r="P61" s="50" t="s">
        <v>431</v>
      </c>
      <c r="Q61" s="49"/>
      <c r="R61" s="49"/>
      <c r="S61" s="49"/>
      <c r="T61" s="49"/>
      <c r="U61" s="840" t="str">
        <f>IF(U70&lt;&gt;"",U70,IF(AB458="","Front",AB458))</f>
        <v>Front</v>
      </c>
      <c r="V61" s="841" t="str">
        <f>IF(V70&lt;&gt;"",V70,IF(AB466="","Lat",AB466))</f>
        <v>Lat</v>
      </c>
      <c r="W61" s="499"/>
      <c r="X61" s="664" t="s">
        <v>411</v>
      </c>
      <c r="Y61" s="462"/>
      <c r="Z61" s="49"/>
      <c r="AA61" s="462" t="str">
        <f>IF(S26="","",S26)</f>
        <v>Micro:</v>
      </c>
      <c r="AB61" s="1186"/>
      <c r="AC61" s="551" t="str">
        <f t="shared" si="10"/>
        <v/>
      </c>
      <c r="AD61" s="1051" t="str">
        <f>IF(T26="","",T26)</f>
        <v/>
      </c>
      <c r="AE61" s="555" t="s">
        <v>719</v>
      </c>
    </row>
    <row r="62" spans="1:31" ht="11.25" customHeight="1">
      <c r="A62" s="611">
        <v>62</v>
      </c>
      <c r="B62" s="110"/>
      <c r="C62" s="128"/>
      <c r="D62" s="50" t="s">
        <v>432</v>
      </c>
      <c r="E62" s="49"/>
      <c r="F62" s="49"/>
      <c r="G62" s="49"/>
      <c r="H62" s="49"/>
      <c r="I62" s="49"/>
      <c r="J62" s="114" t="str">
        <f>IF($M$53=1,$T$52,IF(M64="","TBD",IF(M64=1,"YES",IF(M64=3,"NA",""))))</f>
        <v>TBD</v>
      </c>
      <c r="K62" s="343" t="str">
        <f>IF($M$53=1,"",IF(M64=2,"NO",""))</f>
        <v/>
      </c>
      <c r="L62" s="676" t="s">
        <v>411</v>
      </c>
      <c r="M62" s="617"/>
      <c r="N62" s="50"/>
      <c r="O62" s="50" t="s">
        <v>428</v>
      </c>
      <c r="P62" s="49"/>
      <c r="Q62" s="49"/>
      <c r="R62" s="49"/>
      <c r="S62" s="49"/>
      <c r="T62" s="49"/>
      <c r="U62" s="840" t="str">
        <f>IF(U71&lt;&gt;"",U71,IF(AB459="","Frontal",AB459))</f>
        <v>Frontal</v>
      </c>
      <c r="V62" s="841" t="str">
        <f>IF(V71&lt;&gt;"",V71,IF(AB467="","Lateral",AB467))</f>
        <v>Lateral</v>
      </c>
      <c r="W62" s="499"/>
      <c r="X62" s="664" t="s">
        <v>411</v>
      </c>
      <c r="Y62" s="462"/>
      <c r="Z62" s="49"/>
      <c r="AA62" s="132" t="s">
        <v>400</v>
      </c>
      <c r="AB62" s="49"/>
      <c r="AC62" s="551" t="str">
        <f t="shared" si="10"/>
        <v/>
      </c>
      <c r="AD62" s="901"/>
    </row>
    <row r="63" spans="1:31" ht="11.25" customHeight="1">
      <c r="A63" s="611">
        <v>63</v>
      </c>
      <c r="B63" s="110"/>
      <c r="C63" s="128"/>
      <c r="D63" s="50" t="s">
        <v>433</v>
      </c>
      <c r="E63" s="49"/>
      <c r="F63" s="49"/>
      <c r="G63" s="49"/>
      <c r="H63" s="49"/>
      <c r="I63" s="49"/>
      <c r="J63" s="114" t="str">
        <f>IF($M$53=1,$T$52,IF(M65="","TBD",IF(M65=1,"YES",IF(M65=3,"NA",""))))</f>
        <v>TBD</v>
      </c>
      <c r="K63" s="343" t="str">
        <f>IF($M$53=1,"",IF(M65=2,"NO",""))</f>
        <v/>
      </c>
      <c r="L63" s="676" t="s">
        <v>411</v>
      </c>
      <c r="M63" s="617"/>
      <c r="N63" s="49"/>
      <c r="O63" s="50" t="s">
        <v>430</v>
      </c>
      <c r="P63" s="49"/>
      <c r="Q63" s="49"/>
      <c r="R63" s="49"/>
      <c r="S63" s="49"/>
      <c r="T63" s="49"/>
      <c r="U63" s="840" t="str">
        <f>IF(U72&lt;&gt;"",U72,IF(AB460="","Ceph",AB460))</f>
        <v>Ceph</v>
      </c>
      <c r="V63" s="841" t="str">
        <f>IF(V72&lt;&gt;"",V72,IF(AB468="","Pan",AB468))</f>
        <v>Pan</v>
      </c>
      <c r="W63" s="499"/>
      <c r="X63" s="664" t="s">
        <v>411</v>
      </c>
      <c r="Y63" s="462"/>
      <c r="Z63" s="49"/>
      <c r="AA63" s="462" t="str">
        <f>IF(S28="","",S28)</f>
        <v>Inherent:</v>
      </c>
      <c r="AB63" s="1186"/>
      <c r="AC63" s="551" t="str">
        <f t="shared" si="10"/>
        <v/>
      </c>
      <c r="AD63" s="1033" t="str">
        <f>IF(T28="","",T28)</f>
        <v/>
      </c>
      <c r="AE63" s="555" t="s">
        <v>720</v>
      </c>
    </row>
    <row r="64" spans="1:31" ht="11.25" customHeight="1" thickBot="1">
      <c r="A64" s="611">
        <v>64</v>
      </c>
      <c r="B64" s="98"/>
      <c r="C64" s="83"/>
      <c r="D64" s="83"/>
      <c r="E64" s="83"/>
      <c r="F64" s="83"/>
      <c r="G64" s="83"/>
      <c r="H64" s="83"/>
      <c r="I64" s="83"/>
      <c r="J64" s="139"/>
      <c r="K64" s="651"/>
      <c r="L64" s="676" t="s">
        <v>411</v>
      </c>
      <c r="M64" s="617"/>
      <c r="N64" s="50"/>
      <c r="O64" s="50" t="str">
        <f>IF(M53=1,"","Operators manuals are available.")</f>
        <v>Operators manuals are available.</v>
      </c>
      <c r="P64" s="49"/>
      <c r="Q64" s="49"/>
      <c r="R64" s="49"/>
      <c r="S64" s="49"/>
      <c r="T64" s="49"/>
      <c r="U64" s="840" t="str">
        <f>IF(U73&lt;&gt;"",U73,IF(AB461="","Mobile",AB461))</f>
        <v>Mobile</v>
      </c>
      <c r="V64" s="841" t="str">
        <f>IF(V73&lt;&gt;"",V73,IF(AB469="","BCM",AB469))</f>
        <v>BCM</v>
      </c>
      <c r="W64" s="499"/>
      <c r="X64" s="664" t="s">
        <v>411</v>
      </c>
      <c r="Y64" s="462"/>
      <c r="Z64" s="49"/>
      <c r="AA64" s="462" t="str">
        <f>IF(S29="","",S29)</f>
        <v>Added:</v>
      </c>
      <c r="AB64" s="1186"/>
      <c r="AC64" s="551" t="str">
        <f t="shared" si="10"/>
        <v/>
      </c>
      <c r="AD64" s="1033" t="str">
        <f>IF(T29="","",T29)</f>
        <v/>
      </c>
      <c r="AE64" s="555" t="s">
        <v>721</v>
      </c>
    </row>
    <row r="65" spans="1:36" ht="11.25" customHeight="1" thickTop="1" thickBot="1">
      <c r="A65" s="611">
        <v>65</v>
      </c>
      <c r="B65" s="52" t="s">
        <v>373</v>
      </c>
      <c r="C65" s="1133" t="str">
        <f>IF($O$8="","",$O$8)</f>
        <v/>
      </c>
      <c r="G65" t="str">
        <f>""</f>
        <v/>
      </c>
      <c r="H65" t="str">
        <f>""</f>
        <v/>
      </c>
      <c r="I65" s="52" t="s">
        <v>374</v>
      </c>
      <c r="J65" s="421" t="str">
        <f>IF($V$8="","",$V$8)</f>
        <v>Eugene Mah</v>
      </c>
      <c r="L65" s="676" t="s">
        <v>411</v>
      </c>
      <c r="M65" s="617"/>
      <c r="N65" s="49"/>
      <c r="O65" s="50" t="str">
        <f>IF(M53=1,"","Monthly radiation monitoring reports are posted.")</f>
        <v>Monthly radiation monitoring reports are posted.</v>
      </c>
      <c r="P65" s="49"/>
      <c r="Q65" s="49"/>
      <c r="R65" s="49"/>
      <c r="S65" s="49"/>
      <c r="T65" s="49"/>
      <c r="U65" s="842" t="str">
        <f>IF(U74&lt;&gt;"",U74,IF(AB462="","",AB462))</f>
        <v/>
      </c>
      <c r="V65" s="843" t="str">
        <f>IF(V74&lt;&gt;"",V74,IF(AB470="","",AB470))</f>
        <v/>
      </c>
      <c r="W65" s="499"/>
      <c r="X65" s="664" t="s">
        <v>411</v>
      </c>
      <c r="Y65" s="462"/>
      <c r="Z65" s="49"/>
      <c r="AA65" s="462" t="str">
        <f>IF(S30="","",S30)</f>
        <v/>
      </c>
      <c r="AB65" s="49"/>
      <c r="AC65" s="551" t="str">
        <f t="shared" si="10"/>
        <v/>
      </c>
      <c r="AD65" s="457"/>
    </row>
    <row r="66" spans="1:36" ht="11.25" customHeight="1" thickTop="1" thickBot="1">
      <c r="A66" s="611">
        <v>66</v>
      </c>
      <c r="B66" s="52" t="s">
        <v>384</v>
      </c>
      <c r="C66" s="373" t="str">
        <f>IF($P$15="","",$P$15&amp;IF(U54="",""," - Tube "&amp;U54))</f>
        <v/>
      </c>
      <c r="I66" s="52" t="s">
        <v>1039</v>
      </c>
      <c r="J66" s="1045" t="str">
        <f>IF($E$14="","",$E$14)</f>
        <v/>
      </c>
      <c r="L66" s="676" t="s">
        <v>411</v>
      </c>
      <c r="M66" s="72"/>
      <c r="N66" s="83"/>
      <c r="O66" s="83"/>
      <c r="P66" s="83"/>
      <c r="Q66" s="83"/>
      <c r="R66" s="83"/>
      <c r="S66" s="83"/>
      <c r="T66" s="83"/>
      <c r="U66" s="512"/>
      <c r="V66" s="512"/>
      <c r="W66" s="513"/>
      <c r="X66" s="664" t="s">
        <v>411</v>
      </c>
      <c r="Y66" s="462"/>
      <c r="Z66" s="49"/>
      <c r="AA66" s="132" t="s">
        <v>406</v>
      </c>
      <c r="AB66" s="49"/>
      <c r="AC66" s="551" t="str">
        <f t="shared" si="10"/>
        <v/>
      </c>
      <c r="AD66" s="901"/>
    </row>
    <row r="67" spans="1:36" ht="11.25" customHeight="1" thickTop="1">
      <c r="A67" s="611">
        <v>1</v>
      </c>
      <c r="K67" s="131" t="str">
        <f>$F$2</f>
        <v>Medical University of South Carolina</v>
      </c>
      <c r="L67" s="676" t="s">
        <v>411</v>
      </c>
      <c r="U67" s="1285" t="s">
        <v>290</v>
      </c>
      <c r="V67" s="1286"/>
      <c r="X67" s="664" t="s">
        <v>411</v>
      </c>
      <c r="Y67" s="462"/>
      <c r="Z67" s="55"/>
      <c r="AA67" s="462" t="str">
        <f>IF(S32="","",S32)</f>
        <v>Film:</v>
      </c>
      <c r="AB67" s="985"/>
      <c r="AC67" s="551" t="str">
        <f t="shared" si="10"/>
        <v/>
      </c>
      <c r="AD67" s="1033" t="str">
        <f>IF(T32="","",T32)</f>
        <v/>
      </c>
      <c r="AE67" s="555" t="s">
        <v>722</v>
      </c>
    </row>
    <row r="68" spans="1:36" ht="11.25" customHeight="1">
      <c r="A68" s="611">
        <v>2</v>
      </c>
      <c r="F68" s="82" t="str">
        <f>$F$49</f>
        <v>Inspection Results</v>
      </c>
      <c r="K68" s="132" t="str">
        <f>$F$5</f>
        <v>Radiographic System Compliance Inspection</v>
      </c>
      <c r="L68" s="676" t="s">
        <v>411</v>
      </c>
      <c r="U68" s="710"/>
      <c r="V68" s="711"/>
      <c r="X68" s="664" t="s">
        <v>411</v>
      </c>
      <c r="Y68" s="462"/>
      <c r="Z68" s="49"/>
      <c r="AA68" s="462" t="str">
        <f>IF(S33="","",S33)</f>
        <v>Screen:</v>
      </c>
      <c r="AB68" s="985"/>
      <c r="AC68" s="551" t="str">
        <f t="shared" si="10"/>
        <v/>
      </c>
      <c r="AD68" s="1033" t="str">
        <f>IF(T33="","",T33)</f>
        <v/>
      </c>
      <c r="AE68" s="555" t="s">
        <v>723</v>
      </c>
    </row>
    <row r="69" spans="1:36" ht="11.25" customHeight="1" thickBot="1">
      <c r="A69" s="611">
        <v>3</v>
      </c>
      <c r="K69" s="132"/>
      <c r="L69" s="676" t="s">
        <v>411</v>
      </c>
      <c r="P69" s="1004"/>
      <c r="U69" s="706"/>
      <c r="V69" s="707"/>
      <c r="X69" s="664" t="s">
        <v>411</v>
      </c>
      <c r="Y69" s="462"/>
      <c r="Z69" s="49"/>
      <c r="AA69" s="462" t="str">
        <f>IF(S34="","",S34)</f>
        <v/>
      </c>
      <c r="AB69" s="49"/>
      <c r="AC69" s="551" t="str">
        <f t="shared" si="10"/>
        <v/>
      </c>
      <c r="AD69" s="457"/>
    </row>
    <row r="70" spans="1:36" ht="11.25" customHeight="1" thickTop="1">
      <c r="A70" s="611">
        <v>4</v>
      </c>
      <c r="B70" s="79"/>
      <c r="C70" s="62"/>
      <c r="D70" s="62"/>
      <c r="E70" s="62"/>
      <c r="F70" s="62"/>
      <c r="G70" s="62"/>
      <c r="H70" s="62"/>
      <c r="I70" s="62"/>
      <c r="J70" s="62"/>
      <c r="K70" s="80"/>
      <c r="L70" s="676" t="s">
        <v>411</v>
      </c>
      <c r="U70" s="706"/>
      <c r="V70" s="707"/>
      <c r="X70" s="664" t="s">
        <v>411</v>
      </c>
      <c r="Y70" s="462"/>
      <c r="Z70" s="49"/>
      <c r="AA70" s="132" t="s">
        <v>392</v>
      </c>
      <c r="AB70" s="49"/>
      <c r="AC70" s="551" t="str">
        <f t="shared" si="10"/>
        <v/>
      </c>
      <c r="AD70" s="901"/>
    </row>
    <row r="71" spans="1:36" ht="11.25" customHeight="1">
      <c r="A71" s="611">
        <v>5</v>
      </c>
      <c r="B71" s="108" t="s">
        <v>414</v>
      </c>
      <c r="C71" s="109"/>
      <c r="F71" s="99" t="s">
        <v>434</v>
      </c>
      <c r="G71" s="1"/>
      <c r="H71" s="1"/>
      <c r="I71" s="1"/>
      <c r="J71" s="262" t="s">
        <v>416</v>
      </c>
      <c r="K71" s="395"/>
      <c r="L71" s="676" t="s">
        <v>411</v>
      </c>
      <c r="U71" s="706"/>
      <c r="V71" s="707"/>
      <c r="X71" s="664" t="s">
        <v>411</v>
      </c>
      <c r="Y71" s="462"/>
      <c r="Z71" s="49"/>
      <c r="AA71" s="462" t="str">
        <f>IF(S37="","",S37)</f>
        <v>Large:</v>
      </c>
      <c r="AB71" s="1186"/>
      <c r="AC71" s="551" t="str">
        <f t="shared" si="10"/>
        <v/>
      </c>
      <c r="AD71" s="1051" t="str">
        <f>IF(T37="","",T37)</f>
        <v/>
      </c>
      <c r="AE71" s="555" t="s">
        <v>724</v>
      </c>
    </row>
    <row r="72" spans="1:36" ht="11.25" customHeight="1">
      <c r="A72" s="611">
        <v>6</v>
      </c>
      <c r="B72" s="110" t="s">
        <v>1190</v>
      </c>
      <c r="C72" s="111"/>
      <c r="D72" s="50" t="s">
        <v>435</v>
      </c>
      <c r="J72" s="114" t="str">
        <f t="shared" ref="J72:K75" si="11">J468</f>
        <v>TBD</v>
      </c>
      <c r="K72" s="343" t="str">
        <f t="shared" si="11"/>
        <v/>
      </c>
      <c r="L72" s="676" t="s">
        <v>411</v>
      </c>
      <c r="U72" s="706"/>
      <c r="V72" s="707"/>
      <c r="X72" s="664" t="s">
        <v>411</v>
      </c>
      <c r="Y72" s="462"/>
      <c r="Z72" s="49"/>
      <c r="AA72" s="462" t="str">
        <f>IF(S38="","",S38)</f>
        <v>Small:</v>
      </c>
      <c r="AB72" s="1186"/>
      <c r="AC72" s="551" t="str">
        <f t="shared" si="10"/>
        <v/>
      </c>
      <c r="AD72" s="1051" t="str">
        <f>IF(T38="","",T38)</f>
        <v/>
      </c>
      <c r="AE72" s="555" t="s">
        <v>725</v>
      </c>
    </row>
    <row r="73" spans="1:36" ht="11.25" customHeight="1">
      <c r="A73" s="611">
        <v>7</v>
      </c>
      <c r="B73" s="110"/>
      <c r="C73" s="128"/>
      <c r="D73" s="50" t="s">
        <v>436</v>
      </c>
      <c r="J73" s="114" t="str">
        <f t="shared" si="11"/>
        <v>NA</v>
      </c>
      <c r="K73" s="343" t="str">
        <f t="shared" si="11"/>
        <v/>
      </c>
      <c r="L73" s="676" t="s">
        <v>411</v>
      </c>
      <c r="U73" s="706"/>
      <c r="V73" s="707"/>
      <c r="X73" s="664" t="s">
        <v>411</v>
      </c>
      <c r="Y73" s="462"/>
      <c r="Z73" s="49"/>
      <c r="AA73" s="462" t="str">
        <f>IF(S39="","",S39)</f>
        <v>Micro:</v>
      </c>
      <c r="AB73" s="1186"/>
      <c r="AC73" s="551" t="str">
        <f t="shared" si="10"/>
        <v/>
      </c>
      <c r="AD73" s="1051" t="str">
        <f>IF(T39="","",T39)</f>
        <v/>
      </c>
      <c r="AE73" s="555" t="s">
        <v>726</v>
      </c>
    </row>
    <row r="74" spans="1:36" ht="11.25" customHeight="1" thickBot="1">
      <c r="A74" s="611">
        <v>8</v>
      </c>
      <c r="B74" s="110" t="s">
        <v>1191</v>
      </c>
      <c r="C74" s="111"/>
      <c r="D74" s="50" t="s">
        <v>437</v>
      </c>
      <c r="E74" s="50"/>
      <c r="F74" s="50"/>
      <c r="G74" s="50"/>
      <c r="H74" s="50"/>
      <c r="I74" s="50"/>
      <c r="J74" s="114" t="str">
        <f t="shared" si="11"/>
        <v>TBD</v>
      </c>
      <c r="K74" s="343" t="str">
        <f t="shared" si="11"/>
        <v/>
      </c>
      <c r="L74" s="676" t="s">
        <v>411</v>
      </c>
      <c r="U74" s="708"/>
      <c r="V74" s="709"/>
      <c r="X74" s="664" t="s">
        <v>411</v>
      </c>
      <c r="Y74" s="462"/>
      <c r="Z74" s="49"/>
    </row>
    <row r="75" spans="1:36" ht="11.25" customHeight="1" thickTop="1">
      <c r="A75" s="611">
        <v>9</v>
      </c>
      <c r="B75" s="110" t="s">
        <v>1192</v>
      </c>
      <c r="C75" s="111"/>
      <c r="D75" s="50" t="s">
        <v>438</v>
      </c>
      <c r="E75" s="49"/>
      <c r="F75" s="49"/>
      <c r="G75" s="49"/>
      <c r="H75" s="49"/>
      <c r="I75" s="49"/>
      <c r="J75" s="114" t="str">
        <f t="shared" si="11"/>
        <v>TBD</v>
      </c>
      <c r="K75" s="343" t="str">
        <f t="shared" si="11"/>
        <v/>
      </c>
      <c r="L75" s="676" t="s">
        <v>411</v>
      </c>
      <c r="X75" s="664" t="s">
        <v>411</v>
      </c>
      <c r="Y75" s="462"/>
      <c r="Z75" s="49"/>
      <c r="AA75" s="132" t="s">
        <v>400</v>
      </c>
      <c r="AB75" s="49"/>
      <c r="AC75" s="551" t="str">
        <f t="shared" ref="AC75:AC86" si="12">IF(AND(OR(AB75="",AB75=0),OR(AD75="",AD75=0)),"",IF(AB75&lt;&gt;AD75,"Change",""))</f>
        <v/>
      </c>
      <c r="AD75" s="901"/>
    </row>
    <row r="76" spans="1:36" ht="11.25" customHeight="1">
      <c r="A76" s="611">
        <v>10</v>
      </c>
      <c r="B76" s="110" t="s">
        <v>1193</v>
      </c>
      <c r="C76" s="111"/>
      <c r="D76" s="50" t="s">
        <v>439</v>
      </c>
      <c r="E76" s="49"/>
      <c r="F76" s="49"/>
      <c r="G76" s="49"/>
      <c r="H76" s="49"/>
      <c r="I76" s="49"/>
      <c r="J76" s="114" t="str">
        <f>IF(OR(K472="NO",G482="NO"),"",G482)</f>
        <v/>
      </c>
      <c r="K76" s="343" t="str">
        <f>IF(OR(K472="NO",G482="NO"),"NO","")</f>
        <v/>
      </c>
      <c r="L76" s="676" t="s">
        <v>411</v>
      </c>
      <c r="M76" s="1"/>
      <c r="N76" s="1"/>
      <c r="O76" s="1"/>
      <c r="P76" s="1"/>
      <c r="Q76" s="1"/>
      <c r="R76" s="1"/>
      <c r="S76" s="1"/>
      <c r="T76" s="1"/>
      <c r="U76" s="1"/>
      <c r="V76" s="1"/>
      <c r="W76" s="131" t="str">
        <f>$F$2</f>
        <v>Medical University of South Carolina</v>
      </c>
      <c r="X76" s="664" t="s">
        <v>411</v>
      </c>
      <c r="Y76" s="462"/>
      <c r="Z76" s="49"/>
      <c r="AA76" s="462" t="str">
        <f>IF(S41="","",S41)</f>
        <v>Inherent:</v>
      </c>
      <c r="AB76" s="1186"/>
      <c r="AC76" s="551" t="str">
        <f t="shared" si="12"/>
        <v/>
      </c>
      <c r="AD76" s="1033" t="str">
        <f>IF(T41="","",T41)</f>
        <v/>
      </c>
      <c r="AE76" s="555" t="s">
        <v>727</v>
      </c>
    </row>
    <row r="77" spans="1:36" ht="11.25" customHeight="1">
      <c r="A77" s="611">
        <v>11</v>
      </c>
      <c r="B77" s="110" t="s">
        <v>1194</v>
      </c>
      <c r="C77" s="111"/>
      <c r="D77" s="50" t="s">
        <v>440</v>
      </c>
      <c r="J77" s="114" t="str">
        <f>IF(J494="NO","",J494)</f>
        <v>TBD</v>
      </c>
      <c r="K77" s="343" t="str">
        <f>IF(J494="NO","NO","")</f>
        <v/>
      </c>
      <c r="L77" s="676" t="s">
        <v>411</v>
      </c>
      <c r="M77" s="1"/>
      <c r="N77" s="1"/>
      <c r="O77" s="1"/>
      <c r="P77" s="1"/>
      <c r="Q77" s="1"/>
      <c r="R77" s="1"/>
      <c r="S77" s="1"/>
      <c r="T77" s="1"/>
      <c r="U77" s="1"/>
      <c r="V77" s="1"/>
      <c r="W77" s="132" t="str">
        <f>$F$5</f>
        <v>Radiographic System Compliance Inspection</v>
      </c>
      <c r="X77" s="664" t="s">
        <v>411</v>
      </c>
      <c r="Y77" s="462"/>
      <c r="Z77" s="49"/>
      <c r="AA77" s="462" t="str">
        <f>IF(S42="","",S42)</f>
        <v>Added:</v>
      </c>
      <c r="AB77" s="1186"/>
      <c r="AC77" s="551" t="str">
        <f t="shared" si="12"/>
        <v/>
      </c>
      <c r="AD77" s="1033" t="str">
        <f>IF(T42="","",T42)</f>
        <v/>
      </c>
      <c r="AE77" s="555" t="s">
        <v>728</v>
      </c>
      <c r="AF77" s="667"/>
      <c r="AG77" s="667"/>
      <c r="AH77" s="667"/>
      <c r="AI77" s="667"/>
    </row>
    <row r="78" spans="1:36" ht="11.25" customHeight="1" thickBot="1">
      <c r="A78" s="611">
        <v>12</v>
      </c>
      <c r="B78" s="110" t="s">
        <v>1195</v>
      </c>
      <c r="C78" s="111"/>
      <c r="D78" s="50" t="s">
        <v>441</v>
      </c>
      <c r="E78" s="49"/>
      <c r="F78" s="49"/>
      <c r="G78" s="49"/>
      <c r="H78" s="49"/>
      <c r="I78" s="49"/>
      <c r="J78" s="114" t="str">
        <f>IF(J506="NO","",J506)</f>
        <v>TBD</v>
      </c>
      <c r="K78" s="343" t="str">
        <f>IF(J506="NO","NO","")</f>
        <v/>
      </c>
      <c r="L78" s="676" t="s">
        <v>411</v>
      </c>
      <c r="M78" s="1"/>
      <c r="N78" s="665" t="s">
        <v>309</v>
      </c>
      <c r="O78" s="1"/>
      <c r="P78" s="1"/>
      <c r="Q78" s="1"/>
      <c r="R78" s="1"/>
      <c r="S78" s="1"/>
      <c r="T78" s="1"/>
      <c r="U78" s="1"/>
      <c r="V78" s="1"/>
      <c r="W78" s="1"/>
      <c r="X78" s="664" t="s">
        <v>411</v>
      </c>
      <c r="Y78" s="462"/>
      <c r="Z78" s="49"/>
      <c r="AA78" s="462" t="str">
        <f>IF(S43="","",S43)</f>
        <v/>
      </c>
      <c r="AB78" s="49"/>
      <c r="AC78" s="551" t="str">
        <f t="shared" si="12"/>
        <v/>
      </c>
      <c r="AD78" s="457"/>
      <c r="AF78" s="667"/>
      <c r="AG78" s="667"/>
      <c r="AH78" s="667"/>
      <c r="AI78" s="667"/>
    </row>
    <row r="79" spans="1:36" ht="11.25" customHeight="1" thickTop="1">
      <c r="A79" s="611">
        <v>13</v>
      </c>
      <c r="B79" s="110" t="s">
        <v>1196</v>
      </c>
      <c r="C79" s="111"/>
      <c r="D79" s="50" t="s">
        <v>1197</v>
      </c>
      <c r="E79" s="49"/>
      <c r="F79" s="49"/>
      <c r="G79" s="49"/>
      <c r="H79" s="49"/>
      <c r="I79" s="49"/>
      <c r="J79" s="114" t="str">
        <f>IF($I$939="NO","",$I$939)</f>
        <v>TBD</v>
      </c>
      <c r="K79" s="343" t="str">
        <f>IF($I$939="NO","NO","")</f>
        <v/>
      </c>
      <c r="L79" s="676" t="s">
        <v>411</v>
      </c>
      <c r="M79" s="832" t="str">
        <f>IF(N79&lt;&gt;"",N79,IF($M$409=1,$M$421,IF(OR(AB233=0,AB233=""),10,AB233)))</f>
        <v/>
      </c>
      <c r="N79" s="700" t="str">
        <f>M421</f>
        <v/>
      </c>
      <c r="O79" s="438" t="s">
        <v>268</v>
      </c>
      <c r="P79" s="298"/>
      <c r="Q79" s="298"/>
      <c r="R79" s="298"/>
      <c r="S79" s="298"/>
      <c r="T79" s="298"/>
      <c r="U79" s="298"/>
      <c r="V79" s="298"/>
      <c r="W79" s="299"/>
      <c r="X79" s="664" t="s">
        <v>411</v>
      </c>
      <c r="Y79" s="462"/>
      <c r="Z79" s="49"/>
      <c r="AA79" s="132" t="s">
        <v>406</v>
      </c>
      <c r="AB79" s="49"/>
      <c r="AC79" s="551" t="str">
        <f t="shared" si="12"/>
        <v/>
      </c>
      <c r="AD79" s="901"/>
      <c r="AF79" s="667"/>
      <c r="AG79" s="668"/>
      <c r="AH79" s="667"/>
      <c r="AI79" s="668"/>
    </row>
    <row r="80" spans="1:36" ht="11.25" customHeight="1">
      <c r="A80" s="611">
        <v>14</v>
      </c>
      <c r="B80" s="127"/>
      <c r="J80" s="129"/>
      <c r="K80" s="399"/>
      <c r="L80" s="676" t="s">
        <v>411</v>
      </c>
      <c r="M80" s="833">
        <f>IF(N80&lt;&gt;"",N80,IF(OR(AB234=0,AB234=""),200,AB234))</f>
        <v>400</v>
      </c>
      <c r="N80" s="701">
        <v>400</v>
      </c>
      <c r="O80" s="50" t="s">
        <v>269</v>
      </c>
      <c r="P80" s="1"/>
      <c r="Q80" s="1"/>
      <c r="R80" s="1"/>
      <c r="S80" s="1"/>
      <c r="T80" s="1"/>
      <c r="U80" s="1"/>
      <c r="V80" s="1"/>
      <c r="W80" s="39"/>
      <c r="X80" s="664" t="s">
        <v>411</v>
      </c>
      <c r="Y80" s="462"/>
      <c r="Z80" s="49"/>
      <c r="AA80" s="462" t="str">
        <f>IF(S45="","",S45)</f>
        <v>Film:</v>
      </c>
      <c r="AB80" s="1186"/>
      <c r="AC80" s="551" t="str">
        <f t="shared" si="12"/>
        <v/>
      </c>
      <c r="AD80" s="1033" t="str">
        <f>IF(T45="","",T45)</f>
        <v/>
      </c>
      <c r="AE80" s="555" t="s">
        <v>729</v>
      </c>
      <c r="AF80" s="667"/>
      <c r="AG80" s="668"/>
      <c r="AH80" s="667"/>
      <c r="AI80" s="668"/>
      <c r="AJ80" s="209"/>
    </row>
    <row r="81" spans="1:35" ht="11.25" customHeight="1">
      <c r="A81" s="611">
        <v>15</v>
      </c>
      <c r="B81" s="127"/>
      <c r="F81" s="99" t="s">
        <v>442</v>
      </c>
      <c r="J81" s="114"/>
      <c r="K81" s="343"/>
      <c r="L81" s="676" t="s">
        <v>411</v>
      </c>
      <c r="M81" s="833">
        <f>IF(N81&lt;&gt;"",N81,IF(OR(AB235=0,AB235=""),100,AB235))</f>
        <v>200</v>
      </c>
      <c r="N81" s="701">
        <v>200</v>
      </c>
      <c r="O81" s="50" t="s">
        <v>270</v>
      </c>
      <c r="P81" s="49"/>
      <c r="Q81" s="49"/>
      <c r="R81" s="107" t="s">
        <v>539</v>
      </c>
      <c r="S81" s="49"/>
      <c r="T81" s="49"/>
      <c r="U81" s="49"/>
      <c r="V81" s="49"/>
      <c r="W81" s="69"/>
      <c r="X81" s="664" t="s">
        <v>411</v>
      </c>
      <c r="Y81" s="457"/>
      <c r="Z81" s="49"/>
      <c r="AA81" s="462" t="str">
        <f>IF(S46="","",S46)</f>
        <v>Screen:</v>
      </c>
      <c r="AB81" s="1186"/>
      <c r="AC81" s="551" t="str">
        <f t="shared" si="12"/>
        <v/>
      </c>
      <c r="AD81" s="1033" t="str">
        <f>IF(T46="","",T46)</f>
        <v/>
      </c>
      <c r="AE81" s="555" t="s">
        <v>730</v>
      </c>
      <c r="AF81" s="667"/>
      <c r="AG81" s="667"/>
      <c r="AH81" s="667"/>
      <c r="AI81" s="667"/>
    </row>
    <row r="82" spans="1:35" ht="11.25" customHeight="1" thickBot="1">
      <c r="A82" s="611">
        <v>16</v>
      </c>
      <c r="B82" s="110"/>
      <c r="C82" s="128"/>
      <c r="D82" s="50" t="s">
        <v>443</v>
      </c>
      <c r="E82" s="50"/>
      <c r="F82" s="50"/>
      <c r="G82" s="50"/>
      <c r="H82" s="50"/>
      <c r="I82" s="50"/>
      <c r="J82" s="114" t="str">
        <f>IF($J$537="NO","",$J$537)</f>
        <v>TBD</v>
      </c>
      <c r="K82" s="343" t="str">
        <f>IF($J$537="NO","NO","")</f>
        <v/>
      </c>
      <c r="L82" s="676" t="s">
        <v>411</v>
      </c>
      <c r="M82" s="127"/>
      <c r="N82" s="49"/>
      <c r="O82" s="49"/>
      <c r="P82" s="49"/>
      <c r="Q82" s="49"/>
      <c r="R82" s="49"/>
      <c r="S82" s="49"/>
      <c r="T82" s="49"/>
      <c r="U82" s="49"/>
      <c r="V82" s="49"/>
      <c r="W82" s="69"/>
      <c r="X82" s="664" t="s">
        <v>411</v>
      </c>
      <c r="Y82" s="457"/>
      <c r="Z82" s="49"/>
      <c r="AA82" s="54" t="s">
        <v>1121</v>
      </c>
      <c r="AB82" s="1186"/>
      <c r="AC82" s="551" t="str">
        <f t="shared" ref="AC82" si="13">IF(AND(OR(AB82="",AB82=0),OR(AD82="",AD82=0)),"",IF(AB82&lt;&gt;AD82,"Change",""))</f>
        <v>Change</v>
      </c>
      <c r="AD82" s="1051">
        <f>IF(M52="","",M52)</f>
        <v>2</v>
      </c>
      <c r="AE82" s="555" t="s">
        <v>1122</v>
      </c>
      <c r="AF82" s="667"/>
      <c r="AG82" s="667"/>
      <c r="AH82" s="667"/>
      <c r="AI82" s="667"/>
    </row>
    <row r="83" spans="1:35" ht="11.25" customHeight="1" thickTop="1">
      <c r="A83" s="611">
        <v>17</v>
      </c>
      <c r="B83" s="110" t="s">
        <v>1198</v>
      </c>
      <c r="C83" s="111"/>
      <c r="D83" s="50" t="s">
        <v>1042</v>
      </c>
      <c r="E83" s="49"/>
      <c r="F83" s="49"/>
      <c r="G83" s="49"/>
      <c r="H83" s="49"/>
      <c r="I83" s="49"/>
      <c r="J83" s="114" t="str">
        <f>IF($J$547="NO","",$J$547)</f>
        <v>TBD</v>
      </c>
      <c r="K83" s="343" t="str">
        <f>IF($J$547="NO","NO","")</f>
        <v/>
      </c>
      <c r="L83" s="676" t="s">
        <v>411</v>
      </c>
      <c r="M83" s="449" t="s">
        <v>540</v>
      </c>
      <c r="N83" s="446" t="str">
        <f>IF(AND($T$32="",$T$45=""),"??",IF(OR($T$32="",$U$54=2,$U$54="LAT",$U$54="LATERAL"),$T$45,$T$32))&amp;IF(AND(T33="",T46=""),""," / ")&amp;IF(OR($T$33="",$U$54=2,$U$54="LAT",$U$54="LATERAL"),$T$46,$T$33)</f>
        <v>??</v>
      </c>
      <c r="O83" s="450"/>
      <c r="P83" s="113"/>
      <c r="Q83" s="113"/>
      <c r="R83" s="113"/>
      <c r="S83" s="121"/>
      <c r="T83" s="448" t="s">
        <v>373</v>
      </c>
      <c r="U83" s="1091" t="str">
        <f>IF($O$8="","",$O$8)</f>
        <v/>
      </c>
      <c r="V83" s="80"/>
      <c r="W83" s="69"/>
      <c r="X83" s="664" t="s">
        <v>411</v>
      </c>
      <c r="Y83" s="457"/>
      <c r="Z83" s="457"/>
      <c r="AA83" s="462" t="s">
        <v>445</v>
      </c>
      <c r="AB83" s="1186"/>
      <c r="AC83" s="551" t="str">
        <f t="shared" si="12"/>
        <v>Change</v>
      </c>
      <c r="AD83" s="1051">
        <f>IF(M53="","",M53)</f>
        <v>2</v>
      </c>
      <c r="AE83" s="555" t="s">
        <v>731</v>
      </c>
      <c r="AG83" s="667"/>
      <c r="AH83" s="667"/>
      <c r="AI83" s="667"/>
    </row>
    <row r="84" spans="1:35" ht="11.25" customHeight="1">
      <c r="A84" s="611">
        <v>18</v>
      </c>
      <c r="B84" s="110" t="s">
        <v>1199</v>
      </c>
      <c r="C84" s="111"/>
      <c r="D84" s="50" t="s">
        <v>444</v>
      </c>
      <c r="E84" s="49"/>
      <c r="F84" s="49"/>
      <c r="G84" s="49"/>
      <c r="H84" s="49"/>
      <c r="I84" s="49"/>
      <c r="J84" s="114" t="str">
        <f>IF(OR($H$560="NO",$I$560="NO",$H$561="NO",$I$561="NO"),"",IF(OR($H$560="NA",$I$560="NA"),"NA",IF(OR($H$560="TBD",$I$560="TBD",$H$561="TBD",$I$561="TBD"),"TBD","YES")))</f>
        <v>NA</v>
      </c>
      <c r="K84" s="343" t="str">
        <f>IF(OR($H$560="NO",$I$560="NO",$H$561="NO",$I$561="NO"),"NO","")</f>
        <v/>
      </c>
      <c r="L84" s="676" t="s">
        <v>411</v>
      </c>
      <c r="M84" s="66"/>
      <c r="N84" s="49"/>
      <c r="O84" s="49"/>
      <c r="P84" s="117" t="s">
        <v>541</v>
      </c>
      <c r="Q84" s="49"/>
      <c r="R84" s="49"/>
      <c r="S84" s="49"/>
      <c r="T84" s="49"/>
      <c r="U84" s="1092" t="s">
        <v>542</v>
      </c>
      <c r="V84" s="71"/>
      <c r="W84" s="69"/>
      <c r="X84" s="664" t="s">
        <v>411</v>
      </c>
      <c r="Y84" s="457"/>
      <c r="Z84" s="457"/>
      <c r="AA84" s="54" t="s">
        <v>447</v>
      </c>
      <c r="AB84" s="1186"/>
      <c r="AC84" s="551" t="str">
        <f t="shared" si="12"/>
        <v>Change</v>
      </c>
      <c r="AD84" s="1051">
        <f>IF(U54="","",U54)</f>
        <v>1</v>
      </c>
      <c r="AE84" s="555" t="s">
        <v>732</v>
      </c>
      <c r="AF84" s="667"/>
      <c r="AG84" s="668"/>
      <c r="AH84" s="667"/>
      <c r="AI84" s="668"/>
    </row>
    <row r="85" spans="1:35" ht="11.25" customHeight="1">
      <c r="A85" s="611">
        <v>19</v>
      </c>
      <c r="B85" s="110" t="s">
        <v>1200</v>
      </c>
      <c r="C85" s="111"/>
      <c r="D85" s="50" t="s">
        <v>446</v>
      </c>
      <c r="J85" s="114" t="str">
        <f>IF(OR($J$560="NO",$K$560="NO",$J$561="NO",$K$561="NO"),"",IF(OR($J$560="NA",$K$560="NA"),"NA",IF(OR($J$560="TBD",$K$560="TBD",$J$561="TBD",$K$561="TBD"),"TBD","YES")))</f>
        <v>NA</v>
      </c>
      <c r="K85" s="343" t="str">
        <f>IF(OR($J$560="NO",$K$560="NO",$J$561="NO",$K$561="NO"),"NO","")</f>
        <v/>
      </c>
      <c r="L85" s="676" t="s">
        <v>411</v>
      </c>
      <c r="M85" s="123"/>
      <c r="N85" s="117"/>
      <c r="O85" s="117" t="s">
        <v>512</v>
      </c>
      <c r="P85" s="117" t="s">
        <v>543</v>
      </c>
      <c r="Q85" s="117" t="s">
        <v>544</v>
      </c>
      <c r="R85" s="117"/>
      <c r="S85" s="117"/>
      <c r="T85" s="117"/>
      <c r="U85" s="117" t="s">
        <v>545</v>
      </c>
      <c r="V85" s="69" t="s">
        <v>1063</v>
      </c>
      <c r="W85" s="69"/>
      <c r="X85" s="664" t="s">
        <v>411</v>
      </c>
      <c r="Y85" s="457"/>
      <c r="Z85" s="457"/>
      <c r="AA85" s="54"/>
      <c r="AB85" s="49"/>
      <c r="AC85" s="551" t="str">
        <f t="shared" si="12"/>
        <v/>
      </c>
      <c r="AD85" s="457"/>
      <c r="AF85" s="669"/>
      <c r="AH85" s="667"/>
      <c r="AI85" s="668"/>
    </row>
    <row r="86" spans="1:35" ht="11.25" customHeight="1">
      <c r="A86" s="611">
        <v>20</v>
      </c>
      <c r="B86" s="110" t="s">
        <v>1201</v>
      </c>
      <c r="C86" s="111"/>
      <c r="D86" s="50" t="s">
        <v>0</v>
      </c>
      <c r="E86" s="49"/>
      <c r="F86" s="49"/>
      <c r="G86" s="49"/>
      <c r="H86" s="49"/>
      <c r="I86" s="49"/>
      <c r="J86" s="114" t="str">
        <f>IF(AND($I$575="NA",$J$575="NA"),"NA",IF(OR($I$575="TBD",$J$575="TBD",$I$576="TBD",$J$576="TBD"),"TBD",IF(OR($I$575="NO",$J$575="NO",$I$576="NO",$J$576="NO"),"","YES")))</f>
        <v>NA</v>
      </c>
      <c r="K86" s="343" t="str">
        <f>IF(OR($I$575="NO",$J$575="NO",$I$576="NO",$J$576="NO"),"NO","")</f>
        <v/>
      </c>
      <c r="L86" s="676" t="s">
        <v>411</v>
      </c>
      <c r="M86" s="124" t="s">
        <v>547</v>
      </c>
      <c r="N86" s="118" t="s">
        <v>548</v>
      </c>
      <c r="O86" s="118" t="s">
        <v>549</v>
      </c>
      <c r="P86" s="118" t="s">
        <v>550</v>
      </c>
      <c r="Q86" s="118" t="s">
        <v>549</v>
      </c>
      <c r="R86" s="118" t="s">
        <v>465</v>
      </c>
      <c r="S86" s="8" t="str">
        <f>IF(MIN($U$694:$U$701)&gt;0,LFMAS,IF(MIN($U$712:$U$717)&gt;0,SFMAS,"mA/mAs"))</f>
        <v>mA/mAs</v>
      </c>
      <c r="T86" s="118" t="s">
        <v>551</v>
      </c>
      <c r="U86" s="118" t="s">
        <v>1056</v>
      </c>
      <c r="V86" s="69" t="s">
        <v>1064</v>
      </c>
      <c r="W86" s="69" t="s">
        <v>575</v>
      </c>
      <c r="X86" s="664" t="s">
        <v>411</v>
      </c>
      <c r="Y86" s="457"/>
      <c r="Z86" s="457"/>
      <c r="AA86" s="54" t="s">
        <v>450</v>
      </c>
      <c r="AB86" s="1186"/>
      <c r="AC86" s="551" t="str">
        <f t="shared" si="12"/>
        <v>Change</v>
      </c>
      <c r="AD86" s="1053">
        <f>IF(M469="","",M469)</f>
        <v>3</v>
      </c>
      <c r="AE86" s="555" t="s">
        <v>733</v>
      </c>
      <c r="AF86" s="670"/>
      <c r="AG86" s="667"/>
      <c r="AH86" s="667"/>
      <c r="AI86" s="667"/>
    </row>
    <row r="87" spans="1:35" ht="11.25" customHeight="1">
      <c r="A87" s="611">
        <v>21</v>
      </c>
      <c r="B87" s="110"/>
      <c r="C87" s="111"/>
      <c r="D87" s="50" t="s">
        <v>449</v>
      </c>
      <c r="E87" s="49"/>
      <c r="F87" s="49"/>
      <c r="G87" s="49"/>
      <c r="H87" s="49"/>
      <c r="I87" s="49"/>
      <c r="J87" s="114" t="str">
        <f>J586</f>
        <v>TBD</v>
      </c>
      <c r="K87" s="343" t="str">
        <f>K586</f>
        <v/>
      </c>
      <c r="L87" s="676" t="s">
        <v>411</v>
      </c>
      <c r="M87" s="1173" t="str">
        <f t="shared" ref="M87:M96" si="14">IF(M113&lt;&gt;"",M113,IF(OR(AB237=0,AB237=""),"",AB237))</f>
        <v>CXR</v>
      </c>
      <c r="N87" s="1174" t="str">
        <f t="shared" ref="N87:N96" si="15">IF(N113&lt;&gt;"",N113,IF(OR(AB248=0,AB248=""),"",AB248))</f>
        <v>Yes</v>
      </c>
      <c r="O87" s="1174">
        <f t="shared" ref="O87:O96" si="16">IF(O113&lt;&gt;"",O113,IF(OR(AB259=0,AB259=""),"",AB259))</f>
        <v>72</v>
      </c>
      <c r="P87" s="1175">
        <f t="shared" ref="P87:P96" si="17">IF(P113&lt;&gt;"",P113,IF(OR(AB270=0,AB270=""),"",AB270))</f>
        <v>23</v>
      </c>
      <c r="Q87" s="1174" t="str">
        <f t="shared" ref="Q87:Q96" si="18">IF(Q113&lt;&gt;"",Q113,IF(OR(AB281=0,AB281=""),"",AB281))</f>
        <v>14x17</v>
      </c>
      <c r="R87" s="1174">
        <f t="shared" ref="R87:R96" si="19">IF(R113&lt;&gt;"",R113,IF(OR(AB292=0,AB292=""),"",AB292))</f>
        <v>120</v>
      </c>
      <c r="S87" s="1171" t="str">
        <f t="shared" ref="S87:S96" si="20">IF(M87="","",IF(MIN($P$1397:$P$1404)&gt;0,IF(LFMAS="mAs",W87,$M$80),IF(MIN($P$1414:$P$1419)&gt;0,IF(SFMAS="mAs",W87,$M$81),"")))</f>
        <v/>
      </c>
      <c r="T87" s="120" t="str">
        <f t="shared" ref="T87:T96" si="21">IF(M87="","",IF(OR($S$86="mAs",$S$86="mA/mAs"),"",ROUND(W87/S87,4)))</f>
        <v/>
      </c>
      <c r="U87" s="425" t="str">
        <f t="shared" ref="U87:U96" si="22">IF(MIN($Q$1397:$Q$1404)&lt;&gt;0,IF(M87="","",((IF(LFSDD="cm",$N$694,$N$694*2.54)/(O87*2.54-(P87+$M$79)))^2)*(EXP(TREND(LN($Q$1397:$Q$1404),LN($P$1397:$P$1404),LN(R87)))*(IF(LFMAS="mAs",S87,S87*T87)))),IF(MIN($Q$1414:$Q$1419)&lt;&gt;0,IF(M87="","",((IF(SFSDD="cm",$N$712,$N$712*2.54)/(O87*2.54-(P87+$M$79)))^2)*(EXP(TREND(LN($Q$1414:$Q$1419),LN($P$1414:$P$1419),LN(R87)))*(IF(SFMAS="mAs",S87,S87*T87)))),""))</f>
        <v/>
      </c>
      <c r="V87" s="1027" t="str">
        <f>IF(U87="","",(U87/1000)*(LEFT(Q87,FIND("x",Q87)-1)*2.54)*(RIGHT(Q87,LEN(Q87)-FIND("x",Q87))*2.54))</f>
        <v/>
      </c>
      <c r="W87" s="1176">
        <f t="shared" ref="W87:W96" si="23">IF(S113&lt;&gt;"",S113,IF(OR(AB303=0,AB303=""),"",AB303))</f>
        <v>2</v>
      </c>
      <c r="X87" s="664" t="s">
        <v>411</v>
      </c>
      <c r="Y87" s="457"/>
      <c r="Z87" s="457"/>
      <c r="AF87" s="670"/>
      <c r="AG87" s="667"/>
      <c r="AI87" s="667"/>
    </row>
    <row r="88" spans="1:35" ht="11.25" customHeight="1">
      <c r="A88" s="611">
        <v>22</v>
      </c>
      <c r="B88" s="85"/>
      <c r="C88" s="50"/>
      <c r="D88" s="50" t="str">
        <f>D588</f>
        <v>Radiographic image is free of grid lines.</v>
      </c>
      <c r="E88" s="50"/>
      <c r="F88" s="50"/>
      <c r="G88" s="50"/>
      <c r="H88" s="50"/>
      <c r="I88" s="50"/>
      <c r="J88" s="114" t="str">
        <f>J588</f>
        <v>TBD</v>
      </c>
      <c r="K88" s="343" t="str">
        <f>K588</f>
        <v/>
      </c>
      <c r="L88" s="676" t="s">
        <v>411</v>
      </c>
      <c r="M88" s="1173" t="str">
        <f t="shared" si="14"/>
        <v>Abdomen AP</v>
      </c>
      <c r="N88" s="1174" t="str">
        <f t="shared" si="15"/>
        <v>Yes</v>
      </c>
      <c r="O88" s="1174">
        <f t="shared" si="16"/>
        <v>40</v>
      </c>
      <c r="P88" s="1175">
        <f t="shared" si="17"/>
        <v>23</v>
      </c>
      <c r="Q88" s="1174" t="str">
        <f t="shared" si="18"/>
        <v>14x17</v>
      </c>
      <c r="R88" s="1174">
        <f t="shared" si="19"/>
        <v>76</v>
      </c>
      <c r="S88" s="1171" t="str">
        <f t="shared" si="20"/>
        <v/>
      </c>
      <c r="T88" s="120" t="str">
        <f t="shared" si="21"/>
        <v/>
      </c>
      <c r="U88" s="425" t="str">
        <f t="shared" si="22"/>
        <v/>
      </c>
      <c r="V88" s="1027" t="str">
        <f t="shared" ref="V88:V96" si="24">IF(U88="","",(U88/1000)*(LEFT(Q88,FIND("x",Q88)-1)*2.54)*(RIGHT(Q88,LEN(Q88)-FIND("x",Q88))*2.54))</f>
        <v/>
      </c>
      <c r="W88" s="1176">
        <f t="shared" si="23"/>
        <v>30</v>
      </c>
      <c r="X88" s="664" t="s">
        <v>411</v>
      </c>
      <c r="Y88" s="457"/>
      <c r="Z88" s="457"/>
      <c r="AA88" s="132" t="s">
        <v>1114</v>
      </c>
      <c r="AB88" s="1186"/>
      <c r="AC88" s="551" t="str">
        <f t="shared" ref="AC88:AC90" si="25">IF(AND(OR(AB88="",AB88=0),OR(AD88="",AD88=0)),"",IF(AB88&lt;&gt;AD88,"Change",""))</f>
        <v/>
      </c>
      <c r="AD88" s="1053" t="str">
        <f>IF(Q482="","",Q482)</f>
        <v/>
      </c>
      <c r="AE88" s="555" t="s">
        <v>1115</v>
      </c>
      <c r="AG88" s="671"/>
      <c r="AH88" s="668"/>
      <c r="AI88" s="667"/>
    </row>
    <row r="89" spans="1:35" ht="11.25" customHeight="1">
      <c r="A89" s="611">
        <v>23</v>
      </c>
      <c r="B89" s="127"/>
      <c r="K89" s="343"/>
      <c r="L89" s="676" t="s">
        <v>411</v>
      </c>
      <c r="M89" s="1173" t="str">
        <f t="shared" si="14"/>
        <v>Ribs</v>
      </c>
      <c r="N89" s="1174" t="str">
        <f t="shared" si="15"/>
        <v>Yes</v>
      </c>
      <c r="O89" s="1174">
        <f t="shared" si="16"/>
        <v>40</v>
      </c>
      <c r="P89" s="1175">
        <f t="shared" si="17"/>
        <v>20</v>
      </c>
      <c r="Q89" s="1174" t="str">
        <f t="shared" si="18"/>
        <v>14x17</v>
      </c>
      <c r="R89" s="1174">
        <f t="shared" si="19"/>
        <v>66</v>
      </c>
      <c r="S89" s="1171" t="str">
        <f t="shared" si="20"/>
        <v/>
      </c>
      <c r="T89" s="120" t="str">
        <f t="shared" si="21"/>
        <v/>
      </c>
      <c r="U89" s="425" t="str">
        <f t="shared" si="22"/>
        <v/>
      </c>
      <c r="V89" s="1027" t="str">
        <f t="shared" si="24"/>
        <v/>
      </c>
      <c r="W89" s="1176">
        <f t="shared" si="23"/>
        <v>12</v>
      </c>
      <c r="X89" s="664" t="s">
        <v>411</v>
      </c>
      <c r="Y89" s="457"/>
      <c r="Z89" s="457"/>
      <c r="AA89" s="462"/>
      <c r="AB89" s="1186"/>
      <c r="AC89" s="551" t="str">
        <f t="shared" si="25"/>
        <v/>
      </c>
      <c r="AD89" s="1053" t="str">
        <f>IF(Q483="","",Q483)</f>
        <v/>
      </c>
      <c r="AE89" s="49" t="s">
        <v>1116</v>
      </c>
      <c r="AF89" s="667"/>
      <c r="AG89" s="557"/>
      <c r="AH89" s="668"/>
      <c r="AI89" s="668"/>
    </row>
    <row r="90" spans="1:35" ht="11.25" customHeight="1">
      <c r="A90" s="611">
        <v>24</v>
      </c>
      <c r="B90" s="127"/>
      <c r="J90" s="129"/>
      <c r="K90" s="399"/>
      <c r="L90" s="676" t="s">
        <v>411</v>
      </c>
      <c r="M90" s="1173" t="str">
        <f t="shared" si="14"/>
        <v>C-Spine AP</v>
      </c>
      <c r="N90" s="1174" t="str">
        <f t="shared" si="15"/>
        <v>Yes</v>
      </c>
      <c r="O90" s="1174">
        <f t="shared" si="16"/>
        <v>40</v>
      </c>
      <c r="P90" s="1175">
        <f t="shared" si="17"/>
        <v>13</v>
      </c>
      <c r="Q90" s="1174" t="str">
        <f t="shared" si="18"/>
        <v>10x12</v>
      </c>
      <c r="R90" s="1174">
        <f t="shared" si="19"/>
        <v>72</v>
      </c>
      <c r="S90" s="1171" t="str">
        <f t="shared" si="20"/>
        <v/>
      </c>
      <c r="T90" s="120" t="str">
        <f t="shared" si="21"/>
        <v/>
      </c>
      <c r="U90" s="425" t="str">
        <f t="shared" si="22"/>
        <v/>
      </c>
      <c r="V90" s="1027" t="str">
        <f t="shared" si="24"/>
        <v/>
      </c>
      <c r="W90" s="1176">
        <f t="shared" si="23"/>
        <v>10</v>
      </c>
      <c r="X90" s="664" t="s">
        <v>411</v>
      </c>
      <c r="Y90" s="457"/>
      <c r="Z90" s="457"/>
      <c r="AB90" s="1186"/>
      <c r="AC90" s="551" t="str">
        <f t="shared" si="25"/>
        <v/>
      </c>
      <c r="AD90" s="1053" t="str">
        <f>IF(Q484="","",Q484)</f>
        <v/>
      </c>
      <c r="AE90" s="555" t="s">
        <v>1117</v>
      </c>
      <c r="AF90" s="667"/>
      <c r="AG90" s="668"/>
      <c r="AH90" s="667"/>
      <c r="AI90" s="668"/>
    </row>
    <row r="91" spans="1:35" ht="11.25" customHeight="1">
      <c r="A91" s="611">
        <v>25</v>
      </c>
      <c r="B91" s="127"/>
      <c r="F91" s="99" t="s">
        <v>453</v>
      </c>
      <c r="J91" s="114"/>
      <c r="K91" s="343"/>
      <c r="L91" s="676" t="s">
        <v>411</v>
      </c>
      <c r="M91" s="1173" t="str">
        <f t="shared" si="14"/>
        <v>Skull</v>
      </c>
      <c r="N91" s="1174" t="str">
        <f t="shared" si="15"/>
        <v>Yes</v>
      </c>
      <c r="O91" s="1174">
        <f t="shared" si="16"/>
        <v>40</v>
      </c>
      <c r="P91" s="1175">
        <f t="shared" si="17"/>
        <v>15</v>
      </c>
      <c r="Q91" s="1174" t="str">
        <f t="shared" si="18"/>
        <v>8x10</v>
      </c>
      <c r="R91" s="1174">
        <f t="shared" si="19"/>
        <v>72</v>
      </c>
      <c r="S91" s="1171" t="str">
        <f t="shared" si="20"/>
        <v/>
      </c>
      <c r="T91" s="120" t="str">
        <f t="shared" si="21"/>
        <v/>
      </c>
      <c r="U91" s="425" t="str">
        <f t="shared" si="22"/>
        <v/>
      </c>
      <c r="V91" s="1027" t="str">
        <f t="shared" si="24"/>
        <v/>
      </c>
      <c r="W91" s="1176">
        <f t="shared" si="23"/>
        <v>10</v>
      </c>
      <c r="X91" s="664" t="s">
        <v>411</v>
      </c>
      <c r="Y91" s="457"/>
      <c r="Z91" s="457"/>
      <c r="AF91" s="667"/>
      <c r="AG91" s="667"/>
      <c r="AH91" s="667"/>
      <c r="AI91" s="667"/>
    </row>
    <row r="92" spans="1:35" ht="11.25" customHeight="1">
      <c r="A92" s="611">
        <v>26</v>
      </c>
      <c r="B92" s="110" t="s">
        <v>1198</v>
      </c>
      <c r="C92" s="111"/>
      <c r="D92" s="50" t="s">
        <v>1042</v>
      </c>
      <c r="E92" s="49"/>
      <c r="F92" s="49"/>
      <c r="G92" s="49"/>
      <c r="H92" s="49"/>
      <c r="I92" s="49"/>
      <c r="J92" s="114" t="str">
        <f>IF($J$608="NO","",$J$608)</f>
        <v>TBD</v>
      </c>
      <c r="K92" s="343" t="str">
        <f>IF($J$608="NO","NO","")</f>
        <v/>
      </c>
      <c r="L92" s="676" t="s">
        <v>411</v>
      </c>
      <c r="M92" s="1173" t="str">
        <f t="shared" si="14"/>
        <v>Foot</v>
      </c>
      <c r="N92" s="1174" t="str">
        <f t="shared" si="15"/>
        <v>No</v>
      </c>
      <c r="O92" s="1174">
        <f t="shared" si="16"/>
        <v>40</v>
      </c>
      <c r="P92" s="1175">
        <f t="shared" si="17"/>
        <v>8</v>
      </c>
      <c r="Q92" s="1174" t="str">
        <f t="shared" si="18"/>
        <v>8x10</v>
      </c>
      <c r="R92" s="1174">
        <f t="shared" si="19"/>
        <v>60</v>
      </c>
      <c r="S92" s="1171" t="str">
        <f t="shared" si="20"/>
        <v/>
      </c>
      <c r="T92" s="120" t="str">
        <f t="shared" si="21"/>
        <v/>
      </c>
      <c r="U92" s="425" t="str">
        <f t="shared" si="22"/>
        <v/>
      </c>
      <c r="V92" s="1027" t="str">
        <f t="shared" si="24"/>
        <v/>
      </c>
      <c r="W92" s="1176">
        <f t="shared" si="23"/>
        <v>2.5</v>
      </c>
      <c r="X92" s="664" t="s">
        <v>411</v>
      </c>
      <c r="Y92" s="457"/>
      <c r="Z92" s="457"/>
      <c r="AA92" s="54" t="s">
        <v>451</v>
      </c>
      <c r="AB92" s="1187"/>
      <c r="AC92" s="551" t="str">
        <f t="shared" ref="AC92:AC124" si="26">IF(AND(OR(AB92="",AB92=0),OR(AD92="",AD92=0)),"",IF(AB92&lt;&gt;AD92,"Change",""))</f>
        <v/>
      </c>
      <c r="AD92" s="1054" t="str">
        <f>IF(Q494="","",Q494)</f>
        <v/>
      </c>
      <c r="AE92" s="555" t="s">
        <v>734</v>
      </c>
      <c r="AF92" s="667"/>
      <c r="AG92" s="667"/>
      <c r="AH92" s="667"/>
      <c r="AI92" s="667"/>
    </row>
    <row r="93" spans="1:35" ht="11.25" customHeight="1">
      <c r="A93" s="611">
        <v>27</v>
      </c>
      <c r="B93" s="110" t="s">
        <v>1199</v>
      </c>
      <c r="C93" s="111"/>
      <c r="D93" s="50" t="s">
        <v>444</v>
      </c>
      <c r="E93" s="49"/>
      <c r="F93" s="49"/>
      <c r="G93" s="49"/>
      <c r="H93" s="49"/>
      <c r="I93" s="49"/>
      <c r="J93" s="114" t="str">
        <f>IF(OR($H$622="NO",$I$622="NO",$H$623="NO",$I$623="NO"),"",IF(OR($H$622="NA",$I$622="NA"),"NA",IF(OR($H$622="TBD",$I$622="TBD",$H$623="TBD",$I$623="TBD"),"TBD","YES")))</f>
        <v>NA</v>
      </c>
      <c r="K93" s="343" t="str">
        <f>IF(OR($H$622="NO",$I$622="NO",$H$623="NO",$I$623="NO"),"NO","")</f>
        <v/>
      </c>
      <c r="L93" s="676" t="s">
        <v>411</v>
      </c>
      <c r="M93" s="1173" t="str">
        <f t="shared" si="14"/>
        <v>Knee</v>
      </c>
      <c r="N93" s="1174" t="str">
        <f t="shared" si="15"/>
        <v>No</v>
      </c>
      <c r="O93" s="1174">
        <f t="shared" si="16"/>
        <v>40</v>
      </c>
      <c r="P93" s="1175">
        <f t="shared" si="17"/>
        <v>12</v>
      </c>
      <c r="Q93" s="1174" t="str">
        <f t="shared" si="18"/>
        <v>10x12</v>
      </c>
      <c r="R93" s="1174">
        <f t="shared" si="19"/>
        <v>66</v>
      </c>
      <c r="S93" s="1171" t="str">
        <f t="shared" si="20"/>
        <v/>
      </c>
      <c r="T93" s="120" t="str">
        <f t="shared" si="21"/>
        <v/>
      </c>
      <c r="U93" s="425" t="str">
        <f t="shared" si="22"/>
        <v/>
      </c>
      <c r="V93" s="1027" t="str">
        <f t="shared" si="24"/>
        <v/>
      </c>
      <c r="W93" s="1176">
        <f t="shared" si="23"/>
        <v>8</v>
      </c>
      <c r="X93" s="664" t="s">
        <v>411</v>
      </c>
      <c r="Y93" s="457"/>
      <c r="Z93" s="457"/>
      <c r="AA93" s="54" t="s">
        <v>452</v>
      </c>
      <c r="AB93" s="1187"/>
      <c r="AC93" s="551" t="str">
        <f t="shared" si="26"/>
        <v/>
      </c>
      <c r="AD93" s="1054" t="str">
        <f>IF(R494="","",R494)</f>
        <v/>
      </c>
      <c r="AE93" s="555" t="s">
        <v>735</v>
      </c>
      <c r="AF93" s="667"/>
      <c r="AG93" s="668"/>
      <c r="AH93" s="667"/>
      <c r="AI93" s="667"/>
    </row>
    <row r="94" spans="1:35" ht="11.25" customHeight="1">
      <c r="A94" s="611">
        <v>28</v>
      </c>
      <c r="B94" s="110" t="s">
        <v>1200</v>
      </c>
      <c r="C94" s="111"/>
      <c r="D94" s="50" t="s">
        <v>446</v>
      </c>
      <c r="J94" s="114" t="str">
        <f>IF(OR($J$622="NO",$K$622="NO",$J$623="NO",$K$623="NO"),"",IF(OR($J$622="NA",$K$622="NA"),"NA",IF(OR($J$622="TBD",$K$622="TBD",$J$623="TBD",$K$623="TBD"),"TBD","YES")))</f>
        <v>NA</v>
      </c>
      <c r="K94" s="343" t="str">
        <f>IF(OR($J$622="NO",$K$622="NO",$J$623="NO",$K$623="NO"),"NO","")</f>
        <v/>
      </c>
      <c r="L94" s="676" t="s">
        <v>411</v>
      </c>
      <c r="M94" s="1173" t="str">
        <f t="shared" si="14"/>
        <v>Pelvis AP</v>
      </c>
      <c r="N94" s="1174" t="str">
        <f t="shared" si="15"/>
        <v>Yes</v>
      </c>
      <c r="O94" s="1174">
        <f t="shared" si="16"/>
        <v>40</v>
      </c>
      <c r="P94" s="1175">
        <f t="shared" si="17"/>
        <v>20</v>
      </c>
      <c r="Q94" s="1174" t="str">
        <f t="shared" si="18"/>
        <v>14x17</v>
      </c>
      <c r="R94" s="1174">
        <f t="shared" si="19"/>
        <v>78</v>
      </c>
      <c r="S94" s="1171" t="str">
        <f t="shared" si="20"/>
        <v/>
      </c>
      <c r="T94" s="120" t="str">
        <f t="shared" si="21"/>
        <v/>
      </c>
      <c r="U94" s="425" t="str">
        <f t="shared" si="22"/>
        <v/>
      </c>
      <c r="V94" s="1027" t="str">
        <f t="shared" si="24"/>
        <v/>
      </c>
      <c r="W94" s="1176">
        <f t="shared" si="23"/>
        <v>30</v>
      </c>
      <c r="X94" s="664" t="s">
        <v>411</v>
      </c>
      <c r="Y94" s="457"/>
      <c r="Z94" s="457"/>
      <c r="AA94" s="457"/>
      <c r="AB94" s="49"/>
      <c r="AC94" s="551" t="str">
        <f t="shared" si="26"/>
        <v/>
      </c>
      <c r="AD94" s="457"/>
      <c r="AE94" s="457"/>
      <c r="AF94" s="667"/>
      <c r="AG94" s="668"/>
      <c r="AH94" s="667"/>
      <c r="AI94" s="668"/>
    </row>
    <row r="95" spans="1:35" ht="11.25" customHeight="1">
      <c r="A95" s="611">
        <v>29</v>
      </c>
      <c r="B95" s="110" t="s">
        <v>1201</v>
      </c>
      <c r="C95" s="111"/>
      <c r="D95" s="50" t="s">
        <v>448</v>
      </c>
      <c r="E95" s="49"/>
      <c r="F95" s="49"/>
      <c r="G95" s="49"/>
      <c r="H95" s="49"/>
      <c r="I95" s="49"/>
      <c r="J95" s="114" t="str">
        <f>IF(AND($J$637="NA",$K$637="NA"),"NA",IF(OR($J$637="TBD",$K$637="TBD",$J$638="TBD",$K$638="TBD"),"TBD",IF(OR($J$637="NO",$K$637="NO",$J$638="NO",$K$638="NO"),"","YES")))</f>
        <v>NA</v>
      </c>
      <c r="K95" s="343" t="str">
        <f>IF(OR($J$637="NO",$K$637="NO",$J$638="NO",$K$638="NO"),"NO","")</f>
        <v/>
      </c>
      <c r="L95" s="676" t="s">
        <v>411</v>
      </c>
      <c r="M95" s="1173" t="str">
        <f t="shared" si="14"/>
        <v>Shoulder</v>
      </c>
      <c r="N95" s="1174" t="str">
        <f t="shared" si="15"/>
        <v>Yes</v>
      </c>
      <c r="O95" s="1174">
        <f t="shared" si="16"/>
        <v>40</v>
      </c>
      <c r="P95" s="1175">
        <f t="shared" si="17"/>
        <v>15</v>
      </c>
      <c r="Q95" s="1174" t="str">
        <f t="shared" si="18"/>
        <v>10x12</v>
      </c>
      <c r="R95" s="1174">
        <f t="shared" si="19"/>
        <v>74</v>
      </c>
      <c r="S95" s="1171" t="str">
        <f t="shared" si="20"/>
        <v/>
      </c>
      <c r="T95" s="120" t="str">
        <f t="shared" si="21"/>
        <v/>
      </c>
      <c r="U95" s="425" t="str">
        <f t="shared" si="22"/>
        <v/>
      </c>
      <c r="V95" s="1027" t="str">
        <f t="shared" si="24"/>
        <v/>
      </c>
      <c r="W95" s="1176">
        <f t="shared" si="23"/>
        <v>14</v>
      </c>
      <c r="X95" s="664" t="s">
        <v>411</v>
      </c>
      <c r="Y95" s="457"/>
      <c r="Z95" s="457"/>
      <c r="AA95" s="132" t="s">
        <v>442</v>
      </c>
      <c r="AB95" s="49"/>
      <c r="AC95" s="551" t="str">
        <f t="shared" si="26"/>
        <v/>
      </c>
      <c r="AD95" s="457"/>
      <c r="AF95" s="667"/>
      <c r="AG95" s="667"/>
      <c r="AH95" s="667"/>
      <c r="AI95" s="668"/>
    </row>
    <row r="96" spans="1:35" ht="11.25" customHeight="1">
      <c r="A96" s="611">
        <v>30</v>
      </c>
      <c r="B96" s="110"/>
      <c r="C96" s="111"/>
      <c r="D96" s="50" t="s">
        <v>449</v>
      </c>
      <c r="E96" s="49"/>
      <c r="F96" s="49"/>
      <c r="G96" s="49"/>
      <c r="H96" s="49"/>
      <c r="I96" s="49"/>
      <c r="J96" s="114" t="str">
        <f>J649</f>
        <v>TBD</v>
      </c>
      <c r="K96" s="343" t="str">
        <f>K649</f>
        <v/>
      </c>
      <c r="L96" s="676" t="s">
        <v>411</v>
      </c>
      <c r="M96" s="1173" t="str">
        <f t="shared" si="14"/>
        <v>LS Spine AP</v>
      </c>
      <c r="N96" s="1174" t="str">
        <f t="shared" si="15"/>
        <v>Yes</v>
      </c>
      <c r="O96" s="1174">
        <f t="shared" si="16"/>
        <v>40</v>
      </c>
      <c r="P96" s="1175">
        <f t="shared" si="17"/>
        <v>23</v>
      </c>
      <c r="Q96" s="1174" t="str">
        <f t="shared" si="18"/>
        <v>10x12</v>
      </c>
      <c r="R96" s="1174">
        <f t="shared" si="19"/>
        <v>78</v>
      </c>
      <c r="S96" s="1171" t="str">
        <f t="shared" si="20"/>
        <v/>
      </c>
      <c r="T96" s="120" t="str">
        <f t="shared" si="21"/>
        <v/>
      </c>
      <c r="U96" s="425" t="str">
        <f t="shared" si="22"/>
        <v/>
      </c>
      <c r="V96" s="1027" t="str">
        <f t="shared" si="24"/>
        <v/>
      </c>
      <c r="W96" s="1176">
        <f t="shared" si="23"/>
        <v>25</v>
      </c>
      <c r="X96" s="664" t="s">
        <v>411</v>
      </c>
      <c r="Y96" s="457"/>
      <c r="Z96" s="462"/>
      <c r="AA96" s="49" t="s">
        <v>454</v>
      </c>
      <c r="AB96" s="1186"/>
      <c r="AC96" s="551" t="str">
        <f t="shared" si="26"/>
        <v>Change</v>
      </c>
      <c r="AD96" s="1053">
        <f>M409</f>
        <v>1</v>
      </c>
      <c r="AE96" s="557" t="s">
        <v>330</v>
      </c>
      <c r="AF96" s="667"/>
      <c r="AG96" s="667"/>
      <c r="AH96" s="667"/>
      <c r="AI96" s="667"/>
    </row>
    <row r="97" spans="1:35" ht="11.25" customHeight="1">
      <c r="A97" s="611">
        <v>31</v>
      </c>
      <c r="B97" s="85"/>
      <c r="C97" s="50"/>
      <c r="D97" s="50" t="str">
        <f>D651</f>
        <v>Radiographic image is free of grid lines.</v>
      </c>
      <c r="E97" s="50"/>
      <c r="F97" s="50"/>
      <c r="G97" s="50"/>
      <c r="H97" s="50"/>
      <c r="I97" s="50"/>
      <c r="J97" s="114" t="str">
        <f>J651</f>
        <v>TBD</v>
      </c>
      <c r="K97" s="343" t="str">
        <f>K651</f>
        <v/>
      </c>
      <c r="L97" s="676" t="s">
        <v>411</v>
      </c>
      <c r="M97" s="66"/>
      <c r="N97" s="49"/>
      <c r="P97" s="49"/>
      <c r="Q97" s="49"/>
      <c r="R97" s="49"/>
      <c r="S97" s="49"/>
      <c r="T97" s="49"/>
      <c r="U97" s="49"/>
      <c r="V97" s="71"/>
      <c r="W97" s="69"/>
      <c r="X97" s="664" t="s">
        <v>411</v>
      </c>
      <c r="Y97" s="457"/>
      <c r="Z97" s="462"/>
      <c r="AA97" s="54" t="s">
        <v>455</v>
      </c>
      <c r="AB97" s="1186"/>
      <c r="AC97" s="551" t="str">
        <f t="shared" si="26"/>
        <v>Change</v>
      </c>
      <c r="AD97" s="1053">
        <f>M410</f>
        <v>2</v>
      </c>
      <c r="AE97" s="557" t="s">
        <v>331</v>
      </c>
      <c r="AF97" s="667"/>
      <c r="AG97" s="667"/>
      <c r="AH97" s="667"/>
      <c r="AI97" s="667"/>
    </row>
    <row r="98" spans="1:35" ht="11.25" customHeight="1">
      <c r="A98" s="611">
        <v>32</v>
      </c>
      <c r="B98" s="127"/>
      <c r="K98" s="71"/>
      <c r="L98" s="676" t="s">
        <v>411</v>
      </c>
      <c r="M98" s="127"/>
      <c r="N98" s="577" t="s">
        <v>552</v>
      </c>
      <c r="O98" s="713" t="str">
        <f>IF(O100&lt;&gt;"",O100,IF(OR(AB452=0,AB452=""),"",AB452))</f>
        <v/>
      </c>
      <c r="P98" s="48"/>
      <c r="Q98" s="48"/>
      <c r="R98" s="48"/>
      <c r="S98" s="48"/>
      <c r="T98" s="48"/>
      <c r="U98" s="48"/>
      <c r="V98" s="71"/>
      <c r="W98" s="69"/>
      <c r="X98" s="664" t="s">
        <v>411</v>
      </c>
      <c r="Y98" s="457"/>
      <c r="Z98" s="462"/>
      <c r="AA98" s="462"/>
      <c r="AB98" s="49"/>
      <c r="AC98" s="551" t="str">
        <f t="shared" si="26"/>
        <v/>
      </c>
      <c r="AD98" s="457"/>
      <c r="AF98" s="667"/>
      <c r="AG98" s="668"/>
      <c r="AH98" s="667"/>
      <c r="AI98" s="667"/>
    </row>
    <row r="99" spans="1:35" ht="11.25" customHeight="1">
      <c r="A99" s="611">
        <v>33</v>
      </c>
      <c r="B99" s="127"/>
      <c r="J99" s="129"/>
      <c r="K99" s="399"/>
      <c r="L99" s="676" t="s">
        <v>411</v>
      </c>
      <c r="M99" s="85"/>
      <c r="N99" s="609" t="s">
        <v>282</v>
      </c>
      <c r="O99" s="59"/>
      <c r="P99" s="921">
        <f>LEN(O98)</f>
        <v>0</v>
      </c>
      <c r="Q99" s="59"/>
      <c r="R99" s="59"/>
      <c r="S99" s="59"/>
      <c r="T99" s="59"/>
      <c r="U99" s="59"/>
      <c r="V99" s="71"/>
      <c r="W99" s="70"/>
      <c r="X99" s="664" t="s">
        <v>411</v>
      </c>
      <c r="Y99" s="457"/>
      <c r="Z99" s="462"/>
      <c r="AA99" s="132" t="s">
        <v>456</v>
      </c>
      <c r="AB99" s="49"/>
      <c r="AC99" s="551" t="str">
        <f t="shared" si="26"/>
        <v/>
      </c>
      <c r="AD99" s="457"/>
      <c r="AF99" s="667"/>
      <c r="AG99" s="668"/>
      <c r="AH99" s="667"/>
      <c r="AI99" s="668"/>
    </row>
    <row r="100" spans="1:35" ht="11.25" customHeight="1">
      <c r="A100" s="611">
        <v>34</v>
      </c>
      <c r="B100" s="127"/>
      <c r="F100" s="99" t="s">
        <v>460</v>
      </c>
      <c r="J100" s="114"/>
      <c r="K100" s="343"/>
      <c r="L100" s="676" t="s">
        <v>411</v>
      </c>
      <c r="M100" s="66"/>
      <c r="N100" s="1024" t="s">
        <v>619</v>
      </c>
      <c r="O100" s="1026"/>
      <c r="P100" s="48"/>
      <c r="Q100" s="48"/>
      <c r="R100" s="48"/>
      <c r="S100" s="48"/>
      <c r="T100" s="48"/>
      <c r="U100" s="48"/>
      <c r="V100" s="71"/>
      <c r="W100" s="69"/>
      <c r="X100" s="664" t="s">
        <v>411</v>
      </c>
      <c r="Y100" s="457"/>
      <c r="Z100" s="462"/>
      <c r="AA100" s="462" t="s">
        <v>457</v>
      </c>
      <c r="AB100" s="1186"/>
      <c r="AC100" s="551" t="str">
        <f t="shared" si="26"/>
        <v/>
      </c>
      <c r="AD100" s="1055" t="str">
        <f>P414</f>
        <v/>
      </c>
      <c r="AE100" s="557" t="s">
        <v>332</v>
      </c>
      <c r="AF100" s="667"/>
      <c r="AG100" s="667"/>
      <c r="AH100" s="667"/>
      <c r="AI100" s="668"/>
    </row>
    <row r="101" spans="1:35" ht="11.25" customHeight="1" thickBot="1">
      <c r="A101" s="611">
        <v>35</v>
      </c>
      <c r="B101" s="110" t="s">
        <v>1202</v>
      </c>
      <c r="C101" s="128"/>
      <c r="D101" s="50" t="str">
        <f t="shared" ref="D101:D107" si="27">D913</f>
        <v>Means are provided to indicate technique factors prior to exposure.</v>
      </c>
      <c r="E101" s="49"/>
      <c r="F101" s="49"/>
      <c r="G101" s="49"/>
      <c r="H101" s="49"/>
      <c r="I101" s="49"/>
      <c r="J101" s="114" t="str">
        <f t="shared" ref="J101:J107" si="28">IF($M$53=1,$T$52,J913)</f>
        <v>TBD</v>
      </c>
      <c r="K101" s="343" t="str">
        <f t="shared" ref="K101:K107" si="29">IF($M$53=1,"",K913)</f>
        <v/>
      </c>
      <c r="L101" s="676" t="s">
        <v>411</v>
      </c>
      <c r="M101" s="72"/>
      <c r="N101" s="73"/>
      <c r="O101" s="73"/>
      <c r="P101" s="73"/>
      <c r="Q101" s="73"/>
      <c r="R101" s="73"/>
      <c r="S101" s="73"/>
      <c r="T101" s="73"/>
      <c r="U101" s="73"/>
      <c r="V101" s="86"/>
      <c r="W101" s="69"/>
      <c r="X101" s="664" t="s">
        <v>411</v>
      </c>
      <c r="Y101" s="457"/>
      <c r="Z101" s="462"/>
      <c r="AA101" s="462" t="s">
        <v>458</v>
      </c>
      <c r="AB101" s="1186"/>
      <c r="AC101" s="551" t="str">
        <f t="shared" si="26"/>
        <v/>
      </c>
      <c r="AD101" s="1055" t="str">
        <f>Q414</f>
        <v/>
      </c>
      <c r="AE101" s="555" t="s">
        <v>333</v>
      </c>
      <c r="AH101" s="667"/>
      <c r="AI101" s="667"/>
    </row>
    <row r="102" spans="1:35" ht="11.25" customHeight="1" thickTop="1">
      <c r="A102" s="611">
        <v>36</v>
      </c>
      <c r="B102" s="110"/>
      <c r="C102" s="53"/>
      <c r="D102" s="50" t="str">
        <f t="shared" si="27"/>
        <v>All technique indicators functional and are free of excessive wear.</v>
      </c>
      <c r="F102" s="49"/>
      <c r="G102" s="49"/>
      <c r="H102" s="49"/>
      <c r="I102" s="49"/>
      <c r="J102" s="114" t="str">
        <f t="shared" si="28"/>
        <v>TBD</v>
      </c>
      <c r="K102" s="343" t="str">
        <f t="shared" si="29"/>
        <v/>
      </c>
      <c r="L102" s="676" t="s">
        <v>411</v>
      </c>
      <c r="M102" s="66"/>
      <c r="N102" s="49"/>
      <c r="O102" s="49"/>
      <c r="P102" s="49"/>
      <c r="Q102" s="49"/>
      <c r="R102" s="49"/>
      <c r="S102" s="49"/>
      <c r="T102" s="49"/>
      <c r="U102" s="49"/>
      <c r="V102" s="49"/>
      <c r="W102" s="69"/>
      <c r="X102" s="664" t="s">
        <v>411</v>
      </c>
      <c r="Y102" s="457"/>
      <c r="Z102" s="462"/>
      <c r="AA102" s="132" t="s">
        <v>459</v>
      </c>
      <c r="AB102" s="49"/>
      <c r="AC102" s="551" t="str">
        <f t="shared" si="26"/>
        <v/>
      </c>
      <c r="AD102" s="457"/>
    </row>
    <row r="103" spans="1:35" ht="11.25" customHeight="1">
      <c r="A103" s="611">
        <v>37</v>
      </c>
      <c r="B103" s="110"/>
      <c r="C103" s="53"/>
      <c r="D103" s="50" t="str">
        <f t="shared" si="27"/>
        <v>Technique overload circuits function to block excessive technique.</v>
      </c>
      <c r="F103" s="49"/>
      <c r="G103" s="49"/>
      <c r="H103" s="49"/>
      <c r="I103" s="49"/>
      <c r="J103" s="114" t="str">
        <f t="shared" si="28"/>
        <v>TBD</v>
      </c>
      <c r="K103" s="343" t="str">
        <f t="shared" si="29"/>
        <v/>
      </c>
      <c r="L103" s="676" t="s">
        <v>411</v>
      </c>
      <c r="M103" s="213"/>
      <c r="N103" s="37" t="str">
        <f>"Note:  "&amp;$M$79</f>
        <v xml:space="preserve">Note:  </v>
      </c>
      <c r="O103" s="3" t="s">
        <v>271</v>
      </c>
      <c r="Q103" s="1"/>
      <c r="R103" s="1"/>
      <c r="S103" s="1"/>
      <c r="T103" s="1"/>
      <c r="U103" s="1"/>
      <c r="V103" s="1"/>
      <c r="W103" s="39"/>
      <c r="X103" s="664" t="s">
        <v>411</v>
      </c>
      <c r="Y103" s="457"/>
      <c r="Z103" s="462"/>
      <c r="AA103" s="462" t="s">
        <v>457</v>
      </c>
      <c r="AB103" s="1186"/>
      <c r="AC103" s="551" t="str">
        <f t="shared" si="26"/>
        <v/>
      </c>
      <c r="AD103" s="1055" t="str">
        <f>P415</f>
        <v/>
      </c>
      <c r="AE103" s="557" t="s">
        <v>334</v>
      </c>
    </row>
    <row r="104" spans="1:35" ht="11.25" customHeight="1">
      <c r="A104" s="611">
        <v>38</v>
      </c>
      <c r="B104" s="110"/>
      <c r="C104" s="53"/>
      <c r="D104" s="50" t="str">
        <f t="shared" si="27"/>
        <v>Anode heat calculator/indicator is functioning properly.</v>
      </c>
      <c r="F104" s="49"/>
      <c r="G104" s="49"/>
      <c r="H104" s="49"/>
      <c r="I104" s="49"/>
      <c r="J104" s="114" t="str">
        <f t="shared" si="28"/>
        <v>TBD</v>
      </c>
      <c r="K104" s="343" t="str">
        <f t="shared" si="29"/>
        <v/>
      </c>
      <c r="L104" s="676" t="s">
        <v>411</v>
      </c>
      <c r="M104" s="45"/>
      <c r="N104" s="1"/>
      <c r="O104" s="1"/>
      <c r="P104" s="1"/>
      <c r="Q104" s="1"/>
      <c r="R104" s="1"/>
      <c r="S104" s="1"/>
      <c r="T104" s="1"/>
      <c r="U104" s="1"/>
      <c r="V104" s="1"/>
      <c r="W104" s="39"/>
      <c r="X104" s="664" t="s">
        <v>411</v>
      </c>
      <c r="Y104" s="457"/>
      <c r="AA104" s="462" t="s">
        <v>458</v>
      </c>
      <c r="AB104" s="1186"/>
      <c r="AC104" s="551" t="str">
        <f t="shared" si="26"/>
        <v/>
      </c>
      <c r="AD104" s="1055" t="str">
        <f>Q415</f>
        <v/>
      </c>
      <c r="AE104" s="555" t="s">
        <v>335</v>
      </c>
    </row>
    <row r="105" spans="1:35" ht="11.25" customHeight="1" thickBot="1">
      <c r="A105" s="611">
        <v>39</v>
      </c>
      <c r="B105" s="110" t="s">
        <v>1203</v>
      </c>
      <c r="C105" s="53"/>
      <c r="D105" s="50" t="str">
        <f t="shared" si="27"/>
        <v xml:space="preserve">Indicator of the individual x-ray tube selected present and operational. </v>
      </c>
      <c r="F105" s="49"/>
      <c r="G105" s="49"/>
      <c r="H105" s="49"/>
      <c r="I105" s="49"/>
      <c r="J105" s="114" t="str">
        <f t="shared" si="28"/>
        <v>TBD</v>
      </c>
      <c r="K105" s="343" t="str">
        <f t="shared" si="29"/>
        <v/>
      </c>
      <c r="L105" s="676" t="s">
        <v>411</v>
      </c>
      <c r="M105" s="34"/>
      <c r="N105" s="289"/>
      <c r="O105" s="289"/>
      <c r="P105" s="289"/>
      <c r="Q105" s="289"/>
      <c r="R105" s="289"/>
      <c r="S105" s="289"/>
      <c r="T105" s="289"/>
      <c r="U105" s="289"/>
      <c r="V105" s="289"/>
      <c r="W105" s="290"/>
      <c r="X105" s="664" t="s">
        <v>411</v>
      </c>
      <c r="Y105" s="457"/>
      <c r="Z105" s="457"/>
      <c r="AB105" s="49"/>
      <c r="AC105" s="551" t="str">
        <f t="shared" si="26"/>
        <v/>
      </c>
      <c r="AD105" s="457"/>
    </row>
    <row r="106" spans="1:35" ht="11.25" customHeight="1" thickTop="1">
      <c r="A106" s="611">
        <v>40</v>
      </c>
      <c r="B106" s="110" t="s">
        <v>1204</v>
      </c>
      <c r="C106" s="53"/>
      <c r="D106" s="50" t="str">
        <f t="shared" si="27"/>
        <v>Visible "beam on" indicator present and operational.</v>
      </c>
      <c r="F106" s="49"/>
      <c r="G106" s="49"/>
      <c r="H106" s="49"/>
      <c r="I106" s="49"/>
      <c r="J106" s="114" t="str">
        <f t="shared" si="28"/>
        <v>TBD</v>
      </c>
      <c r="K106" s="343" t="str">
        <f t="shared" si="29"/>
        <v/>
      </c>
      <c r="L106" s="676" t="s">
        <v>411</v>
      </c>
      <c r="M106" s="1"/>
      <c r="N106" s="1"/>
      <c r="O106" s="1"/>
      <c r="P106" s="1"/>
      <c r="Q106" s="1"/>
      <c r="R106" s="1"/>
      <c r="S106" s="1"/>
      <c r="T106" s="1"/>
      <c r="U106" s="1"/>
      <c r="V106" s="1"/>
      <c r="W106" s="1"/>
      <c r="X106" s="664" t="s">
        <v>411</v>
      </c>
      <c r="Y106" s="457"/>
      <c r="Z106" s="457"/>
      <c r="AA106" s="54" t="s">
        <v>461</v>
      </c>
      <c r="AB106" s="1187"/>
      <c r="AC106" s="551" t="str">
        <f t="shared" si="26"/>
        <v/>
      </c>
      <c r="AD106" s="1056" t="str">
        <f>M420</f>
        <v/>
      </c>
      <c r="AE106" s="555" t="s">
        <v>336</v>
      </c>
    </row>
    <row r="107" spans="1:35" ht="11.25" customHeight="1" thickBot="1">
      <c r="A107" s="611">
        <v>41</v>
      </c>
      <c r="B107" s="110" t="s">
        <v>1205</v>
      </c>
      <c r="C107" s="53"/>
      <c r="D107" s="50" t="str">
        <f t="shared" si="27"/>
        <v>Audible exposure end indicator present and operational.</v>
      </c>
      <c r="F107" s="49"/>
      <c r="G107" s="49"/>
      <c r="H107" s="49"/>
      <c r="I107" s="49"/>
      <c r="J107" s="114" t="str">
        <f t="shared" si="28"/>
        <v>TBD</v>
      </c>
      <c r="K107" s="343" t="str">
        <f t="shared" si="29"/>
        <v/>
      </c>
      <c r="L107" s="676" t="s">
        <v>411</v>
      </c>
      <c r="M107" s="1"/>
      <c r="X107" s="664" t="s">
        <v>411</v>
      </c>
      <c r="Y107" s="457"/>
      <c r="Z107" s="457"/>
      <c r="AA107" s="54" t="s">
        <v>462</v>
      </c>
      <c r="AB107" s="1187"/>
      <c r="AC107" s="551" t="str">
        <f t="shared" si="26"/>
        <v/>
      </c>
      <c r="AD107" s="1056" t="str">
        <f>M421</f>
        <v/>
      </c>
      <c r="AE107" s="555" t="s">
        <v>337</v>
      </c>
    </row>
    <row r="108" spans="1:35" ht="11.25" customHeight="1" thickBot="1">
      <c r="A108" s="611">
        <v>42</v>
      </c>
      <c r="B108" s="110"/>
      <c r="C108" s="53"/>
      <c r="D108" s="50" t="str">
        <f>$D$920</f>
        <v>Exposure delay time is not excessive.</v>
      </c>
      <c r="F108" s="49"/>
      <c r="G108" s="49"/>
      <c r="H108" s="49"/>
      <c r="I108" s="49"/>
      <c r="J108" s="114" t="str">
        <f>$J$920</f>
        <v>TBD</v>
      </c>
      <c r="K108" s="343" t="str">
        <f>$K$920</f>
        <v/>
      </c>
      <c r="L108" s="676" t="s">
        <v>411</v>
      </c>
      <c r="V108" s="687" t="s">
        <v>366</v>
      </c>
      <c r="X108" s="664" t="s">
        <v>411</v>
      </c>
      <c r="Y108" s="457"/>
      <c r="Z108" s="457"/>
      <c r="AA108" s="50"/>
      <c r="AB108" s="49"/>
      <c r="AC108" s="551" t="str">
        <f t="shared" si="26"/>
        <v/>
      </c>
      <c r="AD108" s="457"/>
      <c r="AF108" s="555" t="str">
        <f>X423</f>
        <v/>
      </c>
    </row>
    <row r="109" spans="1:35" ht="11.25" customHeight="1" thickTop="1">
      <c r="A109" s="611">
        <v>43</v>
      </c>
      <c r="B109" s="110" t="s">
        <v>1206</v>
      </c>
      <c r="C109" s="111"/>
      <c r="D109" s="50" t="s">
        <v>466</v>
      </c>
      <c r="E109" s="49"/>
      <c r="F109" s="49"/>
      <c r="G109" s="49"/>
      <c r="H109" s="49"/>
      <c r="I109" s="49"/>
      <c r="J109" s="1109" t="str">
        <f>IF(AND($E$716="TBD",$J$716="TBD"),"TBD",IF(OR($E$716="NO",$J$716="NO"),"","YES"))</f>
        <v>TBD</v>
      </c>
      <c r="K109" s="400" t="str">
        <f>IF(AND($E$716="TBD",$J$716="TBD"),"",IF(OR($E$716="NO",$J$716="NO"),"NO",""))</f>
        <v/>
      </c>
      <c r="L109" s="676" t="s">
        <v>411</v>
      </c>
      <c r="M109" s="79"/>
      <c r="N109" s="62"/>
      <c r="O109" s="62"/>
      <c r="P109" s="1145" t="s">
        <v>632</v>
      </c>
      <c r="Q109" s="1146"/>
      <c r="R109" s="62"/>
      <c r="S109" s="62"/>
      <c r="V109" s="688" t="s">
        <v>369</v>
      </c>
      <c r="X109" s="664" t="s">
        <v>411</v>
      </c>
      <c r="Y109" s="457"/>
      <c r="Z109" s="457"/>
      <c r="AA109" s="462" t="s">
        <v>463</v>
      </c>
      <c r="AB109" s="1186"/>
      <c r="AC109" s="551" t="str">
        <f t="shared" si="26"/>
        <v>Change</v>
      </c>
      <c r="AD109" s="1051" t="str">
        <f>V423</f>
        <v>cm</v>
      </c>
      <c r="AE109" s="555" t="s">
        <v>736</v>
      </c>
      <c r="AF109" s="555" t="str">
        <f>X424</f>
        <v/>
      </c>
    </row>
    <row r="110" spans="1:35" ht="11.25" customHeight="1" thickBot="1">
      <c r="A110" s="611">
        <v>44</v>
      </c>
      <c r="B110" s="110" t="s">
        <v>1207</v>
      </c>
      <c r="C110" s="111"/>
      <c r="D110" s="50" t="s">
        <v>1107</v>
      </c>
      <c r="E110" s="49"/>
      <c r="F110" s="49"/>
      <c r="G110" s="49"/>
      <c r="H110" s="49"/>
      <c r="I110" s="49"/>
      <c r="J110" s="1109" t="str">
        <f>IF(AND($E$760="NA",$F$760="NA",$I$760="NA",$J$760="NA"),"NA",IF(OR($E$760="NO",$F$760="NO",$I$760="NO",$J$760="NO"),"","YES"))</f>
        <v>NA</v>
      </c>
      <c r="K110" s="400" t="str">
        <f>IF(AND($E$760="TBD",$F$760="TBD",$I$760="TBD",$J$760="TBD"),"",IF(OR($E$760="NO",$F$760="NO",$I$760="NO",$J$760="NO"),"NO",""))</f>
        <v/>
      </c>
      <c r="L110" s="676" t="s">
        <v>411</v>
      </c>
      <c r="M110" s="66"/>
      <c r="N110" s="49"/>
      <c r="O110" s="49"/>
      <c r="P110" s="117" t="s">
        <v>541</v>
      </c>
      <c r="Q110" s="49"/>
      <c r="R110" s="49"/>
      <c r="S110" s="1"/>
      <c r="T110" s="1092" t="s">
        <v>542</v>
      </c>
      <c r="U110" s="49" t="s">
        <v>1138</v>
      </c>
      <c r="V110" s="689" t="s">
        <v>542</v>
      </c>
      <c r="X110" s="664" t="s">
        <v>411</v>
      </c>
      <c r="Y110" s="457"/>
      <c r="Z110" s="457"/>
      <c r="AA110" s="462" t="s">
        <v>464</v>
      </c>
      <c r="AB110" s="1187"/>
      <c r="AC110" s="551" t="str">
        <f t="shared" si="26"/>
        <v/>
      </c>
      <c r="AD110" s="1056" t="str">
        <f>U423</f>
        <v/>
      </c>
      <c r="AE110" s="555" t="s">
        <v>737</v>
      </c>
      <c r="AF110" s="555" t="str">
        <f>X425</f>
        <v/>
      </c>
    </row>
    <row r="111" spans="1:35" ht="11.25" customHeight="1">
      <c r="A111" s="611">
        <v>45</v>
      </c>
      <c r="B111" s="110" t="s">
        <v>1206</v>
      </c>
      <c r="C111" s="111"/>
      <c r="D111" s="50" t="s">
        <v>1</v>
      </c>
      <c r="E111" s="49"/>
      <c r="F111" s="49"/>
      <c r="G111" s="49"/>
      <c r="H111" s="49"/>
      <c r="I111" s="49"/>
      <c r="J111" s="1109" t="str">
        <f>IF(M53=1,$T$52,IF($H$829="NA","NA",IF(OR($H$829="",$H$829="TBD"),"TBD",IF($H$829="YES","YES",""))))</f>
        <v>NA</v>
      </c>
      <c r="K111" s="400" t="str">
        <f>IF($M$53=1,"",IF(OR($H$829="",$H$829="TBD",$H$829="NA"),"",IF($H$829="YES","","NO")))</f>
        <v/>
      </c>
      <c r="L111" s="676" t="s">
        <v>411</v>
      </c>
      <c r="M111" s="123"/>
      <c r="N111" s="117"/>
      <c r="O111" s="117" t="s">
        <v>512</v>
      </c>
      <c r="P111" s="117" t="s">
        <v>543</v>
      </c>
      <c r="Q111" s="117" t="s">
        <v>544</v>
      </c>
      <c r="R111" s="117"/>
      <c r="S111" s="1"/>
      <c r="T111" s="117" t="s">
        <v>545</v>
      </c>
      <c r="U111" s="218" t="s">
        <v>1139</v>
      </c>
      <c r="V111" s="689" t="s">
        <v>545</v>
      </c>
      <c r="W111" s="983" t="s">
        <v>564</v>
      </c>
      <c r="X111" s="664" t="s">
        <v>411</v>
      </c>
      <c r="Y111" s="457"/>
      <c r="Z111" s="457"/>
      <c r="AA111" s="457"/>
      <c r="AB111" s="49"/>
      <c r="AC111" s="551" t="str">
        <f t="shared" si="26"/>
        <v/>
      </c>
      <c r="AD111" s="457"/>
    </row>
    <row r="112" spans="1:35" ht="11.25" customHeight="1" thickBot="1">
      <c r="A112" s="611">
        <v>46</v>
      </c>
      <c r="B112" s="110" t="s">
        <v>1208</v>
      </c>
      <c r="C112" s="111"/>
      <c r="D112" s="50" t="s">
        <v>470</v>
      </c>
      <c r="E112" s="49"/>
      <c r="F112" s="49"/>
      <c r="G112" s="49"/>
      <c r="H112" s="49"/>
      <c r="I112" s="49"/>
      <c r="J112" s="1109" t="str">
        <f>IF(M53=1,$T$52,IF($K$829="NA","NA",IF(OR($K$829="",$K$829="TBD"),"TBD",IF($K$829="YES","YES",""))))</f>
        <v>NA</v>
      </c>
      <c r="K112" s="400" t="str">
        <f>IF($M$53=1,"",IF(OR($K$829="",$K$829="TBD", $K$829="NA"),"",IF($K$829="YES","","NO")))</f>
        <v/>
      </c>
      <c r="L112" s="676" t="s">
        <v>411</v>
      </c>
      <c r="M112" s="124" t="s">
        <v>547</v>
      </c>
      <c r="N112" s="118" t="s">
        <v>548</v>
      </c>
      <c r="O112" s="118" t="s">
        <v>549</v>
      </c>
      <c r="P112" s="118" t="s">
        <v>550</v>
      </c>
      <c r="Q112" s="118" t="s">
        <v>549</v>
      </c>
      <c r="R112" s="118" t="s">
        <v>465</v>
      </c>
      <c r="S112" s="117" t="s">
        <v>575</v>
      </c>
      <c r="T112" s="117" t="s">
        <v>1056</v>
      </c>
      <c r="U112" s="117" t="s">
        <v>1140</v>
      </c>
      <c r="V112" s="690" t="s">
        <v>1056</v>
      </c>
      <c r="W112" s="984" t="s">
        <v>259</v>
      </c>
      <c r="X112" s="664" t="s">
        <v>411</v>
      </c>
      <c r="Y112" s="457"/>
      <c r="Z112" s="457"/>
      <c r="AA112" s="462" t="s">
        <v>465</v>
      </c>
      <c r="AB112" s="1186"/>
      <c r="AC112" s="551" t="str">
        <f t="shared" si="26"/>
        <v/>
      </c>
      <c r="AD112" s="1057" t="str">
        <f>O542</f>
        <v/>
      </c>
      <c r="AE112" s="555" t="s">
        <v>738</v>
      </c>
    </row>
    <row r="113" spans="1:31" ht="11.25" customHeight="1">
      <c r="A113" s="611">
        <v>47</v>
      </c>
      <c r="B113" s="110" t="s">
        <v>1209</v>
      </c>
      <c r="C113" s="111"/>
      <c r="D113" s="50" t="s">
        <v>471</v>
      </c>
      <c r="E113" s="49"/>
      <c r="F113" s="49"/>
      <c r="G113" s="49"/>
      <c r="H113" s="49"/>
      <c r="I113" s="49"/>
      <c r="J113" s="1109" t="str">
        <f>IF(AND($K$871="TBD",$K$874="TBD",$K$886="TBD",$K$889="TBD"),"TBD",IF(OR($K$871="NO",$K$874="NO",$K$886="NO",$K$889="NO",$G$901="NO"),"","YES"))</f>
        <v>TBD</v>
      </c>
      <c r="K113" s="400" t="str">
        <f>IF(AND($K$871="TBD",$K$874="TBD",$K$886="TBD",$K$889="TBD"),"",IF(OR($K$871="NO",$K$874="NO",$K$886="NO",$K$889="NO",$G$901="NO"),"NO",""))</f>
        <v/>
      </c>
      <c r="L113" s="676" t="s">
        <v>411</v>
      </c>
      <c r="M113" s="1164" t="s">
        <v>9</v>
      </c>
      <c r="N113" s="1156" t="s">
        <v>8</v>
      </c>
      <c r="O113" s="1156">
        <v>72</v>
      </c>
      <c r="P113" s="1165">
        <v>23</v>
      </c>
      <c r="Q113" s="1156" t="s">
        <v>10</v>
      </c>
      <c r="R113" s="1156">
        <v>120</v>
      </c>
      <c r="S113" s="1166">
        <v>2</v>
      </c>
      <c r="T113" s="119" t="str">
        <f>IF(U87="","",U87)</f>
        <v/>
      </c>
      <c r="U113" s="119" t="str">
        <f>IF(U87="","",IF(U87&lt;=R127,"Pass","Fail"))</f>
        <v/>
      </c>
      <c r="V113" s="1177" t="str">
        <f t="shared" ref="V113:V122" si="30">IF(OR(AB490="",AB490=0),"",AB490)</f>
        <v/>
      </c>
      <c r="W113" s="1178" t="str">
        <f t="shared" ref="W113:W122" si="31">IF(OR(U87="",V113=""),"",(U87-V113)/V113)</f>
        <v/>
      </c>
      <c r="X113" s="664" t="s">
        <v>411</v>
      </c>
      <c r="Y113" s="457"/>
      <c r="Z113" s="457"/>
      <c r="AA113" s="462" t="s">
        <v>467</v>
      </c>
      <c r="AB113" s="1186"/>
      <c r="AC113" s="551" t="str">
        <f t="shared" si="26"/>
        <v/>
      </c>
      <c r="AD113" s="1058" t="str">
        <f>Q542</f>
        <v/>
      </c>
      <c r="AE113" s="555" t="s">
        <v>739</v>
      </c>
    </row>
    <row r="114" spans="1:31" ht="11.25" customHeight="1">
      <c r="A114" s="611">
        <v>48</v>
      </c>
      <c r="B114" s="127"/>
      <c r="J114" s="129"/>
      <c r="K114" s="399"/>
      <c r="L114" s="676" t="s">
        <v>411</v>
      </c>
      <c r="M114" s="1164" t="s">
        <v>23</v>
      </c>
      <c r="N114" s="1156" t="s">
        <v>8</v>
      </c>
      <c r="O114" s="1156">
        <v>40</v>
      </c>
      <c r="P114" s="1165">
        <v>23</v>
      </c>
      <c r="Q114" s="1156" t="s">
        <v>10</v>
      </c>
      <c r="R114" s="1156">
        <v>76</v>
      </c>
      <c r="S114" s="1166">
        <v>30</v>
      </c>
      <c r="T114" s="119" t="str">
        <f t="shared" ref="T114:T122" si="32">IF(U88="","",U88)</f>
        <v/>
      </c>
      <c r="U114" s="119" t="str">
        <f>IF(U88="","",IF(U88&lt;=R129,"Pass","Fail"))</f>
        <v/>
      </c>
      <c r="V114" s="1177" t="str">
        <f t="shared" si="30"/>
        <v/>
      </c>
      <c r="W114" s="1178" t="str">
        <f t="shared" si="31"/>
        <v/>
      </c>
      <c r="X114" s="664" t="s">
        <v>411</v>
      </c>
      <c r="Y114" s="457"/>
      <c r="Z114" s="457"/>
      <c r="AA114" s="462" t="s">
        <v>468</v>
      </c>
      <c r="AB114" s="1188"/>
      <c r="AC114" s="551" t="str">
        <f t="shared" si="26"/>
        <v/>
      </c>
      <c r="AD114" s="1059" t="str">
        <f>S542</f>
        <v/>
      </c>
      <c r="AE114" s="555" t="s">
        <v>740</v>
      </c>
    </row>
    <row r="115" spans="1:31" ht="11.25" customHeight="1">
      <c r="A115" s="611">
        <v>49</v>
      </c>
      <c r="B115" s="127"/>
      <c r="F115" s="99" t="s">
        <v>475</v>
      </c>
      <c r="J115" s="114"/>
      <c r="K115" s="343"/>
      <c r="L115" s="676" t="s">
        <v>411</v>
      </c>
      <c r="M115" s="1164" t="s">
        <v>13</v>
      </c>
      <c r="N115" s="1156" t="s">
        <v>8</v>
      </c>
      <c r="O115" s="1156">
        <v>40</v>
      </c>
      <c r="P115" s="1165">
        <v>20</v>
      </c>
      <c r="Q115" s="1156" t="s">
        <v>10</v>
      </c>
      <c r="R115" s="1156">
        <v>66</v>
      </c>
      <c r="S115" s="1166">
        <v>12</v>
      </c>
      <c r="T115" s="119" t="str">
        <f t="shared" si="32"/>
        <v/>
      </c>
      <c r="U115" s="119"/>
      <c r="V115" s="1177" t="str">
        <f t="shared" si="30"/>
        <v/>
      </c>
      <c r="W115" s="1178" t="str">
        <f t="shared" si="31"/>
        <v/>
      </c>
      <c r="X115" s="664" t="s">
        <v>411</v>
      </c>
      <c r="Y115" s="457"/>
      <c r="Z115" s="457"/>
      <c r="AA115" s="462" t="s">
        <v>469</v>
      </c>
      <c r="AB115" s="1186"/>
      <c r="AC115" s="551" t="str">
        <f t="shared" si="26"/>
        <v>Change</v>
      </c>
      <c r="AD115" s="1058">
        <f>IF(U543&lt;&gt;"",U543,U542)</f>
        <v>0.5</v>
      </c>
      <c r="AE115" s="555" t="str">
        <f>IF(U543&lt;&gt;"","U543","U542")</f>
        <v>U542</v>
      </c>
    </row>
    <row r="116" spans="1:31" ht="11.25" customHeight="1">
      <c r="A116" s="611">
        <v>50</v>
      </c>
      <c r="B116" s="110" t="s">
        <v>1210</v>
      </c>
      <c r="C116" s="111"/>
      <c r="D116" s="50" t="s">
        <v>477</v>
      </c>
      <c r="E116" s="50"/>
      <c r="F116" s="50"/>
      <c r="G116" s="50"/>
      <c r="H116" s="50"/>
      <c r="I116" s="50"/>
      <c r="J116" s="114" t="str">
        <f t="shared" ref="J116:J121" si="33">IF(M1426="","TBD",IF(M1426=1,"YES",IF(M1426=3,"NA","")))</f>
        <v>TBD</v>
      </c>
      <c r="K116" s="343" t="str">
        <f t="shared" ref="K116:K121" si="34">IF(M1426=2,"NO","")</f>
        <v/>
      </c>
      <c r="L116" s="676" t="s">
        <v>411</v>
      </c>
      <c r="M116" s="1164" t="s">
        <v>22</v>
      </c>
      <c r="N116" s="1156" t="s">
        <v>8</v>
      </c>
      <c r="O116" s="1156">
        <v>40</v>
      </c>
      <c r="P116" s="1165">
        <v>13</v>
      </c>
      <c r="Q116" s="1156" t="s">
        <v>14</v>
      </c>
      <c r="R116" s="1156">
        <v>72</v>
      </c>
      <c r="S116" s="1166">
        <v>10</v>
      </c>
      <c r="T116" s="119" t="str">
        <f t="shared" si="32"/>
        <v/>
      </c>
      <c r="U116" s="119" t="str">
        <f>IF(U90="","",IF(U90&lt;=R132,"Pass","Fail"))</f>
        <v/>
      </c>
      <c r="V116" s="1177" t="str">
        <f t="shared" si="30"/>
        <v/>
      </c>
      <c r="W116" s="1178" t="str">
        <f t="shared" si="31"/>
        <v/>
      </c>
      <c r="X116" s="664" t="s">
        <v>411</v>
      </c>
      <c r="Y116" s="457"/>
      <c r="Z116" s="457"/>
      <c r="AA116" s="457"/>
      <c r="AB116" s="49"/>
      <c r="AC116" s="551" t="str">
        <f t="shared" si="26"/>
        <v/>
      </c>
      <c r="AD116" s="457"/>
    </row>
    <row r="117" spans="1:31" ht="11.25" customHeight="1">
      <c r="A117" s="611">
        <v>51</v>
      </c>
      <c r="B117" s="110"/>
      <c r="C117" s="159"/>
      <c r="D117" s="50" t="s">
        <v>1033</v>
      </c>
      <c r="J117" s="114" t="str">
        <f t="shared" si="33"/>
        <v>NA</v>
      </c>
      <c r="K117" s="343" t="str">
        <f t="shared" si="34"/>
        <v/>
      </c>
      <c r="L117" s="676" t="s">
        <v>411</v>
      </c>
      <c r="M117" s="1164" t="s">
        <v>31</v>
      </c>
      <c r="N117" s="1156" t="s">
        <v>8</v>
      </c>
      <c r="O117" s="1156">
        <v>40</v>
      </c>
      <c r="P117" s="1165">
        <v>15</v>
      </c>
      <c r="Q117" s="1156" t="s">
        <v>27</v>
      </c>
      <c r="R117" s="1156">
        <v>72</v>
      </c>
      <c r="S117" s="1166">
        <v>10</v>
      </c>
      <c r="T117" s="119" t="str">
        <f t="shared" si="32"/>
        <v/>
      </c>
      <c r="U117" s="119" t="str">
        <f>IF(U91="","",IF(U91&lt;=R133,"Pass","Fail"))</f>
        <v/>
      </c>
      <c r="V117" s="1177" t="str">
        <f t="shared" si="30"/>
        <v/>
      </c>
      <c r="W117" s="1178" t="str">
        <f t="shared" si="31"/>
        <v/>
      </c>
      <c r="X117" s="664" t="s">
        <v>411</v>
      </c>
      <c r="Y117" s="457"/>
      <c r="Z117" s="457"/>
      <c r="AA117" s="132" t="s">
        <v>472</v>
      </c>
      <c r="AB117" s="49"/>
      <c r="AC117" s="551" t="str">
        <f t="shared" si="26"/>
        <v/>
      </c>
      <c r="AD117" s="457"/>
    </row>
    <row r="118" spans="1:31" ht="11.25" customHeight="1">
      <c r="A118" s="611">
        <v>52</v>
      </c>
      <c r="B118" s="110"/>
      <c r="C118" s="159"/>
      <c r="D118" s="50" t="s">
        <v>1034</v>
      </c>
      <c r="J118" s="114" t="str">
        <f t="shared" si="33"/>
        <v>NA</v>
      </c>
      <c r="K118" s="343" t="str">
        <f t="shared" si="34"/>
        <v/>
      </c>
      <c r="L118" s="676" t="s">
        <v>411</v>
      </c>
      <c r="M118" s="1164" t="s">
        <v>18</v>
      </c>
      <c r="N118" s="1156" t="s">
        <v>15</v>
      </c>
      <c r="O118" s="1156">
        <v>40</v>
      </c>
      <c r="P118" s="1165">
        <v>8</v>
      </c>
      <c r="Q118" s="1156" t="s">
        <v>27</v>
      </c>
      <c r="R118" s="1156">
        <v>60</v>
      </c>
      <c r="S118" s="1166">
        <v>2.5</v>
      </c>
      <c r="T118" s="119" t="str">
        <f t="shared" si="32"/>
        <v/>
      </c>
      <c r="U118" s="119" t="str">
        <f>IF(U92="","",IF(U92&lt;=R136,"Pass","Fail"))</f>
        <v/>
      </c>
      <c r="V118" s="1177" t="str">
        <f t="shared" si="30"/>
        <v/>
      </c>
      <c r="W118" s="1178" t="str">
        <f t="shared" si="31"/>
        <v/>
      </c>
      <c r="X118" s="664" t="s">
        <v>411</v>
      </c>
      <c r="Y118" s="457"/>
      <c r="Z118" s="457"/>
      <c r="AA118" s="462" t="s">
        <v>473</v>
      </c>
      <c r="AB118" s="1186"/>
      <c r="AC118" s="551" t="str">
        <f t="shared" si="26"/>
        <v/>
      </c>
      <c r="AD118" s="1058" t="str">
        <f>M554</f>
        <v/>
      </c>
      <c r="AE118" s="555" t="s">
        <v>741</v>
      </c>
    </row>
    <row r="119" spans="1:31" ht="11.25" customHeight="1">
      <c r="A119" s="611">
        <v>53</v>
      </c>
      <c r="B119" s="110" t="s">
        <v>1036</v>
      </c>
      <c r="C119" s="159"/>
      <c r="D119" s="50" t="s">
        <v>1035</v>
      </c>
      <c r="J119" s="114" t="str">
        <f t="shared" si="33"/>
        <v>NA</v>
      </c>
      <c r="K119" s="343" t="str">
        <f t="shared" si="34"/>
        <v/>
      </c>
      <c r="L119" s="676" t="s">
        <v>411</v>
      </c>
      <c r="M119" s="1164" t="s">
        <v>19</v>
      </c>
      <c r="N119" s="1156" t="s">
        <v>15</v>
      </c>
      <c r="O119" s="1156">
        <v>40</v>
      </c>
      <c r="P119" s="1165">
        <v>12</v>
      </c>
      <c r="Q119" s="1156" t="s">
        <v>14</v>
      </c>
      <c r="R119" s="1156">
        <v>66</v>
      </c>
      <c r="S119" s="1166">
        <v>8</v>
      </c>
      <c r="T119" s="119" t="str">
        <f t="shared" si="32"/>
        <v/>
      </c>
      <c r="U119" s="119"/>
      <c r="V119" s="1177" t="str">
        <f t="shared" si="30"/>
        <v/>
      </c>
      <c r="W119" s="1178" t="str">
        <f t="shared" si="31"/>
        <v/>
      </c>
      <c r="X119" s="664" t="s">
        <v>411</v>
      </c>
      <c r="Y119" s="457"/>
      <c r="Z119" s="457"/>
      <c r="AA119" s="462" t="s">
        <v>474</v>
      </c>
      <c r="AB119" s="1186"/>
      <c r="AC119" s="551" t="str">
        <f t="shared" si="26"/>
        <v/>
      </c>
      <c r="AD119" s="1058" t="str">
        <f>N554</f>
        <v/>
      </c>
      <c r="AE119" s="555" t="s">
        <v>742</v>
      </c>
    </row>
    <row r="120" spans="1:31" ht="11.25" customHeight="1">
      <c r="A120" s="611">
        <v>54</v>
      </c>
      <c r="B120" s="110" t="s">
        <v>1211</v>
      </c>
      <c r="C120" s="111"/>
      <c r="D120" s="50" t="s">
        <v>479</v>
      </c>
      <c r="E120" s="49"/>
      <c r="F120" s="49"/>
      <c r="G120" s="49"/>
      <c r="H120" s="49"/>
      <c r="I120" s="49"/>
      <c r="J120" s="114" t="str">
        <f t="shared" si="33"/>
        <v>TBD</v>
      </c>
      <c r="K120" s="343" t="str">
        <f t="shared" si="34"/>
        <v/>
      </c>
      <c r="L120" s="676" t="s">
        <v>411</v>
      </c>
      <c r="M120" s="1164" t="s">
        <v>24</v>
      </c>
      <c r="N120" s="1156" t="s">
        <v>8</v>
      </c>
      <c r="O120" s="1156">
        <v>40</v>
      </c>
      <c r="P120" s="1165">
        <v>20</v>
      </c>
      <c r="Q120" s="1156" t="s">
        <v>10</v>
      </c>
      <c r="R120" s="1156">
        <v>78</v>
      </c>
      <c r="S120" s="1166">
        <v>30</v>
      </c>
      <c r="T120" s="119" t="str">
        <f t="shared" si="32"/>
        <v/>
      </c>
      <c r="U120" s="119"/>
      <c r="V120" s="1177" t="str">
        <f t="shared" si="30"/>
        <v/>
      </c>
      <c r="W120" s="1178" t="str">
        <f t="shared" si="31"/>
        <v/>
      </c>
      <c r="X120" s="664" t="s">
        <v>411</v>
      </c>
      <c r="Y120" s="457"/>
      <c r="Z120" s="457"/>
      <c r="AA120" s="462" t="s">
        <v>476</v>
      </c>
      <c r="AB120" s="1186"/>
      <c r="AC120" s="551" t="str">
        <f t="shared" si="26"/>
        <v/>
      </c>
      <c r="AD120" s="1058" t="str">
        <f>M555</f>
        <v/>
      </c>
      <c r="AE120" s="555" t="s">
        <v>658</v>
      </c>
    </row>
    <row r="121" spans="1:31" ht="11.25" customHeight="1">
      <c r="A121" s="611">
        <v>55</v>
      </c>
      <c r="B121" s="110" t="s">
        <v>1212</v>
      </c>
      <c r="C121" s="111"/>
      <c r="D121" s="50" t="s">
        <v>480</v>
      </c>
      <c r="J121" s="114" t="str">
        <f t="shared" si="33"/>
        <v>TBD</v>
      </c>
      <c r="K121" s="343" t="str">
        <f t="shared" si="34"/>
        <v/>
      </c>
      <c r="L121" s="676" t="s">
        <v>411</v>
      </c>
      <c r="M121" s="1164" t="s">
        <v>25</v>
      </c>
      <c r="N121" s="1156" t="s">
        <v>8</v>
      </c>
      <c r="O121" s="1156">
        <v>40</v>
      </c>
      <c r="P121" s="1165">
        <v>15</v>
      </c>
      <c r="Q121" s="1156" t="s">
        <v>14</v>
      </c>
      <c r="R121" s="1156">
        <v>74</v>
      </c>
      <c r="S121" s="1166">
        <v>14</v>
      </c>
      <c r="T121" s="119" t="str">
        <f t="shared" si="32"/>
        <v/>
      </c>
      <c r="U121" s="119"/>
      <c r="V121" s="1177" t="str">
        <f t="shared" si="30"/>
        <v/>
      </c>
      <c r="W121" s="1178" t="str">
        <f t="shared" si="31"/>
        <v/>
      </c>
      <c r="X121" s="664" t="s">
        <v>411</v>
      </c>
      <c r="Y121" s="457"/>
      <c r="Z121" s="457"/>
      <c r="AA121" s="462" t="s">
        <v>478</v>
      </c>
      <c r="AB121" s="1186"/>
      <c r="AC121" s="551" t="str">
        <f t="shared" si="26"/>
        <v/>
      </c>
      <c r="AD121" s="1058" t="str">
        <f>N555</f>
        <v/>
      </c>
      <c r="AE121" s="555" t="s">
        <v>743</v>
      </c>
    </row>
    <row r="122" spans="1:31" ht="11.25" customHeight="1" thickBot="1">
      <c r="A122" s="611">
        <v>56</v>
      </c>
      <c r="B122" s="110" t="s">
        <v>1213</v>
      </c>
      <c r="C122" s="111"/>
      <c r="D122" s="50" t="s">
        <v>482</v>
      </c>
      <c r="E122" s="50"/>
      <c r="F122" s="59" t="str">
        <f>IF(R1432="","Half:  ","Half:  "&amp;R1432)</f>
        <v>Half:  0</v>
      </c>
      <c r="G122" s="54"/>
      <c r="H122" s="59" t="str">
        <f>IF(T1432="","Full:  ","Full:  "&amp;T1432)</f>
        <v>Full:  0</v>
      </c>
      <c r="J122" s="114" t="str">
        <f t="shared" ref="J122:J127" si="35">IF($M$53=1,$T$52,IF(M1432="","TBD",IF(M1432=1,"YES",IF(M1432=3,"NA",""))))</f>
        <v>TBD</v>
      </c>
      <c r="K122" s="343" t="str">
        <f t="shared" ref="K122:K127" si="36">IF($M$53=1,"",IF(M1432=2,"NO",""))</f>
        <v/>
      </c>
      <c r="L122" s="676" t="s">
        <v>411</v>
      </c>
      <c r="M122" s="1167" t="s">
        <v>26</v>
      </c>
      <c r="N122" s="1168" t="s">
        <v>8</v>
      </c>
      <c r="O122" s="1168">
        <v>40</v>
      </c>
      <c r="P122" s="1169">
        <v>23</v>
      </c>
      <c r="Q122" s="1168" t="s">
        <v>14</v>
      </c>
      <c r="R122" s="1168">
        <v>78</v>
      </c>
      <c r="S122" s="1170">
        <v>25</v>
      </c>
      <c r="T122" s="238" t="str">
        <f t="shared" si="32"/>
        <v/>
      </c>
      <c r="U122" s="238"/>
      <c r="V122" s="1179" t="str">
        <f t="shared" si="30"/>
        <v/>
      </c>
      <c r="W122" s="1180" t="str">
        <f t="shared" si="31"/>
        <v/>
      </c>
      <c r="X122" s="664" t="s">
        <v>411</v>
      </c>
      <c r="Y122" s="457"/>
      <c r="Z122" s="457"/>
      <c r="AA122" s="457"/>
      <c r="AB122" s="49"/>
      <c r="AC122" s="551" t="str">
        <f t="shared" si="26"/>
        <v/>
      </c>
      <c r="AD122" s="457"/>
    </row>
    <row r="123" spans="1:31" ht="11.25" customHeight="1" thickTop="1" thickBot="1">
      <c r="A123" s="611">
        <v>57</v>
      </c>
      <c r="B123" s="110" t="s">
        <v>1213</v>
      </c>
      <c r="C123" s="111"/>
      <c r="D123" s="50" t="s">
        <v>484</v>
      </c>
      <c r="E123" s="50"/>
      <c r="F123" s="50"/>
      <c r="G123" s="54" t="s">
        <v>485</v>
      </c>
      <c r="H123" s="61">
        <f>IF(R1433="","",R1433)</f>
        <v>0</v>
      </c>
      <c r="J123" s="114" t="str">
        <f t="shared" si="35"/>
        <v>TBD</v>
      </c>
      <c r="K123" s="343" t="str">
        <f t="shared" si="36"/>
        <v/>
      </c>
      <c r="L123" s="676" t="s">
        <v>411</v>
      </c>
      <c r="T123" s="54" t="s">
        <v>1123</v>
      </c>
      <c r="U123" s="1172" t="str">
        <f>IF(ISNA(MATCH("Fail",U113:U122,0)),"Pass","Fail")</f>
        <v>Pass</v>
      </c>
      <c r="X123" s="664" t="s">
        <v>411</v>
      </c>
      <c r="Y123" s="457"/>
      <c r="Z123" s="457"/>
      <c r="AA123" s="462" t="s">
        <v>481</v>
      </c>
      <c r="AB123" s="1186"/>
      <c r="AC123" s="551" t="str">
        <f t="shared" si="26"/>
        <v/>
      </c>
      <c r="AD123" s="1057" t="str">
        <f>M572</f>
        <v/>
      </c>
      <c r="AE123" s="555" t="s">
        <v>744</v>
      </c>
    </row>
    <row r="124" spans="1:31" ht="11.25" customHeight="1">
      <c r="A124" s="611">
        <v>58</v>
      </c>
      <c r="B124" s="110"/>
      <c r="C124" s="111"/>
      <c r="D124" s="50" t="s">
        <v>486</v>
      </c>
      <c r="E124" s="49"/>
      <c r="F124" s="49"/>
      <c r="G124" s="49"/>
      <c r="H124" s="49"/>
      <c r="I124" s="49"/>
      <c r="J124" s="114" t="str">
        <f t="shared" si="35"/>
        <v>TBD</v>
      </c>
      <c r="K124" s="343" t="str">
        <f t="shared" si="36"/>
        <v/>
      </c>
      <c r="L124" s="676" t="s">
        <v>411</v>
      </c>
      <c r="M124" s="326" t="s">
        <v>1135</v>
      </c>
      <c r="N124" s="49"/>
      <c r="O124" s="49"/>
      <c r="P124" s="1259" t="s">
        <v>1137</v>
      </c>
      <c r="Q124" s="1259"/>
      <c r="R124" s="1259" t="s">
        <v>1137</v>
      </c>
      <c r="S124" s="1259"/>
      <c r="V124" s="457"/>
      <c r="W124" s="457"/>
      <c r="X124" s="664" t="s">
        <v>411</v>
      </c>
      <c r="Y124" s="457"/>
      <c r="AA124" s="462" t="s">
        <v>483</v>
      </c>
      <c r="AB124" s="1186"/>
      <c r="AC124" s="551" t="str">
        <f t="shared" si="26"/>
        <v/>
      </c>
      <c r="AD124" s="1057" t="str">
        <f>M589</f>
        <v/>
      </c>
      <c r="AE124" s="555" t="s">
        <v>745</v>
      </c>
    </row>
    <row r="125" spans="1:31" ht="11.25" customHeight="1">
      <c r="A125" s="611">
        <v>59</v>
      </c>
      <c r="B125" s="110" t="s">
        <v>1214</v>
      </c>
      <c r="C125" s="111"/>
      <c r="D125" s="50" t="s">
        <v>487</v>
      </c>
      <c r="J125" s="114" t="str">
        <f t="shared" si="35"/>
        <v>TBD</v>
      </c>
      <c r="K125" s="343" t="str">
        <f t="shared" si="36"/>
        <v/>
      </c>
      <c r="L125" s="676" t="s">
        <v>411</v>
      </c>
      <c r="O125" s="49" t="s">
        <v>202</v>
      </c>
      <c r="P125" s="49" t="s">
        <v>1136</v>
      </c>
      <c r="Q125" s="1163">
        <v>400</v>
      </c>
      <c r="R125" s="49" t="s">
        <v>1136</v>
      </c>
      <c r="S125" s="1163">
        <v>400</v>
      </c>
      <c r="U125" s="457"/>
      <c r="V125" s="457"/>
      <c r="W125" s="457"/>
      <c r="X125" s="664" t="s">
        <v>411</v>
      </c>
      <c r="Y125" s="457"/>
      <c r="AB125" s="49"/>
      <c r="AC125" s="551" t="str">
        <f t="shared" ref="AC125:AC136" si="37">IF(AND(OR(AB125="",AB125=0),OR(AD125="",AD125=0)),"",IF(AB125&lt;&gt;AD125,"Change",""))</f>
        <v/>
      </c>
      <c r="AD125" s="457"/>
    </row>
    <row r="126" spans="1:31" ht="11.25" customHeight="1">
      <c r="A126" s="611">
        <v>60</v>
      </c>
      <c r="B126" s="110"/>
      <c r="C126" s="111"/>
      <c r="D126" s="50" t="s">
        <v>488</v>
      </c>
      <c r="E126" s="49"/>
      <c r="F126" s="49"/>
      <c r="G126" s="49"/>
      <c r="H126" s="54"/>
      <c r="I126" s="49"/>
      <c r="J126" s="114" t="str">
        <f t="shared" si="35"/>
        <v>TBD</v>
      </c>
      <c r="K126" s="343" t="str">
        <f t="shared" si="36"/>
        <v/>
      </c>
      <c r="L126" s="676" t="s">
        <v>411</v>
      </c>
      <c r="M126" s="1259" t="s">
        <v>30</v>
      </c>
      <c r="N126" s="1259"/>
      <c r="O126" s="49" t="s">
        <v>550</v>
      </c>
      <c r="P126" s="1259" t="s">
        <v>1141</v>
      </c>
      <c r="Q126" s="1259"/>
      <c r="R126" s="1259" t="s">
        <v>1053</v>
      </c>
      <c r="S126" s="1259"/>
      <c r="U126" s="457"/>
      <c r="V126" s="457"/>
      <c r="W126" s="457"/>
      <c r="X126" s="664" t="s">
        <v>411</v>
      </c>
      <c r="Y126" s="457"/>
      <c r="Z126" s="457"/>
      <c r="AA126" s="132" t="s">
        <v>453</v>
      </c>
      <c r="AB126" s="49"/>
      <c r="AC126" s="551" t="str">
        <f t="shared" si="37"/>
        <v/>
      </c>
      <c r="AD126" s="457"/>
    </row>
    <row r="127" spans="1:31" ht="11.25" customHeight="1">
      <c r="A127" s="611">
        <v>61</v>
      </c>
      <c r="B127" s="110" t="s">
        <v>1213</v>
      </c>
      <c r="C127" s="111"/>
      <c r="D127" s="50" t="s">
        <v>490</v>
      </c>
      <c r="E127" s="49"/>
      <c r="F127" s="49"/>
      <c r="G127" s="49"/>
      <c r="H127" s="49"/>
      <c r="I127" s="49"/>
      <c r="J127" s="114" t="str">
        <f t="shared" si="35"/>
        <v>TBD</v>
      </c>
      <c r="K127" s="343" t="str">
        <f t="shared" si="36"/>
        <v/>
      </c>
      <c r="L127" s="676" t="s">
        <v>411</v>
      </c>
      <c r="M127" s="1261" t="s">
        <v>1124</v>
      </c>
      <c r="N127" s="1261"/>
      <c r="O127" s="49">
        <v>23</v>
      </c>
      <c r="P127" s="1163">
        <v>38</v>
      </c>
      <c r="Q127" s="1163">
        <v>23</v>
      </c>
      <c r="R127" s="49">
        <f>P127*0.00876</f>
        <v>0.33288000000000001</v>
      </c>
      <c r="S127" s="49">
        <f>Q127*0.00876</f>
        <v>0.20148000000000002</v>
      </c>
      <c r="U127" s="457"/>
      <c r="V127" s="457"/>
      <c r="W127" s="457"/>
      <c r="X127" s="664" t="s">
        <v>411</v>
      </c>
      <c r="Y127" s="457"/>
      <c r="Z127" s="457"/>
      <c r="AA127" s="49" t="s">
        <v>489</v>
      </c>
      <c r="AB127" s="1186"/>
      <c r="AC127" s="551" t="str">
        <f t="shared" si="37"/>
        <v/>
      </c>
      <c r="AD127" s="1057" t="str">
        <f>M434</f>
        <v/>
      </c>
      <c r="AE127" s="555" t="s">
        <v>746</v>
      </c>
    </row>
    <row r="128" spans="1:31" ht="11.25" customHeight="1">
      <c r="A128" s="611">
        <v>62</v>
      </c>
      <c r="B128" s="110"/>
      <c r="C128" s="111"/>
      <c r="D128" s="50" t="s">
        <v>491</v>
      </c>
      <c r="E128" s="49"/>
      <c r="F128" s="49"/>
      <c r="G128" s="49"/>
      <c r="H128" s="49"/>
      <c r="I128" s="49"/>
      <c r="J128" s="114" t="str">
        <f>IF(M1438="","TBD",IF(M1438=1,"YES",IF(M1438=3,"NA","")))</f>
        <v>TBD</v>
      </c>
      <c r="K128" s="343" t="str">
        <f>IF(M1438=2,"NO","")</f>
        <v/>
      </c>
      <c r="L128" s="676" t="s">
        <v>411</v>
      </c>
      <c r="M128" s="1261" t="s">
        <v>1125</v>
      </c>
      <c r="N128" s="1261"/>
      <c r="O128" s="49">
        <v>23</v>
      </c>
      <c r="P128" s="1163">
        <v>23</v>
      </c>
      <c r="Q128" s="1163">
        <v>8</v>
      </c>
      <c r="R128" s="49">
        <f t="shared" ref="R128:S137" si="38">P128*0.00876</f>
        <v>0.20148000000000002</v>
      </c>
      <c r="S128" s="49">
        <f t="shared" si="38"/>
        <v>7.0080000000000003E-2</v>
      </c>
      <c r="U128" s="457"/>
      <c r="V128" s="457"/>
      <c r="W128" s="457"/>
      <c r="X128" s="664" t="s">
        <v>411</v>
      </c>
      <c r="Y128" s="457"/>
      <c r="Z128" s="462"/>
      <c r="AA128" s="462"/>
      <c r="AB128" s="49"/>
      <c r="AC128" s="551" t="str">
        <f t="shared" si="37"/>
        <v/>
      </c>
      <c r="AD128" s="457"/>
    </row>
    <row r="129" spans="1:31" ht="11.25" customHeight="1">
      <c r="A129" s="611">
        <v>63</v>
      </c>
      <c r="B129" s="110" t="s">
        <v>1215</v>
      </c>
      <c r="C129" s="159"/>
      <c r="D129" s="50" t="s">
        <v>1142</v>
      </c>
      <c r="J129" s="114" t="str">
        <f>IF(U123="","TBD",IF(U123="Pass","YES",""))</f>
        <v>YES</v>
      </c>
      <c r="K129" s="343" t="str">
        <f>IF(U123="Fail","NO","")</f>
        <v/>
      </c>
      <c r="L129" s="676" t="s">
        <v>411</v>
      </c>
      <c r="M129" s="1261" t="s">
        <v>1126</v>
      </c>
      <c r="N129" s="1261"/>
      <c r="O129" s="49">
        <v>23</v>
      </c>
      <c r="P129" s="1163">
        <v>735</v>
      </c>
      <c r="Q129" s="1163">
        <v>450</v>
      </c>
      <c r="R129" s="49">
        <f t="shared" si="38"/>
        <v>6.4386000000000001</v>
      </c>
      <c r="S129" s="49">
        <f t="shared" si="38"/>
        <v>3.9420000000000002</v>
      </c>
      <c r="U129" s="457"/>
      <c r="V129" s="457"/>
      <c r="W129" s="457"/>
      <c r="X129" s="664" t="s">
        <v>411</v>
      </c>
      <c r="Y129" s="457"/>
      <c r="Z129" s="462"/>
      <c r="AA129" s="132" t="s">
        <v>456</v>
      </c>
      <c r="AB129" s="49"/>
      <c r="AC129" s="551" t="str">
        <f t="shared" si="37"/>
        <v/>
      </c>
      <c r="AD129" s="457"/>
    </row>
    <row r="130" spans="1:31" ht="11.25" customHeight="1" thickBot="1">
      <c r="A130" s="611">
        <v>64</v>
      </c>
      <c r="B130" s="98"/>
      <c r="C130" s="83"/>
      <c r="D130" s="83"/>
      <c r="E130" s="83"/>
      <c r="F130" s="83"/>
      <c r="G130" s="83"/>
      <c r="H130" s="83"/>
      <c r="I130" s="83"/>
      <c r="J130" s="398"/>
      <c r="K130" s="401"/>
      <c r="L130" s="676" t="s">
        <v>411</v>
      </c>
      <c r="M130" s="1261" t="s">
        <v>1127</v>
      </c>
      <c r="N130" s="1261"/>
      <c r="O130" s="49">
        <v>23</v>
      </c>
      <c r="P130" s="1163">
        <v>675</v>
      </c>
      <c r="Q130" s="1163">
        <v>525</v>
      </c>
      <c r="R130" s="49">
        <f t="shared" si="38"/>
        <v>5.9130000000000003</v>
      </c>
      <c r="S130" s="49">
        <f t="shared" si="38"/>
        <v>4.5990000000000002</v>
      </c>
      <c r="U130" s="457"/>
      <c r="V130" s="457"/>
      <c r="W130" s="457"/>
      <c r="X130" s="664" t="s">
        <v>411</v>
      </c>
      <c r="Y130" s="457"/>
      <c r="Z130" s="462"/>
      <c r="AA130" s="462" t="s">
        <v>457</v>
      </c>
      <c r="AB130" s="1186"/>
      <c r="AC130" s="551" t="str">
        <f t="shared" si="37"/>
        <v/>
      </c>
      <c r="AD130" s="1055" t="str">
        <f>P438</f>
        <v/>
      </c>
      <c r="AE130" s="555" t="s">
        <v>747</v>
      </c>
    </row>
    <row r="131" spans="1:31" ht="11.25" customHeight="1" thickTop="1">
      <c r="A131" s="611">
        <v>65</v>
      </c>
      <c r="B131" s="52" t="str">
        <f t="array" ref="B131:C132">$B$65:$C$66</f>
        <v>Date:</v>
      </c>
      <c r="C131" s="1133" t="str">
        <v/>
      </c>
      <c r="D131" s="116"/>
      <c r="E131" s="51"/>
      <c r="F131" s="51"/>
      <c r="G131" s="51"/>
      <c r="H131" s="51"/>
      <c r="I131" s="52" t="str">
        <f t="array" ref="I131:J132">$I$65:$J$66</f>
        <v>Inspector:</v>
      </c>
      <c r="J131" s="421" t="str">
        <v>Eugene Mah</v>
      </c>
      <c r="L131" s="676" t="s">
        <v>411</v>
      </c>
      <c r="M131" s="1261" t="s">
        <v>1128</v>
      </c>
      <c r="N131" s="1261"/>
      <c r="O131" s="49">
        <v>23</v>
      </c>
      <c r="P131" s="1163">
        <v>390</v>
      </c>
      <c r="Q131" s="1163">
        <v>218</v>
      </c>
      <c r="R131" s="49">
        <f t="shared" si="38"/>
        <v>3.4164000000000003</v>
      </c>
      <c r="S131" s="49">
        <f t="shared" si="38"/>
        <v>1.90968</v>
      </c>
      <c r="U131" s="457"/>
      <c r="V131" s="457"/>
      <c r="W131" s="457"/>
      <c r="X131" s="664" t="s">
        <v>411</v>
      </c>
      <c r="Y131" s="457"/>
      <c r="Z131" s="462"/>
      <c r="AA131" s="462" t="s">
        <v>458</v>
      </c>
      <c r="AB131" s="1186"/>
      <c r="AC131" s="551" t="str">
        <f t="shared" si="37"/>
        <v/>
      </c>
      <c r="AD131" s="1055" t="str">
        <f>Q438</f>
        <v/>
      </c>
      <c r="AE131" s="555" t="s">
        <v>748</v>
      </c>
    </row>
    <row r="132" spans="1:31" ht="11.25" customHeight="1">
      <c r="A132" s="611">
        <v>66</v>
      </c>
      <c r="B132" s="52" t="str">
        <v>Room Number:</v>
      </c>
      <c r="C132" s="373" t="str">
        <v/>
      </c>
      <c r="E132" s="51"/>
      <c r="F132" s="51"/>
      <c r="G132" s="51"/>
      <c r="H132" s="51"/>
      <c r="I132" s="52" t="str">
        <v>Survey ID:</v>
      </c>
      <c r="J132" s="1045" t="str">
        <v/>
      </c>
      <c r="L132" s="676" t="s">
        <v>411</v>
      </c>
      <c r="M132" s="1261" t="s">
        <v>1129</v>
      </c>
      <c r="N132" s="1261"/>
      <c r="O132" s="49">
        <v>13</v>
      </c>
      <c r="P132" s="1163">
        <v>203</v>
      </c>
      <c r="Q132" s="1163">
        <v>142</v>
      </c>
      <c r="R132" s="49">
        <f t="shared" si="38"/>
        <v>1.7782800000000001</v>
      </c>
      <c r="S132" s="49">
        <f t="shared" si="38"/>
        <v>1.2439200000000001</v>
      </c>
      <c r="X132" s="664" t="s">
        <v>411</v>
      </c>
      <c r="Y132" s="457"/>
      <c r="Z132" s="462"/>
      <c r="AA132" s="132" t="s">
        <v>459</v>
      </c>
      <c r="AB132" s="49"/>
      <c r="AC132" s="551" t="str">
        <f t="shared" si="37"/>
        <v/>
      </c>
      <c r="AD132" s="457"/>
    </row>
    <row r="133" spans="1:31" ht="11.25" customHeight="1">
      <c r="A133" s="611">
        <v>1</v>
      </c>
      <c r="K133" s="131" t="str">
        <f>$F$2</f>
        <v>Medical University of South Carolina</v>
      </c>
      <c r="L133" s="676" t="s">
        <v>411</v>
      </c>
      <c r="M133" s="1261" t="s">
        <v>1130</v>
      </c>
      <c r="N133" s="1261"/>
      <c r="O133" s="49">
        <v>15</v>
      </c>
      <c r="P133" s="1163">
        <v>218</v>
      </c>
      <c r="Q133" s="1163">
        <v>105</v>
      </c>
      <c r="R133" s="49">
        <f t="shared" si="38"/>
        <v>1.90968</v>
      </c>
      <c r="S133" s="49">
        <f t="shared" si="38"/>
        <v>0.91980000000000006</v>
      </c>
      <c r="X133" s="664" t="s">
        <v>411</v>
      </c>
      <c r="Y133" s="457"/>
      <c r="Z133" s="462"/>
      <c r="AA133" s="462" t="s">
        <v>457</v>
      </c>
      <c r="AB133" s="1186"/>
      <c r="AC133" s="551" t="str">
        <f t="shared" si="37"/>
        <v/>
      </c>
      <c r="AD133" s="1055" t="str">
        <f>P439</f>
        <v/>
      </c>
      <c r="AE133" s="555" t="s">
        <v>749</v>
      </c>
    </row>
    <row r="134" spans="1:31" ht="11.25" customHeight="1">
      <c r="A134" s="611">
        <v>2</v>
      </c>
      <c r="F134" s="82" t="str">
        <f>$F$49</f>
        <v>Inspection Results</v>
      </c>
      <c r="K134" s="132" t="str">
        <f>$F$5</f>
        <v>Radiographic System Compliance Inspection</v>
      </c>
      <c r="L134" s="676" t="s">
        <v>411</v>
      </c>
      <c r="M134" s="1261" t="s">
        <v>1131</v>
      </c>
      <c r="N134" s="1261"/>
      <c r="O134" s="49">
        <v>23</v>
      </c>
      <c r="P134" s="1163">
        <v>893</v>
      </c>
      <c r="Q134" s="1163">
        <v>893</v>
      </c>
      <c r="R134" s="49">
        <f t="shared" si="38"/>
        <v>7.8226800000000001</v>
      </c>
      <c r="S134" s="49">
        <f t="shared" si="38"/>
        <v>7.8226800000000001</v>
      </c>
      <c r="X134" s="664" t="s">
        <v>411</v>
      </c>
      <c r="Y134" s="457"/>
      <c r="Z134" s="462"/>
      <c r="AA134" s="462" t="s">
        <v>458</v>
      </c>
      <c r="AB134" s="1186"/>
      <c r="AC134" s="551" t="str">
        <f t="shared" si="37"/>
        <v/>
      </c>
      <c r="AD134" s="1055" t="str">
        <f>Q439</f>
        <v/>
      </c>
      <c r="AE134" s="555" t="s">
        <v>750</v>
      </c>
    </row>
    <row r="135" spans="1:31" ht="11.25" customHeight="1" thickBot="1">
      <c r="A135" s="611">
        <v>3</v>
      </c>
      <c r="L135" s="676" t="s">
        <v>411</v>
      </c>
      <c r="M135" s="1261" t="s">
        <v>1132</v>
      </c>
      <c r="N135" s="1261"/>
      <c r="O135" s="49">
        <v>23</v>
      </c>
      <c r="P135" s="1163">
        <v>612</v>
      </c>
      <c r="Q135" s="1163">
        <v>612</v>
      </c>
      <c r="R135" s="49">
        <f t="shared" si="38"/>
        <v>5.3611200000000006</v>
      </c>
      <c r="S135" s="49">
        <f t="shared" si="38"/>
        <v>5.3611200000000006</v>
      </c>
      <c r="X135" s="664" t="s">
        <v>411</v>
      </c>
      <c r="Y135" s="457"/>
      <c r="Z135" s="462"/>
      <c r="AA135" s="462"/>
      <c r="AB135" s="49"/>
      <c r="AC135" s="551" t="str">
        <f t="shared" si="37"/>
        <v/>
      </c>
      <c r="AD135" s="457"/>
    </row>
    <row r="136" spans="1:31" ht="11.25" customHeight="1" thickTop="1">
      <c r="A136" s="611">
        <v>4</v>
      </c>
      <c r="B136" s="79"/>
      <c r="C136" s="62"/>
      <c r="D136" s="62"/>
      <c r="E136" s="62"/>
      <c r="F136" s="62"/>
      <c r="G136" s="62"/>
      <c r="H136" s="62"/>
      <c r="I136" s="62"/>
      <c r="J136" s="62"/>
      <c r="K136" s="80"/>
      <c r="L136" s="676" t="s">
        <v>411</v>
      </c>
      <c r="M136" s="1261" t="s">
        <v>1133</v>
      </c>
      <c r="N136" s="1261"/>
      <c r="O136" s="49">
        <v>8</v>
      </c>
      <c r="P136" s="1163">
        <v>111</v>
      </c>
      <c r="Q136" s="1163">
        <v>111</v>
      </c>
      <c r="R136" s="49">
        <f t="shared" si="38"/>
        <v>0.97236</v>
      </c>
      <c r="S136" s="49">
        <f t="shared" si="38"/>
        <v>0.97236</v>
      </c>
      <c r="X136" s="664" t="s">
        <v>411</v>
      </c>
      <c r="Y136" s="457"/>
      <c r="Z136" s="462"/>
      <c r="AA136" s="462" t="s">
        <v>465</v>
      </c>
      <c r="AB136" s="1186"/>
      <c r="AC136" s="551" t="str">
        <f t="shared" si="37"/>
        <v/>
      </c>
      <c r="AD136" s="1057" t="str">
        <f>O601</f>
        <v/>
      </c>
      <c r="AE136" s="555" t="s">
        <v>751</v>
      </c>
    </row>
    <row r="137" spans="1:31" ht="11.25" customHeight="1">
      <c r="A137" s="611">
        <v>5</v>
      </c>
      <c r="B137" s="127"/>
      <c r="F137" s="99" t="s">
        <v>492</v>
      </c>
      <c r="J137" s="262" t="s">
        <v>416</v>
      </c>
      <c r="K137" s="395"/>
      <c r="L137" s="676" t="s">
        <v>411</v>
      </c>
      <c r="M137" s="1261" t="s">
        <v>1134</v>
      </c>
      <c r="N137" s="1261"/>
      <c r="O137" s="49">
        <v>15</v>
      </c>
      <c r="P137" s="1163">
        <v>45</v>
      </c>
      <c r="Q137" s="1163">
        <v>45</v>
      </c>
      <c r="R137" s="49">
        <f t="shared" si="38"/>
        <v>0.39419999999999999</v>
      </c>
      <c r="S137" s="49">
        <f t="shared" si="38"/>
        <v>0.39419999999999999</v>
      </c>
      <c r="X137" s="664" t="s">
        <v>411</v>
      </c>
      <c r="Y137" s="457"/>
      <c r="Z137" s="462"/>
      <c r="AA137" s="462" t="s">
        <v>467</v>
      </c>
      <c r="AB137" s="1186"/>
      <c r="AC137" s="551" t="str">
        <f t="shared" ref="AC137:AC200" si="39">IF(AND(OR(AB137="",AB137=0),OR(AD137="",AD137=0)),"",IF(AB137&lt;&gt;AD137,"Change",""))</f>
        <v/>
      </c>
      <c r="AD137" s="1058" t="str">
        <f>Q601</f>
        <v/>
      </c>
      <c r="AE137" s="555" t="s">
        <v>752</v>
      </c>
    </row>
    <row r="138" spans="1:31" ht="11.25" customHeight="1">
      <c r="A138" s="611">
        <v>6</v>
      </c>
      <c r="B138" s="127"/>
      <c r="D138" s="50" t="s">
        <v>493</v>
      </c>
      <c r="J138" s="114" t="str">
        <f>IF($J$679="NO","",$J$679)</f>
        <v>NA</v>
      </c>
      <c r="K138" s="343" t="str">
        <f>IF($J$679="NO","NO","")</f>
        <v/>
      </c>
      <c r="L138" s="676" t="s">
        <v>411</v>
      </c>
      <c r="M138" s="49"/>
      <c r="N138" s="49"/>
      <c r="O138" s="49"/>
      <c r="P138" s="49"/>
      <c r="Q138" s="49"/>
      <c r="R138" s="49"/>
      <c r="S138" s="49"/>
      <c r="X138" s="664" t="s">
        <v>411</v>
      </c>
      <c r="Y138" s="457"/>
      <c r="Z138" s="457"/>
      <c r="AA138" s="462" t="s">
        <v>468</v>
      </c>
      <c r="AB138" s="1186"/>
      <c r="AC138" s="551" t="str">
        <f t="shared" si="39"/>
        <v/>
      </c>
      <c r="AD138" s="1059" t="str">
        <f>S601</f>
        <v/>
      </c>
      <c r="AE138" s="555" t="s">
        <v>753</v>
      </c>
    </row>
    <row r="139" spans="1:31" ht="11.25" customHeight="1">
      <c r="A139" s="611">
        <v>7</v>
      </c>
      <c r="B139" s="110"/>
      <c r="C139" s="111"/>
      <c r="D139" s="50" t="s">
        <v>494</v>
      </c>
      <c r="E139" s="49"/>
      <c r="F139" s="49"/>
      <c r="G139" s="49"/>
      <c r="H139" s="49"/>
      <c r="I139" s="49"/>
      <c r="J139" s="114" t="str">
        <f>IF(OR(J1401="NO",J1412="NO"),"",IF(AND(J1401="NA",J1412="NA"),"NA",IF(OR(J1401="YES",J1412="YES"),"YES","TBD")))</f>
        <v>NA</v>
      </c>
      <c r="K139" s="343" t="str">
        <f>IF(OR(J1401="NO",J1412="NO"),"NO","")</f>
        <v/>
      </c>
      <c r="L139" s="676" t="s">
        <v>411</v>
      </c>
      <c r="M139" s="49"/>
      <c r="N139" s="49"/>
      <c r="O139" s="49"/>
      <c r="P139" s="49"/>
      <c r="Q139" s="49"/>
      <c r="R139" s="49"/>
      <c r="S139" s="49"/>
      <c r="X139" s="664" t="s">
        <v>411</v>
      </c>
      <c r="Z139" s="457"/>
      <c r="AA139" s="462" t="s">
        <v>469</v>
      </c>
      <c r="AB139" s="1189"/>
      <c r="AC139" s="551" t="str">
        <f t="shared" si="39"/>
        <v>Change</v>
      </c>
      <c r="AD139" s="1055">
        <f>IF(U602&lt;&gt;"",U602,U601)</f>
        <v>2</v>
      </c>
      <c r="AE139" s="555" t="str">
        <f>IF(U602&lt;&gt;"","U602","U601")</f>
        <v>U601</v>
      </c>
    </row>
    <row r="140" spans="1:31" ht="11.25" customHeight="1">
      <c r="A140" s="611">
        <v>8</v>
      </c>
      <c r="B140" s="127"/>
      <c r="K140" s="71"/>
      <c r="L140" s="676" t="s">
        <v>411</v>
      </c>
      <c r="M140" s="49"/>
      <c r="N140" s="49"/>
      <c r="O140" s="49"/>
      <c r="P140" s="49"/>
      <c r="Q140" s="49"/>
      <c r="R140" s="49"/>
      <c r="S140" s="49"/>
      <c r="X140" s="664" t="s">
        <v>411</v>
      </c>
      <c r="Z140" s="457"/>
      <c r="AB140" s="49"/>
      <c r="AC140" s="551" t="str">
        <f t="shared" si="39"/>
        <v/>
      </c>
      <c r="AD140" s="457"/>
    </row>
    <row r="141" spans="1:31" ht="11.25" customHeight="1">
      <c r="A141" s="611">
        <v>9</v>
      </c>
      <c r="B141" s="127"/>
      <c r="F141" s="99" t="s">
        <v>495</v>
      </c>
      <c r="J141" s="129"/>
      <c r="K141" s="399"/>
      <c r="L141" s="676" t="s">
        <v>411</v>
      </c>
      <c r="M141" s="49"/>
      <c r="N141" s="49"/>
      <c r="O141" s="49"/>
      <c r="P141" s="49"/>
      <c r="Q141" s="49"/>
      <c r="R141" s="49"/>
      <c r="S141" s="49"/>
      <c r="X141" s="664" t="s">
        <v>411</v>
      </c>
      <c r="Z141" s="457"/>
      <c r="AA141" s="462" t="s">
        <v>496</v>
      </c>
      <c r="AB141" s="1186"/>
      <c r="AC141" s="551" t="str">
        <f t="shared" si="39"/>
        <v>Change</v>
      </c>
      <c r="AD141" s="1051" t="str">
        <f>V448</f>
        <v>cm</v>
      </c>
      <c r="AE141" s="555" t="s">
        <v>754</v>
      </c>
    </row>
    <row r="142" spans="1:31" ht="11.25" customHeight="1">
      <c r="A142" s="611">
        <v>10</v>
      </c>
      <c r="B142" s="110" t="s">
        <v>1216</v>
      </c>
      <c r="C142" s="53"/>
      <c r="D142" s="50" t="s">
        <v>497</v>
      </c>
      <c r="F142" s="49"/>
      <c r="G142" s="49"/>
      <c r="H142" s="49"/>
      <c r="I142" s="49"/>
      <c r="J142" s="114" t="str">
        <f>IF(OR(J1026="TBD",J1026="NA"),"NA",IF(J1026&lt;&gt;"",J1026,""))</f>
        <v>NA</v>
      </c>
      <c r="K142" s="343" t="str">
        <f>IF(K1224&lt;&gt;"",K1224,K1026)</f>
        <v/>
      </c>
      <c r="L142" s="676" t="s">
        <v>411</v>
      </c>
      <c r="X142" s="664" t="s">
        <v>411</v>
      </c>
      <c r="Z142" s="457"/>
      <c r="AA142" s="462" t="s">
        <v>498</v>
      </c>
      <c r="AB142" s="1186"/>
      <c r="AC142" s="551" t="str">
        <f t="shared" si="39"/>
        <v/>
      </c>
      <c r="AD142" s="1058" t="str">
        <f>M616</f>
        <v/>
      </c>
      <c r="AE142" s="555" t="s">
        <v>755</v>
      </c>
    </row>
    <row r="143" spans="1:31" ht="11.25" customHeight="1">
      <c r="A143" s="611">
        <v>11</v>
      </c>
      <c r="B143" s="110" t="s">
        <v>1217</v>
      </c>
      <c r="C143" s="53"/>
      <c r="D143" s="50" t="s">
        <v>499</v>
      </c>
      <c r="F143" s="49"/>
      <c r="G143" s="49"/>
      <c r="H143" s="49" t="s">
        <v>500</v>
      </c>
      <c r="I143" s="48" t="str">
        <f>IF(AND($I$1027="",$I$1225=""),"",IF($I$1225&lt;&gt;"",$I$1225,$I$1027))</f>
        <v/>
      </c>
      <c r="J143" s="114" t="str">
        <f>IF(OR(J1027="TBD",J1027="NA"),"NA",IF(J1027&lt;&gt;"",J1027,""))</f>
        <v>NA</v>
      </c>
      <c r="K143" s="343" t="str">
        <f>IF(K1225&lt;&gt;"",K1225,K1027)</f>
        <v/>
      </c>
      <c r="L143" s="676" t="s">
        <v>411</v>
      </c>
      <c r="X143" s="664" t="s">
        <v>411</v>
      </c>
      <c r="Z143" s="457"/>
      <c r="AA143" s="462" t="s">
        <v>501</v>
      </c>
      <c r="AB143" s="1186"/>
      <c r="AC143" s="551" t="str">
        <f t="shared" si="39"/>
        <v/>
      </c>
      <c r="AD143" s="1058" t="str">
        <f>M617</f>
        <v/>
      </c>
      <c r="AE143" s="555" t="s">
        <v>756</v>
      </c>
    </row>
    <row r="144" spans="1:31" ht="11.25" customHeight="1">
      <c r="A144" s="611">
        <v>12</v>
      </c>
      <c r="B144" s="110" t="s">
        <v>1218</v>
      </c>
      <c r="C144" s="53"/>
      <c r="D144" s="50" t="s">
        <v>502</v>
      </c>
      <c r="F144" s="49"/>
      <c r="G144" s="49"/>
      <c r="H144" s="49"/>
      <c r="I144" s="49"/>
      <c r="J144" s="114" t="str">
        <f>IF(OR(J1028="TBD",J1028="NA"),"NA",IF(J1028&lt;&gt;"",J1028,""))</f>
        <v>NA</v>
      </c>
      <c r="K144" s="343" t="str">
        <f>IF(K1226&lt;&gt;"",K1226,K1028)</f>
        <v/>
      </c>
      <c r="L144" s="676" t="s">
        <v>411</v>
      </c>
      <c r="X144" s="664" t="s">
        <v>411</v>
      </c>
      <c r="Z144" s="457"/>
      <c r="AA144" s="457"/>
      <c r="AB144" s="49"/>
      <c r="AC144" s="551" t="str">
        <f t="shared" si="39"/>
        <v/>
      </c>
      <c r="AD144" s="457"/>
    </row>
    <row r="145" spans="1:31" ht="11.25" customHeight="1">
      <c r="A145" s="611">
        <v>13</v>
      </c>
      <c r="B145" s="110"/>
      <c r="C145" s="128"/>
      <c r="D145" s="50" t="s">
        <v>2</v>
      </c>
      <c r="J145" s="114" t="str">
        <f>IF(K1012="TBD","NA",IF(K1012="NO","",K1012))</f>
        <v>NA</v>
      </c>
      <c r="K145" s="343" t="str">
        <f>IF($K$1012="NO","NO","")</f>
        <v/>
      </c>
      <c r="L145" s="676" t="s">
        <v>411</v>
      </c>
      <c r="X145" s="664" t="s">
        <v>411</v>
      </c>
      <c r="Z145" s="457"/>
      <c r="AA145" s="132" t="s">
        <v>472</v>
      </c>
      <c r="AB145" s="49"/>
      <c r="AC145" s="551" t="str">
        <f t="shared" si="39"/>
        <v/>
      </c>
      <c r="AD145" s="457"/>
    </row>
    <row r="146" spans="1:31" ht="11.25" customHeight="1">
      <c r="A146" s="611">
        <v>14</v>
      </c>
      <c r="B146" s="127"/>
      <c r="K146" s="71"/>
      <c r="L146" s="676" t="s">
        <v>411</v>
      </c>
      <c r="X146" s="664" t="s">
        <v>411</v>
      </c>
      <c r="Z146" s="457"/>
      <c r="AA146" s="462" t="s">
        <v>473</v>
      </c>
      <c r="AB146" s="1186"/>
      <c r="AC146" s="551" t="str">
        <f t="shared" si="39"/>
        <v/>
      </c>
      <c r="AD146" s="1058" t="str">
        <f>N616</f>
        <v/>
      </c>
      <c r="AE146" s="555" t="s">
        <v>757</v>
      </c>
    </row>
    <row r="147" spans="1:31" ht="11.25" customHeight="1">
      <c r="A147" s="611">
        <v>15</v>
      </c>
      <c r="B147" s="127"/>
      <c r="F147" s="99" t="s">
        <v>503</v>
      </c>
      <c r="K147" s="71"/>
      <c r="L147" s="676" t="s">
        <v>411</v>
      </c>
      <c r="X147" s="664" t="s">
        <v>411</v>
      </c>
      <c r="Z147" s="457"/>
      <c r="AA147" s="462" t="s">
        <v>504</v>
      </c>
      <c r="AB147" s="1186"/>
      <c r="AC147" s="551" t="str">
        <f t="shared" si="39"/>
        <v/>
      </c>
      <c r="AD147" s="1058" t="str">
        <f>O616</f>
        <v/>
      </c>
      <c r="AE147" s="555" t="s">
        <v>758</v>
      </c>
    </row>
    <row r="148" spans="1:31" ht="11.25" customHeight="1">
      <c r="A148" s="611">
        <v>16</v>
      </c>
      <c r="B148" s="110"/>
      <c r="C148" s="128"/>
      <c r="D148" s="50"/>
      <c r="H148" s="54"/>
      <c r="I148" s="49"/>
      <c r="J148" s="114"/>
      <c r="K148" s="343"/>
      <c r="L148" s="676" t="s">
        <v>411</v>
      </c>
      <c r="X148" s="664" t="s">
        <v>411</v>
      </c>
      <c r="Z148" s="457"/>
      <c r="AA148" s="462" t="s">
        <v>476</v>
      </c>
      <c r="AB148" s="1186"/>
      <c r="AC148" s="551" t="str">
        <f t="shared" si="39"/>
        <v/>
      </c>
      <c r="AD148" s="1058" t="str">
        <f>N617</f>
        <v/>
      </c>
      <c r="AE148" s="555" t="s">
        <v>759</v>
      </c>
    </row>
    <row r="149" spans="1:31" ht="11.25" customHeight="1">
      <c r="A149" s="611">
        <v>17</v>
      </c>
      <c r="B149" s="110"/>
      <c r="C149" s="128"/>
      <c r="D149" s="50" t="s">
        <v>3</v>
      </c>
      <c r="E149" s="50"/>
      <c r="F149" s="50"/>
      <c r="G149" s="50"/>
      <c r="H149" s="50"/>
      <c r="I149" s="50"/>
      <c r="J149" s="114" t="str">
        <f>IF(J1081="TBD","NA",IF(J1081="NO","",J1081))</f>
        <v>NA</v>
      </c>
      <c r="K149" s="343" t="str">
        <f>IF(J149="","NO","")</f>
        <v/>
      </c>
      <c r="L149" s="676" t="s">
        <v>411</v>
      </c>
      <c r="X149" s="664" t="s">
        <v>411</v>
      </c>
      <c r="Z149" s="457"/>
      <c r="AA149" s="462" t="s">
        <v>505</v>
      </c>
      <c r="AB149" s="1186"/>
      <c r="AC149" s="551" t="str">
        <f t="shared" si="39"/>
        <v/>
      </c>
      <c r="AD149" s="1058" t="str">
        <f>O617</f>
        <v/>
      </c>
      <c r="AE149" s="555" t="s">
        <v>760</v>
      </c>
    </row>
    <row r="150" spans="1:31" ht="11.25" customHeight="1">
      <c r="A150" s="611">
        <v>18</v>
      </c>
      <c r="B150" s="110"/>
      <c r="C150" s="128"/>
      <c r="D150" s="50" t="s">
        <v>506</v>
      </c>
      <c r="E150" s="50"/>
      <c r="F150" s="50"/>
      <c r="G150" s="50"/>
      <c r="H150" s="50"/>
      <c r="I150" s="50"/>
      <c r="J150" s="1157" t="str">
        <f>IF(  AND(C1081="TBD",D1081="TBD",E1081="TBD",F1081="TBD",G1081="TBD",H1081="TBD"),"NA",IF(AND(OR(AND(C1081="TBD",D1081="TBD"),OR(C1081="YES",D1081="YES")),OR(AND(E1081="TBD",F1081="TBD"),OR(E1081="YES",F1081="YES")),OR(AND(G1081="TBD",H1081="TBD"),OR(G1081="YES",H1081="YES"))),"YES",""))</f>
        <v>NA</v>
      </c>
      <c r="K150" s="343" t="str">
        <f>IF(J150="","NO","")</f>
        <v/>
      </c>
      <c r="L150" s="676" t="s">
        <v>411</v>
      </c>
      <c r="X150" s="664" t="s">
        <v>411</v>
      </c>
      <c r="Z150" s="457"/>
      <c r="AA150" s="457"/>
      <c r="AB150" s="49"/>
      <c r="AC150" s="551" t="str">
        <f t="shared" si="39"/>
        <v/>
      </c>
      <c r="AD150" s="457"/>
    </row>
    <row r="151" spans="1:31" ht="11.25" customHeight="1">
      <c r="A151" s="611">
        <v>19</v>
      </c>
      <c r="B151" s="110"/>
      <c r="C151" s="128"/>
      <c r="D151" s="50" t="s">
        <v>4</v>
      </c>
      <c r="E151" s="50"/>
      <c r="F151" s="50"/>
      <c r="G151" s="50"/>
      <c r="H151" s="50"/>
      <c r="I151" s="50"/>
      <c r="J151" s="114" t="str">
        <f>IF(I1100="TBD","NA",IF(OR(I1100="NO",C1097="NO",E1097="NO",G1097="NO",I1097="NO",C1099="NO",E1099="NO",G1099="NO",I1099="NO"),"",I1100))</f>
        <v>NA</v>
      </c>
      <c r="K151" s="343" t="str">
        <f>IF(J151="","NO","")</f>
        <v/>
      </c>
      <c r="L151" s="676" t="s">
        <v>411</v>
      </c>
      <c r="X151" s="664" t="s">
        <v>411</v>
      </c>
      <c r="Y151" s="462"/>
      <c r="Z151" s="457"/>
      <c r="AA151" s="462" t="s">
        <v>481</v>
      </c>
      <c r="AB151" s="1186"/>
      <c r="AC151" s="551" t="str">
        <f t="shared" si="39"/>
        <v/>
      </c>
      <c r="AD151" s="1057" t="str">
        <f>M635</f>
        <v/>
      </c>
      <c r="AE151" s="555" t="s">
        <v>761</v>
      </c>
    </row>
    <row r="152" spans="1:31" ht="11.25" customHeight="1">
      <c r="A152" s="611">
        <v>20</v>
      </c>
      <c r="B152" s="127"/>
      <c r="K152" s="399"/>
      <c r="L152" s="676" t="s">
        <v>411</v>
      </c>
      <c r="X152" s="664" t="s">
        <v>411</v>
      </c>
      <c r="Y152" s="462"/>
      <c r="AA152" s="462" t="s">
        <v>483</v>
      </c>
      <c r="AB152" s="1186"/>
      <c r="AC152" s="551" t="str">
        <f t="shared" si="39"/>
        <v/>
      </c>
      <c r="AD152" s="1057" t="str">
        <f>M653</f>
        <v/>
      </c>
      <c r="AE152" s="555" t="s">
        <v>762</v>
      </c>
    </row>
    <row r="153" spans="1:31" ht="11.25" customHeight="1">
      <c r="A153" s="611">
        <v>21</v>
      </c>
      <c r="B153" s="127"/>
      <c r="F153" s="99" t="s">
        <v>507</v>
      </c>
      <c r="J153" s="114"/>
      <c r="K153" s="343"/>
      <c r="L153" s="676" t="s">
        <v>411</v>
      </c>
      <c r="X153" s="664" t="s">
        <v>411</v>
      </c>
      <c r="Y153" s="462"/>
      <c r="Z153" s="462"/>
      <c r="AA153" s="462"/>
      <c r="AB153" s="49"/>
      <c r="AC153" s="551" t="str">
        <f t="shared" si="39"/>
        <v/>
      </c>
      <c r="AD153" s="462"/>
    </row>
    <row r="154" spans="1:31" ht="11.25" customHeight="1">
      <c r="A154" s="611">
        <v>22</v>
      </c>
      <c r="B154" s="110"/>
      <c r="C154" s="128"/>
      <c r="D154" s="50"/>
      <c r="H154" s="54"/>
      <c r="I154" s="49"/>
      <c r="J154" s="114"/>
      <c r="K154" s="343"/>
      <c r="L154" s="676" t="s">
        <v>411</v>
      </c>
      <c r="X154" s="664" t="s">
        <v>411</v>
      </c>
      <c r="Y154" s="462"/>
      <c r="Z154" s="462"/>
      <c r="AA154" s="132" t="s">
        <v>508</v>
      </c>
      <c r="AB154" s="49"/>
      <c r="AC154" s="551" t="str">
        <f t="shared" si="39"/>
        <v/>
      </c>
      <c r="AD154" s="462"/>
    </row>
    <row r="155" spans="1:31" ht="11.25" customHeight="1">
      <c r="A155" s="611">
        <v>23</v>
      </c>
      <c r="B155" s="110"/>
      <c r="C155" s="128"/>
      <c r="D155" s="50" t="s">
        <v>3</v>
      </c>
      <c r="E155" s="50"/>
      <c r="F155" s="50"/>
      <c r="G155" s="50"/>
      <c r="H155" s="50"/>
      <c r="I155" s="50"/>
      <c r="J155" s="114" t="str">
        <f>IF(J1147="TBD","NA",IF(J1147="NO","",J1147))</f>
        <v>NA</v>
      </c>
      <c r="K155" s="343" t="str">
        <f>IF(J155="","NO","")</f>
        <v/>
      </c>
      <c r="L155" s="676" t="s">
        <v>411</v>
      </c>
      <c r="X155" s="664" t="s">
        <v>411</v>
      </c>
      <c r="Y155" s="462"/>
      <c r="Z155" s="462" t="s">
        <v>509</v>
      </c>
      <c r="AA155" s="462" t="s">
        <v>510</v>
      </c>
      <c r="AB155" s="1186"/>
      <c r="AC155" s="551" t="str">
        <f t="shared" si="39"/>
        <v>Change</v>
      </c>
      <c r="AD155" s="1051" t="str">
        <f>P667</f>
        <v>mA</v>
      </c>
      <c r="AE155" s="555" t="s">
        <v>763</v>
      </c>
    </row>
    <row r="156" spans="1:31" ht="11.25" customHeight="1">
      <c r="A156" s="611">
        <v>24</v>
      </c>
      <c r="B156" s="110"/>
      <c r="C156" s="128"/>
      <c r="D156" s="50" t="s">
        <v>506</v>
      </c>
      <c r="E156" s="50"/>
      <c r="F156" s="50"/>
      <c r="G156" s="50"/>
      <c r="H156" s="50"/>
      <c r="I156" s="50"/>
      <c r="J156" s="114" t="str">
        <f>IF(AND(C1147="TBD",D1147="TBD",E1147="TBD",F1147="TBD",G1147="TBD",H1147="TBD"),"NA",IF(AND(OR(AND(C1147="TBD",D1147="TBD"),OR(C1147="YES",D1147="YES")),OR(AND(E1147="TBD",F1147="TBD"),OR(E1147="YES",F1147="YES")),OR(AND(G1147="TBD",H1147="TBD"),OR(G1147="YES",H1147="YES"))),"YES",""))</f>
        <v>NA</v>
      </c>
      <c r="K156" s="343" t="str">
        <f>IF(J156="","NO","")</f>
        <v/>
      </c>
      <c r="L156" s="676" t="s">
        <v>411</v>
      </c>
      <c r="X156" s="664" t="s">
        <v>411</v>
      </c>
      <c r="Y156" s="462"/>
      <c r="Z156" s="462"/>
      <c r="AA156" s="462" t="s">
        <v>465</v>
      </c>
      <c r="AB156" s="1186"/>
      <c r="AC156" s="551" t="str">
        <f t="shared" si="39"/>
        <v/>
      </c>
      <c r="AD156" s="1053" t="str">
        <f>O669</f>
        <v/>
      </c>
      <c r="AE156" s="555" t="s">
        <v>764</v>
      </c>
    </row>
    <row r="157" spans="1:31" ht="11.25" customHeight="1">
      <c r="A157" s="611">
        <v>25</v>
      </c>
      <c r="B157" s="110"/>
      <c r="C157" s="128"/>
      <c r="D157" s="50" t="s">
        <v>4</v>
      </c>
      <c r="E157" s="50"/>
      <c r="F157" s="50"/>
      <c r="G157" s="50"/>
      <c r="H157" s="50"/>
      <c r="I157" s="50"/>
      <c r="J157" s="114" t="str">
        <f>IF(I1166="TBD","NA",IF(OR(I1166="NO",C1163="NO",E1163="NO",G1163="NO",I1163="NO",C1165="NO",E1165="NO",G1165="NO",I1165="NO"),"",I1166))</f>
        <v>NA</v>
      </c>
      <c r="K157" s="343" t="str">
        <f>IF(J157="","NO","")</f>
        <v/>
      </c>
      <c r="L157" s="676" t="s">
        <v>411</v>
      </c>
      <c r="X157" s="664" t="s">
        <v>411</v>
      </c>
      <c r="Y157" s="462"/>
      <c r="Z157" s="462"/>
      <c r="AA157" s="462" t="s">
        <v>467</v>
      </c>
      <c r="AB157" s="1186"/>
      <c r="AC157" s="551" t="str">
        <f t="shared" si="39"/>
        <v/>
      </c>
      <c r="AD157" s="1053" t="str">
        <f>P669</f>
        <v/>
      </c>
      <c r="AE157" s="555" t="s">
        <v>765</v>
      </c>
    </row>
    <row r="158" spans="1:31" ht="11.25" customHeight="1">
      <c r="A158" s="611">
        <v>26</v>
      </c>
      <c r="B158" s="127"/>
      <c r="K158" s="399"/>
      <c r="L158" s="676" t="s">
        <v>411</v>
      </c>
      <c r="X158" s="664" t="s">
        <v>411</v>
      </c>
      <c r="Y158" s="462"/>
      <c r="Z158" s="462"/>
      <c r="AA158" s="462" t="s">
        <v>468</v>
      </c>
      <c r="AB158" s="1188"/>
      <c r="AC158" s="551" t="str">
        <f t="shared" si="39"/>
        <v/>
      </c>
      <c r="AD158" s="1059" t="str">
        <f>Q669</f>
        <v/>
      </c>
      <c r="AE158" s="555" t="s">
        <v>766</v>
      </c>
    </row>
    <row r="159" spans="1:31" ht="11.25" customHeight="1">
      <c r="A159" s="611">
        <v>27</v>
      </c>
      <c r="B159" s="127"/>
      <c r="F159" s="99" t="s">
        <v>511</v>
      </c>
      <c r="J159" s="114"/>
      <c r="K159" s="343"/>
      <c r="L159" s="676" t="s">
        <v>411</v>
      </c>
      <c r="X159" s="664" t="s">
        <v>411</v>
      </c>
      <c r="Y159" s="462"/>
      <c r="Z159" s="462"/>
      <c r="AA159" s="462" t="s">
        <v>512</v>
      </c>
      <c r="AB159" s="1187"/>
      <c r="AC159" s="551" t="str">
        <f t="shared" si="39"/>
        <v/>
      </c>
      <c r="AD159" s="1056" t="str">
        <f>R669</f>
        <v/>
      </c>
      <c r="AE159" s="555" t="s">
        <v>767</v>
      </c>
    </row>
    <row r="160" spans="1:31" ht="11.25" customHeight="1">
      <c r="A160" s="611">
        <v>28</v>
      </c>
      <c r="B160" s="110"/>
      <c r="C160" s="111"/>
      <c r="D160" s="50" t="s">
        <v>513</v>
      </c>
      <c r="E160" s="49"/>
      <c r="F160" s="49"/>
      <c r="G160" s="49"/>
      <c r="H160" s="49"/>
      <c r="I160" s="49"/>
      <c r="J160" s="114" t="str">
        <f t="shared" ref="J160:J167" si="40">IF(M1441="","TBD",IF(M1441=1,"YES",IF(M1441=3,"NA","")))</f>
        <v>TBD</v>
      </c>
      <c r="K160" s="343" t="str">
        <f t="shared" ref="K160:K168" si="41">IF(M1441=2,"NO","")</f>
        <v/>
      </c>
      <c r="L160" s="676" t="s">
        <v>411</v>
      </c>
      <c r="X160" s="664" t="s">
        <v>411</v>
      </c>
      <c r="Y160" s="462"/>
      <c r="Z160" s="462"/>
      <c r="AA160" s="462" t="s">
        <v>514</v>
      </c>
      <c r="AB160" s="1187"/>
      <c r="AC160" s="551" t="str">
        <f t="shared" si="39"/>
        <v/>
      </c>
      <c r="AD160" s="1056" t="str">
        <f>S669</f>
        <v/>
      </c>
      <c r="AE160" s="555" t="s">
        <v>768</v>
      </c>
    </row>
    <row r="161" spans="1:32" ht="11.25" customHeight="1">
      <c r="A161" s="611">
        <v>29</v>
      </c>
      <c r="B161" s="110"/>
      <c r="C161" s="111"/>
      <c r="D161" s="50" t="s">
        <v>515</v>
      </c>
      <c r="E161" s="49"/>
      <c r="F161" s="49"/>
      <c r="G161" s="49"/>
      <c r="H161" s="49"/>
      <c r="I161" s="49"/>
      <c r="J161" s="114" t="str">
        <f t="shared" si="40"/>
        <v>TBD</v>
      </c>
      <c r="K161" s="343" t="str">
        <f t="shared" si="41"/>
        <v/>
      </c>
      <c r="L161" s="676" t="s">
        <v>411</v>
      </c>
      <c r="X161" s="664" t="s">
        <v>411</v>
      </c>
      <c r="Y161" s="462"/>
      <c r="Z161" s="462"/>
      <c r="AA161" s="462"/>
      <c r="AB161" s="49"/>
      <c r="AC161" s="551" t="str">
        <f t="shared" si="39"/>
        <v/>
      </c>
      <c r="AD161" s="462"/>
    </row>
    <row r="162" spans="1:32" ht="11.25" customHeight="1">
      <c r="A162" s="611">
        <v>30</v>
      </c>
      <c r="B162" s="110"/>
      <c r="C162" s="111"/>
      <c r="D162" s="50" t="s">
        <v>516</v>
      </c>
      <c r="E162" s="49"/>
      <c r="F162" s="49"/>
      <c r="G162" s="49"/>
      <c r="H162" s="49"/>
      <c r="I162" s="49"/>
      <c r="J162" s="114" t="str">
        <f t="shared" si="40"/>
        <v>TBD</v>
      </c>
      <c r="K162" s="343" t="str">
        <f t="shared" si="41"/>
        <v/>
      </c>
      <c r="L162" s="676" t="s">
        <v>411</v>
      </c>
      <c r="X162" s="664" t="s">
        <v>411</v>
      </c>
      <c r="Y162" s="462"/>
      <c r="Z162" s="462"/>
      <c r="AA162" s="462" t="s">
        <v>517</v>
      </c>
      <c r="AB162" s="1189"/>
      <c r="AC162" s="551" t="str">
        <f t="shared" si="39"/>
        <v/>
      </c>
      <c r="AD162" s="1055" t="str">
        <f>IF(U669="","",U669)</f>
        <v/>
      </c>
      <c r="AE162" s="555" t="s">
        <v>769</v>
      </c>
    </row>
    <row r="163" spans="1:32" ht="11.25" customHeight="1">
      <c r="A163" s="611">
        <v>31</v>
      </c>
      <c r="B163" s="110"/>
      <c r="C163" s="111"/>
      <c r="D163" s="50" t="s">
        <v>518</v>
      </c>
      <c r="E163" s="50"/>
      <c r="F163" s="50"/>
      <c r="G163" s="50"/>
      <c r="H163" s="50"/>
      <c r="I163" s="50"/>
      <c r="J163" s="114" t="str">
        <f t="shared" si="40"/>
        <v>TBD</v>
      </c>
      <c r="K163" s="343" t="str">
        <f t="shared" si="41"/>
        <v/>
      </c>
      <c r="L163" s="676" t="s">
        <v>411</v>
      </c>
      <c r="X163" s="664" t="s">
        <v>411</v>
      </c>
      <c r="Y163" s="462"/>
      <c r="Z163" s="462"/>
      <c r="AA163" s="462" t="s">
        <v>519</v>
      </c>
      <c r="AB163" s="1189"/>
      <c r="AC163" s="551" t="str">
        <f t="shared" si="39"/>
        <v/>
      </c>
      <c r="AD163" s="1055" t="str">
        <f>IF(V669="","",V669)</f>
        <v/>
      </c>
      <c r="AE163" s="555" t="s">
        <v>770</v>
      </c>
    </row>
    <row r="164" spans="1:32" ht="11.25" customHeight="1">
      <c r="A164" s="611">
        <v>32</v>
      </c>
      <c r="B164" s="110"/>
      <c r="C164" s="111"/>
      <c r="D164" s="50" t="s">
        <v>520</v>
      </c>
      <c r="E164" s="50"/>
      <c r="F164" s="50"/>
      <c r="G164" s="50"/>
      <c r="H164" s="50"/>
      <c r="I164" s="50"/>
      <c r="J164" s="114" t="str">
        <f t="shared" si="40"/>
        <v>TBD</v>
      </c>
      <c r="K164" s="343" t="str">
        <f t="shared" si="41"/>
        <v/>
      </c>
      <c r="L164" s="676" t="s">
        <v>411</v>
      </c>
      <c r="X164" s="664" t="s">
        <v>411</v>
      </c>
      <c r="Y164" s="462"/>
      <c r="Z164" s="462"/>
      <c r="AA164" s="462"/>
      <c r="AB164" s="49"/>
      <c r="AC164" s="551" t="str">
        <f t="shared" si="39"/>
        <v/>
      </c>
      <c r="AD164" s="462"/>
    </row>
    <row r="165" spans="1:32" ht="11.25" customHeight="1">
      <c r="A165" s="611">
        <v>33</v>
      </c>
      <c r="B165" s="110"/>
      <c r="C165" s="111"/>
      <c r="D165" s="50" t="s">
        <v>521</v>
      </c>
      <c r="E165" s="50"/>
      <c r="F165" s="50"/>
      <c r="G165" s="50"/>
      <c r="H165" s="50"/>
      <c r="I165" s="50"/>
      <c r="J165" s="114" t="str">
        <f t="shared" si="40"/>
        <v>TBD</v>
      </c>
      <c r="K165" s="343" t="str">
        <f t="shared" si="41"/>
        <v/>
      </c>
      <c r="L165" s="676" t="s">
        <v>411</v>
      </c>
      <c r="X165" s="664" t="s">
        <v>411</v>
      </c>
      <c r="Y165" s="462"/>
      <c r="Z165" s="462" t="s">
        <v>522</v>
      </c>
      <c r="AA165" s="462" t="s">
        <v>510</v>
      </c>
      <c r="AB165" s="1186"/>
      <c r="AC165" s="551" t="str">
        <f t="shared" si="39"/>
        <v>Change</v>
      </c>
      <c r="AD165" s="1051" t="str">
        <f>P672</f>
        <v>mA</v>
      </c>
      <c r="AE165" s="555" t="s">
        <v>771</v>
      </c>
    </row>
    <row r="166" spans="1:32" ht="11.25" customHeight="1">
      <c r="A166" s="611">
        <v>34</v>
      </c>
      <c r="B166" s="110"/>
      <c r="C166" s="111"/>
      <c r="D166" s="50" t="s">
        <v>523</v>
      </c>
      <c r="E166" s="50"/>
      <c r="F166" s="50"/>
      <c r="G166" s="50"/>
      <c r="H166" s="50"/>
      <c r="I166" s="50"/>
      <c r="J166" s="114" t="str">
        <f t="shared" si="40"/>
        <v>TBD</v>
      </c>
      <c r="K166" s="343" t="str">
        <f t="shared" si="41"/>
        <v/>
      </c>
      <c r="L166" s="676" t="s">
        <v>411</v>
      </c>
      <c r="X166" s="664" t="s">
        <v>411</v>
      </c>
      <c r="Y166" s="462"/>
      <c r="Z166" s="462"/>
      <c r="AA166" s="462" t="s">
        <v>465</v>
      </c>
      <c r="AB166" s="1186"/>
      <c r="AC166" s="551" t="str">
        <f t="shared" si="39"/>
        <v/>
      </c>
      <c r="AD166" s="1053" t="str">
        <f>O674</f>
        <v/>
      </c>
      <c r="AE166" s="555" t="s">
        <v>772</v>
      </c>
    </row>
    <row r="167" spans="1:32" ht="11.25" customHeight="1">
      <c r="A167" s="611">
        <v>35</v>
      </c>
      <c r="B167" s="110"/>
      <c r="C167" s="111"/>
      <c r="D167" s="50" t="s">
        <v>524</v>
      </c>
      <c r="E167" s="50"/>
      <c r="F167" s="50"/>
      <c r="G167" s="50"/>
      <c r="H167" s="50"/>
      <c r="I167" s="50"/>
      <c r="J167" s="114" t="str">
        <f t="shared" si="40"/>
        <v>TBD</v>
      </c>
      <c r="K167" s="343" t="str">
        <f t="shared" si="41"/>
        <v/>
      </c>
      <c r="L167" s="676" t="s">
        <v>411</v>
      </c>
      <c r="R167" s="190" t="s">
        <v>646</v>
      </c>
      <c r="X167" s="664" t="s">
        <v>411</v>
      </c>
      <c r="Y167" s="462"/>
      <c r="Z167" s="462"/>
      <c r="AA167" s="462" t="s">
        <v>467</v>
      </c>
      <c r="AB167" s="1186"/>
      <c r="AC167" s="551" t="str">
        <f t="shared" si="39"/>
        <v/>
      </c>
      <c r="AD167" s="1053" t="str">
        <f>P674</f>
        <v/>
      </c>
      <c r="AE167" s="555" t="s">
        <v>773</v>
      </c>
    </row>
    <row r="168" spans="1:32" ht="11.25" customHeight="1" thickBot="1">
      <c r="A168" s="611">
        <v>36</v>
      </c>
      <c r="B168" s="110"/>
      <c r="C168" s="111"/>
      <c r="D168" s="50" t="s">
        <v>525</v>
      </c>
      <c r="E168" s="49"/>
      <c r="F168" s="49"/>
      <c r="G168" s="49"/>
      <c r="H168" s="49"/>
      <c r="I168" s="49"/>
      <c r="J168" s="114" t="str">
        <f>IF(M1449="","TBD",IF(M1449=1,"YES",IF(M1449=3,"NA","")))</f>
        <v>TBD</v>
      </c>
      <c r="K168" s="343" t="str">
        <f t="shared" si="41"/>
        <v/>
      </c>
      <c r="L168" s="676" t="s">
        <v>411</v>
      </c>
      <c r="N168" s="135" t="s">
        <v>281</v>
      </c>
      <c r="X168" s="664" t="s">
        <v>411</v>
      </c>
      <c r="Y168" s="462"/>
      <c r="Z168" s="462"/>
      <c r="AA168" s="462" t="s">
        <v>468</v>
      </c>
      <c r="AB168" s="1188"/>
      <c r="AC168" s="551" t="str">
        <f t="shared" si="39"/>
        <v/>
      </c>
      <c r="AD168" s="1059" t="str">
        <f>Q674</f>
        <v/>
      </c>
      <c r="AE168" s="555" t="s">
        <v>774</v>
      </c>
    </row>
    <row r="169" spans="1:32" ht="11.25" customHeight="1" thickTop="1">
      <c r="A169" s="611">
        <v>37</v>
      </c>
      <c r="B169" s="127"/>
      <c r="D169" s="326" t="str">
        <f>O1450</f>
        <v/>
      </c>
      <c r="J169" s="114" t="str">
        <f>IF(M52=2,"",IF(OR(M52="",M1450=""),"TBD",IF(AND(M52=1,M1450=1),"YES",IF(OR(M52=2,M1450=3),"NA",""))))</f>
        <v/>
      </c>
      <c r="K169" s="343" t="str">
        <f>IF(AND(M52=1,M1450=2),"NO","")</f>
        <v/>
      </c>
      <c r="L169" s="676" t="s">
        <v>411</v>
      </c>
      <c r="M169" s="79"/>
      <c r="N169" s="62"/>
      <c r="O169" s="62"/>
      <c r="P169" s="439"/>
      <c r="Q169" s="683" t="s">
        <v>360</v>
      </c>
      <c r="R169" s="62"/>
      <c r="S169" s="62"/>
      <c r="T169" s="62"/>
      <c r="U169" s="62"/>
      <c r="V169" s="62"/>
      <c r="W169" s="80"/>
      <c r="X169" s="664" t="s">
        <v>411</v>
      </c>
      <c r="Y169" s="500"/>
      <c r="Z169" s="462"/>
      <c r="AA169" s="462" t="s">
        <v>512</v>
      </c>
      <c r="AB169" s="1187"/>
      <c r="AC169" s="551" t="str">
        <f t="shared" si="39"/>
        <v/>
      </c>
      <c r="AD169" s="1056" t="str">
        <f>R674</f>
        <v/>
      </c>
      <c r="AE169" s="555" t="s">
        <v>775</v>
      </c>
    </row>
    <row r="170" spans="1:32" ht="11.25" customHeight="1">
      <c r="A170" s="611">
        <v>38</v>
      </c>
      <c r="B170" s="102" t="s">
        <v>552</v>
      </c>
      <c r="C170" s="613" t="str">
        <f>IF(O170="","",IF(LEN(O170)&lt;=135,O170,IF(LEN(O170)&lt;=260,LEFT(O170,SEARCH(" ",O170,125)),LEFT(O170,SEARCH(" ",O170,130)))))</f>
        <v/>
      </c>
      <c r="D170" s="378"/>
      <c r="E170" s="378"/>
      <c r="F170" s="378"/>
      <c r="G170" s="378"/>
      <c r="H170" s="378"/>
      <c r="I170" s="378"/>
      <c r="J170" s="378"/>
      <c r="K170" s="69"/>
      <c r="L170" s="676" t="s">
        <v>411</v>
      </c>
      <c r="M170" s="652"/>
      <c r="N170" s="54" t="s">
        <v>552</v>
      </c>
      <c r="O170" s="1084"/>
      <c r="P170" s="440"/>
      <c r="Q170" s="677" t="str">
        <f>IF(OR(AB501=0,AB501=""),"",AB501)</f>
        <v/>
      </c>
      <c r="R170" s="48"/>
      <c r="S170" s="48"/>
      <c r="T170" s="48"/>
      <c r="U170" s="48"/>
      <c r="V170" s="48"/>
      <c r="W170" s="69"/>
      <c r="X170" s="664" t="s">
        <v>411</v>
      </c>
      <c r="Y170" s="500"/>
      <c r="Z170" s="462"/>
      <c r="AA170" s="462" t="s">
        <v>514</v>
      </c>
      <c r="AB170" s="1187"/>
      <c r="AC170" s="551" t="str">
        <f t="shared" si="39"/>
        <v/>
      </c>
      <c r="AD170" s="1056" t="str">
        <f>S674</f>
        <v/>
      </c>
      <c r="AE170" s="555" t="s">
        <v>776</v>
      </c>
    </row>
    <row r="171" spans="1:32" ht="11.25" customHeight="1">
      <c r="A171" s="611">
        <v>39</v>
      </c>
      <c r="B171" s="85"/>
      <c r="C171" s="613" t="str">
        <f>IF(LEN(O170)&lt;=135,"",IF(LEN(O170)&lt;=260,RIGHT(O170,LEN(O170)-SEARCH(" ",O170,125)),MID(O170,SEARCH(" ",O170,130),IF(LEN(O170)&lt;=265,LEN(O170),SEARCH(" ",O170,255)-SEARCH(" ",O170,130)))))</f>
        <v/>
      </c>
      <c r="D171" s="378"/>
      <c r="E171" s="378"/>
      <c r="F171" s="378"/>
      <c r="G171" s="378"/>
      <c r="H171" s="378"/>
      <c r="I171" s="378"/>
      <c r="J171" s="378"/>
      <c r="K171" s="69"/>
      <c r="L171" s="676" t="s">
        <v>411</v>
      </c>
      <c r="M171" s="85"/>
      <c r="N171" s="609" t="s">
        <v>282</v>
      </c>
      <c r="O171" s="1085"/>
      <c r="P171" s="610">
        <f>LEN(O170)</f>
        <v>0</v>
      </c>
      <c r="Q171" s="679"/>
      <c r="R171" s="682">
        <f>LEN(Q170)</f>
        <v>0</v>
      </c>
      <c r="S171" s="680" t="s">
        <v>1219</v>
      </c>
      <c r="T171" s="59"/>
      <c r="U171" s="59"/>
      <c r="V171" s="59"/>
      <c r="W171" s="70"/>
      <c r="X171" s="664" t="s">
        <v>411</v>
      </c>
      <c r="Y171" s="500"/>
      <c r="Z171" s="462"/>
      <c r="AA171" s="462"/>
      <c r="AB171" s="49"/>
      <c r="AC171" s="551" t="str">
        <f t="shared" si="39"/>
        <v/>
      </c>
      <c r="AD171" s="462"/>
    </row>
    <row r="172" spans="1:32" ht="11.25" customHeight="1">
      <c r="A172" s="611">
        <v>40</v>
      </c>
      <c r="B172" s="85"/>
      <c r="C172" s="613" t="str">
        <f>IF(LEN(O170)&lt;=265,"",RIGHT(O170,LEN(O170)-SEARCH(" ",O170,255)))</f>
        <v/>
      </c>
      <c r="D172" s="378"/>
      <c r="E172" s="378"/>
      <c r="F172" s="378"/>
      <c r="G172" s="378"/>
      <c r="H172" s="378"/>
      <c r="I172" s="378"/>
      <c r="J172" s="378"/>
      <c r="K172" s="69"/>
      <c r="L172" s="676" t="s">
        <v>411</v>
      </c>
      <c r="M172" s="85"/>
      <c r="N172" s="54" t="s">
        <v>82</v>
      </c>
      <c r="O172" s="1084"/>
      <c r="P172" s="440"/>
      <c r="Q172" s="677" t="str">
        <f>IF(OR(AB503=0,AB503=""),"",AB503)</f>
        <v/>
      </c>
      <c r="R172" s="48"/>
      <c r="S172" s="48"/>
      <c r="T172" s="48"/>
      <c r="U172" s="48"/>
      <c r="V172" s="48"/>
      <c r="W172" s="69"/>
      <c r="X172" s="664" t="s">
        <v>411</v>
      </c>
      <c r="Y172" s="500"/>
      <c r="Z172" s="462"/>
      <c r="AA172" s="462" t="s">
        <v>526</v>
      </c>
      <c r="AB172" s="1189"/>
      <c r="AC172" s="551" t="str">
        <f t="shared" si="39"/>
        <v/>
      </c>
      <c r="AD172" s="1055">
        <f>U674</f>
        <v>0</v>
      </c>
      <c r="AE172" s="555" t="s">
        <v>777</v>
      </c>
    </row>
    <row r="173" spans="1:32" ht="11.25" customHeight="1">
      <c r="A173" s="611">
        <v>41</v>
      </c>
      <c r="B173" s="612"/>
      <c r="C173" s="613" t="str">
        <f>IF(O172="","",IF(LEN(O172)&lt;=135,O172,IF(LEN(O172)&lt;=260,LEFT(O172,SEARCH(" ",O172,125)),LEFT(O172,SEARCH(" ",O172,130)))))</f>
        <v/>
      </c>
      <c r="D173" s="378"/>
      <c r="E173" s="378"/>
      <c r="F173" s="378"/>
      <c r="G173" s="378"/>
      <c r="H173" s="378"/>
      <c r="I173" s="378"/>
      <c r="J173" s="378"/>
      <c r="K173" s="69"/>
      <c r="L173" s="676" t="s">
        <v>411</v>
      </c>
      <c r="M173" s="85"/>
      <c r="N173" s="609" t="s">
        <v>282</v>
      </c>
      <c r="O173" s="1085"/>
      <c r="P173" s="610">
        <f>LEN(O172)</f>
        <v>0</v>
      </c>
      <c r="Q173" s="679"/>
      <c r="R173" s="682">
        <f>LEN(Q172)</f>
        <v>0</v>
      </c>
      <c r="S173" s="680" t="s">
        <v>1220</v>
      </c>
      <c r="T173" s="48"/>
      <c r="U173" s="48"/>
      <c r="V173" s="48"/>
      <c r="W173" s="69"/>
      <c r="X173" s="664" t="s">
        <v>411</v>
      </c>
      <c r="Y173" s="500"/>
      <c r="Z173" s="462"/>
      <c r="AA173" s="462" t="s">
        <v>527</v>
      </c>
      <c r="AB173" s="1189"/>
      <c r="AC173" s="551" t="str">
        <f t="shared" si="39"/>
        <v/>
      </c>
      <c r="AD173" s="1055" t="str">
        <f>V674</f>
        <v/>
      </c>
      <c r="AE173" s="555" t="s">
        <v>778</v>
      </c>
      <c r="AF173" s="457"/>
    </row>
    <row r="174" spans="1:32" ht="11.25" customHeight="1">
      <c r="A174" s="611">
        <v>42</v>
      </c>
      <c r="B174" s="612"/>
      <c r="C174" s="613" t="str">
        <f>IF(LEN(O172)&lt;=135,"",IF(LEN(O172)&lt;=260,RIGHT(O172,LEN(O172)-SEARCH(" ",O172,125)),MID(O172,SEARCH(" ",O172,130),IF(LEN(O172)&lt;=265,LEN(O172),SEARCH(" ",O172,255)-SEARCH(" ",O172,130)))))</f>
        <v/>
      </c>
      <c r="D174" s="378"/>
      <c r="E174" s="378"/>
      <c r="F174" s="378"/>
      <c r="G174" s="378"/>
      <c r="H174" s="378"/>
      <c r="I174" s="378"/>
      <c r="J174" s="378"/>
      <c r="K174" s="69"/>
      <c r="L174" s="676" t="s">
        <v>411</v>
      </c>
      <c r="M174" s="160"/>
      <c r="N174" s="54" t="s">
        <v>82</v>
      </c>
      <c r="O174" s="1084"/>
      <c r="P174" s="440"/>
      <c r="Q174" s="677" t="str">
        <f>IF(OR(AB505=0,AB505=""),"",AB505)</f>
        <v/>
      </c>
      <c r="R174" s="59"/>
      <c r="S174" s="59"/>
      <c r="T174" s="59"/>
      <c r="U174" s="59"/>
      <c r="V174" s="59"/>
      <c r="W174" s="70"/>
      <c r="X174" s="664" t="s">
        <v>411</v>
      </c>
      <c r="Y174" s="500"/>
      <c r="Z174" s="462"/>
      <c r="AA174" s="462"/>
      <c r="AB174" s="49"/>
      <c r="AC174" s="551" t="str">
        <f t="shared" si="39"/>
        <v/>
      </c>
      <c r="AD174" s="462"/>
      <c r="AF174" s="457"/>
    </row>
    <row r="175" spans="1:32" ht="11.25" customHeight="1">
      <c r="A175" s="611">
        <v>43</v>
      </c>
      <c r="B175" s="612"/>
      <c r="C175" s="613" t="str">
        <f>IF(LEN(O172)&lt;=265,"",RIGHT(O172,LEN(O172)-SEARCH(" ",O172,255)))</f>
        <v/>
      </c>
      <c r="D175" s="378"/>
      <c r="E175" s="378"/>
      <c r="F175" s="378"/>
      <c r="G175" s="378"/>
      <c r="H175" s="378"/>
      <c r="I175" s="378"/>
      <c r="J175" s="378"/>
      <c r="K175" s="69"/>
      <c r="L175" s="676" t="s">
        <v>411</v>
      </c>
      <c r="M175" s="85"/>
      <c r="N175" s="609" t="s">
        <v>282</v>
      </c>
      <c r="O175" s="1085"/>
      <c r="P175" s="610">
        <f>LEN(O174)</f>
        <v>0</v>
      </c>
      <c r="Q175" s="679"/>
      <c r="R175" s="682">
        <f>LEN(Q174)</f>
        <v>0</v>
      </c>
      <c r="S175" s="680" t="s">
        <v>272</v>
      </c>
      <c r="T175" s="48"/>
      <c r="U175" s="48"/>
      <c r="V175" s="48"/>
      <c r="W175" s="69"/>
      <c r="X175" s="664" t="s">
        <v>411</v>
      </c>
      <c r="Y175" s="500"/>
      <c r="Z175" s="462"/>
      <c r="AA175" s="132" t="s">
        <v>528</v>
      </c>
      <c r="AB175" s="985"/>
      <c r="AC175" s="551" t="str">
        <f t="shared" si="39"/>
        <v>Change</v>
      </c>
      <c r="AD175" s="1033" t="str">
        <f>O687</f>
        <v>Piranha 1 CB2-17090320</v>
      </c>
      <c r="AE175" s="555" t="s">
        <v>779</v>
      </c>
      <c r="AF175" s="457"/>
    </row>
    <row r="176" spans="1:32" ht="11.25" customHeight="1">
      <c r="A176" s="611">
        <v>44</v>
      </c>
      <c r="B176" s="210"/>
      <c r="C176" s="613" t="str">
        <f>IF(O174="","",IF(LEN(O174)&lt;=135,O174,IF(LEN(O174)&lt;=260,LEFT(O174,SEARCH(" ",O174,125)),LEFT(O174,SEARCH(" ",O174,130)))))</f>
        <v/>
      </c>
      <c r="D176" s="378"/>
      <c r="E176" s="378"/>
      <c r="F176" s="378"/>
      <c r="G176" s="378"/>
      <c r="H176" s="378"/>
      <c r="I176" s="378"/>
      <c r="J176" s="378"/>
      <c r="K176" s="69"/>
      <c r="L176" s="676" t="s">
        <v>411</v>
      </c>
      <c r="M176" s="85"/>
      <c r="N176" s="54" t="s">
        <v>82</v>
      </c>
      <c r="O176" s="1084"/>
      <c r="P176" s="440"/>
      <c r="Q176" s="677" t="str">
        <f>IF(OR(AB507=0,AB507=""),"",AB507)</f>
        <v/>
      </c>
      <c r="R176" s="48"/>
      <c r="S176" s="48"/>
      <c r="T176" s="48"/>
      <c r="U176" s="48"/>
      <c r="V176" s="48"/>
      <c r="W176" s="69"/>
      <c r="X176" s="664" t="s">
        <v>411</v>
      </c>
      <c r="Y176" s="663"/>
      <c r="Z176" s="553"/>
      <c r="AA176" s="672" t="s">
        <v>1091</v>
      </c>
      <c r="AB176" s="49"/>
      <c r="AC176" s="551" t="str">
        <f t="shared" si="39"/>
        <v/>
      </c>
      <c r="AD176" s="462"/>
      <c r="AF176" s="457"/>
    </row>
    <row r="177" spans="1:32" ht="11.25" customHeight="1">
      <c r="A177" s="611">
        <v>45</v>
      </c>
      <c r="B177" s="210"/>
      <c r="C177" s="613" t="str">
        <f>IF(LEN(O174)&lt;=135,"",IF(LEN(O174)&lt;=260,RIGHT(O174,LEN(O174)-SEARCH(" ",O174,125)),MID(O174,SEARCH(" ",O174,130),IF(LEN(O174)&lt;=265,LEN(O174),SEARCH(" ",O174,255)-SEARCH(" ",O174,130)))))</f>
        <v/>
      </c>
      <c r="D177" s="378"/>
      <c r="E177" s="378"/>
      <c r="F177" s="378"/>
      <c r="G177" s="378"/>
      <c r="H177" s="378"/>
      <c r="I177" s="378"/>
      <c r="J177" s="378"/>
      <c r="K177" s="69"/>
      <c r="L177" s="676" t="s">
        <v>411</v>
      </c>
      <c r="M177" s="160"/>
      <c r="N177" s="609" t="s">
        <v>282</v>
      </c>
      <c r="O177" s="1085"/>
      <c r="P177" s="610">
        <f>LEN(O176)</f>
        <v>0</v>
      </c>
      <c r="Q177" s="679"/>
      <c r="R177" s="682">
        <f>LEN(Q176)</f>
        <v>0</v>
      </c>
      <c r="S177" s="680" t="s">
        <v>273</v>
      </c>
      <c r="T177" s="59"/>
      <c r="U177" s="59"/>
      <c r="V177" s="59"/>
      <c r="W177" s="70"/>
      <c r="X177" s="664" t="s">
        <v>411</v>
      </c>
      <c r="Y177" s="500"/>
      <c r="Z177" s="462"/>
      <c r="AA177" s="462"/>
      <c r="AB177" s="49"/>
      <c r="AC177" s="551" t="str">
        <f t="shared" si="39"/>
        <v/>
      </c>
      <c r="AD177" s="462"/>
      <c r="AF177" s="457"/>
    </row>
    <row r="178" spans="1:32" ht="11.25" customHeight="1">
      <c r="A178" s="611">
        <v>46</v>
      </c>
      <c r="B178" s="210"/>
      <c r="C178" s="613" t="str">
        <f>IF(LEN(O174)&lt;=265,"",RIGHT(O174,LEN(O174)-SEARCH(" ",O174,255)))</f>
        <v/>
      </c>
      <c r="D178" s="378"/>
      <c r="E178" s="378"/>
      <c r="F178" s="378"/>
      <c r="G178" s="378"/>
      <c r="H178" s="378"/>
      <c r="I178" s="378"/>
      <c r="J178" s="378"/>
      <c r="K178" s="69"/>
      <c r="L178" s="676" t="s">
        <v>411</v>
      </c>
      <c r="M178" s="85"/>
      <c r="N178" s="54" t="s">
        <v>82</v>
      </c>
      <c r="O178" s="1084"/>
      <c r="P178" s="440"/>
      <c r="Q178" s="677" t="str">
        <f>IF(OR(AB509=0,AB509=""),"",AB509)</f>
        <v/>
      </c>
      <c r="R178" s="48"/>
      <c r="S178" s="48"/>
      <c r="T178" s="48"/>
      <c r="U178" s="48"/>
      <c r="V178" s="48"/>
      <c r="W178" s="69"/>
      <c r="X178" s="664" t="s">
        <v>411</v>
      </c>
      <c r="Y178" s="500"/>
      <c r="Z178" s="462"/>
      <c r="AA178" s="132" t="s">
        <v>529</v>
      </c>
      <c r="AB178" s="1186"/>
      <c r="AC178" s="551" t="str">
        <f t="shared" si="39"/>
        <v>Change</v>
      </c>
      <c r="AD178" s="1051" t="str">
        <f>N693</f>
        <v>cm</v>
      </c>
      <c r="AE178" s="555" t="s">
        <v>780</v>
      </c>
      <c r="AF178" s="457"/>
    </row>
    <row r="179" spans="1:32" ht="11.25" customHeight="1">
      <c r="A179" s="611">
        <v>47</v>
      </c>
      <c r="B179" s="102"/>
      <c r="C179" s="613" t="str">
        <f>IF(O176="","",IF(LEN(O176)&lt;=135,O176,IF(LEN(O176)&lt;=260,LEFT(O176,SEARCH(" ",O176,125)),LEFT(O176,SEARCH(" ",O176,130)))))</f>
        <v/>
      </c>
      <c r="D179" s="378"/>
      <c r="E179" s="378"/>
      <c r="F179" s="378"/>
      <c r="G179" s="378"/>
      <c r="H179" s="378"/>
      <c r="I179" s="378"/>
      <c r="J179" s="378"/>
      <c r="K179" s="69"/>
      <c r="L179" s="676" t="s">
        <v>411</v>
      </c>
      <c r="M179" s="85"/>
      <c r="N179" s="609" t="s">
        <v>282</v>
      </c>
      <c r="O179" s="1085"/>
      <c r="P179" s="610">
        <f>LEN(O178)</f>
        <v>0</v>
      </c>
      <c r="Q179" s="679"/>
      <c r="R179" s="682">
        <f>LEN(Q178)</f>
        <v>0</v>
      </c>
      <c r="S179" s="680" t="s">
        <v>274</v>
      </c>
      <c r="T179" s="48"/>
      <c r="U179" s="48"/>
      <c r="V179" s="48"/>
      <c r="W179" s="69"/>
      <c r="X179" s="664" t="s">
        <v>411</v>
      </c>
      <c r="Y179" s="500"/>
      <c r="Z179" s="462"/>
      <c r="AA179" s="132" t="s">
        <v>530</v>
      </c>
      <c r="AB179" s="1186"/>
      <c r="AC179" s="551" t="str">
        <f t="shared" si="39"/>
        <v>Change</v>
      </c>
      <c r="AD179" s="1051" t="str">
        <f>N711</f>
        <v>cm</v>
      </c>
      <c r="AE179" s="555" t="s">
        <v>781</v>
      </c>
      <c r="AF179" s="457"/>
    </row>
    <row r="180" spans="1:32" ht="11.25" customHeight="1">
      <c r="A180" s="611">
        <v>48</v>
      </c>
      <c r="B180" s="85"/>
      <c r="C180" s="613" t="str">
        <f>IF(LEN(O176)&lt;=135,"",IF(LEN(O176)&lt;=260,RIGHT(O176,LEN(O176)-SEARCH(" ",O176,125)),MID(O176,SEARCH(" ",O176,130),IF(LEN(O176)&lt;=265,LEN(O176),SEARCH(" ",O176,255)-SEARCH(" ",O176,130)))))</f>
        <v/>
      </c>
      <c r="D180" s="378"/>
      <c r="E180" s="378"/>
      <c r="F180" s="378"/>
      <c r="G180" s="378"/>
      <c r="H180" s="378"/>
      <c r="I180" s="378"/>
      <c r="J180" s="378"/>
      <c r="K180" s="69"/>
      <c r="L180" s="676" t="s">
        <v>411</v>
      </c>
      <c r="M180" s="160"/>
      <c r="N180" s="54" t="s">
        <v>82</v>
      </c>
      <c r="O180" s="1084"/>
      <c r="P180" s="440"/>
      <c r="Q180" s="677" t="str">
        <f>IF(OR(AB511=0,AB511=""),"",AB511)</f>
        <v/>
      </c>
      <c r="R180" s="59"/>
      <c r="S180" s="59"/>
      <c r="T180" s="59"/>
      <c r="U180" s="59"/>
      <c r="V180" s="59"/>
      <c r="W180" s="70"/>
      <c r="X180" s="664" t="s">
        <v>411</v>
      </c>
      <c r="Y180" s="500"/>
      <c r="Z180" s="457"/>
      <c r="AA180" s="457"/>
      <c r="AB180" s="49"/>
      <c r="AC180" s="551" t="str">
        <f t="shared" si="39"/>
        <v/>
      </c>
      <c r="AD180" s="457"/>
      <c r="AE180" s="457"/>
      <c r="AF180" s="457"/>
    </row>
    <row r="181" spans="1:32" ht="11.25" customHeight="1">
      <c r="A181" s="611">
        <v>49</v>
      </c>
      <c r="B181" s="85"/>
      <c r="C181" s="613" t="str">
        <f>IF(LEN(O176)&lt;=265,"",RIGHT(O176,LEN(O176)-SEARCH(" ",O176,255)))</f>
        <v/>
      </c>
      <c r="D181" s="378"/>
      <c r="E181" s="378"/>
      <c r="F181" s="378"/>
      <c r="G181" s="378"/>
      <c r="H181" s="378"/>
      <c r="I181" s="378"/>
      <c r="J181" s="378"/>
      <c r="K181" s="69"/>
      <c r="L181" s="676" t="s">
        <v>411</v>
      </c>
      <c r="M181" s="85"/>
      <c r="N181" s="609" t="s">
        <v>282</v>
      </c>
      <c r="O181" s="1085"/>
      <c r="P181" s="610">
        <f>LEN(O180)</f>
        <v>0</v>
      </c>
      <c r="Q181" s="679"/>
      <c r="R181" s="682">
        <f>LEN(Q180)</f>
        <v>0</v>
      </c>
      <c r="S181" s="680" t="s">
        <v>275</v>
      </c>
      <c r="T181" s="48"/>
      <c r="U181" s="48"/>
      <c r="V181" s="48"/>
      <c r="W181" s="69"/>
      <c r="X181" s="664" t="s">
        <v>411</v>
      </c>
      <c r="Y181" s="500"/>
      <c r="Z181" s="457"/>
      <c r="AA181" s="132" t="s">
        <v>531</v>
      </c>
      <c r="AB181" s="49"/>
      <c r="AC181" s="551" t="str">
        <f t="shared" si="39"/>
        <v/>
      </c>
      <c r="AD181" s="457"/>
      <c r="AE181" s="457"/>
      <c r="AF181" s="457"/>
    </row>
    <row r="182" spans="1:32" ht="11.25" customHeight="1">
      <c r="A182" s="611">
        <v>50</v>
      </c>
      <c r="B182" s="102"/>
      <c r="C182" s="613" t="str">
        <f>IF(O178="","",IF(LEN(O178)&lt;=135,O178,IF(LEN(O178)&lt;=260,LEFT(O178,SEARCH(" ",O178,125)),LEFT(O178,SEARCH(" ",O178,130)))))</f>
        <v/>
      </c>
      <c r="D182" s="378"/>
      <c r="E182" s="378"/>
      <c r="F182" s="378"/>
      <c r="G182" s="378"/>
      <c r="H182" s="378"/>
      <c r="I182" s="378"/>
      <c r="J182" s="378"/>
      <c r="K182" s="69"/>
      <c r="L182" s="676" t="s">
        <v>411</v>
      </c>
      <c r="M182" s="85"/>
      <c r="N182" s="54" t="s">
        <v>82</v>
      </c>
      <c r="O182" s="1084"/>
      <c r="P182" s="440"/>
      <c r="Q182" s="677" t="str">
        <f>IF(OR(AB513=0,AB513=""),"",AB513)</f>
        <v/>
      </c>
      <c r="R182" s="48"/>
      <c r="S182" s="48"/>
      <c r="T182" s="48"/>
      <c r="U182" s="48"/>
      <c r="V182" s="48"/>
      <c r="W182" s="69"/>
      <c r="X182" s="664" t="s">
        <v>411</v>
      </c>
      <c r="Y182" s="500"/>
      <c r="Z182" s="457"/>
      <c r="AA182" s="462" t="s">
        <v>532</v>
      </c>
      <c r="AB182" s="1186"/>
      <c r="AC182" s="551" t="str">
        <f t="shared" si="39"/>
        <v>Change</v>
      </c>
      <c r="AD182" s="1051" t="str">
        <f>O805</f>
        <v>HF</v>
      </c>
      <c r="AE182" s="555" t="s">
        <v>782</v>
      </c>
      <c r="AF182" s="457"/>
    </row>
    <row r="183" spans="1:32" ht="11.25" customHeight="1">
      <c r="A183" s="611">
        <v>51</v>
      </c>
      <c r="B183" s="85"/>
      <c r="C183" s="613" t="str">
        <f>IF(LEN(O178)&lt;=135,"",IF(LEN(O178)&lt;=260,RIGHT(O178,LEN(O178)-SEARCH(" ",O178,125)),MID(O178,SEARCH(" ",O178,130),IF(LEN(O178)&lt;=265,LEN(O178),SEARCH(" ",O178,255)-SEARCH(" ",O178,130)))))</f>
        <v/>
      </c>
      <c r="D183" s="378"/>
      <c r="E183" s="378"/>
      <c r="F183" s="378"/>
      <c r="G183" s="378"/>
      <c r="H183" s="378"/>
      <c r="I183" s="378"/>
      <c r="J183" s="378"/>
      <c r="K183" s="69"/>
      <c r="L183" s="676" t="s">
        <v>411</v>
      </c>
      <c r="M183" s="160"/>
      <c r="N183" s="609" t="s">
        <v>282</v>
      </c>
      <c r="O183" s="1085"/>
      <c r="P183" s="610">
        <f>LEN(O182)</f>
        <v>0</v>
      </c>
      <c r="Q183" s="679"/>
      <c r="R183" s="682">
        <f>LEN(Q182)</f>
        <v>0</v>
      </c>
      <c r="S183" s="680" t="s">
        <v>34</v>
      </c>
      <c r="T183" s="59"/>
      <c r="U183" s="59"/>
      <c r="V183" s="59"/>
      <c r="W183" s="70"/>
      <c r="X183" s="664" t="s">
        <v>411</v>
      </c>
      <c r="Y183" s="500"/>
      <c r="Z183" s="457"/>
      <c r="AA183" s="462" t="s">
        <v>533</v>
      </c>
      <c r="AB183" s="1186"/>
      <c r="AC183" s="551" t="str">
        <f t="shared" si="39"/>
        <v/>
      </c>
      <c r="AD183" s="1053" t="str">
        <f>M806</f>
        <v/>
      </c>
      <c r="AE183" s="457" t="s">
        <v>783</v>
      </c>
      <c r="AF183" s="457"/>
    </row>
    <row r="184" spans="1:32" ht="11.25" customHeight="1">
      <c r="A184" s="611">
        <v>52</v>
      </c>
      <c r="B184" s="85"/>
      <c r="C184" s="613" t="str">
        <f>IF(LEN(O178)&lt;=265,"",RIGHT(O178,LEN(O178)-SEARCH(" ",O178,255)))</f>
        <v/>
      </c>
      <c r="D184" s="378"/>
      <c r="E184" s="378"/>
      <c r="F184" s="378"/>
      <c r="G184" s="378"/>
      <c r="H184" s="378"/>
      <c r="I184" s="378"/>
      <c r="J184" s="378"/>
      <c r="K184" s="69"/>
      <c r="L184" s="676" t="s">
        <v>411</v>
      </c>
      <c r="M184" s="85"/>
      <c r="N184" s="54" t="s">
        <v>82</v>
      </c>
      <c r="O184" s="1084"/>
      <c r="P184" s="440"/>
      <c r="Q184" s="677" t="str">
        <f>IF(OR(AB515=0,AB515=""),"",AB515)</f>
        <v/>
      </c>
      <c r="R184" s="48"/>
      <c r="S184" s="48"/>
      <c r="T184" s="48"/>
      <c r="U184" s="48"/>
      <c r="V184" s="48"/>
      <c r="W184" s="69"/>
      <c r="X184" s="664" t="s">
        <v>411</v>
      </c>
      <c r="Y184" s="500"/>
      <c r="Z184" s="457"/>
      <c r="AA184" s="457"/>
      <c r="AB184" s="49"/>
      <c r="AC184" s="551" t="str">
        <f t="shared" si="39"/>
        <v/>
      </c>
      <c r="AD184" s="457"/>
      <c r="AE184" s="457"/>
      <c r="AF184" s="457"/>
    </row>
    <row r="185" spans="1:32" ht="11.25" customHeight="1">
      <c r="A185" s="611">
        <v>53</v>
      </c>
      <c r="B185" s="102"/>
      <c r="C185" s="613" t="str">
        <f>IF(O180="","",IF(LEN(O180)&lt;=135,O180,IF(LEN(O180)&lt;=260,LEFT(O180,SEARCH(" ",O180,125)),LEFT(O180,SEARCH(" ",O180,130)))))</f>
        <v/>
      </c>
      <c r="D185" s="378"/>
      <c r="E185" s="378"/>
      <c r="F185" s="378"/>
      <c r="G185" s="378"/>
      <c r="H185" s="378"/>
      <c r="I185" s="378"/>
      <c r="J185" s="378"/>
      <c r="K185" s="69"/>
      <c r="L185" s="676" t="s">
        <v>411</v>
      </c>
      <c r="M185" s="85"/>
      <c r="N185" s="609" t="s">
        <v>282</v>
      </c>
      <c r="O185" s="1085"/>
      <c r="P185" s="610">
        <f>LEN(O184)</f>
        <v>0</v>
      </c>
      <c r="Q185" s="679"/>
      <c r="R185" s="682">
        <f>LEN(Q184)</f>
        <v>0</v>
      </c>
      <c r="S185" s="681"/>
      <c r="T185" s="48"/>
      <c r="U185" s="48"/>
      <c r="V185" s="48"/>
      <c r="W185" s="69"/>
      <c r="X185" s="664" t="s">
        <v>411</v>
      </c>
      <c r="Y185" s="500"/>
      <c r="Z185" s="457"/>
      <c r="AA185" s="132" t="s">
        <v>534</v>
      </c>
      <c r="AB185" s="1190"/>
      <c r="AC185" s="551" t="str">
        <f t="shared" si="39"/>
        <v/>
      </c>
      <c r="AD185" s="1053" t="str">
        <f>IF(O1027="","",O1027)</f>
        <v/>
      </c>
      <c r="AE185" s="457" t="s">
        <v>784</v>
      </c>
      <c r="AF185" s="457"/>
    </row>
    <row r="186" spans="1:32" ht="11.25" customHeight="1">
      <c r="A186" s="611">
        <v>54</v>
      </c>
      <c r="B186" s="85"/>
      <c r="C186" s="613" t="str">
        <f>IF(LEN(O180)&lt;=135,"",IF(LEN(O180)&lt;=260,RIGHT(O180,LEN(O180)-SEARCH(" ",O180,125)),MID(O180,SEARCH(" ",O180,130),IF(LEN(O180)&lt;=265,LEN(O180),SEARCH(" ",O180,255)-SEARCH(" ",O180,130)))))</f>
        <v/>
      </c>
      <c r="D186" s="378"/>
      <c r="E186" s="378"/>
      <c r="F186" s="378"/>
      <c r="G186" s="378"/>
      <c r="H186" s="378"/>
      <c r="I186" s="378"/>
      <c r="J186" s="378"/>
      <c r="K186" s="69"/>
      <c r="L186" s="676" t="s">
        <v>411</v>
      </c>
      <c r="M186" s="160"/>
      <c r="N186" s="54" t="s">
        <v>82</v>
      </c>
      <c r="O186" s="1084"/>
      <c r="P186" s="440"/>
      <c r="Q186" s="677" t="str">
        <f>IF(OR(AB517=0,AB517=""),"",AB517)</f>
        <v/>
      </c>
      <c r="R186" s="59"/>
      <c r="S186" s="59"/>
      <c r="T186" s="59"/>
      <c r="U186" s="59"/>
      <c r="V186" s="59"/>
      <c r="W186" s="70"/>
      <c r="X186" s="664" t="s">
        <v>411</v>
      </c>
      <c r="Y186" s="500"/>
      <c r="AB186" s="49"/>
      <c r="AC186" s="551" t="str">
        <f t="shared" si="39"/>
        <v/>
      </c>
      <c r="AD186" s="457"/>
      <c r="AE186"/>
      <c r="AF186" s="457"/>
    </row>
    <row r="187" spans="1:32" ht="11.25" customHeight="1">
      <c r="A187" s="611">
        <v>55</v>
      </c>
      <c r="B187" s="85"/>
      <c r="C187" s="613" t="str">
        <f>IF(LEN(O180)&lt;=265,"",RIGHT(O180,LEN(O180)-SEARCH(" ",O180,255)))</f>
        <v/>
      </c>
      <c r="D187" s="378"/>
      <c r="E187" s="378"/>
      <c r="F187" s="378"/>
      <c r="G187" s="378"/>
      <c r="H187" s="378"/>
      <c r="I187" s="378"/>
      <c r="J187" s="378"/>
      <c r="K187" s="69"/>
      <c r="L187" s="676" t="s">
        <v>411</v>
      </c>
      <c r="M187" s="85"/>
      <c r="N187" s="609" t="s">
        <v>282</v>
      </c>
      <c r="O187" s="1085"/>
      <c r="P187" s="610">
        <f>LEN(O186)</f>
        <v>0</v>
      </c>
      <c r="Q187" s="679"/>
      <c r="R187" s="682">
        <f>LEN(Q186)</f>
        <v>0</v>
      </c>
      <c r="S187" s="681"/>
      <c r="T187" s="48"/>
      <c r="U187" s="48"/>
      <c r="V187" s="48"/>
      <c r="W187" s="69"/>
      <c r="X187" s="664" t="s">
        <v>411</v>
      </c>
      <c r="Y187" s="500"/>
      <c r="Z187" s="457"/>
      <c r="AA187" s="132" t="s">
        <v>535</v>
      </c>
      <c r="AB187" s="49"/>
      <c r="AC187" s="551" t="str">
        <f t="shared" si="39"/>
        <v/>
      </c>
      <c r="AD187" s="457"/>
      <c r="AE187" s="457"/>
      <c r="AF187" s="457"/>
    </row>
    <row r="188" spans="1:32" ht="11.25" customHeight="1">
      <c r="A188" s="611">
        <v>56</v>
      </c>
      <c r="B188" s="102"/>
      <c r="C188" s="613" t="str">
        <f>IF(O182="","",IF(LEN(O182)&lt;=135,O182,IF(LEN(O182)&lt;=260,LEFT(O182,SEARCH(" ",O182,125)),LEFT(O182,SEARCH(" ",O182,130)))))</f>
        <v/>
      </c>
      <c r="D188" s="378"/>
      <c r="E188" s="378"/>
      <c r="F188" s="378"/>
      <c r="G188" s="378"/>
      <c r="H188" s="378"/>
      <c r="I188" s="378"/>
      <c r="J188" s="378"/>
      <c r="K188" s="69"/>
      <c r="L188" s="676" t="s">
        <v>411</v>
      </c>
      <c r="M188" s="85"/>
      <c r="N188" s="50"/>
      <c r="O188" s="578"/>
      <c r="P188" s="440"/>
      <c r="Q188" s="677"/>
      <c r="R188" s="49"/>
      <c r="S188" s="49"/>
      <c r="T188" s="49"/>
      <c r="U188" s="49"/>
      <c r="V188" s="49"/>
      <c r="W188" s="69"/>
      <c r="X188" s="664" t="s">
        <v>411</v>
      </c>
      <c r="Y188" s="500"/>
      <c r="Z188" s="457"/>
      <c r="AA188" s="462" t="s">
        <v>536</v>
      </c>
      <c r="AB188" s="1186"/>
      <c r="AC188" s="551" t="str">
        <f t="shared" si="39"/>
        <v/>
      </c>
      <c r="AD188" s="1058">
        <f>IF(AH688="",AB188,AH688/2.54)</f>
        <v>0</v>
      </c>
      <c r="AE188" s="555" t="s">
        <v>284</v>
      </c>
      <c r="AF188" s="457"/>
    </row>
    <row r="189" spans="1:32" ht="11.25" customHeight="1">
      <c r="A189" s="611">
        <v>57</v>
      </c>
      <c r="B189" s="85"/>
      <c r="C189" s="613" t="str">
        <f>IF(LEN(O182)&lt;=135,"",IF(LEN(O182)&lt;=260,RIGHT(O182,LEN(O182)-SEARCH(" ",O182,125)),MID(O182,SEARCH(" ",O182,130),IF(LEN(O182)&lt;=265,LEN(O182),SEARCH(" ",O182,255)-SEARCH(" ",O182,130)))))</f>
        <v/>
      </c>
      <c r="D189" s="378"/>
      <c r="E189" s="378"/>
      <c r="F189" s="378"/>
      <c r="G189" s="378"/>
      <c r="H189" s="378"/>
      <c r="I189" s="378"/>
      <c r="J189" s="378"/>
      <c r="K189" s="69"/>
      <c r="L189" s="676" t="s">
        <v>411</v>
      </c>
      <c r="M189" s="160"/>
      <c r="N189" s="579"/>
      <c r="O189" s="579"/>
      <c r="P189" s="509"/>
      <c r="Q189" s="506"/>
      <c r="R189" s="506"/>
      <c r="S189" s="506"/>
      <c r="T189" s="506"/>
      <c r="U189" s="506"/>
      <c r="V189" s="506"/>
      <c r="W189" s="70"/>
      <c r="X189" s="664" t="s">
        <v>411</v>
      </c>
      <c r="Y189" s="500"/>
      <c r="Z189" s="457"/>
      <c r="AA189" s="457"/>
      <c r="AB189" s="49"/>
      <c r="AC189" s="551" t="str">
        <f t="shared" si="39"/>
        <v/>
      </c>
      <c r="AD189" s="457"/>
      <c r="AE189" s="457"/>
      <c r="AF189" s="457"/>
    </row>
    <row r="190" spans="1:32" ht="11.25" customHeight="1">
      <c r="A190" s="611">
        <v>58</v>
      </c>
      <c r="B190" s="85"/>
      <c r="C190" s="613" t="str">
        <f>IF(LEN(O182)&lt;=265,"",RIGHT(O182,LEN(O182)-SEARCH(" ",O182,255)))</f>
        <v/>
      </c>
      <c r="D190" s="378"/>
      <c r="E190" s="378"/>
      <c r="F190" s="378"/>
      <c r="G190" s="378"/>
      <c r="H190" s="378"/>
      <c r="I190" s="378"/>
      <c r="J190" s="378"/>
      <c r="K190" s="69"/>
      <c r="L190" s="676" t="s">
        <v>411</v>
      </c>
      <c r="M190" s="85"/>
      <c r="N190" s="580"/>
      <c r="O190" s="580"/>
      <c r="P190" s="504"/>
      <c r="Q190" s="505"/>
      <c r="R190" s="505"/>
      <c r="S190" s="505"/>
      <c r="T190" s="505"/>
      <c r="U190" s="505"/>
      <c r="V190" s="505"/>
      <c r="W190" s="69"/>
      <c r="X190" s="664" t="s">
        <v>411</v>
      </c>
      <c r="Y190" s="500"/>
      <c r="Z190" s="457"/>
      <c r="AA190" s="99" t="s">
        <v>465</v>
      </c>
      <c r="AB190" s="1187"/>
      <c r="AC190" s="551" t="str">
        <f t="shared" si="39"/>
        <v/>
      </c>
      <c r="AD190" s="1056" t="str">
        <f>IF(P1397="","",P1397)</f>
        <v/>
      </c>
      <c r="AE190" s="457" t="s">
        <v>785</v>
      </c>
      <c r="AF190" s="457"/>
    </row>
    <row r="191" spans="1:32" ht="11.25" customHeight="1">
      <c r="A191" s="611">
        <v>59</v>
      </c>
      <c r="B191" s="102"/>
      <c r="C191" s="613" t="str">
        <f>IF(O184="","",IF(LEN(O184)&lt;=135,O184,IF(LEN(O184)&lt;=260,LEFT(O184,SEARCH(" ",O184,125)),LEFT(O184,SEARCH(" ",O184,130)))))</f>
        <v/>
      </c>
      <c r="D191" s="378"/>
      <c r="E191" s="378"/>
      <c r="F191" s="378"/>
      <c r="G191" s="378"/>
      <c r="H191" s="378"/>
      <c r="I191" s="378"/>
      <c r="J191" s="378"/>
      <c r="K191" s="69"/>
      <c r="L191" s="676" t="s">
        <v>411</v>
      </c>
      <c r="M191" s="85"/>
      <c r="N191" s="580"/>
      <c r="O191" s="580"/>
      <c r="P191" s="504"/>
      <c r="Q191" s="505"/>
      <c r="R191" s="505"/>
      <c r="S191" s="505"/>
      <c r="T191" s="505"/>
      <c r="U191" s="505"/>
      <c r="V191" s="505"/>
      <c r="W191" s="69"/>
      <c r="X191" s="664" t="s">
        <v>411</v>
      </c>
      <c r="Y191" s="500"/>
      <c r="Z191" s="457"/>
      <c r="AA191" s="457"/>
      <c r="AB191" s="1187"/>
      <c r="AC191" s="551" t="str">
        <f t="shared" si="39"/>
        <v/>
      </c>
      <c r="AD191" s="1056" t="str">
        <f t="shared" ref="AD191:AD197" si="42">IF(P1398="","",P1398)</f>
        <v/>
      </c>
      <c r="AE191" s="457" t="s">
        <v>786</v>
      </c>
      <c r="AF191" s="457"/>
    </row>
    <row r="192" spans="1:32" ht="11.25" customHeight="1">
      <c r="A192" s="611">
        <v>60</v>
      </c>
      <c r="B192" s="85"/>
      <c r="C192" s="613" t="str">
        <f>IF(LEN(O184)&lt;=135,"",IF(LEN(O184)&lt;=260,RIGHT(O184,LEN(O184)-SEARCH(" ",O184,125)),MID(O184,SEARCH(" ",O184,130),IF(LEN(O184)&lt;=265,LEN(O184),SEARCH(" ",O184,255)-SEARCH(" ",O184,130)))))</f>
        <v/>
      </c>
      <c r="D192" s="378"/>
      <c r="E192" s="378"/>
      <c r="F192" s="378"/>
      <c r="G192" s="378"/>
      <c r="H192" s="378"/>
      <c r="I192" s="378"/>
      <c r="J192" s="378"/>
      <c r="K192" s="69"/>
      <c r="L192" s="676" t="s">
        <v>411</v>
      </c>
      <c r="M192" s="160"/>
      <c r="N192" s="580"/>
      <c r="O192" s="580"/>
      <c r="P192" s="504"/>
      <c r="Q192" s="376" t="s">
        <v>276</v>
      </c>
      <c r="R192" s="50"/>
      <c r="S192" s="50"/>
      <c r="T192" s="505"/>
      <c r="U192" s="505"/>
      <c r="V192" s="505"/>
      <c r="W192" s="70"/>
      <c r="X192" s="664" t="s">
        <v>411</v>
      </c>
      <c r="Y192" s="500"/>
      <c r="Z192" s="457"/>
      <c r="AA192" s="457"/>
      <c r="AB192" s="1187"/>
      <c r="AC192" s="551" t="str">
        <f t="shared" si="39"/>
        <v/>
      </c>
      <c r="AD192" s="1056" t="str">
        <f t="shared" si="42"/>
        <v/>
      </c>
      <c r="AE192" s="457" t="s">
        <v>787</v>
      </c>
      <c r="AF192" s="457"/>
    </row>
    <row r="193" spans="1:32" ht="11.25" customHeight="1">
      <c r="A193" s="611">
        <v>61</v>
      </c>
      <c r="B193" s="85"/>
      <c r="C193" s="613" t="str">
        <f>IF(LEN(O184)&lt;=265,"",RIGHT(O184,LEN(O184)-SEARCH(" ",O184,255)))</f>
        <v/>
      </c>
      <c r="D193" s="378"/>
      <c r="E193" s="378"/>
      <c r="F193" s="378"/>
      <c r="G193" s="378"/>
      <c r="H193" s="378"/>
      <c r="I193" s="378"/>
      <c r="J193" s="378"/>
      <c r="K193" s="69"/>
      <c r="L193" s="676" t="s">
        <v>411</v>
      </c>
      <c r="M193" s="85"/>
      <c r="N193" s="580"/>
      <c r="O193" s="580"/>
      <c r="P193" s="504"/>
      <c r="Q193" s="505"/>
      <c r="R193" s="504"/>
      <c r="S193" s="505"/>
      <c r="T193" s="504"/>
      <c r="U193" s="505"/>
      <c r="V193" s="505"/>
      <c r="W193" s="69"/>
      <c r="X193" s="664" t="s">
        <v>411</v>
      </c>
      <c r="Y193" s="500"/>
      <c r="Z193" s="457"/>
      <c r="AA193" s="457"/>
      <c r="AB193" s="1187"/>
      <c r="AC193" s="551" t="str">
        <f t="shared" si="39"/>
        <v/>
      </c>
      <c r="AD193" s="1056" t="str">
        <f t="shared" si="42"/>
        <v/>
      </c>
      <c r="AE193" s="457" t="s">
        <v>788</v>
      </c>
      <c r="AF193" s="457"/>
    </row>
    <row r="194" spans="1:32" ht="11.25" customHeight="1">
      <c r="A194" s="611">
        <v>62</v>
      </c>
      <c r="B194" s="102"/>
      <c r="C194" s="613" t="str">
        <f>IF(O186="","",IF(LEN(O186)&lt;=135,O186,IF(LEN(O186)&lt;=260,LEFT(O186,SEARCH(" ",O186,125)),LEFT(O186,SEARCH(" ",O186,130)))))</f>
        <v/>
      </c>
      <c r="D194" s="378"/>
      <c r="E194" s="378"/>
      <c r="F194" s="378"/>
      <c r="G194" s="378"/>
      <c r="H194" s="378"/>
      <c r="I194" s="378"/>
      <c r="J194" s="378"/>
      <c r="K194" s="69"/>
      <c r="L194" s="676" t="s">
        <v>411</v>
      </c>
      <c r="M194" s="85"/>
      <c r="N194" s="580"/>
      <c r="O194" s="580"/>
      <c r="P194" s="504"/>
      <c r="Q194" s="505"/>
      <c r="R194" s="504"/>
      <c r="S194" s="505"/>
      <c r="T194" s="504"/>
      <c r="U194" s="505"/>
      <c r="V194" s="505"/>
      <c r="W194" s="69"/>
      <c r="X194" s="664" t="s">
        <v>411</v>
      </c>
      <c r="Y194" s="500"/>
      <c r="Z194" s="457"/>
      <c r="AA194" s="457"/>
      <c r="AB194" s="1187"/>
      <c r="AC194" s="551" t="str">
        <f t="shared" si="39"/>
        <v/>
      </c>
      <c r="AD194" s="1056" t="str">
        <f t="shared" si="42"/>
        <v/>
      </c>
      <c r="AE194" s="457" t="s">
        <v>789</v>
      </c>
      <c r="AF194" s="457"/>
    </row>
    <row r="195" spans="1:32" ht="11.25" customHeight="1">
      <c r="A195" s="611">
        <v>63</v>
      </c>
      <c r="B195" s="85"/>
      <c r="C195" s="613" t="str">
        <f>IF(LEN(O186)&lt;=135,"",IF(LEN(O186)&lt;=260,RIGHT(O186,LEN(O186)-SEARCH(" ",O186,125)),MID(O186,SEARCH(" ",O186,130),IF(LEN(O186)&lt;=265,LEN(O186),SEARCH(" ",O186,255)-SEARCH(" ",O186,130)))))</f>
        <v/>
      </c>
      <c r="D195" s="378"/>
      <c r="E195" s="378"/>
      <c r="F195" s="378"/>
      <c r="G195" s="378"/>
      <c r="H195" s="378"/>
      <c r="I195" s="378"/>
      <c r="J195" s="378"/>
      <c r="K195" s="69"/>
      <c r="L195" s="676" t="s">
        <v>411</v>
      </c>
      <c r="M195" s="160"/>
      <c r="N195" s="581"/>
      <c r="O195" s="581"/>
      <c r="P195" s="508"/>
      <c r="Q195" s="507"/>
      <c r="R195" s="508"/>
      <c r="S195" s="507"/>
      <c r="T195" s="508"/>
      <c r="U195" s="507"/>
      <c r="V195" s="507"/>
      <c r="W195" s="70"/>
      <c r="X195" s="664" t="s">
        <v>411</v>
      </c>
      <c r="Y195" s="500"/>
      <c r="Z195" s="457"/>
      <c r="AA195" s="457"/>
      <c r="AB195" s="1187"/>
      <c r="AC195" s="551" t="str">
        <f t="shared" si="39"/>
        <v/>
      </c>
      <c r="AD195" s="1056" t="str">
        <f t="shared" si="42"/>
        <v/>
      </c>
      <c r="AE195" s="457" t="s">
        <v>790</v>
      </c>
      <c r="AF195" s="457"/>
    </row>
    <row r="196" spans="1:32" ht="11.25" customHeight="1" thickBot="1">
      <c r="A196" s="611">
        <v>64</v>
      </c>
      <c r="B196" s="144"/>
      <c r="C196" s="614" t="str">
        <f>IF(LEN(O186)&lt;=265,"",RIGHT(O186,LEN(O186)-SEARCH(" ",O186,255)))</f>
        <v/>
      </c>
      <c r="D196" s="73"/>
      <c r="E196" s="73"/>
      <c r="F196" s="73"/>
      <c r="G196" s="73"/>
      <c r="H196" s="73"/>
      <c r="I196" s="73"/>
      <c r="J196" s="73"/>
      <c r="K196" s="74"/>
      <c r="L196" s="676" t="s">
        <v>411</v>
      </c>
      <c r="M196" s="144"/>
      <c r="N196" s="73"/>
      <c r="O196" s="582"/>
      <c r="P196" s="441"/>
      <c r="Q196" s="73"/>
      <c r="R196" s="73"/>
      <c r="S196" s="73"/>
      <c r="T196" s="73"/>
      <c r="U196" s="73"/>
      <c r="V196" s="73"/>
      <c r="W196" s="74"/>
      <c r="X196" s="664" t="s">
        <v>411</v>
      </c>
      <c r="Y196" s="500"/>
      <c r="Z196" s="457"/>
      <c r="AA196" s="457"/>
      <c r="AB196" s="1187"/>
      <c r="AC196" s="551" t="str">
        <f t="shared" si="39"/>
        <v/>
      </c>
      <c r="AD196" s="1056" t="str">
        <f t="shared" si="42"/>
        <v/>
      </c>
      <c r="AE196" s="457" t="s">
        <v>791</v>
      </c>
      <c r="AF196" s="457"/>
    </row>
    <row r="197" spans="1:32" ht="11.25" customHeight="1" thickTop="1">
      <c r="A197" s="611">
        <v>65</v>
      </c>
      <c r="B197" s="52" t="str">
        <f t="array" ref="B197:C198">$B$65:$C$66</f>
        <v>Date:</v>
      </c>
      <c r="C197" s="1133" t="str">
        <v/>
      </c>
      <c r="D197" s="116"/>
      <c r="E197" s="51"/>
      <c r="F197" s="51"/>
      <c r="G197" s="51"/>
      <c r="H197" s="51"/>
      <c r="I197" s="52" t="str">
        <f t="array" ref="I197:J198">$I$65:$J$66</f>
        <v>Inspector:</v>
      </c>
      <c r="J197" s="421" t="str">
        <v>Eugene Mah</v>
      </c>
      <c r="L197" s="676" t="s">
        <v>411</v>
      </c>
      <c r="O197" s="578"/>
      <c r="P197" s="442"/>
      <c r="X197" s="664" t="s">
        <v>411</v>
      </c>
      <c r="Y197" s="500"/>
      <c r="Z197" s="457"/>
      <c r="AA197" s="457"/>
      <c r="AB197" s="1187"/>
      <c r="AC197" s="551" t="str">
        <f t="shared" si="39"/>
        <v/>
      </c>
      <c r="AD197" s="1056" t="str">
        <f t="shared" si="42"/>
        <v/>
      </c>
      <c r="AE197" s="457" t="s">
        <v>792</v>
      </c>
      <c r="AF197" s="457"/>
    </row>
    <row r="198" spans="1:32" ht="11.25" customHeight="1">
      <c r="A198" s="611">
        <v>66</v>
      </c>
      <c r="B198" s="52" t="str">
        <v>Room Number:</v>
      </c>
      <c r="C198" s="373" t="str">
        <v/>
      </c>
      <c r="E198" s="51"/>
      <c r="F198" s="51"/>
      <c r="G198" s="51"/>
      <c r="H198" s="51"/>
      <c r="I198" s="52" t="str">
        <v>Survey ID:</v>
      </c>
      <c r="J198" s="1045" t="str">
        <v/>
      </c>
      <c r="L198" s="676" t="s">
        <v>411</v>
      </c>
      <c r="O198" s="578"/>
      <c r="P198" s="442"/>
      <c r="X198" s="664" t="s">
        <v>411</v>
      </c>
      <c r="Y198" s="500"/>
      <c r="Z198" s="457"/>
      <c r="AA198" s="457"/>
      <c r="AB198" s="49"/>
      <c r="AC198" s="551" t="str">
        <f t="shared" si="39"/>
        <v/>
      </c>
      <c r="AD198" s="457"/>
      <c r="AE198" s="457"/>
      <c r="AF198" s="457"/>
    </row>
    <row r="199" spans="1:32" ht="11.25" customHeight="1">
      <c r="A199" s="611">
        <v>1</v>
      </c>
      <c r="B199" s="1"/>
      <c r="C199" s="1"/>
      <c r="D199" s="1"/>
      <c r="E199" s="1"/>
      <c r="F199" s="1"/>
      <c r="G199" s="1"/>
      <c r="H199" s="1"/>
      <c r="I199" s="1"/>
      <c r="J199" s="1"/>
      <c r="K199" s="131" t="str">
        <f>$F$2</f>
        <v>Medical University of South Carolina</v>
      </c>
      <c r="L199" s="676" t="s">
        <v>411</v>
      </c>
      <c r="M199" s="1"/>
      <c r="N199" s="1"/>
      <c r="O199" s="583"/>
      <c r="P199" s="442"/>
      <c r="Q199" s="1"/>
      <c r="R199" s="1"/>
      <c r="S199" s="1"/>
      <c r="T199" s="1"/>
      <c r="U199" s="1"/>
      <c r="V199" s="1"/>
      <c r="W199" s="131" t="str">
        <f>$F$2</f>
        <v>Medical University of South Carolina</v>
      </c>
      <c r="X199" s="664" t="s">
        <v>411</v>
      </c>
      <c r="Y199" s="500"/>
      <c r="Z199" s="457"/>
      <c r="AA199" s="99" t="s">
        <v>1054</v>
      </c>
      <c r="AB199" s="1188"/>
      <c r="AC199" s="551" t="str">
        <f t="shared" si="39"/>
        <v/>
      </c>
      <c r="AD199" s="1108" t="str">
        <f t="shared" ref="AD199:AD206" si="43">IF(R1397="","",R1397)</f>
        <v/>
      </c>
      <c r="AE199" s="457" t="s">
        <v>793</v>
      </c>
      <c r="AF199" s="457"/>
    </row>
    <row r="200" spans="1:32" ht="11.25" customHeight="1">
      <c r="A200" s="611">
        <v>2</v>
      </c>
      <c r="B200" s="1"/>
      <c r="C200" s="1"/>
      <c r="D200" s="1"/>
      <c r="E200" s="1"/>
      <c r="F200" s="82" t="str">
        <f>$F$464</f>
        <v>Measurement Data</v>
      </c>
      <c r="G200" s="1"/>
      <c r="H200" s="1"/>
      <c r="I200" s="1"/>
      <c r="J200" s="1"/>
      <c r="K200" s="132" t="str">
        <f>$F$5</f>
        <v>Radiographic System Compliance Inspection</v>
      </c>
      <c r="L200" s="676" t="s">
        <v>411</v>
      </c>
      <c r="M200" s="1"/>
      <c r="N200" s="1"/>
      <c r="O200" s="583"/>
      <c r="P200" s="442"/>
      <c r="Q200" s="1"/>
      <c r="R200" s="1"/>
      <c r="S200" s="1"/>
      <c r="T200" s="1"/>
      <c r="U200" s="1"/>
      <c r="V200" s="1"/>
      <c r="W200" s="132" t="str">
        <f>$F$5</f>
        <v>Radiographic System Compliance Inspection</v>
      </c>
      <c r="X200" s="664" t="s">
        <v>411</v>
      </c>
      <c r="Y200" s="500"/>
      <c r="Z200" s="457"/>
      <c r="AA200" s="99" t="str">
        <f>"@ "&amp;ROUND(AD188,1)&amp;" in."</f>
        <v>@ 0 in.</v>
      </c>
      <c r="AB200" s="1188"/>
      <c r="AC200" s="551" t="str">
        <f t="shared" si="39"/>
        <v/>
      </c>
      <c r="AD200" s="1108" t="str">
        <f t="shared" si="43"/>
        <v/>
      </c>
      <c r="AE200" s="457" t="s">
        <v>794</v>
      </c>
      <c r="AF200" s="457"/>
    </row>
    <row r="201" spans="1:32" ht="11.25" customHeight="1">
      <c r="A201" s="611">
        <v>3</v>
      </c>
      <c r="L201" s="676" t="s">
        <v>411</v>
      </c>
      <c r="M201" s="1"/>
      <c r="N201" s="1"/>
      <c r="O201" s="583"/>
      <c r="P201" s="442"/>
      <c r="Q201" s="1"/>
      <c r="R201" s="1"/>
      <c r="S201" s="1"/>
      <c r="T201" s="1"/>
      <c r="U201" s="1"/>
      <c r="V201" s="1"/>
      <c r="W201" s="1"/>
      <c r="X201" s="664" t="s">
        <v>411</v>
      </c>
      <c r="Y201" s="500"/>
      <c r="Z201" s="457"/>
      <c r="AA201" s="457"/>
      <c r="AB201" s="1188"/>
      <c r="AC201" s="551" t="str">
        <f t="shared" ref="AC201:AC224" si="44">IF(AND(OR(AB201="",AB201=0),OR(AD201="",AD201=0)),"",IF(AB201&lt;&gt;AD201,"Change",""))</f>
        <v/>
      </c>
      <c r="AD201" s="1108" t="str">
        <f t="shared" si="43"/>
        <v/>
      </c>
      <c r="AE201" s="457" t="s">
        <v>795</v>
      </c>
      <c r="AF201" s="457"/>
    </row>
    <row r="202" spans="1:32" ht="11.25" customHeight="1">
      <c r="A202" s="611">
        <v>4</v>
      </c>
      <c r="F202" s="190" t="str">
        <f>$R$202</f>
        <v>COMMENTS PAGE 2</v>
      </c>
      <c r="L202" s="676" t="s">
        <v>411</v>
      </c>
      <c r="O202" s="578"/>
      <c r="P202" s="442"/>
      <c r="R202" s="190" t="s">
        <v>277</v>
      </c>
      <c r="X202" s="664" t="s">
        <v>411</v>
      </c>
      <c r="Y202" s="500"/>
      <c r="Z202" s="457"/>
      <c r="AA202" s="457"/>
      <c r="AB202" s="1188"/>
      <c r="AC202" s="551" t="str">
        <f t="shared" si="44"/>
        <v/>
      </c>
      <c r="AD202" s="1108" t="str">
        <f t="shared" si="43"/>
        <v/>
      </c>
      <c r="AE202" s="457" t="s">
        <v>796</v>
      </c>
      <c r="AF202" s="457"/>
    </row>
    <row r="203" spans="1:32" ht="11.25" customHeight="1" thickBot="1">
      <c r="A203" s="611">
        <v>5</v>
      </c>
      <c r="L203" s="676" t="s">
        <v>411</v>
      </c>
      <c r="O203" s="578"/>
      <c r="P203" s="442"/>
      <c r="X203" s="664" t="s">
        <v>411</v>
      </c>
      <c r="Y203" s="500"/>
      <c r="Z203" s="457"/>
      <c r="AA203" s="457"/>
      <c r="AB203" s="1188"/>
      <c r="AC203" s="551" t="str">
        <f t="shared" si="44"/>
        <v/>
      </c>
      <c r="AD203" s="1108" t="str">
        <f t="shared" si="43"/>
        <v/>
      </c>
      <c r="AE203" s="457" t="s">
        <v>797</v>
      </c>
      <c r="AF203" s="457"/>
    </row>
    <row r="204" spans="1:32" ht="11.25" customHeight="1" thickTop="1">
      <c r="A204" s="611">
        <v>6</v>
      </c>
      <c r="B204" s="79"/>
      <c r="C204" s="62"/>
      <c r="D204" s="62"/>
      <c r="E204" s="62"/>
      <c r="F204" s="62"/>
      <c r="G204" s="62"/>
      <c r="H204" s="62"/>
      <c r="I204" s="62"/>
      <c r="J204" s="62"/>
      <c r="K204" s="80"/>
      <c r="L204" s="676" t="s">
        <v>411</v>
      </c>
      <c r="M204" s="79"/>
      <c r="N204" s="62"/>
      <c r="O204" s="584"/>
      <c r="P204" s="439"/>
      <c r="Q204" s="683" t="s">
        <v>360</v>
      </c>
      <c r="R204" s="62"/>
      <c r="S204" s="62"/>
      <c r="T204" s="62"/>
      <c r="U204" s="62"/>
      <c r="V204" s="62"/>
      <c r="W204" s="80"/>
      <c r="X204" s="664" t="s">
        <v>411</v>
      </c>
      <c r="Y204" s="500"/>
      <c r="Z204" s="457"/>
      <c r="AA204" s="457"/>
      <c r="AB204" s="1188"/>
      <c r="AC204" s="551" t="str">
        <f t="shared" si="44"/>
        <v/>
      </c>
      <c r="AD204" s="1108" t="str">
        <f t="shared" si="43"/>
        <v/>
      </c>
      <c r="AE204" s="457" t="s">
        <v>798</v>
      </c>
      <c r="AF204" s="457"/>
    </row>
    <row r="205" spans="1:32" ht="11.25" customHeight="1">
      <c r="A205" s="611">
        <v>7</v>
      </c>
      <c r="B205" s="102" t="s">
        <v>552</v>
      </c>
      <c r="C205" s="613" t="str">
        <f>IF(O205="","",IF(LEN(O205)&lt;=135,O205,IF(LEN(O205)&lt;=260,LEFT(O205,SEARCH(" ",O205,125)),LEFT(O205,SEARCH(" ",O205,130)))))</f>
        <v/>
      </c>
      <c r="D205" s="377"/>
      <c r="E205" s="377"/>
      <c r="F205" s="377"/>
      <c r="G205" s="377"/>
      <c r="H205" s="377"/>
      <c r="I205" s="377"/>
      <c r="J205" s="377"/>
      <c r="K205" s="71"/>
      <c r="L205" s="676" t="s">
        <v>411</v>
      </c>
      <c r="M205" s="127"/>
      <c r="N205" s="54" t="s">
        <v>552</v>
      </c>
      <c r="O205" s="1084"/>
      <c r="P205" s="440"/>
      <c r="Q205" s="677" t="str">
        <f>IF(OR(AB314=0,AB314=""),"",AB314)</f>
        <v/>
      </c>
      <c r="R205" s="48"/>
      <c r="S205" s="48"/>
      <c r="T205" s="48"/>
      <c r="U205" s="48"/>
      <c r="V205" s="48"/>
      <c r="W205" s="69"/>
      <c r="X205" s="664" t="s">
        <v>411</v>
      </c>
      <c r="Y205" s="500"/>
      <c r="Z205" s="457"/>
      <c r="AA205" s="457"/>
      <c r="AB205" s="1188"/>
      <c r="AC205" s="551" t="str">
        <f t="shared" si="44"/>
        <v/>
      </c>
      <c r="AD205" s="1108" t="str">
        <f t="shared" si="43"/>
        <v/>
      </c>
      <c r="AE205" s="457" t="s">
        <v>799</v>
      </c>
      <c r="AF205" s="457"/>
    </row>
    <row r="206" spans="1:32" ht="11.25" customHeight="1">
      <c r="A206" s="611">
        <v>8</v>
      </c>
      <c r="B206" s="85"/>
      <c r="C206" s="613" t="str">
        <f>IF(LEN(O205)&lt;=135,"",IF(LEN(O205)&lt;=260,RIGHT(O205,LEN(O205)-SEARCH(" ",O205,125)),MID(O205,SEARCH(" ",O205,130),IF(LEN(O205)&lt;=265,LEN(O205),SEARCH(" ",O205,255)-SEARCH(" ",O205,130)))))</f>
        <v/>
      </c>
      <c r="D206" s="377"/>
      <c r="E206" s="377"/>
      <c r="F206" s="377"/>
      <c r="G206" s="377"/>
      <c r="H206" s="377"/>
      <c r="I206" s="377"/>
      <c r="J206" s="377"/>
      <c r="K206" s="71"/>
      <c r="L206" s="676" t="s">
        <v>411</v>
      </c>
      <c r="M206" s="85"/>
      <c r="N206" s="609" t="s">
        <v>282</v>
      </c>
      <c r="O206" s="1085"/>
      <c r="P206" s="610">
        <f>LEN(O205)</f>
        <v>0</v>
      </c>
      <c r="Q206" s="679"/>
      <c r="R206" s="682">
        <f>LEN(Q205)</f>
        <v>0</v>
      </c>
      <c r="S206" s="59"/>
      <c r="T206" s="59"/>
      <c r="U206" s="59"/>
      <c r="V206" s="59"/>
      <c r="W206" s="70"/>
      <c r="X206" s="664" t="s">
        <v>411</v>
      </c>
      <c r="Y206" s="500"/>
      <c r="Z206" s="457"/>
      <c r="AA206" s="457"/>
      <c r="AB206" s="1188"/>
      <c r="AC206" s="551" t="str">
        <f t="shared" si="44"/>
        <v/>
      </c>
      <c r="AD206" s="1108" t="str">
        <f t="shared" si="43"/>
        <v/>
      </c>
      <c r="AE206" s="457" t="s">
        <v>800</v>
      </c>
      <c r="AF206" s="457"/>
    </row>
    <row r="207" spans="1:32" ht="11.25" customHeight="1">
      <c r="A207" s="611">
        <v>9</v>
      </c>
      <c r="B207" s="85"/>
      <c r="C207" s="613" t="str">
        <f>IF(LEN(O205)&lt;=265,"",RIGHT(O205,LEN(O205)-SEARCH(" ",O205,255)))</f>
        <v/>
      </c>
      <c r="D207" s="377"/>
      <c r="E207" s="377"/>
      <c r="F207" s="377"/>
      <c r="G207" s="377"/>
      <c r="H207" s="377"/>
      <c r="I207" s="377"/>
      <c r="J207" s="377"/>
      <c r="K207" s="71"/>
      <c r="L207" s="676" t="s">
        <v>411</v>
      </c>
      <c r="M207" s="66"/>
      <c r="N207" s="54" t="s">
        <v>82</v>
      </c>
      <c r="O207" s="1084"/>
      <c r="P207" s="440"/>
      <c r="Q207" s="677" t="str">
        <f>IF(OR(AB316=0,AB316=""),"",AB316)</f>
        <v/>
      </c>
      <c r="R207" s="48"/>
      <c r="S207" s="48"/>
      <c r="T207" s="48"/>
      <c r="U207" s="48"/>
      <c r="V207" s="48"/>
      <c r="W207" s="69"/>
      <c r="X207" s="664" t="s">
        <v>411</v>
      </c>
      <c r="Y207" s="500"/>
      <c r="Z207" s="457"/>
      <c r="AA207" s="457"/>
      <c r="AB207" s="49"/>
      <c r="AC207" s="551" t="str">
        <f t="shared" si="44"/>
        <v/>
      </c>
      <c r="AD207" s="457"/>
      <c r="AE207" s="457"/>
      <c r="AF207" s="457"/>
    </row>
    <row r="208" spans="1:32" ht="11.25" customHeight="1">
      <c r="A208" s="611">
        <v>10</v>
      </c>
      <c r="B208" s="127"/>
      <c r="C208" s="613" t="str">
        <f>IF(O207="","",IF(LEN(O207)&lt;=135,O207,IF(LEN(O207)&lt;=260,LEFT(O207,SEARCH(" ",O207,125)),LEFT(O207,SEARCH(" ",O207,130)))))</f>
        <v/>
      </c>
      <c r="D208" s="377"/>
      <c r="E208" s="377"/>
      <c r="F208" s="377"/>
      <c r="G208" s="377"/>
      <c r="H208" s="377"/>
      <c r="I208" s="377"/>
      <c r="J208" s="377"/>
      <c r="K208" s="71"/>
      <c r="L208" s="676" t="s">
        <v>411</v>
      </c>
      <c r="M208" s="85"/>
      <c r="N208" s="609" t="s">
        <v>282</v>
      </c>
      <c r="O208" s="1085"/>
      <c r="P208" s="610">
        <f>LEN(O207)</f>
        <v>0</v>
      </c>
      <c r="Q208" s="679"/>
      <c r="R208" s="682">
        <f>LEN(Q207)</f>
        <v>0</v>
      </c>
      <c r="S208" s="48"/>
      <c r="T208" s="48"/>
      <c r="U208" s="48"/>
      <c r="V208" s="48"/>
      <c r="W208" s="69"/>
      <c r="X208" s="664" t="s">
        <v>411</v>
      </c>
      <c r="Y208" s="500"/>
      <c r="Z208" s="457"/>
      <c r="AA208" s="132" t="s">
        <v>546</v>
      </c>
      <c r="AB208" s="49"/>
      <c r="AC208" s="551" t="str">
        <f t="shared" si="44"/>
        <v/>
      </c>
      <c r="AD208" s="457"/>
      <c r="AE208" s="457"/>
      <c r="AF208" s="457"/>
    </row>
    <row r="209" spans="1:32" ht="11.25" customHeight="1">
      <c r="A209" s="611">
        <v>11</v>
      </c>
      <c r="B209" s="127"/>
      <c r="C209" s="613" t="str">
        <f>IF(LEN(O207)&lt;=135,"",IF(LEN(O207)&lt;=260,RIGHT(O207,LEN(O207)-SEARCH(" ",O207,125)),MID(O207,SEARCH(" ",O207,130),IF(LEN(O207)&lt;=265,LEN(O207),SEARCH(" ",O207,255)-SEARCH(" ",O207,130)))))</f>
        <v/>
      </c>
      <c r="D209" s="377"/>
      <c r="E209" s="377"/>
      <c r="F209" s="377"/>
      <c r="G209" s="377"/>
      <c r="H209" s="377"/>
      <c r="I209" s="377"/>
      <c r="J209" s="377"/>
      <c r="K209" s="71"/>
      <c r="L209" s="676" t="s">
        <v>411</v>
      </c>
      <c r="M209" s="213"/>
      <c r="N209" s="54" t="s">
        <v>82</v>
      </c>
      <c r="O209" s="1084"/>
      <c r="P209" s="440"/>
      <c r="Q209" s="677" t="str">
        <f>IF(OR(AB318=0,AB318=""),"",AB318)</f>
        <v/>
      </c>
      <c r="R209" s="48"/>
      <c r="S209" s="59"/>
      <c r="T209" s="59"/>
      <c r="U209" s="59"/>
      <c r="V209" s="59"/>
      <c r="W209" s="70"/>
      <c r="X209" s="664" t="s">
        <v>411</v>
      </c>
      <c r="Y209" s="500"/>
      <c r="Z209" s="457"/>
      <c r="AA209" s="462" t="s">
        <v>536</v>
      </c>
      <c r="AB209" s="1187"/>
      <c r="AC209" s="551" t="str">
        <f t="shared" si="44"/>
        <v/>
      </c>
      <c r="AD209" s="1058">
        <f>IF(AH710="",AB209,AH710/2.54)</f>
        <v>0</v>
      </c>
      <c r="AE209" s="555" t="s">
        <v>285</v>
      </c>
      <c r="AF209" s="457"/>
    </row>
    <row r="210" spans="1:32" ht="11.25" customHeight="1">
      <c r="A210" s="611">
        <v>12</v>
      </c>
      <c r="B210" s="127"/>
      <c r="C210" s="613" t="str">
        <f>IF(LEN(O207)&lt;=265,"",RIGHT(O207,LEN(O207)-SEARCH(" ",O207,255)))</f>
        <v/>
      </c>
      <c r="D210" s="377"/>
      <c r="E210" s="377"/>
      <c r="F210" s="377"/>
      <c r="G210" s="377"/>
      <c r="H210" s="377"/>
      <c r="I210" s="377"/>
      <c r="J210" s="377"/>
      <c r="K210" s="71"/>
      <c r="L210" s="676" t="s">
        <v>411</v>
      </c>
      <c r="M210" s="66"/>
      <c r="N210" s="609" t="s">
        <v>282</v>
      </c>
      <c r="O210" s="1085"/>
      <c r="P210" s="610">
        <f>LEN(O209)</f>
        <v>0</v>
      </c>
      <c r="Q210" s="679"/>
      <c r="R210" s="682">
        <f>LEN(Q209)</f>
        <v>0</v>
      </c>
      <c r="S210" s="48"/>
      <c r="T210" s="48"/>
      <c r="U210" s="48"/>
      <c r="V210" s="48"/>
      <c r="W210" s="69"/>
      <c r="X210" s="664" t="s">
        <v>411</v>
      </c>
      <c r="Y210" s="500"/>
      <c r="Z210" s="457"/>
      <c r="AA210" s="457"/>
      <c r="AB210" s="49"/>
      <c r="AC210" s="551" t="str">
        <f t="shared" si="44"/>
        <v/>
      </c>
      <c r="AD210" s="457"/>
      <c r="AE210" s="457"/>
      <c r="AF210" s="457"/>
    </row>
    <row r="211" spans="1:32" ht="11.25" customHeight="1">
      <c r="A211" s="611">
        <v>13</v>
      </c>
      <c r="B211" s="127"/>
      <c r="C211" s="613" t="str">
        <f>IF(O209="","",IF(LEN(O209)&lt;=135,O209,IF(LEN(O209)&lt;=260,LEFT(O209,SEARCH(" ",O209,125)),LEFT(O209,SEARCH(" ",O209,130)))))</f>
        <v/>
      </c>
      <c r="D211" s="377"/>
      <c r="E211" s="377"/>
      <c r="F211" s="377"/>
      <c r="G211" s="377"/>
      <c r="H211" s="377"/>
      <c r="I211" s="377"/>
      <c r="J211" s="377"/>
      <c r="K211" s="71"/>
      <c r="L211" s="676" t="s">
        <v>411</v>
      </c>
      <c r="M211" s="85"/>
      <c r="N211" s="54" t="s">
        <v>82</v>
      </c>
      <c r="O211" s="1084"/>
      <c r="P211" s="440"/>
      <c r="Q211" s="677" t="str">
        <f>IF(OR(AB320=0,AB320=""),"",AB320)</f>
        <v/>
      </c>
      <c r="R211" s="48"/>
      <c r="S211" s="48"/>
      <c r="T211" s="48"/>
      <c r="U211" s="48"/>
      <c r="V211" s="48"/>
      <c r="W211" s="69"/>
      <c r="X211" s="664" t="s">
        <v>411</v>
      </c>
      <c r="Y211" s="500"/>
      <c r="Z211" s="457"/>
      <c r="AA211" s="99" t="s">
        <v>465</v>
      </c>
      <c r="AB211" s="1187"/>
      <c r="AC211" s="551" t="str">
        <f t="shared" si="44"/>
        <v/>
      </c>
      <c r="AD211" s="1060" t="str">
        <f t="shared" ref="AD211:AD216" si="45">IF(P1414="","",P1414)</f>
        <v/>
      </c>
      <c r="AE211" s="457" t="s">
        <v>801</v>
      </c>
      <c r="AF211" s="457"/>
    </row>
    <row r="212" spans="1:32" ht="11.25" customHeight="1">
      <c r="A212" s="611">
        <v>14</v>
      </c>
      <c r="B212" s="127"/>
      <c r="C212" s="613" t="str">
        <f>IF(LEN(O209)&lt;=135,"",IF(LEN(O209)&lt;=260,RIGHT(O209,LEN(O209)-SEARCH(" ",O209,125)),MID(O209,SEARCH(" ",O209,130),IF(LEN(O209)&lt;=265,LEN(O209),SEARCH(" ",O209,255)-SEARCH(" ",O209,130)))))</f>
        <v/>
      </c>
      <c r="D212" s="377"/>
      <c r="E212" s="377"/>
      <c r="F212" s="377"/>
      <c r="G212" s="377"/>
      <c r="H212" s="377"/>
      <c r="I212" s="377"/>
      <c r="J212" s="377"/>
      <c r="K212" s="71"/>
      <c r="L212" s="676" t="s">
        <v>411</v>
      </c>
      <c r="M212" s="213"/>
      <c r="N212" s="609" t="s">
        <v>282</v>
      </c>
      <c r="O212" s="1085"/>
      <c r="P212" s="610">
        <f>LEN(O211)</f>
        <v>0</v>
      </c>
      <c r="Q212" s="679"/>
      <c r="R212" s="682">
        <f>LEN(Q211)</f>
        <v>0</v>
      </c>
      <c r="S212" s="59"/>
      <c r="T212" s="59"/>
      <c r="U212" s="59"/>
      <c r="V212" s="59"/>
      <c r="W212" s="70"/>
      <c r="X212" s="664" t="s">
        <v>411</v>
      </c>
      <c r="Y212" s="500"/>
      <c r="Z212" s="457"/>
      <c r="AA212" s="457"/>
      <c r="AB212" s="1187"/>
      <c r="AC212" s="551" t="str">
        <f t="shared" si="44"/>
        <v/>
      </c>
      <c r="AD212" s="1060" t="str">
        <f t="shared" si="45"/>
        <v/>
      </c>
      <c r="AE212" s="457" t="s">
        <v>802</v>
      </c>
      <c r="AF212" s="457"/>
    </row>
    <row r="213" spans="1:32" ht="11.25" customHeight="1">
      <c r="A213" s="611">
        <v>15</v>
      </c>
      <c r="B213" s="127"/>
      <c r="C213" s="613" t="str">
        <f>IF(LEN(O209)&lt;=265,"",RIGHT(O209,LEN(O209)-SEARCH(" ",O209,255)))</f>
        <v/>
      </c>
      <c r="D213" s="377"/>
      <c r="E213" s="377"/>
      <c r="F213" s="377"/>
      <c r="G213" s="377"/>
      <c r="H213" s="377"/>
      <c r="I213" s="377"/>
      <c r="J213" s="377"/>
      <c r="K213" s="71"/>
      <c r="L213" s="676" t="s">
        <v>411</v>
      </c>
      <c r="M213" s="66"/>
      <c r="N213" s="54" t="s">
        <v>82</v>
      </c>
      <c r="O213" s="1084"/>
      <c r="P213" s="440"/>
      <c r="Q213" s="677" t="str">
        <f>IF(OR(AB322=0,AB322=""),"",AB322)</f>
        <v/>
      </c>
      <c r="R213" s="48"/>
      <c r="S213" s="48"/>
      <c r="T213" s="48"/>
      <c r="U213" s="48"/>
      <c r="V213" s="48"/>
      <c r="W213" s="69"/>
      <c r="X213" s="664" t="s">
        <v>411</v>
      </c>
      <c r="Y213" s="500"/>
      <c r="Z213" s="457"/>
      <c r="AA213" s="457"/>
      <c r="AB213" s="1187"/>
      <c r="AC213" s="551" t="str">
        <f t="shared" si="44"/>
        <v/>
      </c>
      <c r="AD213" s="1060" t="str">
        <f t="shared" si="45"/>
        <v/>
      </c>
      <c r="AE213" s="457" t="s">
        <v>803</v>
      </c>
      <c r="AF213" s="457"/>
    </row>
    <row r="214" spans="1:32" ht="11.25" customHeight="1">
      <c r="A214" s="611">
        <v>16</v>
      </c>
      <c r="B214" s="127"/>
      <c r="C214" s="613" t="str">
        <f>IF(O211="","",IF(LEN(O211)&lt;=135,O211,IF(LEN(O211)&lt;=260,LEFT(O211,SEARCH(" ",O211,125)),LEFT(O211,SEARCH(" ",O211,130)))))</f>
        <v/>
      </c>
      <c r="D214" s="377"/>
      <c r="E214" s="377"/>
      <c r="F214" s="377"/>
      <c r="G214" s="377"/>
      <c r="H214" s="377"/>
      <c r="I214" s="377"/>
      <c r="J214" s="377"/>
      <c r="K214" s="71"/>
      <c r="L214" s="676" t="s">
        <v>411</v>
      </c>
      <c r="M214" s="85"/>
      <c r="N214" s="609" t="s">
        <v>282</v>
      </c>
      <c r="O214" s="1085"/>
      <c r="P214" s="610">
        <f>LEN(O213)</f>
        <v>0</v>
      </c>
      <c r="Q214" s="679"/>
      <c r="R214" s="682">
        <f>LEN(Q213)</f>
        <v>0</v>
      </c>
      <c r="S214" s="48"/>
      <c r="T214" s="48"/>
      <c r="U214" s="48"/>
      <c r="V214" s="48"/>
      <c r="W214" s="69"/>
      <c r="X214" s="664" t="s">
        <v>411</v>
      </c>
      <c r="Y214" s="500"/>
      <c r="Z214" s="457"/>
      <c r="AA214" s="457"/>
      <c r="AB214" s="1187"/>
      <c r="AC214" s="551" t="str">
        <f t="shared" si="44"/>
        <v/>
      </c>
      <c r="AD214" s="1060" t="str">
        <f t="shared" si="45"/>
        <v/>
      </c>
      <c r="AE214" s="457" t="s">
        <v>804</v>
      </c>
      <c r="AF214" s="457"/>
    </row>
    <row r="215" spans="1:32" ht="11.25" customHeight="1">
      <c r="A215" s="611">
        <v>17</v>
      </c>
      <c r="B215" s="127"/>
      <c r="C215" s="613" t="str">
        <f>IF(LEN(O211)&lt;=135,"",IF(LEN(O211)&lt;=260,RIGHT(O211,LEN(O211)-SEARCH(" ",O211,125)),MID(O211,SEARCH(" ",O211,130),IF(LEN(O211)&lt;=265,LEN(O211),SEARCH(" ",O211,255)-SEARCH(" ",O211,130)))))</f>
        <v/>
      </c>
      <c r="D215" s="377"/>
      <c r="E215" s="377"/>
      <c r="F215" s="377"/>
      <c r="G215" s="377"/>
      <c r="H215" s="377"/>
      <c r="I215" s="377"/>
      <c r="J215" s="377"/>
      <c r="K215" s="71"/>
      <c r="L215" s="676" t="s">
        <v>411</v>
      </c>
      <c r="M215" s="213"/>
      <c r="N215" s="54" t="s">
        <v>82</v>
      </c>
      <c r="O215" s="1084"/>
      <c r="P215" s="440"/>
      <c r="Q215" s="677" t="str">
        <f>IF(OR(AB324=0,AB324=""),"",AB324)</f>
        <v/>
      </c>
      <c r="R215" s="48"/>
      <c r="S215" s="59"/>
      <c r="T215" s="59"/>
      <c r="U215" s="59"/>
      <c r="V215" s="59"/>
      <c r="W215" s="70"/>
      <c r="X215" s="664" t="s">
        <v>411</v>
      </c>
      <c r="Y215" s="500"/>
      <c r="Z215" s="457"/>
      <c r="AA215" s="457"/>
      <c r="AB215" s="1187"/>
      <c r="AC215" s="551" t="str">
        <f t="shared" si="44"/>
        <v/>
      </c>
      <c r="AD215" s="1060" t="str">
        <f t="shared" si="45"/>
        <v/>
      </c>
      <c r="AE215" s="457" t="s">
        <v>805</v>
      </c>
      <c r="AF215" s="457"/>
    </row>
    <row r="216" spans="1:32" ht="11.25" customHeight="1">
      <c r="A216" s="611">
        <v>18</v>
      </c>
      <c r="B216" s="127"/>
      <c r="C216" s="613" t="str">
        <f>IF(LEN(O211)&lt;=265,"",RIGHT(O211,LEN(O211)-SEARCH(" ",O211,255)))</f>
        <v/>
      </c>
      <c r="D216" s="377"/>
      <c r="E216" s="377"/>
      <c r="F216" s="377"/>
      <c r="G216" s="377"/>
      <c r="H216" s="377"/>
      <c r="I216" s="377"/>
      <c r="J216" s="377"/>
      <c r="K216" s="71"/>
      <c r="L216" s="676" t="s">
        <v>411</v>
      </c>
      <c r="M216" s="66"/>
      <c r="N216" s="609" t="s">
        <v>282</v>
      </c>
      <c r="O216" s="1085"/>
      <c r="P216" s="610">
        <f>LEN(O215)</f>
        <v>0</v>
      </c>
      <c r="Q216" s="679"/>
      <c r="R216" s="682">
        <f>LEN(Q215)</f>
        <v>0</v>
      </c>
      <c r="S216" s="48"/>
      <c r="T216" s="48"/>
      <c r="U216" s="48"/>
      <c r="V216" s="48"/>
      <c r="W216" s="69"/>
      <c r="X216" s="664" t="s">
        <v>411</v>
      </c>
      <c r="Y216" s="500"/>
      <c r="Z216" s="457"/>
      <c r="AA216" s="457"/>
      <c r="AB216" s="1187"/>
      <c r="AC216" s="551" t="str">
        <f t="shared" si="44"/>
        <v/>
      </c>
      <c r="AD216" s="1060" t="str">
        <f t="shared" si="45"/>
        <v/>
      </c>
      <c r="AE216" s="457" t="s">
        <v>806</v>
      </c>
      <c r="AF216" s="457"/>
    </row>
    <row r="217" spans="1:32" ht="11.25" customHeight="1">
      <c r="A217" s="611">
        <v>19</v>
      </c>
      <c r="B217" s="127"/>
      <c r="C217" s="613" t="str">
        <f>IF(O213="","",IF(LEN(O213)&lt;=135,O213,IF(LEN(O213)&lt;=260,LEFT(O213,SEARCH(" ",O213,125)),LEFT(O213,SEARCH(" ",O213,130)))))</f>
        <v/>
      </c>
      <c r="D217" s="377"/>
      <c r="E217" s="377"/>
      <c r="F217" s="377"/>
      <c r="G217" s="377"/>
      <c r="H217" s="377"/>
      <c r="I217" s="377"/>
      <c r="J217" s="377"/>
      <c r="K217" s="71"/>
      <c r="L217" s="676" t="s">
        <v>411</v>
      </c>
      <c r="M217" s="85"/>
      <c r="N217" s="54" t="s">
        <v>82</v>
      </c>
      <c r="O217" s="1084"/>
      <c r="P217" s="440"/>
      <c r="Q217" s="677" t="str">
        <f>IF(OR(AB326=0,AB326=""),"",AB326)</f>
        <v/>
      </c>
      <c r="R217" s="48"/>
      <c r="S217" s="48"/>
      <c r="T217" s="48"/>
      <c r="U217" s="48"/>
      <c r="V217" s="48"/>
      <c r="W217" s="69"/>
      <c r="X217" s="664" t="s">
        <v>411</v>
      </c>
      <c r="Y217" s="500"/>
      <c r="Z217" s="457"/>
      <c r="AA217" s="457"/>
      <c r="AB217" s="49"/>
      <c r="AC217" s="551" t="str">
        <f t="shared" si="44"/>
        <v/>
      </c>
      <c r="AD217" s="457"/>
      <c r="AE217" s="457"/>
      <c r="AF217" s="457"/>
    </row>
    <row r="218" spans="1:32" ht="11.25" customHeight="1">
      <c r="A218" s="611">
        <v>20</v>
      </c>
      <c r="B218" s="127"/>
      <c r="C218" s="613" t="str">
        <f>IF(LEN(O213)&lt;=135,"",IF(LEN(O213)&lt;=260,RIGHT(O213,LEN(O213)-SEARCH(" ",O213,125)),MID(O213,SEARCH(" ",O213,130),IF(LEN(O213)&lt;=265,LEN(O213),SEARCH(" ",O213,255)-SEARCH(" ",O213,130)))))</f>
        <v/>
      </c>
      <c r="D218" s="377"/>
      <c r="E218" s="377"/>
      <c r="F218" s="377"/>
      <c r="G218" s="377"/>
      <c r="H218" s="377"/>
      <c r="I218" s="377"/>
      <c r="J218" s="377"/>
      <c r="K218" s="71"/>
      <c r="L218" s="676" t="s">
        <v>411</v>
      </c>
      <c r="M218" s="213"/>
      <c r="N218" s="609" t="s">
        <v>282</v>
      </c>
      <c r="O218" s="1085"/>
      <c r="P218" s="610">
        <f>LEN(O217)</f>
        <v>0</v>
      </c>
      <c r="Q218" s="679"/>
      <c r="R218" s="682">
        <f>LEN(Q217)</f>
        <v>0</v>
      </c>
      <c r="S218" s="59"/>
      <c r="T218" s="59"/>
      <c r="U218" s="59"/>
      <c r="V218" s="59"/>
      <c r="W218" s="70"/>
      <c r="X218" s="664" t="s">
        <v>411</v>
      </c>
      <c r="Y218" s="500"/>
      <c r="Z218" s="457"/>
      <c r="AA218" s="99" t="s">
        <v>1054</v>
      </c>
      <c r="AB218" s="1188"/>
      <c r="AC218" s="551" t="str">
        <f t="shared" si="44"/>
        <v/>
      </c>
      <c r="AD218" s="1108" t="str">
        <f t="shared" ref="AD218:AD223" si="46">IF(R1414="","",R1414)</f>
        <v/>
      </c>
      <c r="AE218" s="457" t="s">
        <v>807</v>
      </c>
      <c r="AF218" s="457"/>
    </row>
    <row r="219" spans="1:32" ht="11.25" customHeight="1">
      <c r="A219" s="611">
        <v>21</v>
      </c>
      <c r="B219" s="127"/>
      <c r="C219" s="613" t="str">
        <f>IF(LEN(O213)&lt;=265,"",RIGHT(O213,LEN(O213)-SEARCH(" ",O213,255)))</f>
        <v/>
      </c>
      <c r="D219" s="377"/>
      <c r="E219" s="377"/>
      <c r="F219" s="377"/>
      <c r="G219" s="377"/>
      <c r="H219" s="377"/>
      <c r="I219" s="377"/>
      <c r="J219" s="377"/>
      <c r="K219" s="71"/>
      <c r="L219" s="676" t="s">
        <v>411</v>
      </c>
      <c r="M219" s="66"/>
      <c r="N219" s="54" t="s">
        <v>82</v>
      </c>
      <c r="O219" s="1084"/>
      <c r="P219" s="440"/>
      <c r="Q219" s="677" t="str">
        <f>IF(OR(AB328=0,AB328=""),"",AB328)</f>
        <v/>
      </c>
      <c r="R219" s="48"/>
      <c r="S219" s="48"/>
      <c r="T219" s="48"/>
      <c r="U219" s="48"/>
      <c r="V219" s="48"/>
      <c r="W219" s="69"/>
      <c r="X219" s="664" t="s">
        <v>411</v>
      </c>
      <c r="Y219" s="500"/>
      <c r="Z219" s="457"/>
      <c r="AA219" s="99" t="str">
        <f>"@ "&amp;ROUND(AD209,1)&amp;" in."</f>
        <v>@ 0 in.</v>
      </c>
      <c r="AB219" s="1188"/>
      <c r="AC219" s="551" t="str">
        <f t="shared" si="44"/>
        <v/>
      </c>
      <c r="AD219" s="1108" t="str">
        <f t="shared" si="46"/>
        <v/>
      </c>
      <c r="AE219" s="457" t="s">
        <v>808</v>
      </c>
      <c r="AF219" s="457"/>
    </row>
    <row r="220" spans="1:32" ht="11.25" customHeight="1">
      <c r="A220" s="611">
        <v>22</v>
      </c>
      <c r="B220" s="127"/>
      <c r="C220" s="613" t="str">
        <f>IF(O215="","",IF(LEN(O215)&lt;=135,O215,IF(LEN(O215)&lt;=260,LEFT(O215,SEARCH(" ",O215,125)),LEFT(O215,SEARCH(" ",O215,130)))))</f>
        <v/>
      </c>
      <c r="D220" s="377"/>
      <c r="E220" s="377"/>
      <c r="F220" s="377"/>
      <c r="G220" s="377"/>
      <c r="H220" s="377"/>
      <c r="I220" s="377"/>
      <c r="J220" s="377"/>
      <c r="K220" s="71"/>
      <c r="L220" s="676" t="s">
        <v>411</v>
      </c>
      <c r="M220" s="85"/>
      <c r="N220" s="609" t="s">
        <v>282</v>
      </c>
      <c r="O220" s="1085"/>
      <c r="P220" s="610">
        <f>LEN(O219)</f>
        <v>0</v>
      </c>
      <c r="Q220" s="679"/>
      <c r="R220" s="682">
        <f>LEN(Q219)</f>
        <v>0</v>
      </c>
      <c r="S220" s="48"/>
      <c r="T220" s="48"/>
      <c r="U220" s="48"/>
      <c r="V220" s="48"/>
      <c r="W220" s="69"/>
      <c r="X220" s="664" t="s">
        <v>411</v>
      </c>
      <c r="Y220" s="500"/>
      <c r="Z220" s="457"/>
      <c r="AA220" s="457"/>
      <c r="AB220" s="1188"/>
      <c r="AC220" s="551" t="str">
        <f t="shared" si="44"/>
        <v/>
      </c>
      <c r="AD220" s="1108" t="str">
        <f t="shared" si="46"/>
        <v/>
      </c>
      <c r="AE220" s="457" t="s">
        <v>809</v>
      </c>
      <c r="AF220" s="457"/>
    </row>
    <row r="221" spans="1:32" ht="11.25" customHeight="1">
      <c r="A221" s="611">
        <v>23</v>
      </c>
      <c r="B221" s="127"/>
      <c r="C221" s="613" t="str">
        <f>IF(LEN(O215)&lt;=135,"",IF(LEN(O215)&lt;=260,RIGHT(O215,LEN(O215)-SEARCH(" ",O215,125)),MID(O215,SEARCH(" ",O215,130),IF(LEN(O215)&lt;=265,LEN(O215),SEARCH(" ",O215,255)-SEARCH(" ",O215,130)))))</f>
        <v/>
      </c>
      <c r="D221" s="377"/>
      <c r="E221" s="377"/>
      <c r="F221" s="377"/>
      <c r="G221" s="377"/>
      <c r="H221" s="377"/>
      <c r="I221" s="377"/>
      <c r="J221" s="377"/>
      <c r="K221" s="71"/>
      <c r="L221" s="676" t="s">
        <v>411</v>
      </c>
      <c r="M221" s="213"/>
      <c r="N221" s="54" t="s">
        <v>82</v>
      </c>
      <c r="O221" s="1084"/>
      <c r="P221" s="440"/>
      <c r="Q221" s="677" t="str">
        <f>IF(OR(AB330=0,AB330=""),"",AB330)</f>
        <v/>
      </c>
      <c r="R221" s="48"/>
      <c r="S221" s="59"/>
      <c r="T221" s="59"/>
      <c r="U221" s="59"/>
      <c r="V221" s="59"/>
      <c r="W221" s="70"/>
      <c r="X221" s="664" t="s">
        <v>411</v>
      </c>
      <c r="Y221" s="500"/>
      <c r="Z221" s="457"/>
      <c r="AA221" s="457"/>
      <c r="AB221" s="1188"/>
      <c r="AC221" s="551" t="str">
        <f t="shared" si="44"/>
        <v/>
      </c>
      <c r="AD221" s="1108" t="str">
        <f t="shared" si="46"/>
        <v/>
      </c>
      <c r="AE221" s="457" t="s">
        <v>810</v>
      </c>
      <c r="AF221" s="457"/>
    </row>
    <row r="222" spans="1:32" ht="11.25" customHeight="1">
      <c r="A222" s="611">
        <v>24</v>
      </c>
      <c r="B222" s="127"/>
      <c r="C222" s="613" t="str">
        <f>IF(LEN(O215)&lt;=265,"",RIGHT(O215,LEN(O215)-SEARCH(" ",O215,255)))</f>
        <v/>
      </c>
      <c r="D222" s="377"/>
      <c r="E222" s="377"/>
      <c r="F222" s="377"/>
      <c r="G222" s="377"/>
      <c r="H222" s="377"/>
      <c r="I222" s="377"/>
      <c r="J222" s="377"/>
      <c r="K222" s="71"/>
      <c r="L222" s="676" t="s">
        <v>411</v>
      </c>
      <c r="M222" s="66"/>
      <c r="N222" s="609" t="s">
        <v>282</v>
      </c>
      <c r="O222" s="1085"/>
      <c r="P222" s="610">
        <f>LEN(O221)</f>
        <v>0</v>
      </c>
      <c r="Q222" s="679"/>
      <c r="R222" s="682">
        <f>LEN(Q221)</f>
        <v>0</v>
      </c>
      <c r="S222" s="48"/>
      <c r="T222" s="48"/>
      <c r="U222" s="48"/>
      <c r="V222" s="48"/>
      <c r="W222" s="69"/>
      <c r="X222" s="664" t="s">
        <v>411</v>
      </c>
      <c r="Y222" s="500"/>
      <c r="Z222" s="457"/>
      <c r="AA222" s="457"/>
      <c r="AB222" s="1188"/>
      <c r="AC222" s="551" t="str">
        <f t="shared" si="44"/>
        <v/>
      </c>
      <c r="AD222" s="1108" t="str">
        <f t="shared" si="46"/>
        <v/>
      </c>
      <c r="AE222" s="457" t="s">
        <v>811</v>
      </c>
      <c r="AF222" s="457"/>
    </row>
    <row r="223" spans="1:32" ht="11.25" customHeight="1">
      <c r="A223" s="611">
        <v>25</v>
      </c>
      <c r="B223" s="127"/>
      <c r="C223" s="613" t="str">
        <f>IF(O217="","",IF(LEN(O217)&lt;=135,O217,IF(LEN(O217)&lt;=260,LEFT(O217,SEARCH(" ",O217,125)),LEFT(O217,SEARCH(" ",O217,130)))))</f>
        <v/>
      </c>
      <c r="D223" s="377"/>
      <c r="E223" s="377"/>
      <c r="F223" s="377"/>
      <c r="G223" s="377"/>
      <c r="H223" s="377"/>
      <c r="I223" s="377"/>
      <c r="J223" s="377"/>
      <c r="K223" s="71"/>
      <c r="L223" s="676" t="s">
        <v>411</v>
      </c>
      <c r="M223" s="85"/>
      <c r="N223" s="54" t="s">
        <v>82</v>
      </c>
      <c r="O223" s="1084"/>
      <c r="P223" s="440"/>
      <c r="Q223" s="677" t="str">
        <f>IF(OR(AB332=0,AB332=""),"",AB332)</f>
        <v/>
      </c>
      <c r="R223" s="48"/>
      <c r="S223" s="48"/>
      <c r="T223" s="48"/>
      <c r="U223" s="48"/>
      <c r="V223" s="48"/>
      <c r="W223" s="69"/>
      <c r="X223" s="664" t="s">
        <v>411</v>
      </c>
      <c r="Y223" s="500"/>
      <c r="Z223" s="457"/>
      <c r="AA223" s="457"/>
      <c r="AB223" s="1188"/>
      <c r="AC223" s="551" t="str">
        <f t="shared" si="44"/>
        <v/>
      </c>
      <c r="AD223" s="1108" t="str">
        <f t="shared" si="46"/>
        <v/>
      </c>
      <c r="AE223" s="457" t="s">
        <v>812</v>
      </c>
      <c r="AF223" s="457"/>
    </row>
    <row r="224" spans="1:32" ht="11.25" customHeight="1">
      <c r="A224" s="611">
        <v>26</v>
      </c>
      <c r="B224" s="127"/>
      <c r="C224" s="613" t="str">
        <f>IF(LEN(O217)&lt;=135,"",IF(LEN(O217)&lt;=260,RIGHT(O217,LEN(O217)-SEARCH(" ",O217,125)),MID(O217,SEARCH(" ",O217,130),IF(LEN(O217)&lt;=265,LEN(O217),SEARCH(" ",O217,255)-SEARCH(" ",O217,130)))))</f>
        <v/>
      </c>
      <c r="D224" s="377"/>
      <c r="E224" s="377"/>
      <c r="F224" s="377"/>
      <c r="G224" s="377"/>
      <c r="H224" s="377"/>
      <c r="I224" s="377"/>
      <c r="J224" s="377"/>
      <c r="K224" s="71"/>
      <c r="L224" s="676" t="s">
        <v>411</v>
      </c>
      <c r="M224" s="213"/>
      <c r="N224" s="609" t="s">
        <v>282</v>
      </c>
      <c r="O224" s="1085"/>
      <c r="P224" s="610">
        <f>LEN(O223)</f>
        <v>0</v>
      </c>
      <c r="Q224" s="679"/>
      <c r="R224" s="682">
        <f>LEN(Q223)</f>
        <v>0</v>
      </c>
      <c r="S224" s="59"/>
      <c r="T224" s="59"/>
      <c r="U224" s="59"/>
      <c r="V224" s="59"/>
      <c r="W224" s="70"/>
      <c r="X224" s="664" t="s">
        <v>411</v>
      </c>
      <c r="Y224" s="500"/>
      <c r="Z224" s="457"/>
      <c r="AA224" s="132" t="s">
        <v>1057</v>
      </c>
      <c r="AB224" s="49"/>
      <c r="AC224" s="551" t="str">
        <f t="shared" si="44"/>
        <v/>
      </c>
      <c r="AD224" s="457"/>
      <c r="AE224" s="457"/>
      <c r="AF224" s="457"/>
    </row>
    <row r="225" spans="1:32" ht="11.25" customHeight="1">
      <c r="A225" s="611">
        <v>27</v>
      </c>
      <c r="B225" s="127"/>
      <c r="C225" s="613" t="str">
        <f>IF(LEN(O217)&lt;=265,"",RIGHT(O217,LEN(O217)-SEARCH(" ",O217,255)))</f>
        <v/>
      </c>
      <c r="D225" s="377"/>
      <c r="E225" s="377"/>
      <c r="F225" s="377"/>
      <c r="G225" s="377"/>
      <c r="H225" s="377"/>
      <c r="I225" s="377"/>
      <c r="J225" s="377"/>
      <c r="K225" s="71"/>
      <c r="L225" s="676" t="s">
        <v>411</v>
      </c>
      <c r="M225" s="66"/>
      <c r="N225" s="54" t="s">
        <v>82</v>
      </c>
      <c r="O225" s="1084"/>
      <c r="P225" s="440"/>
      <c r="Q225" s="677" t="str">
        <f>IF(OR(AB334=0,AB334=""),"",AB334)</f>
        <v/>
      </c>
      <c r="R225" s="48"/>
      <c r="S225" s="48"/>
      <c r="T225" s="48"/>
      <c r="U225" s="48"/>
      <c r="V225" s="48"/>
      <c r="W225" s="69"/>
      <c r="X225" s="664" t="s">
        <v>411</v>
      </c>
      <c r="Y225" s="500"/>
      <c r="Z225" s="457"/>
      <c r="AA225" s="462" t="s">
        <v>35</v>
      </c>
      <c r="AB225" s="1191"/>
      <c r="AC225" s="551" t="str">
        <f t="shared" ref="AC225:AC232" si="47">IF(AND(OR(AB225="",AB225=0),OR(AD225="",AD225=0)),"",IF(AB225&lt;&gt;AD225,"Change",""))</f>
        <v>Change</v>
      </c>
      <c r="AD225" s="1061" t="str">
        <f>IF(Q1406="","",Q1406)</f>
        <v>NA</v>
      </c>
      <c r="AE225" s="457" t="s">
        <v>41</v>
      </c>
      <c r="AF225" s="457"/>
    </row>
    <row r="226" spans="1:32" ht="11.25" customHeight="1">
      <c r="A226" s="611">
        <v>28</v>
      </c>
      <c r="B226" s="127"/>
      <c r="C226" s="613" t="str">
        <f>IF(O219="","",IF(LEN(O219)&lt;=135,O219,IF(LEN(O219)&lt;=260,LEFT(O219,SEARCH(" ",O219,125)),LEFT(O219,SEARCH(" ",O219,130)))))</f>
        <v/>
      </c>
      <c r="D226" s="377"/>
      <c r="E226" s="377"/>
      <c r="F226" s="377"/>
      <c r="G226" s="377"/>
      <c r="H226" s="377"/>
      <c r="I226" s="377"/>
      <c r="J226" s="377"/>
      <c r="K226" s="71"/>
      <c r="L226" s="676" t="s">
        <v>411</v>
      </c>
      <c r="M226" s="85"/>
      <c r="N226" s="609" t="s">
        <v>282</v>
      </c>
      <c r="O226" s="1085"/>
      <c r="P226" s="610">
        <f>LEN(O225)</f>
        <v>0</v>
      </c>
      <c r="Q226" s="679"/>
      <c r="R226" s="682">
        <f>LEN(Q225)</f>
        <v>0</v>
      </c>
      <c r="S226" s="48"/>
      <c r="T226" s="48"/>
      <c r="U226" s="48"/>
      <c r="V226" s="48"/>
      <c r="W226" s="69"/>
      <c r="X226" s="664" t="s">
        <v>411</v>
      </c>
      <c r="Y226" s="500"/>
      <c r="Z226" s="457"/>
      <c r="AA226" s="462" t="s">
        <v>36</v>
      </c>
      <c r="AB226" s="1191"/>
      <c r="AC226" s="551" t="str">
        <f t="shared" si="47"/>
        <v>Change</v>
      </c>
      <c r="AD226" s="1061" t="str">
        <f>IF(R1406="","",R1406)</f>
        <v>NA</v>
      </c>
      <c r="AE226" s="457" t="s">
        <v>42</v>
      </c>
      <c r="AF226" s="457"/>
    </row>
    <row r="227" spans="1:32" ht="11.25" customHeight="1">
      <c r="A227" s="611">
        <v>29</v>
      </c>
      <c r="B227" s="127"/>
      <c r="C227" s="613" t="str">
        <f>IF(LEN(O219)&lt;=135,"",IF(LEN(O219)&lt;=260,RIGHT(O219,LEN(O219)-SEARCH(" ",O219,125)),MID(O219,SEARCH(" ",O219,130),IF(LEN(O219)&lt;=265,LEN(O219),SEARCH(" ",O219,255)-SEARCH(" ",O219,130)))))</f>
        <v/>
      </c>
      <c r="D227" s="377"/>
      <c r="E227" s="377"/>
      <c r="F227" s="377"/>
      <c r="G227" s="377"/>
      <c r="H227" s="377"/>
      <c r="I227" s="377"/>
      <c r="J227" s="377"/>
      <c r="K227" s="71"/>
      <c r="L227" s="676" t="s">
        <v>411</v>
      </c>
      <c r="M227" s="213"/>
      <c r="N227" s="54" t="s">
        <v>82</v>
      </c>
      <c r="O227" s="1084"/>
      <c r="P227" s="440"/>
      <c r="Q227" s="677" t="str">
        <f>IF(OR(AB336=0,AB336=""),"",AB336)</f>
        <v/>
      </c>
      <c r="R227" s="48"/>
      <c r="S227" s="59"/>
      <c r="T227" s="59"/>
      <c r="U227" s="59"/>
      <c r="V227" s="59"/>
      <c r="W227" s="70"/>
      <c r="X227" s="664" t="s">
        <v>411</v>
      </c>
      <c r="Y227" s="500"/>
      <c r="Z227" s="457"/>
      <c r="AA227" s="462" t="s">
        <v>37</v>
      </c>
      <c r="AB227" s="1191"/>
      <c r="AC227" s="551" t="str">
        <f t="shared" si="47"/>
        <v>Change</v>
      </c>
      <c r="AD227" s="1061" t="str">
        <f>IF(S1406="","",S1406)</f>
        <v>NA</v>
      </c>
      <c r="AE227" s="457" t="s">
        <v>43</v>
      </c>
      <c r="AF227" s="457"/>
    </row>
    <row r="228" spans="1:32" ht="11.25" customHeight="1">
      <c r="A228" s="611">
        <v>30</v>
      </c>
      <c r="B228" s="127"/>
      <c r="C228" s="613" t="str">
        <f>IF(LEN(O219)&lt;=265,"",RIGHT(O219,LEN(O219)-SEARCH(" ",O219,255)))</f>
        <v/>
      </c>
      <c r="D228" s="377"/>
      <c r="E228" s="377"/>
      <c r="F228" s="377"/>
      <c r="G228" s="377"/>
      <c r="H228" s="377"/>
      <c r="I228" s="377"/>
      <c r="J228" s="377"/>
      <c r="K228" s="71"/>
      <c r="L228" s="676" t="s">
        <v>411</v>
      </c>
      <c r="M228" s="66"/>
      <c r="N228" s="609" t="s">
        <v>282</v>
      </c>
      <c r="O228" s="1085"/>
      <c r="P228" s="610">
        <f>LEN(O227)</f>
        <v>0</v>
      </c>
      <c r="Q228" s="679"/>
      <c r="R228" s="682">
        <f>LEN(Q227)</f>
        <v>0</v>
      </c>
      <c r="S228" s="48"/>
      <c r="T228" s="48"/>
      <c r="U228" s="48"/>
      <c r="V228" s="48"/>
      <c r="W228" s="69"/>
      <c r="X228" s="664" t="s">
        <v>411</v>
      </c>
      <c r="Y228" s="500"/>
      <c r="Z228" s="457"/>
      <c r="AA228" s="462" t="s">
        <v>38</v>
      </c>
      <c r="AB228" s="1191"/>
      <c r="AC228" s="551" t="str">
        <f t="shared" si="47"/>
        <v>Change</v>
      </c>
      <c r="AD228" s="1061" t="str">
        <f>IF(Q1421="","",Q1421)</f>
        <v>NA</v>
      </c>
      <c r="AE228" s="457" t="s">
        <v>44</v>
      </c>
      <c r="AF228" s="457"/>
    </row>
    <row r="229" spans="1:32" ht="11.25" customHeight="1">
      <c r="A229" s="611">
        <v>31</v>
      </c>
      <c r="B229" s="127"/>
      <c r="C229" s="613" t="str">
        <f>IF(O221="","",IF(LEN(O221)&lt;=135,O221,IF(LEN(O221)&lt;=260,LEFT(O221,SEARCH(" ",O221,125)),LEFT(O221,SEARCH(" ",O221,130)))))</f>
        <v/>
      </c>
      <c r="D229" s="377"/>
      <c r="E229" s="377"/>
      <c r="F229" s="377"/>
      <c r="G229" s="377"/>
      <c r="H229" s="377"/>
      <c r="I229" s="377"/>
      <c r="J229" s="377"/>
      <c r="K229" s="71"/>
      <c r="L229" s="676" t="s">
        <v>411</v>
      </c>
      <c r="M229" s="85"/>
      <c r="N229" s="54" t="s">
        <v>82</v>
      </c>
      <c r="O229" s="1084"/>
      <c r="P229" s="440"/>
      <c r="Q229" s="677" t="str">
        <f>IF(OR(AB338=0,AB338=""),"",AB338)</f>
        <v/>
      </c>
      <c r="R229" s="48"/>
      <c r="S229" s="48"/>
      <c r="T229" s="48"/>
      <c r="U229" s="48"/>
      <c r="V229" s="48"/>
      <c r="W229" s="69"/>
      <c r="X229" s="664" t="s">
        <v>411</v>
      </c>
      <c r="Y229" s="500"/>
      <c r="Z229" s="457"/>
      <c r="AA229" s="462" t="s">
        <v>39</v>
      </c>
      <c r="AB229" s="1191"/>
      <c r="AC229" s="551" t="str">
        <f t="shared" si="47"/>
        <v>Change</v>
      </c>
      <c r="AD229" s="1061" t="str">
        <f>IF(R1421="","",R1421)</f>
        <v>NA</v>
      </c>
      <c r="AE229" s="457" t="s">
        <v>45</v>
      </c>
      <c r="AF229" s="457"/>
    </row>
    <row r="230" spans="1:32" ht="11.25" customHeight="1">
      <c r="A230" s="611">
        <v>32</v>
      </c>
      <c r="B230" s="127"/>
      <c r="C230" s="613" t="str">
        <f>IF(LEN(O221)&lt;=135,"",IF(LEN(O221)&lt;=260,RIGHT(O221,LEN(O221)-SEARCH(" ",O221,125)),MID(O221,SEARCH(" ",O221,130),IF(LEN(O221)&lt;=265,LEN(O221),SEARCH(" ",O221,255)-SEARCH(" ",O221,130)))))</f>
        <v/>
      </c>
      <c r="D230" s="377"/>
      <c r="E230" s="377"/>
      <c r="F230" s="377"/>
      <c r="G230" s="377"/>
      <c r="H230" s="377"/>
      <c r="I230" s="377"/>
      <c r="J230" s="377"/>
      <c r="K230" s="71"/>
      <c r="L230" s="676" t="s">
        <v>411</v>
      </c>
      <c r="M230" s="213"/>
      <c r="N230" s="609" t="s">
        <v>282</v>
      </c>
      <c r="O230" s="1085"/>
      <c r="P230" s="610">
        <f>LEN(O229)</f>
        <v>0</v>
      </c>
      <c r="Q230" s="679"/>
      <c r="R230" s="682">
        <f>LEN(Q229)</f>
        <v>0</v>
      </c>
      <c r="S230" s="59"/>
      <c r="T230" s="59"/>
      <c r="U230" s="59"/>
      <c r="V230" s="59"/>
      <c r="W230" s="70"/>
      <c r="X230" s="664" t="s">
        <v>411</v>
      </c>
      <c r="Y230" s="500"/>
      <c r="Z230" s="457"/>
      <c r="AA230" s="462" t="s">
        <v>40</v>
      </c>
      <c r="AB230" s="1191"/>
      <c r="AC230" s="551" t="str">
        <f t="shared" si="47"/>
        <v>Change</v>
      </c>
      <c r="AD230" s="1061" t="str">
        <f>IF(S1421="","",S1421)</f>
        <v>NA</v>
      </c>
      <c r="AE230" s="457" t="s">
        <v>46</v>
      </c>
      <c r="AF230" s="457"/>
    </row>
    <row r="231" spans="1:32" ht="11.25" customHeight="1">
      <c r="A231" s="611">
        <v>33</v>
      </c>
      <c r="B231" s="127"/>
      <c r="C231" s="613" t="str">
        <f>IF(LEN(O221)&lt;=265,"",RIGHT(O221,LEN(O221)-SEARCH(" ",O221,255)))</f>
        <v/>
      </c>
      <c r="D231" s="377"/>
      <c r="E231" s="377"/>
      <c r="F231" s="377"/>
      <c r="G231" s="377"/>
      <c r="H231" s="377"/>
      <c r="I231" s="377"/>
      <c r="J231" s="377"/>
      <c r="K231" s="71"/>
      <c r="L231" s="676" t="s">
        <v>411</v>
      </c>
      <c r="M231" s="127"/>
      <c r="N231" s="54" t="s">
        <v>82</v>
      </c>
      <c r="O231" s="1084"/>
      <c r="P231" s="440"/>
      <c r="Q231" s="677" t="str">
        <f>IF(OR(AB340=0,AB340=""),"",AB340)</f>
        <v/>
      </c>
      <c r="R231" s="48"/>
      <c r="S231" s="59"/>
      <c r="T231" s="59"/>
      <c r="U231" s="59"/>
      <c r="V231" s="59"/>
      <c r="W231" s="71"/>
      <c r="X231" s="664" t="s">
        <v>411</v>
      </c>
      <c r="Y231" s="500"/>
      <c r="Z231" s="457"/>
      <c r="AB231" s="49"/>
      <c r="AC231" s="551" t="str">
        <f t="shared" si="47"/>
        <v/>
      </c>
      <c r="AD231" s="457"/>
      <c r="AF231" s="457"/>
    </row>
    <row r="232" spans="1:32" ht="11.25" customHeight="1">
      <c r="A232" s="611">
        <v>34</v>
      </c>
      <c r="B232" s="127"/>
      <c r="C232" s="613" t="str">
        <f>IF(O223="","",IF(LEN(O223)&lt;=135,O223,IF(LEN(O223)&lt;=260,LEFT(O223,SEARCH(" ",O223,125)),LEFT(O223,SEARCH(" ",O223,130)))))</f>
        <v/>
      </c>
      <c r="D232" s="377"/>
      <c r="E232" s="377"/>
      <c r="F232" s="377"/>
      <c r="G232" s="377"/>
      <c r="H232" s="377"/>
      <c r="I232" s="377"/>
      <c r="J232" s="377"/>
      <c r="K232" s="71"/>
      <c r="L232" s="676" t="s">
        <v>411</v>
      </c>
      <c r="M232" s="127"/>
      <c r="N232" s="609" t="s">
        <v>282</v>
      </c>
      <c r="O232" s="1085"/>
      <c r="P232" s="610">
        <f>LEN(O231)</f>
        <v>0</v>
      </c>
      <c r="Q232" s="679"/>
      <c r="R232" s="682">
        <f>LEN(Q231)</f>
        <v>0</v>
      </c>
      <c r="S232" s="48"/>
      <c r="T232" s="48"/>
      <c r="U232" s="48"/>
      <c r="V232" s="48"/>
      <c r="W232" s="71"/>
      <c r="X232" s="664" t="s">
        <v>411</v>
      </c>
      <c r="Y232" s="500"/>
      <c r="Z232" s="457"/>
      <c r="AA232" s="132" t="s">
        <v>553</v>
      </c>
      <c r="AB232" s="49"/>
      <c r="AC232" s="551" t="str">
        <f t="shared" si="47"/>
        <v/>
      </c>
      <c r="AD232" s="457"/>
      <c r="AE232" s="457"/>
      <c r="AF232" s="457"/>
    </row>
    <row r="233" spans="1:32" ht="11.25" customHeight="1">
      <c r="A233" s="611">
        <v>35</v>
      </c>
      <c r="B233" s="127"/>
      <c r="C233" s="613" t="str">
        <f>IF(LEN(O223)&lt;=135,"",IF(LEN(O223)&lt;=260,RIGHT(O223,LEN(O223)-SEARCH(" ",O223,125)),MID(O223,SEARCH(" ",O223,130),IF(LEN(O223)&lt;=265,LEN(O223),SEARCH(" ",O223,255)-SEARCH(" ",O223,130)))))</f>
        <v/>
      </c>
      <c r="D233" s="377"/>
      <c r="E233" s="377"/>
      <c r="F233" s="377"/>
      <c r="G233" s="377"/>
      <c r="H233" s="377"/>
      <c r="I233" s="377"/>
      <c r="J233" s="377"/>
      <c r="K233" s="71"/>
      <c r="L233" s="676" t="s">
        <v>411</v>
      </c>
      <c r="M233" s="127"/>
      <c r="N233" s="54" t="s">
        <v>82</v>
      </c>
      <c r="O233" s="1084"/>
      <c r="P233" s="440"/>
      <c r="Q233" s="677" t="str">
        <f>IF(OR(AB342=0,AB342=""),"",AB342)</f>
        <v/>
      </c>
      <c r="R233" s="48"/>
      <c r="S233" s="59"/>
      <c r="T233" s="59"/>
      <c r="U233" s="59"/>
      <c r="V233" s="59"/>
      <c r="W233" s="71"/>
      <c r="X233" s="664" t="s">
        <v>411</v>
      </c>
      <c r="Y233" s="500"/>
      <c r="Z233" s="457"/>
      <c r="AA233" s="462" t="s">
        <v>554</v>
      </c>
      <c r="AB233" s="1186"/>
      <c r="AC233" s="551" t="str">
        <f t="shared" ref="AC233:AC271" si="48">IF(AND(OR(AB233="",AB233=0),OR(AD233="",AD233=0)),"",IF(AB233&lt;&gt;AD233,"Change",""))</f>
        <v/>
      </c>
      <c r="AD233" s="1056" t="str">
        <f>M79</f>
        <v/>
      </c>
      <c r="AE233" s="457" t="s">
        <v>286</v>
      </c>
      <c r="AF233" s="457"/>
    </row>
    <row r="234" spans="1:32" ht="11.25" customHeight="1">
      <c r="A234" s="611">
        <v>36</v>
      </c>
      <c r="B234" s="127"/>
      <c r="C234" s="613" t="str">
        <f>IF(LEN(O223)&lt;=265,"",RIGHT(O223,LEN(O223)-SEARCH(" ",O223,255)))</f>
        <v/>
      </c>
      <c r="D234" s="377"/>
      <c r="E234" s="377"/>
      <c r="F234" s="377"/>
      <c r="G234" s="377"/>
      <c r="H234" s="377"/>
      <c r="I234" s="377"/>
      <c r="J234" s="377"/>
      <c r="K234" s="71"/>
      <c r="L234" s="676" t="s">
        <v>411</v>
      </c>
      <c r="M234" s="127"/>
      <c r="N234" s="609" t="s">
        <v>282</v>
      </c>
      <c r="O234" s="1085"/>
      <c r="P234" s="610">
        <f>LEN(O233)</f>
        <v>0</v>
      </c>
      <c r="Q234" s="679"/>
      <c r="R234" s="682">
        <f>LEN(Q233)</f>
        <v>0</v>
      </c>
      <c r="S234" s="59"/>
      <c r="T234" s="59"/>
      <c r="U234" s="59"/>
      <c r="V234" s="59"/>
      <c r="W234" s="71"/>
      <c r="X234" s="664" t="s">
        <v>411</v>
      </c>
      <c r="Y234" s="500"/>
      <c r="Z234" s="457"/>
      <c r="AA234" s="457" t="s">
        <v>555</v>
      </c>
      <c r="AB234" s="1186"/>
      <c r="AC234" s="551" t="str">
        <f t="shared" si="48"/>
        <v>Change</v>
      </c>
      <c r="AD234" s="1053">
        <f>M80</f>
        <v>400</v>
      </c>
      <c r="AE234" s="457" t="s">
        <v>288</v>
      </c>
      <c r="AF234" s="457"/>
    </row>
    <row r="235" spans="1:32" ht="11.25" customHeight="1">
      <c r="A235" s="611">
        <v>37</v>
      </c>
      <c r="B235" s="127"/>
      <c r="C235" s="613" t="str">
        <f>IF(O225="","",IF(LEN(O225)&lt;=135,O225,IF(LEN(O225)&lt;=260,LEFT(O225,SEARCH(" ",O225,125)),LEFT(O225,SEARCH(" ",O225,130)))))</f>
        <v/>
      </c>
      <c r="D235" s="377"/>
      <c r="E235" s="377"/>
      <c r="F235" s="377"/>
      <c r="G235" s="377"/>
      <c r="H235" s="377"/>
      <c r="I235" s="377"/>
      <c r="J235" s="377"/>
      <c r="K235" s="71"/>
      <c r="L235" s="676" t="s">
        <v>411</v>
      </c>
      <c r="M235" s="127"/>
      <c r="N235" s="54" t="s">
        <v>82</v>
      </c>
      <c r="O235" s="1084"/>
      <c r="P235" s="440"/>
      <c r="Q235" s="677" t="str">
        <f>IF(OR(AB344=0,AB344=""),"",AB344)</f>
        <v/>
      </c>
      <c r="R235" s="48"/>
      <c r="S235" s="48"/>
      <c r="T235" s="48"/>
      <c r="U235" s="48"/>
      <c r="V235" s="48"/>
      <c r="W235" s="71"/>
      <c r="X235" s="664" t="s">
        <v>411</v>
      </c>
      <c r="Y235" s="500"/>
      <c r="Z235" s="457"/>
      <c r="AA235" s="457" t="s">
        <v>556</v>
      </c>
      <c r="AB235" s="1186"/>
      <c r="AC235" s="551" t="str">
        <f t="shared" si="48"/>
        <v>Change</v>
      </c>
      <c r="AD235" s="1053">
        <f>M81</f>
        <v>200</v>
      </c>
      <c r="AE235" s="457" t="s">
        <v>289</v>
      </c>
      <c r="AF235" s="457"/>
    </row>
    <row r="236" spans="1:32" ht="11.25" customHeight="1">
      <c r="A236" s="611">
        <v>38</v>
      </c>
      <c r="B236" s="127"/>
      <c r="C236" s="613" t="str">
        <f>IF(LEN(O225)&lt;=135,"",IF(LEN(O225)&lt;=260,RIGHT(O225,LEN(O225)-SEARCH(" ",O225,125)),MID(O225,SEARCH(" ",O225,130),IF(LEN(O225)&lt;=265,LEN(O225),SEARCH(" ",O225,255)-SEARCH(" ",O225,130)))))</f>
        <v/>
      </c>
      <c r="D236" s="377"/>
      <c r="E236" s="377"/>
      <c r="F236" s="377"/>
      <c r="G236" s="377"/>
      <c r="H236" s="377"/>
      <c r="I236" s="377"/>
      <c r="J236" s="377"/>
      <c r="K236" s="71"/>
      <c r="L236" s="676" t="s">
        <v>411</v>
      </c>
      <c r="M236" s="127"/>
      <c r="N236" s="609" t="s">
        <v>282</v>
      </c>
      <c r="O236" s="1085"/>
      <c r="P236" s="610">
        <f>LEN(O235)</f>
        <v>0</v>
      </c>
      <c r="Q236" s="679"/>
      <c r="R236" s="682">
        <f>LEN(Q235)</f>
        <v>0</v>
      </c>
      <c r="S236" s="59"/>
      <c r="T236" s="59"/>
      <c r="U236" s="59"/>
      <c r="V236" s="59"/>
      <c r="W236" s="71"/>
      <c r="X236" s="664" t="s">
        <v>411</v>
      </c>
      <c r="Y236" s="500"/>
      <c r="Z236" s="457"/>
      <c r="AA236" s="457"/>
      <c r="AB236" s="54"/>
      <c r="AC236" s="551" t="str">
        <f t="shared" si="48"/>
        <v/>
      </c>
      <c r="AD236" s="457"/>
      <c r="AE236" s="457"/>
      <c r="AF236" s="457"/>
    </row>
    <row r="237" spans="1:32" ht="11.25" customHeight="1">
      <c r="A237" s="611">
        <v>39</v>
      </c>
      <c r="B237" s="127"/>
      <c r="C237" s="613" t="str">
        <f>IF(LEN(O225)&lt;=265,"",RIGHT(O225,LEN(O225)-SEARCH(" ",O225,255)))</f>
        <v/>
      </c>
      <c r="D237" s="377"/>
      <c r="E237" s="377"/>
      <c r="F237" s="377"/>
      <c r="G237" s="377"/>
      <c r="H237" s="377"/>
      <c r="I237" s="377"/>
      <c r="J237" s="377"/>
      <c r="K237" s="71"/>
      <c r="L237" s="676" t="s">
        <v>411</v>
      </c>
      <c r="M237" s="127"/>
      <c r="N237" s="54" t="s">
        <v>82</v>
      </c>
      <c r="O237" s="1084"/>
      <c r="P237" s="440"/>
      <c r="Q237" s="677" t="str">
        <f>IF(OR(AB346=0,AB346=""),"",AB346)</f>
        <v/>
      </c>
      <c r="R237" s="48"/>
      <c r="S237" s="59"/>
      <c r="T237" s="59"/>
      <c r="U237" s="59"/>
      <c r="V237" s="59"/>
      <c r="W237" s="71"/>
      <c r="X237" s="664" t="s">
        <v>411</v>
      </c>
      <c r="Y237" s="500"/>
      <c r="Z237" s="457"/>
      <c r="AA237" s="132" t="s">
        <v>547</v>
      </c>
      <c r="AB237" s="1186"/>
      <c r="AC237" s="551" t="str">
        <f t="shared" si="48"/>
        <v>Change</v>
      </c>
      <c r="AD237" s="1057" t="str">
        <f t="shared" ref="AD237:AD246" si="49">M87</f>
        <v>CXR</v>
      </c>
      <c r="AE237" s="457" t="s">
        <v>813</v>
      </c>
      <c r="AF237" s="457"/>
    </row>
    <row r="238" spans="1:32" ht="11.25" customHeight="1">
      <c r="A238" s="611">
        <v>40</v>
      </c>
      <c r="B238" s="127"/>
      <c r="C238" s="613" t="str">
        <f>IF(O227="","",IF(LEN(O227)&lt;=135,O227,IF(LEN(O227)&lt;=260,LEFT(O227,SEARCH(" ",O227,125)),LEFT(O227,SEARCH(" ",O227,130)))))</f>
        <v/>
      </c>
      <c r="D238" s="377"/>
      <c r="E238" s="377"/>
      <c r="F238" s="377"/>
      <c r="G238" s="377"/>
      <c r="H238" s="377"/>
      <c r="I238" s="377"/>
      <c r="J238" s="377"/>
      <c r="K238" s="71"/>
      <c r="L238" s="676" t="s">
        <v>411</v>
      </c>
      <c r="M238" s="127"/>
      <c r="N238" s="609" t="s">
        <v>282</v>
      </c>
      <c r="O238" s="1085"/>
      <c r="P238" s="610">
        <f>LEN(O237)</f>
        <v>0</v>
      </c>
      <c r="Q238" s="679"/>
      <c r="R238" s="682">
        <f>LEN(Q237)</f>
        <v>0</v>
      </c>
      <c r="S238" s="48"/>
      <c r="T238" s="48"/>
      <c r="U238" s="48"/>
      <c r="V238" s="48"/>
      <c r="W238" s="71"/>
      <c r="X238" s="664" t="s">
        <v>411</v>
      </c>
      <c r="Y238" s="500"/>
      <c r="Z238" s="457"/>
      <c r="AA238" s="457"/>
      <c r="AB238" s="1186"/>
      <c r="AC238" s="551" t="str">
        <f t="shared" si="48"/>
        <v>Change</v>
      </c>
      <c r="AD238" s="1057" t="str">
        <f t="shared" si="49"/>
        <v>Abdomen AP</v>
      </c>
      <c r="AE238" s="457" t="s">
        <v>814</v>
      </c>
      <c r="AF238" s="457"/>
    </row>
    <row r="239" spans="1:32" ht="11.25" customHeight="1">
      <c r="A239" s="611">
        <v>41</v>
      </c>
      <c r="B239" s="127"/>
      <c r="C239" s="613" t="str">
        <f>IF(LEN(O227)&lt;=135,"",IF(LEN(O227)&lt;=260,RIGHT(O227,LEN(O227)-SEARCH(" ",O227,125)),MID(O227,SEARCH(" ",O227,130),IF(LEN(O227)&lt;=265,LEN(O227),SEARCH(" ",O227,255)-SEARCH(" ",O227,130)))))</f>
        <v/>
      </c>
      <c r="D239" s="377"/>
      <c r="E239" s="377"/>
      <c r="F239" s="377"/>
      <c r="G239" s="377"/>
      <c r="H239" s="377"/>
      <c r="I239" s="377"/>
      <c r="J239" s="377"/>
      <c r="K239" s="71"/>
      <c r="L239" s="676" t="s">
        <v>411</v>
      </c>
      <c r="M239" s="127"/>
      <c r="N239" s="54" t="s">
        <v>82</v>
      </c>
      <c r="O239" s="1084"/>
      <c r="P239" s="440"/>
      <c r="Q239" s="677" t="str">
        <f>IF(OR(AB348=0,AB348=""),"",AB348)</f>
        <v/>
      </c>
      <c r="R239" s="48"/>
      <c r="S239" s="59"/>
      <c r="T239" s="59"/>
      <c r="U239" s="59"/>
      <c r="V239" s="59"/>
      <c r="W239" s="71"/>
      <c r="X239" s="664" t="s">
        <v>411</v>
      </c>
      <c r="Y239" s="500"/>
      <c r="Z239" s="457"/>
      <c r="AA239" s="457"/>
      <c r="AB239" s="1186"/>
      <c r="AC239" s="551" t="str">
        <f t="shared" si="48"/>
        <v>Change</v>
      </c>
      <c r="AD239" s="1057" t="str">
        <f t="shared" si="49"/>
        <v>Ribs</v>
      </c>
      <c r="AE239" s="457" t="s">
        <v>815</v>
      </c>
      <c r="AF239" s="457"/>
    </row>
    <row r="240" spans="1:32" ht="11.25" customHeight="1">
      <c r="A240" s="611">
        <v>42</v>
      </c>
      <c r="B240" s="127"/>
      <c r="C240" s="613" t="str">
        <f>IF(LEN(O227)&lt;=265,"",RIGHT(O227,LEN(O227)-SEARCH(" ",O227,255)))</f>
        <v/>
      </c>
      <c r="D240" s="377"/>
      <c r="E240" s="377"/>
      <c r="F240" s="377"/>
      <c r="G240" s="377"/>
      <c r="H240" s="377"/>
      <c r="I240" s="377"/>
      <c r="J240" s="377"/>
      <c r="K240" s="71"/>
      <c r="L240" s="676" t="s">
        <v>411</v>
      </c>
      <c r="M240" s="127"/>
      <c r="N240" s="609" t="s">
        <v>282</v>
      </c>
      <c r="O240" s="1085"/>
      <c r="P240" s="610">
        <f>LEN(O239)</f>
        <v>0</v>
      </c>
      <c r="Q240" s="679"/>
      <c r="R240" s="682">
        <f>LEN(Q239)</f>
        <v>0</v>
      </c>
      <c r="S240" s="59"/>
      <c r="T240" s="59"/>
      <c r="U240" s="59"/>
      <c r="V240" s="59"/>
      <c r="W240" s="71"/>
      <c r="X240" s="664" t="s">
        <v>411</v>
      </c>
      <c r="Y240" s="500"/>
      <c r="Z240" s="457"/>
      <c r="AA240" s="457"/>
      <c r="AB240" s="1186"/>
      <c r="AC240" s="551" t="str">
        <f t="shared" si="48"/>
        <v>Change</v>
      </c>
      <c r="AD240" s="1057" t="str">
        <f t="shared" si="49"/>
        <v>C-Spine AP</v>
      </c>
      <c r="AE240" s="457" t="s">
        <v>816</v>
      </c>
      <c r="AF240" s="457"/>
    </row>
    <row r="241" spans="1:32" ht="11.25" customHeight="1">
      <c r="A241" s="611">
        <v>43</v>
      </c>
      <c r="B241" s="127"/>
      <c r="C241" s="613" t="str">
        <f>IF(O229="","",IF(LEN(O229)&lt;=135,O229,IF(LEN(O229)&lt;=260,LEFT(O229,SEARCH(" ",O229,125)),LEFT(O229,SEARCH(" ",O229,130)))))</f>
        <v/>
      </c>
      <c r="D241" s="377"/>
      <c r="E241" s="377"/>
      <c r="F241" s="377"/>
      <c r="G241" s="377"/>
      <c r="H241" s="377"/>
      <c r="I241" s="377"/>
      <c r="J241" s="377"/>
      <c r="K241" s="71"/>
      <c r="L241" s="676" t="s">
        <v>411</v>
      </c>
      <c r="M241" s="127"/>
      <c r="N241" s="54" t="s">
        <v>82</v>
      </c>
      <c r="O241" s="1084"/>
      <c r="P241" s="440"/>
      <c r="Q241" s="677" t="str">
        <f>IF(OR(AB350=0,AB350=""),"",AB350)</f>
        <v/>
      </c>
      <c r="R241" s="48"/>
      <c r="S241" s="48"/>
      <c r="T241" s="48"/>
      <c r="U241" s="48"/>
      <c r="V241" s="48"/>
      <c r="W241" s="71"/>
      <c r="X241" s="664" t="s">
        <v>411</v>
      </c>
      <c r="Y241" s="500"/>
      <c r="Z241" s="457"/>
      <c r="AA241" s="457"/>
      <c r="AB241" s="1186"/>
      <c r="AC241" s="551" t="str">
        <f t="shared" si="48"/>
        <v>Change</v>
      </c>
      <c r="AD241" s="1057" t="str">
        <f t="shared" si="49"/>
        <v>Skull</v>
      </c>
      <c r="AE241" s="457" t="s">
        <v>817</v>
      </c>
      <c r="AF241" s="457"/>
    </row>
    <row r="242" spans="1:32" ht="11.25" customHeight="1">
      <c r="A242" s="611">
        <v>44</v>
      </c>
      <c r="B242" s="127"/>
      <c r="C242" s="613" t="str">
        <f>IF(LEN(O229)&lt;=135,"",IF(LEN(O229)&lt;=260,RIGHT(O229,LEN(O229)-SEARCH(" ",O229,125)),MID(O229,SEARCH(" ",O229,130),IF(LEN(O229)&lt;=265,LEN(O229),SEARCH(" ",O229,255)-SEARCH(" ",O229,130)))))</f>
        <v/>
      </c>
      <c r="D242" s="377"/>
      <c r="E242" s="377"/>
      <c r="F242" s="377"/>
      <c r="G242" s="377"/>
      <c r="H242" s="377"/>
      <c r="I242" s="377"/>
      <c r="J242" s="377"/>
      <c r="K242" s="71"/>
      <c r="L242" s="676" t="s">
        <v>411</v>
      </c>
      <c r="M242" s="127"/>
      <c r="N242" s="609" t="s">
        <v>282</v>
      </c>
      <c r="O242" s="610"/>
      <c r="P242" s="610">
        <f>LEN(O241)</f>
        <v>0</v>
      </c>
      <c r="Q242" s="679"/>
      <c r="R242" s="682">
        <f>LEN(Q241)</f>
        <v>0</v>
      </c>
      <c r="S242" s="59"/>
      <c r="T242" s="59"/>
      <c r="U242" s="59"/>
      <c r="V242" s="59"/>
      <c r="W242" s="71"/>
      <c r="X242" s="664" t="s">
        <v>411</v>
      </c>
      <c r="Y242" s="500"/>
      <c r="Z242" s="457"/>
      <c r="AA242" s="457"/>
      <c r="AB242" s="1186"/>
      <c r="AC242" s="551" t="str">
        <f t="shared" si="48"/>
        <v>Change</v>
      </c>
      <c r="AD242" s="1057" t="str">
        <f t="shared" si="49"/>
        <v>Foot</v>
      </c>
      <c r="AE242" s="457" t="s">
        <v>818</v>
      </c>
      <c r="AF242" s="457"/>
    </row>
    <row r="243" spans="1:32" ht="11.25" customHeight="1">
      <c r="A243" s="611">
        <v>45</v>
      </c>
      <c r="B243" s="127"/>
      <c r="C243" s="613" t="str">
        <f>IF(LEN(O229)&lt;=265,"",RIGHT(O229,LEN(O229)-SEARCH(" ",O229,255)))</f>
        <v/>
      </c>
      <c r="D243" s="377"/>
      <c r="E243" s="377"/>
      <c r="F243" s="377"/>
      <c r="G243" s="377"/>
      <c r="H243" s="377"/>
      <c r="I243" s="377"/>
      <c r="J243" s="377"/>
      <c r="K243" s="71"/>
      <c r="L243" s="676" t="s">
        <v>411</v>
      </c>
      <c r="M243" s="127"/>
      <c r="N243" s="509"/>
      <c r="O243" s="509"/>
      <c r="P243" s="509"/>
      <c r="Q243" s="506"/>
      <c r="R243" s="506"/>
      <c r="S243" s="506"/>
      <c r="T243" s="506"/>
      <c r="U243" s="506"/>
      <c r="V243" s="506"/>
      <c r="W243" s="71"/>
      <c r="X243" s="664" t="s">
        <v>411</v>
      </c>
      <c r="Y243" s="500"/>
      <c r="Z243" s="457"/>
      <c r="AA243" s="457"/>
      <c r="AB243" s="1186"/>
      <c r="AC243" s="551" t="str">
        <f t="shared" si="48"/>
        <v>Change</v>
      </c>
      <c r="AD243" s="1057" t="str">
        <f t="shared" si="49"/>
        <v>Knee</v>
      </c>
      <c r="AE243" s="457" t="s">
        <v>819</v>
      </c>
      <c r="AF243" s="457"/>
    </row>
    <row r="244" spans="1:32" ht="11.25" customHeight="1">
      <c r="A244" s="611">
        <v>46</v>
      </c>
      <c r="B244" s="127"/>
      <c r="C244" s="613" t="str">
        <f>IF(O231="","",IF(LEN(O231)&lt;=135,O231,IF(LEN(O231)&lt;=260,LEFT(O231,SEARCH(" ",O231,125)),LEFT(O231,SEARCH(" ",O231,130)))))</f>
        <v/>
      </c>
      <c r="D244" s="377"/>
      <c r="E244" s="377"/>
      <c r="F244" s="377"/>
      <c r="G244" s="377"/>
      <c r="H244" s="377"/>
      <c r="I244" s="377"/>
      <c r="J244" s="377"/>
      <c r="K244" s="71"/>
      <c r="L244" s="676" t="s">
        <v>411</v>
      </c>
      <c r="M244" s="127"/>
      <c r="N244" s="504"/>
      <c r="O244" s="504"/>
      <c r="P244" s="504"/>
      <c r="Q244" s="505"/>
      <c r="R244" s="505"/>
      <c r="S244" s="505"/>
      <c r="T244" s="505"/>
      <c r="U244" s="505"/>
      <c r="V244" s="505"/>
      <c r="W244" s="71"/>
      <c r="X244" s="664" t="s">
        <v>411</v>
      </c>
      <c r="Y244" s="500"/>
      <c r="Z244" s="457"/>
      <c r="AA244" s="457"/>
      <c r="AB244" s="1186"/>
      <c r="AC244" s="551" t="str">
        <f t="shared" si="48"/>
        <v>Change</v>
      </c>
      <c r="AD244" s="1057" t="str">
        <f t="shared" si="49"/>
        <v>Pelvis AP</v>
      </c>
      <c r="AE244" s="457" t="s">
        <v>820</v>
      </c>
      <c r="AF244" s="457"/>
    </row>
    <row r="245" spans="1:32" ht="11.25" customHeight="1">
      <c r="A245" s="611">
        <v>47</v>
      </c>
      <c r="B245" s="127"/>
      <c r="C245" s="613" t="str">
        <f>IF(LEN(O231)&lt;=135,"",IF(LEN(O231)&lt;=260,RIGHT(O231,LEN(O231)-SEARCH(" ",O231,125)),MID(O231,SEARCH(" ",O231,130),IF(LEN(O231)&lt;=265,LEN(O231),SEARCH(" ",O231,255)-SEARCH(" ",O231,130)))))</f>
        <v/>
      </c>
      <c r="D245" s="377"/>
      <c r="E245" s="377"/>
      <c r="F245" s="377"/>
      <c r="G245" s="377"/>
      <c r="H245" s="377"/>
      <c r="I245" s="377"/>
      <c r="J245" s="377"/>
      <c r="K245" s="71"/>
      <c r="L245" s="676" t="s">
        <v>411</v>
      </c>
      <c r="M245" s="127"/>
      <c r="N245" s="504"/>
      <c r="O245" s="504"/>
      <c r="P245" s="504"/>
      <c r="Q245" s="505"/>
      <c r="R245" s="505"/>
      <c r="S245" s="505"/>
      <c r="T245" s="505"/>
      <c r="U245" s="505"/>
      <c r="V245" s="505"/>
      <c r="W245" s="71"/>
      <c r="X245" s="664" t="s">
        <v>411</v>
      </c>
      <c r="Y245" s="500"/>
      <c r="Z245" s="457"/>
      <c r="AA245" s="457"/>
      <c r="AB245" s="1186"/>
      <c r="AC245" s="551" t="str">
        <f t="shared" si="48"/>
        <v>Change</v>
      </c>
      <c r="AD245" s="1057" t="str">
        <f t="shared" si="49"/>
        <v>Shoulder</v>
      </c>
      <c r="AE245" s="457" t="s">
        <v>821</v>
      </c>
      <c r="AF245" s="457"/>
    </row>
    <row r="246" spans="1:32" ht="11.25" customHeight="1">
      <c r="A246" s="611">
        <v>48</v>
      </c>
      <c r="B246" s="127"/>
      <c r="C246" s="613" t="str">
        <f>IF(LEN(O231)&lt;=265,"",RIGHT(O231,LEN(O231)-SEARCH(" ",O231,255)))</f>
        <v/>
      </c>
      <c r="D246" s="377"/>
      <c r="E246" s="377"/>
      <c r="F246" s="377"/>
      <c r="G246" s="377"/>
      <c r="H246" s="377"/>
      <c r="I246" s="377"/>
      <c r="J246" s="377"/>
      <c r="K246" s="71"/>
      <c r="L246" s="676" t="s">
        <v>411</v>
      </c>
      <c r="M246" s="127"/>
      <c r="N246" s="504"/>
      <c r="O246" s="504"/>
      <c r="P246" s="504"/>
      <c r="Q246" s="505"/>
      <c r="R246" s="505"/>
      <c r="S246" s="505"/>
      <c r="T246" s="505"/>
      <c r="U246" s="505"/>
      <c r="V246" s="505"/>
      <c r="W246" s="71"/>
      <c r="X246" s="664" t="s">
        <v>411</v>
      </c>
      <c r="Y246" s="500"/>
      <c r="Z246" s="457"/>
      <c r="AA246" s="457"/>
      <c r="AB246" s="1186"/>
      <c r="AC246" s="551" t="str">
        <f t="shared" si="48"/>
        <v>Change</v>
      </c>
      <c r="AD246" s="1057" t="str">
        <f t="shared" si="49"/>
        <v>LS Spine AP</v>
      </c>
      <c r="AE246" s="457" t="s">
        <v>822</v>
      </c>
      <c r="AF246" s="457"/>
    </row>
    <row r="247" spans="1:32" ht="11.25" customHeight="1">
      <c r="A247" s="611">
        <v>49</v>
      </c>
      <c r="B247" s="127"/>
      <c r="C247" s="613" t="str">
        <f>IF(O233="","",IF(LEN(O233)&lt;=135,O233,IF(LEN(O233)&lt;=260,LEFT(O233,SEARCH(" ",O233,125)),LEFT(O233,SEARCH(" ",O233,130)))))</f>
        <v/>
      </c>
      <c r="D247" s="377"/>
      <c r="E247" s="377"/>
      <c r="F247" s="377"/>
      <c r="G247" s="377"/>
      <c r="H247" s="377"/>
      <c r="I247" s="377"/>
      <c r="J247" s="377"/>
      <c r="K247" s="71"/>
      <c r="L247" s="676" t="s">
        <v>411</v>
      </c>
      <c r="M247" s="127"/>
      <c r="N247" s="504"/>
      <c r="O247" s="504"/>
      <c r="P247" s="504"/>
      <c r="Q247" s="376" t="s">
        <v>276</v>
      </c>
      <c r="R247" s="50"/>
      <c r="S247" s="50"/>
      <c r="T247" s="504"/>
      <c r="U247" s="505"/>
      <c r="V247" s="505"/>
      <c r="W247" s="71"/>
      <c r="X247" s="664" t="s">
        <v>411</v>
      </c>
      <c r="Y247" s="500"/>
      <c r="Z247" s="457"/>
      <c r="AA247" s="457"/>
      <c r="AB247" s="49"/>
      <c r="AC247" s="551" t="str">
        <f t="shared" si="48"/>
        <v/>
      </c>
      <c r="AD247" s="457"/>
      <c r="AE247" s="457"/>
      <c r="AF247" s="457"/>
    </row>
    <row r="248" spans="1:32" ht="11.25" customHeight="1">
      <c r="A248" s="611">
        <v>50</v>
      </c>
      <c r="B248" s="127"/>
      <c r="C248" s="613" t="str">
        <f>IF(LEN(O233)&lt;=135,"",IF(LEN(O233)&lt;=260,RIGHT(O233,LEN(O233)-SEARCH(" ",O233,125)),MID(O233,SEARCH(" ",O233,130),IF(LEN(O233)&lt;=265,LEN(O233),SEARCH(" ",O233,255)-SEARCH(" ",O233,130)))))</f>
        <v/>
      </c>
      <c r="D248" s="377"/>
      <c r="E248" s="377"/>
      <c r="F248" s="377"/>
      <c r="G248" s="377"/>
      <c r="H248" s="377"/>
      <c r="I248" s="377"/>
      <c r="J248" s="377"/>
      <c r="K248" s="71"/>
      <c r="L248" s="676" t="s">
        <v>411</v>
      </c>
      <c r="M248" s="127"/>
      <c r="N248" s="504"/>
      <c r="O248" s="504"/>
      <c r="P248" s="504"/>
      <c r="Q248" s="505"/>
      <c r="R248" s="504"/>
      <c r="S248" s="505"/>
      <c r="T248" s="504"/>
      <c r="U248" s="505"/>
      <c r="V248" s="505"/>
      <c r="W248" s="71"/>
      <c r="X248" s="664" t="s">
        <v>411</v>
      </c>
      <c r="Y248" s="500"/>
      <c r="Z248" s="457"/>
      <c r="AA248" s="132" t="s">
        <v>548</v>
      </c>
      <c r="AB248" s="1186"/>
      <c r="AC248" s="551" t="str">
        <f t="shared" si="48"/>
        <v>Change</v>
      </c>
      <c r="AD248" s="1057" t="str">
        <f t="shared" ref="AD248:AD257" si="50">N87</f>
        <v>Yes</v>
      </c>
      <c r="AE248" s="457" t="s">
        <v>823</v>
      </c>
      <c r="AF248" s="457"/>
    </row>
    <row r="249" spans="1:32" ht="11.25" customHeight="1">
      <c r="A249" s="611">
        <v>51</v>
      </c>
      <c r="B249" s="127"/>
      <c r="C249" s="613" t="str">
        <f>IF(LEN(O233)&lt;=265,"",RIGHT(O233,LEN(O233)-SEARCH(" ",O233,255)))</f>
        <v/>
      </c>
      <c r="D249" s="377"/>
      <c r="E249" s="377"/>
      <c r="F249" s="377"/>
      <c r="G249" s="377"/>
      <c r="H249" s="377"/>
      <c r="I249" s="377"/>
      <c r="J249" s="377"/>
      <c r="K249" s="71"/>
      <c r="L249" s="676" t="s">
        <v>411</v>
      </c>
      <c r="M249" s="127"/>
      <c r="N249" s="504"/>
      <c r="O249" s="504"/>
      <c r="P249" s="504"/>
      <c r="Q249" s="505"/>
      <c r="R249" s="504"/>
      <c r="S249" s="505"/>
      <c r="T249" s="504"/>
      <c r="U249" s="505"/>
      <c r="V249" s="505"/>
      <c r="W249" s="71"/>
      <c r="X249" s="664" t="s">
        <v>411</v>
      </c>
      <c r="Y249" s="500"/>
      <c r="Z249" s="457"/>
      <c r="AA249" s="457"/>
      <c r="AB249" s="1186"/>
      <c r="AC249" s="551" t="str">
        <f t="shared" si="48"/>
        <v>Change</v>
      </c>
      <c r="AD249" s="1057" t="str">
        <f t="shared" si="50"/>
        <v>Yes</v>
      </c>
      <c r="AE249" s="457" t="s">
        <v>824</v>
      </c>
      <c r="AF249" s="457"/>
    </row>
    <row r="250" spans="1:32" ht="11.25" customHeight="1">
      <c r="A250" s="611">
        <v>52</v>
      </c>
      <c r="B250" s="127"/>
      <c r="C250" s="613" t="str">
        <f>IF(O235="","",IF(LEN(O235)&lt;=135,O235,IF(LEN(O235)&lt;=260,LEFT(O235,SEARCH(" ",O235,125)),LEFT(O235,SEARCH(" ",O235,130)))))</f>
        <v/>
      </c>
      <c r="D250" s="377"/>
      <c r="E250" s="377"/>
      <c r="F250" s="377"/>
      <c r="G250" s="377"/>
      <c r="H250" s="377"/>
      <c r="I250" s="377"/>
      <c r="J250" s="377"/>
      <c r="K250" s="71"/>
      <c r="L250" s="676" t="s">
        <v>411</v>
      </c>
      <c r="M250" s="127"/>
      <c r="N250" s="504"/>
      <c r="O250" s="504"/>
      <c r="P250" s="504"/>
      <c r="Q250" s="505"/>
      <c r="R250" s="504"/>
      <c r="S250" s="505"/>
      <c r="T250" s="504"/>
      <c r="U250" s="505"/>
      <c r="V250" s="505"/>
      <c r="W250" s="71"/>
      <c r="X250" s="664" t="s">
        <v>411</v>
      </c>
      <c r="Y250" s="500"/>
      <c r="Z250" s="457"/>
      <c r="AA250" s="457"/>
      <c r="AB250" s="1186"/>
      <c r="AC250" s="551" t="str">
        <f t="shared" si="48"/>
        <v>Change</v>
      </c>
      <c r="AD250" s="1057" t="str">
        <f t="shared" si="50"/>
        <v>Yes</v>
      </c>
      <c r="AE250" s="457" t="s">
        <v>825</v>
      </c>
      <c r="AF250" s="457"/>
    </row>
    <row r="251" spans="1:32" ht="11.25" customHeight="1">
      <c r="A251" s="611">
        <v>53</v>
      </c>
      <c r="B251" s="127"/>
      <c r="C251" s="613" t="str">
        <f>IF(LEN(O235)&lt;=135,"",IF(LEN(O235)&lt;=260,RIGHT(O235,LEN(O235)-SEARCH(" ",O235,125)),MID(O235,SEARCH(" ",O235,130),IF(LEN(O235)&lt;=265,LEN(O235),SEARCH(" ",O235,255)-SEARCH(" ",O235,130)))))</f>
        <v/>
      </c>
      <c r="D251" s="377"/>
      <c r="E251" s="377"/>
      <c r="F251" s="377"/>
      <c r="G251" s="377"/>
      <c r="H251" s="377"/>
      <c r="I251" s="377"/>
      <c r="J251" s="377"/>
      <c r="K251" s="71"/>
      <c r="L251" s="676" t="s">
        <v>411</v>
      </c>
      <c r="M251" s="127"/>
      <c r="N251" s="504"/>
      <c r="O251" s="504"/>
      <c r="P251" s="504"/>
      <c r="Q251" s="505"/>
      <c r="R251" s="504"/>
      <c r="S251" s="505"/>
      <c r="T251" s="504"/>
      <c r="U251" s="505"/>
      <c r="V251" s="505"/>
      <c r="W251" s="71"/>
      <c r="X251" s="664" t="s">
        <v>411</v>
      </c>
      <c r="Y251" s="500"/>
      <c r="Z251" s="457"/>
      <c r="AA251" s="457"/>
      <c r="AB251" s="1186"/>
      <c r="AC251" s="551" t="str">
        <f t="shared" si="48"/>
        <v>Change</v>
      </c>
      <c r="AD251" s="1057" t="str">
        <f t="shared" si="50"/>
        <v>Yes</v>
      </c>
      <c r="AE251" s="457" t="s">
        <v>826</v>
      </c>
      <c r="AF251" s="457"/>
    </row>
    <row r="252" spans="1:32" ht="11.25" customHeight="1">
      <c r="A252" s="611">
        <v>54</v>
      </c>
      <c r="B252" s="127"/>
      <c r="C252" s="613" t="str">
        <f>IF(LEN(O235)&lt;=265,"",RIGHT(O235,LEN(O235)-SEARCH(" ",O235,255)))</f>
        <v/>
      </c>
      <c r="D252" s="377"/>
      <c r="E252" s="377"/>
      <c r="F252" s="377"/>
      <c r="G252" s="377"/>
      <c r="H252" s="377"/>
      <c r="I252" s="377"/>
      <c r="J252" s="377"/>
      <c r="K252" s="71"/>
      <c r="L252" s="676" t="s">
        <v>411</v>
      </c>
      <c r="M252" s="127"/>
      <c r="N252" s="504"/>
      <c r="O252" s="504"/>
      <c r="P252" s="504"/>
      <c r="Q252" s="505"/>
      <c r="R252" s="504"/>
      <c r="S252" s="505"/>
      <c r="T252" s="504"/>
      <c r="U252" s="505"/>
      <c r="V252" s="505"/>
      <c r="W252" s="71"/>
      <c r="X252" s="664" t="s">
        <v>411</v>
      </c>
      <c r="Y252" s="500"/>
      <c r="Z252" s="457"/>
      <c r="AA252" s="457"/>
      <c r="AB252" s="1186"/>
      <c r="AC252" s="551" t="str">
        <f t="shared" si="48"/>
        <v>Change</v>
      </c>
      <c r="AD252" s="1057" t="str">
        <f t="shared" si="50"/>
        <v>Yes</v>
      </c>
      <c r="AE252" s="457" t="s">
        <v>827</v>
      </c>
      <c r="AF252" s="457"/>
    </row>
    <row r="253" spans="1:32" ht="11.25" customHeight="1">
      <c r="A253" s="611">
        <v>55</v>
      </c>
      <c r="B253" s="127"/>
      <c r="C253" s="613" t="str">
        <f>IF(O237="","",IF(LEN(O237)&lt;=135,O237,IF(LEN(O237)&lt;=260,LEFT(O237,SEARCH(" ",O237,125)),LEFT(O237,SEARCH(" ",O237,130)))))</f>
        <v/>
      </c>
      <c r="D253" s="377"/>
      <c r="E253" s="377"/>
      <c r="F253" s="377"/>
      <c r="G253" s="377"/>
      <c r="H253" s="377"/>
      <c r="I253" s="377"/>
      <c r="J253" s="377"/>
      <c r="K253" s="71"/>
      <c r="L253" s="676" t="s">
        <v>411</v>
      </c>
      <c r="M253" s="127"/>
      <c r="N253" s="504"/>
      <c r="O253" s="504"/>
      <c r="P253" s="504"/>
      <c r="Q253" s="505"/>
      <c r="R253" s="504"/>
      <c r="S253" s="505"/>
      <c r="T253" s="504"/>
      <c r="U253" s="505"/>
      <c r="V253" s="505"/>
      <c r="W253" s="71"/>
      <c r="X253" s="664" t="s">
        <v>411</v>
      </c>
      <c r="Y253" s="500"/>
      <c r="Z253" s="457"/>
      <c r="AA253" s="457"/>
      <c r="AB253" s="1186"/>
      <c r="AC253" s="551" t="str">
        <f t="shared" si="48"/>
        <v>Change</v>
      </c>
      <c r="AD253" s="1057" t="str">
        <f t="shared" si="50"/>
        <v>No</v>
      </c>
      <c r="AE253" s="457" t="s">
        <v>828</v>
      </c>
      <c r="AF253" s="457"/>
    </row>
    <row r="254" spans="1:32" ht="11.25" customHeight="1">
      <c r="A254" s="611">
        <v>56</v>
      </c>
      <c r="B254" s="127"/>
      <c r="C254" s="613" t="str">
        <f>IF(LEN(O237)&lt;=135,"",IF(LEN(O237)&lt;=260,RIGHT(O237,LEN(O237)-SEARCH(" ",O237,125)),MID(O237,SEARCH(" ",O237,130),IF(LEN(O237)&lt;=265,LEN(O237),SEARCH(" ",O237,255)-SEARCH(" ",O237,130)))))</f>
        <v/>
      </c>
      <c r="D254" s="377"/>
      <c r="E254" s="377"/>
      <c r="F254" s="377"/>
      <c r="G254" s="377"/>
      <c r="H254" s="377"/>
      <c r="I254" s="377"/>
      <c r="J254" s="377"/>
      <c r="K254" s="71"/>
      <c r="L254" s="676" t="s">
        <v>411</v>
      </c>
      <c r="M254" s="127"/>
      <c r="N254" s="504"/>
      <c r="O254" s="504"/>
      <c r="P254" s="504"/>
      <c r="Q254" s="505"/>
      <c r="R254" s="504"/>
      <c r="S254" s="505"/>
      <c r="T254" s="504"/>
      <c r="U254" s="505"/>
      <c r="V254" s="505"/>
      <c r="W254" s="71"/>
      <c r="X254" s="664" t="s">
        <v>411</v>
      </c>
      <c r="Y254" s="500"/>
      <c r="Z254" s="457"/>
      <c r="AA254" s="457"/>
      <c r="AB254" s="1186"/>
      <c r="AC254" s="551" t="str">
        <f t="shared" si="48"/>
        <v>Change</v>
      </c>
      <c r="AD254" s="1057" t="str">
        <f t="shared" si="50"/>
        <v>No</v>
      </c>
      <c r="AE254" s="457" t="s">
        <v>829</v>
      </c>
      <c r="AF254" s="457"/>
    </row>
    <row r="255" spans="1:32" ht="11.25" customHeight="1">
      <c r="A255" s="611">
        <v>57</v>
      </c>
      <c r="B255" s="127"/>
      <c r="C255" s="613" t="str">
        <f>IF(LEN(O237)&lt;=265,"",RIGHT(O237,LEN(O237)-SEARCH(" ",O237,255)))</f>
        <v/>
      </c>
      <c r="D255" s="377"/>
      <c r="E255" s="377"/>
      <c r="F255" s="377"/>
      <c r="G255" s="377"/>
      <c r="H255" s="377"/>
      <c r="I255" s="377"/>
      <c r="J255" s="377"/>
      <c r="K255" s="71"/>
      <c r="L255" s="676" t="s">
        <v>411</v>
      </c>
      <c r="M255" s="127"/>
      <c r="N255" s="504"/>
      <c r="O255" s="504"/>
      <c r="P255" s="504"/>
      <c r="Q255" s="505"/>
      <c r="R255" s="504"/>
      <c r="S255" s="505"/>
      <c r="T255" s="504"/>
      <c r="U255" s="505"/>
      <c r="V255" s="505"/>
      <c r="W255" s="71"/>
      <c r="X255" s="664" t="s">
        <v>411</v>
      </c>
      <c r="Y255" s="500"/>
      <c r="Z255" s="457"/>
      <c r="AA255" s="457"/>
      <c r="AB255" s="1186"/>
      <c r="AC255" s="551" t="str">
        <f t="shared" si="48"/>
        <v>Change</v>
      </c>
      <c r="AD255" s="1057" t="str">
        <f t="shared" si="50"/>
        <v>Yes</v>
      </c>
      <c r="AE255" s="457" t="s">
        <v>830</v>
      </c>
      <c r="AF255" s="457"/>
    </row>
    <row r="256" spans="1:32" ht="11.25" customHeight="1">
      <c r="A256" s="611">
        <v>58</v>
      </c>
      <c r="B256" s="127"/>
      <c r="C256" s="613" t="str">
        <f>IF(O239="","",IF(LEN(O239)&lt;=135,O239,IF(LEN(O239)&lt;=260,LEFT(O239,SEARCH(" ",O239,125)),LEFT(O239,SEARCH(" ",O239,130)))))</f>
        <v/>
      </c>
      <c r="D256" s="377"/>
      <c r="E256" s="377"/>
      <c r="F256" s="377"/>
      <c r="G256" s="377"/>
      <c r="H256" s="377"/>
      <c r="I256" s="377"/>
      <c r="J256" s="377"/>
      <c r="K256" s="71"/>
      <c r="L256" s="676" t="s">
        <v>411</v>
      </c>
      <c r="M256" s="127"/>
      <c r="N256" s="504"/>
      <c r="O256" s="504"/>
      <c r="P256" s="504"/>
      <c r="Q256" s="505"/>
      <c r="R256" s="504"/>
      <c r="S256" s="505"/>
      <c r="T256" s="504"/>
      <c r="U256" s="505"/>
      <c r="V256" s="505"/>
      <c r="W256" s="71"/>
      <c r="X256" s="664" t="s">
        <v>411</v>
      </c>
      <c r="Y256" s="500"/>
      <c r="Z256" s="457"/>
      <c r="AA256" s="457"/>
      <c r="AB256" s="1186"/>
      <c r="AC256" s="551" t="str">
        <f t="shared" si="48"/>
        <v>Change</v>
      </c>
      <c r="AD256" s="1057" t="str">
        <f t="shared" si="50"/>
        <v>Yes</v>
      </c>
      <c r="AE256" s="457" t="s">
        <v>831</v>
      </c>
      <c r="AF256" s="457"/>
    </row>
    <row r="257" spans="1:32" ht="11.25" customHeight="1">
      <c r="A257" s="611">
        <v>59</v>
      </c>
      <c r="B257" s="127"/>
      <c r="C257" s="613" t="str">
        <f>IF(LEN(O239)&lt;=135,"",IF(LEN(O239)&lt;=260,RIGHT(O239,LEN(O239)-SEARCH(" ",O239,125)),MID(O239,SEARCH(" ",O239,130),IF(LEN(O239)&lt;=265,LEN(O239),SEARCH(" ",O239,255)-SEARCH(" ",O239,130)))))</f>
        <v/>
      </c>
      <c r="D257" s="377"/>
      <c r="E257" s="377"/>
      <c r="F257" s="377"/>
      <c r="G257" s="377"/>
      <c r="H257" s="377"/>
      <c r="I257" s="377"/>
      <c r="J257" s="377"/>
      <c r="K257" s="71"/>
      <c r="L257" s="676" t="s">
        <v>411</v>
      </c>
      <c r="M257" s="127"/>
      <c r="N257" s="504"/>
      <c r="O257" s="504"/>
      <c r="P257" s="504"/>
      <c r="Q257" s="505"/>
      <c r="R257" s="504"/>
      <c r="S257" s="505"/>
      <c r="T257" s="504"/>
      <c r="U257" s="505"/>
      <c r="V257" s="505"/>
      <c r="W257" s="71"/>
      <c r="X257" s="664" t="s">
        <v>411</v>
      </c>
      <c r="Y257" s="500"/>
      <c r="Z257" s="457"/>
      <c r="AA257" s="457"/>
      <c r="AB257" s="1186"/>
      <c r="AC257" s="551" t="str">
        <f t="shared" si="48"/>
        <v>Change</v>
      </c>
      <c r="AD257" s="1057" t="str">
        <f t="shared" si="50"/>
        <v>Yes</v>
      </c>
      <c r="AE257" s="457" t="s">
        <v>832</v>
      </c>
      <c r="AF257" s="457"/>
    </row>
    <row r="258" spans="1:32" ht="11.25" customHeight="1">
      <c r="A258" s="611">
        <v>60</v>
      </c>
      <c r="B258" s="127"/>
      <c r="C258" s="613" t="str">
        <f>IF(LEN(O239)&lt;=265,"",RIGHT(O239,LEN(O239)-SEARCH(" ",O239,255)))</f>
        <v/>
      </c>
      <c r="D258" s="377"/>
      <c r="E258" s="377"/>
      <c r="F258" s="377"/>
      <c r="G258" s="377"/>
      <c r="H258" s="377"/>
      <c r="I258" s="377"/>
      <c r="J258" s="377"/>
      <c r="K258" s="71"/>
      <c r="L258" s="676" t="s">
        <v>411</v>
      </c>
      <c r="M258" s="127"/>
      <c r="N258" s="504"/>
      <c r="O258" s="504"/>
      <c r="P258" s="504"/>
      <c r="Q258" s="505"/>
      <c r="R258" s="504"/>
      <c r="S258" s="505"/>
      <c r="T258" s="504"/>
      <c r="U258" s="505"/>
      <c r="V258" s="505"/>
      <c r="W258" s="71"/>
      <c r="X258" s="664" t="s">
        <v>411</v>
      </c>
      <c r="Y258" s="500"/>
      <c r="Z258" s="457"/>
      <c r="AA258" s="457"/>
      <c r="AB258" s="49"/>
      <c r="AC258" s="551" t="str">
        <f t="shared" si="48"/>
        <v/>
      </c>
      <c r="AD258" s="457"/>
      <c r="AE258" s="457"/>
      <c r="AF258" s="457"/>
    </row>
    <row r="259" spans="1:32" ht="11.25" customHeight="1">
      <c r="A259" s="611">
        <v>61</v>
      </c>
      <c r="B259" s="127"/>
      <c r="C259" s="613" t="str">
        <f>IF(O241="","",IF(LEN(O241)&lt;=135,O241,IF(LEN(O241)&lt;=260,LEFT(O241,SEARCH(" ",O241,125)),LEFT(O241,SEARCH(" ",O241,130)))))</f>
        <v/>
      </c>
      <c r="D259" s="377"/>
      <c r="E259" s="377"/>
      <c r="F259" s="377"/>
      <c r="G259" s="377"/>
      <c r="H259" s="377"/>
      <c r="I259" s="377"/>
      <c r="J259" s="377"/>
      <c r="K259" s="71"/>
      <c r="L259" s="676" t="s">
        <v>411</v>
      </c>
      <c r="M259" s="127"/>
      <c r="N259" s="504"/>
      <c r="O259" s="504"/>
      <c r="P259" s="504"/>
      <c r="Q259" s="505"/>
      <c r="R259" s="504"/>
      <c r="S259" s="505"/>
      <c r="T259" s="504"/>
      <c r="U259" s="505"/>
      <c r="V259" s="505"/>
      <c r="W259" s="71"/>
      <c r="X259" s="664" t="s">
        <v>411</v>
      </c>
      <c r="Y259" s="500"/>
      <c r="Z259" s="457"/>
      <c r="AA259" s="132" t="s">
        <v>557</v>
      </c>
      <c r="AB259" s="1186"/>
      <c r="AC259" s="551" t="str">
        <f t="shared" si="48"/>
        <v>Change</v>
      </c>
      <c r="AD259" s="1057">
        <f t="shared" ref="AD259:AD268" si="51">O87</f>
        <v>72</v>
      </c>
      <c r="AE259" s="457" t="s">
        <v>833</v>
      </c>
      <c r="AF259" s="457"/>
    </row>
    <row r="260" spans="1:32" ht="11.25" customHeight="1">
      <c r="A260" s="611">
        <v>62</v>
      </c>
      <c r="B260" s="127"/>
      <c r="C260" s="613" t="str">
        <f>IF(LEN(O241)&lt;=135,"",IF(LEN(O241)&lt;=260,RIGHT(O241,LEN(O241)-SEARCH(" ",O241,125)),MID(O241,SEARCH(" ",O241,130),IF(LEN(O241)&lt;=265,LEN(O241),SEARCH(" ",O241,255)-SEARCH(" ",O241,130)))))</f>
        <v/>
      </c>
      <c r="D260" s="377"/>
      <c r="E260" s="377"/>
      <c r="F260" s="377"/>
      <c r="G260" s="377"/>
      <c r="H260" s="377"/>
      <c r="I260" s="377"/>
      <c r="J260" s="377"/>
      <c r="K260" s="71"/>
      <c r="L260" s="676" t="s">
        <v>411</v>
      </c>
      <c r="M260" s="127"/>
      <c r="N260" s="504"/>
      <c r="O260" s="504"/>
      <c r="P260" s="504"/>
      <c r="Q260" s="505"/>
      <c r="R260" s="504"/>
      <c r="S260" s="505"/>
      <c r="T260" s="504"/>
      <c r="U260" s="505"/>
      <c r="V260" s="505"/>
      <c r="W260" s="71"/>
      <c r="X260" s="664" t="s">
        <v>411</v>
      </c>
      <c r="Y260" s="500"/>
      <c r="Z260" s="457"/>
      <c r="AA260" s="457"/>
      <c r="AB260" s="1186"/>
      <c r="AC260" s="551" t="str">
        <f t="shared" si="48"/>
        <v>Change</v>
      </c>
      <c r="AD260" s="1057">
        <f t="shared" si="51"/>
        <v>40</v>
      </c>
      <c r="AE260" s="457" t="s">
        <v>834</v>
      </c>
      <c r="AF260" s="457"/>
    </row>
    <row r="261" spans="1:32" ht="11.25" customHeight="1">
      <c r="A261" s="611">
        <v>63</v>
      </c>
      <c r="B261" s="127"/>
      <c r="C261" s="613" t="str">
        <f>IF(LEN(O241)&lt;=265,"",RIGHT(O241,LEN(O241)-SEARCH(" ",O241,255)))</f>
        <v/>
      </c>
      <c r="D261" s="377"/>
      <c r="E261" s="377"/>
      <c r="F261" s="377"/>
      <c r="G261" s="377"/>
      <c r="H261" s="377"/>
      <c r="I261" s="377"/>
      <c r="J261" s="377"/>
      <c r="K261" s="71"/>
      <c r="L261" s="676" t="s">
        <v>411</v>
      </c>
      <c r="M261" s="127"/>
      <c r="N261" s="508"/>
      <c r="O261" s="581"/>
      <c r="P261" s="508"/>
      <c r="Q261" s="507"/>
      <c r="R261" s="508"/>
      <c r="S261" s="507"/>
      <c r="T261" s="508"/>
      <c r="U261" s="507"/>
      <c r="V261" s="507"/>
      <c r="W261" s="71"/>
      <c r="X261" s="664" t="s">
        <v>411</v>
      </c>
      <c r="Y261" s="500"/>
      <c r="Z261" s="457"/>
      <c r="AA261" s="457"/>
      <c r="AB261" s="1186"/>
      <c r="AC261" s="551" t="str">
        <f t="shared" si="48"/>
        <v>Change</v>
      </c>
      <c r="AD261" s="1057">
        <f t="shared" si="51"/>
        <v>40</v>
      </c>
      <c r="AE261" s="457" t="s">
        <v>835</v>
      </c>
      <c r="AF261" s="457"/>
    </row>
    <row r="262" spans="1:32" ht="11.25" customHeight="1" thickBot="1">
      <c r="A262" s="611">
        <v>64</v>
      </c>
      <c r="B262" s="98"/>
      <c r="C262" s="83"/>
      <c r="D262" s="83"/>
      <c r="E262" s="83"/>
      <c r="F262" s="83"/>
      <c r="G262" s="83"/>
      <c r="H262" s="83"/>
      <c r="I262" s="83"/>
      <c r="J262" s="83"/>
      <c r="K262" s="86"/>
      <c r="L262" s="676" t="s">
        <v>411</v>
      </c>
      <c r="M262" s="72"/>
      <c r="N262" s="73"/>
      <c r="O262" s="582"/>
      <c r="P262" s="441"/>
      <c r="Q262" s="73"/>
      <c r="R262" s="73"/>
      <c r="S262" s="73"/>
      <c r="T262" s="73"/>
      <c r="U262" s="73"/>
      <c r="V262" s="73"/>
      <c r="W262" s="74"/>
      <c r="X262" s="664" t="s">
        <v>411</v>
      </c>
      <c r="Y262" s="500"/>
      <c r="Z262" s="457"/>
      <c r="AA262" s="457"/>
      <c r="AB262" s="1186"/>
      <c r="AC262" s="551" t="str">
        <f t="shared" si="48"/>
        <v>Change</v>
      </c>
      <c r="AD262" s="1057">
        <f t="shared" si="51"/>
        <v>40</v>
      </c>
      <c r="AE262" s="457" t="s">
        <v>836</v>
      </c>
      <c r="AF262" s="457"/>
    </row>
    <row r="263" spans="1:32" ht="11.25" customHeight="1" thickTop="1">
      <c r="A263" s="611">
        <v>65</v>
      </c>
      <c r="B263" s="52" t="str">
        <f t="array" ref="B263:C264">$B$65:$C$66</f>
        <v>Date:</v>
      </c>
      <c r="C263" s="1133" t="str">
        <v/>
      </c>
      <c r="E263" s="51"/>
      <c r="F263" s="51"/>
      <c r="G263" s="51"/>
      <c r="H263" s="51"/>
      <c r="I263" s="52" t="str">
        <f t="array" ref="I263:J264">$I$65:$J$66</f>
        <v>Inspector:</v>
      </c>
      <c r="J263" s="1046" t="str">
        <v>Eugene Mah</v>
      </c>
      <c r="L263" s="676" t="s">
        <v>411</v>
      </c>
      <c r="O263" s="578"/>
      <c r="P263" s="442"/>
      <c r="X263" s="664" t="s">
        <v>411</v>
      </c>
      <c r="Y263" s="500"/>
      <c r="Z263" s="457"/>
      <c r="AA263" s="457"/>
      <c r="AB263" s="1186"/>
      <c r="AC263" s="551" t="str">
        <f t="shared" si="48"/>
        <v>Change</v>
      </c>
      <c r="AD263" s="1057">
        <f t="shared" si="51"/>
        <v>40</v>
      </c>
      <c r="AE263" s="457" t="s">
        <v>837</v>
      </c>
      <c r="AF263" s="457"/>
    </row>
    <row r="264" spans="1:32" ht="11.25" customHeight="1">
      <c r="A264" s="611">
        <v>66</v>
      </c>
      <c r="B264" s="52" t="str">
        <v>Room Number:</v>
      </c>
      <c r="C264" s="373" t="str">
        <v/>
      </c>
      <c r="E264" s="51"/>
      <c r="F264" s="51"/>
      <c r="G264" s="51"/>
      <c r="H264" s="51"/>
      <c r="I264" s="52" t="str">
        <v>Survey ID:</v>
      </c>
      <c r="J264" s="1045" t="str">
        <v/>
      </c>
      <c r="L264" s="676" t="s">
        <v>411</v>
      </c>
      <c r="O264" s="578"/>
      <c r="P264" s="442"/>
      <c r="X264" s="664" t="s">
        <v>411</v>
      </c>
      <c r="Y264" s="500"/>
      <c r="Z264" s="457"/>
      <c r="AA264" s="457"/>
      <c r="AB264" s="1186"/>
      <c r="AC264" s="551" t="str">
        <f t="shared" si="48"/>
        <v>Change</v>
      </c>
      <c r="AD264" s="1057">
        <f t="shared" si="51"/>
        <v>40</v>
      </c>
      <c r="AE264" s="457" t="s">
        <v>838</v>
      </c>
      <c r="AF264" s="457"/>
    </row>
    <row r="265" spans="1:32" ht="11.25" customHeight="1">
      <c r="A265" s="611">
        <v>1</v>
      </c>
      <c r="B265" s="1"/>
      <c r="C265" s="1"/>
      <c r="D265" s="1"/>
      <c r="E265" s="1"/>
      <c r="F265" s="1"/>
      <c r="G265" s="1"/>
      <c r="H265" s="1"/>
      <c r="I265" s="1"/>
      <c r="J265" s="1"/>
      <c r="K265" s="131" t="str">
        <f>$F$2</f>
        <v>Medical University of South Carolina</v>
      </c>
      <c r="L265" s="676" t="s">
        <v>411</v>
      </c>
      <c r="M265" s="1"/>
      <c r="N265" s="1"/>
      <c r="O265" s="583"/>
      <c r="P265" s="442"/>
      <c r="Q265" s="1"/>
      <c r="R265" s="1"/>
      <c r="S265" s="1"/>
      <c r="T265" s="1"/>
      <c r="U265" s="1"/>
      <c r="V265" s="1"/>
      <c r="W265" s="131" t="str">
        <f>$F$2</f>
        <v>Medical University of South Carolina</v>
      </c>
      <c r="X265" s="664" t="s">
        <v>411</v>
      </c>
      <c r="Y265" s="500"/>
      <c r="Z265" s="457"/>
      <c r="AA265" s="457"/>
      <c r="AB265" s="1186"/>
      <c r="AC265" s="551" t="str">
        <f t="shared" si="48"/>
        <v>Change</v>
      </c>
      <c r="AD265" s="1057">
        <f t="shared" si="51"/>
        <v>40</v>
      </c>
      <c r="AE265" s="457" t="s">
        <v>839</v>
      </c>
      <c r="AF265" s="457"/>
    </row>
    <row r="266" spans="1:32" ht="11.25" customHeight="1">
      <c r="A266" s="611">
        <v>2</v>
      </c>
      <c r="B266" s="1"/>
      <c r="C266" s="1"/>
      <c r="D266" s="1"/>
      <c r="E266" s="1"/>
      <c r="F266" s="82" t="str">
        <f>$F$464</f>
        <v>Measurement Data</v>
      </c>
      <c r="G266" s="1"/>
      <c r="H266" s="1"/>
      <c r="I266" s="1"/>
      <c r="J266" s="1"/>
      <c r="K266" s="132" t="str">
        <f>$F$5</f>
        <v>Radiographic System Compliance Inspection</v>
      </c>
      <c r="L266" s="676" t="s">
        <v>411</v>
      </c>
      <c r="M266" s="1"/>
      <c r="N266" s="1"/>
      <c r="O266" s="583"/>
      <c r="P266" s="442"/>
      <c r="Q266" s="1"/>
      <c r="R266" s="1"/>
      <c r="S266" s="1"/>
      <c r="T266" s="1"/>
      <c r="U266" s="1"/>
      <c r="V266" s="1"/>
      <c r="W266" s="132" t="str">
        <f>$F$5</f>
        <v>Radiographic System Compliance Inspection</v>
      </c>
      <c r="X266" s="664" t="s">
        <v>411</v>
      </c>
      <c r="Y266" s="500"/>
      <c r="Z266" s="457"/>
      <c r="AA266" s="457"/>
      <c r="AB266" s="1186"/>
      <c r="AC266" s="551" t="str">
        <f t="shared" si="48"/>
        <v>Change</v>
      </c>
      <c r="AD266" s="1057">
        <f t="shared" si="51"/>
        <v>40</v>
      </c>
      <c r="AE266" s="457" t="s">
        <v>840</v>
      </c>
      <c r="AF266" s="457"/>
    </row>
    <row r="267" spans="1:32" ht="11.25" customHeight="1">
      <c r="A267" s="611">
        <v>3</v>
      </c>
      <c r="L267" s="676" t="s">
        <v>411</v>
      </c>
      <c r="M267" s="1"/>
      <c r="N267" s="1"/>
      <c r="O267" s="583"/>
      <c r="P267" s="442"/>
      <c r="Q267" s="1"/>
      <c r="R267" s="1"/>
      <c r="S267" s="1"/>
      <c r="T267" s="1"/>
      <c r="U267" s="1"/>
      <c r="V267" s="1"/>
      <c r="W267" s="1"/>
      <c r="X267" s="664" t="s">
        <v>411</v>
      </c>
      <c r="Y267" s="500"/>
      <c r="Z267" s="457"/>
      <c r="AA267" s="457"/>
      <c r="AB267" s="1186"/>
      <c r="AC267" s="551" t="str">
        <f t="shared" si="48"/>
        <v>Change</v>
      </c>
      <c r="AD267" s="1057">
        <f t="shared" si="51"/>
        <v>40</v>
      </c>
      <c r="AE267" s="457" t="s">
        <v>841</v>
      </c>
      <c r="AF267" s="457"/>
    </row>
    <row r="268" spans="1:32" ht="11.25" customHeight="1">
      <c r="A268" s="611">
        <v>4</v>
      </c>
      <c r="F268" s="190" t="str">
        <f>$R$268</f>
        <v>COMMENTS PAGE 2</v>
      </c>
      <c r="L268" s="676" t="s">
        <v>411</v>
      </c>
      <c r="O268" s="578"/>
      <c r="P268" s="442"/>
      <c r="R268" s="190" t="str">
        <f>"COMMENTS"&amp;IF(OR($O$205=0,$O$205="")," PAGE 2"," PAGE 3")</f>
        <v>COMMENTS PAGE 2</v>
      </c>
      <c r="X268" s="664" t="s">
        <v>411</v>
      </c>
      <c r="Y268" s="500"/>
      <c r="Z268" s="457"/>
      <c r="AA268" s="457"/>
      <c r="AB268" s="1186"/>
      <c r="AC268" s="551" t="str">
        <f t="shared" si="48"/>
        <v>Change</v>
      </c>
      <c r="AD268" s="1057">
        <f t="shared" si="51"/>
        <v>40</v>
      </c>
      <c r="AE268" s="457" t="s">
        <v>842</v>
      </c>
      <c r="AF268" s="457"/>
    </row>
    <row r="269" spans="1:32" ht="11.25" customHeight="1" thickBot="1">
      <c r="A269" s="611">
        <v>5</v>
      </c>
      <c r="L269" s="676" t="s">
        <v>411</v>
      </c>
      <c r="O269" s="578"/>
      <c r="P269" s="442"/>
      <c r="X269" s="664" t="s">
        <v>411</v>
      </c>
      <c r="Y269" s="500"/>
      <c r="Z269" s="457"/>
      <c r="AA269" s="457"/>
      <c r="AB269" s="49"/>
      <c r="AC269" s="551" t="str">
        <f t="shared" si="48"/>
        <v/>
      </c>
      <c r="AD269" s="457"/>
      <c r="AE269" s="457"/>
      <c r="AF269" s="457"/>
    </row>
    <row r="270" spans="1:32" ht="11.25" customHeight="1" thickTop="1">
      <c r="A270" s="611">
        <v>6</v>
      </c>
      <c r="B270" s="79"/>
      <c r="C270" s="62"/>
      <c r="D270" s="62"/>
      <c r="E270" s="62"/>
      <c r="F270" s="62"/>
      <c r="G270" s="62"/>
      <c r="H270" s="62"/>
      <c r="I270" s="62"/>
      <c r="J270" s="62"/>
      <c r="K270" s="80"/>
      <c r="L270" s="676" t="s">
        <v>411</v>
      </c>
      <c r="M270" s="79"/>
      <c r="N270" s="62"/>
      <c r="O270" s="584"/>
      <c r="P270" s="439"/>
      <c r="Q270" s="683" t="s">
        <v>360</v>
      </c>
      <c r="R270" s="62"/>
      <c r="S270" s="62"/>
      <c r="T270" s="62"/>
      <c r="U270" s="62"/>
      <c r="V270" s="62"/>
      <c r="W270" s="80"/>
      <c r="X270" s="664" t="s">
        <v>411</v>
      </c>
      <c r="Y270" s="500"/>
      <c r="Z270" s="457"/>
      <c r="AA270" s="132" t="s">
        <v>558</v>
      </c>
      <c r="AB270" s="1186"/>
      <c r="AC270" s="551" t="str">
        <f t="shared" si="48"/>
        <v>Change</v>
      </c>
      <c r="AD270" s="1058">
        <f t="shared" ref="AD270:AD279" si="52">P87</f>
        <v>23</v>
      </c>
      <c r="AE270" s="457" t="s">
        <v>843</v>
      </c>
      <c r="AF270" s="457"/>
    </row>
    <row r="271" spans="1:32" ht="11.25" customHeight="1">
      <c r="A271" s="611">
        <v>7</v>
      </c>
      <c r="B271" s="102" t="s">
        <v>552</v>
      </c>
      <c r="C271" s="613" t="str">
        <f>IF(O271="","",IF(LEN(O271)&lt;=135,O271,IF(LEN(O271)&lt;=260,LEFT(O271,SEARCH(" ",O271,125)),LEFT(O271,SEARCH(" ",O271,130)))))</f>
        <v/>
      </c>
      <c r="D271" s="377"/>
      <c r="E271" s="377"/>
      <c r="F271" s="377"/>
      <c r="G271" s="377"/>
      <c r="H271" s="377"/>
      <c r="I271" s="377"/>
      <c r="J271" s="377"/>
      <c r="K271" s="71"/>
      <c r="L271" s="676" t="s">
        <v>411</v>
      </c>
      <c r="M271" s="127"/>
      <c r="N271" s="54" t="s">
        <v>552</v>
      </c>
      <c r="O271" s="1084"/>
      <c r="P271" s="440"/>
      <c r="Q271" s="677" t="str">
        <f>IF(OR(AB352=0,AB352=""),"",AB352)</f>
        <v/>
      </c>
      <c r="R271" s="48"/>
      <c r="S271" s="48"/>
      <c r="T271" s="48"/>
      <c r="U271" s="48"/>
      <c r="V271" s="48"/>
      <c r="W271" s="69"/>
      <c r="X271" s="664" t="s">
        <v>411</v>
      </c>
      <c r="Y271" s="500"/>
      <c r="Z271" s="457"/>
      <c r="AA271" s="457"/>
      <c r="AB271" s="1186"/>
      <c r="AC271" s="551" t="str">
        <f t="shared" si="48"/>
        <v>Change</v>
      </c>
      <c r="AD271" s="1058">
        <f t="shared" si="52"/>
        <v>23</v>
      </c>
      <c r="AE271" s="457" t="s">
        <v>844</v>
      </c>
      <c r="AF271" s="457"/>
    </row>
    <row r="272" spans="1:32" ht="11.25" customHeight="1">
      <c r="A272" s="611">
        <v>8</v>
      </c>
      <c r="B272" s="85"/>
      <c r="C272" s="613" t="str">
        <f>IF(LEN(O271)&lt;=135,"",IF(LEN(O271)&lt;=260,RIGHT(O271,LEN(O271)-SEARCH(" ",O271,125)),MID(O271,SEARCH(" ",O271,130),IF(LEN(O271)&lt;=265,LEN(O271),SEARCH(" ",O271,255)-SEARCH(" ",O271,130)))))</f>
        <v/>
      </c>
      <c r="D272" s="377"/>
      <c r="E272" s="377"/>
      <c r="F272" s="377"/>
      <c r="G272" s="377"/>
      <c r="H272" s="377"/>
      <c r="I272" s="377"/>
      <c r="J272" s="377"/>
      <c r="K272" s="71"/>
      <c r="L272" s="676" t="s">
        <v>411</v>
      </c>
      <c r="M272" s="85"/>
      <c r="N272" s="609" t="s">
        <v>282</v>
      </c>
      <c r="O272" s="1085"/>
      <c r="P272" s="610">
        <f>LEN(O271)</f>
        <v>0</v>
      </c>
      <c r="Q272" s="679"/>
      <c r="R272" s="682">
        <f>LEN(Q271)</f>
        <v>0</v>
      </c>
      <c r="S272" s="59"/>
      <c r="T272" s="59"/>
      <c r="U272" s="59"/>
      <c r="V272" s="59"/>
      <c r="W272" s="70"/>
      <c r="X272" s="664" t="s">
        <v>411</v>
      </c>
      <c r="Y272" s="500"/>
      <c r="Z272" s="457"/>
      <c r="AA272" s="457"/>
      <c r="AB272" s="1186"/>
      <c r="AC272" s="551" t="str">
        <f t="shared" ref="AC272:AC335" si="53">IF(AND(OR(AB272="",AB272=0),OR(AD272="",AD272=0)),"",IF(AB272&lt;&gt;AD272,"Change",""))</f>
        <v>Change</v>
      </c>
      <c r="AD272" s="1058">
        <f t="shared" si="52"/>
        <v>20</v>
      </c>
      <c r="AE272" s="457" t="s">
        <v>845</v>
      </c>
      <c r="AF272" s="457"/>
    </row>
    <row r="273" spans="1:32" ht="11.25" customHeight="1">
      <c r="A273" s="611">
        <v>9</v>
      </c>
      <c r="B273" s="85"/>
      <c r="C273" s="613" t="str">
        <f>IF(LEN(O271)&lt;=265,"",RIGHT(O271,LEN(O271)-SEARCH(" ",O271,255)))</f>
        <v/>
      </c>
      <c r="D273" s="377"/>
      <c r="E273" s="377"/>
      <c r="F273" s="377"/>
      <c r="G273" s="377"/>
      <c r="H273" s="377"/>
      <c r="I273" s="377"/>
      <c r="J273" s="377"/>
      <c r="K273" s="71"/>
      <c r="L273" s="676" t="s">
        <v>411</v>
      </c>
      <c r="M273" s="66"/>
      <c r="N273" s="54" t="s">
        <v>82</v>
      </c>
      <c r="O273" s="1084"/>
      <c r="P273" s="440"/>
      <c r="Q273" s="677" t="str">
        <f>IF(OR(AB354=0,AB354=""),"",AB354)</f>
        <v/>
      </c>
      <c r="R273" s="48"/>
      <c r="S273" s="48"/>
      <c r="T273" s="48"/>
      <c r="U273" s="48"/>
      <c r="V273" s="48"/>
      <c r="W273" s="69"/>
      <c r="X273" s="664" t="s">
        <v>411</v>
      </c>
      <c r="Y273" s="500"/>
      <c r="Z273" s="457"/>
      <c r="AA273" s="457"/>
      <c r="AB273" s="1186"/>
      <c r="AC273" s="551" t="str">
        <f t="shared" si="53"/>
        <v>Change</v>
      </c>
      <c r="AD273" s="1058">
        <f t="shared" si="52"/>
        <v>13</v>
      </c>
      <c r="AE273" s="457" t="s">
        <v>846</v>
      </c>
      <c r="AF273" s="457"/>
    </row>
    <row r="274" spans="1:32" ht="11.25" customHeight="1">
      <c r="A274" s="611">
        <v>10</v>
      </c>
      <c r="B274" s="127"/>
      <c r="C274" s="613" t="str">
        <f>IF(O273="","",IF(LEN(O273)&lt;=135,O273,IF(LEN(O273)&lt;=260,LEFT(O273,SEARCH(" ",O273,125)),LEFT(O273,SEARCH(" ",O273,130)))))</f>
        <v/>
      </c>
      <c r="D274" s="377"/>
      <c r="E274" s="377"/>
      <c r="F274" s="377"/>
      <c r="G274" s="377"/>
      <c r="H274" s="377"/>
      <c r="I274" s="377"/>
      <c r="J274" s="377"/>
      <c r="K274" s="71"/>
      <c r="L274" s="676" t="s">
        <v>411</v>
      </c>
      <c r="M274" s="85"/>
      <c r="N274" s="609" t="s">
        <v>282</v>
      </c>
      <c r="O274" s="1085"/>
      <c r="P274" s="610">
        <f>LEN(O273)</f>
        <v>0</v>
      </c>
      <c r="Q274" s="679"/>
      <c r="R274" s="682">
        <f>LEN(Q273)</f>
        <v>0</v>
      </c>
      <c r="S274" s="48"/>
      <c r="T274" s="48"/>
      <c r="U274" s="48"/>
      <c r="V274" s="48"/>
      <c r="W274" s="69"/>
      <c r="X274" s="664" t="s">
        <v>411</v>
      </c>
      <c r="Y274" s="500"/>
      <c r="Z274" s="457"/>
      <c r="AA274" s="457"/>
      <c r="AB274" s="1186"/>
      <c r="AC274" s="551" t="str">
        <f t="shared" si="53"/>
        <v>Change</v>
      </c>
      <c r="AD274" s="1058">
        <f t="shared" si="52"/>
        <v>15</v>
      </c>
      <c r="AE274" s="457" t="s">
        <v>847</v>
      </c>
      <c r="AF274" s="457"/>
    </row>
    <row r="275" spans="1:32" ht="11.25" customHeight="1">
      <c r="A275" s="611">
        <v>11</v>
      </c>
      <c r="B275" s="127"/>
      <c r="C275" s="613" t="str">
        <f>IF(LEN(O273)&lt;=135,"",IF(LEN(O273)&lt;=260,RIGHT(O273,LEN(O273)-SEARCH(" ",O273,125)),MID(O273,SEARCH(" ",O273,130),IF(LEN(O273)&lt;=265,LEN(O273),SEARCH(" ",O273,255)-SEARCH(" ",O273,130)))))</f>
        <v/>
      </c>
      <c r="D275" s="377"/>
      <c r="E275" s="377"/>
      <c r="F275" s="377"/>
      <c r="G275" s="377"/>
      <c r="H275" s="377"/>
      <c r="I275" s="377"/>
      <c r="J275" s="377"/>
      <c r="K275" s="71"/>
      <c r="L275" s="676" t="s">
        <v>411</v>
      </c>
      <c r="M275" s="213"/>
      <c r="N275" s="54" t="s">
        <v>82</v>
      </c>
      <c r="O275" s="1084"/>
      <c r="P275" s="440"/>
      <c r="Q275" s="677" t="str">
        <f>IF(OR(AB356=0,AB356=""),"",AB356)</f>
        <v/>
      </c>
      <c r="R275" s="48"/>
      <c r="S275" s="59"/>
      <c r="T275" s="59"/>
      <c r="U275" s="59"/>
      <c r="V275" s="59"/>
      <c r="W275" s="70"/>
      <c r="X275" s="664" t="s">
        <v>411</v>
      </c>
      <c r="Y275" s="500"/>
      <c r="Z275" s="457"/>
      <c r="AA275" s="457"/>
      <c r="AB275" s="1186"/>
      <c r="AC275" s="551" t="str">
        <f t="shared" si="53"/>
        <v>Change</v>
      </c>
      <c r="AD275" s="1058">
        <f t="shared" si="52"/>
        <v>8</v>
      </c>
      <c r="AE275" s="457" t="s">
        <v>848</v>
      </c>
      <c r="AF275" s="457"/>
    </row>
    <row r="276" spans="1:32" ht="11.25" customHeight="1">
      <c r="A276" s="611">
        <v>12</v>
      </c>
      <c r="B276" s="127"/>
      <c r="C276" s="613" t="str">
        <f>IF(LEN(O273)&lt;=265,"",RIGHT(O273,LEN(O273)-SEARCH(" ",O273,255)))</f>
        <v/>
      </c>
      <c r="D276" s="377"/>
      <c r="E276" s="377"/>
      <c r="F276" s="377"/>
      <c r="G276" s="377"/>
      <c r="H276" s="377"/>
      <c r="I276" s="377"/>
      <c r="J276" s="377"/>
      <c r="K276" s="71"/>
      <c r="L276" s="676" t="s">
        <v>411</v>
      </c>
      <c r="M276" s="66"/>
      <c r="N276" s="609" t="s">
        <v>282</v>
      </c>
      <c r="O276" s="1085"/>
      <c r="P276" s="610">
        <f>LEN(O275)</f>
        <v>0</v>
      </c>
      <c r="Q276" s="679"/>
      <c r="R276" s="682">
        <f>LEN(Q275)</f>
        <v>0</v>
      </c>
      <c r="S276" s="48"/>
      <c r="T276" s="48"/>
      <c r="U276" s="48"/>
      <c r="V276" s="48"/>
      <c r="W276" s="69"/>
      <c r="X276" s="664" t="s">
        <v>411</v>
      </c>
      <c r="Y276" s="500"/>
      <c r="Z276" s="457"/>
      <c r="AA276" s="457"/>
      <c r="AB276" s="1186"/>
      <c r="AC276" s="551" t="str">
        <f t="shared" si="53"/>
        <v>Change</v>
      </c>
      <c r="AD276" s="1058">
        <f t="shared" si="52"/>
        <v>12</v>
      </c>
      <c r="AE276" s="457" t="s">
        <v>849</v>
      </c>
      <c r="AF276" s="457"/>
    </row>
    <row r="277" spans="1:32" ht="11.25" customHeight="1">
      <c r="A277" s="611">
        <v>13</v>
      </c>
      <c r="B277" s="127"/>
      <c r="C277" s="613" t="str">
        <f>IF(O275="","",IF(LEN(O275)&lt;=135,O275,IF(LEN(O275)&lt;=260,LEFT(O275,SEARCH(" ",O275,125)),LEFT(O275,SEARCH(" ",O275,130)))))</f>
        <v/>
      </c>
      <c r="D277" s="377"/>
      <c r="E277" s="377"/>
      <c r="F277" s="377"/>
      <c r="G277" s="377"/>
      <c r="H277" s="377"/>
      <c r="I277" s="377"/>
      <c r="J277" s="377"/>
      <c r="K277" s="71"/>
      <c r="L277" s="676" t="s">
        <v>411</v>
      </c>
      <c r="M277" s="85"/>
      <c r="N277" s="54" t="s">
        <v>82</v>
      </c>
      <c r="O277" s="1084"/>
      <c r="P277" s="440"/>
      <c r="Q277" s="677" t="str">
        <f>IF(OR(AB358=0,AB358=""),"",AB358)</f>
        <v/>
      </c>
      <c r="R277" s="48"/>
      <c r="S277" s="48"/>
      <c r="T277" s="48"/>
      <c r="U277" s="48"/>
      <c r="V277" s="48"/>
      <c r="W277" s="69"/>
      <c r="X277" s="664" t="s">
        <v>411</v>
      </c>
      <c r="Y277" s="500"/>
      <c r="Z277" s="457"/>
      <c r="AA277" s="457"/>
      <c r="AB277" s="1186"/>
      <c r="AC277" s="551" t="str">
        <f t="shared" si="53"/>
        <v>Change</v>
      </c>
      <c r="AD277" s="1058">
        <f t="shared" si="52"/>
        <v>20</v>
      </c>
      <c r="AE277" s="457" t="s">
        <v>850</v>
      </c>
      <c r="AF277" s="457"/>
    </row>
    <row r="278" spans="1:32" ht="11.25" customHeight="1">
      <c r="A278" s="611">
        <v>14</v>
      </c>
      <c r="B278" s="127"/>
      <c r="C278" s="613" t="str">
        <f>IF(LEN(O275)&lt;=135,"",IF(LEN(O275)&lt;=260,RIGHT(O275,LEN(O275)-SEARCH(" ",O275,125)),MID(O275,SEARCH(" ",O275,130),IF(LEN(O275)&lt;=265,LEN(O275),SEARCH(" ",O275,255)-SEARCH(" ",O275,130)))))</f>
        <v/>
      </c>
      <c r="D278" s="377"/>
      <c r="E278" s="377"/>
      <c r="F278" s="377"/>
      <c r="G278" s="377"/>
      <c r="H278" s="377"/>
      <c r="I278" s="377"/>
      <c r="J278" s="377"/>
      <c r="K278" s="71"/>
      <c r="L278" s="676" t="s">
        <v>411</v>
      </c>
      <c r="M278" s="213"/>
      <c r="N278" s="609" t="s">
        <v>282</v>
      </c>
      <c r="O278" s="1085"/>
      <c r="P278" s="610">
        <f>LEN(O277)</f>
        <v>0</v>
      </c>
      <c r="Q278" s="679"/>
      <c r="R278" s="682">
        <f>LEN(Q277)</f>
        <v>0</v>
      </c>
      <c r="S278" s="59"/>
      <c r="T278" s="59"/>
      <c r="U278" s="59"/>
      <c r="V278" s="59"/>
      <c r="W278" s="70"/>
      <c r="X278" s="664" t="s">
        <v>411</v>
      </c>
      <c r="Y278" s="500"/>
      <c r="Z278" s="457"/>
      <c r="AA278" s="457"/>
      <c r="AB278" s="1186"/>
      <c r="AC278" s="551" t="str">
        <f t="shared" si="53"/>
        <v>Change</v>
      </c>
      <c r="AD278" s="1058">
        <f t="shared" si="52"/>
        <v>15</v>
      </c>
      <c r="AE278" s="457" t="s">
        <v>851</v>
      </c>
      <c r="AF278" s="457"/>
    </row>
    <row r="279" spans="1:32" ht="11.25" customHeight="1">
      <c r="A279" s="611">
        <v>15</v>
      </c>
      <c r="B279" s="127"/>
      <c r="C279" s="613" t="str">
        <f>IF(LEN(O275)&lt;=265,"",RIGHT(O275,LEN(O275)-SEARCH(" ",O275,255)))</f>
        <v/>
      </c>
      <c r="D279" s="377"/>
      <c r="E279" s="377"/>
      <c r="F279" s="377"/>
      <c r="G279" s="377"/>
      <c r="H279" s="377"/>
      <c r="I279" s="377"/>
      <c r="J279" s="377"/>
      <c r="K279" s="71"/>
      <c r="L279" s="676" t="s">
        <v>411</v>
      </c>
      <c r="M279" s="66"/>
      <c r="N279" s="54" t="s">
        <v>82</v>
      </c>
      <c r="O279" s="1084"/>
      <c r="P279" s="440"/>
      <c r="Q279" s="677" t="str">
        <f>IF(OR(AB360=0,AB360=""),"",AB360)</f>
        <v/>
      </c>
      <c r="R279" s="48"/>
      <c r="S279" s="48"/>
      <c r="T279" s="48"/>
      <c r="U279" s="48"/>
      <c r="V279" s="48"/>
      <c r="W279" s="69"/>
      <c r="X279" s="664" t="s">
        <v>411</v>
      </c>
      <c r="Y279" s="500"/>
      <c r="Z279" s="457"/>
      <c r="AA279" s="457"/>
      <c r="AB279" s="1186"/>
      <c r="AC279" s="551" t="str">
        <f t="shared" si="53"/>
        <v>Change</v>
      </c>
      <c r="AD279" s="1058">
        <f t="shared" si="52"/>
        <v>23</v>
      </c>
      <c r="AE279" s="457" t="s">
        <v>852</v>
      </c>
      <c r="AF279" s="457"/>
    </row>
    <row r="280" spans="1:32" ht="11.25" customHeight="1">
      <c r="A280" s="611">
        <v>16</v>
      </c>
      <c r="B280" s="127"/>
      <c r="C280" s="613" t="str">
        <f>IF(O277="","",IF(LEN(O277)&lt;=135,O277,IF(LEN(O277)&lt;=260,LEFT(O277,SEARCH(" ",O277,125)),LEFT(O277,SEARCH(" ",O277,130)))))</f>
        <v/>
      </c>
      <c r="D280" s="377"/>
      <c r="E280" s="377"/>
      <c r="F280" s="377"/>
      <c r="G280" s="377"/>
      <c r="H280" s="377"/>
      <c r="I280" s="377"/>
      <c r="J280" s="377"/>
      <c r="K280" s="71"/>
      <c r="L280" s="676" t="s">
        <v>411</v>
      </c>
      <c r="M280" s="85"/>
      <c r="N280" s="609" t="s">
        <v>282</v>
      </c>
      <c r="O280" s="1085"/>
      <c r="P280" s="610">
        <f>LEN(O279)</f>
        <v>0</v>
      </c>
      <c r="Q280" s="679"/>
      <c r="R280" s="682">
        <f>LEN(Q279)</f>
        <v>0</v>
      </c>
      <c r="S280" s="48"/>
      <c r="T280" s="48"/>
      <c r="U280" s="48"/>
      <c r="V280" s="48"/>
      <c r="W280" s="69"/>
      <c r="X280" s="664" t="s">
        <v>411</v>
      </c>
      <c r="Y280" s="500"/>
      <c r="Z280" s="457"/>
      <c r="AA280" s="457"/>
      <c r="AB280" s="49"/>
      <c r="AC280" s="551" t="str">
        <f t="shared" si="53"/>
        <v/>
      </c>
      <c r="AD280" s="457"/>
      <c r="AE280" s="457"/>
      <c r="AF280" s="457"/>
    </row>
    <row r="281" spans="1:32" ht="11.25" customHeight="1">
      <c r="A281" s="611">
        <v>17</v>
      </c>
      <c r="B281" s="127"/>
      <c r="C281" s="613" t="str">
        <f>IF(LEN(O277)&lt;=135,"",IF(LEN(O277)&lt;=260,RIGHT(O277,LEN(O277)-SEARCH(" ",O277,125)),MID(O277,SEARCH(" ",O277,130),IF(LEN(O277)&lt;=265,LEN(O277),SEARCH(" ",O277,255)-SEARCH(" ",O277,130)))))</f>
        <v/>
      </c>
      <c r="D281" s="377"/>
      <c r="E281" s="377"/>
      <c r="F281" s="377"/>
      <c r="G281" s="377"/>
      <c r="H281" s="377"/>
      <c r="I281" s="377"/>
      <c r="J281" s="377"/>
      <c r="K281" s="71"/>
      <c r="L281" s="676" t="s">
        <v>411</v>
      </c>
      <c r="M281" s="213"/>
      <c r="N281" s="54" t="s">
        <v>82</v>
      </c>
      <c r="O281" s="1084"/>
      <c r="P281" s="440"/>
      <c r="Q281" s="677" t="str">
        <f>IF(OR(AB362=0,AB362=""),"",AB362)</f>
        <v/>
      </c>
      <c r="R281" s="48"/>
      <c r="S281" s="59"/>
      <c r="T281" s="59"/>
      <c r="U281" s="59"/>
      <c r="V281" s="59"/>
      <c r="W281" s="70"/>
      <c r="X281" s="664" t="s">
        <v>411</v>
      </c>
      <c r="Y281" s="500"/>
      <c r="Z281" s="457"/>
      <c r="AA281" s="132" t="s">
        <v>561</v>
      </c>
      <c r="AB281" s="1186"/>
      <c r="AC281" s="551" t="str">
        <f t="shared" si="53"/>
        <v>Change</v>
      </c>
      <c r="AD281" s="1057" t="str">
        <f t="shared" ref="AD281:AD290" si="54">Q87</f>
        <v>14x17</v>
      </c>
      <c r="AE281" s="457" t="s">
        <v>853</v>
      </c>
      <c r="AF281" s="457"/>
    </row>
    <row r="282" spans="1:32" ht="11.25" customHeight="1">
      <c r="A282" s="611">
        <v>18</v>
      </c>
      <c r="B282" s="127"/>
      <c r="C282" s="613" t="str">
        <f>IF(LEN(O277)&lt;=265,"",RIGHT(O277,LEN(O277)-SEARCH(" ",O277,255)))</f>
        <v/>
      </c>
      <c r="D282" s="377"/>
      <c r="E282" s="377"/>
      <c r="F282" s="377"/>
      <c r="G282" s="377"/>
      <c r="H282" s="377"/>
      <c r="I282" s="377"/>
      <c r="J282" s="377"/>
      <c r="K282" s="71"/>
      <c r="L282" s="676" t="s">
        <v>411</v>
      </c>
      <c r="M282" s="66"/>
      <c r="N282" s="609" t="s">
        <v>282</v>
      </c>
      <c r="O282" s="1085"/>
      <c r="P282" s="610">
        <f>LEN(O281)</f>
        <v>0</v>
      </c>
      <c r="Q282" s="679"/>
      <c r="R282" s="682">
        <f>LEN(Q281)</f>
        <v>0</v>
      </c>
      <c r="S282" s="48"/>
      <c r="T282" s="48"/>
      <c r="U282" s="48"/>
      <c r="V282" s="48"/>
      <c r="W282" s="69"/>
      <c r="X282" s="664" t="s">
        <v>411</v>
      </c>
      <c r="Y282" s="500"/>
      <c r="Z282" s="457"/>
      <c r="AA282" s="457"/>
      <c r="AB282" s="1186"/>
      <c r="AC282" s="551" t="str">
        <f t="shared" si="53"/>
        <v>Change</v>
      </c>
      <c r="AD282" s="1057" t="str">
        <f t="shared" si="54"/>
        <v>14x17</v>
      </c>
      <c r="AE282" s="457" t="s">
        <v>854</v>
      </c>
      <c r="AF282" s="457"/>
    </row>
    <row r="283" spans="1:32" ht="11.25" customHeight="1">
      <c r="A283" s="611">
        <v>19</v>
      </c>
      <c r="B283" s="127"/>
      <c r="C283" s="613" t="str">
        <f>IF(O279="","",IF(LEN(O279)&lt;=135,O279,IF(LEN(O279)&lt;=260,LEFT(O279,SEARCH(" ",O279,125)),LEFT(O279,SEARCH(" ",O279,130)))))</f>
        <v/>
      </c>
      <c r="D283" s="377"/>
      <c r="E283" s="377"/>
      <c r="F283" s="377"/>
      <c r="G283" s="377"/>
      <c r="H283" s="377"/>
      <c r="I283" s="377"/>
      <c r="J283" s="377"/>
      <c r="K283" s="71"/>
      <c r="L283" s="676" t="s">
        <v>411</v>
      </c>
      <c r="M283" s="85"/>
      <c r="N283" s="54" t="s">
        <v>82</v>
      </c>
      <c r="O283" s="1084"/>
      <c r="P283" s="440"/>
      <c r="Q283" s="677" t="str">
        <f>IF(OR(AB364=0,AB364=""),"",AB364)</f>
        <v/>
      </c>
      <c r="R283" s="48"/>
      <c r="S283" s="48"/>
      <c r="T283" s="48"/>
      <c r="U283" s="48"/>
      <c r="V283" s="48"/>
      <c r="W283" s="69"/>
      <c r="X283" s="664" t="s">
        <v>411</v>
      </c>
      <c r="Y283" s="500"/>
      <c r="Z283" s="457"/>
      <c r="AA283" s="457"/>
      <c r="AB283" s="1186"/>
      <c r="AC283" s="551" t="str">
        <f t="shared" si="53"/>
        <v>Change</v>
      </c>
      <c r="AD283" s="1057" t="str">
        <f t="shared" si="54"/>
        <v>14x17</v>
      </c>
      <c r="AE283" s="457" t="s">
        <v>855</v>
      </c>
      <c r="AF283" s="457"/>
    </row>
    <row r="284" spans="1:32" ht="11.25" customHeight="1">
      <c r="A284" s="611">
        <v>20</v>
      </c>
      <c r="B284" s="127"/>
      <c r="C284" s="613" t="str">
        <f>IF(LEN(O279)&lt;=135,"",IF(LEN(O279)&lt;=260,RIGHT(O279,LEN(O279)-SEARCH(" ",O279,125)),MID(O279,SEARCH(" ",O279,130),IF(LEN(O279)&lt;=265,LEN(O279),SEARCH(" ",O279,255)-SEARCH(" ",O279,130)))))</f>
        <v/>
      </c>
      <c r="D284" s="377"/>
      <c r="E284" s="377"/>
      <c r="F284" s="377"/>
      <c r="G284" s="377"/>
      <c r="H284" s="377"/>
      <c r="I284" s="377"/>
      <c r="J284" s="377"/>
      <c r="K284" s="71"/>
      <c r="L284" s="676" t="s">
        <v>411</v>
      </c>
      <c r="M284" s="213"/>
      <c r="N284" s="609" t="s">
        <v>282</v>
      </c>
      <c r="O284" s="1085"/>
      <c r="P284" s="610">
        <f>LEN(O283)</f>
        <v>0</v>
      </c>
      <c r="Q284" s="679"/>
      <c r="R284" s="682">
        <f>LEN(Q283)</f>
        <v>0</v>
      </c>
      <c r="S284" s="59"/>
      <c r="T284" s="59"/>
      <c r="U284" s="59"/>
      <c r="V284" s="59"/>
      <c r="W284" s="70"/>
      <c r="X284" s="664" t="s">
        <v>411</v>
      </c>
      <c r="Y284" s="500"/>
      <c r="Z284" s="457"/>
      <c r="AA284" s="457"/>
      <c r="AB284" s="1186"/>
      <c r="AC284" s="551" t="str">
        <f t="shared" si="53"/>
        <v>Change</v>
      </c>
      <c r="AD284" s="1057" t="str">
        <f t="shared" si="54"/>
        <v>10x12</v>
      </c>
      <c r="AE284" s="457" t="s">
        <v>856</v>
      </c>
      <c r="AF284" s="457"/>
    </row>
    <row r="285" spans="1:32" ht="11.25" customHeight="1">
      <c r="A285" s="611">
        <v>21</v>
      </c>
      <c r="B285" s="127"/>
      <c r="C285" s="613" t="str">
        <f>IF(LEN(O279)&lt;=265,"",RIGHT(O279,LEN(O279)-SEARCH(" ",O279,255)))</f>
        <v/>
      </c>
      <c r="D285" s="377"/>
      <c r="E285" s="377"/>
      <c r="F285" s="377"/>
      <c r="G285" s="377"/>
      <c r="H285" s="377"/>
      <c r="I285" s="377"/>
      <c r="J285" s="377"/>
      <c r="K285" s="71"/>
      <c r="L285" s="676" t="s">
        <v>411</v>
      </c>
      <c r="M285" s="66"/>
      <c r="N285" s="54" t="s">
        <v>82</v>
      </c>
      <c r="O285" s="1084"/>
      <c r="P285" s="440"/>
      <c r="Q285" s="677" t="str">
        <f>IF(OR(AB366=0,AB366=""),"",AB366)</f>
        <v/>
      </c>
      <c r="R285" s="48"/>
      <c r="S285" s="48"/>
      <c r="T285" s="48"/>
      <c r="U285" s="48"/>
      <c r="V285" s="48"/>
      <c r="W285" s="69"/>
      <c r="X285" s="664" t="s">
        <v>411</v>
      </c>
      <c r="Y285" s="500"/>
      <c r="Z285" s="457"/>
      <c r="AA285" s="457"/>
      <c r="AB285" s="1186"/>
      <c r="AC285" s="551" t="str">
        <f t="shared" si="53"/>
        <v>Change</v>
      </c>
      <c r="AD285" s="1057" t="str">
        <f t="shared" si="54"/>
        <v>8x10</v>
      </c>
      <c r="AE285" s="457" t="s">
        <v>857</v>
      </c>
      <c r="AF285" s="457"/>
    </row>
    <row r="286" spans="1:32" ht="11.25" customHeight="1">
      <c r="A286" s="611">
        <v>22</v>
      </c>
      <c r="B286" s="127"/>
      <c r="C286" s="613" t="str">
        <f>IF(O281="","",IF(LEN(O281)&lt;=135,O281,IF(LEN(O281)&lt;=260,LEFT(O281,SEARCH(" ",O281,125)),LEFT(O281,SEARCH(" ",O281,130)))))</f>
        <v/>
      </c>
      <c r="D286" s="377"/>
      <c r="E286" s="377"/>
      <c r="F286" s="377"/>
      <c r="G286" s="377"/>
      <c r="H286" s="377"/>
      <c r="I286" s="377"/>
      <c r="J286" s="377"/>
      <c r="K286" s="71"/>
      <c r="L286" s="676" t="s">
        <v>411</v>
      </c>
      <c r="M286" s="85"/>
      <c r="N286" s="609" t="s">
        <v>282</v>
      </c>
      <c r="O286" s="1085"/>
      <c r="P286" s="610">
        <f>LEN(O285)</f>
        <v>0</v>
      </c>
      <c r="Q286" s="679"/>
      <c r="R286" s="682">
        <f>LEN(Q285)</f>
        <v>0</v>
      </c>
      <c r="S286" s="48"/>
      <c r="T286" s="48"/>
      <c r="U286" s="48"/>
      <c r="V286" s="48"/>
      <c r="W286" s="69"/>
      <c r="X286" s="664" t="s">
        <v>411</v>
      </c>
      <c r="Y286" s="500"/>
      <c r="Z286" s="457"/>
      <c r="AA286" s="457"/>
      <c r="AB286" s="1186"/>
      <c r="AC286" s="551" t="str">
        <f t="shared" si="53"/>
        <v>Change</v>
      </c>
      <c r="AD286" s="1057" t="str">
        <f t="shared" si="54"/>
        <v>8x10</v>
      </c>
      <c r="AE286" s="457" t="s">
        <v>858</v>
      </c>
      <c r="AF286" s="457"/>
    </row>
    <row r="287" spans="1:32" ht="11.25" customHeight="1">
      <c r="A287" s="611">
        <v>23</v>
      </c>
      <c r="B287" s="127"/>
      <c r="C287" s="613" t="str">
        <f>IF(LEN(O281)&lt;=135,"",IF(LEN(O281)&lt;=260,RIGHT(O281,LEN(O281)-SEARCH(" ",O281,125)),MID(O281,SEARCH(" ",O281,130),IF(LEN(O281)&lt;=265,LEN(O281),SEARCH(" ",O281,255)-SEARCH(" ",O281,130)))))</f>
        <v/>
      </c>
      <c r="D287" s="377"/>
      <c r="E287" s="377"/>
      <c r="F287" s="377"/>
      <c r="G287" s="377"/>
      <c r="H287" s="377"/>
      <c r="I287" s="377"/>
      <c r="J287" s="377"/>
      <c r="K287" s="71"/>
      <c r="L287" s="676" t="s">
        <v>411</v>
      </c>
      <c r="M287" s="213"/>
      <c r="N287" s="54" t="s">
        <v>82</v>
      </c>
      <c r="O287" s="1084"/>
      <c r="P287" s="440"/>
      <c r="Q287" s="677" t="str">
        <f>IF(OR(AB368=0,AB368=""),"",AB368)</f>
        <v/>
      </c>
      <c r="R287" s="48"/>
      <c r="S287" s="59"/>
      <c r="T287" s="59"/>
      <c r="U287" s="59"/>
      <c r="V287" s="59"/>
      <c r="W287" s="70"/>
      <c r="X287" s="664" t="s">
        <v>411</v>
      </c>
      <c r="Y287" s="500"/>
      <c r="Z287" s="457"/>
      <c r="AA287" s="457"/>
      <c r="AB287" s="1186"/>
      <c r="AC287" s="551" t="str">
        <f t="shared" si="53"/>
        <v>Change</v>
      </c>
      <c r="AD287" s="1057" t="str">
        <f t="shared" si="54"/>
        <v>10x12</v>
      </c>
      <c r="AE287" s="457" t="s">
        <v>859</v>
      </c>
      <c r="AF287" s="457"/>
    </row>
    <row r="288" spans="1:32" ht="11.25" customHeight="1">
      <c r="A288" s="611">
        <v>24</v>
      </c>
      <c r="B288" s="127"/>
      <c r="C288" s="613" t="str">
        <f>IF(LEN(O281)&lt;=265,"",RIGHT(O281,LEN(O281)-SEARCH(" ",O281,255)))</f>
        <v/>
      </c>
      <c r="D288" s="377"/>
      <c r="E288" s="377"/>
      <c r="F288" s="377"/>
      <c r="G288" s="377"/>
      <c r="H288" s="377"/>
      <c r="I288" s="377"/>
      <c r="J288" s="377"/>
      <c r="K288" s="71"/>
      <c r="L288" s="676" t="s">
        <v>411</v>
      </c>
      <c r="M288" s="66"/>
      <c r="N288" s="609" t="s">
        <v>282</v>
      </c>
      <c r="O288" s="1085"/>
      <c r="P288" s="610">
        <f>LEN(O287)</f>
        <v>0</v>
      </c>
      <c r="Q288" s="679"/>
      <c r="R288" s="682">
        <f>LEN(Q287)</f>
        <v>0</v>
      </c>
      <c r="S288" s="48"/>
      <c r="T288" s="48"/>
      <c r="U288" s="48"/>
      <c r="V288" s="48"/>
      <c r="W288" s="69"/>
      <c r="X288" s="664" t="s">
        <v>411</v>
      </c>
      <c r="Y288" s="500"/>
      <c r="Z288" s="457"/>
      <c r="AA288" s="457"/>
      <c r="AB288" s="1186"/>
      <c r="AC288" s="551" t="str">
        <f t="shared" si="53"/>
        <v>Change</v>
      </c>
      <c r="AD288" s="1057" t="str">
        <f t="shared" si="54"/>
        <v>14x17</v>
      </c>
      <c r="AE288" s="457" t="s">
        <v>860</v>
      </c>
      <c r="AF288" s="457"/>
    </row>
    <row r="289" spans="1:32" ht="11.25" customHeight="1">
      <c r="A289" s="611">
        <v>25</v>
      </c>
      <c r="B289" s="127"/>
      <c r="C289" s="613" t="str">
        <f>IF(O283="","",IF(LEN(O283)&lt;=135,O283,IF(LEN(O283)&lt;=260,LEFT(O283,SEARCH(" ",O283,125)),LEFT(O283,SEARCH(" ",O283,130)))))</f>
        <v/>
      </c>
      <c r="D289" s="377"/>
      <c r="E289" s="377"/>
      <c r="F289" s="377"/>
      <c r="G289" s="377"/>
      <c r="H289" s="377"/>
      <c r="I289" s="377"/>
      <c r="J289" s="377"/>
      <c r="K289" s="71"/>
      <c r="L289" s="676" t="s">
        <v>411</v>
      </c>
      <c r="M289" s="85"/>
      <c r="N289" s="54" t="s">
        <v>82</v>
      </c>
      <c r="O289" s="1084"/>
      <c r="P289" s="440"/>
      <c r="Q289" s="677" t="str">
        <f>IF(OR(AB370=0,AB370=""),"",AB370)</f>
        <v/>
      </c>
      <c r="R289" s="48"/>
      <c r="S289" s="48"/>
      <c r="T289" s="48"/>
      <c r="U289" s="48"/>
      <c r="V289" s="48"/>
      <c r="W289" s="69"/>
      <c r="X289" s="664" t="s">
        <v>411</v>
      </c>
      <c r="Y289" s="500"/>
      <c r="Z289" s="457"/>
      <c r="AA289" s="457"/>
      <c r="AB289" s="1186"/>
      <c r="AC289" s="551" t="str">
        <f t="shared" si="53"/>
        <v>Change</v>
      </c>
      <c r="AD289" s="1057" t="str">
        <f t="shared" si="54"/>
        <v>10x12</v>
      </c>
      <c r="AE289" s="457" t="s">
        <v>861</v>
      </c>
      <c r="AF289" s="457"/>
    </row>
    <row r="290" spans="1:32" ht="11.25" customHeight="1">
      <c r="A290" s="611">
        <v>26</v>
      </c>
      <c r="B290" s="127"/>
      <c r="C290" s="613" t="str">
        <f>IF(LEN(O283)&lt;=135,"",IF(LEN(O283)&lt;=260,RIGHT(O283,LEN(O283)-SEARCH(" ",O283,125)),MID(O283,SEARCH(" ",O283,130),IF(LEN(O283)&lt;=265,LEN(O283),SEARCH(" ",O283,255)-SEARCH(" ",O283,130)))))</f>
        <v/>
      </c>
      <c r="D290" s="377"/>
      <c r="E290" s="377"/>
      <c r="F290" s="377"/>
      <c r="G290" s="377"/>
      <c r="H290" s="377"/>
      <c r="I290" s="377"/>
      <c r="J290" s="377"/>
      <c r="K290" s="71"/>
      <c r="L290" s="676" t="s">
        <v>411</v>
      </c>
      <c r="M290" s="213"/>
      <c r="N290" s="609" t="s">
        <v>282</v>
      </c>
      <c r="O290" s="1085"/>
      <c r="P290" s="610">
        <f>LEN(O289)</f>
        <v>0</v>
      </c>
      <c r="Q290" s="679"/>
      <c r="R290" s="682">
        <f>LEN(Q289)</f>
        <v>0</v>
      </c>
      <c r="S290" s="59"/>
      <c r="T290" s="59"/>
      <c r="U290" s="59"/>
      <c r="V290" s="59"/>
      <c r="W290" s="70"/>
      <c r="X290" s="664" t="s">
        <v>411</v>
      </c>
      <c r="Y290" s="500"/>
      <c r="Z290" s="457"/>
      <c r="AA290" s="457"/>
      <c r="AB290" s="1186"/>
      <c r="AC290" s="551" t="str">
        <f t="shared" si="53"/>
        <v>Change</v>
      </c>
      <c r="AD290" s="1057" t="str">
        <f t="shared" si="54"/>
        <v>10x12</v>
      </c>
      <c r="AE290" s="457" t="s">
        <v>862</v>
      </c>
      <c r="AF290" s="457"/>
    </row>
    <row r="291" spans="1:32" ht="11.25" customHeight="1">
      <c r="A291" s="611">
        <v>27</v>
      </c>
      <c r="B291" s="127"/>
      <c r="C291" s="613" t="str">
        <f>IF(LEN(O283)&lt;=265,"",RIGHT(O283,LEN(O283)-SEARCH(" ",O283,255)))</f>
        <v/>
      </c>
      <c r="D291" s="377"/>
      <c r="E291" s="377"/>
      <c r="F291" s="377"/>
      <c r="G291" s="377"/>
      <c r="H291" s="377"/>
      <c r="I291" s="377"/>
      <c r="J291" s="377"/>
      <c r="K291" s="71"/>
      <c r="L291" s="676" t="s">
        <v>411</v>
      </c>
      <c r="M291" s="66"/>
      <c r="N291" s="54" t="s">
        <v>82</v>
      </c>
      <c r="O291" s="1084"/>
      <c r="P291" s="440"/>
      <c r="Q291" s="677" t="str">
        <f>IF(OR(AB372=0,AB372=""),"",AB372)</f>
        <v/>
      </c>
      <c r="R291" s="48"/>
      <c r="S291" s="48"/>
      <c r="T291" s="48"/>
      <c r="U291" s="48"/>
      <c r="V291" s="48"/>
      <c r="W291" s="69"/>
      <c r="X291" s="664" t="s">
        <v>411</v>
      </c>
      <c r="Y291" s="500"/>
      <c r="Z291" s="457"/>
      <c r="AA291" s="457"/>
      <c r="AB291" s="49"/>
      <c r="AC291" s="551" t="str">
        <f t="shared" si="53"/>
        <v/>
      </c>
      <c r="AD291" s="457"/>
      <c r="AE291" s="457"/>
      <c r="AF291" s="457"/>
    </row>
    <row r="292" spans="1:32" ht="11.25" customHeight="1">
      <c r="A292" s="611">
        <v>28</v>
      </c>
      <c r="B292" s="127"/>
      <c r="C292" s="613" t="str">
        <f>IF(O285="","",IF(LEN(O285)&lt;=135,O285,IF(LEN(O285)&lt;=260,LEFT(O285,SEARCH(" ",O285,125)),LEFT(O285,SEARCH(" ",O285,130)))))</f>
        <v/>
      </c>
      <c r="D292" s="377"/>
      <c r="E292" s="377"/>
      <c r="F292" s="377"/>
      <c r="G292" s="377"/>
      <c r="H292" s="377"/>
      <c r="I292" s="377"/>
      <c r="J292" s="377"/>
      <c r="K292" s="71"/>
      <c r="L292" s="676" t="s">
        <v>411</v>
      </c>
      <c r="M292" s="85"/>
      <c r="N292" s="609" t="s">
        <v>282</v>
      </c>
      <c r="O292" s="1085"/>
      <c r="P292" s="610">
        <f>LEN(O291)</f>
        <v>0</v>
      </c>
      <c r="Q292" s="679"/>
      <c r="R292" s="682">
        <f>LEN(Q291)</f>
        <v>0</v>
      </c>
      <c r="S292" s="48"/>
      <c r="T292" s="48"/>
      <c r="U292" s="48"/>
      <c r="V292" s="48"/>
      <c r="W292" s="69"/>
      <c r="X292" s="664" t="s">
        <v>411</v>
      </c>
      <c r="Y292" s="500"/>
      <c r="Z292" s="457"/>
      <c r="AA292" s="132" t="s">
        <v>465</v>
      </c>
      <c r="AB292" s="1186"/>
      <c r="AC292" s="551" t="str">
        <f t="shared" si="53"/>
        <v>Change</v>
      </c>
      <c r="AD292" s="1057">
        <f t="shared" ref="AD292:AD301" si="55">R87</f>
        <v>120</v>
      </c>
      <c r="AE292" s="457" t="s">
        <v>863</v>
      </c>
      <c r="AF292" s="457"/>
    </row>
    <row r="293" spans="1:32" ht="11.25" customHeight="1">
      <c r="A293" s="611">
        <v>29</v>
      </c>
      <c r="B293" s="127"/>
      <c r="C293" s="613" t="str">
        <f>IF(LEN(O285)&lt;=135,"",IF(LEN(O285)&lt;=260,RIGHT(O285,LEN(O285)-SEARCH(" ",O285,125)),MID(O285,SEARCH(" ",O285,130),IF(LEN(O285)&lt;=265,LEN(O285),SEARCH(" ",O285,255)-SEARCH(" ",O285,130)))))</f>
        <v/>
      </c>
      <c r="D293" s="377"/>
      <c r="E293" s="377"/>
      <c r="F293" s="377"/>
      <c r="G293" s="377"/>
      <c r="H293" s="377"/>
      <c r="I293" s="377"/>
      <c r="J293" s="377"/>
      <c r="K293" s="71"/>
      <c r="L293" s="676" t="s">
        <v>411</v>
      </c>
      <c r="M293" s="213"/>
      <c r="N293" s="54" t="s">
        <v>82</v>
      </c>
      <c r="O293" s="1084"/>
      <c r="P293" s="440"/>
      <c r="Q293" s="677" t="str">
        <f>IF(OR(AB374=0,AB374=""),"",AB374)</f>
        <v/>
      </c>
      <c r="R293" s="48"/>
      <c r="S293" s="59"/>
      <c r="T293" s="59"/>
      <c r="U293" s="59"/>
      <c r="V293" s="59"/>
      <c r="W293" s="70"/>
      <c r="X293" s="664" t="s">
        <v>411</v>
      </c>
      <c r="Y293" s="500"/>
      <c r="Z293" s="457"/>
      <c r="AA293" s="457"/>
      <c r="AB293" s="1186"/>
      <c r="AC293" s="551" t="str">
        <f t="shared" si="53"/>
        <v>Change</v>
      </c>
      <c r="AD293" s="1057">
        <f t="shared" si="55"/>
        <v>76</v>
      </c>
      <c r="AE293" s="457" t="s">
        <v>864</v>
      </c>
      <c r="AF293" s="457"/>
    </row>
    <row r="294" spans="1:32" ht="11.25" customHeight="1">
      <c r="A294" s="611">
        <v>30</v>
      </c>
      <c r="B294" s="127"/>
      <c r="C294" s="613" t="str">
        <f>IF(LEN(O285)&lt;=265,"",RIGHT(O285,LEN(O285)-SEARCH(" ",O285,255)))</f>
        <v/>
      </c>
      <c r="D294" s="377"/>
      <c r="E294" s="377"/>
      <c r="F294" s="377"/>
      <c r="G294" s="377"/>
      <c r="H294" s="377"/>
      <c r="I294" s="377"/>
      <c r="J294" s="377"/>
      <c r="K294" s="71"/>
      <c r="L294" s="676" t="s">
        <v>411</v>
      </c>
      <c r="M294" s="66"/>
      <c r="N294" s="609" t="s">
        <v>282</v>
      </c>
      <c r="O294" s="1085"/>
      <c r="P294" s="610">
        <f>LEN(O293)</f>
        <v>0</v>
      </c>
      <c r="Q294" s="679"/>
      <c r="R294" s="682">
        <f>LEN(Q293)</f>
        <v>0</v>
      </c>
      <c r="S294" s="48"/>
      <c r="T294" s="48"/>
      <c r="U294" s="48"/>
      <c r="V294" s="48"/>
      <c r="W294" s="69"/>
      <c r="X294" s="664" t="s">
        <v>411</v>
      </c>
      <c r="Y294" s="500"/>
      <c r="Z294" s="457"/>
      <c r="AA294" s="457"/>
      <c r="AB294" s="1186"/>
      <c r="AC294" s="551" t="str">
        <f t="shared" si="53"/>
        <v>Change</v>
      </c>
      <c r="AD294" s="1057">
        <f t="shared" si="55"/>
        <v>66</v>
      </c>
      <c r="AE294" s="457" t="s">
        <v>865</v>
      </c>
      <c r="AF294" s="457"/>
    </row>
    <row r="295" spans="1:32" ht="11.25" customHeight="1">
      <c r="A295" s="611">
        <v>31</v>
      </c>
      <c r="B295" s="127"/>
      <c r="C295" s="613" t="str">
        <f>IF(O287="","",IF(LEN(O287)&lt;=135,O287,IF(LEN(O287)&lt;=260,LEFT(O287,SEARCH(" ",O287,125)),LEFT(O287,SEARCH(" ",O287,130)))))</f>
        <v/>
      </c>
      <c r="D295" s="377"/>
      <c r="E295" s="377"/>
      <c r="F295" s="377"/>
      <c r="G295" s="377"/>
      <c r="H295" s="377"/>
      <c r="I295" s="377"/>
      <c r="J295" s="377"/>
      <c r="K295" s="71"/>
      <c r="L295" s="676" t="s">
        <v>411</v>
      </c>
      <c r="M295" s="85"/>
      <c r="N295" s="54" t="s">
        <v>82</v>
      </c>
      <c r="O295" s="1084"/>
      <c r="P295" s="440"/>
      <c r="Q295" s="677" t="str">
        <f>IF(OR(AB376=0,AB376=""),"",AB376)</f>
        <v/>
      </c>
      <c r="R295" s="48"/>
      <c r="S295" s="48"/>
      <c r="T295" s="48"/>
      <c r="U295" s="48"/>
      <c r="V295" s="48"/>
      <c r="W295" s="69"/>
      <c r="X295" s="664" t="s">
        <v>411</v>
      </c>
      <c r="Y295" s="500"/>
      <c r="Z295" s="457"/>
      <c r="AA295" s="457"/>
      <c r="AB295" s="1186"/>
      <c r="AC295" s="551" t="str">
        <f t="shared" si="53"/>
        <v>Change</v>
      </c>
      <c r="AD295" s="1057">
        <f t="shared" si="55"/>
        <v>72</v>
      </c>
      <c r="AE295" s="457" t="s">
        <v>866</v>
      </c>
      <c r="AF295" s="457"/>
    </row>
    <row r="296" spans="1:32" ht="11.25" customHeight="1">
      <c r="A296" s="611">
        <v>32</v>
      </c>
      <c r="B296" s="127"/>
      <c r="C296" s="613" t="str">
        <f>IF(LEN(O287)&lt;=135,"",IF(LEN(O287)&lt;=260,RIGHT(O287,LEN(O287)-SEARCH(" ",O287,125)),MID(O287,SEARCH(" ",O287,130),IF(LEN(O287)&lt;=265,LEN(O287),SEARCH(" ",O287,255)-SEARCH(" ",O287,130)))))</f>
        <v/>
      </c>
      <c r="D296" s="377"/>
      <c r="E296" s="377"/>
      <c r="F296" s="377"/>
      <c r="G296" s="377"/>
      <c r="H296" s="377"/>
      <c r="I296" s="377"/>
      <c r="J296" s="377"/>
      <c r="K296" s="71"/>
      <c r="L296" s="676" t="s">
        <v>411</v>
      </c>
      <c r="M296" s="213"/>
      <c r="N296" s="609" t="s">
        <v>282</v>
      </c>
      <c r="O296" s="1085"/>
      <c r="P296" s="610">
        <f>LEN(O295)</f>
        <v>0</v>
      </c>
      <c r="Q296" s="679"/>
      <c r="R296" s="682">
        <f>LEN(Q295)</f>
        <v>0</v>
      </c>
      <c r="S296" s="59"/>
      <c r="T296" s="59"/>
      <c r="U296" s="59"/>
      <c r="V296" s="59"/>
      <c r="W296" s="70"/>
      <c r="X296" s="664" t="s">
        <v>411</v>
      </c>
      <c r="Y296" s="500"/>
      <c r="Z296" s="457"/>
      <c r="AA296" s="457"/>
      <c r="AB296" s="1186"/>
      <c r="AC296" s="551" t="str">
        <f t="shared" si="53"/>
        <v>Change</v>
      </c>
      <c r="AD296" s="1057">
        <f t="shared" si="55"/>
        <v>72</v>
      </c>
      <c r="AE296" s="457" t="s">
        <v>867</v>
      </c>
      <c r="AF296" s="457"/>
    </row>
    <row r="297" spans="1:32" ht="11.25" customHeight="1">
      <c r="A297" s="611">
        <v>33</v>
      </c>
      <c r="B297" s="127"/>
      <c r="C297" s="613" t="str">
        <f>IF(LEN(O287)&lt;=265,"",RIGHT(O287,LEN(O287)-SEARCH(" ",O287,255)))</f>
        <v/>
      </c>
      <c r="D297" s="377"/>
      <c r="E297" s="377"/>
      <c r="F297" s="377"/>
      <c r="G297" s="377"/>
      <c r="H297" s="377"/>
      <c r="I297" s="377"/>
      <c r="J297" s="377"/>
      <c r="K297" s="71"/>
      <c r="L297" s="676" t="s">
        <v>411</v>
      </c>
      <c r="M297" s="127"/>
      <c r="N297" s="54" t="s">
        <v>82</v>
      </c>
      <c r="O297" s="1084"/>
      <c r="P297" s="440"/>
      <c r="Q297" s="677" t="str">
        <f>IF(OR(AB378=0,AB378=""),"",AB378)</f>
        <v/>
      </c>
      <c r="R297" s="48"/>
      <c r="S297" s="59"/>
      <c r="T297" s="59"/>
      <c r="U297" s="59"/>
      <c r="V297" s="59"/>
      <c r="W297" s="71"/>
      <c r="X297" s="664" t="s">
        <v>411</v>
      </c>
      <c r="Y297" s="500"/>
      <c r="Z297" s="457"/>
      <c r="AA297" s="457"/>
      <c r="AB297" s="1186"/>
      <c r="AC297" s="551" t="str">
        <f t="shared" si="53"/>
        <v>Change</v>
      </c>
      <c r="AD297" s="1057">
        <f t="shared" si="55"/>
        <v>60</v>
      </c>
      <c r="AE297" s="457" t="s">
        <v>868</v>
      </c>
      <c r="AF297" s="457"/>
    </row>
    <row r="298" spans="1:32" ht="11.25" customHeight="1">
      <c r="A298" s="611">
        <v>34</v>
      </c>
      <c r="B298" s="127"/>
      <c r="C298" s="613" t="str">
        <f>IF(O289="","",IF(LEN(O289)&lt;=135,O289,IF(LEN(O289)&lt;=260,LEFT(O289,SEARCH(" ",O289,125)),LEFT(O289,SEARCH(" ",O289,130)))))</f>
        <v/>
      </c>
      <c r="D298" s="377"/>
      <c r="E298" s="377"/>
      <c r="F298" s="377"/>
      <c r="G298" s="377"/>
      <c r="H298" s="377"/>
      <c r="I298" s="377"/>
      <c r="J298" s="377"/>
      <c r="K298" s="71"/>
      <c r="L298" s="676" t="s">
        <v>411</v>
      </c>
      <c r="M298" s="127"/>
      <c r="N298" s="609" t="s">
        <v>282</v>
      </c>
      <c r="O298" s="1085"/>
      <c r="P298" s="610">
        <f>LEN(O297)</f>
        <v>0</v>
      </c>
      <c r="Q298" s="679"/>
      <c r="R298" s="682">
        <f>LEN(Q297)</f>
        <v>0</v>
      </c>
      <c r="S298" s="48"/>
      <c r="T298" s="48"/>
      <c r="U298" s="48"/>
      <c r="V298" s="48"/>
      <c r="W298" s="71"/>
      <c r="X298" s="664" t="s">
        <v>411</v>
      </c>
      <c r="Y298" s="500"/>
      <c r="Z298" s="457"/>
      <c r="AA298" s="457"/>
      <c r="AB298" s="1186"/>
      <c r="AC298" s="551" t="str">
        <f t="shared" si="53"/>
        <v>Change</v>
      </c>
      <c r="AD298" s="1057">
        <f t="shared" si="55"/>
        <v>66</v>
      </c>
      <c r="AE298" s="457" t="s">
        <v>869</v>
      </c>
      <c r="AF298" s="457"/>
    </row>
    <row r="299" spans="1:32" ht="11.25" customHeight="1">
      <c r="A299" s="611">
        <v>35</v>
      </c>
      <c r="B299" s="127"/>
      <c r="C299" s="613" t="str">
        <f>IF(LEN(O289)&lt;=135,"",IF(LEN(O289)&lt;=260,RIGHT(O289,LEN(O289)-SEARCH(" ",O289,125)),MID(O289,SEARCH(" ",O289,130),IF(LEN(O289)&lt;=265,LEN(O289),SEARCH(" ",O289,255)-SEARCH(" ",O289,130)))))</f>
        <v/>
      </c>
      <c r="D299" s="377"/>
      <c r="E299" s="377"/>
      <c r="F299" s="377"/>
      <c r="G299" s="377"/>
      <c r="H299" s="377"/>
      <c r="I299" s="377"/>
      <c r="J299" s="377"/>
      <c r="K299" s="71"/>
      <c r="L299" s="676" t="s">
        <v>411</v>
      </c>
      <c r="M299" s="127"/>
      <c r="N299" s="54" t="s">
        <v>82</v>
      </c>
      <c r="O299" s="1084"/>
      <c r="P299" s="440"/>
      <c r="Q299" s="677" t="str">
        <f>IF(OR(AB380=0,AB380=""),"",AB380)</f>
        <v/>
      </c>
      <c r="R299" s="48"/>
      <c r="S299" s="59"/>
      <c r="T299" s="59"/>
      <c r="U299" s="59"/>
      <c r="V299" s="59"/>
      <c r="W299" s="71"/>
      <c r="X299" s="664" t="s">
        <v>411</v>
      </c>
      <c r="Y299" s="500"/>
      <c r="Z299" s="457"/>
      <c r="AA299" s="457"/>
      <c r="AB299" s="1186"/>
      <c r="AC299" s="551" t="str">
        <f t="shared" si="53"/>
        <v>Change</v>
      </c>
      <c r="AD299" s="1057">
        <f t="shared" si="55"/>
        <v>78</v>
      </c>
      <c r="AE299" s="457" t="s">
        <v>870</v>
      </c>
      <c r="AF299" s="457"/>
    </row>
    <row r="300" spans="1:32" ht="11.25" customHeight="1">
      <c r="A300" s="611">
        <v>36</v>
      </c>
      <c r="B300" s="127"/>
      <c r="C300" s="613" t="str">
        <f>IF(LEN(O289)&lt;=265,"",RIGHT(O289,LEN(O289)-SEARCH(" ",O289,255)))</f>
        <v/>
      </c>
      <c r="D300" s="377"/>
      <c r="E300" s="377"/>
      <c r="F300" s="377"/>
      <c r="G300" s="377"/>
      <c r="H300" s="377"/>
      <c r="I300" s="377"/>
      <c r="J300" s="377"/>
      <c r="K300" s="71"/>
      <c r="L300" s="676" t="s">
        <v>411</v>
      </c>
      <c r="M300" s="127"/>
      <c r="N300" s="609" t="s">
        <v>282</v>
      </c>
      <c r="O300" s="1085"/>
      <c r="P300" s="610">
        <f>LEN(O299)</f>
        <v>0</v>
      </c>
      <c r="Q300" s="679"/>
      <c r="R300" s="682">
        <f>LEN(Q299)</f>
        <v>0</v>
      </c>
      <c r="S300" s="59"/>
      <c r="T300" s="59"/>
      <c r="U300" s="59"/>
      <c r="V300" s="59"/>
      <c r="W300" s="71"/>
      <c r="X300" s="664" t="s">
        <v>411</v>
      </c>
      <c r="Y300" s="500"/>
      <c r="Z300" s="457"/>
      <c r="AA300" s="457"/>
      <c r="AB300" s="1186"/>
      <c r="AC300" s="551" t="str">
        <f t="shared" si="53"/>
        <v>Change</v>
      </c>
      <c r="AD300" s="1057">
        <f t="shared" si="55"/>
        <v>74</v>
      </c>
      <c r="AE300" s="457" t="s">
        <v>871</v>
      </c>
      <c r="AF300" s="457"/>
    </row>
    <row r="301" spans="1:32" ht="11.25" customHeight="1">
      <c r="A301" s="611">
        <v>37</v>
      </c>
      <c r="B301" s="127"/>
      <c r="C301" s="613" t="str">
        <f>IF(O291="","",IF(LEN(O291)&lt;=135,O291,IF(LEN(O291)&lt;=260,LEFT(O291,SEARCH(" ",O291,125)),LEFT(O291,SEARCH(" ",O291,130)))))</f>
        <v/>
      </c>
      <c r="D301" s="377"/>
      <c r="E301" s="377"/>
      <c r="F301" s="377"/>
      <c r="G301" s="377"/>
      <c r="H301" s="377"/>
      <c r="I301" s="377"/>
      <c r="J301" s="377"/>
      <c r="K301" s="71"/>
      <c r="L301" s="676" t="s">
        <v>411</v>
      </c>
      <c r="M301" s="127"/>
      <c r="N301" s="54" t="s">
        <v>82</v>
      </c>
      <c r="O301" s="1084"/>
      <c r="P301" s="440"/>
      <c r="Q301" s="677" t="str">
        <f>IF(OR(AB382=0,AB382=""),"",AB382)</f>
        <v/>
      </c>
      <c r="R301" s="48"/>
      <c r="S301" s="48"/>
      <c r="T301" s="48"/>
      <c r="U301" s="48"/>
      <c r="V301" s="48"/>
      <c r="W301" s="71"/>
      <c r="X301" s="664" t="s">
        <v>411</v>
      </c>
      <c r="Y301" s="500"/>
      <c r="Z301" s="457"/>
      <c r="AA301" s="457"/>
      <c r="AB301" s="1186"/>
      <c r="AC301" s="551" t="str">
        <f t="shared" si="53"/>
        <v>Change</v>
      </c>
      <c r="AD301" s="1057">
        <f t="shared" si="55"/>
        <v>78</v>
      </c>
      <c r="AE301" s="457" t="s">
        <v>872</v>
      </c>
      <c r="AF301" s="457"/>
    </row>
    <row r="302" spans="1:32" ht="11.25" customHeight="1">
      <c r="A302" s="611">
        <v>38</v>
      </c>
      <c r="B302" s="127"/>
      <c r="C302" s="613" t="str">
        <f>IF(LEN(O291)&lt;=135,"",IF(LEN(O291)&lt;=260,RIGHT(O291,LEN(O291)-SEARCH(" ",O291,125)),MID(O291,SEARCH(" ",O291,130),IF(LEN(O291)&lt;=265,LEN(O291),SEARCH(" ",O291,255)-SEARCH(" ",O291,130)))))</f>
        <v/>
      </c>
      <c r="D302" s="377"/>
      <c r="E302" s="377"/>
      <c r="F302" s="377"/>
      <c r="G302" s="377"/>
      <c r="H302" s="377"/>
      <c r="I302" s="377"/>
      <c r="J302" s="377"/>
      <c r="K302" s="71"/>
      <c r="L302" s="676" t="s">
        <v>411</v>
      </c>
      <c r="M302" s="127"/>
      <c r="N302" s="609" t="s">
        <v>282</v>
      </c>
      <c r="O302" s="1085"/>
      <c r="P302" s="610">
        <f>LEN(O301)</f>
        <v>0</v>
      </c>
      <c r="Q302" s="679"/>
      <c r="R302" s="682">
        <f>LEN(Q301)</f>
        <v>0</v>
      </c>
      <c r="S302" s="59"/>
      <c r="T302" s="59"/>
      <c r="U302" s="59"/>
      <c r="V302" s="59"/>
      <c r="W302" s="71"/>
      <c r="X302" s="664" t="s">
        <v>411</v>
      </c>
      <c r="Y302" s="500"/>
      <c r="Z302" s="457"/>
      <c r="AA302" s="457"/>
      <c r="AB302" s="49"/>
      <c r="AC302" s="551" t="str">
        <f t="shared" si="53"/>
        <v/>
      </c>
      <c r="AD302" s="457"/>
      <c r="AE302" s="457"/>
      <c r="AF302" s="457"/>
    </row>
    <row r="303" spans="1:32" ht="11.25" customHeight="1">
      <c r="A303" s="611">
        <v>39</v>
      </c>
      <c r="B303" s="127"/>
      <c r="C303" s="613" t="str">
        <f>IF(LEN(O291)&lt;=265,"",RIGHT(O291,LEN(O291)-SEARCH(" ",O291,255)))</f>
        <v/>
      </c>
      <c r="D303" s="377"/>
      <c r="E303" s="377"/>
      <c r="F303" s="377"/>
      <c r="G303" s="377"/>
      <c r="H303" s="377"/>
      <c r="I303" s="377"/>
      <c r="J303" s="377"/>
      <c r="K303" s="71"/>
      <c r="L303" s="676" t="s">
        <v>411</v>
      </c>
      <c r="M303" s="127"/>
      <c r="N303" s="54" t="s">
        <v>82</v>
      </c>
      <c r="O303" s="1084"/>
      <c r="P303" s="440"/>
      <c r="Q303" s="677" t="str">
        <f>IF(OR(AB384=0,AB384=""),"",AB384)</f>
        <v/>
      </c>
      <c r="R303" s="48"/>
      <c r="S303" s="59"/>
      <c r="T303" s="59"/>
      <c r="U303" s="59"/>
      <c r="V303" s="59"/>
      <c r="W303" s="71"/>
      <c r="X303" s="664" t="s">
        <v>411</v>
      </c>
      <c r="Y303" s="500"/>
      <c r="Z303" s="457"/>
      <c r="AA303" s="132" t="s">
        <v>575</v>
      </c>
      <c r="AB303" s="1189"/>
      <c r="AC303" s="551" t="str">
        <f t="shared" si="53"/>
        <v>Change</v>
      </c>
      <c r="AD303" s="1055">
        <f t="shared" ref="AD303:AD312" si="56">W87</f>
        <v>2</v>
      </c>
      <c r="AE303" s="457" t="s">
        <v>873</v>
      </c>
      <c r="AF303" s="457"/>
    </row>
    <row r="304" spans="1:32" ht="11.25" customHeight="1">
      <c r="A304" s="611">
        <v>40</v>
      </c>
      <c r="B304" s="127"/>
      <c r="C304" s="613" t="str">
        <f>IF(O293="","",IF(LEN(O293)&lt;=135,O293,IF(LEN(O293)&lt;=260,LEFT(O293,SEARCH(" ",O293,125)),LEFT(O293,SEARCH(" ",O293,130)))))</f>
        <v/>
      </c>
      <c r="D304" s="377"/>
      <c r="E304" s="377"/>
      <c r="F304" s="377"/>
      <c r="G304" s="377"/>
      <c r="H304" s="377"/>
      <c r="I304" s="377"/>
      <c r="J304" s="377"/>
      <c r="K304" s="71"/>
      <c r="L304" s="676" t="s">
        <v>411</v>
      </c>
      <c r="M304" s="127"/>
      <c r="N304" s="609" t="s">
        <v>282</v>
      </c>
      <c r="O304" s="1085"/>
      <c r="P304" s="610">
        <f>LEN(O303)</f>
        <v>0</v>
      </c>
      <c r="Q304" s="679"/>
      <c r="R304" s="682">
        <f>LEN(Q303)</f>
        <v>0</v>
      </c>
      <c r="S304" s="48"/>
      <c r="T304" s="48"/>
      <c r="U304" s="48"/>
      <c r="V304" s="48"/>
      <c r="W304" s="71"/>
      <c r="X304" s="664" t="s">
        <v>411</v>
      </c>
      <c r="Y304" s="500"/>
      <c r="Z304" s="457"/>
      <c r="AA304" s="457"/>
      <c r="AB304" s="1189"/>
      <c r="AC304" s="551" t="str">
        <f t="shared" si="53"/>
        <v>Change</v>
      </c>
      <c r="AD304" s="1055">
        <f t="shared" si="56"/>
        <v>30</v>
      </c>
      <c r="AE304" s="457" t="s">
        <v>874</v>
      </c>
      <c r="AF304" s="457"/>
    </row>
    <row r="305" spans="1:32" ht="11.25" customHeight="1">
      <c r="A305" s="611">
        <v>41</v>
      </c>
      <c r="B305" s="127"/>
      <c r="C305" s="613" t="str">
        <f>IF(LEN(O293)&lt;=135,"",IF(LEN(O293)&lt;=260,RIGHT(O293,LEN(O293)-SEARCH(" ",O293,125)),MID(O293,SEARCH(" ",O293,130),IF(LEN(O293)&lt;=265,LEN(O293),SEARCH(" ",O293,255)-SEARCH(" ",O293,130)))))</f>
        <v/>
      </c>
      <c r="D305" s="377"/>
      <c r="E305" s="377"/>
      <c r="F305" s="377"/>
      <c r="G305" s="377"/>
      <c r="H305" s="377"/>
      <c r="I305" s="377"/>
      <c r="J305" s="377"/>
      <c r="K305" s="71"/>
      <c r="L305" s="676" t="s">
        <v>411</v>
      </c>
      <c r="M305" s="127"/>
      <c r="N305" s="54" t="s">
        <v>82</v>
      </c>
      <c r="O305" s="1084"/>
      <c r="P305" s="440"/>
      <c r="Q305" s="677" t="str">
        <f>IF(OR(AB386=0,AB386=""),"",AB386)</f>
        <v/>
      </c>
      <c r="R305" s="48"/>
      <c r="S305" s="59"/>
      <c r="T305" s="59"/>
      <c r="U305" s="59"/>
      <c r="V305" s="59"/>
      <c r="W305" s="71"/>
      <c r="X305" s="664" t="s">
        <v>411</v>
      </c>
      <c r="Y305" s="500"/>
      <c r="Z305" s="457"/>
      <c r="AA305" s="457"/>
      <c r="AB305" s="1189"/>
      <c r="AC305" s="551" t="str">
        <f t="shared" si="53"/>
        <v>Change</v>
      </c>
      <c r="AD305" s="1055">
        <f t="shared" si="56"/>
        <v>12</v>
      </c>
      <c r="AE305" s="457" t="s">
        <v>875</v>
      </c>
      <c r="AF305" s="457"/>
    </row>
    <row r="306" spans="1:32" ht="11.25" customHeight="1">
      <c r="A306" s="611">
        <v>42</v>
      </c>
      <c r="B306" s="127"/>
      <c r="C306" s="613" t="str">
        <f>IF(LEN(O293)&lt;=265,"",RIGHT(O293,LEN(O293)-SEARCH(" ",O293,255)))</f>
        <v/>
      </c>
      <c r="D306" s="377"/>
      <c r="E306" s="377"/>
      <c r="F306" s="377"/>
      <c r="G306" s="377"/>
      <c r="H306" s="377"/>
      <c r="I306" s="377"/>
      <c r="J306" s="377"/>
      <c r="K306" s="71"/>
      <c r="L306" s="676" t="s">
        <v>411</v>
      </c>
      <c r="M306" s="127"/>
      <c r="N306" s="609" t="s">
        <v>282</v>
      </c>
      <c r="O306" s="1085"/>
      <c r="P306" s="610">
        <f>LEN(O305)</f>
        <v>0</v>
      </c>
      <c r="Q306" s="679"/>
      <c r="R306" s="682">
        <f>LEN(Q305)</f>
        <v>0</v>
      </c>
      <c r="S306" s="59"/>
      <c r="T306" s="59"/>
      <c r="U306" s="59"/>
      <c r="V306" s="59"/>
      <c r="W306" s="71"/>
      <c r="X306" s="664" t="s">
        <v>411</v>
      </c>
      <c r="Y306" s="500"/>
      <c r="Z306" s="457"/>
      <c r="AA306" s="457"/>
      <c r="AB306" s="1189"/>
      <c r="AC306" s="551" t="str">
        <f t="shared" si="53"/>
        <v>Change</v>
      </c>
      <c r="AD306" s="1055">
        <f t="shared" si="56"/>
        <v>10</v>
      </c>
      <c r="AE306" s="457" t="s">
        <v>876</v>
      </c>
      <c r="AF306" s="457"/>
    </row>
    <row r="307" spans="1:32" ht="11.25" customHeight="1">
      <c r="A307" s="611">
        <v>43</v>
      </c>
      <c r="B307" s="127"/>
      <c r="C307" s="613" t="str">
        <f>IF(O295="","",IF(LEN(O295)&lt;=135,O295,IF(LEN(O295)&lt;=260,LEFT(O295,SEARCH(" ",O295,125)),LEFT(O295,SEARCH(" ",O295,130)))))</f>
        <v/>
      </c>
      <c r="D307" s="377"/>
      <c r="E307" s="377"/>
      <c r="F307" s="377"/>
      <c r="G307" s="377"/>
      <c r="H307" s="377"/>
      <c r="I307" s="377"/>
      <c r="J307" s="377"/>
      <c r="K307" s="71"/>
      <c r="L307" s="676" t="s">
        <v>411</v>
      </c>
      <c r="M307" s="127"/>
      <c r="N307" s="54" t="s">
        <v>82</v>
      </c>
      <c r="O307" s="1084"/>
      <c r="P307" s="440"/>
      <c r="Q307" s="677" t="str">
        <f>IF(OR(AB388=0,AB388=""),"",AB388)</f>
        <v/>
      </c>
      <c r="R307" s="48"/>
      <c r="S307" s="48"/>
      <c r="T307" s="48"/>
      <c r="U307" s="48"/>
      <c r="V307" s="48"/>
      <c r="W307" s="71"/>
      <c r="X307" s="664" t="s">
        <v>411</v>
      </c>
      <c r="Y307" s="500"/>
      <c r="Z307" s="457"/>
      <c r="AA307" s="457"/>
      <c r="AB307" s="1189"/>
      <c r="AC307" s="551" t="str">
        <f t="shared" si="53"/>
        <v>Change</v>
      </c>
      <c r="AD307" s="1055">
        <f t="shared" si="56"/>
        <v>10</v>
      </c>
      <c r="AE307" s="457" t="s">
        <v>877</v>
      </c>
      <c r="AF307" s="457"/>
    </row>
    <row r="308" spans="1:32" ht="11.25" customHeight="1">
      <c r="A308" s="611">
        <v>44</v>
      </c>
      <c r="B308" s="127"/>
      <c r="C308" s="613" t="str">
        <f>IF(LEN(O295)&lt;=135,"",IF(LEN(O295)&lt;=260,RIGHT(O295,LEN(O295)-SEARCH(" ",O295,125)),MID(O295,SEARCH(" ",O295,130),IF(LEN(O295)&lt;=265,LEN(O295),SEARCH(" ",O295,255)-SEARCH(" ",O295,130)))))</f>
        <v/>
      </c>
      <c r="D308" s="377"/>
      <c r="E308" s="377"/>
      <c r="F308" s="377"/>
      <c r="G308" s="377"/>
      <c r="H308" s="377"/>
      <c r="I308" s="377"/>
      <c r="J308" s="377"/>
      <c r="K308" s="71"/>
      <c r="L308" s="676" t="s">
        <v>411</v>
      </c>
      <c r="M308" s="127"/>
      <c r="N308" s="609" t="s">
        <v>282</v>
      </c>
      <c r="O308" s="610"/>
      <c r="P308" s="610">
        <f>LEN(O307)</f>
        <v>0</v>
      </c>
      <c r="Q308" s="679"/>
      <c r="R308" s="682">
        <f>LEN(Q307)</f>
        <v>0</v>
      </c>
      <c r="S308" s="59"/>
      <c r="T308" s="59"/>
      <c r="U308" s="59"/>
      <c r="V308" s="59"/>
      <c r="W308" s="71"/>
      <c r="X308" s="664" t="s">
        <v>411</v>
      </c>
      <c r="Y308" s="500"/>
      <c r="Z308" s="457"/>
      <c r="AA308" s="457"/>
      <c r="AB308" s="1189"/>
      <c r="AC308" s="551" t="str">
        <f t="shared" si="53"/>
        <v>Change</v>
      </c>
      <c r="AD308" s="1055">
        <f t="shared" si="56"/>
        <v>2.5</v>
      </c>
      <c r="AE308" s="457" t="s">
        <v>878</v>
      </c>
      <c r="AF308" s="457"/>
    </row>
    <row r="309" spans="1:32" ht="11.25" customHeight="1">
      <c r="A309" s="611">
        <v>45</v>
      </c>
      <c r="B309" s="127"/>
      <c r="C309" s="613" t="str">
        <f>IF(LEN(O295)&lt;=265,"",RIGHT(O295,LEN(O295)-SEARCH(" ",O295,255)))</f>
        <v/>
      </c>
      <c r="D309" s="377"/>
      <c r="E309" s="377"/>
      <c r="F309" s="377"/>
      <c r="G309" s="377"/>
      <c r="H309" s="377"/>
      <c r="I309" s="377"/>
      <c r="J309" s="377"/>
      <c r="K309" s="71"/>
      <c r="L309" s="676" t="s">
        <v>411</v>
      </c>
      <c r="M309" s="127"/>
      <c r="N309" s="509"/>
      <c r="O309" s="579"/>
      <c r="P309" s="509"/>
      <c r="Q309" s="506"/>
      <c r="R309" s="506"/>
      <c r="S309" s="506"/>
      <c r="T309" s="506"/>
      <c r="U309" s="506"/>
      <c r="V309" s="506"/>
      <c r="W309" s="71"/>
      <c r="X309" s="664" t="s">
        <v>411</v>
      </c>
      <c r="Y309" s="500"/>
      <c r="Z309" s="457"/>
      <c r="AA309" s="457"/>
      <c r="AB309" s="1189"/>
      <c r="AC309" s="551" t="str">
        <f t="shared" si="53"/>
        <v>Change</v>
      </c>
      <c r="AD309" s="1055">
        <f t="shared" si="56"/>
        <v>8</v>
      </c>
      <c r="AE309" s="457" t="s">
        <v>879</v>
      </c>
      <c r="AF309" s="457"/>
    </row>
    <row r="310" spans="1:32" ht="11.25" customHeight="1">
      <c r="A310" s="611">
        <v>46</v>
      </c>
      <c r="B310" s="127"/>
      <c r="C310" s="613" t="str">
        <f>IF(O297="","",IF(LEN(O297)&lt;=135,O297,IF(LEN(O297)&lt;=260,LEFT(O297,SEARCH(" ",O297,125)),LEFT(O297,SEARCH(" ",O297,130)))))</f>
        <v/>
      </c>
      <c r="D310" s="377"/>
      <c r="E310" s="377"/>
      <c r="F310" s="377"/>
      <c r="G310" s="377"/>
      <c r="H310" s="377"/>
      <c r="I310" s="377"/>
      <c r="J310" s="377"/>
      <c r="K310" s="71"/>
      <c r="L310" s="676" t="s">
        <v>411</v>
      </c>
      <c r="M310" s="127"/>
      <c r="N310" s="504"/>
      <c r="O310" s="580"/>
      <c r="P310" s="504"/>
      <c r="Q310" s="505"/>
      <c r="R310" s="505"/>
      <c r="S310" s="505"/>
      <c r="T310" s="505"/>
      <c r="U310" s="505"/>
      <c r="V310" s="505"/>
      <c r="W310" s="71"/>
      <c r="X310" s="664" t="s">
        <v>411</v>
      </c>
      <c r="Y310" s="500"/>
      <c r="Z310" s="457"/>
      <c r="AA310" s="457"/>
      <c r="AB310" s="1189"/>
      <c r="AC310" s="551" t="str">
        <f t="shared" si="53"/>
        <v>Change</v>
      </c>
      <c r="AD310" s="1055">
        <f t="shared" si="56"/>
        <v>30</v>
      </c>
      <c r="AE310" s="457" t="s">
        <v>880</v>
      </c>
      <c r="AF310" s="457"/>
    </row>
    <row r="311" spans="1:32" ht="11.25" customHeight="1">
      <c r="A311" s="611">
        <v>47</v>
      </c>
      <c r="B311" s="127"/>
      <c r="C311" s="613" t="str">
        <f>IF(LEN(O297)&lt;=135,"",IF(LEN(O297)&lt;=260,RIGHT(O297,LEN(O297)-SEARCH(" ",O297,125)),MID(O297,SEARCH(" ",O297,130),IF(LEN(O297)&lt;=265,LEN(O297),SEARCH(" ",O297,255)-SEARCH(" ",O297,130)))))</f>
        <v/>
      </c>
      <c r="D311" s="377"/>
      <c r="E311" s="377"/>
      <c r="F311" s="377"/>
      <c r="G311" s="377"/>
      <c r="H311" s="377"/>
      <c r="I311" s="377"/>
      <c r="J311" s="377"/>
      <c r="K311" s="71"/>
      <c r="L311" s="676" t="s">
        <v>411</v>
      </c>
      <c r="M311" s="127"/>
      <c r="N311" s="504"/>
      <c r="O311" s="580"/>
      <c r="P311" s="504"/>
      <c r="Q311" s="505"/>
      <c r="R311" s="505"/>
      <c r="S311" s="505"/>
      <c r="T311" s="505"/>
      <c r="U311" s="505"/>
      <c r="V311" s="505"/>
      <c r="W311" s="71"/>
      <c r="X311" s="664" t="s">
        <v>411</v>
      </c>
      <c r="Y311" s="500"/>
      <c r="Z311" s="457"/>
      <c r="AA311" s="457"/>
      <c r="AB311" s="1189"/>
      <c r="AC311" s="551" t="str">
        <f t="shared" si="53"/>
        <v>Change</v>
      </c>
      <c r="AD311" s="1055">
        <f t="shared" si="56"/>
        <v>14</v>
      </c>
      <c r="AE311" s="457" t="s">
        <v>881</v>
      </c>
      <c r="AF311" s="457"/>
    </row>
    <row r="312" spans="1:32" ht="11.25" customHeight="1">
      <c r="A312" s="611">
        <v>48</v>
      </c>
      <c r="B312" s="127"/>
      <c r="C312" s="613" t="str">
        <f>IF(LEN(O297)&lt;=265,"",RIGHT(O297,LEN(O297)-SEARCH(" ",O297,255)))</f>
        <v/>
      </c>
      <c r="D312" s="377"/>
      <c r="E312" s="377"/>
      <c r="F312" s="377"/>
      <c r="G312" s="377"/>
      <c r="H312" s="377"/>
      <c r="I312" s="377"/>
      <c r="J312" s="377"/>
      <c r="K312" s="71"/>
      <c r="L312" s="676" t="s">
        <v>411</v>
      </c>
      <c r="M312" s="127"/>
      <c r="N312" s="504"/>
      <c r="O312" s="580"/>
      <c r="P312" s="504"/>
      <c r="Q312" s="505"/>
      <c r="R312" s="505"/>
      <c r="S312" s="505"/>
      <c r="T312" s="505"/>
      <c r="U312" s="505"/>
      <c r="V312" s="505"/>
      <c r="W312" s="71"/>
      <c r="X312" s="664" t="s">
        <v>411</v>
      </c>
      <c r="Y312" s="500"/>
      <c r="Z312" s="457"/>
      <c r="AA312" s="457"/>
      <c r="AB312" s="1189"/>
      <c r="AC312" s="551" t="str">
        <f t="shared" si="53"/>
        <v>Change</v>
      </c>
      <c r="AD312" s="1055">
        <f t="shared" si="56"/>
        <v>25</v>
      </c>
      <c r="AE312" s="457" t="s">
        <v>882</v>
      </c>
      <c r="AF312" s="457"/>
    </row>
    <row r="313" spans="1:32" ht="11.25" customHeight="1">
      <c r="A313" s="611">
        <v>49</v>
      </c>
      <c r="B313" s="127"/>
      <c r="C313" s="613" t="str">
        <f>IF(O299="","",IF(LEN(O299)&lt;=135,O299,IF(LEN(O299)&lt;=260,LEFT(O299,SEARCH(" ",O299,125)),LEFT(O299,SEARCH(" ",O299,130)))))</f>
        <v/>
      </c>
      <c r="D313" s="377"/>
      <c r="E313" s="377"/>
      <c r="F313" s="377"/>
      <c r="G313" s="377"/>
      <c r="H313" s="377"/>
      <c r="I313" s="377"/>
      <c r="J313" s="377"/>
      <c r="K313" s="71"/>
      <c r="L313" s="676" t="s">
        <v>411</v>
      </c>
      <c r="M313" s="127"/>
      <c r="N313" s="504"/>
      <c r="O313" s="580"/>
      <c r="P313" s="504"/>
      <c r="Q313" s="376" t="s">
        <v>276</v>
      </c>
      <c r="R313" s="50"/>
      <c r="S313" s="50"/>
      <c r="T313" s="504"/>
      <c r="U313" s="505"/>
      <c r="V313" s="505"/>
      <c r="W313" s="71"/>
      <c r="X313" s="664" t="s">
        <v>411</v>
      </c>
      <c r="Y313" s="500"/>
      <c r="Z313" s="457"/>
      <c r="AA313" s="457"/>
      <c r="AB313" s="54"/>
      <c r="AC313" s="551" t="str">
        <f t="shared" si="53"/>
        <v/>
      </c>
      <c r="AD313" s="457"/>
      <c r="AE313" s="457"/>
      <c r="AF313" s="457"/>
    </row>
    <row r="314" spans="1:32" ht="11.25" customHeight="1">
      <c r="A314" s="611">
        <v>50</v>
      </c>
      <c r="B314" s="127"/>
      <c r="C314" s="613" t="str">
        <f>IF(LEN(O299)&lt;=135,"",IF(LEN(O299)&lt;=260,RIGHT(O299,LEN(O299)-SEARCH(" ",O299,125)),MID(O299,SEARCH(" ",O299,130),IF(LEN(O299)&lt;=265,LEN(O299),SEARCH(" ",O299,255)-SEARCH(" ",O299,130)))))</f>
        <v/>
      </c>
      <c r="D314" s="377"/>
      <c r="E314" s="377"/>
      <c r="F314" s="377"/>
      <c r="G314" s="377"/>
      <c r="H314" s="377"/>
      <c r="I314" s="377"/>
      <c r="J314" s="377"/>
      <c r="K314" s="71"/>
      <c r="L314" s="676" t="s">
        <v>411</v>
      </c>
      <c r="M314" s="127"/>
      <c r="N314" s="504"/>
      <c r="O314" s="580"/>
      <c r="P314" s="504"/>
      <c r="Q314" s="505"/>
      <c r="R314" s="504"/>
      <c r="S314" s="505"/>
      <c r="T314" s="504"/>
      <c r="U314" s="505"/>
      <c r="V314" s="505"/>
      <c r="W314" s="71"/>
      <c r="X314" s="664" t="s">
        <v>411</v>
      </c>
      <c r="Y314" s="500"/>
      <c r="Z314" s="457"/>
      <c r="AA314" s="132" t="s">
        <v>585</v>
      </c>
      <c r="AB314" s="985"/>
      <c r="AC314" s="551" t="str">
        <f t="shared" si="53"/>
        <v/>
      </c>
      <c r="AD314" s="1062">
        <f>O205</f>
        <v>0</v>
      </c>
      <c r="AE314" s="576" t="s">
        <v>883</v>
      </c>
      <c r="AF314" s="457"/>
    </row>
    <row r="315" spans="1:32" ht="11.25" customHeight="1">
      <c r="A315" s="611">
        <v>51</v>
      </c>
      <c r="B315" s="127"/>
      <c r="C315" s="613" t="str">
        <f>IF(LEN(O299)&lt;=265,"",RIGHT(O299,LEN(O299)-SEARCH(" ",O299,255)))</f>
        <v/>
      </c>
      <c r="D315" s="377"/>
      <c r="E315" s="377"/>
      <c r="F315" s="377"/>
      <c r="G315" s="377"/>
      <c r="H315" s="377"/>
      <c r="I315" s="377"/>
      <c r="J315" s="377"/>
      <c r="K315" s="71"/>
      <c r="L315" s="676" t="s">
        <v>411</v>
      </c>
      <c r="M315" s="127"/>
      <c r="N315" s="504"/>
      <c r="O315" s="580"/>
      <c r="P315" s="504"/>
      <c r="Q315" s="505"/>
      <c r="R315" s="504"/>
      <c r="S315" s="505"/>
      <c r="T315" s="504"/>
      <c r="U315" s="505"/>
      <c r="V315" s="505"/>
      <c r="W315" s="71"/>
      <c r="X315" s="664" t="s">
        <v>411</v>
      </c>
      <c r="Y315" s="500"/>
      <c r="Z315" s="457"/>
      <c r="AA315" s="457"/>
      <c r="AB315" s="54"/>
      <c r="AC315" s="551" t="str">
        <f t="shared" si="53"/>
        <v/>
      </c>
      <c r="AD315" s="575"/>
      <c r="AE315" s="576"/>
      <c r="AF315" s="457"/>
    </row>
    <row r="316" spans="1:32" ht="11.25" customHeight="1">
      <c r="A316" s="611">
        <v>52</v>
      </c>
      <c r="B316" s="127"/>
      <c r="C316" s="613" t="str">
        <f>IF(O301="","",IF(LEN(O301)&lt;=135,O301,IF(LEN(O301)&lt;=260,LEFT(O301,SEARCH(" ",O301,125)),LEFT(O301,SEARCH(" ",O301,130)))))</f>
        <v/>
      </c>
      <c r="D316" s="377"/>
      <c r="E316" s="377"/>
      <c r="F316" s="377"/>
      <c r="G316" s="377"/>
      <c r="H316" s="377"/>
      <c r="I316" s="377"/>
      <c r="J316" s="377"/>
      <c r="K316" s="71"/>
      <c r="L316" s="676" t="s">
        <v>411</v>
      </c>
      <c r="M316" s="127"/>
      <c r="N316" s="504"/>
      <c r="O316" s="580"/>
      <c r="P316" s="504"/>
      <c r="Q316" s="505"/>
      <c r="R316" s="504"/>
      <c r="S316" s="505"/>
      <c r="T316" s="504"/>
      <c r="U316" s="505"/>
      <c r="V316" s="505"/>
      <c r="W316" s="71"/>
      <c r="X316" s="664" t="s">
        <v>411</v>
      </c>
      <c r="Y316" s="500"/>
      <c r="Z316" s="457"/>
      <c r="AA316" s="457"/>
      <c r="AB316" s="985"/>
      <c r="AC316" s="551" t="str">
        <f t="shared" si="53"/>
        <v/>
      </c>
      <c r="AD316" s="1062">
        <f>O207</f>
        <v>0</v>
      </c>
      <c r="AE316" s="576" t="s">
        <v>884</v>
      </c>
      <c r="AF316" s="457"/>
    </row>
    <row r="317" spans="1:32" ht="11.25" customHeight="1">
      <c r="A317" s="611">
        <v>53</v>
      </c>
      <c r="B317" s="127"/>
      <c r="C317" s="613" t="str">
        <f>IF(LEN(O301)&lt;=135,"",IF(LEN(O301)&lt;=260,RIGHT(O301,LEN(O301)-SEARCH(" ",O301,125)),MID(O301,SEARCH(" ",O301,130),IF(LEN(O301)&lt;=265,LEN(O301),SEARCH(" ",O301,255)-SEARCH(" ",O301,130)))))</f>
        <v/>
      </c>
      <c r="D317" s="377"/>
      <c r="E317" s="377"/>
      <c r="F317" s="377"/>
      <c r="G317" s="377"/>
      <c r="H317" s="377"/>
      <c r="I317" s="377"/>
      <c r="J317" s="377"/>
      <c r="K317" s="71"/>
      <c r="L317" s="676" t="s">
        <v>411</v>
      </c>
      <c r="M317" s="127"/>
      <c r="N317" s="504"/>
      <c r="O317" s="580"/>
      <c r="P317" s="504"/>
      <c r="Q317" s="505"/>
      <c r="R317" s="504"/>
      <c r="S317" s="505"/>
      <c r="T317" s="504"/>
      <c r="U317" s="505"/>
      <c r="V317" s="505"/>
      <c r="W317" s="71"/>
      <c r="X317" s="664" t="s">
        <v>411</v>
      </c>
      <c r="Y317" s="500"/>
      <c r="Z317" s="457"/>
      <c r="AA317" s="457"/>
      <c r="AB317" s="54"/>
      <c r="AC317" s="551" t="str">
        <f t="shared" si="53"/>
        <v/>
      </c>
      <c r="AD317" s="575"/>
      <c r="AE317" s="576"/>
      <c r="AF317" s="457"/>
    </row>
    <row r="318" spans="1:32" ht="11.25" customHeight="1">
      <c r="A318" s="611">
        <v>54</v>
      </c>
      <c r="B318" s="127"/>
      <c r="C318" s="613" t="str">
        <f>IF(LEN(O301)&lt;=265,"",RIGHT(O301,LEN(O301)-SEARCH(" ",O301,255)))</f>
        <v/>
      </c>
      <c r="D318" s="377"/>
      <c r="E318" s="377"/>
      <c r="F318" s="377"/>
      <c r="G318" s="377"/>
      <c r="H318" s="377"/>
      <c r="I318" s="377"/>
      <c r="J318" s="377"/>
      <c r="K318" s="71"/>
      <c r="L318" s="676" t="s">
        <v>411</v>
      </c>
      <c r="M318" s="127"/>
      <c r="N318" s="504"/>
      <c r="O318" s="580"/>
      <c r="P318" s="504"/>
      <c r="Q318" s="505"/>
      <c r="R318" s="504"/>
      <c r="S318" s="505"/>
      <c r="T318" s="504"/>
      <c r="U318" s="505"/>
      <c r="V318" s="505"/>
      <c r="W318" s="71"/>
      <c r="X318" s="664" t="s">
        <v>411</v>
      </c>
      <c r="Y318" s="500"/>
      <c r="Z318" s="457"/>
      <c r="AA318" s="457"/>
      <c r="AB318" s="985"/>
      <c r="AC318" s="551" t="str">
        <f t="shared" si="53"/>
        <v/>
      </c>
      <c r="AD318" s="1062">
        <f>O209</f>
        <v>0</v>
      </c>
      <c r="AE318" s="576" t="s">
        <v>885</v>
      </c>
      <c r="AF318" s="457"/>
    </row>
    <row r="319" spans="1:32" ht="11.25" customHeight="1">
      <c r="A319" s="611">
        <v>55</v>
      </c>
      <c r="B319" s="127"/>
      <c r="C319" s="613" t="str">
        <f>IF(O303="","",IF(LEN(O303)&lt;=135,O303,IF(LEN(O303)&lt;=260,LEFT(O303,SEARCH(" ",O303,125)),LEFT(O303,SEARCH(" ",O303,130)))))</f>
        <v/>
      </c>
      <c r="D319" s="377"/>
      <c r="E319" s="377"/>
      <c r="F319" s="377"/>
      <c r="G319" s="377"/>
      <c r="H319" s="377"/>
      <c r="I319" s="377"/>
      <c r="J319" s="377"/>
      <c r="K319" s="71"/>
      <c r="L319" s="676" t="s">
        <v>411</v>
      </c>
      <c r="M319" s="127"/>
      <c r="N319" s="504"/>
      <c r="O319" s="580"/>
      <c r="P319" s="504"/>
      <c r="Q319" s="505"/>
      <c r="R319" s="504"/>
      <c r="S319" s="505"/>
      <c r="T319" s="504"/>
      <c r="U319" s="505"/>
      <c r="V319" s="505"/>
      <c r="W319" s="71"/>
      <c r="X319" s="664" t="s">
        <v>411</v>
      </c>
      <c r="Y319" s="500"/>
      <c r="Z319" s="457"/>
      <c r="AA319" s="457"/>
      <c r="AB319" s="54"/>
      <c r="AC319" s="551" t="str">
        <f t="shared" si="53"/>
        <v/>
      </c>
      <c r="AD319" s="575"/>
      <c r="AE319" s="576"/>
      <c r="AF319" s="457"/>
    </row>
    <row r="320" spans="1:32" ht="11.25" customHeight="1">
      <c r="A320" s="611">
        <v>56</v>
      </c>
      <c r="B320" s="127"/>
      <c r="C320" s="613" t="str">
        <f>IF(LEN(O303)&lt;=135,"",IF(LEN(O303)&lt;=260,RIGHT(O303,LEN(O303)-SEARCH(" ",O303,125)),MID(O303,SEARCH(" ",O303,130),IF(LEN(O303)&lt;=265,LEN(O303),SEARCH(" ",O303,255)-SEARCH(" ",O303,130)))))</f>
        <v/>
      </c>
      <c r="D320" s="377"/>
      <c r="E320" s="377"/>
      <c r="F320" s="377"/>
      <c r="G320" s="377"/>
      <c r="H320" s="377"/>
      <c r="I320" s="377"/>
      <c r="J320" s="377"/>
      <c r="K320" s="71"/>
      <c r="L320" s="676" t="s">
        <v>411</v>
      </c>
      <c r="M320" s="127"/>
      <c r="N320" s="504"/>
      <c r="O320" s="580"/>
      <c r="P320" s="504"/>
      <c r="Q320" s="505"/>
      <c r="R320" s="504"/>
      <c r="S320" s="505"/>
      <c r="T320" s="504"/>
      <c r="U320" s="505"/>
      <c r="V320" s="505"/>
      <c r="W320" s="71"/>
      <c r="X320" s="664" t="s">
        <v>411</v>
      </c>
      <c r="Y320" s="500"/>
      <c r="Z320" s="457"/>
      <c r="AA320" s="457"/>
      <c r="AB320" s="985"/>
      <c r="AC320" s="551" t="str">
        <f t="shared" si="53"/>
        <v/>
      </c>
      <c r="AD320" s="1062">
        <f>O211</f>
        <v>0</v>
      </c>
      <c r="AE320" s="576" t="s">
        <v>886</v>
      </c>
      <c r="AF320" s="457"/>
    </row>
    <row r="321" spans="1:32" ht="11.25" customHeight="1">
      <c r="A321" s="611">
        <v>57</v>
      </c>
      <c r="B321" s="127"/>
      <c r="C321" s="613" t="str">
        <f>IF(LEN(O303)&lt;=265,"",RIGHT(O303,LEN(O303)-SEARCH(" ",O303,255)))</f>
        <v/>
      </c>
      <c r="D321" s="377"/>
      <c r="E321" s="377"/>
      <c r="F321" s="377"/>
      <c r="G321" s="377"/>
      <c r="H321" s="377"/>
      <c r="I321" s="377"/>
      <c r="J321" s="377"/>
      <c r="K321" s="71"/>
      <c r="L321" s="676" t="s">
        <v>411</v>
      </c>
      <c r="M321" s="127"/>
      <c r="N321" s="504"/>
      <c r="O321" s="580"/>
      <c r="P321" s="504"/>
      <c r="Q321" s="505"/>
      <c r="R321" s="504"/>
      <c r="S321" s="505"/>
      <c r="T321" s="504"/>
      <c r="U321" s="505"/>
      <c r="V321" s="505"/>
      <c r="W321" s="71"/>
      <c r="X321" s="664" t="s">
        <v>411</v>
      </c>
      <c r="Y321" s="500"/>
      <c r="Z321" s="457"/>
      <c r="AA321" s="457"/>
      <c r="AB321" s="54"/>
      <c r="AC321" s="551" t="str">
        <f t="shared" si="53"/>
        <v/>
      </c>
      <c r="AD321" s="575"/>
      <c r="AE321" s="576"/>
      <c r="AF321" s="457"/>
    </row>
    <row r="322" spans="1:32" ht="11.25" customHeight="1">
      <c r="A322" s="611">
        <v>58</v>
      </c>
      <c r="B322" s="127"/>
      <c r="C322" s="613" t="str">
        <f>IF(O305="","",IF(LEN(O305)&lt;=135,O305,IF(LEN(O305)&lt;=260,LEFT(O305,SEARCH(" ",O305,125)),LEFT(O305,SEARCH(" ",O305,130)))))</f>
        <v/>
      </c>
      <c r="D322" s="377"/>
      <c r="E322" s="377"/>
      <c r="F322" s="377"/>
      <c r="G322" s="377"/>
      <c r="H322" s="377"/>
      <c r="I322" s="377"/>
      <c r="J322" s="377"/>
      <c r="K322" s="71"/>
      <c r="L322" s="676" t="s">
        <v>411</v>
      </c>
      <c r="M322" s="127"/>
      <c r="N322" s="504"/>
      <c r="O322" s="580"/>
      <c r="P322" s="504"/>
      <c r="Q322" s="505"/>
      <c r="R322" s="504"/>
      <c r="S322" s="505"/>
      <c r="T322" s="504"/>
      <c r="U322" s="505"/>
      <c r="V322" s="505"/>
      <c r="W322" s="71"/>
      <c r="X322" s="664" t="s">
        <v>411</v>
      </c>
      <c r="Y322" s="500"/>
      <c r="Z322" s="457"/>
      <c r="AA322" s="457"/>
      <c r="AB322" s="985"/>
      <c r="AC322" s="551" t="str">
        <f t="shared" si="53"/>
        <v/>
      </c>
      <c r="AD322" s="1062">
        <f>O213</f>
        <v>0</v>
      </c>
      <c r="AE322" s="576" t="s">
        <v>887</v>
      </c>
      <c r="AF322" s="457"/>
    </row>
    <row r="323" spans="1:32" ht="11.25" customHeight="1">
      <c r="A323" s="611">
        <v>59</v>
      </c>
      <c r="B323" s="127"/>
      <c r="C323" s="613" t="str">
        <f>IF(LEN(O305)&lt;=135,"",IF(LEN(O305)&lt;=260,RIGHT(O305,LEN(O305)-SEARCH(" ",O305,125)),MID(O305,SEARCH(" ",O305,130),IF(LEN(O305)&lt;=265,LEN(O305),SEARCH(" ",O305,255)-SEARCH(" ",O305,130)))))</f>
        <v/>
      </c>
      <c r="D323" s="377"/>
      <c r="E323" s="377"/>
      <c r="F323" s="377"/>
      <c r="G323" s="377"/>
      <c r="H323" s="377"/>
      <c r="I323" s="377"/>
      <c r="J323" s="377"/>
      <c r="K323" s="71"/>
      <c r="L323" s="676" t="s">
        <v>411</v>
      </c>
      <c r="M323" s="127"/>
      <c r="N323" s="504"/>
      <c r="O323" s="580"/>
      <c r="P323" s="504"/>
      <c r="Q323" s="505"/>
      <c r="R323" s="504"/>
      <c r="S323" s="505"/>
      <c r="T323" s="504"/>
      <c r="U323" s="505"/>
      <c r="V323" s="505"/>
      <c r="W323" s="71"/>
      <c r="X323" s="664" t="s">
        <v>411</v>
      </c>
      <c r="Y323" s="500"/>
      <c r="Z323" s="457"/>
      <c r="AA323" s="457"/>
      <c r="AB323" s="54"/>
      <c r="AC323" s="551" t="str">
        <f t="shared" si="53"/>
        <v/>
      </c>
      <c r="AD323" s="575"/>
      <c r="AE323" s="576"/>
      <c r="AF323" s="457"/>
    </row>
    <row r="324" spans="1:32" ht="11.25" customHeight="1">
      <c r="A324" s="611">
        <v>60</v>
      </c>
      <c r="B324" s="127"/>
      <c r="C324" s="613" t="str">
        <f>IF(LEN(O305)&lt;=265,"",RIGHT(O305,LEN(O305)-SEARCH(" ",O305,255)))</f>
        <v/>
      </c>
      <c r="D324" s="377"/>
      <c r="E324" s="377"/>
      <c r="F324" s="377"/>
      <c r="G324" s="377"/>
      <c r="H324" s="377"/>
      <c r="I324" s="377"/>
      <c r="J324" s="377"/>
      <c r="K324" s="71"/>
      <c r="L324" s="676" t="s">
        <v>411</v>
      </c>
      <c r="M324" s="127"/>
      <c r="N324" s="504"/>
      <c r="O324" s="580"/>
      <c r="P324" s="504"/>
      <c r="Q324" s="505"/>
      <c r="R324" s="504"/>
      <c r="S324" s="505"/>
      <c r="T324" s="504"/>
      <c r="U324" s="505"/>
      <c r="V324" s="505"/>
      <c r="W324" s="71"/>
      <c r="X324" s="664" t="s">
        <v>411</v>
      </c>
      <c r="Y324" s="500"/>
      <c r="Z324" s="457"/>
      <c r="AA324" s="457"/>
      <c r="AB324" s="985"/>
      <c r="AC324" s="551" t="str">
        <f t="shared" si="53"/>
        <v/>
      </c>
      <c r="AD324" s="1062">
        <f>O215</f>
        <v>0</v>
      </c>
      <c r="AE324" s="576" t="s">
        <v>888</v>
      </c>
      <c r="AF324" s="457"/>
    </row>
    <row r="325" spans="1:32" ht="11.25" customHeight="1">
      <c r="A325" s="611">
        <v>61</v>
      </c>
      <c r="B325" s="127"/>
      <c r="C325" s="613" t="str">
        <f>IF(O307="","",IF(LEN(O307)&lt;=135,O307,IF(LEN(O307)&lt;=260,LEFT(O307,SEARCH(" ",O307,125)),LEFT(O307,SEARCH(" ",O307,130)))))</f>
        <v/>
      </c>
      <c r="D325" s="377"/>
      <c r="E325" s="377"/>
      <c r="F325" s="377"/>
      <c r="G325" s="377"/>
      <c r="H325" s="377"/>
      <c r="I325" s="377"/>
      <c r="J325" s="377"/>
      <c r="K325" s="71"/>
      <c r="L325" s="676" t="s">
        <v>411</v>
      </c>
      <c r="M325" s="127"/>
      <c r="N325" s="504"/>
      <c r="O325" s="580"/>
      <c r="P325" s="504"/>
      <c r="Q325" s="505"/>
      <c r="R325" s="504"/>
      <c r="S325" s="505"/>
      <c r="T325" s="504"/>
      <c r="U325" s="505"/>
      <c r="V325" s="505"/>
      <c r="W325" s="71"/>
      <c r="X325" s="664" t="s">
        <v>411</v>
      </c>
      <c r="Y325" s="500"/>
      <c r="Z325" s="457"/>
      <c r="AA325" s="457"/>
      <c r="AB325" s="54"/>
      <c r="AC325" s="551" t="str">
        <f t="shared" si="53"/>
        <v/>
      </c>
      <c r="AD325" s="575"/>
      <c r="AE325" s="576"/>
      <c r="AF325" s="457"/>
    </row>
    <row r="326" spans="1:32" ht="11.25" customHeight="1">
      <c r="A326" s="611">
        <v>62</v>
      </c>
      <c r="B326" s="127"/>
      <c r="C326" s="613" t="str">
        <f>IF(LEN(O307)&lt;=135,"",IF(LEN(O307)&lt;=260,RIGHT(O307,LEN(O307)-SEARCH(" ",O307,125)),MID(O307,SEARCH(" ",O307,130),IF(LEN(O307)&lt;=265,LEN(O307),SEARCH(" ",O307,255)-SEARCH(" ",O307,130)))))</f>
        <v/>
      </c>
      <c r="D326" s="377"/>
      <c r="E326" s="377"/>
      <c r="F326" s="377"/>
      <c r="G326" s="377"/>
      <c r="H326" s="377"/>
      <c r="I326" s="377"/>
      <c r="J326" s="377"/>
      <c r="K326" s="71"/>
      <c r="L326" s="676" t="s">
        <v>411</v>
      </c>
      <c r="M326" s="127"/>
      <c r="N326" s="504"/>
      <c r="O326" s="580"/>
      <c r="P326" s="504"/>
      <c r="Q326" s="505"/>
      <c r="R326" s="504"/>
      <c r="S326" s="505"/>
      <c r="T326" s="504"/>
      <c r="U326" s="505"/>
      <c r="V326" s="505"/>
      <c r="W326" s="71"/>
      <c r="X326" s="664" t="s">
        <v>411</v>
      </c>
      <c r="Y326" s="500"/>
      <c r="Z326" s="457"/>
      <c r="AA326" s="457"/>
      <c r="AB326" s="985"/>
      <c r="AC326" s="551" t="str">
        <f t="shared" si="53"/>
        <v/>
      </c>
      <c r="AD326" s="1062">
        <f>O217</f>
        <v>0</v>
      </c>
      <c r="AE326" s="576" t="s">
        <v>889</v>
      </c>
      <c r="AF326" s="457"/>
    </row>
    <row r="327" spans="1:32" ht="11.25" customHeight="1">
      <c r="A327" s="611">
        <v>63</v>
      </c>
      <c r="B327" s="127"/>
      <c r="C327" s="613" t="str">
        <f>IF(LEN(O307)&lt;=265,"",RIGHT(O307,LEN(O307)-SEARCH(" ",O307,255)))</f>
        <v/>
      </c>
      <c r="D327" s="377"/>
      <c r="E327" s="377"/>
      <c r="F327" s="377"/>
      <c r="G327" s="377"/>
      <c r="H327" s="377"/>
      <c r="I327" s="377"/>
      <c r="J327" s="377"/>
      <c r="K327" s="71"/>
      <c r="L327" s="676" t="s">
        <v>411</v>
      </c>
      <c r="M327" s="127"/>
      <c r="N327" s="508"/>
      <c r="O327" s="581"/>
      <c r="P327" s="508"/>
      <c r="Q327" s="507"/>
      <c r="R327" s="508"/>
      <c r="S327" s="507"/>
      <c r="T327" s="508"/>
      <c r="U327" s="507"/>
      <c r="V327" s="507"/>
      <c r="W327" s="71"/>
      <c r="X327" s="664" t="s">
        <v>411</v>
      </c>
      <c r="Y327" s="500"/>
      <c r="Z327" s="457"/>
      <c r="AA327" s="457"/>
      <c r="AB327" s="54"/>
      <c r="AC327" s="551" t="str">
        <f t="shared" si="53"/>
        <v/>
      </c>
      <c r="AD327" s="575"/>
      <c r="AE327" s="576"/>
      <c r="AF327" s="457"/>
    </row>
    <row r="328" spans="1:32" ht="11.25" customHeight="1" thickBot="1">
      <c r="A328" s="611">
        <v>64</v>
      </c>
      <c r="B328" s="98"/>
      <c r="C328" s="83"/>
      <c r="D328" s="83"/>
      <c r="E328" s="83"/>
      <c r="F328" s="83"/>
      <c r="G328" s="83"/>
      <c r="H328" s="83"/>
      <c r="I328" s="83"/>
      <c r="J328" s="83"/>
      <c r="K328" s="86"/>
      <c r="L328" s="676" t="s">
        <v>411</v>
      </c>
      <c r="M328" s="72"/>
      <c r="N328" s="73"/>
      <c r="O328" s="582"/>
      <c r="P328" s="441"/>
      <c r="Q328" s="73"/>
      <c r="R328" s="73"/>
      <c r="S328" s="73"/>
      <c r="T328" s="73"/>
      <c r="U328" s="73"/>
      <c r="V328" s="73"/>
      <c r="W328" s="74"/>
      <c r="X328" s="664" t="s">
        <v>411</v>
      </c>
      <c r="Y328" s="500"/>
      <c r="Z328" s="457"/>
      <c r="AA328" s="457"/>
      <c r="AB328" s="985"/>
      <c r="AC328" s="551" t="str">
        <f t="shared" si="53"/>
        <v/>
      </c>
      <c r="AD328" s="1062">
        <f>O219</f>
        <v>0</v>
      </c>
      <c r="AE328" s="576" t="s">
        <v>890</v>
      </c>
      <c r="AF328" s="457"/>
    </row>
    <row r="329" spans="1:32" ht="11.25" customHeight="1" thickTop="1">
      <c r="A329" s="611">
        <v>65</v>
      </c>
      <c r="B329" s="52" t="str">
        <f t="array" ref="B329:C330">$B$65:$C$66</f>
        <v>Date:</v>
      </c>
      <c r="C329" s="1133" t="str">
        <v/>
      </c>
      <c r="E329" s="51"/>
      <c r="F329" s="51"/>
      <c r="G329" s="51"/>
      <c r="H329" s="51"/>
      <c r="I329" s="52" t="str">
        <f t="array" ref="I329:J330">$I$65:$J$66</f>
        <v>Inspector:</v>
      </c>
      <c r="J329" s="421" t="str">
        <v>Eugene Mah</v>
      </c>
      <c r="L329" s="676" t="s">
        <v>411</v>
      </c>
      <c r="O329" s="578"/>
      <c r="X329" s="664" t="s">
        <v>411</v>
      </c>
      <c r="Y329" s="500"/>
      <c r="Z329" s="457"/>
      <c r="AA329" s="457"/>
      <c r="AB329" s="54"/>
      <c r="AC329" s="551" t="str">
        <f t="shared" si="53"/>
        <v/>
      </c>
      <c r="AD329" s="575"/>
      <c r="AE329" s="576"/>
      <c r="AF329" s="457"/>
    </row>
    <row r="330" spans="1:32" ht="11.25" customHeight="1">
      <c r="A330" s="611">
        <v>66</v>
      </c>
      <c r="B330" s="52" t="str">
        <v>Room Number:</v>
      </c>
      <c r="C330" s="373" t="str">
        <v/>
      </c>
      <c r="E330" s="51"/>
      <c r="F330" s="51"/>
      <c r="G330" s="51"/>
      <c r="H330" s="51"/>
      <c r="I330" s="52" t="str">
        <v>Survey ID:</v>
      </c>
      <c r="J330" s="1045" t="str">
        <v/>
      </c>
      <c r="L330" s="676" t="s">
        <v>411</v>
      </c>
      <c r="O330" s="578"/>
      <c r="X330" s="664" t="s">
        <v>411</v>
      </c>
      <c r="Y330" s="500"/>
      <c r="Z330" s="457"/>
      <c r="AA330" s="457"/>
      <c r="AB330" s="985"/>
      <c r="AC330" s="551" t="str">
        <f t="shared" si="53"/>
        <v/>
      </c>
      <c r="AD330" s="1062">
        <f>O221</f>
        <v>0</v>
      </c>
      <c r="AE330" s="576" t="s">
        <v>891</v>
      </c>
      <c r="AF330" s="457"/>
    </row>
    <row r="331" spans="1:32" ht="11.25" customHeight="1">
      <c r="A331" s="611">
        <v>1</v>
      </c>
      <c r="B331" s="1"/>
      <c r="C331" s="1"/>
      <c r="D331" s="1"/>
      <c r="E331" s="1"/>
      <c r="F331" s="1"/>
      <c r="G331" s="1"/>
      <c r="H331" s="1"/>
      <c r="I331" s="1"/>
      <c r="J331" s="1"/>
      <c r="K331" s="131" t="str">
        <f>$F$2</f>
        <v>Medical University of South Carolina</v>
      </c>
      <c r="L331" s="676" t="s">
        <v>411</v>
      </c>
      <c r="M331" s="1"/>
      <c r="N331" s="1"/>
      <c r="O331" s="583"/>
      <c r="P331" s="442"/>
      <c r="Q331" s="1"/>
      <c r="R331" s="1"/>
      <c r="S331" s="1"/>
      <c r="T331" s="1"/>
      <c r="U331" s="1"/>
      <c r="V331" s="1"/>
      <c r="W331" s="131" t="str">
        <f>$F$2</f>
        <v>Medical University of South Carolina</v>
      </c>
      <c r="X331" s="664" t="s">
        <v>411</v>
      </c>
      <c r="Y331" s="500"/>
      <c r="Z331" s="457"/>
      <c r="AA331" s="457"/>
      <c r="AB331" s="54"/>
      <c r="AC331" s="551" t="str">
        <f t="shared" si="53"/>
        <v/>
      </c>
      <c r="AD331" s="575"/>
      <c r="AE331" s="576"/>
    </row>
    <row r="332" spans="1:32" ht="11.25" customHeight="1">
      <c r="A332" s="611">
        <v>2</v>
      </c>
      <c r="B332" s="1"/>
      <c r="C332" s="1"/>
      <c r="D332" s="1"/>
      <c r="E332" s="1"/>
      <c r="F332" s="82" t="str">
        <f>$F$464</f>
        <v>Measurement Data</v>
      </c>
      <c r="G332" s="1"/>
      <c r="H332" s="1"/>
      <c r="I332" s="1"/>
      <c r="J332" s="1"/>
      <c r="K332" s="132" t="str">
        <f>$F$5</f>
        <v>Radiographic System Compliance Inspection</v>
      </c>
      <c r="L332" s="676" t="s">
        <v>411</v>
      </c>
      <c r="M332" s="1"/>
      <c r="N332" s="1"/>
      <c r="O332" s="583"/>
      <c r="P332" s="442"/>
      <c r="Q332" s="1"/>
      <c r="R332" s="1"/>
      <c r="S332" s="1"/>
      <c r="T332" s="1"/>
      <c r="U332" s="1"/>
      <c r="V332" s="1"/>
      <c r="W332" s="132" t="str">
        <f>$F$5</f>
        <v>Radiographic System Compliance Inspection</v>
      </c>
      <c r="X332" s="664" t="s">
        <v>411</v>
      </c>
      <c r="Y332" s="500"/>
      <c r="Z332" s="457"/>
      <c r="AA332" s="457"/>
      <c r="AB332" s="985"/>
      <c r="AC332" s="551" t="str">
        <f t="shared" si="53"/>
        <v/>
      </c>
      <c r="AD332" s="1062">
        <f>O223</f>
        <v>0</v>
      </c>
      <c r="AE332" s="576" t="s">
        <v>892</v>
      </c>
    </row>
    <row r="333" spans="1:32" ht="11.25" customHeight="1">
      <c r="A333" s="611">
        <v>3</v>
      </c>
      <c r="L333" s="676" t="s">
        <v>411</v>
      </c>
      <c r="M333" s="1"/>
      <c r="N333" s="1"/>
      <c r="O333" s="583"/>
      <c r="P333" s="442"/>
      <c r="Q333" s="1"/>
      <c r="R333" s="1"/>
      <c r="S333" s="1"/>
      <c r="T333" s="1"/>
      <c r="U333" s="1"/>
      <c r="V333" s="1"/>
      <c r="W333" s="1"/>
      <c r="X333" s="664" t="s">
        <v>411</v>
      </c>
      <c r="Y333" s="500"/>
      <c r="Z333" s="457"/>
      <c r="AA333" s="457"/>
      <c r="AB333" s="54"/>
      <c r="AC333" s="551" t="str">
        <f t="shared" si="53"/>
        <v/>
      </c>
      <c r="AD333" s="575"/>
      <c r="AE333" s="576"/>
    </row>
    <row r="334" spans="1:32" ht="11.25" customHeight="1">
      <c r="A334" s="611">
        <v>4</v>
      </c>
      <c r="F334" s="190" t="str">
        <f>$R$334</f>
        <v>COMMENTS PAGE 3</v>
      </c>
      <c r="L334" s="676" t="s">
        <v>411</v>
      </c>
      <c r="O334" s="578"/>
      <c r="P334" s="442"/>
      <c r="R334" s="190" t="str">
        <f>"COMMENTS"&amp;IF(OR($O$205=0,$O$205="")," PAGE 3"," PAGE 4")</f>
        <v>COMMENTS PAGE 3</v>
      </c>
      <c r="X334" s="664" t="s">
        <v>411</v>
      </c>
      <c r="Y334" s="500"/>
      <c r="Z334" s="457"/>
      <c r="AA334" s="457"/>
      <c r="AB334" s="985"/>
      <c r="AC334" s="551" t="str">
        <f t="shared" si="53"/>
        <v/>
      </c>
      <c r="AD334" s="1062">
        <f>O225</f>
        <v>0</v>
      </c>
      <c r="AE334" s="576" t="s">
        <v>893</v>
      </c>
    </row>
    <row r="335" spans="1:32" ht="11.25" customHeight="1" thickBot="1">
      <c r="A335" s="611">
        <v>5</v>
      </c>
      <c r="L335" s="676" t="s">
        <v>411</v>
      </c>
      <c r="O335" s="578"/>
      <c r="P335" s="442"/>
      <c r="X335" s="664" t="s">
        <v>411</v>
      </c>
      <c r="Y335" s="500"/>
      <c r="Z335" s="457"/>
      <c r="AA335" s="457"/>
      <c r="AB335" s="54"/>
      <c r="AC335" s="551" t="str">
        <f t="shared" si="53"/>
        <v/>
      </c>
      <c r="AD335" s="575"/>
      <c r="AE335" s="576"/>
    </row>
    <row r="336" spans="1:32" ht="11.25" customHeight="1" thickTop="1">
      <c r="A336" s="611">
        <v>6</v>
      </c>
      <c r="B336" s="79"/>
      <c r="C336" s="62"/>
      <c r="D336" s="62"/>
      <c r="E336" s="62"/>
      <c r="F336" s="62"/>
      <c r="G336" s="62"/>
      <c r="H336" s="62"/>
      <c r="I336" s="62"/>
      <c r="J336" s="62"/>
      <c r="K336" s="80"/>
      <c r="L336" s="676" t="s">
        <v>411</v>
      </c>
      <c r="M336" s="79"/>
      <c r="N336" s="62"/>
      <c r="O336" s="584"/>
      <c r="P336" s="439"/>
      <c r="Q336" s="683" t="s">
        <v>360</v>
      </c>
      <c r="R336" s="62"/>
      <c r="S336" s="62"/>
      <c r="T336" s="62"/>
      <c r="U336" s="62"/>
      <c r="V336" s="62"/>
      <c r="W336" s="80"/>
      <c r="X336" s="664" t="s">
        <v>411</v>
      </c>
      <c r="Y336" s="500"/>
      <c r="Z336" s="457"/>
      <c r="AA336" s="457"/>
      <c r="AB336" s="985"/>
      <c r="AC336" s="551" t="str">
        <f t="shared" ref="AC336:AC399" si="57">IF(AND(OR(AB336="",AB336=0),OR(AD336="",AD336=0)),"",IF(AB336&lt;&gt;AD336,"Change",""))</f>
        <v/>
      </c>
      <c r="AD336" s="1062">
        <f>O227</f>
        <v>0</v>
      </c>
      <c r="AE336" s="576" t="s">
        <v>894</v>
      </c>
    </row>
    <row r="337" spans="1:31" ht="11.25" customHeight="1">
      <c r="A337" s="611">
        <v>7</v>
      </c>
      <c r="B337" s="102" t="s">
        <v>552</v>
      </c>
      <c r="C337" s="613" t="str">
        <f>IF(O337="","",IF(LEN(O337)&lt;=135,O337,IF(LEN(O337)&lt;=260,LEFT(O337,SEARCH(" ",O337,125)),LEFT(O337,SEARCH(" ",O337,130)))))</f>
        <v/>
      </c>
      <c r="D337" s="377"/>
      <c r="E337" s="377"/>
      <c r="F337" s="377"/>
      <c r="G337" s="377"/>
      <c r="H337" s="377"/>
      <c r="I337" s="377"/>
      <c r="J337" s="377"/>
      <c r="K337" s="71"/>
      <c r="L337" s="676" t="s">
        <v>411</v>
      </c>
      <c r="M337" s="127"/>
      <c r="N337" s="54" t="s">
        <v>552</v>
      </c>
      <c r="O337" s="1084"/>
      <c r="P337" s="440"/>
      <c r="Q337" s="678" t="str">
        <f>IF(OR(AB390=0,AB390=""),"",AB390)</f>
        <v/>
      </c>
      <c r="R337" s="48"/>
      <c r="S337" s="48"/>
      <c r="T337" s="48"/>
      <c r="U337" s="48"/>
      <c r="V337" s="48"/>
      <c r="W337" s="69"/>
      <c r="X337" s="664" t="s">
        <v>411</v>
      </c>
      <c r="Y337" s="500"/>
      <c r="Z337" s="457"/>
      <c r="AA337" s="457"/>
      <c r="AB337" s="54"/>
      <c r="AC337" s="551" t="str">
        <f t="shared" si="57"/>
        <v/>
      </c>
      <c r="AD337" s="575"/>
      <c r="AE337" s="576"/>
    </row>
    <row r="338" spans="1:31" ht="11.25" customHeight="1">
      <c r="A338" s="611">
        <v>8</v>
      </c>
      <c r="B338" s="85"/>
      <c r="C338" s="613" t="str">
        <f>IF(LEN(O337)&lt;=135,"",IF(LEN(O337)&lt;=260,RIGHT(O337,LEN(O337)-SEARCH(" ",O337,125)),MID(O337,SEARCH(" ",O337,130),IF(LEN(O337)&lt;=265,LEN(O337),SEARCH(" ",O337,255)-SEARCH(" ",O337,130)))))</f>
        <v/>
      </c>
      <c r="D338" s="377"/>
      <c r="E338" s="377"/>
      <c r="F338" s="377"/>
      <c r="G338" s="377"/>
      <c r="H338" s="377"/>
      <c r="I338" s="377"/>
      <c r="J338" s="377"/>
      <c r="K338" s="71"/>
      <c r="L338" s="676" t="s">
        <v>411</v>
      </c>
      <c r="M338" s="85"/>
      <c r="N338" s="609" t="s">
        <v>282</v>
      </c>
      <c r="O338" s="1085"/>
      <c r="P338" s="610">
        <f>LEN(O337)</f>
        <v>0</v>
      </c>
      <c r="Q338" s="679"/>
      <c r="R338" s="682">
        <f>LEN(Q337)</f>
        <v>0</v>
      </c>
      <c r="S338" s="59"/>
      <c r="T338" s="59"/>
      <c r="U338" s="59"/>
      <c r="V338" s="59"/>
      <c r="W338" s="70"/>
      <c r="X338" s="664" t="s">
        <v>411</v>
      </c>
      <c r="Y338" s="500"/>
      <c r="Z338" s="457"/>
      <c r="AA338" s="457"/>
      <c r="AB338" s="985"/>
      <c r="AC338" s="551" t="str">
        <f t="shared" si="57"/>
        <v/>
      </c>
      <c r="AD338" s="1062">
        <f>O229</f>
        <v>0</v>
      </c>
      <c r="AE338" s="576" t="s">
        <v>895</v>
      </c>
    </row>
    <row r="339" spans="1:31" ht="11.25" customHeight="1">
      <c r="A339" s="611">
        <v>9</v>
      </c>
      <c r="B339" s="85"/>
      <c r="C339" s="613" t="str">
        <f>IF(LEN(O337)&lt;=265,"",RIGHT(O337,LEN(O337)-SEARCH(" ",O337,255)))</f>
        <v/>
      </c>
      <c r="D339" s="377"/>
      <c r="E339" s="377"/>
      <c r="F339" s="377"/>
      <c r="G339" s="377"/>
      <c r="H339" s="377"/>
      <c r="I339" s="377"/>
      <c r="J339" s="377"/>
      <c r="K339" s="71"/>
      <c r="L339" s="676" t="s">
        <v>411</v>
      </c>
      <c r="M339" s="66"/>
      <c r="N339" s="54" t="s">
        <v>82</v>
      </c>
      <c r="O339" s="1084"/>
      <c r="P339" s="440"/>
      <c r="Q339" s="678" t="str">
        <f>IF(OR(AB392=0,AB392=""),"",AB392)</f>
        <v/>
      </c>
      <c r="R339" s="48"/>
      <c r="S339" s="48"/>
      <c r="T339" s="48"/>
      <c r="U339" s="48"/>
      <c r="V339" s="48"/>
      <c r="W339" s="69"/>
      <c r="X339" s="664" t="s">
        <v>411</v>
      </c>
      <c r="Y339" s="500"/>
      <c r="Z339" s="457"/>
      <c r="AA339" s="457"/>
      <c r="AB339" s="54"/>
      <c r="AC339" s="551" t="str">
        <f t="shared" si="57"/>
        <v/>
      </c>
      <c r="AD339" s="575"/>
      <c r="AE339" s="576"/>
    </row>
    <row r="340" spans="1:31" ht="11.25" customHeight="1">
      <c r="A340" s="611">
        <v>10</v>
      </c>
      <c r="B340" s="127"/>
      <c r="C340" s="613" t="str">
        <f>IF(O339="","",IF(LEN(O339)&lt;=135,O339,IF(LEN(O339)&lt;=260,LEFT(O339,SEARCH(" ",O339,125)),LEFT(O339,SEARCH(" ",O339,130)))))</f>
        <v/>
      </c>
      <c r="D340" s="377"/>
      <c r="E340" s="377"/>
      <c r="F340" s="377"/>
      <c r="G340" s="377"/>
      <c r="H340" s="377"/>
      <c r="I340" s="377"/>
      <c r="J340" s="377"/>
      <c r="K340" s="71"/>
      <c r="L340" s="676" t="s">
        <v>411</v>
      </c>
      <c r="M340" s="85"/>
      <c r="N340" s="609" t="s">
        <v>282</v>
      </c>
      <c r="O340" s="1085"/>
      <c r="P340" s="610">
        <f>LEN(O339)</f>
        <v>0</v>
      </c>
      <c r="Q340" s="679"/>
      <c r="R340" s="682">
        <f>LEN(Q339)</f>
        <v>0</v>
      </c>
      <c r="S340" s="48"/>
      <c r="T340" s="48"/>
      <c r="U340" s="48"/>
      <c r="V340" s="48"/>
      <c r="W340" s="69"/>
      <c r="X340" s="664" t="s">
        <v>411</v>
      </c>
      <c r="Y340" s="500"/>
      <c r="Z340" s="457"/>
      <c r="AA340" s="457"/>
      <c r="AB340" s="985"/>
      <c r="AC340" s="551" t="str">
        <f t="shared" si="57"/>
        <v/>
      </c>
      <c r="AD340" s="1062">
        <f>O231</f>
        <v>0</v>
      </c>
      <c r="AE340" s="576" t="s">
        <v>896</v>
      </c>
    </row>
    <row r="341" spans="1:31" ht="11.25" customHeight="1">
      <c r="A341" s="611">
        <v>11</v>
      </c>
      <c r="B341" s="127"/>
      <c r="C341" s="613" t="str">
        <f>IF(LEN(O339)&lt;=135,"",IF(LEN(O339)&lt;=260,RIGHT(O339,LEN(O339)-SEARCH(" ",O339,125)),MID(O339,SEARCH(" ",O339,130),IF(LEN(O339)&lt;=265,LEN(O339),SEARCH(" ",O339,255)-SEARCH(" ",O339,130)))))</f>
        <v/>
      </c>
      <c r="D341" s="377"/>
      <c r="E341" s="377"/>
      <c r="F341" s="377"/>
      <c r="G341" s="377"/>
      <c r="H341" s="377"/>
      <c r="I341" s="377"/>
      <c r="J341" s="377"/>
      <c r="K341" s="71"/>
      <c r="L341" s="676" t="s">
        <v>411</v>
      </c>
      <c r="M341" s="213"/>
      <c r="N341" s="54" t="s">
        <v>82</v>
      </c>
      <c r="O341" s="1084"/>
      <c r="P341" s="440"/>
      <c r="Q341" s="678" t="str">
        <f>IF(OR(AB394=0,AB394=""),"",AB394)</f>
        <v/>
      </c>
      <c r="R341" s="48"/>
      <c r="S341" s="59"/>
      <c r="T341" s="59"/>
      <c r="U341" s="59"/>
      <c r="V341" s="59"/>
      <c r="W341" s="70"/>
      <c r="X341" s="664" t="s">
        <v>411</v>
      </c>
      <c r="Y341" s="500"/>
      <c r="AA341" s="457"/>
      <c r="AB341" s="54"/>
      <c r="AC341" s="551" t="str">
        <f t="shared" si="57"/>
        <v/>
      </c>
      <c r="AD341" s="575"/>
      <c r="AE341" s="576"/>
    </row>
    <row r="342" spans="1:31" ht="11.25" customHeight="1">
      <c r="A342" s="611">
        <v>12</v>
      </c>
      <c r="B342" s="127"/>
      <c r="C342" s="613" t="str">
        <f>IF(LEN(O339)&lt;=265,"",RIGHT(O339,LEN(O339)-SEARCH(" ",O339,255)))</f>
        <v/>
      </c>
      <c r="D342" s="377"/>
      <c r="E342" s="377"/>
      <c r="F342" s="377"/>
      <c r="G342" s="377"/>
      <c r="H342" s="377"/>
      <c r="I342" s="377"/>
      <c r="J342" s="377"/>
      <c r="K342" s="71"/>
      <c r="L342" s="676" t="s">
        <v>411</v>
      </c>
      <c r="M342" s="66"/>
      <c r="N342" s="609" t="s">
        <v>282</v>
      </c>
      <c r="O342" s="1085"/>
      <c r="P342" s="610">
        <f>LEN(O341)</f>
        <v>0</v>
      </c>
      <c r="Q342" s="679"/>
      <c r="R342" s="682">
        <f>LEN(Q341)</f>
        <v>0</v>
      </c>
      <c r="S342" s="48"/>
      <c r="T342" s="48"/>
      <c r="U342" s="48"/>
      <c r="V342" s="48"/>
      <c r="W342" s="69"/>
      <c r="X342" s="664" t="s">
        <v>411</v>
      </c>
      <c r="Y342" s="500"/>
      <c r="AA342" s="457"/>
      <c r="AB342" s="985"/>
      <c r="AC342" s="551" t="str">
        <f t="shared" si="57"/>
        <v/>
      </c>
      <c r="AD342" s="1062">
        <f>O233</f>
        <v>0</v>
      </c>
      <c r="AE342" s="576" t="s">
        <v>897</v>
      </c>
    </row>
    <row r="343" spans="1:31" ht="11.25" customHeight="1">
      <c r="A343" s="611">
        <v>13</v>
      </c>
      <c r="B343" s="127"/>
      <c r="C343" s="613" t="str">
        <f>IF(O341="","",IF(LEN(O341)&lt;=135,O341,IF(LEN(O341)&lt;=260,LEFT(O341,SEARCH(" ",O341,125)),LEFT(O341,SEARCH(" ",O341,130)))))</f>
        <v/>
      </c>
      <c r="D343" s="377"/>
      <c r="E343" s="377"/>
      <c r="F343" s="377"/>
      <c r="G343" s="377"/>
      <c r="H343" s="377"/>
      <c r="I343" s="377"/>
      <c r="J343" s="377"/>
      <c r="K343" s="71"/>
      <c r="L343" s="676" t="s">
        <v>411</v>
      </c>
      <c r="M343" s="85"/>
      <c r="N343" s="54" t="s">
        <v>82</v>
      </c>
      <c r="O343" s="1084"/>
      <c r="P343" s="440"/>
      <c r="Q343" s="678" t="str">
        <f>IF(OR(AB396=0,AB396=""),"",AB396)</f>
        <v/>
      </c>
      <c r="R343" s="48"/>
      <c r="S343" s="48"/>
      <c r="T343" s="48"/>
      <c r="U343" s="48"/>
      <c r="V343" s="48"/>
      <c r="W343" s="69"/>
      <c r="X343" s="664" t="s">
        <v>411</v>
      </c>
      <c r="Y343" s="500"/>
      <c r="AA343" s="457"/>
      <c r="AB343" s="54"/>
      <c r="AC343" s="551" t="str">
        <f t="shared" si="57"/>
        <v/>
      </c>
      <c r="AD343" s="575"/>
      <c r="AE343" s="576"/>
    </row>
    <row r="344" spans="1:31" ht="11.25" customHeight="1">
      <c r="A344" s="611">
        <v>14</v>
      </c>
      <c r="B344" s="127"/>
      <c r="C344" s="613" t="str">
        <f>IF(LEN(O341)&lt;=135,"",IF(LEN(O341)&lt;=260,RIGHT(O341,LEN(O341)-SEARCH(" ",O341,125)),MID(O341,SEARCH(" ",O341,130),IF(LEN(O341)&lt;=265,LEN(O341),SEARCH(" ",O341,255)-SEARCH(" ",O341,130)))))</f>
        <v/>
      </c>
      <c r="D344" s="377"/>
      <c r="E344" s="377"/>
      <c r="F344" s="377"/>
      <c r="G344" s="377"/>
      <c r="H344" s="377"/>
      <c r="I344" s="377"/>
      <c r="J344" s="377"/>
      <c r="K344" s="71"/>
      <c r="L344" s="676" t="s">
        <v>411</v>
      </c>
      <c r="M344" s="213"/>
      <c r="N344" s="609" t="s">
        <v>282</v>
      </c>
      <c r="O344" s="1085"/>
      <c r="P344" s="610">
        <f>LEN(O343)</f>
        <v>0</v>
      </c>
      <c r="Q344" s="679"/>
      <c r="R344" s="682">
        <f>LEN(Q343)</f>
        <v>0</v>
      </c>
      <c r="S344" s="59"/>
      <c r="T344" s="59"/>
      <c r="U344" s="59"/>
      <c r="V344" s="59"/>
      <c r="W344" s="70"/>
      <c r="X344" s="664" t="s">
        <v>411</v>
      </c>
      <c r="Y344" s="500"/>
      <c r="AA344" s="457"/>
      <c r="AB344" s="985"/>
      <c r="AC344" s="551" t="str">
        <f t="shared" si="57"/>
        <v/>
      </c>
      <c r="AD344" s="1062">
        <f>O235</f>
        <v>0</v>
      </c>
      <c r="AE344" s="576" t="s">
        <v>898</v>
      </c>
    </row>
    <row r="345" spans="1:31" ht="11.25" customHeight="1">
      <c r="A345" s="611">
        <v>15</v>
      </c>
      <c r="B345" s="127"/>
      <c r="C345" s="613" t="str">
        <f>IF(LEN(O341)&lt;=265,"",RIGHT(O341,LEN(O341)-SEARCH(" ",O341,255)))</f>
        <v/>
      </c>
      <c r="D345" s="377"/>
      <c r="E345" s="377"/>
      <c r="F345" s="377"/>
      <c r="G345" s="377"/>
      <c r="H345" s="377"/>
      <c r="I345" s="377"/>
      <c r="J345" s="377"/>
      <c r="K345" s="71"/>
      <c r="L345" s="676" t="s">
        <v>411</v>
      </c>
      <c r="M345" s="66"/>
      <c r="N345" s="54" t="s">
        <v>82</v>
      </c>
      <c r="O345" s="1084"/>
      <c r="P345" s="440"/>
      <c r="Q345" s="678" t="str">
        <f>IF(OR(AB398=0,AB398=""),"",AB398)</f>
        <v/>
      </c>
      <c r="R345" s="48"/>
      <c r="S345" s="48"/>
      <c r="T345" s="48"/>
      <c r="U345" s="48"/>
      <c r="V345" s="48"/>
      <c r="W345" s="69"/>
      <c r="X345" s="664" t="s">
        <v>411</v>
      </c>
      <c r="Y345" s="500"/>
      <c r="Z345" s="457"/>
      <c r="AA345" s="457"/>
      <c r="AB345" s="54"/>
      <c r="AC345" s="551" t="str">
        <f t="shared" si="57"/>
        <v/>
      </c>
      <c r="AD345" s="575"/>
      <c r="AE345" s="576"/>
    </row>
    <row r="346" spans="1:31" ht="11.25" customHeight="1">
      <c r="A346" s="611">
        <v>16</v>
      </c>
      <c r="B346" s="127"/>
      <c r="C346" s="613" t="str">
        <f>IF(O343="","",IF(LEN(O343)&lt;=135,O343,IF(LEN(O343)&lt;=260,LEFT(O343,SEARCH(" ",O343,125)),LEFT(O343,SEARCH(" ",O343,130)))))</f>
        <v/>
      </c>
      <c r="D346" s="377"/>
      <c r="E346" s="377"/>
      <c r="F346" s="377"/>
      <c r="G346" s="377"/>
      <c r="H346" s="377"/>
      <c r="I346" s="377"/>
      <c r="J346" s="377"/>
      <c r="K346" s="71"/>
      <c r="L346" s="676" t="s">
        <v>411</v>
      </c>
      <c r="M346" s="85"/>
      <c r="N346" s="609" t="s">
        <v>282</v>
      </c>
      <c r="O346" s="1085"/>
      <c r="P346" s="610">
        <f>LEN(O345)</f>
        <v>0</v>
      </c>
      <c r="Q346" s="679"/>
      <c r="R346" s="682">
        <f>LEN(Q345)</f>
        <v>0</v>
      </c>
      <c r="S346" s="48"/>
      <c r="T346" s="48"/>
      <c r="U346" s="48"/>
      <c r="V346" s="48"/>
      <c r="W346" s="69"/>
      <c r="X346" s="664" t="s">
        <v>411</v>
      </c>
      <c r="Y346" s="500"/>
      <c r="Z346" s="457"/>
      <c r="AA346" s="457"/>
      <c r="AB346" s="985"/>
      <c r="AC346" s="551" t="str">
        <f t="shared" si="57"/>
        <v/>
      </c>
      <c r="AD346" s="1062">
        <f>O237</f>
        <v>0</v>
      </c>
      <c r="AE346" s="576" t="s">
        <v>899</v>
      </c>
    </row>
    <row r="347" spans="1:31" ht="11.25" customHeight="1">
      <c r="A347" s="611">
        <v>17</v>
      </c>
      <c r="B347" s="127"/>
      <c r="C347" s="613" t="str">
        <f>IF(LEN(O343)&lt;=135,"",IF(LEN(O343)&lt;=260,RIGHT(O343,LEN(O343)-SEARCH(" ",O343,125)),MID(O343,SEARCH(" ",O343,130),IF(LEN(O343)&lt;=265,LEN(O343),SEARCH(" ",O343,255)-SEARCH(" ",O343,130)))))</f>
        <v/>
      </c>
      <c r="D347" s="377"/>
      <c r="E347" s="377"/>
      <c r="F347" s="377"/>
      <c r="G347" s="377"/>
      <c r="H347" s="377"/>
      <c r="I347" s="377"/>
      <c r="J347" s="377"/>
      <c r="K347" s="71"/>
      <c r="L347" s="676" t="s">
        <v>411</v>
      </c>
      <c r="M347" s="213"/>
      <c r="N347" s="54" t="s">
        <v>82</v>
      </c>
      <c r="O347" s="1084"/>
      <c r="P347" s="440"/>
      <c r="Q347" s="678" t="str">
        <f>IF(OR(AB400=0,AB400=""),"",AB400)</f>
        <v/>
      </c>
      <c r="R347" s="48"/>
      <c r="S347" s="59"/>
      <c r="T347" s="59"/>
      <c r="U347" s="59"/>
      <c r="V347" s="59"/>
      <c r="W347" s="70"/>
      <c r="X347" s="664" t="s">
        <v>411</v>
      </c>
      <c r="Y347" s="500"/>
      <c r="Z347" s="457"/>
      <c r="AB347" s="54"/>
      <c r="AC347" s="551" t="str">
        <f t="shared" si="57"/>
        <v/>
      </c>
      <c r="AD347" s="575"/>
      <c r="AE347" s="576"/>
    </row>
    <row r="348" spans="1:31" ht="11.25" customHeight="1">
      <c r="A348" s="611">
        <v>18</v>
      </c>
      <c r="B348" s="127"/>
      <c r="C348" s="613" t="str">
        <f>IF(LEN(O343)&lt;=265,"",RIGHT(O343,LEN(O343)-SEARCH(" ",O343,255)))</f>
        <v/>
      </c>
      <c r="D348" s="377"/>
      <c r="E348" s="377"/>
      <c r="F348" s="377"/>
      <c r="G348" s="377"/>
      <c r="H348" s="377"/>
      <c r="I348" s="377"/>
      <c r="J348" s="377"/>
      <c r="K348" s="71"/>
      <c r="L348" s="676" t="s">
        <v>411</v>
      </c>
      <c r="M348" s="66"/>
      <c r="N348" s="609" t="s">
        <v>282</v>
      </c>
      <c r="O348" s="1085"/>
      <c r="P348" s="610">
        <f>LEN(O347)</f>
        <v>0</v>
      </c>
      <c r="Q348" s="679"/>
      <c r="R348" s="682">
        <f>LEN(Q347)</f>
        <v>0</v>
      </c>
      <c r="S348" s="48"/>
      <c r="T348" s="48"/>
      <c r="U348" s="48"/>
      <c r="V348" s="48"/>
      <c r="W348" s="69"/>
      <c r="X348" s="664" t="s">
        <v>411</v>
      </c>
      <c r="Y348" s="500"/>
      <c r="Z348" s="457"/>
      <c r="AB348" s="985"/>
      <c r="AC348" s="551" t="str">
        <f t="shared" si="57"/>
        <v/>
      </c>
      <c r="AD348" s="1062">
        <f>O239</f>
        <v>0</v>
      </c>
      <c r="AE348" s="576" t="s">
        <v>900</v>
      </c>
    </row>
    <row r="349" spans="1:31" ht="11.25" customHeight="1">
      <c r="A349" s="611">
        <v>19</v>
      </c>
      <c r="B349" s="127"/>
      <c r="C349" s="613" t="str">
        <f>IF(O345="","",IF(LEN(O345)&lt;=135,O345,IF(LEN(O345)&lt;=260,LEFT(O345,SEARCH(" ",O345,125)),LEFT(O345,SEARCH(" ",O345,130)))))</f>
        <v/>
      </c>
      <c r="D349" s="377"/>
      <c r="E349" s="377"/>
      <c r="F349" s="377"/>
      <c r="G349" s="377"/>
      <c r="H349" s="377"/>
      <c r="I349" s="377"/>
      <c r="J349" s="377"/>
      <c r="K349" s="71"/>
      <c r="L349" s="676" t="s">
        <v>411</v>
      </c>
      <c r="M349" s="85"/>
      <c r="N349" s="54" t="s">
        <v>82</v>
      </c>
      <c r="O349" s="1084"/>
      <c r="P349" s="440"/>
      <c r="Q349" s="678" t="str">
        <f>IF(OR(AB402=0,AB402=""),"",AB402)</f>
        <v/>
      </c>
      <c r="R349" s="48"/>
      <c r="S349" s="48"/>
      <c r="T349" s="48"/>
      <c r="U349" s="48"/>
      <c r="V349" s="48"/>
      <c r="W349" s="69"/>
      <c r="X349" s="664" t="s">
        <v>411</v>
      </c>
      <c r="Y349" s="500"/>
      <c r="Z349" s="457"/>
      <c r="AB349" s="54"/>
      <c r="AC349" s="551" t="str">
        <f t="shared" si="57"/>
        <v/>
      </c>
      <c r="AD349" s="575"/>
      <c r="AE349" s="576"/>
    </row>
    <row r="350" spans="1:31" ht="11.25" customHeight="1">
      <c r="A350" s="611">
        <v>20</v>
      </c>
      <c r="B350" s="127"/>
      <c r="C350" s="613" t="str">
        <f>IF(LEN(O345)&lt;=135,"",IF(LEN(O345)&lt;=260,RIGHT(O345,LEN(O345)-SEARCH(" ",O345,125)),MID(O345,SEARCH(" ",O345,130),IF(LEN(O345)&lt;=265,LEN(O345),SEARCH(" ",O345,255)-SEARCH(" ",O345,130)))))</f>
        <v/>
      </c>
      <c r="D350" s="377"/>
      <c r="E350" s="377"/>
      <c r="F350" s="377"/>
      <c r="G350" s="377"/>
      <c r="H350" s="377"/>
      <c r="I350" s="377"/>
      <c r="J350" s="377"/>
      <c r="K350" s="71"/>
      <c r="L350" s="676" t="s">
        <v>411</v>
      </c>
      <c r="M350" s="213"/>
      <c r="N350" s="609" t="s">
        <v>282</v>
      </c>
      <c r="O350" s="1085"/>
      <c r="P350" s="610">
        <f>LEN(O349)</f>
        <v>0</v>
      </c>
      <c r="Q350" s="679"/>
      <c r="R350" s="682">
        <f>LEN(Q349)</f>
        <v>0</v>
      </c>
      <c r="S350" s="59"/>
      <c r="T350" s="59"/>
      <c r="U350" s="59"/>
      <c r="V350" s="59"/>
      <c r="W350" s="70"/>
      <c r="X350" s="664" t="s">
        <v>411</v>
      </c>
      <c r="Y350" s="500"/>
      <c r="Z350" s="457"/>
      <c r="AB350" s="985"/>
      <c r="AC350" s="551" t="str">
        <f t="shared" si="57"/>
        <v/>
      </c>
      <c r="AD350" s="1062">
        <f>O241</f>
        <v>0</v>
      </c>
      <c r="AE350" s="576" t="s">
        <v>901</v>
      </c>
    </row>
    <row r="351" spans="1:31" ht="11.25" customHeight="1">
      <c r="A351" s="611">
        <v>21</v>
      </c>
      <c r="B351" s="127"/>
      <c r="C351" s="613" t="str">
        <f>IF(LEN(O345)&lt;=265,"",RIGHT(O345,LEN(O345)-SEARCH(" ",O345,255)))</f>
        <v/>
      </c>
      <c r="D351" s="377"/>
      <c r="E351" s="377"/>
      <c r="F351" s="377"/>
      <c r="G351" s="377"/>
      <c r="H351" s="377"/>
      <c r="I351" s="377"/>
      <c r="J351" s="377"/>
      <c r="K351" s="71"/>
      <c r="L351" s="676" t="s">
        <v>411</v>
      </c>
      <c r="M351" s="66"/>
      <c r="N351" s="54" t="s">
        <v>82</v>
      </c>
      <c r="O351" s="1084"/>
      <c r="P351" s="440"/>
      <c r="Q351" s="678" t="str">
        <f>IF(OR(AB404=0,AB404=""),"",AB404)</f>
        <v/>
      </c>
      <c r="R351" s="48"/>
      <c r="S351" s="48"/>
      <c r="T351" s="48"/>
      <c r="U351" s="48"/>
      <c r="V351" s="48"/>
      <c r="W351" s="69"/>
      <c r="X351" s="664" t="s">
        <v>411</v>
      </c>
      <c r="Y351" s="500"/>
      <c r="Z351" s="457"/>
      <c r="AB351" s="54"/>
      <c r="AC351" s="551" t="str">
        <f t="shared" si="57"/>
        <v/>
      </c>
      <c r="AD351" s="1063"/>
      <c r="AE351" s="573"/>
    </row>
    <row r="352" spans="1:31" ht="11.25" customHeight="1">
      <c r="A352" s="611">
        <v>22</v>
      </c>
      <c r="B352" s="127"/>
      <c r="C352" s="613" t="str">
        <f>IF(O347="","",IF(LEN(O347)&lt;=135,O347,IF(LEN(O347)&lt;=260,LEFT(O347,SEARCH(" ",O347,125)),LEFT(O347,SEARCH(" ",O347,130)))))</f>
        <v/>
      </c>
      <c r="D352" s="377"/>
      <c r="E352" s="377"/>
      <c r="F352" s="377"/>
      <c r="G352" s="377"/>
      <c r="H352" s="377"/>
      <c r="I352" s="377"/>
      <c r="J352" s="377"/>
      <c r="K352" s="71"/>
      <c r="L352" s="676" t="s">
        <v>411</v>
      </c>
      <c r="M352" s="85"/>
      <c r="N352" s="609" t="s">
        <v>282</v>
      </c>
      <c r="O352" s="1085"/>
      <c r="P352" s="610">
        <f>LEN(O351)</f>
        <v>0</v>
      </c>
      <c r="Q352" s="679"/>
      <c r="R352" s="682">
        <f>LEN(Q351)</f>
        <v>0</v>
      </c>
      <c r="S352" s="48"/>
      <c r="T352" s="48"/>
      <c r="U352" s="48"/>
      <c r="V352" s="48"/>
      <c r="W352" s="69"/>
      <c r="X352" s="664" t="s">
        <v>411</v>
      </c>
      <c r="Y352" s="500"/>
      <c r="Z352" s="457"/>
      <c r="AA352" s="132" t="s">
        <v>611</v>
      </c>
      <c r="AB352" s="985"/>
      <c r="AC352" s="551" t="str">
        <f t="shared" si="57"/>
        <v/>
      </c>
      <c r="AD352" s="1062">
        <f>O271</f>
        <v>0</v>
      </c>
      <c r="AE352" s="576" t="s">
        <v>902</v>
      </c>
    </row>
    <row r="353" spans="1:31" ht="11.25" customHeight="1">
      <c r="A353" s="611">
        <v>23</v>
      </c>
      <c r="B353" s="127"/>
      <c r="C353" s="613" t="str">
        <f>IF(LEN(O347)&lt;=135,"",IF(LEN(O347)&lt;=260,RIGHT(O347,LEN(O347)-SEARCH(" ",O347,125)),MID(O347,SEARCH(" ",O347,130),IF(LEN(O347)&lt;=265,LEN(O347),SEARCH(" ",O347,255)-SEARCH(" ",O347,130)))))</f>
        <v/>
      </c>
      <c r="D353" s="377"/>
      <c r="E353" s="377"/>
      <c r="F353" s="377"/>
      <c r="G353" s="377"/>
      <c r="H353" s="377"/>
      <c r="I353" s="377"/>
      <c r="J353" s="377"/>
      <c r="K353" s="71"/>
      <c r="L353" s="676" t="s">
        <v>411</v>
      </c>
      <c r="M353" s="213"/>
      <c r="N353" s="54" t="s">
        <v>82</v>
      </c>
      <c r="O353" s="1084"/>
      <c r="P353" s="440"/>
      <c r="Q353" s="678" t="str">
        <f>IF(OR(AB406=0,AB406=""),"",AB406)</f>
        <v/>
      </c>
      <c r="R353" s="48"/>
      <c r="S353" s="59"/>
      <c r="T353" s="59"/>
      <c r="U353" s="59"/>
      <c r="V353" s="59"/>
      <c r="W353" s="70"/>
      <c r="X353" s="664" t="s">
        <v>411</v>
      </c>
      <c r="Y353" s="500"/>
      <c r="Z353" s="457"/>
      <c r="AA353" s="457"/>
      <c r="AB353" s="54"/>
      <c r="AC353" s="551" t="str">
        <f t="shared" si="57"/>
        <v/>
      </c>
      <c r="AD353" s="575"/>
      <c r="AE353" s="576"/>
    </row>
    <row r="354" spans="1:31" ht="11.25" customHeight="1">
      <c r="A354" s="611">
        <v>24</v>
      </c>
      <c r="B354" s="127"/>
      <c r="C354" s="613" t="str">
        <f>IF(LEN(O347)&lt;=265,"",RIGHT(O347,LEN(O347)-SEARCH(" ",O347,255)))</f>
        <v/>
      </c>
      <c r="D354" s="377"/>
      <c r="E354" s="377"/>
      <c r="F354" s="377"/>
      <c r="G354" s="377"/>
      <c r="H354" s="377"/>
      <c r="I354" s="377"/>
      <c r="J354" s="377"/>
      <c r="K354" s="71"/>
      <c r="L354" s="676" t="s">
        <v>411</v>
      </c>
      <c r="M354" s="66"/>
      <c r="N354" s="609" t="s">
        <v>282</v>
      </c>
      <c r="O354" s="1085"/>
      <c r="P354" s="610">
        <f>LEN(O353)</f>
        <v>0</v>
      </c>
      <c r="Q354" s="679"/>
      <c r="R354" s="682">
        <f>LEN(Q353)</f>
        <v>0</v>
      </c>
      <c r="S354" s="48"/>
      <c r="T354" s="48"/>
      <c r="U354" s="48"/>
      <c r="V354" s="48"/>
      <c r="W354" s="69"/>
      <c r="X354" s="664" t="s">
        <v>411</v>
      </c>
      <c r="Y354" s="500"/>
      <c r="Z354" s="457"/>
      <c r="AA354" s="457"/>
      <c r="AB354" s="985"/>
      <c r="AC354" s="551" t="str">
        <f t="shared" si="57"/>
        <v/>
      </c>
      <c r="AD354" s="1062">
        <f>O273</f>
        <v>0</v>
      </c>
      <c r="AE354" s="576" t="s">
        <v>903</v>
      </c>
    </row>
    <row r="355" spans="1:31" ht="11.25" customHeight="1">
      <c r="A355" s="611">
        <v>25</v>
      </c>
      <c r="B355" s="127"/>
      <c r="C355" s="613" t="str">
        <f>IF(O349="","",IF(LEN(O349)&lt;=135,O349,IF(LEN(O349)&lt;=260,LEFT(O349,SEARCH(" ",O349,125)),LEFT(O349,SEARCH(" ",O349,130)))))</f>
        <v/>
      </c>
      <c r="D355" s="377"/>
      <c r="E355" s="377"/>
      <c r="F355" s="377"/>
      <c r="G355" s="377"/>
      <c r="H355" s="377"/>
      <c r="I355" s="377"/>
      <c r="J355" s="377"/>
      <c r="K355" s="71"/>
      <c r="L355" s="676" t="s">
        <v>411</v>
      </c>
      <c r="M355" s="85"/>
      <c r="N355" s="54" t="s">
        <v>82</v>
      </c>
      <c r="O355" s="1084"/>
      <c r="P355" s="440"/>
      <c r="Q355" s="678" t="str">
        <f>IF(OR(AB408=0,AB408=""),"",AB408)</f>
        <v/>
      </c>
      <c r="R355" s="48"/>
      <c r="S355" s="48"/>
      <c r="T355" s="48"/>
      <c r="U355" s="48"/>
      <c r="V355" s="48"/>
      <c r="W355" s="69"/>
      <c r="X355" s="664" t="s">
        <v>411</v>
      </c>
      <c r="Y355" s="500"/>
      <c r="Z355" s="457"/>
      <c r="AA355" s="457"/>
      <c r="AB355" s="54"/>
      <c r="AC355" s="551" t="str">
        <f t="shared" si="57"/>
        <v/>
      </c>
      <c r="AD355" s="575"/>
      <c r="AE355" s="576"/>
    </row>
    <row r="356" spans="1:31" ht="11.25" customHeight="1">
      <c r="A356" s="611">
        <v>26</v>
      </c>
      <c r="B356" s="127"/>
      <c r="C356" s="613" t="str">
        <f>IF(LEN(O349)&lt;=135,"",IF(LEN(O349)&lt;=260,RIGHT(O349,LEN(O349)-SEARCH(" ",O349,125)),MID(O349,SEARCH(" ",O349,130),IF(LEN(O349)&lt;=265,LEN(O349),SEARCH(" ",O349,255)-SEARCH(" ",O349,130)))))</f>
        <v/>
      </c>
      <c r="D356" s="377"/>
      <c r="E356" s="377"/>
      <c r="F356" s="377"/>
      <c r="G356" s="377"/>
      <c r="H356" s="377"/>
      <c r="I356" s="377"/>
      <c r="J356" s="377"/>
      <c r="K356" s="71"/>
      <c r="L356" s="676" t="s">
        <v>411</v>
      </c>
      <c r="M356" s="213"/>
      <c r="N356" s="609" t="s">
        <v>282</v>
      </c>
      <c r="O356" s="1085"/>
      <c r="P356" s="610">
        <f>LEN(O355)</f>
        <v>0</v>
      </c>
      <c r="Q356" s="679"/>
      <c r="R356" s="682">
        <f>LEN(Q355)</f>
        <v>0</v>
      </c>
      <c r="S356" s="59"/>
      <c r="T356" s="59"/>
      <c r="U356" s="59"/>
      <c r="V356" s="59"/>
      <c r="W356" s="70"/>
      <c r="X356" s="664" t="s">
        <v>411</v>
      </c>
      <c r="Y356" s="500"/>
      <c r="Z356" s="457"/>
      <c r="AA356" s="457"/>
      <c r="AB356" s="985"/>
      <c r="AC356" s="551" t="str">
        <f t="shared" si="57"/>
        <v/>
      </c>
      <c r="AD356" s="1062">
        <f>O275</f>
        <v>0</v>
      </c>
      <c r="AE356" s="576" t="s">
        <v>904</v>
      </c>
    </row>
    <row r="357" spans="1:31" ht="11.25" customHeight="1">
      <c r="A357" s="611">
        <v>27</v>
      </c>
      <c r="B357" s="127"/>
      <c r="C357" s="613" t="str">
        <f>IF(LEN(O349)&lt;=265,"",RIGHT(O349,LEN(O349)-SEARCH(" ",O349,255)))</f>
        <v/>
      </c>
      <c r="D357" s="377"/>
      <c r="E357" s="377"/>
      <c r="F357" s="377"/>
      <c r="G357" s="377"/>
      <c r="H357" s="377"/>
      <c r="I357" s="377"/>
      <c r="J357" s="377"/>
      <c r="K357" s="71"/>
      <c r="L357" s="676" t="s">
        <v>411</v>
      </c>
      <c r="M357" s="66"/>
      <c r="N357" s="54" t="s">
        <v>82</v>
      </c>
      <c r="O357" s="1084"/>
      <c r="P357" s="440"/>
      <c r="Q357" s="678" t="str">
        <f>IF(OR(AB410=0,AB410=""),"",AB410)</f>
        <v/>
      </c>
      <c r="R357" s="48"/>
      <c r="S357" s="48"/>
      <c r="T357" s="48"/>
      <c r="U357" s="48"/>
      <c r="V357" s="48"/>
      <c r="W357" s="69"/>
      <c r="X357" s="664" t="s">
        <v>411</v>
      </c>
      <c r="Y357" s="500"/>
      <c r="Z357" s="457"/>
      <c r="AA357" s="457"/>
      <c r="AB357" s="54"/>
      <c r="AC357" s="551" t="str">
        <f t="shared" si="57"/>
        <v/>
      </c>
      <c r="AD357" s="575"/>
      <c r="AE357" s="576"/>
    </row>
    <row r="358" spans="1:31" ht="11.25" customHeight="1">
      <c r="A358" s="611">
        <v>28</v>
      </c>
      <c r="B358" s="127"/>
      <c r="C358" s="613" t="str">
        <f>IF(O351="","",IF(LEN(O351)&lt;=135,O351,IF(LEN(O351)&lt;=260,LEFT(O351,SEARCH(" ",O351,125)),LEFT(O351,SEARCH(" ",O351,130)))))</f>
        <v/>
      </c>
      <c r="D358" s="377"/>
      <c r="E358" s="377"/>
      <c r="F358" s="377"/>
      <c r="G358" s="377"/>
      <c r="H358" s="377"/>
      <c r="I358" s="377"/>
      <c r="J358" s="377"/>
      <c r="K358" s="71"/>
      <c r="L358" s="676" t="s">
        <v>411</v>
      </c>
      <c r="M358" s="85"/>
      <c r="N358" s="609" t="s">
        <v>282</v>
      </c>
      <c r="O358" s="1085"/>
      <c r="P358" s="610">
        <f>LEN(O357)</f>
        <v>0</v>
      </c>
      <c r="Q358" s="679"/>
      <c r="R358" s="682">
        <f>LEN(Q357)</f>
        <v>0</v>
      </c>
      <c r="S358" s="48"/>
      <c r="T358" s="48"/>
      <c r="U358" s="48"/>
      <c r="V358" s="48"/>
      <c r="W358" s="69"/>
      <c r="X358" s="664" t="s">
        <v>411</v>
      </c>
      <c r="Y358" s="500"/>
      <c r="Z358" s="457"/>
      <c r="AA358" s="457"/>
      <c r="AB358" s="985"/>
      <c r="AC358" s="551" t="str">
        <f t="shared" si="57"/>
        <v/>
      </c>
      <c r="AD358" s="1062">
        <f>O277</f>
        <v>0</v>
      </c>
      <c r="AE358" s="576" t="s">
        <v>905</v>
      </c>
    </row>
    <row r="359" spans="1:31" ht="11.25" customHeight="1">
      <c r="A359" s="611">
        <v>29</v>
      </c>
      <c r="B359" s="127"/>
      <c r="C359" s="613" t="str">
        <f>IF(LEN(O351)&lt;=135,"",IF(LEN(O351)&lt;=260,RIGHT(O351,LEN(O351)-SEARCH(" ",O351,125)),MID(O351,SEARCH(" ",O351,130),IF(LEN(O351)&lt;=265,LEN(O351),SEARCH(" ",O351,255)-SEARCH(" ",O351,130)))))</f>
        <v/>
      </c>
      <c r="D359" s="377"/>
      <c r="E359" s="377"/>
      <c r="F359" s="377"/>
      <c r="G359" s="377"/>
      <c r="H359" s="377"/>
      <c r="I359" s="377"/>
      <c r="J359" s="377"/>
      <c r="K359" s="71"/>
      <c r="L359" s="676" t="s">
        <v>411</v>
      </c>
      <c r="M359" s="213"/>
      <c r="N359" s="54" t="s">
        <v>82</v>
      </c>
      <c r="O359" s="1084"/>
      <c r="P359" s="440"/>
      <c r="Q359" s="678" t="str">
        <f>IF(OR(AB412=0,AB412=""),"",AB412)</f>
        <v/>
      </c>
      <c r="R359" s="48"/>
      <c r="S359" s="59"/>
      <c r="T359" s="59"/>
      <c r="U359" s="59"/>
      <c r="V359" s="59"/>
      <c r="W359" s="70"/>
      <c r="X359" s="664" t="s">
        <v>411</v>
      </c>
      <c r="Y359" s="500"/>
      <c r="Z359" s="457"/>
      <c r="AA359" s="457"/>
      <c r="AB359" s="54"/>
      <c r="AC359" s="551" t="str">
        <f t="shared" si="57"/>
        <v/>
      </c>
      <c r="AD359" s="575"/>
      <c r="AE359" s="576"/>
    </row>
    <row r="360" spans="1:31" ht="11.25" customHeight="1">
      <c r="A360" s="611">
        <v>30</v>
      </c>
      <c r="B360" s="127"/>
      <c r="C360" s="613" t="str">
        <f>IF(LEN(O351)&lt;=265,"",RIGHT(O351,LEN(O351)-SEARCH(" ",O351,255)))</f>
        <v/>
      </c>
      <c r="D360" s="377"/>
      <c r="E360" s="377"/>
      <c r="F360" s="377"/>
      <c r="G360" s="377"/>
      <c r="H360" s="377"/>
      <c r="I360" s="377"/>
      <c r="J360" s="377"/>
      <c r="K360" s="71"/>
      <c r="L360" s="676" t="s">
        <v>411</v>
      </c>
      <c r="M360" s="66"/>
      <c r="N360" s="609" t="s">
        <v>282</v>
      </c>
      <c r="O360" s="1085"/>
      <c r="P360" s="610">
        <f>LEN(O359)</f>
        <v>0</v>
      </c>
      <c r="Q360" s="679"/>
      <c r="R360" s="682">
        <f>LEN(Q359)</f>
        <v>0</v>
      </c>
      <c r="S360" s="48"/>
      <c r="T360" s="48"/>
      <c r="U360" s="48"/>
      <c r="V360" s="48"/>
      <c r="W360" s="69"/>
      <c r="X360" s="664" t="s">
        <v>411</v>
      </c>
      <c r="Y360" s="500"/>
      <c r="Z360" s="457"/>
      <c r="AA360" s="457"/>
      <c r="AB360" s="985"/>
      <c r="AC360" s="551" t="str">
        <f t="shared" si="57"/>
        <v/>
      </c>
      <c r="AD360" s="1062">
        <f>O279</f>
        <v>0</v>
      </c>
      <c r="AE360" s="576" t="s">
        <v>906</v>
      </c>
    </row>
    <row r="361" spans="1:31" ht="11.25" customHeight="1">
      <c r="A361" s="611">
        <v>31</v>
      </c>
      <c r="B361" s="127"/>
      <c r="C361" s="613" t="str">
        <f>IF(O353="","",IF(LEN(O353)&lt;=135,O353,IF(LEN(O353)&lt;=260,LEFT(O353,SEARCH(" ",O353,125)),LEFT(O353,SEARCH(" ",O353,130)))))</f>
        <v/>
      </c>
      <c r="D361" s="377"/>
      <c r="E361" s="377"/>
      <c r="F361" s="377"/>
      <c r="G361" s="377"/>
      <c r="H361" s="377"/>
      <c r="I361" s="377"/>
      <c r="J361" s="377"/>
      <c r="K361" s="71"/>
      <c r="L361" s="676" t="s">
        <v>411</v>
      </c>
      <c r="M361" s="85"/>
      <c r="N361" s="54" t="s">
        <v>82</v>
      </c>
      <c r="O361" s="1084"/>
      <c r="P361" s="440"/>
      <c r="Q361" s="678" t="str">
        <f>IF(OR(AB414=0,AB414=""),"",AB414)</f>
        <v/>
      </c>
      <c r="R361" s="48"/>
      <c r="S361" s="48"/>
      <c r="T361" s="48"/>
      <c r="U361" s="48"/>
      <c r="V361" s="48"/>
      <c r="W361" s="69"/>
      <c r="X361" s="664" t="s">
        <v>411</v>
      </c>
      <c r="Y361" s="500"/>
      <c r="Z361" s="457"/>
      <c r="AA361" s="457"/>
      <c r="AB361" s="54"/>
      <c r="AC361" s="551" t="str">
        <f t="shared" si="57"/>
        <v/>
      </c>
      <c r="AD361" s="575"/>
      <c r="AE361" s="576"/>
    </row>
    <row r="362" spans="1:31" ht="11.25" customHeight="1">
      <c r="A362" s="611">
        <v>32</v>
      </c>
      <c r="B362" s="127"/>
      <c r="C362" s="613" t="str">
        <f>IF(LEN(O353)&lt;=135,"",IF(LEN(O353)&lt;=260,RIGHT(O353,LEN(O353)-SEARCH(" ",O353,125)),MID(O353,SEARCH(" ",O353,130),IF(LEN(O353)&lt;=265,LEN(O353),SEARCH(" ",O353,255)-SEARCH(" ",O353,130)))))</f>
        <v/>
      </c>
      <c r="D362" s="377"/>
      <c r="E362" s="377"/>
      <c r="F362" s="377"/>
      <c r="G362" s="377"/>
      <c r="H362" s="377"/>
      <c r="I362" s="377"/>
      <c r="J362" s="377"/>
      <c r="K362" s="71"/>
      <c r="L362" s="676" t="s">
        <v>411</v>
      </c>
      <c r="M362" s="213"/>
      <c r="N362" s="609" t="s">
        <v>282</v>
      </c>
      <c r="O362" s="1085"/>
      <c r="P362" s="610">
        <f>LEN(O361)</f>
        <v>0</v>
      </c>
      <c r="Q362" s="679"/>
      <c r="R362" s="682">
        <f>LEN(Q361)</f>
        <v>0</v>
      </c>
      <c r="S362" s="59"/>
      <c r="T362" s="59"/>
      <c r="U362" s="59"/>
      <c r="V362" s="59"/>
      <c r="W362" s="70"/>
      <c r="X362" s="664" t="s">
        <v>411</v>
      </c>
      <c r="Y362" s="500"/>
      <c r="Z362" s="457"/>
      <c r="AA362" s="457"/>
      <c r="AB362" s="985"/>
      <c r="AC362" s="551" t="str">
        <f t="shared" si="57"/>
        <v/>
      </c>
      <c r="AD362" s="1062">
        <f>O281</f>
        <v>0</v>
      </c>
      <c r="AE362" s="576" t="s">
        <v>907</v>
      </c>
    </row>
    <row r="363" spans="1:31" ht="11.25" customHeight="1">
      <c r="A363" s="611">
        <v>33</v>
      </c>
      <c r="B363" s="127"/>
      <c r="C363" s="613" t="str">
        <f>IF(LEN(O353)&lt;=265,"",RIGHT(O353,LEN(O353)-SEARCH(" ",O353,255)))</f>
        <v/>
      </c>
      <c r="D363" s="377"/>
      <c r="E363" s="377"/>
      <c r="F363" s="377"/>
      <c r="G363" s="377"/>
      <c r="H363" s="377"/>
      <c r="I363" s="377"/>
      <c r="J363" s="377"/>
      <c r="K363" s="71"/>
      <c r="L363" s="676" t="s">
        <v>411</v>
      </c>
      <c r="M363" s="127"/>
      <c r="N363" s="54" t="s">
        <v>82</v>
      </c>
      <c r="O363" s="1084"/>
      <c r="P363" s="440"/>
      <c r="Q363" s="678" t="str">
        <f>IF(OR(AB416=0,AB416=""),"",AB416)</f>
        <v/>
      </c>
      <c r="R363" s="48"/>
      <c r="S363" s="59"/>
      <c r="T363" s="59"/>
      <c r="U363" s="59"/>
      <c r="V363" s="59"/>
      <c r="W363" s="71"/>
      <c r="X363" s="664" t="s">
        <v>411</v>
      </c>
      <c r="Y363" s="500"/>
      <c r="Z363" s="457"/>
      <c r="AA363" s="457"/>
      <c r="AB363" s="54"/>
      <c r="AC363" s="551" t="str">
        <f t="shared" si="57"/>
        <v/>
      </c>
      <c r="AD363" s="575"/>
      <c r="AE363" s="576"/>
    </row>
    <row r="364" spans="1:31" ht="11.25" customHeight="1">
      <c r="A364" s="611">
        <v>34</v>
      </c>
      <c r="B364" s="127"/>
      <c r="C364" s="613" t="str">
        <f>IF(O355="","",IF(LEN(O355)&lt;=135,O355,IF(LEN(O355)&lt;=260,LEFT(O355,SEARCH(" ",O355,125)),LEFT(O355,SEARCH(" ",O355,130)))))</f>
        <v/>
      </c>
      <c r="D364" s="377"/>
      <c r="E364" s="377"/>
      <c r="F364" s="377"/>
      <c r="G364" s="377"/>
      <c r="H364" s="377"/>
      <c r="I364" s="377"/>
      <c r="J364" s="377"/>
      <c r="K364" s="71"/>
      <c r="L364" s="676" t="s">
        <v>411</v>
      </c>
      <c r="M364" s="127"/>
      <c r="N364" s="609" t="s">
        <v>282</v>
      </c>
      <c r="O364" s="1085"/>
      <c r="P364" s="610">
        <f>LEN(O363)</f>
        <v>0</v>
      </c>
      <c r="Q364" s="679"/>
      <c r="R364" s="682">
        <f>LEN(Q363)</f>
        <v>0</v>
      </c>
      <c r="S364" s="48"/>
      <c r="T364" s="48"/>
      <c r="U364" s="48"/>
      <c r="V364" s="48"/>
      <c r="W364" s="71"/>
      <c r="X364" s="664" t="s">
        <v>411</v>
      </c>
      <c r="Y364" s="500"/>
      <c r="Z364" s="457"/>
      <c r="AA364" s="457"/>
      <c r="AB364" s="985"/>
      <c r="AC364" s="551" t="str">
        <f t="shared" si="57"/>
        <v/>
      </c>
      <c r="AD364" s="1062">
        <f>O283</f>
        <v>0</v>
      </c>
      <c r="AE364" s="576" t="s">
        <v>908</v>
      </c>
    </row>
    <row r="365" spans="1:31" ht="11.25" customHeight="1">
      <c r="A365" s="611">
        <v>35</v>
      </c>
      <c r="B365" s="127"/>
      <c r="C365" s="613" t="str">
        <f>IF(LEN(O355)&lt;=135,"",IF(LEN(O355)&lt;=260,RIGHT(O355,LEN(O355)-SEARCH(" ",O355,125)),MID(O355,SEARCH(" ",O355,130),IF(LEN(O355)&lt;=265,LEN(O355),SEARCH(" ",O355,255)-SEARCH(" ",O355,130)))))</f>
        <v/>
      </c>
      <c r="D365" s="377"/>
      <c r="E365" s="377"/>
      <c r="F365" s="377"/>
      <c r="G365" s="377"/>
      <c r="H365" s="377"/>
      <c r="I365" s="377"/>
      <c r="J365" s="377"/>
      <c r="K365" s="71"/>
      <c r="L365" s="676" t="s">
        <v>411</v>
      </c>
      <c r="M365" s="127"/>
      <c r="N365" s="54" t="s">
        <v>82</v>
      </c>
      <c r="O365" s="1084"/>
      <c r="P365" s="440"/>
      <c r="Q365" s="678" t="str">
        <f>IF(OR(AB418=0,AB418=""),"",AB418)</f>
        <v/>
      </c>
      <c r="R365" s="48"/>
      <c r="S365" s="59"/>
      <c r="T365" s="59"/>
      <c r="U365" s="59"/>
      <c r="V365" s="59"/>
      <c r="W365" s="71"/>
      <c r="X365" s="664" t="s">
        <v>411</v>
      </c>
      <c r="Y365" s="500"/>
      <c r="Z365" s="457"/>
      <c r="AA365" s="457"/>
      <c r="AB365" s="54"/>
      <c r="AC365" s="551" t="str">
        <f t="shared" si="57"/>
        <v/>
      </c>
      <c r="AD365" s="575"/>
      <c r="AE365" s="576"/>
    </row>
    <row r="366" spans="1:31" ht="11.25" customHeight="1">
      <c r="A366" s="611">
        <v>36</v>
      </c>
      <c r="B366" s="127"/>
      <c r="C366" s="613" t="str">
        <f>IF(LEN(O355)&lt;=265,"",RIGHT(O355,LEN(O355)-SEARCH(" ",O355,255)))</f>
        <v/>
      </c>
      <c r="D366" s="377"/>
      <c r="E366" s="377"/>
      <c r="F366" s="377"/>
      <c r="G366" s="377"/>
      <c r="H366" s="377"/>
      <c r="I366" s="377"/>
      <c r="J366" s="377"/>
      <c r="K366" s="71"/>
      <c r="L366" s="676" t="s">
        <v>411</v>
      </c>
      <c r="M366" s="127"/>
      <c r="N366" s="609" t="s">
        <v>282</v>
      </c>
      <c r="O366" s="1085"/>
      <c r="P366" s="610">
        <f>LEN(O365)</f>
        <v>0</v>
      </c>
      <c r="Q366" s="679"/>
      <c r="R366" s="682">
        <f>LEN(Q365)</f>
        <v>0</v>
      </c>
      <c r="S366" s="59"/>
      <c r="T366" s="59"/>
      <c r="U366" s="59"/>
      <c r="V366" s="59"/>
      <c r="W366" s="71"/>
      <c r="X366" s="664" t="s">
        <v>411</v>
      </c>
      <c r="Y366" s="500"/>
      <c r="Z366" s="457"/>
      <c r="AA366" s="457"/>
      <c r="AB366" s="985"/>
      <c r="AC366" s="551" t="str">
        <f t="shared" si="57"/>
        <v/>
      </c>
      <c r="AD366" s="1062">
        <f>O285</f>
        <v>0</v>
      </c>
      <c r="AE366" s="576" t="s">
        <v>909</v>
      </c>
    </row>
    <row r="367" spans="1:31" ht="11.25" customHeight="1">
      <c r="A367" s="611">
        <v>37</v>
      </c>
      <c r="B367" s="127"/>
      <c r="C367" s="613" t="str">
        <f>IF(O357="","",IF(LEN(O357)&lt;=135,O357,IF(LEN(O357)&lt;=260,LEFT(O357,SEARCH(" ",O357,125)),LEFT(O357,SEARCH(" ",O357,130)))))</f>
        <v/>
      </c>
      <c r="D367" s="377"/>
      <c r="E367" s="377"/>
      <c r="F367" s="377"/>
      <c r="G367" s="377"/>
      <c r="H367" s="377"/>
      <c r="I367" s="377"/>
      <c r="J367" s="377"/>
      <c r="K367" s="71"/>
      <c r="L367" s="676" t="s">
        <v>411</v>
      </c>
      <c r="M367" s="127"/>
      <c r="N367" s="54" t="s">
        <v>82</v>
      </c>
      <c r="O367" s="1084"/>
      <c r="P367" s="440"/>
      <c r="Q367" s="678" t="str">
        <f>IF(OR(AB420=0,AB420=""),"",AB420)</f>
        <v/>
      </c>
      <c r="R367" s="48"/>
      <c r="S367" s="48"/>
      <c r="T367" s="48"/>
      <c r="U367" s="48"/>
      <c r="V367" s="48"/>
      <c r="W367" s="71"/>
      <c r="X367" s="664" t="s">
        <v>411</v>
      </c>
      <c r="Y367" s="500"/>
      <c r="Z367" s="457"/>
      <c r="AA367" s="457"/>
      <c r="AB367" s="54"/>
      <c r="AC367" s="551" t="str">
        <f t="shared" si="57"/>
        <v/>
      </c>
      <c r="AD367" s="575"/>
      <c r="AE367" s="576"/>
    </row>
    <row r="368" spans="1:31" ht="11.25" customHeight="1">
      <c r="A368" s="611">
        <v>38</v>
      </c>
      <c r="B368" s="127"/>
      <c r="C368" s="613" t="str">
        <f>IF(LEN(O357)&lt;=135,"",IF(LEN(O357)&lt;=260,RIGHT(O357,LEN(O357)-SEARCH(" ",O357,125)),MID(O357,SEARCH(" ",O357,130),IF(LEN(O357)&lt;=265,LEN(O357),SEARCH(" ",O357,255)-SEARCH(" ",O357,130)))))</f>
        <v/>
      </c>
      <c r="D368" s="377"/>
      <c r="E368" s="377"/>
      <c r="F368" s="377"/>
      <c r="G368" s="377"/>
      <c r="H368" s="377"/>
      <c r="I368" s="377"/>
      <c r="J368" s="377"/>
      <c r="K368" s="71"/>
      <c r="L368" s="676" t="s">
        <v>411</v>
      </c>
      <c r="M368" s="127"/>
      <c r="N368" s="609" t="s">
        <v>282</v>
      </c>
      <c r="O368" s="1085"/>
      <c r="P368" s="610">
        <f>LEN(O367)</f>
        <v>0</v>
      </c>
      <c r="Q368" s="679"/>
      <c r="R368" s="682">
        <f>LEN(Q367)</f>
        <v>0</v>
      </c>
      <c r="S368" s="59"/>
      <c r="T368" s="59"/>
      <c r="U368" s="59"/>
      <c r="V368" s="59"/>
      <c r="W368" s="71"/>
      <c r="X368" s="664" t="s">
        <v>411</v>
      </c>
      <c r="Y368" s="500"/>
      <c r="Z368" s="457"/>
      <c r="AA368" s="457"/>
      <c r="AB368" s="985"/>
      <c r="AC368" s="551" t="str">
        <f t="shared" si="57"/>
        <v/>
      </c>
      <c r="AD368" s="1062">
        <f>O287</f>
        <v>0</v>
      </c>
      <c r="AE368" s="576" t="s">
        <v>910</v>
      </c>
    </row>
    <row r="369" spans="1:31" ht="11.25" customHeight="1">
      <c r="A369" s="611">
        <v>39</v>
      </c>
      <c r="B369" s="127"/>
      <c r="C369" s="613" t="str">
        <f>IF(LEN(O357)&lt;=265,"",RIGHT(O357,LEN(O357)-SEARCH(" ",O357,255)))</f>
        <v/>
      </c>
      <c r="D369" s="377"/>
      <c r="E369" s="377"/>
      <c r="F369" s="377"/>
      <c r="G369" s="377"/>
      <c r="H369" s="377"/>
      <c r="I369" s="377"/>
      <c r="J369" s="377"/>
      <c r="K369" s="71"/>
      <c r="L369" s="676" t="s">
        <v>411</v>
      </c>
      <c r="M369" s="127"/>
      <c r="N369" s="54" t="s">
        <v>82</v>
      </c>
      <c r="O369" s="1084"/>
      <c r="P369" s="440"/>
      <c r="Q369" s="678" t="str">
        <f>IF(OR(AB422=0,AB422=""),"",AB422)</f>
        <v/>
      </c>
      <c r="R369" s="48"/>
      <c r="S369" s="59"/>
      <c r="T369" s="59"/>
      <c r="U369" s="59"/>
      <c r="V369" s="59"/>
      <c r="W369" s="71"/>
      <c r="X369" s="664" t="s">
        <v>411</v>
      </c>
      <c r="Y369" s="500"/>
      <c r="Z369" s="457"/>
      <c r="AA369" s="457"/>
      <c r="AB369" s="54"/>
      <c r="AC369" s="551" t="str">
        <f t="shared" si="57"/>
        <v/>
      </c>
      <c r="AD369" s="575"/>
      <c r="AE369" s="576"/>
    </row>
    <row r="370" spans="1:31" ht="11.25" customHeight="1">
      <c r="A370" s="611">
        <v>40</v>
      </c>
      <c r="B370" s="127"/>
      <c r="C370" s="613" t="str">
        <f>IF(O359="","",IF(LEN(O359)&lt;=135,O359,IF(LEN(O359)&lt;=260,LEFT(O359,SEARCH(" ",O359,125)),LEFT(O359,SEARCH(" ",O359,130)))))</f>
        <v/>
      </c>
      <c r="D370" s="377"/>
      <c r="E370" s="377"/>
      <c r="F370" s="377"/>
      <c r="G370" s="377"/>
      <c r="H370" s="377"/>
      <c r="I370" s="377"/>
      <c r="J370" s="377"/>
      <c r="K370" s="71"/>
      <c r="L370" s="676" t="s">
        <v>411</v>
      </c>
      <c r="M370" s="127"/>
      <c r="N370" s="609" t="s">
        <v>282</v>
      </c>
      <c r="O370" s="1085"/>
      <c r="P370" s="610">
        <f>LEN(O369)</f>
        <v>0</v>
      </c>
      <c r="Q370" s="679"/>
      <c r="R370" s="682">
        <f>LEN(Q369)</f>
        <v>0</v>
      </c>
      <c r="S370" s="48"/>
      <c r="T370" s="48"/>
      <c r="U370" s="48"/>
      <c r="V370" s="48"/>
      <c r="W370" s="71"/>
      <c r="X370" s="664" t="s">
        <v>411</v>
      </c>
      <c r="Y370" s="500"/>
      <c r="Z370" s="457"/>
      <c r="AA370" s="457"/>
      <c r="AB370" s="985"/>
      <c r="AC370" s="551" t="str">
        <f t="shared" si="57"/>
        <v/>
      </c>
      <c r="AD370" s="1062">
        <f>O289</f>
        <v>0</v>
      </c>
      <c r="AE370" s="576" t="s">
        <v>911</v>
      </c>
    </row>
    <row r="371" spans="1:31" ht="11.25" customHeight="1">
      <c r="A371" s="611">
        <v>41</v>
      </c>
      <c r="B371" s="127"/>
      <c r="C371" s="613" t="str">
        <f>IF(LEN(O359)&lt;=135,"",IF(LEN(O359)&lt;=260,RIGHT(O359,LEN(O359)-SEARCH(" ",O359,125)),MID(O359,SEARCH(" ",O359,130),IF(LEN(O359)&lt;=265,LEN(O359),SEARCH(" ",O359,255)-SEARCH(" ",O359,130)))))</f>
        <v/>
      </c>
      <c r="D371" s="377"/>
      <c r="E371" s="377"/>
      <c r="F371" s="377"/>
      <c r="G371" s="377"/>
      <c r="H371" s="377"/>
      <c r="I371" s="377"/>
      <c r="J371" s="377"/>
      <c r="K371" s="71"/>
      <c r="L371" s="676" t="s">
        <v>411</v>
      </c>
      <c r="M371" s="127"/>
      <c r="N371" s="54" t="s">
        <v>82</v>
      </c>
      <c r="O371" s="1084"/>
      <c r="P371" s="440"/>
      <c r="Q371" s="678" t="str">
        <f>IF(OR(AB424=0,AB424=""),"",AB424)</f>
        <v/>
      </c>
      <c r="R371" s="48"/>
      <c r="S371" s="59"/>
      <c r="T371" s="59"/>
      <c r="U371" s="59"/>
      <c r="V371" s="59"/>
      <c r="W371" s="71"/>
      <c r="X371" s="664" t="s">
        <v>411</v>
      </c>
      <c r="Y371" s="500"/>
      <c r="Z371" s="457"/>
      <c r="AA371" s="457"/>
      <c r="AB371" s="54"/>
      <c r="AC371" s="551" t="str">
        <f t="shared" si="57"/>
        <v/>
      </c>
      <c r="AD371" s="575"/>
      <c r="AE371" s="576"/>
    </row>
    <row r="372" spans="1:31" ht="11.25" customHeight="1">
      <c r="A372" s="611">
        <v>42</v>
      </c>
      <c r="B372" s="127"/>
      <c r="C372" s="613" t="str">
        <f>IF(LEN(O359)&lt;=265,"",RIGHT(O359,LEN(O359)-SEARCH(" ",O359,255)))</f>
        <v/>
      </c>
      <c r="D372" s="377"/>
      <c r="E372" s="377"/>
      <c r="F372" s="377"/>
      <c r="G372" s="377"/>
      <c r="H372" s="377"/>
      <c r="I372" s="377"/>
      <c r="J372" s="377"/>
      <c r="K372" s="71"/>
      <c r="L372" s="676" t="s">
        <v>411</v>
      </c>
      <c r="M372" s="127"/>
      <c r="N372" s="609" t="s">
        <v>282</v>
      </c>
      <c r="O372" s="1085"/>
      <c r="P372" s="610">
        <f>LEN(O371)</f>
        <v>0</v>
      </c>
      <c r="Q372" s="679"/>
      <c r="R372" s="682">
        <f>LEN(Q371)</f>
        <v>0</v>
      </c>
      <c r="S372" s="59"/>
      <c r="T372" s="59"/>
      <c r="U372" s="59"/>
      <c r="V372" s="59"/>
      <c r="W372" s="71"/>
      <c r="X372" s="664" t="s">
        <v>411</v>
      </c>
      <c r="Y372" s="500"/>
      <c r="Z372" s="457"/>
      <c r="AA372" s="457"/>
      <c r="AB372" s="985"/>
      <c r="AC372" s="551" t="str">
        <f t="shared" si="57"/>
        <v/>
      </c>
      <c r="AD372" s="1062">
        <f>O291</f>
        <v>0</v>
      </c>
      <c r="AE372" s="576" t="s">
        <v>912</v>
      </c>
    </row>
    <row r="373" spans="1:31" ht="11.25" customHeight="1">
      <c r="A373" s="611">
        <v>43</v>
      </c>
      <c r="B373" s="127"/>
      <c r="C373" s="613" t="str">
        <f>IF(O361="","",IF(LEN(O361)&lt;=135,O361,IF(LEN(O361)&lt;=260,LEFT(O361,SEARCH(" ",O361,125)),LEFT(O361,SEARCH(" ",O361,130)))))</f>
        <v/>
      </c>
      <c r="D373" s="377"/>
      <c r="E373" s="377"/>
      <c r="F373" s="377"/>
      <c r="G373" s="377"/>
      <c r="H373" s="377"/>
      <c r="I373" s="377"/>
      <c r="J373" s="377"/>
      <c r="K373" s="71"/>
      <c r="L373" s="676" t="s">
        <v>411</v>
      </c>
      <c r="M373" s="127"/>
      <c r="N373" s="54" t="s">
        <v>82</v>
      </c>
      <c r="O373" s="1084"/>
      <c r="P373" s="440"/>
      <c r="Q373" s="678" t="str">
        <f>IF(OR(AB426=0,AB426=""),"",AB426)</f>
        <v/>
      </c>
      <c r="R373" s="48"/>
      <c r="S373" s="48"/>
      <c r="T373" s="48"/>
      <c r="U373" s="48"/>
      <c r="V373" s="48"/>
      <c r="W373" s="71"/>
      <c r="X373" s="664" t="s">
        <v>411</v>
      </c>
      <c r="Y373" s="500"/>
      <c r="Z373" s="457"/>
      <c r="AA373" s="457"/>
      <c r="AB373" s="54"/>
      <c r="AC373" s="551" t="str">
        <f t="shared" si="57"/>
        <v/>
      </c>
      <c r="AD373" s="575"/>
      <c r="AE373" s="576"/>
    </row>
    <row r="374" spans="1:31" ht="11.25" customHeight="1">
      <c r="A374" s="611">
        <v>44</v>
      </c>
      <c r="B374" s="127"/>
      <c r="C374" s="613" t="str">
        <f>IF(LEN(O361)&lt;=135,"",IF(LEN(O361)&lt;=260,RIGHT(O361,LEN(O361)-SEARCH(" ",O361,125)),MID(O361,SEARCH(" ",O361,130),IF(LEN(O361)&lt;=265,LEN(O361),SEARCH(" ",O361,255)-SEARCH(" ",O361,130)))))</f>
        <v/>
      </c>
      <c r="D374" s="377"/>
      <c r="E374" s="377"/>
      <c r="F374" s="377"/>
      <c r="G374" s="377"/>
      <c r="H374" s="377"/>
      <c r="I374" s="377"/>
      <c r="J374" s="377"/>
      <c r="K374" s="71"/>
      <c r="L374" s="676" t="s">
        <v>411</v>
      </c>
      <c r="M374" s="127"/>
      <c r="N374" s="609" t="s">
        <v>282</v>
      </c>
      <c r="O374" s="610"/>
      <c r="P374" s="610">
        <f>LEN(O373)</f>
        <v>0</v>
      </c>
      <c r="Q374" s="679"/>
      <c r="R374" s="682">
        <f>LEN(Q373)</f>
        <v>0</v>
      </c>
      <c r="S374" s="59"/>
      <c r="T374" s="59"/>
      <c r="U374" s="59"/>
      <c r="V374" s="59"/>
      <c r="W374" s="71"/>
      <c r="X374" s="664" t="s">
        <v>411</v>
      </c>
      <c r="Y374" s="500"/>
      <c r="Z374" s="457"/>
      <c r="AA374" s="457"/>
      <c r="AB374" s="985"/>
      <c r="AC374" s="551" t="str">
        <f t="shared" si="57"/>
        <v/>
      </c>
      <c r="AD374" s="1062">
        <f>O293</f>
        <v>0</v>
      </c>
      <c r="AE374" s="576" t="s">
        <v>913</v>
      </c>
    </row>
    <row r="375" spans="1:31" ht="11.25" customHeight="1">
      <c r="A375" s="611">
        <v>45</v>
      </c>
      <c r="B375" s="127"/>
      <c r="C375" s="613" t="str">
        <f>IF(LEN(O361)&lt;=265,"",RIGHT(O361,LEN(O361)-SEARCH(" ",O361,255)))</f>
        <v/>
      </c>
      <c r="D375" s="377"/>
      <c r="E375" s="377"/>
      <c r="F375" s="377"/>
      <c r="G375" s="377"/>
      <c r="H375" s="377"/>
      <c r="I375" s="377"/>
      <c r="J375" s="377"/>
      <c r="K375" s="71"/>
      <c r="L375" s="676" t="s">
        <v>411</v>
      </c>
      <c r="M375" s="127"/>
      <c r="N375" s="509"/>
      <c r="O375" s="509"/>
      <c r="P375" s="509"/>
      <c r="Q375" s="506"/>
      <c r="R375" s="506"/>
      <c r="S375" s="506"/>
      <c r="T375" s="506"/>
      <c r="U375" s="506"/>
      <c r="V375" s="506"/>
      <c r="W375" s="71"/>
      <c r="X375" s="664" t="s">
        <v>411</v>
      </c>
      <c r="Y375" s="457"/>
      <c r="Z375" s="457"/>
      <c r="AA375" s="457"/>
      <c r="AB375" s="54"/>
      <c r="AC375" s="551" t="str">
        <f t="shared" si="57"/>
        <v/>
      </c>
      <c r="AD375" s="575"/>
      <c r="AE375" s="576"/>
    </row>
    <row r="376" spans="1:31" ht="11.25" customHeight="1">
      <c r="A376" s="611">
        <v>46</v>
      </c>
      <c r="B376" s="127"/>
      <c r="C376" s="613" t="str">
        <f>IF(O363="","",IF(LEN(O363)&lt;=135,O363,IF(LEN(O363)&lt;=260,LEFT(O363,SEARCH(" ",O363,125)),LEFT(O363,SEARCH(" ",O363,130)))))</f>
        <v/>
      </c>
      <c r="D376" s="377"/>
      <c r="E376" s="377"/>
      <c r="F376" s="377"/>
      <c r="G376" s="377"/>
      <c r="H376" s="377"/>
      <c r="I376" s="377"/>
      <c r="J376" s="377"/>
      <c r="K376" s="71"/>
      <c r="L376" s="676" t="s">
        <v>411</v>
      </c>
      <c r="M376" s="127"/>
      <c r="N376" s="504"/>
      <c r="O376" s="504"/>
      <c r="P376" s="504"/>
      <c r="Q376" s="505"/>
      <c r="R376" s="505"/>
      <c r="S376" s="505"/>
      <c r="T376" s="505"/>
      <c r="U376" s="505"/>
      <c r="V376" s="505"/>
      <c r="W376" s="71"/>
      <c r="X376" s="664" t="s">
        <v>411</v>
      </c>
      <c r="Y376" s="457"/>
      <c r="Z376" s="457"/>
      <c r="AA376" s="457"/>
      <c r="AB376" s="985"/>
      <c r="AC376" s="551" t="str">
        <f t="shared" si="57"/>
        <v/>
      </c>
      <c r="AD376" s="1062">
        <f>O295</f>
        <v>0</v>
      </c>
      <c r="AE376" s="576" t="s">
        <v>914</v>
      </c>
    </row>
    <row r="377" spans="1:31" ht="11.25" customHeight="1">
      <c r="A377" s="611">
        <v>47</v>
      </c>
      <c r="B377" s="127"/>
      <c r="C377" s="613" t="str">
        <f>IF(LEN(O363)&lt;=135,"",IF(LEN(O363)&lt;=260,RIGHT(O363,LEN(O363)-SEARCH(" ",O363,125)),MID(O363,SEARCH(" ",O363,130),IF(LEN(O363)&lt;=265,LEN(O363),SEARCH(" ",O363,255)-SEARCH(" ",O363,130)))))</f>
        <v/>
      </c>
      <c r="D377" s="377"/>
      <c r="E377" s="377"/>
      <c r="F377" s="377"/>
      <c r="G377" s="377"/>
      <c r="H377" s="377"/>
      <c r="I377" s="377"/>
      <c r="J377" s="377"/>
      <c r="K377" s="71"/>
      <c r="L377" s="676" t="s">
        <v>411</v>
      </c>
      <c r="M377" s="127"/>
      <c r="N377" s="504"/>
      <c r="O377" s="504"/>
      <c r="P377" s="504"/>
      <c r="Q377" s="505"/>
      <c r="R377" s="505"/>
      <c r="S377" s="505"/>
      <c r="T377" s="505"/>
      <c r="U377" s="505"/>
      <c r="V377" s="505"/>
      <c r="W377" s="71"/>
      <c r="X377" s="664" t="s">
        <v>411</v>
      </c>
      <c r="Y377" s="457"/>
      <c r="Z377" s="457"/>
      <c r="AA377" s="457"/>
      <c r="AB377" s="54"/>
      <c r="AC377" s="551" t="str">
        <f t="shared" si="57"/>
        <v/>
      </c>
      <c r="AD377" s="575"/>
      <c r="AE377" s="576"/>
    </row>
    <row r="378" spans="1:31" ht="11.25" customHeight="1">
      <c r="A378" s="611">
        <v>48</v>
      </c>
      <c r="B378" s="127"/>
      <c r="C378" s="613" t="str">
        <f>IF(LEN(O363)&lt;=265,"",RIGHT(O363,LEN(O363)-SEARCH(" ",O363,255)))</f>
        <v/>
      </c>
      <c r="D378" s="377"/>
      <c r="E378" s="377"/>
      <c r="F378" s="377"/>
      <c r="G378" s="377"/>
      <c r="H378" s="377"/>
      <c r="I378" s="377"/>
      <c r="J378" s="377"/>
      <c r="K378" s="71"/>
      <c r="L378" s="676" t="s">
        <v>411</v>
      </c>
      <c r="M378" s="127"/>
      <c r="N378" s="504"/>
      <c r="O378" s="504"/>
      <c r="P378" s="504"/>
      <c r="Q378" s="505"/>
      <c r="R378" s="505"/>
      <c r="S378" s="505"/>
      <c r="T378" s="505"/>
      <c r="U378" s="505"/>
      <c r="V378" s="505"/>
      <c r="W378" s="71"/>
      <c r="X378" s="664" t="s">
        <v>411</v>
      </c>
      <c r="Y378" s="457"/>
      <c r="Z378" s="457"/>
      <c r="AA378" s="457"/>
      <c r="AB378" s="985"/>
      <c r="AC378" s="551" t="str">
        <f t="shared" si="57"/>
        <v/>
      </c>
      <c r="AD378" s="1062">
        <f>O297</f>
        <v>0</v>
      </c>
      <c r="AE378" s="576" t="s">
        <v>915</v>
      </c>
    </row>
    <row r="379" spans="1:31" ht="11.25" customHeight="1">
      <c r="A379" s="611">
        <v>49</v>
      </c>
      <c r="B379" s="127"/>
      <c r="C379" s="613" t="str">
        <f>IF(O365="","",IF(LEN(O365)&lt;=135,O365,IF(LEN(O365)&lt;=260,LEFT(O365,SEARCH(" ",O365,125)),LEFT(O365,SEARCH(" ",O365,130)))))</f>
        <v/>
      </c>
      <c r="D379" s="377"/>
      <c r="E379" s="377"/>
      <c r="F379" s="377"/>
      <c r="G379" s="377"/>
      <c r="H379" s="377"/>
      <c r="I379" s="377"/>
      <c r="J379" s="377"/>
      <c r="K379" s="71"/>
      <c r="L379" s="676" t="s">
        <v>411</v>
      </c>
      <c r="M379" s="127"/>
      <c r="N379" s="504"/>
      <c r="O379" s="504"/>
      <c r="P379" s="504"/>
      <c r="Q379" s="376" t="s">
        <v>276</v>
      </c>
      <c r="R379" s="50"/>
      <c r="S379" s="50"/>
      <c r="T379" s="504"/>
      <c r="U379" s="505"/>
      <c r="V379" s="505"/>
      <c r="W379" s="71"/>
      <c r="X379" s="664" t="s">
        <v>411</v>
      </c>
      <c r="Y379" s="457"/>
      <c r="Z379" s="457"/>
      <c r="AA379" s="457"/>
      <c r="AB379" s="54"/>
      <c r="AC379" s="551" t="str">
        <f t="shared" si="57"/>
        <v/>
      </c>
      <c r="AD379" s="575"/>
      <c r="AE379" s="576"/>
    </row>
    <row r="380" spans="1:31" ht="11.25" customHeight="1">
      <c r="A380" s="611">
        <v>50</v>
      </c>
      <c r="B380" s="127"/>
      <c r="C380" s="613" t="str">
        <f>IF(LEN(O365)&lt;=135,"",IF(LEN(O365)&lt;=260,RIGHT(O365,LEN(O365)-SEARCH(" ",O365,125)),MID(O365,SEARCH(" ",O365,130),IF(LEN(O365)&lt;=265,LEN(O365),SEARCH(" ",O365,255)-SEARCH(" ",O365,130)))))</f>
        <v/>
      </c>
      <c r="D380" s="377"/>
      <c r="E380" s="377"/>
      <c r="F380" s="377"/>
      <c r="G380" s="377"/>
      <c r="H380" s="377"/>
      <c r="I380" s="377"/>
      <c r="J380" s="377"/>
      <c r="K380" s="71"/>
      <c r="L380" s="676" t="s">
        <v>411</v>
      </c>
      <c r="M380" s="127"/>
      <c r="N380" s="504"/>
      <c r="O380" s="504"/>
      <c r="P380" s="504"/>
      <c r="Q380" s="505"/>
      <c r="R380" s="504"/>
      <c r="S380" s="505"/>
      <c r="T380" s="504"/>
      <c r="U380" s="505"/>
      <c r="V380" s="505"/>
      <c r="W380" s="71"/>
      <c r="X380" s="664" t="s">
        <v>411</v>
      </c>
      <c r="Y380" s="457"/>
      <c r="Z380" s="457"/>
      <c r="AA380" s="457"/>
      <c r="AB380" s="985"/>
      <c r="AC380" s="551" t="str">
        <f t="shared" si="57"/>
        <v/>
      </c>
      <c r="AD380" s="1062">
        <f>O299</f>
        <v>0</v>
      </c>
      <c r="AE380" s="576" t="s">
        <v>916</v>
      </c>
    </row>
    <row r="381" spans="1:31" ht="11.25" customHeight="1">
      <c r="A381" s="611">
        <v>51</v>
      </c>
      <c r="B381" s="127"/>
      <c r="C381" s="613" t="str">
        <f>IF(LEN(O365)&lt;=265,"",RIGHT(O365,LEN(O365)-SEARCH(" ",O365,255)))</f>
        <v/>
      </c>
      <c r="D381" s="377"/>
      <c r="E381" s="377"/>
      <c r="F381" s="377"/>
      <c r="G381" s="377"/>
      <c r="H381" s="377"/>
      <c r="I381" s="377"/>
      <c r="J381" s="377"/>
      <c r="K381" s="71"/>
      <c r="L381" s="676" t="s">
        <v>411</v>
      </c>
      <c r="M381" s="127"/>
      <c r="N381" s="504"/>
      <c r="O381" s="504"/>
      <c r="P381" s="504"/>
      <c r="Q381" s="505"/>
      <c r="R381" s="504"/>
      <c r="S381" s="505"/>
      <c r="T381" s="504"/>
      <c r="U381" s="505"/>
      <c r="V381" s="505"/>
      <c r="W381" s="71"/>
      <c r="X381" s="664" t="s">
        <v>411</v>
      </c>
      <c r="Y381" s="457"/>
      <c r="Z381" s="457"/>
      <c r="AA381" s="457"/>
      <c r="AB381" s="54"/>
      <c r="AC381" s="551" t="str">
        <f t="shared" si="57"/>
        <v/>
      </c>
      <c r="AD381" s="575"/>
      <c r="AE381" s="576"/>
    </row>
    <row r="382" spans="1:31" ht="11.25" customHeight="1">
      <c r="A382" s="611">
        <v>52</v>
      </c>
      <c r="B382" s="127"/>
      <c r="C382" s="613" t="str">
        <f>IF(O367="","",IF(LEN(O367)&lt;=135,O367,IF(LEN(O367)&lt;=260,LEFT(O367,SEARCH(" ",O367,125)),LEFT(O367,SEARCH(" ",O367,130)))))</f>
        <v/>
      </c>
      <c r="D382" s="377"/>
      <c r="E382" s="377"/>
      <c r="F382" s="377"/>
      <c r="G382" s="377"/>
      <c r="H382" s="377"/>
      <c r="I382" s="377"/>
      <c r="J382" s="377"/>
      <c r="K382" s="71"/>
      <c r="L382" s="676" t="s">
        <v>411</v>
      </c>
      <c r="M382" s="127"/>
      <c r="N382" s="504"/>
      <c r="O382" s="504"/>
      <c r="P382" s="504"/>
      <c r="Q382" s="505"/>
      <c r="R382" s="504"/>
      <c r="S382" s="505"/>
      <c r="T382" s="504"/>
      <c r="U382" s="505"/>
      <c r="V382" s="505"/>
      <c r="W382" s="71"/>
      <c r="X382" s="664" t="s">
        <v>411</v>
      </c>
      <c r="Y382" s="457"/>
      <c r="Z382" s="457"/>
      <c r="AA382" s="457"/>
      <c r="AB382" s="985"/>
      <c r="AC382" s="551" t="str">
        <f t="shared" si="57"/>
        <v/>
      </c>
      <c r="AD382" s="1062">
        <f>O301</f>
        <v>0</v>
      </c>
      <c r="AE382" s="576" t="s">
        <v>917</v>
      </c>
    </row>
    <row r="383" spans="1:31" ht="11.25" customHeight="1">
      <c r="A383" s="611">
        <v>53</v>
      </c>
      <c r="B383" s="127"/>
      <c r="C383" s="613" t="str">
        <f>IF(LEN(O367)&lt;=135,"",IF(LEN(O367)&lt;=260,RIGHT(O367,LEN(O367)-SEARCH(" ",O367,125)),MID(O367,SEARCH(" ",O367,130),IF(LEN(O367)&lt;=265,LEN(O367),SEARCH(" ",O367,255)-SEARCH(" ",O367,130)))))</f>
        <v/>
      </c>
      <c r="D383" s="377"/>
      <c r="E383" s="377"/>
      <c r="F383" s="377"/>
      <c r="G383" s="377"/>
      <c r="H383" s="377"/>
      <c r="I383" s="377"/>
      <c r="J383" s="377"/>
      <c r="K383" s="71"/>
      <c r="L383" s="676" t="s">
        <v>411</v>
      </c>
      <c r="M383" s="127"/>
      <c r="N383" s="504"/>
      <c r="O383" s="504"/>
      <c r="P383" s="504"/>
      <c r="Q383" s="505"/>
      <c r="R383" s="504"/>
      <c r="S383" s="505"/>
      <c r="T383" s="504"/>
      <c r="U383" s="505"/>
      <c r="V383" s="505"/>
      <c r="W383" s="71"/>
      <c r="X383" s="664" t="s">
        <v>411</v>
      </c>
      <c r="Y383" s="457"/>
      <c r="Z383" s="457"/>
      <c r="AA383" s="457"/>
      <c r="AB383" s="54"/>
      <c r="AC383" s="551" t="str">
        <f t="shared" si="57"/>
        <v/>
      </c>
      <c r="AD383" s="575"/>
      <c r="AE383" s="576"/>
    </row>
    <row r="384" spans="1:31" ht="11.25" customHeight="1">
      <c r="A384" s="611">
        <v>54</v>
      </c>
      <c r="B384" s="127"/>
      <c r="C384" s="613" t="str">
        <f>IF(LEN(O367)&lt;=265,"",RIGHT(O367,LEN(O367)-SEARCH(" ",O367,255)))</f>
        <v/>
      </c>
      <c r="D384" s="377"/>
      <c r="E384" s="377"/>
      <c r="F384" s="377"/>
      <c r="G384" s="377"/>
      <c r="H384" s="377"/>
      <c r="I384" s="377"/>
      <c r="J384" s="377"/>
      <c r="K384" s="71"/>
      <c r="L384" s="676" t="s">
        <v>411</v>
      </c>
      <c r="M384" s="127"/>
      <c r="N384" s="504"/>
      <c r="O384" s="504"/>
      <c r="P384" s="504"/>
      <c r="Q384" s="505"/>
      <c r="R384" s="504"/>
      <c r="S384" s="505"/>
      <c r="T384" s="504"/>
      <c r="U384" s="505"/>
      <c r="V384" s="505"/>
      <c r="W384" s="71"/>
      <c r="X384" s="664" t="s">
        <v>411</v>
      </c>
      <c r="Y384" s="457"/>
      <c r="Z384" s="457"/>
      <c r="AA384" s="457"/>
      <c r="AB384" s="985"/>
      <c r="AC384" s="551" t="str">
        <f t="shared" si="57"/>
        <v/>
      </c>
      <c r="AD384" s="1062">
        <f>O303</f>
        <v>0</v>
      </c>
      <c r="AE384" s="576" t="s">
        <v>918</v>
      </c>
    </row>
    <row r="385" spans="1:31" ht="11.25" customHeight="1">
      <c r="A385" s="611">
        <v>55</v>
      </c>
      <c r="B385" s="127"/>
      <c r="C385" s="613" t="str">
        <f>IF(O369="","",IF(LEN(O369)&lt;=135,O369,IF(LEN(O369)&lt;=260,LEFT(O369,SEARCH(" ",O369,125)),LEFT(O369,SEARCH(" ",O369,130)))))</f>
        <v/>
      </c>
      <c r="D385" s="377"/>
      <c r="E385" s="377"/>
      <c r="F385" s="377"/>
      <c r="G385" s="377"/>
      <c r="H385" s="377"/>
      <c r="I385" s="377"/>
      <c r="J385" s="377"/>
      <c r="K385" s="71"/>
      <c r="L385" s="676" t="s">
        <v>411</v>
      </c>
      <c r="M385" s="127"/>
      <c r="N385" s="504"/>
      <c r="O385" s="504"/>
      <c r="P385" s="504"/>
      <c r="Q385" s="505"/>
      <c r="R385" s="504"/>
      <c r="S385" s="505"/>
      <c r="T385" s="504"/>
      <c r="U385" s="505"/>
      <c r="V385" s="505"/>
      <c r="W385" s="71"/>
      <c r="X385" s="664" t="s">
        <v>411</v>
      </c>
      <c r="Y385" s="457"/>
      <c r="Z385" s="457"/>
      <c r="AB385" s="54"/>
      <c r="AC385" s="551" t="str">
        <f t="shared" si="57"/>
        <v/>
      </c>
      <c r="AD385" s="575"/>
      <c r="AE385" s="576"/>
    </row>
    <row r="386" spans="1:31" ht="11.25" customHeight="1">
      <c r="A386" s="611">
        <v>56</v>
      </c>
      <c r="B386" s="127"/>
      <c r="C386" s="613" t="str">
        <f>IF(LEN(O369)&lt;=135,"",IF(LEN(O369)&lt;=260,RIGHT(O369,LEN(O369)-SEARCH(" ",O369,125)),MID(O369,SEARCH(" ",O369,130),IF(LEN(O369)&lt;=265,LEN(O369),SEARCH(" ",O369,255)-SEARCH(" ",O369,130)))))</f>
        <v/>
      </c>
      <c r="D386" s="377"/>
      <c r="E386" s="377"/>
      <c r="F386" s="377"/>
      <c r="G386" s="377"/>
      <c r="H386" s="377"/>
      <c r="I386" s="377"/>
      <c r="J386" s="377"/>
      <c r="K386" s="71"/>
      <c r="L386" s="676" t="s">
        <v>411</v>
      </c>
      <c r="M386" s="127"/>
      <c r="N386" s="504"/>
      <c r="O386" s="504"/>
      <c r="P386" s="504"/>
      <c r="Q386" s="505"/>
      <c r="R386" s="504"/>
      <c r="S386" s="505"/>
      <c r="T386" s="504"/>
      <c r="U386" s="505"/>
      <c r="V386" s="505"/>
      <c r="W386" s="71"/>
      <c r="X386" s="664" t="s">
        <v>411</v>
      </c>
      <c r="Y386" s="457"/>
      <c r="Z386" s="457"/>
      <c r="AB386" s="985"/>
      <c r="AC386" s="551" t="str">
        <f t="shared" si="57"/>
        <v/>
      </c>
      <c r="AD386" s="1062">
        <f>O305</f>
        <v>0</v>
      </c>
      <c r="AE386" s="576" t="s">
        <v>919</v>
      </c>
    </row>
    <row r="387" spans="1:31" ht="11.25" customHeight="1">
      <c r="A387" s="611">
        <v>57</v>
      </c>
      <c r="B387" s="127"/>
      <c r="C387" s="613" t="str">
        <f>IF(LEN(O369)&lt;=265,"",RIGHT(O369,LEN(O369)-SEARCH(" ",O369,255)))</f>
        <v/>
      </c>
      <c r="D387" s="377"/>
      <c r="E387" s="377"/>
      <c r="F387" s="377"/>
      <c r="G387" s="377"/>
      <c r="H387" s="377"/>
      <c r="I387" s="377"/>
      <c r="J387" s="377"/>
      <c r="K387" s="71"/>
      <c r="L387" s="676" t="s">
        <v>411</v>
      </c>
      <c r="M387" s="127"/>
      <c r="N387" s="504"/>
      <c r="O387" s="504"/>
      <c r="P387" s="504"/>
      <c r="Q387" s="505"/>
      <c r="R387" s="504"/>
      <c r="S387" s="505"/>
      <c r="T387" s="504"/>
      <c r="U387" s="505"/>
      <c r="V387" s="505"/>
      <c r="W387" s="71"/>
      <c r="X387" s="664" t="s">
        <v>411</v>
      </c>
      <c r="Y387" s="457"/>
      <c r="Z387" s="457"/>
      <c r="AB387" s="54"/>
      <c r="AC387" s="551" t="str">
        <f t="shared" si="57"/>
        <v/>
      </c>
      <c r="AD387" s="575"/>
      <c r="AE387" s="576"/>
    </row>
    <row r="388" spans="1:31" ht="11.25" customHeight="1">
      <c r="A388" s="611">
        <v>58</v>
      </c>
      <c r="B388" s="127"/>
      <c r="C388" s="613" t="str">
        <f>IF(O371="","",IF(LEN(O371)&lt;=135,O371,IF(LEN(O371)&lt;=260,LEFT(O371,SEARCH(" ",O371,125)),LEFT(O371,SEARCH(" ",O371,130)))))</f>
        <v/>
      </c>
      <c r="D388" s="377"/>
      <c r="E388" s="377"/>
      <c r="F388" s="377"/>
      <c r="G388" s="377"/>
      <c r="H388" s="377"/>
      <c r="I388" s="377"/>
      <c r="J388" s="377"/>
      <c r="K388" s="71"/>
      <c r="L388" s="676" t="s">
        <v>411</v>
      </c>
      <c r="M388" s="127"/>
      <c r="N388" s="504"/>
      <c r="O388" s="504"/>
      <c r="P388" s="504"/>
      <c r="Q388" s="505"/>
      <c r="R388" s="504"/>
      <c r="S388" s="505"/>
      <c r="T388" s="504"/>
      <c r="U388" s="505"/>
      <c r="V388" s="505"/>
      <c r="W388" s="71"/>
      <c r="X388" s="664" t="s">
        <v>411</v>
      </c>
      <c r="Y388" s="457"/>
      <c r="Z388" s="457"/>
      <c r="AB388" s="985"/>
      <c r="AC388" s="551" t="str">
        <f t="shared" si="57"/>
        <v/>
      </c>
      <c r="AD388" s="1062">
        <f>O307</f>
        <v>0</v>
      </c>
      <c r="AE388" s="576" t="s">
        <v>920</v>
      </c>
    </row>
    <row r="389" spans="1:31" ht="11.25" customHeight="1">
      <c r="A389" s="611">
        <v>59</v>
      </c>
      <c r="B389" s="127"/>
      <c r="C389" s="613" t="str">
        <f>IF(LEN(O371)&lt;=135,"",IF(LEN(O371)&lt;=260,RIGHT(O371,LEN(O371)-SEARCH(" ",O371,125)),MID(O371,SEARCH(" ",O371,130),IF(LEN(O371)&lt;=265,LEN(O371),SEARCH(" ",O371,255)-SEARCH(" ",O371,130)))))</f>
        <v/>
      </c>
      <c r="D389" s="377"/>
      <c r="E389" s="377"/>
      <c r="F389" s="377"/>
      <c r="G389" s="377"/>
      <c r="H389" s="377"/>
      <c r="I389" s="377"/>
      <c r="J389" s="377"/>
      <c r="K389" s="71"/>
      <c r="L389" s="676" t="s">
        <v>411</v>
      </c>
      <c r="M389" s="127"/>
      <c r="N389" s="504"/>
      <c r="O389" s="504"/>
      <c r="P389" s="504"/>
      <c r="Q389" s="505"/>
      <c r="R389" s="504"/>
      <c r="S389" s="505"/>
      <c r="T389" s="504"/>
      <c r="U389" s="505"/>
      <c r="V389" s="505"/>
      <c r="W389" s="71"/>
      <c r="X389" s="664" t="s">
        <v>411</v>
      </c>
      <c r="Y389" s="457"/>
      <c r="Z389" s="457"/>
      <c r="AB389" s="54"/>
      <c r="AC389" s="551" t="str">
        <f t="shared" si="57"/>
        <v/>
      </c>
      <c r="AD389" s="1063"/>
      <c r="AE389" s="573"/>
    </row>
    <row r="390" spans="1:31" ht="11.25" customHeight="1">
      <c r="A390" s="611">
        <v>60</v>
      </c>
      <c r="B390" s="127"/>
      <c r="C390" s="613" t="str">
        <f>IF(LEN(O371)&lt;=265,"",RIGHT(O371,LEN(O371)-SEARCH(" ",O371,255)))</f>
        <v/>
      </c>
      <c r="D390" s="377"/>
      <c r="E390" s="377"/>
      <c r="F390" s="377"/>
      <c r="G390" s="377"/>
      <c r="H390" s="377"/>
      <c r="I390" s="377"/>
      <c r="J390" s="377"/>
      <c r="K390" s="71"/>
      <c r="L390" s="676" t="s">
        <v>411</v>
      </c>
      <c r="M390" s="127"/>
      <c r="N390" s="504"/>
      <c r="O390" s="504"/>
      <c r="P390" s="504"/>
      <c r="Q390" s="505"/>
      <c r="R390" s="504"/>
      <c r="S390" s="505"/>
      <c r="T390" s="504"/>
      <c r="U390" s="505"/>
      <c r="V390" s="505"/>
      <c r="W390" s="71"/>
      <c r="X390" s="664" t="s">
        <v>411</v>
      </c>
      <c r="Y390" s="457"/>
      <c r="Z390" s="457"/>
      <c r="AA390" s="132" t="s">
        <v>638</v>
      </c>
      <c r="AB390" s="985"/>
      <c r="AC390" s="551" t="str">
        <f t="shared" si="57"/>
        <v/>
      </c>
      <c r="AD390" s="1062">
        <f>O337</f>
        <v>0</v>
      </c>
      <c r="AE390" s="576" t="s">
        <v>921</v>
      </c>
    </row>
    <row r="391" spans="1:31" ht="11.25" customHeight="1">
      <c r="A391" s="611">
        <v>61</v>
      </c>
      <c r="B391" s="127"/>
      <c r="C391" s="613" t="str">
        <f>IF(O373="","",IF(LEN(O373)&lt;=135,O373,IF(LEN(O373)&lt;=260,LEFT(O373,SEARCH(" ",O373,125)),LEFT(O373,SEARCH(" ",O373,130)))))</f>
        <v/>
      </c>
      <c r="D391" s="377"/>
      <c r="E391" s="377"/>
      <c r="F391" s="377"/>
      <c r="G391" s="377"/>
      <c r="H391" s="377"/>
      <c r="I391" s="377"/>
      <c r="J391" s="377"/>
      <c r="K391" s="71"/>
      <c r="L391" s="676" t="s">
        <v>411</v>
      </c>
      <c r="M391" s="127"/>
      <c r="N391" s="504"/>
      <c r="O391" s="504"/>
      <c r="P391" s="504"/>
      <c r="Q391" s="505"/>
      <c r="R391" s="504"/>
      <c r="S391" s="505"/>
      <c r="T391" s="504"/>
      <c r="U391" s="505"/>
      <c r="V391" s="505"/>
      <c r="W391" s="71"/>
      <c r="X391" s="664" t="s">
        <v>411</v>
      </c>
      <c r="Y391" s="457"/>
      <c r="Z391" s="457"/>
      <c r="AA391" s="457"/>
      <c r="AB391" s="54"/>
      <c r="AC391" s="551" t="str">
        <f t="shared" si="57"/>
        <v/>
      </c>
      <c r="AD391" s="575"/>
      <c r="AE391" s="576"/>
    </row>
    <row r="392" spans="1:31" ht="11.25" customHeight="1">
      <c r="A392" s="611">
        <v>62</v>
      </c>
      <c r="B392" s="127"/>
      <c r="C392" s="613" t="str">
        <f>IF(LEN(O373)&lt;=135,"",IF(LEN(O373)&lt;=260,RIGHT(O373,LEN(O373)-SEARCH(" ",O373,125)),MID(O373,SEARCH(" ",O373,130),IF(LEN(O373)&lt;=265,LEN(O373),SEARCH(" ",O373,255)-SEARCH(" ",O373,130)))))</f>
        <v/>
      </c>
      <c r="D392" s="377"/>
      <c r="E392" s="377"/>
      <c r="F392" s="377"/>
      <c r="G392" s="377"/>
      <c r="H392" s="377"/>
      <c r="I392" s="377"/>
      <c r="J392" s="377"/>
      <c r="K392" s="71"/>
      <c r="L392" s="676" t="s">
        <v>411</v>
      </c>
      <c r="M392" s="127"/>
      <c r="N392" s="504"/>
      <c r="O392" s="504"/>
      <c r="P392" s="504"/>
      <c r="Q392" s="505"/>
      <c r="R392" s="504"/>
      <c r="S392" s="505"/>
      <c r="T392" s="504"/>
      <c r="U392" s="505"/>
      <c r="V392" s="505"/>
      <c r="W392" s="71"/>
      <c r="X392" s="664" t="s">
        <v>411</v>
      </c>
      <c r="Y392" s="457"/>
      <c r="Z392" s="457"/>
      <c r="AA392" s="457"/>
      <c r="AB392" s="985"/>
      <c r="AC392" s="551" t="str">
        <f t="shared" si="57"/>
        <v/>
      </c>
      <c r="AD392" s="1062">
        <f>O339</f>
        <v>0</v>
      </c>
      <c r="AE392" s="576" t="s">
        <v>922</v>
      </c>
    </row>
    <row r="393" spans="1:31" ht="11.25" customHeight="1">
      <c r="A393" s="611">
        <v>63</v>
      </c>
      <c r="B393" s="127"/>
      <c r="C393" s="613" t="str">
        <f>IF(LEN(O373)&lt;=265,"",RIGHT(O373,LEN(O373)-SEARCH(" ",O373,255)))</f>
        <v/>
      </c>
      <c r="D393" s="377"/>
      <c r="E393" s="377"/>
      <c r="F393" s="377"/>
      <c r="G393" s="377"/>
      <c r="H393" s="377"/>
      <c r="I393" s="377"/>
      <c r="J393" s="377"/>
      <c r="K393" s="71"/>
      <c r="L393" s="676" t="s">
        <v>411</v>
      </c>
      <c r="M393" s="127"/>
      <c r="N393" s="508"/>
      <c r="O393" s="508"/>
      <c r="P393" s="508"/>
      <c r="Q393" s="507"/>
      <c r="R393" s="508"/>
      <c r="S393" s="507"/>
      <c r="T393" s="508"/>
      <c r="U393" s="507"/>
      <c r="V393" s="507"/>
      <c r="W393" s="71"/>
      <c r="X393" s="664" t="s">
        <v>411</v>
      </c>
      <c r="Y393" s="457"/>
      <c r="Z393" s="457"/>
      <c r="AA393" s="457"/>
      <c r="AB393" s="54"/>
      <c r="AC393" s="551" t="str">
        <f t="shared" si="57"/>
        <v/>
      </c>
      <c r="AD393" s="575"/>
      <c r="AE393" s="576"/>
    </row>
    <row r="394" spans="1:31" ht="11.25" customHeight="1" thickBot="1">
      <c r="A394" s="611">
        <v>64</v>
      </c>
      <c r="B394" s="98"/>
      <c r="C394" s="83"/>
      <c r="D394" s="83"/>
      <c r="E394" s="83"/>
      <c r="F394" s="83"/>
      <c r="G394" s="83"/>
      <c r="H394" s="83"/>
      <c r="I394" s="83"/>
      <c r="J394" s="83"/>
      <c r="K394" s="86"/>
      <c r="L394" s="676" t="s">
        <v>411</v>
      </c>
      <c r="M394" s="72"/>
      <c r="N394" s="73"/>
      <c r="O394" s="73"/>
      <c r="P394" s="441"/>
      <c r="Q394" s="73"/>
      <c r="R394" s="73"/>
      <c r="S394" s="73"/>
      <c r="T394" s="73"/>
      <c r="U394" s="73"/>
      <c r="V394" s="73"/>
      <c r="W394" s="74"/>
      <c r="X394" s="664" t="s">
        <v>411</v>
      </c>
      <c r="Y394" s="457"/>
      <c r="Z394" s="457"/>
      <c r="AA394" s="457"/>
      <c r="AB394" s="985"/>
      <c r="AC394" s="551" t="str">
        <f t="shared" si="57"/>
        <v/>
      </c>
      <c r="AD394" s="1062">
        <f>O341</f>
        <v>0</v>
      </c>
      <c r="AE394" s="576" t="s">
        <v>923</v>
      </c>
    </row>
    <row r="395" spans="1:31" ht="11.25" customHeight="1" thickTop="1">
      <c r="A395" s="611">
        <v>65</v>
      </c>
      <c r="B395" s="52" t="str">
        <f t="array" ref="B395:C396">$B$65:$C$66</f>
        <v>Date:</v>
      </c>
      <c r="C395" s="1133" t="str">
        <v/>
      </c>
      <c r="E395" s="51"/>
      <c r="F395" s="51"/>
      <c r="G395" s="51"/>
      <c r="H395" s="51"/>
      <c r="I395" s="52" t="str">
        <f t="array" ref="I395:J396">$I$65:$J$66</f>
        <v>Inspector:</v>
      </c>
      <c r="J395" s="421" t="str">
        <v>Eugene Mah</v>
      </c>
      <c r="L395" s="676" t="s">
        <v>411</v>
      </c>
      <c r="X395" s="664" t="s">
        <v>411</v>
      </c>
      <c r="Y395" s="457"/>
      <c r="Z395" s="457"/>
      <c r="AA395" s="457"/>
      <c r="AB395" s="54"/>
      <c r="AC395" s="551" t="str">
        <f t="shared" si="57"/>
        <v/>
      </c>
      <c r="AD395" s="575"/>
      <c r="AE395" s="576"/>
    </row>
    <row r="396" spans="1:31" ht="11.25" customHeight="1" thickBot="1">
      <c r="A396" s="611">
        <v>66</v>
      </c>
      <c r="B396" s="52" t="str">
        <v>Room Number:</v>
      </c>
      <c r="C396" s="373" t="str">
        <v/>
      </c>
      <c r="E396" s="51"/>
      <c r="F396" s="51"/>
      <c r="G396" s="51"/>
      <c r="H396" s="51"/>
      <c r="I396" s="52" t="str">
        <v>Survey ID:</v>
      </c>
      <c r="J396" s="1045" t="str">
        <v/>
      </c>
      <c r="L396" s="676" t="s">
        <v>411</v>
      </c>
      <c r="X396" s="664" t="s">
        <v>411</v>
      </c>
      <c r="Y396" s="457"/>
      <c r="Z396" s="457"/>
      <c r="AA396" s="457"/>
      <c r="AB396" s="985"/>
      <c r="AC396" s="551" t="str">
        <f t="shared" si="57"/>
        <v/>
      </c>
      <c r="AD396" s="1062">
        <f>O343</f>
        <v>0</v>
      </c>
      <c r="AE396" s="576" t="s">
        <v>924</v>
      </c>
    </row>
    <row r="397" spans="1:31" ht="11.25" customHeight="1" thickTop="1">
      <c r="A397" s="611">
        <v>1</v>
      </c>
      <c r="B397" s="1"/>
      <c r="C397" s="1"/>
      <c r="D397" s="1"/>
      <c r="E397" s="1"/>
      <c r="F397" s="1"/>
      <c r="G397" s="1"/>
      <c r="H397" s="1"/>
      <c r="I397" s="1"/>
      <c r="J397" s="1"/>
      <c r="K397" s="131" t="str">
        <f>$F$2</f>
        <v>Medical University of South Carolina</v>
      </c>
      <c r="L397" s="676" t="s">
        <v>411</v>
      </c>
      <c r="M397" s="64"/>
      <c r="N397" s="62"/>
      <c r="O397" s="62"/>
      <c r="P397" s="62"/>
      <c r="Q397" s="62"/>
      <c r="R397" s="62"/>
      <c r="S397" s="62"/>
      <c r="T397" s="62"/>
      <c r="U397" s="62"/>
      <c r="V397" s="62"/>
      <c r="W397" s="876" t="str">
        <f>$F$2</f>
        <v>Medical University of South Carolina</v>
      </c>
      <c r="X397" s="664" t="s">
        <v>411</v>
      </c>
      <c r="Y397" s="457"/>
      <c r="Z397" s="457"/>
      <c r="AA397" s="457"/>
      <c r="AB397" s="54"/>
      <c r="AC397" s="551" t="str">
        <f t="shared" si="57"/>
        <v/>
      </c>
      <c r="AD397" s="575"/>
      <c r="AE397" s="576"/>
    </row>
    <row r="398" spans="1:31" ht="11.25" customHeight="1">
      <c r="A398" s="611">
        <v>2</v>
      </c>
      <c r="B398" s="1"/>
      <c r="C398" s="1"/>
      <c r="D398" s="1"/>
      <c r="E398" s="1"/>
      <c r="F398" s="107" t="s">
        <v>539</v>
      </c>
      <c r="G398" s="1"/>
      <c r="H398" s="1"/>
      <c r="I398" s="1"/>
      <c r="J398" s="1"/>
      <c r="K398" s="132" t="str">
        <f>$F$5</f>
        <v>Radiographic System Compliance Inspection</v>
      </c>
      <c r="L398" s="676" t="s">
        <v>411</v>
      </c>
      <c r="M398" s="127"/>
      <c r="N398" s="87"/>
      <c r="O398" s="87"/>
      <c r="P398" s="1"/>
      <c r="R398" s="82" t="str">
        <f>$F$464</f>
        <v>Measurement Data</v>
      </c>
      <c r="W398" s="877" t="str">
        <f>$F$5</f>
        <v>Radiographic System Compliance Inspection</v>
      </c>
      <c r="X398" s="664" t="s">
        <v>411</v>
      </c>
      <c r="Y398" s="457"/>
      <c r="Z398" s="457"/>
      <c r="AA398" s="457"/>
      <c r="AB398" s="985"/>
      <c r="AC398" s="551" t="str">
        <f t="shared" si="57"/>
        <v/>
      </c>
      <c r="AD398" s="1062">
        <f>O345</f>
        <v>0</v>
      </c>
      <c r="AE398" s="576" t="s">
        <v>925</v>
      </c>
    </row>
    <row r="399" spans="1:31" ht="11.25" customHeight="1" thickBot="1">
      <c r="A399" s="611">
        <v>3</v>
      </c>
      <c r="B399" s="1"/>
      <c r="C399" s="1"/>
      <c r="D399" s="1"/>
      <c r="E399" s="1"/>
      <c r="G399" s="1"/>
      <c r="H399" s="1"/>
      <c r="I399" s="1"/>
      <c r="J399" s="1"/>
      <c r="L399" s="676" t="s">
        <v>411</v>
      </c>
      <c r="M399" s="127"/>
      <c r="W399" s="71"/>
      <c r="X399" s="664" t="s">
        <v>411</v>
      </c>
      <c r="Y399" s="457"/>
      <c r="Z399" s="457"/>
      <c r="AA399" s="457"/>
      <c r="AB399" s="54"/>
      <c r="AC399" s="551" t="str">
        <f t="shared" si="57"/>
        <v/>
      </c>
      <c r="AD399" s="575"/>
      <c r="AE399" s="576"/>
    </row>
    <row r="400" spans="1:31" ht="11.25" customHeight="1" thickTop="1">
      <c r="A400" s="611">
        <v>4</v>
      </c>
      <c r="B400" s="64"/>
      <c r="C400" s="113"/>
      <c r="D400" s="113"/>
      <c r="E400" s="113"/>
      <c r="F400" s="113"/>
      <c r="G400" s="113"/>
      <c r="H400" s="113"/>
      <c r="I400" s="113"/>
      <c r="J400" s="113"/>
      <c r="K400" s="65"/>
      <c r="L400" s="676" t="s">
        <v>411</v>
      </c>
      <c r="M400" s="127"/>
      <c r="N400" s="861"/>
      <c r="O400" s="84"/>
      <c r="P400" s="84"/>
      <c r="Q400" s="84"/>
      <c r="R400" s="84"/>
      <c r="S400" s="84"/>
      <c r="T400" s="84"/>
      <c r="U400" s="84"/>
      <c r="V400" s="88"/>
      <c r="W400" s="71"/>
      <c r="X400" s="664" t="s">
        <v>411</v>
      </c>
      <c r="Y400" s="457"/>
      <c r="Z400" s="457"/>
      <c r="AA400" s="457"/>
      <c r="AB400" s="985"/>
      <c r="AC400" s="551" t="str">
        <f t="shared" ref="AC400:AC463" si="58">IF(AND(OR(AB400="",AB400=0),OR(AD400="",AD400=0)),"",IF(AB400&lt;&gt;AD400,"Change",""))</f>
        <v/>
      </c>
      <c r="AD400" s="1062">
        <f>O347</f>
        <v>0</v>
      </c>
      <c r="AE400" s="576" t="s">
        <v>926</v>
      </c>
    </row>
    <row r="401" spans="1:32" ht="11.25" customHeight="1">
      <c r="A401" s="611">
        <v>5</v>
      </c>
      <c r="B401" s="102" t="s">
        <v>540</v>
      </c>
      <c r="C401" s="917" t="str">
        <f>$N$83</f>
        <v>??</v>
      </c>
      <c r="D401" s="50"/>
      <c r="E401" s="49"/>
      <c r="F401" s="49"/>
      <c r="G401" s="49"/>
      <c r="H401" s="397" t="s">
        <v>373</v>
      </c>
      <c r="I401" s="1133" t="str">
        <f>$U$83</f>
        <v/>
      </c>
      <c r="K401" s="69"/>
      <c r="L401" s="676" t="s">
        <v>411</v>
      </c>
      <c r="M401" s="127"/>
      <c r="N401" s="91"/>
      <c r="R401" s="594" t="s">
        <v>326</v>
      </c>
      <c r="V401" s="90"/>
      <c r="W401" s="71"/>
      <c r="X401" s="664" t="s">
        <v>411</v>
      </c>
      <c r="Y401" s="457"/>
      <c r="Z401" s="457"/>
      <c r="AA401" s="457"/>
      <c r="AB401" s="54"/>
      <c r="AC401" s="551" t="str">
        <f t="shared" si="58"/>
        <v/>
      </c>
      <c r="AD401" s="575"/>
      <c r="AE401" s="576"/>
    </row>
    <row r="402" spans="1:32" ht="11.25" customHeight="1" thickBot="1">
      <c r="A402" s="611">
        <v>6</v>
      </c>
      <c r="B402" s="66"/>
      <c r="C402" s="49"/>
      <c r="D402" s="49"/>
      <c r="E402" s="49" t="s">
        <v>541</v>
      </c>
      <c r="F402" s="49"/>
      <c r="G402" s="49"/>
      <c r="H402" s="49"/>
      <c r="I402" s="49"/>
      <c r="J402" s="49" t="s">
        <v>542</v>
      </c>
      <c r="K402" s="69"/>
      <c r="L402" s="676" t="s">
        <v>411</v>
      </c>
      <c r="M402" s="127"/>
      <c r="N402" s="93"/>
      <c r="O402" s="95"/>
      <c r="P402" s="95"/>
      <c r="Q402" s="95"/>
      <c r="R402" s="95"/>
      <c r="S402" s="95"/>
      <c r="T402" s="95"/>
      <c r="U402" s="95"/>
      <c r="V402" s="862"/>
      <c r="W402" s="71"/>
      <c r="X402" s="664" t="s">
        <v>411</v>
      </c>
      <c r="Y402" s="457"/>
      <c r="Z402" s="457"/>
      <c r="AA402" s="457"/>
      <c r="AB402" s="985"/>
      <c r="AC402" s="551" t="str">
        <f t="shared" si="58"/>
        <v/>
      </c>
      <c r="AD402" s="1062">
        <f>O349</f>
        <v>0</v>
      </c>
      <c r="AE402" s="576" t="s">
        <v>927</v>
      </c>
    </row>
    <row r="403" spans="1:32" ht="11.25" customHeight="1" thickTop="1">
      <c r="A403" s="611">
        <v>7</v>
      </c>
      <c r="B403" s="66"/>
      <c r="C403" s="49"/>
      <c r="D403" s="49" t="s">
        <v>512</v>
      </c>
      <c r="E403" s="49" t="s">
        <v>543</v>
      </c>
      <c r="F403" s="49" t="s">
        <v>544</v>
      </c>
      <c r="G403" s="49"/>
      <c r="H403" s="49"/>
      <c r="I403" s="49"/>
      <c r="J403" s="49" t="s">
        <v>1062</v>
      </c>
      <c r="K403" s="69" t="s">
        <v>1063</v>
      </c>
      <c r="L403" s="676" t="s">
        <v>411</v>
      </c>
      <c r="M403" s="127"/>
      <c r="W403" s="71"/>
      <c r="X403" s="664" t="s">
        <v>411</v>
      </c>
      <c r="Y403" s="457"/>
      <c r="Z403" s="457"/>
      <c r="AA403" s="457"/>
      <c r="AB403" s="54"/>
      <c r="AC403" s="551" t="str">
        <f t="shared" si="58"/>
        <v/>
      </c>
      <c r="AD403" s="575"/>
      <c r="AE403" s="576"/>
    </row>
    <row r="404" spans="1:32" ht="11.25" customHeight="1">
      <c r="A404" s="611">
        <v>8</v>
      </c>
      <c r="B404" s="106" t="s">
        <v>547</v>
      </c>
      <c r="C404" s="48" t="s">
        <v>548</v>
      </c>
      <c r="D404" s="48" t="s">
        <v>549</v>
      </c>
      <c r="E404" s="48" t="s">
        <v>550</v>
      </c>
      <c r="F404" s="48" t="s">
        <v>549</v>
      </c>
      <c r="G404" s="48" t="s">
        <v>465</v>
      </c>
      <c r="H404" s="48" t="str">
        <f>IF(LFMAS="","mA/mAs",LFMAS)</f>
        <v>mA</v>
      </c>
      <c r="I404" s="48" t="s">
        <v>551</v>
      </c>
      <c r="J404" s="48" t="s">
        <v>1056</v>
      </c>
      <c r="K404" s="69" t="s">
        <v>1064</v>
      </c>
      <c r="L404" s="676" t="s">
        <v>411</v>
      </c>
      <c r="M404" s="127"/>
      <c r="W404" s="71"/>
      <c r="X404" s="664" t="s">
        <v>411</v>
      </c>
      <c r="Y404" s="457"/>
      <c r="Z404" s="457"/>
      <c r="AA404" s="457"/>
      <c r="AB404" s="985"/>
      <c r="AC404" s="551" t="str">
        <f t="shared" si="58"/>
        <v/>
      </c>
      <c r="AD404" s="1062">
        <f>O351</f>
        <v>0</v>
      </c>
      <c r="AE404" s="576" t="s">
        <v>928</v>
      </c>
    </row>
    <row r="405" spans="1:32" ht="11.25" customHeight="1">
      <c r="A405" s="611">
        <v>9</v>
      </c>
      <c r="B405" s="654" t="str">
        <f t="shared" ref="B405:B414" si="59">IF(M87="","",M87)</f>
        <v>CXR</v>
      </c>
      <c r="C405" s="655" t="str">
        <f t="shared" ref="C405:C414" si="60">IF(N87="","",N87)</f>
        <v>Yes</v>
      </c>
      <c r="D405" s="655">
        <f t="shared" ref="D405:D414" si="61">IF(O87="","",O87)</f>
        <v>72</v>
      </c>
      <c r="E405" s="656">
        <f t="shared" ref="E405:E414" si="62">IF(P87="","",P87)</f>
        <v>23</v>
      </c>
      <c r="F405" s="655" t="str">
        <f t="shared" ref="F405:F414" si="63">IF(Q87="","",Q87)</f>
        <v>14x17</v>
      </c>
      <c r="G405" s="657">
        <f t="shared" ref="G405:G414" si="64">IF(R87="","",R87)</f>
        <v>120</v>
      </c>
      <c r="H405" s="655" t="str">
        <f t="shared" ref="H405:H414" si="65">IF(S87="","",S87)</f>
        <v/>
      </c>
      <c r="I405" s="658" t="str">
        <f t="shared" ref="I405:I414" si="66">IF(T87="","",T87)</f>
        <v/>
      </c>
      <c r="J405" s="1090" t="str">
        <f t="shared" ref="J405:J414" si="67">IF(U87="","",U87)</f>
        <v/>
      </c>
      <c r="K405" s="1094" t="str">
        <f t="shared" ref="K405:K414" si="68">IF(V87="","",V87)</f>
        <v/>
      </c>
      <c r="L405" s="676" t="s">
        <v>411</v>
      </c>
      <c r="M405" s="878" t="s">
        <v>314</v>
      </c>
      <c r="W405" s="71"/>
      <c r="X405" s="664" t="s">
        <v>411</v>
      </c>
      <c r="Y405" s="457"/>
      <c r="Z405" s="457"/>
      <c r="AA405" s="457"/>
      <c r="AB405" s="54"/>
      <c r="AC405" s="551" t="str">
        <f t="shared" si="58"/>
        <v/>
      </c>
      <c r="AD405" s="575"/>
      <c r="AE405" s="576"/>
    </row>
    <row r="406" spans="1:32" ht="11.25" customHeight="1" thickBot="1">
      <c r="A406" s="611">
        <v>10</v>
      </c>
      <c r="B406" s="654" t="str">
        <f t="shared" si="59"/>
        <v>Abdomen AP</v>
      </c>
      <c r="C406" s="655" t="str">
        <f t="shared" si="60"/>
        <v>Yes</v>
      </c>
      <c r="D406" s="655">
        <f t="shared" si="61"/>
        <v>40</v>
      </c>
      <c r="E406" s="656">
        <f t="shared" si="62"/>
        <v>23</v>
      </c>
      <c r="F406" s="655" t="str">
        <f t="shared" si="63"/>
        <v>14x17</v>
      </c>
      <c r="G406" s="657">
        <f t="shared" si="64"/>
        <v>76</v>
      </c>
      <c r="H406" s="655" t="str">
        <f t="shared" si="65"/>
        <v/>
      </c>
      <c r="I406" s="658" t="str">
        <f t="shared" si="66"/>
        <v/>
      </c>
      <c r="J406" s="1090" t="str">
        <f t="shared" si="67"/>
        <v/>
      </c>
      <c r="K406" s="1094" t="str">
        <f t="shared" si="68"/>
        <v/>
      </c>
      <c r="L406" s="676" t="s">
        <v>411</v>
      </c>
      <c r="M406" s="127"/>
      <c r="W406" s="71"/>
      <c r="X406" s="664" t="s">
        <v>411</v>
      </c>
      <c r="Y406" s="457"/>
      <c r="Z406" s="457"/>
      <c r="AA406" s="457"/>
      <c r="AB406" s="985"/>
      <c r="AC406" s="551" t="str">
        <f t="shared" si="58"/>
        <v/>
      </c>
      <c r="AD406" s="1062">
        <f>O353</f>
        <v>0</v>
      </c>
      <c r="AE406" s="576" t="s">
        <v>297</v>
      </c>
    </row>
    <row r="407" spans="1:32" ht="11.25" customHeight="1" thickTop="1">
      <c r="A407" s="611">
        <v>11</v>
      </c>
      <c r="B407" s="654" t="str">
        <f t="shared" si="59"/>
        <v>Ribs</v>
      </c>
      <c r="C407" s="655" t="str">
        <f t="shared" si="60"/>
        <v>Yes</v>
      </c>
      <c r="D407" s="655">
        <f t="shared" si="61"/>
        <v>40</v>
      </c>
      <c r="E407" s="656">
        <f t="shared" si="62"/>
        <v>20</v>
      </c>
      <c r="F407" s="655" t="str">
        <f t="shared" si="63"/>
        <v>14x17</v>
      </c>
      <c r="G407" s="657">
        <f t="shared" si="64"/>
        <v>66</v>
      </c>
      <c r="H407" s="655" t="str">
        <f t="shared" si="65"/>
        <v/>
      </c>
      <c r="I407" s="658" t="str">
        <f t="shared" si="66"/>
        <v/>
      </c>
      <c r="J407" s="1090" t="str">
        <f t="shared" si="67"/>
        <v/>
      </c>
      <c r="K407" s="1094" t="str">
        <f t="shared" si="68"/>
        <v/>
      </c>
      <c r="L407" s="676" t="s">
        <v>411</v>
      </c>
      <c r="M407" s="79"/>
      <c r="N407" s="62"/>
      <c r="O407" s="62"/>
      <c r="P407" s="62"/>
      <c r="Q407" s="62"/>
      <c r="R407" s="62"/>
      <c r="S407" s="62"/>
      <c r="T407" s="62"/>
      <c r="U407" s="62"/>
      <c r="V407" s="62"/>
      <c r="W407" s="80"/>
      <c r="X407" s="664" t="s">
        <v>411</v>
      </c>
      <c r="Y407" s="457"/>
      <c r="Z407" s="457"/>
      <c r="AA407" s="457"/>
      <c r="AB407" s="54"/>
      <c r="AC407" s="551" t="str">
        <f t="shared" si="58"/>
        <v/>
      </c>
      <c r="AD407" s="575"/>
      <c r="AE407" s="576"/>
    </row>
    <row r="408" spans="1:32" ht="11.25" customHeight="1">
      <c r="A408" s="611">
        <v>12</v>
      </c>
      <c r="B408" s="654" t="str">
        <f t="shared" si="59"/>
        <v>C-Spine AP</v>
      </c>
      <c r="C408" s="655" t="str">
        <f t="shared" si="60"/>
        <v>Yes</v>
      </c>
      <c r="D408" s="655">
        <f t="shared" si="61"/>
        <v>40</v>
      </c>
      <c r="E408" s="656">
        <f t="shared" si="62"/>
        <v>13</v>
      </c>
      <c r="F408" s="655" t="str">
        <f t="shared" si="63"/>
        <v>10x12</v>
      </c>
      <c r="G408" s="657">
        <f t="shared" si="64"/>
        <v>72</v>
      </c>
      <c r="H408" s="655" t="str">
        <f t="shared" si="65"/>
        <v/>
      </c>
      <c r="I408" s="658" t="str">
        <f t="shared" si="66"/>
        <v/>
      </c>
      <c r="J408" s="1090" t="str">
        <f t="shared" si="67"/>
        <v/>
      </c>
      <c r="K408" s="1094" t="str">
        <f t="shared" si="68"/>
        <v/>
      </c>
      <c r="L408" s="676" t="s">
        <v>411</v>
      </c>
      <c r="M408" s="202" t="s">
        <v>587</v>
      </c>
      <c r="N408" s="49"/>
      <c r="O408" s="49"/>
      <c r="P408" s="49"/>
      <c r="R408" s="190"/>
      <c r="S408" s="49"/>
      <c r="W408" s="71"/>
      <c r="X408" s="664" t="s">
        <v>411</v>
      </c>
      <c r="Y408" s="457"/>
      <c r="Z408" s="457"/>
      <c r="AA408" s="457"/>
      <c r="AB408" s="985"/>
      <c r="AC408" s="551" t="str">
        <f t="shared" si="58"/>
        <v/>
      </c>
      <c r="AD408" s="1062">
        <f>O355</f>
        <v>0</v>
      </c>
      <c r="AE408" s="576" t="s">
        <v>929</v>
      </c>
    </row>
    <row r="409" spans="1:32" ht="11.25" customHeight="1">
      <c r="A409" s="611">
        <v>13</v>
      </c>
      <c r="B409" s="654" t="str">
        <f t="shared" si="59"/>
        <v>Skull</v>
      </c>
      <c r="C409" s="655" t="str">
        <f t="shared" si="60"/>
        <v>Yes</v>
      </c>
      <c r="D409" s="655">
        <f t="shared" si="61"/>
        <v>40</v>
      </c>
      <c r="E409" s="656">
        <f t="shared" si="62"/>
        <v>15</v>
      </c>
      <c r="F409" s="655" t="str">
        <f t="shared" si="63"/>
        <v>8x10</v>
      </c>
      <c r="G409" s="657">
        <f t="shared" si="64"/>
        <v>72</v>
      </c>
      <c r="H409" s="655" t="str">
        <f t="shared" si="65"/>
        <v/>
      </c>
      <c r="I409" s="658" t="str">
        <f t="shared" si="66"/>
        <v/>
      </c>
      <c r="J409" s="1090" t="str">
        <f t="shared" si="67"/>
        <v/>
      </c>
      <c r="K409" s="1094" t="str">
        <f t="shared" si="68"/>
        <v/>
      </c>
      <c r="L409" s="676" t="s">
        <v>411</v>
      </c>
      <c r="M409" s="808">
        <f>IF(N409&lt;&gt;"",N409,IF(OR(AB96=0,AB96=""),"",AB96))</f>
        <v>1</v>
      </c>
      <c r="N409" s="701">
        <v>1</v>
      </c>
      <c r="O409" s="100" t="s">
        <v>589</v>
      </c>
      <c r="P409" s="49"/>
      <c r="Q409" s="49"/>
      <c r="R409" s="49"/>
      <c r="S409" s="49"/>
      <c r="W409" s="71"/>
      <c r="X409" s="664" t="s">
        <v>411</v>
      </c>
      <c r="Y409" s="457"/>
      <c r="Z409" s="457"/>
      <c r="AA409" s="457"/>
      <c r="AB409" s="54"/>
      <c r="AC409" s="551" t="str">
        <f t="shared" si="58"/>
        <v/>
      </c>
      <c r="AD409" s="575"/>
      <c r="AE409" s="576"/>
    </row>
    <row r="410" spans="1:32" ht="11.25" customHeight="1">
      <c r="A410" s="611">
        <v>14</v>
      </c>
      <c r="B410" s="654" t="str">
        <f t="shared" si="59"/>
        <v>Foot</v>
      </c>
      <c r="C410" s="655" t="str">
        <f t="shared" si="60"/>
        <v>No</v>
      </c>
      <c r="D410" s="655">
        <f t="shared" si="61"/>
        <v>40</v>
      </c>
      <c r="E410" s="656">
        <f t="shared" si="62"/>
        <v>8</v>
      </c>
      <c r="F410" s="655" t="str">
        <f t="shared" si="63"/>
        <v>8x10</v>
      </c>
      <c r="G410" s="657">
        <f t="shared" si="64"/>
        <v>60</v>
      </c>
      <c r="H410" s="655" t="str">
        <f t="shared" si="65"/>
        <v/>
      </c>
      <c r="I410" s="658" t="str">
        <f t="shared" si="66"/>
        <v/>
      </c>
      <c r="J410" s="1090" t="str">
        <f t="shared" si="67"/>
        <v/>
      </c>
      <c r="K410" s="1094" t="str">
        <f t="shared" si="68"/>
        <v/>
      </c>
      <c r="L410" s="676" t="s">
        <v>411</v>
      </c>
      <c r="M410" s="808">
        <f>IF(N410&lt;&gt;"",N410,IF(OR(AB97=0,AB97=""),"",AB97))</f>
        <v>2</v>
      </c>
      <c r="N410" s="701">
        <v>2</v>
      </c>
      <c r="O410" s="100" t="s">
        <v>327</v>
      </c>
      <c r="W410" s="71"/>
      <c r="X410" s="664" t="s">
        <v>411</v>
      </c>
      <c r="Y410" s="457"/>
      <c r="Z410" s="457"/>
      <c r="AA410" s="457"/>
      <c r="AB410" s="985"/>
      <c r="AC410" s="551" t="str">
        <f t="shared" si="58"/>
        <v/>
      </c>
      <c r="AD410" s="1062">
        <f>O357</f>
        <v>0</v>
      </c>
      <c r="AE410" s="576" t="s">
        <v>930</v>
      </c>
    </row>
    <row r="411" spans="1:32" ht="11.25" customHeight="1">
      <c r="A411" s="611">
        <v>15</v>
      </c>
      <c r="B411" s="654" t="str">
        <f t="shared" si="59"/>
        <v>Knee</v>
      </c>
      <c r="C411" s="655" t="str">
        <f t="shared" si="60"/>
        <v>No</v>
      </c>
      <c r="D411" s="655">
        <f t="shared" si="61"/>
        <v>40</v>
      </c>
      <c r="E411" s="656">
        <f t="shared" si="62"/>
        <v>12</v>
      </c>
      <c r="F411" s="655" t="str">
        <f t="shared" si="63"/>
        <v>10x12</v>
      </c>
      <c r="G411" s="657">
        <f t="shared" si="64"/>
        <v>66</v>
      </c>
      <c r="H411" s="655" t="str">
        <f t="shared" si="65"/>
        <v/>
      </c>
      <c r="I411" s="658" t="str">
        <f t="shared" si="66"/>
        <v/>
      </c>
      <c r="J411" s="1090" t="str">
        <f t="shared" si="67"/>
        <v/>
      </c>
      <c r="K411" s="1094" t="str">
        <f t="shared" si="68"/>
        <v/>
      </c>
      <c r="L411" s="676" t="s">
        <v>411</v>
      </c>
      <c r="M411" s="127"/>
      <c r="W411" s="71"/>
      <c r="X411" s="664" t="s">
        <v>411</v>
      </c>
      <c r="Y411" s="457"/>
      <c r="Z411" s="457"/>
      <c r="AA411" s="457"/>
      <c r="AB411" s="54"/>
      <c r="AC411" s="551" t="str">
        <f t="shared" si="58"/>
        <v/>
      </c>
      <c r="AD411" s="575"/>
      <c r="AE411" s="576"/>
      <c r="AF411" s="457"/>
    </row>
    <row r="412" spans="1:32" ht="11.25" customHeight="1" thickBot="1">
      <c r="A412" s="611">
        <v>16</v>
      </c>
      <c r="B412" s="654" t="str">
        <f t="shared" si="59"/>
        <v>Pelvis AP</v>
      </c>
      <c r="C412" s="655" t="str">
        <f t="shared" si="60"/>
        <v>Yes</v>
      </c>
      <c r="D412" s="655">
        <f t="shared" si="61"/>
        <v>40</v>
      </c>
      <c r="E412" s="656">
        <f t="shared" si="62"/>
        <v>20</v>
      </c>
      <c r="F412" s="655" t="str">
        <f t="shared" si="63"/>
        <v>14x17</v>
      </c>
      <c r="G412" s="657">
        <f t="shared" si="64"/>
        <v>78</v>
      </c>
      <c r="H412" s="655" t="str">
        <f t="shared" si="65"/>
        <v/>
      </c>
      <c r="I412" s="658" t="str">
        <f t="shared" si="66"/>
        <v/>
      </c>
      <c r="J412" s="1090" t="str">
        <f t="shared" si="67"/>
        <v/>
      </c>
      <c r="K412" s="1094" t="str">
        <f t="shared" si="68"/>
        <v/>
      </c>
      <c r="L412" s="676" t="s">
        <v>411</v>
      </c>
      <c r="M412" s="127"/>
      <c r="W412" s="71"/>
      <c r="X412" s="664" t="s">
        <v>411</v>
      </c>
      <c r="Y412" s="457"/>
      <c r="Z412" s="457"/>
      <c r="AA412" s="457"/>
      <c r="AB412" s="985"/>
      <c r="AC412" s="551" t="str">
        <f t="shared" si="58"/>
        <v/>
      </c>
      <c r="AD412" s="1062">
        <f>O359</f>
        <v>0</v>
      </c>
      <c r="AE412" s="576" t="s">
        <v>931</v>
      </c>
      <c r="AF412" s="457"/>
    </row>
    <row r="413" spans="1:32" ht="11.25" customHeight="1" thickBot="1">
      <c r="A413" s="611">
        <v>17</v>
      </c>
      <c r="B413" s="654" t="str">
        <f t="shared" si="59"/>
        <v>Shoulder</v>
      </c>
      <c r="C413" s="655" t="str">
        <f t="shared" si="60"/>
        <v>Yes</v>
      </c>
      <c r="D413" s="655">
        <f t="shared" si="61"/>
        <v>40</v>
      </c>
      <c r="E413" s="656">
        <f t="shared" si="62"/>
        <v>15</v>
      </c>
      <c r="F413" s="655" t="str">
        <f t="shared" si="63"/>
        <v>10x12</v>
      </c>
      <c r="G413" s="657">
        <f t="shared" si="64"/>
        <v>74</v>
      </c>
      <c r="H413" s="655" t="str">
        <f t="shared" si="65"/>
        <v/>
      </c>
      <c r="I413" s="658" t="str">
        <f t="shared" si="66"/>
        <v/>
      </c>
      <c r="J413" s="1090" t="str">
        <f t="shared" si="67"/>
        <v/>
      </c>
      <c r="K413" s="1094" t="str">
        <f t="shared" si="68"/>
        <v/>
      </c>
      <c r="L413" s="676" t="s">
        <v>411</v>
      </c>
      <c r="M413" s="463"/>
      <c r="N413" s="525" t="s">
        <v>594</v>
      </c>
      <c r="O413" s="524"/>
      <c r="P413" s="521" t="s">
        <v>457</v>
      </c>
      <c r="Q413" s="523" t="s">
        <v>312</v>
      </c>
      <c r="R413" s="694"/>
      <c r="S413" s="521" t="s">
        <v>457</v>
      </c>
      <c r="T413" s="523" t="s">
        <v>312</v>
      </c>
      <c r="W413" s="71"/>
      <c r="X413" s="664" t="s">
        <v>411</v>
      </c>
      <c r="Y413" s="457"/>
      <c r="Z413" s="457"/>
      <c r="AA413" s="457"/>
      <c r="AB413" s="54"/>
      <c r="AC413" s="551" t="str">
        <f t="shared" si="58"/>
        <v/>
      </c>
      <c r="AD413" s="575"/>
      <c r="AE413" s="576"/>
      <c r="AF413" s="457"/>
    </row>
    <row r="414" spans="1:32" ht="11.25" customHeight="1">
      <c r="A414" s="611">
        <v>18</v>
      </c>
      <c r="B414" s="654" t="str">
        <f t="shared" si="59"/>
        <v>LS Spine AP</v>
      </c>
      <c r="C414" s="655" t="str">
        <f t="shared" si="60"/>
        <v>Yes</v>
      </c>
      <c r="D414" s="655">
        <f t="shared" si="61"/>
        <v>40</v>
      </c>
      <c r="E414" s="656">
        <f t="shared" si="62"/>
        <v>23</v>
      </c>
      <c r="F414" s="655" t="str">
        <f t="shared" si="63"/>
        <v>10x12</v>
      </c>
      <c r="G414" s="657">
        <f t="shared" si="64"/>
        <v>78</v>
      </c>
      <c r="H414" s="655" t="str">
        <f t="shared" si="65"/>
        <v/>
      </c>
      <c r="I414" s="658" t="str">
        <f t="shared" si="66"/>
        <v/>
      </c>
      <c r="J414" s="1090" t="str">
        <f t="shared" si="67"/>
        <v/>
      </c>
      <c r="K414" s="1094" t="str">
        <f t="shared" si="68"/>
        <v/>
      </c>
      <c r="L414" s="676" t="s">
        <v>411</v>
      </c>
      <c r="M414" s="463"/>
      <c r="N414" s="522"/>
      <c r="O414" s="859" t="s">
        <v>597</v>
      </c>
      <c r="P414" s="809" t="str">
        <f>IF(S414&lt;&gt;"",S414,IF(OR(AB100=0,AB100=""),"",AB100))</f>
        <v/>
      </c>
      <c r="Q414" s="809" t="str">
        <f>IF(T414&lt;&gt;"",T414,IF(OR(AB101=0,AB101=""),"",AB101))</f>
        <v/>
      </c>
      <c r="R414" s="526" t="s">
        <v>598</v>
      </c>
      <c r="S414" s="871"/>
      <c r="T414" s="872"/>
      <c r="U414" s="685" t="s">
        <v>619</v>
      </c>
      <c r="W414" s="71"/>
      <c r="X414" s="664" t="s">
        <v>411</v>
      </c>
      <c r="Y414" s="457"/>
      <c r="Z414" s="457"/>
      <c r="AA414" s="457"/>
      <c r="AB414" s="985"/>
      <c r="AC414" s="551" t="str">
        <f t="shared" si="58"/>
        <v/>
      </c>
      <c r="AD414" s="1062">
        <f>O361</f>
        <v>0</v>
      </c>
      <c r="AE414" s="576" t="s">
        <v>932</v>
      </c>
      <c r="AF414" s="457"/>
    </row>
    <row r="415" spans="1:32" ht="11.25" customHeight="1" thickBot="1">
      <c r="A415" s="611">
        <v>19</v>
      </c>
      <c r="B415" s="66"/>
      <c r="C415" s="49"/>
      <c r="D415" s="49"/>
      <c r="E415" s="49"/>
      <c r="F415" s="49"/>
      <c r="G415" s="49"/>
      <c r="H415" s="49"/>
      <c r="I415" s="49"/>
      <c r="J415" s="49"/>
      <c r="K415" s="69"/>
      <c r="L415" s="676" t="s">
        <v>411</v>
      </c>
      <c r="M415" s="463"/>
      <c r="N415" s="520"/>
      <c r="O415" s="860" t="s">
        <v>599</v>
      </c>
      <c r="P415" s="810" t="str">
        <f>IF(S415&lt;&gt;"",S415,IF(OR(AB103=0,AB103=""),"",AB103))</f>
        <v/>
      </c>
      <c r="Q415" s="810" t="str">
        <f>IF(T415&lt;&gt;"",T415,IF(OR(AB104=0,AB104=""),"",AB104))</f>
        <v/>
      </c>
      <c r="R415" s="527" t="s">
        <v>600</v>
      </c>
      <c r="S415" s="871"/>
      <c r="T415" s="871"/>
      <c r="U415" s="685" t="s">
        <v>619</v>
      </c>
      <c r="W415" s="71"/>
      <c r="X415" s="664" t="s">
        <v>411</v>
      </c>
      <c r="Y415" s="457"/>
      <c r="Z415" s="457"/>
      <c r="AA415" s="457"/>
      <c r="AB415" s="54"/>
      <c r="AC415" s="551" t="str">
        <f t="shared" si="58"/>
        <v/>
      </c>
      <c r="AD415" s="575"/>
      <c r="AE415" s="576"/>
      <c r="AF415" s="457"/>
    </row>
    <row r="416" spans="1:32" ht="11.25" customHeight="1" thickBot="1">
      <c r="A416" s="611">
        <v>20</v>
      </c>
      <c r="B416" s="102" t="s">
        <v>129</v>
      </c>
      <c r="C416" s="922" t="str">
        <f>IF(O98="","",IF(LEN(O98)&lt;=115,O98,IF(LEN(O98)&lt;=222,LEFT(O98,SEARCH(" ",O98,107)),LEFT(O98,SEARCH(" ",O98,111)))))</f>
        <v/>
      </c>
      <c r="D416" s="48"/>
      <c r="E416" s="48"/>
      <c r="F416" s="48"/>
      <c r="G416" s="48"/>
      <c r="H416" s="48"/>
      <c r="I416" s="48"/>
      <c r="J416" s="48"/>
      <c r="K416" s="69"/>
      <c r="L416" s="676" t="s">
        <v>411</v>
      </c>
      <c r="M416" s="463"/>
      <c r="N416" s="520"/>
      <c r="O416" s="860" t="s">
        <v>601</v>
      </c>
      <c r="P416" s="552" t="str">
        <f>IF(OR(P414="",P414=0,P415="",P415=0),"NA",P414/P415)</f>
        <v>NA</v>
      </c>
      <c r="Q416" s="552" t="str">
        <f>IF(OR(Q414="",Q414=0,Q415="",Q415=0),"NA",Q414/Q415)</f>
        <v>NA</v>
      </c>
      <c r="R416" s="528">
        <f>IF(AND(P416="NA",Q416="NA"),1,AVERAGE(P416:Q416))</f>
        <v>1</v>
      </c>
      <c r="S416" s="574"/>
      <c r="W416" s="71"/>
      <c r="X416" s="664" t="s">
        <v>411</v>
      </c>
      <c r="Y416" s="457"/>
      <c r="Z416" s="457"/>
      <c r="AA416" s="457"/>
      <c r="AB416" s="985"/>
      <c r="AC416" s="551" t="str">
        <f t="shared" si="58"/>
        <v/>
      </c>
      <c r="AD416" s="1062">
        <f>O363</f>
        <v>0</v>
      </c>
      <c r="AE416" s="576" t="s">
        <v>933</v>
      </c>
      <c r="AF416" s="457"/>
    </row>
    <row r="417" spans="1:34" ht="11.25" customHeight="1">
      <c r="A417" s="611">
        <v>21</v>
      </c>
      <c r="B417" s="66"/>
      <c r="C417" s="923" t="str">
        <f>IF(LEN(O98)&lt;=115,"",IF(LEN(O98)&lt;=222,RIGHT(O98,LEN(O98)-SEARCH(" ",O98,107)),MID(O98,SEARCH(" ",O98,111),IF(LEN(O98)&lt;=226,LEN(O98),SEARCH(" ",O98,218)-SEARCH(" ",O98,111)))))</f>
        <v/>
      </c>
      <c r="D417" s="48"/>
      <c r="E417" s="48"/>
      <c r="F417" s="48"/>
      <c r="G417" s="48"/>
      <c r="H417" s="48"/>
      <c r="I417" s="48"/>
      <c r="J417" s="48"/>
      <c r="K417" s="69"/>
      <c r="L417" s="676" t="s">
        <v>411</v>
      </c>
      <c r="M417" s="127"/>
      <c r="W417" s="71"/>
      <c r="X417" s="664" t="s">
        <v>411</v>
      </c>
      <c r="Y417" s="457"/>
      <c r="Z417" s="457"/>
      <c r="AA417" s="457"/>
      <c r="AB417" s="54"/>
      <c r="AC417" s="551" t="str">
        <f t="shared" si="58"/>
        <v/>
      </c>
      <c r="AD417" s="575"/>
      <c r="AE417" s="576"/>
      <c r="AF417" s="457"/>
    </row>
    <row r="418" spans="1:34" ht="11.25" customHeight="1">
      <c r="A418" s="611">
        <v>22</v>
      </c>
      <c r="B418" s="66"/>
      <c r="C418" s="923" t="str">
        <f>IF(LEN(O98)&lt;=226,"",RIGHT(O98,LEN(O98)-SEARCH(" ",O98,218)))</f>
        <v/>
      </c>
      <c r="D418" s="48"/>
      <c r="E418" s="48"/>
      <c r="F418" s="48"/>
      <c r="G418" s="48"/>
      <c r="H418" s="48"/>
      <c r="I418" s="48"/>
      <c r="J418" s="48"/>
      <c r="K418" s="69"/>
      <c r="L418" s="676" t="s">
        <v>411</v>
      </c>
      <c r="M418" s="127"/>
      <c r="W418" s="71"/>
      <c r="X418" s="664" t="s">
        <v>411</v>
      </c>
      <c r="Y418" s="457"/>
      <c r="Z418" s="457"/>
      <c r="AA418" s="457"/>
      <c r="AB418" s="985"/>
      <c r="AC418" s="551" t="str">
        <f t="shared" si="58"/>
        <v/>
      </c>
      <c r="AD418" s="1062">
        <f>O365</f>
        <v>0</v>
      </c>
      <c r="AE418" s="576" t="s">
        <v>934</v>
      </c>
      <c r="AF418" s="457"/>
      <c r="AH418" s="573"/>
    </row>
    <row r="419" spans="1:34" ht="11.25" customHeight="1">
      <c r="A419" s="611">
        <v>23</v>
      </c>
      <c r="B419" s="66"/>
      <c r="C419" s="49"/>
      <c r="D419" s="49"/>
      <c r="E419" s="49"/>
      <c r="F419" s="49"/>
      <c r="G419" s="49"/>
      <c r="H419" s="49"/>
      <c r="I419" s="49"/>
      <c r="J419" s="49"/>
      <c r="K419" s="69"/>
      <c r="L419" s="676" t="s">
        <v>411</v>
      </c>
      <c r="M419" s="191" t="s">
        <v>591</v>
      </c>
      <c r="N419" s="128"/>
      <c r="R419" s="844" t="s">
        <v>317</v>
      </c>
      <c r="S419" s="352" t="s">
        <v>316</v>
      </c>
      <c r="W419" s="71"/>
      <c r="X419" s="664" t="s">
        <v>411</v>
      </c>
      <c r="Y419" s="457"/>
      <c r="Z419" s="457"/>
      <c r="AA419" s="457"/>
      <c r="AB419" s="54"/>
      <c r="AC419" s="551" t="str">
        <f t="shared" si="58"/>
        <v/>
      </c>
      <c r="AD419" s="575"/>
      <c r="AE419" s="576"/>
      <c r="AF419" s="457"/>
    </row>
    <row r="420" spans="1:34" ht="11.25" customHeight="1" thickBot="1">
      <c r="A420" s="611">
        <v>24</v>
      </c>
      <c r="B420" s="102" t="str">
        <f t="array" ref="B420:C420">N103:O103</f>
        <v xml:space="preserve">Note:  </v>
      </c>
      <c r="C420" s="50" t="str">
        <v>cm distance between patient and image receptor</v>
      </c>
      <c r="D420" s="3"/>
      <c r="E420" s="3"/>
      <c r="F420" s="49"/>
      <c r="G420" s="49"/>
      <c r="H420" s="49"/>
      <c r="I420" s="49"/>
      <c r="J420" s="49"/>
      <c r="K420" s="69"/>
      <c r="L420" s="676" t="s">
        <v>411</v>
      </c>
      <c r="M420" s="811" t="str">
        <f>IF(N420&lt;&gt;"",N420,IF(OR(AB106=0,AB106=""),"",ROUND(AB106,2)))</f>
        <v/>
      </c>
      <c r="N420" s="770"/>
      <c r="O420" s="857" t="s">
        <v>328</v>
      </c>
      <c r="S420" s="352" t="s">
        <v>315</v>
      </c>
      <c r="U420" s="716" t="s">
        <v>376</v>
      </c>
      <c r="V420" s="807" t="str">
        <f>IF(AB109="","??",AB109)</f>
        <v>??</v>
      </c>
      <c r="W420" s="71"/>
      <c r="X420" s="664" t="s">
        <v>411</v>
      </c>
      <c r="Y420" s="457"/>
      <c r="Z420" s="457"/>
      <c r="AA420" s="457"/>
      <c r="AB420" s="985"/>
      <c r="AC420" s="551" t="str">
        <f t="shared" si="58"/>
        <v/>
      </c>
      <c r="AD420" s="1062">
        <f>O367</f>
        <v>0</v>
      </c>
      <c r="AE420" s="576" t="s">
        <v>935</v>
      </c>
      <c r="AF420" s="457"/>
    </row>
    <row r="421" spans="1:34" ht="11.25" customHeight="1" thickBot="1">
      <c r="A421" s="611">
        <v>25</v>
      </c>
      <c r="B421" s="34"/>
      <c r="C421" s="289"/>
      <c r="D421" s="83"/>
      <c r="E421" s="83"/>
      <c r="F421" s="289"/>
      <c r="G421" s="289"/>
      <c r="H421" s="289"/>
      <c r="I421" s="289"/>
      <c r="J421" s="289"/>
      <c r="K421" s="86"/>
      <c r="L421" s="676" t="s">
        <v>411</v>
      </c>
      <c r="M421" s="812" t="str">
        <f>IF(N421&lt;&gt;"",N421,IF(OR(AB107=0,AB107=""),"",ROUND(AB107,2)))</f>
        <v/>
      </c>
      <c r="N421" s="769"/>
      <c r="O421" s="857" t="s">
        <v>329</v>
      </c>
      <c r="U421" s="354"/>
      <c r="V421" s="845"/>
      <c r="W421" s="71"/>
      <c r="X421" s="664" t="s">
        <v>411</v>
      </c>
      <c r="Y421" s="457"/>
      <c r="Z421" s="457"/>
      <c r="AA421" s="457"/>
      <c r="AB421" s="54"/>
      <c r="AC421" s="551" t="str">
        <f t="shared" si="58"/>
        <v/>
      </c>
      <c r="AD421" s="575"/>
      <c r="AE421" s="576"/>
      <c r="AF421" s="457"/>
    </row>
    <row r="422" spans="1:34" ht="11.25" customHeight="1" thickTop="1">
      <c r="A422" s="611">
        <v>26</v>
      </c>
      <c r="L422" s="676" t="s">
        <v>411</v>
      </c>
      <c r="M422" s="67"/>
      <c r="N422" s="855"/>
      <c r="O422" s="856"/>
      <c r="T422" s="159"/>
      <c r="U422" s="462" t="s">
        <v>613</v>
      </c>
      <c r="V422" s="845"/>
      <c r="W422" s="71"/>
      <c r="X422" s="664" t="s">
        <v>411</v>
      </c>
      <c r="Y422" s="457"/>
      <c r="Z422" s="457"/>
      <c r="AA422" s="457"/>
      <c r="AB422" s="985"/>
      <c r="AC422" s="551" t="str">
        <f t="shared" si="58"/>
        <v/>
      </c>
      <c r="AD422" s="1062">
        <f>O369</f>
        <v>0</v>
      </c>
      <c r="AE422" s="576" t="s">
        <v>936</v>
      </c>
      <c r="AF422" s="457"/>
    </row>
    <row r="423" spans="1:34" ht="11.25" customHeight="1" thickBot="1">
      <c r="A423" s="611">
        <v>27</v>
      </c>
      <c r="L423" s="676" t="s">
        <v>411</v>
      </c>
      <c r="M423" s="127"/>
      <c r="T423" s="675" t="s">
        <v>614</v>
      </c>
      <c r="U423" s="863" t="str">
        <f>IF($U$425&lt;&gt;"",$U$425,IF(AND($M$420&lt;&gt;"",$M$421&lt;&gt;""),IF(TBCM_IN="cm",$M$420+$M$421,ROUND(($M$420+$M$421)/2.54,2)),""))</f>
        <v/>
      </c>
      <c r="V423" s="866" t="s">
        <v>615</v>
      </c>
      <c r="W423" s="71"/>
      <c r="X423" s="664" t="s">
        <v>411</v>
      </c>
      <c r="Y423" s="457"/>
      <c r="Z423" s="457"/>
      <c r="AB423" s="54"/>
      <c r="AC423" s="551" t="str">
        <f t="shared" si="58"/>
        <v/>
      </c>
      <c r="AD423" s="575"/>
      <c r="AE423" s="576"/>
      <c r="AF423" s="457"/>
    </row>
    <row r="424" spans="1:34" ht="11.25" customHeight="1" thickBot="1">
      <c r="A424" s="611">
        <v>28</v>
      </c>
      <c r="L424" s="676" t="s">
        <v>411</v>
      </c>
      <c r="M424" s="127"/>
      <c r="T424" s="864" t="s">
        <v>616</v>
      </c>
      <c r="U424" s="865" t="str">
        <f>IF(OR(AB110=0,AB110=""),"",AB110)</f>
        <v/>
      </c>
      <c r="W424" s="71"/>
      <c r="X424" s="664" t="s">
        <v>411</v>
      </c>
      <c r="Y424" s="457"/>
      <c r="Z424" s="457"/>
      <c r="AB424" s="985"/>
      <c r="AC424" s="551" t="str">
        <f t="shared" si="58"/>
        <v/>
      </c>
      <c r="AD424" s="1062">
        <f>O371</f>
        <v>0</v>
      </c>
      <c r="AE424" s="576" t="s">
        <v>937</v>
      </c>
      <c r="AF424" s="457"/>
    </row>
    <row r="425" spans="1:34" ht="11.25" customHeight="1">
      <c r="A425" s="611">
        <v>29</v>
      </c>
      <c r="B425" s="1"/>
      <c r="C425" s="1"/>
      <c r="D425" s="1"/>
      <c r="E425" s="1"/>
      <c r="F425" s="1"/>
      <c r="G425" s="1"/>
      <c r="H425" s="1"/>
      <c r="I425" s="1"/>
      <c r="J425" s="1"/>
      <c r="L425" s="676" t="s">
        <v>411</v>
      </c>
      <c r="M425" s="127"/>
      <c r="T425" s="132" t="s">
        <v>619</v>
      </c>
      <c r="U425" s="858"/>
      <c r="W425" s="71"/>
      <c r="X425" s="664" t="s">
        <v>411</v>
      </c>
      <c r="Y425" s="457"/>
      <c r="Z425" s="457"/>
      <c r="AB425" s="54"/>
      <c r="AC425" s="551" t="str">
        <f t="shared" si="58"/>
        <v/>
      </c>
      <c r="AD425" s="575"/>
      <c r="AE425" s="576"/>
      <c r="AF425" s="457"/>
    </row>
    <row r="426" spans="1:34" ht="11.25" customHeight="1" thickBot="1">
      <c r="A426" s="611">
        <v>30</v>
      </c>
      <c r="B426" s="1"/>
      <c r="C426" s="1"/>
      <c r="D426" s="1"/>
      <c r="E426" s="1"/>
      <c r="F426" s="1"/>
      <c r="G426" s="1"/>
      <c r="H426" s="1"/>
      <c r="I426" s="1"/>
      <c r="J426" s="1"/>
      <c r="L426" s="676" t="s">
        <v>411</v>
      </c>
      <c r="M426" s="98"/>
      <c r="N426" s="83"/>
      <c r="O426" s="83"/>
      <c r="P426" s="83"/>
      <c r="Q426" s="83"/>
      <c r="R426" s="83"/>
      <c r="S426" s="83"/>
      <c r="T426" s="83"/>
      <c r="U426" s="83"/>
      <c r="V426" s="83"/>
      <c r="W426" s="86"/>
      <c r="X426" s="664" t="s">
        <v>411</v>
      </c>
      <c r="Y426" s="457"/>
      <c r="Z426" s="457"/>
      <c r="AB426" s="985"/>
      <c r="AC426" s="551" t="str">
        <f t="shared" si="58"/>
        <v/>
      </c>
      <c r="AD426" s="1062">
        <f>O373</f>
        <v>0</v>
      </c>
      <c r="AE426" s="576" t="s">
        <v>938</v>
      </c>
      <c r="AF426" s="457"/>
    </row>
    <row r="427" spans="1:34" ht="11.25" customHeight="1" thickTop="1">
      <c r="A427" s="611">
        <v>31</v>
      </c>
      <c r="B427" s="1"/>
      <c r="C427" s="1"/>
      <c r="D427" s="1"/>
      <c r="E427" s="1"/>
      <c r="F427" s="1"/>
      <c r="G427" s="1"/>
      <c r="H427" s="1"/>
      <c r="I427" s="1"/>
      <c r="J427" s="1"/>
      <c r="L427" s="676" t="s">
        <v>411</v>
      </c>
      <c r="M427" s="127"/>
      <c r="W427" s="71"/>
      <c r="X427" s="664" t="s">
        <v>411</v>
      </c>
      <c r="Y427" s="457"/>
      <c r="Z427" s="457"/>
      <c r="AA427" s="457"/>
      <c r="AB427" s="54"/>
      <c r="AC427" s="551" t="str">
        <f t="shared" si="58"/>
        <v/>
      </c>
      <c r="AD427" s="574"/>
      <c r="AE427" s="576"/>
      <c r="AF427" s="457"/>
    </row>
    <row r="428" spans="1:34" ht="11.25" customHeight="1">
      <c r="A428" s="611">
        <v>32</v>
      </c>
      <c r="B428" s="1"/>
      <c r="C428" s="1"/>
      <c r="D428" s="1"/>
      <c r="E428" s="1"/>
      <c r="F428" s="1"/>
      <c r="G428" s="1"/>
      <c r="H428" s="1"/>
      <c r="I428" s="1"/>
      <c r="J428" s="1"/>
      <c r="L428" s="676" t="s">
        <v>411</v>
      </c>
      <c r="M428" s="127"/>
      <c r="W428" s="71"/>
      <c r="X428" s="664" t="s">
        <v>411</v>
      </c>
      <c r="Y428" s="457"/>
      <c r="Z428" s="457"/>
      <c r="AA428" s="132" t="s">
        <v>646</v>
      </c>
      <c r="AB428" s="54"/>
      <c r="AC428" s="551" t="str">
        <f t="shared" si="58"/>
        <v/>
      </c>
      <c r="AD428" s="574"/>
      <c r="AE428" s="576"/>
      <c r="AF428" s="457"/>
    </row>
    <row r="429" spans="1:34" ht="11.25" customHeight="1">
      <c r="A429" s="611">
        <v>33</v>
      </c>
      <c r="B429" s="1"/>
      <c r="C429" s="1"/>
      <c r="D429" s="1"/>
      <c r="E429" s="1"/>
      <c r="F429" s="1"/>
      <c r="G429" s="1"/>
      <c r="H429" s="1"/>
      <c r="I429" s="1"/>
      <c r="J429" s="1"/>
      <c r="L429" s="676" t="s">
        <v>411</v>
      </c>
      <c r="M429" s="127"/>
      <c r="W429" s="71"/>
      <c r="X429" s="664" t="s">
        <v>411</v>
      </c>
      <c r="Y429" s="457"/>
      <c r="Z429" s="457"/>
      <c r="AA429" s="462" t="s">
        <v>434</v>
      </c>
      <c r="AB429" s="985"/>
      <c r="AC429" s="551" t="str">
        <f t="shared" si="58"/>
        <v/>
      </c>
      <c r="AD429" s="1062" t="str">
        <f>IF(O476="","",O476)</f>
        <v/>
      </c>
      <c r="AE429" s="662" t="s">
        <v>939</v>
      </c>
      <c r="AF429" s="457"/>
    </row>
    <row r="430" spans="1:34" ht="11.25" customHeight="1">
      <c r="A430" s="611">
        <v>34</v>
      </c>
      <c r="B430" s="1"/>
      <c r="C430" s="1"/>
      <c r="D430" s="1"/>
      <c r="E430" s="1"/>
      <c r="F430" s="1"/>
      <c r="G430" s="1"/>
      <c r="H430" s="1"/>
      <c r="I430" s="1"/>
      <c r="J430" s="1"/>
      <c r="L430" s="676" t="s">
        <v>411</v>
      </c>
      <c r="M430" s="878" t="s">
        <v>325</v>
      </c>
      <c r="W430" s="71"/>
      <c r="X430" s="664" t="s">
        <v>411</v>
      </c>
      <c r="Y430" s="457"/>
      <c r="Z430" s="457"/>
      <c r="AA430" s="462" t="s">
        <v>563</v>
      </c>
      <c r="AB430" s="985"/>
      <c r="AC430" s="551" t="str">
        <f t="shared" si="58"/>
        <v/>
      </c>
      <c r="AD430" s="1062" t="str">
        <f>IF(O488="","",O488)</f>
        <v/>
      </c>
      <c r="AE430" s="662" t="s">
        <v>940</v>
      </c>
      <c r="AF430" s="457"/>
    </row>
    <row r="431" spans="1:34" ht="11.25" customHeight="1" thickBot="1">
      <c r="A431" s="611">
        <v>35</v>
      </c>
      <c r="B431" s="1"/>
      <c r="C431" s="1"/>
      <c r="D431" s="1"/>
      <c r="E431" s="1"/>
      <c r="F431" s="1"/>
      <c r="G431" s="1"/>
      <c r="H431" s="1"/>
      <c r="I431" s="1"/>
      <c r="J431" s="1"/>
      <c r="L431" s="676" t="s">
        <v>411</v>
      </c>
      <c r="M431" s="127"/>
      <c r="W431" s="71"/>
      <c r="X431" s="664" t="s">
        <v>411</v>
      </c>
      <c r="Y431" s="457"/>
      <c r="Z431" s="457"/>
      <c r="AA431" s="462" t="s">
        <v>647</v>
      </c>
      <c r="AB431" s="985"/>
      <c r="AC431" s="551" t="str">
        <f t="shared" si="58"/>
        <v/>
      </c>
      <c r="AD431" s="1062" t="str">
        <f>IF(O498="","",O498)</f>
        <v/>
      </c>
      <c r="AE431" s="662" t="s">
        <v>941</v>
      </c>
      <c r="AF431" s="457"/>
    </row>
    <row r="432" spans="1:34" ht="11.25" customHeight="1" thickTop="1">
      <c r="A432" s="611">
        <v>36</v>
      </c>
      <c r="B432" s="1"/>
      <c r="C432" s="1"/>
      <c r="D432" s="1"/>
      <c r="E432" s="1"/>
      <c r="F432" s="1"/>
      <c r="G432" s="1"/>
      <c r="H432" s="1"/>
      <c r="I432" s="1"/>
      <c r="J432" s="1"/>
      <c r="L432" s="676" t="s">
        <v>411</v>
      </c>
      <c r="M432" s="79"/>
      <c r="N432" s="62"/>
      <c r="O432" s="62"/>
      <c r="P432" s="62"/>
      <c r="Q432" s="62"/>
      <c r="R432" s="62"/>
      <c r="S432" s="62"/>
      <c r="T432" s="62"/>
      <c r="U432" s="62"/>
      <c r="V432" s="62"/>
      <c r="W432" s="80"/>
      <c r="X432" s="664" t="s">
        <v>411</v>
      </c>
      <c r="Y432" s="457"/>
      <c r="Z432" s="457"/>
      <c r="AA432" s="462" t="s">
        <v>648</v>
      </c>
      <c r="AB432" s="985"/>
      <c r="AC432" s="551" t="str">
        <f t="shared" si="58"/>
        <v/>
      </c>
      <c r="AD432" s="1062" t="str">
        <f>IF(O510="","",O510)</f>
        <v/>
      </c>
      <c r="AE432" s="662" t="s">
        <v>942</v>
      </c>
      <c r="AF432" s="457"/>
    </row>
    <row r="433" spans="1:32" ht="11.25" customHeight="1">
      <c r="A433" s="611">
        <v>37</v>
      </c>
      <c r="B433" s="1"/>
      <c r="C433" s="1"/>
      <c r="D433" s="1"/>
      <c r="E433" s="1"/>
      <c r="F433" s="1"/>
      <c r="G433" s="1"/>
      <c r="H433" s="1"/>
      <c r="I433" s="1"/>
      <c r="J433" s="1"/>
      <c r="L433" s="676" t="s">
        <v>411</v>
      </c>
      <c r="M433" s="202" t="s">
        <v>587</v>
      </c>
      <c r="N433" s="49"/>
      <c r="O433" s="49"/>
      <c r="P433" s="49"/>
      <c r="R433" s="190"/>
      <c r="S433" s="49"/>
      <c r="U433" s="49"/>
      <c r="V433" s="49"/>
      <c r="W433" s="71"/>
      <c r="X433" s="664" t="s">
        <v>411</v>
      </c>
      <c r="Y433" s="457"/>
      <c r="Z433" s="457"/>
      <c r="AA433" s="462" t="s">
        <v>649</v>
      </c>
      <c r="AB433" s="985"/>
      <c r="AC433" s="551" t="str">
        <f t="shared" si="58"/>
        <v/>
      </c>
      <c r="AD433" s="1062" t="str">
        <f>IF(O565="","",O565)</f>
        <v/>
      </c>
      <c r="AE433" s="662" t="s">
        <v>943</v>
      </c>
      <c r="AF433" s="457"/>
    </row>
    <row r="434" spans="1:32" ht="11.25" customHeight="1">
      <c r="A434" s="611">
        <v>38</v>
      </c>
      <c r="B434" s="1"/>
      <c r="C434" s="1"/>
      <c r="D434" s="1"/>
      <c r="E434" s="1"/>
      <c r="F434" s="1"/>
      <c r="G434" s="1"/>
      <c r="H434" s="1"/>
      <c r="I434" s="1"/>
      <c r="J434" s="1"/>
      <c r="L434" s="676" t="s">
        <v>411</v>
      </c>
      <c r="M434" s="816" t="str">
        <f>IF(N434&lt;&gt;"",N434,IF(OR(AB127=0,AB127=""),"",AB127))</f>
        <v/>
      </c>
      <c r="N434" s="701"/>
      <c r="O434" s="100" t="s">
        <v>641</v>
      </c>
      <c r="P434" s="49"/>
      <c r="Q434" s="49"/>
      <c r="R434" s="49"/>
      <c r="S434" s="49"/>
      <c r="U434" s="49"/>
      <c r="V434" s="49"/>
      <c r="W434" s="71"/>
      <c r="X434" s="664" t="s">
        <v>411</v>
      </c>
      <c r="Y434" s="457"/>
      <c r="Z434" s="457"/>
      <c r="AA434" s="462" t="s">
        <v>650</v>
      </c>
      <c r="AB434" s="985"/>
      <c r="AC434" s="551" t="str">
        <f t="shared" si="58"/>
        <v/>
      </c>
      <c r="AD434" s="1062" t="str">
        <f>IF(O582="","",O582)</f>
        <v/>
      </c>
      <c r="AE434" s="662" t="s">
        <v>944</v>
      </c>
      <c r="AF434" s="457"/>
    </row>
    <row r="435" spans="1:32" ht="11.25" customHeight="1">
      <c r="A435" s="611">
        <v>39</v>
      </c>
      <c r="B435" s="1"/>
      <c r="C435" s="1"/>
      <c r="D435" s="1"/>
      <c r="E435" s="1"/>
      <c r="F435" s="1"/>
      <c r="G435" s="1"/>
      <c r="H435" s="1"/>
      <c r="I435" s="1"/>
      <c r="J435" s="1"/>
      <c r="L435" s="676" t="s">
        <v>411</v>
      </c>
      <c r="M435" s="127"/>
      <c r="W435" s="71"/>
      <c r="X435" s="664" t="s">
        <v>411</v>
      </c>
      <c r="Y435" s="457"/>
      <c r="Z435" s="457"/>
      <c r="AA435" s="462" t="s">
        <v>651</v>
      </c>
      <c r="AB435" s="985"/>
      <c r="AC435" s="551" t="str">
        <f t="shared" si="58"/>
        <v/>
      </c>
      <c r="AD435" s="1062" t="str">
        <f>IF(O591="","",O591)</f>
        <v/>
      </c>
      <c r="AE435" s="662" t="s">
        <v>945</v>
      </c>
      <c r="AF435" s="457"/>
    </row>
    <row r="436" spans="1:32" ht="11.25" customHeight="1" thickBot="1">
      <c r="A436" s="611">
        <v>40</v>
      </c>
      <c r="B436" s="1"/>
      <c r="C436" s="1"/>
      <c r="D436" s="1"/>
      <c r="E436" s="1"/>
      <c r="F436" s="1"/>
      <c r="G436" s="1"/>
      <c r="H436" s="1"/>
      <c r="I436" s="1"/>
      <c r="J436" s="1"/>
      <c r="L436" s="676" t="s">
        <v>411</v>
      </c>
      <c r="M436" s="127"/>
      <c r="W436" s="71"/>
      <c r="X436" s="664" t="s">
        <v>411</v>
      </c>
      <c r="Y436" s="457"/>
      <c r="Z436" s="457"/>
      <c r="AA436" s="462" t="s">
        <v>652</v>
      </c>
      <c r="AB436" s="985"/>
      <c r="AC436" s="551" t="str">
        <f t="shared" si="58"/>
        <v/>
      </c>
      <c r="AD436" s="1062" t="str">
        <f>IF(O628="","",O628)</f>
        <v/>
      </c>
      <c r="AE436" s="662" t="s">
        <v>946</v>
      </c>
      <c r="AF436" s="457"/>
    </row>
    <row r="437" spans="1:32" ht="11.25" customHeight="1" thickBot="1">
      <c r="A437" s="611">
        <v>41</v>
      </c>
      <c r="B437" s="1"/>
      <c r="C437" s="1"/>
      <c r="D437" s="1"/>
      <c r="E437" s="1"/>
      <c r="F437" s="1"/>
      <c r="G437" s="1"/>
      <c r="H437" s="1"/>
      <c r="I437" s="1"/>
      <c r="J437" s="1"/>
      <c r="L437" s="676" t="s">
        <v>411</v>
      </c>
      <c r="M437" s="127"/>
      <c r="N437" s="525" t="s">
        <v>594</v>
      </c>
      <c r="O437" s="524"/>
      <c r="P437" s="521" t="s">
        <v>457</v>
      </c>
      <c r="Q437" s="523" t="s">
        <v>458</v>
      </c>
      <c r="R437" s="694"/>
      <c r="S437" s="521" t="s">
        <v>457</v>
      </c>
      <c r="T437" s="523" t="s">
        <v>458</v>
      </c>
      <c r="W437" s="71"/>
      <c r="X437" s="664" t="s">
        <v>411</v>
      </c>
      <c r="Y437" s="457"/>
      <c r="Z437" s="457"/>
      <c r="AA437" s="462" t="s">
        <v>653</v>
      </c>
      <c r="AB437" s="985"/>
      <c r="AC437" s="551" t="str">
        <f t="shared" si="58"/>
        <v/>
      </c>
      <c r="AD437" s="1062" t="str">
        <f>IF(O646="","",O646)</f>
        <v/>
      </c>
      <c r="AE437" s="662" t="s">
        <v>947</v>
      </c>
      <c r="AF437" s="457"/>
    </row>
    <row r="438" spans="1:32" ht="11.25" customHeight="1">
      <c r="A438" s="611">
        <v>42</v>
      </c>
      <c r="B438" s="1"/>
      <c r="C438" s="1"/>
      <c r="D438" s="1"/>
      <c r="E438" s="1"/>
      <c r="F438" s="1"/>
      <c r="G438" s="1"/>
      <c r="H438" s="1"/>
      <c r="I438" s="1"/>
      <c r="J438" s="1"/>
      <c r="L438" s="676" t="s">
        <v>411</v>
      </c>
      <c r="M438" s="127"/>
      <c r="N438" s="522"/>
      <c r="O438" s="859" t="s">
        <v>597</v>
      </c>
      <c r="P438" s="819" t="str">
        <f>IF(S438&lt;&gt;"",S438,IF(OR(AB130=0,AB130=""),"",AB130))</f>
        <v/>
      </c>
      <c r="Q438" s="819" t="str">
        <f>IF(T438&lt;&gt;"",T438,IF(OR(AB131=0,AB131=""),"",AB131))</f>
        <v/>
      </c>
      <c r="R438" s="526" t="s">
        <v>642</v>
      </c>
      <c r="S438" s="768"/>
      <c r="T438" s="768"/>
      <c r="U438" s="685" t="s">
        <v>619</v>
      </c>
      <c r="W438" s="71"/>
      <c r="X438" s="664" t="s">
        <v>411</v>
      </c>
      <c r="Y438" s="457"/>
      <c r="Z438" s="457"/>
      <c r="AA438" s="462" t="s">
        <v>654</v>
      </c>
      <c r="AB438" s="985"/>
      <c r="AC438" s="551" t="str">
        <f t="shared" si="58"/>
        <v/>
      </c>
      <c r="AD438" s="1062" t="str">
        <f>IF(O656="","",O656)</f>
        <v/>
      </c>
      <c r="AE438" s="662" t="s">
        <v>948</v>
      </c>
      <c r="AF438" s="457"/>
    </row>
    <row r="439" spans="1:32" ht="11.25" customHeight="1" thickBot="1">
      <c r="A439" s="611">
        <v>43</v>
      </c>
      <c r="B439" s="1"/>
      <c r="C439" s="1"/>
      <c r="D439" s="1"/>
      <c r="E439" s="1"/>
      <c r="F439" s="1"/>
      <c r="G439" s="1"/>
      <c r="H439" s="1"/>
      <c r="I439" s="1"/>
      <c r="J439" s="1"/>
      <c r="L439" s="676" t="s">
        <v>411</v>
      </c>
      <c r="M439" s="127"/>
      <c r="N439" s="520"/>
      <c r="O439" s="860" t="s">
        <v>599</v>
      </c>
      <c r="P439" s="820" t="str">
        <f>IF(S439&lt;&gt;"",S439,IF(OR(AB133=0,AB133=""),"",AB133))</f>
        <v/>
      </c>
      <c r="Q439" s="820" t="str">
        <f>IF(T439&lt;&gt;"",T439,IF(OR(AB134=0,AB134=""),"",AB134))</f>
        <v/>
      </c>
      <c r="R439" s="527" t="s">
        <v>643</v>
      </c>
      <c r="S439" s="768"/>
      <c r="T439" s="768"/>
      <c r="U439" s="685" t="s">
        <v>619</v>
      </c>
      <c r="W439" s="71"/>
      <c r="X439" s="664" t="s">
        <v>411</v>
      </c>
      <c r="Y439" s="457"/>
      <c r="Z439" s="457"/>
      <c r="AA439" s="462" t="s">
        <v>655</v>
      </c>
      <c r="AB439" s="985"/>
      <c r="AC439" s="551" t="str">
        <f t="shared" si="58"/>
        <v/>
      </c>
      <c r="AD439" s="1062" t="str">
        <f>IF(O683="","",O683)</f>
        <v/>
      </c>
      <c r="AE439" s="662" t="s">
        <v>949</v>
      </c>
      <c r="AF439" s="457"/>
    </row>
    <row r="440" spans="1:32" ht="11.25" customHeight="1" thickBot="1">
      <c r="A440" s="611">
        <v>44</v>
      </c>
      <c r="B440" s="1"/>
      <c r="C440" s="1"/>
      <c r="D440" s="1"/>
      <c r="E440" s="1"/>
      <c r="F440" s="1"/>
      <c r="G440" s="1"/>
      <c r="H440" s="1"/>
      <c r="I440" s="1"/>
      <c r="J440" s="1"/>
      <c r="L440" s="676" t="s">
        <v>411</v>
      </c>
      <c r="M440" s="127"/>
      <c r="N440" s="520"/>
      <c r="O440" s="860" t="s">
        <v>601</v>
      </c>
      <c r="P440" s="552" t="str">
        <f>IF(OR(P438="",P438=0,P439="",P439=0),"NA",P438/P439)</f>
        <v>NA</v>
      </c>
      <c r="Q440" s="552" t="str">
        <f>IF(OR(Q438="",Q438=0,Q439="",Q439=0),"NA",Q438/Q439)</f>
        <v>NA</v>
      </c>
      <c r="R440" s="528">
        <f>IF(AND(P440="NA",Q440="NA"),1,AVERAGE(P440:Q440))</f>
        <v>1</v>
      </c>
      <c r="W440" s="71"/>
      <c r="X440" s="664" t="s">
        <v>411</v>
      </c>
      <c r="Y440" s="457"/>
      <c r="Z440" s="457"/>
      <c r="AA440" s="462" t="s">
        <v>656</v>
      </c>
      <c r="AB440" s="985"/>
      <c r="AC440" s="551" t="str">
        <f t="shared" si="58"/>
        <v/>
      </c>
      <c r="AD440" s="1062" t="str">
        <f>IF(O703="","",O703)</f>
        <v/>
      </c>
      <c r="AE440" s="662" t="s">
        <v>950</v>
      </c>
      <c r="AF440" s="457"/>
    </row>
    <row r="441" spans="1:32" ht="11.25" customHeight="1">
      <c r="A441" s="611">
        <v>45</v>
      </c>
      <c r="L441" s="676" t="s">
        <v>411</v>
      </c>
      <c r="M441" s="127"/>
      <c r="W441" s="71"/>
      <c r="X441" s="664" t="s">
        <v>411</v>
      </c>
      <c r="Y441" s="457"/>
      <c r="Z441" s="457"/>
      <c r="AA441" s="462" t="s">
        <v>657</v>
      </c>
      <c r="AB441" s="985"/>
      <c r="AC441" s="551" t="str">
        <f t="shared" si="58"/>
        <v/>
      </c>
      <c r="AD441" s="1062" t="str">
        <f>IF(O719="","",O719)</f>
        <v/>
      </c>
      <c r="AE441" s="662" t="s">
        <v>951</v>
      </c>
      <c r="AF441" s="457"/>
    </row>
    <row r="442" spans="1:32" ht="11.25" customHeight="1">
      <c r="A442" s="611">
        <v>46</v>
      </c>
      <c r="L442" s="676" t="s">
        <v>411</v>
      </c>
      <c r="M442" s="127"/>
      <c r="W442" s="71"/>
      <c r="X442" s="664" t="s">
        <v>411</v>
      </c>
      <c r="Y442" s="457"/>
      <c r="Z442" s="457"/>
      <c r="AA442" s="462" t="s">
        <v>321</v>
      </c>
      <c r="AB442" s="985"/>
      <c r="AC442" s="551" t="str">
        <f t="shared" si="58"/>
        <v/>
      </c>
      <c r="AD442" s="1062" t="str">
        <f>IF(O751="","",O751)</f>
        <v/>
      </c>
      <c r="AE442" s="662" t="s">
        <v>952</v>
      </c>
      <c r="AF442" s="457"/>
    </row>
    <row r="443" spans="1:32" ht="11.25" customHeight="1">
      <c r="A443" s="611">
        <v>47</v>
      </c>
      <c r="B443" s="1"/>
      <c r="C443" s="1"/>
      <c r="D443" s="1"/>
      <c r="E443" s="1"/>
      <c r="F443" s="1"/>
      <c r="G443" s="1"/>
      <c r="H443" s="1"/>
      <c r="I443" s="1"/>
      <c r="J443" s="1"/>
      <c r="L443" s="676" t="s">
        <v>411</v>
      </c>
      <c r="M443" s="127"/>
      <c r="W443" s="71"/>
      <c r="X443" s="664" t="s">
        <v>411</v>
      </c>
      <c r="Y443" s="457"/>
      <c r="Z443" s="457"/>
      <c r="AA443" s="462" t="s">
        <v>322</v>
      </c>
      <c r="AB443" s="985"/>
      <c r="AC443" s="551" t="str">
        <f t="shared" si="58"/>
        <v/>
      </c>
      <c r="AD443" s="1062" t="str">
        <f>IF(O753="","",O753)</f>
        <v/>
      </c>
      <c r="AE443" s="662" t="s">
        <v>953</v>
      </c>
      <c r="AF443" s="457"/>
    </row>
    <row r="444" spans="1:32" ht="11.25" customHeight="1">
      <c r="A444" s="611">
        <v>48</v>
      </c>
      <c r="B444" s="1"/>
      <c r="C444" s="1"/>
      <c r="D444" s="1"/>
      <c r="E444" s="1"/>
      <c r="F444" s="1"/>
      <c r="G444" s="1"/>
      <c r="H444" s="1"/>
      <c r="I444" s="1"/>
      <c r="J444" s="1"/>
      <c r="L444" s="676" t="s">
        <v>411</v>
      </c>
      <c r="M444" s="127"/>
      <c r="R444" s="844" t="s">
        <v>317</v>
      </c>
      <c r="S444" s="352" t="s">
        <v>316</v>
      </c>
      <c r="W444" s="71"/>
      <c r="X444" s="664" t="s">
        <v>411</v>
      </c>
      <c r="Y444" s="457"/>
      <c r="Z444" s="457"/>
      <c r="AA444" s="462" t="s">
        <v>323</v>
      </c>
      <c r="AB444" s="985"/>
      <c r="AC444" s="551" t="str">
        <f t="shared" si="58"/>
        <v/>
      </c>
      <c r="AD444" s="1062" t="str">
        <f>IF(O770="","",O770)</f>
        <v/>
      </c>
      <c r="AE444" s="662" t="s">
        <v>1023</v>
      </c>
      <c r="AF444" s="457"/>
    </row>
    <row r="445" spans="1:32" ht="11.25" customHeight="1">
      <c r="A445" s="611">
        <v>49</v>
      </c>
      <c r="B445" s="1"/>
      <c r="C445" s="1"/>
      <c r="D445" s="1"/>
      <c r="E445" s="1"/>
      <c r="F445" s="1"/>
      <c r="G445" s="1"/>
      <c r="H445" s="1"/>
      <c r="I445" s="1"/>
      <c r="J445" s="1"/>
      <c r="L445" s="676" t="s">
        <v>411</v>
      </c>
      <c r="M445" s="127"/>
      <c r="S445" s="352" t="s">
        <v>315</v>
      </c>
      <c r="U445" s="716" t="s">
        <v>616</v>
      </c>
      <c r="V445" s="807" t="str">
        <f>IF(AB141="","??",AB141)</f>
        <v>??</v>
      </c>
      <c r="W445" s="71"/>
      <c r="X445" s="664" t="s">
        <v>411</v>
      </c>
      <c r="Y445" s="457"/>
      <c r="Z445" s="457"/>
      <c r="AA445" s="462" t="s">
        <v>324</v>
      </c>
      <c r="AB445" s="985"/>
      <c r="AC445" s="551" t="str">
        <f t="shared" si="58"/>
        <v/>
      </c>
      <c r="AD445" s="1062" t="str">
        <f>IF(O772="","",O772)</f>
        <v/>
      </c>
      <c r="AE445" s="662" t="s">
        <v>954</v>
      </c>
      <c r="AF445" s="457"/>
    </row>
    <row r="446" spans="1:32" ht="11.25" customHeight="1">
      <c r="A446" s="611">
        <v>50</v>
      </c>
      <c r="B446" s="1"/>
      <c r="C446" s="1"/>
      <c r="D446" s="1"/>
      <c r="E446" s="1"/>
      <c r="F446" s="1"/>
      <c r="G446" s="1"/>
      <c r="H446" s="1"/>
      <c r="I446" s="1"/>
      <c r="J446" s="1"/>
      <c r="L446" s="676" t="s">
        <v>411</v>
      </c>
      <c r="M446" s="127"/>
      <c r="W446" s="71"/>
      <c r="X446" s="664" t="s">
        <v>411</v>
      </c>
      <c r="Y446" s="457"/>
      <c r="Z446" s="457"/>
      <c r="AA446" s="462" t="s">
        <v>659</v>
      </c>
      <c r="AB446" s="985"/>
      <c r="AC446" s="551" t="str">
        <f t="shared" si="58"/>
        <v/>
      </c>
      <c r="AD446" s="1062" t="str">
        <f>IF(O824="","",O824)</f>
        <v/>
      </c>
      <c r="AE446" s="662" t="s">
        <v>955</v>
      </c>
      <c r="AF446" s="457"/>
    </row>
    <row r="447" spans="1:32" ht="11.25" customHeight="1">
      <c r="A447" s="611">
        <v>51</v>
      </c>
      <c r="B447" s="1"/>
      <c r="C447" s="1"/>
      <c r="D447" s="1"/>
      <c r="E447" s="1"/>
      <c r="F447" s="1"/>
      <c r="G447" s="1"/>
      <c r="H447" s="1"/>
      <c r="I447" s="1"/>
      <c r="J447" s="1"/>
      <c r="L447" s="676" t="s">
        <v>411</v>
      </c>
      <c r="M447" s="127"/>
      <c r="U447" s="462" t="s">
        <v>613</v>
      </c>
      <c r="W447" s="71"/>
      <c r="X447" s="664" t="s">
        <v>411</v>
      </c>
      <c r="Y447" s="457"/>
      <c r="Z447" s="457"/>
      <c r="AA447" s="462" t="s">
        <v>660</v>
      </c>
      <c r="AB447" s="985"/>
      <c r="AC447" s="551" t="str">
        <f t="shared" si="58"/>
        <v/>
      </c>
      <c r="AD447" s="1062" t="str">
        <f>IF(O877="","",O877)</f>
        <v/>
      </c>
      <c r="AE447" s="662" t="s">
        <v>956</v>
      </c>
      <c r="AF447" s="457"/>
    </row>
    <row r="448" spans="1:32" ht="11.25" customHeight="1" thickBot="1">
      <c r="A448" s="611">
        <v>52</v>
      </c>
      <c r="B448" s="1"/>
      <c r="C448" s="1"/>
      <c r="D448" s="1"/>
      <c r="E448" s="1"/>
      <c r="F448" s="1"/>
      <c r="G448" s="1"/>
      <c r="H448" s="1"/>
      <c r="I448" s="1"/>
      <c r="J448" s="1"/>
      <c r="L448" s="676" t="s">
        <v>411</v>
      </c>
      <c r="M448" s="127"/>
      <c r="V448" s="866" t="s">
        <v>615</v>
      </c>
      <c r="W448" s="71"/>
      <c r="X448" s="664" t="s">
        <v>411</v>
      </c>
      <c r="AA448" s="462" t="s">
        <v>661</v>
      </c>
      <c r="AB448" s="985"/>
      <c r="AC448" s="551" t="str">
        <f t="shared" si="58"/>
        <v/>
      </c>
      <c r="AD448" s="1062" t="str">
        <f>IF(O892="","",O892)</f>
        <v/>
      </c>
      <c r="AE448" s="662" t="s">
        <v>957</v>
      </c>
    </row>
    <row r="449" spans="1:31" ht="11.25" customHeight="1" thickBot="1">
      <c r="A449" s="611">
        <v>53</v>
      </c>
      <c r="B449" s="1"/>
      <c r="C449" s="1"/>
      <c r="D449" s="1"/>
      <c r="E449" s="1"/>
      <c r="F449" s="1"/>
      <c r="G449" s="1"/>
      <c r="H449" s="1"/>
      <c r="I449" s="1"/>
      <c r="J449" s="1"/>
      <c r="L449" s="676" t="s">
        <v>411</v>
      </c>
      <c r="M449" s="98"/>
      <c r="N449" s="83"/>
      <c r="O449" s="83"/>
      <c r="P449" s="83"/>
      <c r="Q449" s="83"/>
      <c r="R449" s="83"/>
      <c r="S449" s="83"/>
      <c r="T449" s="83"/>
      <c r="U449" s="83"/>
      <c r="V449" s="83"/>
      <c r="W449" s="86"/>
      <c r="X449" s="664" t="s">
        <v>411</v>
      </c>
      <c r="Y449" s="457"/>
      <c r="Z449" s="457"/>
      <c r="AA449" s="462" t="s">
        <v>662</v>
      </c>
      <c r="AB449" s="985"/>
      <c r="AC449" s="551" t="str">
        <f t="shared" si="58"/>
        <v/>
      </c>
      <c r="AD449" s="1062" t="str">
        <f>IF(O946="","",O946)</f>
        <v/>
      </c>
      <c r="AE449" s="662" t="s">
        <v>958</v>
      </c>
    </row>
    <row r="450" spans="1:31" ht="11.25" customHeight="1" thickTop="1">
      <c r="A450" s="611">
        <v>54</v>
      </c>
      <c r="B450" s="1"/>
      <c r="C450" s="1"/>
      <c r="D450" s="1"/>
      <c r="E450" s="1"/>
      <c r="F450" s="1"/>
      <c r="G450" s="1"/>
      <c r="H450" s="1"/>
      <c r="I450" s="1"/>
      <c r="J450" s="1"/>
      <c r="L450" s="676" t="s">
        <v>411</v>
      </c>
      <c r="M450" s="127"/>
      <c r="W450" s="71"/>
      <c r="X450" s="664" t="s">
        <v>411</v>
      </c>
      <c r="Y450" s="457"/>
      <c r="Z450" s="457"/>
      <c r="AA450" s="462" t="s">
        <v>663</v>
      </c>
      <c r="AB450" s="985"/>
      <c r="AC450" s="551" t="str">
        <f t="shared" si="58"/>
        <v>Change</v>
      </c>
      <c r="AD450" s="1062" t="str">
        <f>IF(O1105="","",O1105)</f>
        <v>Criteria: lgM - Max difference 0.2 lgM for individual kV or thickness; 0.2 lgM overall</v>
      </c>
      <c r="AE450" s="662" t="s">
        <v>959</v>
      </c>
    </row>
    <row r="451" spans="1:31" ht="11.25" customHeight="1">
      <c r="A451" s="611">
        <v>55</v>
      </c>
      <c r="B451" s="1"/>
      <c r="C451" s="1"/>
      <c r="D451" s="1"/>
      <c r="E451" s="1"/>
      <c r="F451" s="1"/>
      <c r="G451" s="1"/>
      <c r="H451" s="1"/>
      <c r="I451" s="1"/>
      <c r="J451" s="1"/>
      <c r="L451" s="676" t="s">
        <v>411</v>
      </c>
      <c r="M451" s="127"/>
      <c r="W451" s="71"/>
      <c r="X451" s="664" t="s">
        <v>411</v>
      </c>
      <c r="Y451" s="457"/>
      <c r="Z451" s="457"/>
      <c r="AA451" s="462" t="s">
        <v>664</v>
      </c>
      <c r="AB451" s="985"/>
      <c r="AC451" s="551" t="str">
        <f t="shared" si="58"/>
        <v>Change</v>
      </c>
      <c r="AD451" s="1062" t="str">
        <f>IF(O1171="","",O1171)</f>
        <v>Criteria: lgM - Max difference 0.2 lgM for individual kV or thickness; 0.2 lgM overall</v>
      </c>
      <c r="AE451" s="662" t="s">
        <v>960</v>
      </c>
    </row>
    <row r="452" spans="1:31" ht="11.25" customHeight="1">
      <c r="A452" s="611">
        <v>56</v>
      </c>
      <c r="B452" s="1"/>
      <c r="C452" s="1"/>
      <c r="D452" s="1"/>
      <c r="E452" s="1"/>
      <c r="F452" s="1"/>
      <c r="G452" s="1"/>
      <c r="H452" s="1"/>
      <c r="I452" s="1"/>
      <c r="J452" s="1"/>
      <c r="L452" s="676" t="s">
        <v>411</v>
      </c>
      <c r="M452" s="127"/>
      <c r="W452" s="71"/>
      <c r="X452" s="664" t="s">
        <v>411</v>
      </c>
      <c r="Y452" s="457"/>
      <c r="Z452" s="457"/>
      <c r="AA452" s="462" t="s">
        <v>665</v>
      </c>
      <c r="AB452" s="985"/>
      <c r="AC452" s="551" t="str">
        <f t="shared" si="58"/>
        <v/>
      </c>
      <c r="AD452" s="1062" t="str">
        <f>IF(O98="","",O98)</f>
        <v/>
      </c>
      <c r="AE452" s="662" t="s">
        <v>141</v>
      </c>
    </row>
    <row r="453" spans="1:31" ht="11.25" customHeight="1">
      <c r="A453" s="611">
        <v>57</v>
      </c>
      <c r="B453" s="1"/>
      <c r="C453" s="1"/>
      <c r="D453" s="1"/>
      <c r="E453" s="1"/>
      <c r="F453" s="1"/>
      <c r="G453" s="1"/>
      <c r="H453" s="1"/>
      <c r="I453" s="1"/>
      <c r="J453" s="1"/>
      <c r="L453" s="676" t="s">
        <v>411</v>
      </c>
      <c r="M453" s="127"/>
      <c r="W453" s="71"/>
      <c r="X453" s="664" t="s">
        <v>411</v>
      </c>
      <c r="Y453" s="457"/>
      <c r="Z453" s="457"/>
      <c r="AA453" s="462" t="s">
        <v>666</v>
      </c>
      <c r="AB453" s="985"/>
      <c r="AC453" s="551" t="str">
        <f t="shared" si="58"/>
        <v/>
      </c>
      <c r="AD453" s="1062" t="str">
        <f>IF(O1301="","",O1301)</f>
        <v/>
      </c>
      <c r="AE453" s="662" t="s">
        <v>961</v>
      </c>
    </row>
    <row r="454" spans="1:31" ht="11.25" customHeight="1">
      <c r="A454" s="611">
        <v>58</v>
      </c>
      <c r="B454" s="1"/>
      <c r="C454" s="1"/>
      <c r="D454" s="1"/>
      <c r="E454" s="1"/>
      <c r="F454" s="1"/>
      <c r="G454" s="1"/>
      <c r="H454" s="1"/>
      <c r="I454" s="1"/>
      <c r="J454" s="1"/>
      <c r="L454" s="676" t="s">
        <v>411</v>
      </c>
      <c r="M454" s="127"/>
      <c r="W454" s="71"/>
      <c r="X454" s="664" t="s">
        <v>411</v>
      </c>
      <c r="Y454" s="457"/>
      <c r="Z454" s="457"/>
      <c r="AA454" s="462" t="s">
        <v>667</v>
      </c>
      <c r="AB454" s="1192"/>
      <c r="AC454" s="551" t="str">
        <f t="shared" si="58"/>
        <v/>
      </c>
      <c r="AD454" s="1062" t="str">
        <f>IF(O1367="","",O1367)</f>
        <v/>
      </c>
      <c r="AE454" s="662" t="s">
        <v>962</v>
      </c>
    </row>
    <row r="455" spans="1:31" ht="11.25" customHeight="1">
      <c r="A455" s="611">
        <v>59</v>
      </c>
      <c r="B455" s="1"/>
      <c r="C455" s="1"/>
      <c r="D455" s="1"/>
      <c r="E455" s="1"/>
      <c r="F455" s="1"/>
      <c r="G455" s="1"/>
      <c r="H455" s="1"/>
      <c r="I455" s="1"/>
      <c r="J455" s="1"/>
      <c r="L455" s="676" t="s">
        <v>411</v>
      </c>
      <c r="M455" s="127"/>
      <c r="W455" s="71"/>
      <c r="X455" s="664" t="s">
        <v>411</v>
      </c>
      <c r="Y455" s="457"/>
      <c r="Z455" s="457"/>
      <c r="AB455" s="49"/>
      <c r="AC455" s="551" t="str">
        <f t="shared" si="58"/>
        <v/>
      </c>
      <c r="AD455" s="457"/>
    </row>
    <row r="456" spans="1:31" ht="11.25" customHeight="1">
      <c r="A456" s="611">
        <v>60</v>
      </c>
      <c r="B456" s="1"/>
      <c r="C456" s="1"/>
      <c r="D456" s="1"/>
      <c r="E456" s="1"/>
      <c r="F456" s="1"/>
      <c r="G456" s="1"/>
      <c r="H456" s="1"/>
      <c r="I456" s="1"/>
      <c r="J456" s="1"/>
      <c r="L456" s="676" t="s">
        <v>411</v>
      </c>
      <c r="M456" s="127"/>
      <c r="W456" s="71"/>
      <c r="X456" s="664" t="s">
        <v>411</v>
      </c>
      <c r="Y456" s="457"/>
      <c r="Z456" s="457"/>
      <c r="AA456" s="462" t="s">
        <v>291</v>
      </c>
      <c r="AB456" s="1193"/>
      <c r="AC456" s="551" t="str">
        <f t="shared" si="58"/>
        <v>Change</v>
      </c>
      <c r="AD456" s="1062">
        <f t="shared" ref="AD456:AD462" si="69">U59</f>
        <v>1</v>
      </c>
      <c r="AE456" s="576" t="s">
        <v>963</v>
      </c>
    </row>
    <row r="457" spans="1:31" ht="11.25" customHeight="1">
      <c r="A457" s="611">
        <v>61</v>
      </c>
      <c r="B457" s="1"/>
      <c r="C457" s="1"/>
      <c r="D457" s="1"/>
      <c r="E457" s="1"/>
      <c r="F457" s="1"/>
      <c r="G457" s="1"/>
      <c r="H457" s="1"/>
      <c r="I457" s="1"/>
      <c r="J457" s="1"/>
      <c r="L457" s="676" t="s">
        <v>411</v>
      </c>
      <c r="M457" s="127"/>
      <c r="W457" s="71"/>
      <c r="X457" s="664" t="s">
        <v>411</v>
      </c>
      <c r="Y457" s="457"/>
      <c r="Z457" s="457"/>
      <c r="AA457" s="457"/>
      <c r="AB457" s="1194"/>
      <c r="AC457" s="551" t="str">
        <f t="shared" si="58"/>
        <v>Change</v>
      </c>
      <c r="AD457" s="1062" t="str">
        <f t="shared" si="69"/>
        <v>AP</v>
      </c>
      <c r="AE457" s="576" t="s">
        <v>964</v>
      </c>
    </row>
    <row r="458" spans="1:31" ht="11.25" customHeight="1">
      <c r="A458" s="611">
        <v>62</v>
      </c>
      <c r="B458" s="1"/>
      <c r="C458" s="1"/>
      <c r="D458" s="1"/>
      <c r="E458" s="1"/>
      <c r="F458" s="1"/>
      <c r="G458" s="1"/>
      <c r="H458" s="1"/>
      <c r="I458" s="1"/>
      <c r="J458" s="1"/>
      <c r="L458" s="676" t="s">
        <v>411</v>
      </c>
      <c r="M458" s="127"/>
      <c r="W458" s="71"/>
      <c r="X458" s="664" t="s">
        <v>411</v>
      </c>
      <c r="Y458" s="457"/>
      <c r="Z458" s="457"/>
      <c r="AA458" s="457"/>
      <c r="AB458" s="1194"/>
      <c r="AC458" s="551" t="str">
        <f t="shared" si="58"/>
        <v>Change</v>
      </c>
      <c r="AD458" s="1062" t="str">
        <f t="shared" si="69"/>
        <v>Front</v>
      </c>
      <c r="AE458" s="576" t="s">
        <v>965</v>
      </c>
    </row>
    <row r="459" spans="1:31" ht="11.25" customHeight="1">
      <c r="A459" s="611">
        <v>63</v>
      </c>
      <c r="B459" s="1"/>
      <c r="C459" s="54" t="s">
        <v>1065</v>
      </c>
      <c r="D459" s="48" t="str">
        <f>IF(OR(Y1397="",W1397=""),"",SLOPE(Y1397:Y1404,W1397:W1404))</f>
        <v/>
      </c>
      <c r="F459" s="54" t="s">
        <v>1066</v>
      </c>
      <c r="G459" s="48" t="str">
        <f>IF(OR(Y1414="",W1414=""),"",SLOPE(Y1414:Y1419,W1414:W1419))</f>
        <v/>
      </c>
      <c r="I459" s="54" t="s">
        <v>1067</v>
      </c>
      <c r="J459" s="48" t="str">
        <f>IF(OR(AH1397="",AI1397=""),"",SLOPE(AI1397:AI1410,AH1397:AH1410))</f>
        <v/>
      </c>
      <c r="L459" s="676" t="s">
        <v>411</v>
      </c>
      <c r="M459" s="127"/>
      <c r="W459" s="71"/>
      <c r="X459" s="664" t="s">
        <v>411</v>
      </c>
      <c r="Y459" s="457"/>
      <c r="Z459" s="457"/>
      <c r="AB459" s="1194"/>
      <c r="AC459" s="551" t="str">
        <f t="shared" si="58"/>
        <v>Change</v>
      </c>
      <c r="AD459" s="1062" t="str">
        <f t="shared" si="69"/>
        <v>Frontal</v>
      </c>
      <c r="AE459" s="576" t="s">
        <v>966</v>
      </c>
    </row>
    <row r="460" spans="1:31" ht="11.25" customHeight="1">
      <c r="A460" s="611">
        <v>64</v>
      </c>
      <c r="B460" s="1"/>
      <c r="C460" s="1"/>
      <c r="I460" s="1"/>
      <c r="J460" s="1"/>
      <c r="L460" s="676" t="s">
        <v>411</v>
      </c>
      <c r="M460" s="127"/>
      <c r="W460" s="71"/>
      <c r="X460" s="664" t="s">
        <v>411</v>
      </c>
      <c r="Y460" s="457"/>
      <c r="Z460" s="457"/>
      <c r="AA460" s="457"/>
      <c r="AB460" s="1194"/>
      <c r="AC460" s="551" t="str">
        <f t="shared" si="58"/>
        <v>Change</v>
      </c>
      <c r="AD460" s="1062" t="str">
        <f t="shared" si="69"/>
        <v>Ceph</v>
      </c>
      <c r="AE460" s="576" t="s">
        <v>967</v>
      </c>
    </row>
    <row r="461" spans="1:31" ht="11.25" customHeight="1">
      <c r="A461" s="611">
        <v>65</v>
      </c>
      <c r="B461" s="52" t="str">
        <f t="array" ref="B461:C462">$B$65:$C$66</f>
        <v>Date:</v>
      </c>
      <c r="C461" s="1133" t="str">
        <v/>
      </c>
      <c r="E461" s="51"/>
      <c r="F461" s="51"/>
      <c r="G461" s="51"/>
      <c r="H461" s="51"/>
      <c r="I461" s="52" t="str">
        <f t="array" ref="I461:J462">$I$65:$J$66</f>
        <v>Inspector:</v>
      </c>
      <c r="J461" s="421" t="str">
        <v>Eugene Mah</v>
      </c>
      <c r="L461" s="676" t="s">
        <v>411</v>
      </c>
      <c r="M461" s="127"/>
      <c r="W461" s="71"/>
      <c r="X461" s="664" t="s">
        <v>411</v>
      </c>
      <c r="Y461" s="457"/>
      <c r="Z461" s="457"/>
      <c r="AA461" s="457"/>
      <c r="AB461" s="1194"/>
      <c r="AC461" s="551" t="str">
        <f t="shared" si="58"/>
        <v>Change</v>
      </c>
      <c r="AD461" s="1062" t="str">
        <f t="shared" si="69"/>
        <v>Mobile</v>
      </c>
      <c r="AE461" s="576" t="s">
        <v>968</v>
      </c>
    </row>
    <row r="462" spans="1:31" ht="11.25" customHeight="1" thickBot="1">
      <c r="A462" s="611">
        <v>66</v>
      </c>
      <c r="B462" s="52" t="str">
        <v>Room Number:</v>
      </c>
      <c r="C462" s="373" t="str">
        <v/>
      </c>
      <c r="E462" s="51"/>
      <c r="F462" s="51"/>
      <c r="G462" s="51"/>
      <c r="H462" s="51"/>
      <c r="I462" s="52" t="str">
        <v>Survey ID:</v>
      </c>
      <c r="J462" s="1045" t="str">
        <v/>
      </c>
      <c r="L462" s="676" t="s">
        <v>411</v>
      </c>
      <c r="M462" s="98"/>
      <c r="N462" s="83"/>
      <c r="O462" s="83"/>
      <c r="P462" s="83"/>
      <c r="Q462" s="83"/>
      <c r="R462" s="83"/>
      <c r="S462" s="83"/>
      <c r="T462" s="83"/>
      <c r="U462" s="83"/>
      <c r="V462" s="83"/>
      <c r="W462" s="86"/>
      <c r="X462" s="664" t="s">
        <v>411</v>
      </c>
      <c r="Y462" s="457"/>
      <c r="Z462" s="457"/>
      <c r="AA462" s="457"/>
      <c r="AB462" s="1194"/>
      <c r="AC462" s="551" t="str">
        <f t="shared" si="58"/>
        <v/>
      </c>
      <c r="AD462" s="1062" t="str">
        <f t="shared" si="69"/>
        <v/>
      </c>
      <c r="AE462" s="576" t="s">
        <v>969</v>
      </c>
    </row>
    <row r="463" spans="1:31" ht="11.25" customHeight="1" thickTop="1">
      <c r="A463" s="611">
        <v>1</v>
      </c>
      <c r="K463" s="131" t="str">
        <f>$F$2</f>
        <v>Medical University of South Carolina</v>
      </c>
      <c r="L463" s="676" t="s">
        <v>411</v>
      </c>
      <c r="M463" s="49"/>
      <c r="W463" s="131" t="str">
        <f>$F$2</f>
        <v>Medical University of South Carolina</v>
      </c>
      <c r="X463" s="664" t="s">
        <v>411</v>
      </c>
      <c r="AA463" s="457"/>
      <c r="AB463" s="49"/>
      <c r="AC463" s="551" t="str">
        <f t="shared" si="58"/>
        <v/>
      </c>
      <c r="AD463" s="457"/>
      <c r="AE463" s="457"/>
    </row>
    <row r="464" spans="1:31" ht="11.25" customHeight="1">
      <c r="A464" s="611">
        <v>2</v>
      </c>
      <c r="F464" s="82" t="s">
        <v>559</v>
      </c>
      <c r="K464" s="132" t="str">
        <f>$F$5</f>
        <v>Radiographic System Compliance Inspection</v>
      </c>
      <c r="L464" s="676" t="s">
        <v>411</v>
      </c>
      <c r="N464" s="87"/>
      <c r="O464" s="87"/>
      <c r="P464" s="1"/>
      <c r="R464" s="82" t="str">
        <f>$F$464</f>
        <v>Measurement Data</v>
      </c>
      <c r="W464" s="132" t="str">
        <f>$F$5</f>
        <v>Radiographic System Compliance Inspection</v>
      </c>
      <c r="X464" s="664" t="s">
        <v>411</v>
      </c>
      <c r="AA464" s="462" t="s">
        <v>292</v>
      </c>
      <c r="AB464" s="1193"/>
      <c r="AC464" s="551" t="str">
        <f t="shared" ref="AC464:AC518" si="70">IF(AND(OR(AB464="",AB464=0),OR(AD464="",AD464=0)),"",IF(AB464&lt;&gt;AD464,"Change",""))</f>
        <v>Change</v>
      </c>
      <c r="AD464" s="1062">
        <f t="shared" ref="AD464:AD470" si="71">V59</f>
        <v>2</v>
      </c>
      <c r="AE464" s="576" t="s">
        <v>970</v>
      </c>
    </row>
    <row r="465" spans="1:31" ht="11.25" customHeight="1" thickBot="1">
      <c r="A465" s="611">
        <v>3</v>
      </c>
      <c r="L465" s="676" t="s">
        <v>411</v>
      </c>
      <c r="X465" s="664" t="s">
        <v>411</v>
      </c>
      <c r="AA465" s="457"/>
      <c r="AB465" s="1194"/>
      <c r="AC465" s="551" t="str">
        <f t="shared" si="70"/>
        <v>Change</v>
      </c>
      <c r="AD465" s="1062">
        <f t="shared" si="71"/>
        <v>3</v>
      </c>
      <c r="AE465" s="576" t="s">
        <v>971</v>
      </c>
    </row>
    <row r="466" spans="1:31" ht="11.25" customHeight="1" thickTop="1">
      <c r="A466" s="611">
        <v>4</v>
      </c>
      <c r="B466" s="79"/>
      <c r="C466" s="62"/>
      <c r="D466" s="62"/>
      <c r="E466" s="62"/>
      <c r="F466" s="62"/>
      <c r="G466" s="62"/>
      <c r="H466" s="62"/>
      <c r="I466" s="62"/>
      <c r="J466" s="62"/>
      <c r="K466" s="80"/>
      <c r="L466" s="676" t="s">
        <v>411</v>
      </c>
      <c r="M466" s="130" t="s">
        <v>417</v>
      </c>
      <c r="N466" s="62"/>
      <c r="O466" s="62"/>
      <c r="P466" s="62"/>
      <c r="Q466" s="62"/>
      <c r="R466" s="62"/>
      <c r="S466" s="62"/>
      <c r="T466" s="62"/>
      <c r="U466" s="62"/>
      <c r="V466" s="62"/>
      <c r="W466" s="80"/>
      <c r="X466" s="664" t="s">
        <v>411</v>
      </c>
      <c r="AA466" s="457"/>
      <c r="AB466" s="1194"/>
      <c r="AC466" s="551" t="str">
        <f t="shared" si="70"/>
        <v>Change</v>
      </c>
      <c r="AD466" s="1062" t="str">
        <f t="shared" si="71"/>
        <v>Lat</v>
      </c>
      <c r="AE466" s="576" t="s">
        <v>972</v>
      </c>
    </row>
    <row r="467" spans="1:31" ht="11.25" customHeight="1">
      <c r="A467" s="611">
        <v>5</v>
      </c>
      <c r="B467" s="108" t="s">
        <v>414</v>
      </c>
      <c r="C467" s="109"/>
      <c r="F467" s="190" t="s">
        <v>434</v>
      </c>
      <c r="G467" s="1"/>
      <c r="H467" s="1"/>
      <c r="I467" s="1"/>
      <c r="J467" s="262" t="s">
        <v>416</v>
      </c>
      <c r="K467" s="395"/>
      <c r="L467" s="676" t="s">
        <v>411</v>
      </c>
      <c r="M467" s="127"/>
      <c r="Q467" s="1"/>
      <c r="R467" s="190" t="s">
        <v>434</v>
      </c>
      <c r="S467" s="1"/>
      <c r="T467" s="1"/>
      <c r="U467" s="1"/>
      <c r="V467" s="1"/>
      <c r="W467" s="71"/>
      <c r="X467" s="664" t="s">
        <v>411</v>
      </c>
      <c r="AA467" s="457"/>
      <c r="AB467" s="1194"/>
      <c r="AC467" s="551" t="str">
        <f t="shared" si="70"/>
        <v>Change</v>
      </c>
      <c r="AD467" s="1062" t="str">
        <f t="shared" si="71"/>
        <v>Lateral</v>
      </c>
      <c r="AE467" s="576" t="s">
        <v>973</v>
      </c>
    </row>
    <row r="468" spans="1:31" ht="11.25" customHeight="1">
      <c r="A468" s="611">
        <v>6</v>
      </c>
      <c r="B468" s="110" t="s">
        <v>1190</v>
      </c>
      <c r="C468" s="111"/>
      <c r="D468" s="50" t="s">
        <v>435</v>
      </c>
      <c r="J468" s="114" t="str">
        <f t="shared" ref="J468:J474" si="72">IF($M468="","TBD",IF($M468=1,"YES",IF($M468=3,"NA","")))</f>
        <v>TBD</v>
      </c>
      <c r="K468" s="343" t="str">
        <f t="shared" ref="K468:K474" si="73">IF($M468=2,"NO","")</f>
        <v/>
      </c>
      <c r="L468" s="676" t="s">
        <v>411</v>
      </c>
      <c r="M468" s="617"/>
      <c r="O468" s="50" t="s">
        <v>435</v>
      </c>
      <c r="W468" s="71"/>
      <c r="X468" s="664" t="s">
        <v>411</v>
      </c>
      <c r="AA468" s="457"/>
      <c r="AB468" s="1194"/>
      <c r="AC468" s="551" t="str">
        <f t="shared" si="70"/>
        <v>Change</v>
      </c>
      <c r="AD468" s="1062" t="str">
        <f t="shared" si="71"/>
        <v>Pan</v>
      </c>
      <c r="AE468" s="576" t="s">
        <v>974</v>
      </c>
    </row>
    <row r="469" spans="1:31" ht="11.25" customHeight="1">
      <c r="A469" s="611">
        <v>7</v>
      </c>
      <c r="B469" s="110"/>
      <c r="C469" s="128"/>
      <c r="D469" s="50" t="s">
        <v>436</v>
      </c>
      <c r="J469" s="114" t="str">
        <f t="shared" si="72"/>
        <v>NA</v>
      </c>
      <c r="K469" s="343" t="str">
        <f t="shared" si="73"/>
        <v/>
      </c>
      <c r="L469" s="676" t="s">
        <v>411</v>
      </c>
      <c r="M469" s="816">
        <f>IF(N469&lt;&gt;"",N469,IF(OR(AB86=0,AB86=""),3,AB86))</f>
        <v>3</v>
      </c>
      <c r="N469" s="701">
        <v>3</v>
      </c>
      <c r="O469" s="50" t="s">
        <v>436</v>
      </c>
      <c r="W469" s="71"/>
      <c r="X469" s="664" t="s">
        <v>411</v>
      </c>
      <c r="AA469" s="457"/>
      <c r="AB469" s="1194"/>
      <c r="AC469" s="551" t="str">
        <f t="shared" si="70"/>
        <v>Change</v>
      </c>
      <c r="AD469" s="1062" t="str">
        <f t="shared" si="71"/>
        <v>BCM</v>
      </c>
      <c r="AE469" s="576" t="s">
        <v>975</v>
      </c>
    </row>
    <row r="470" spans="1:31" ht="11.25" customHeight="1">
      <c r="A470" s="611">
        <v>8</v>
      </c>
      <c r="B470" s="110" t="s">
        <v>1191</v>
      </c>
      <c r="C470" s="111"/>
      <c r="D470" s="50" t="s">
        <v>437</v>
      </c>
      <c r="E470" s="50"/>
      <c r="F470" s="50"/>
      <c r="G470" s="50"/>
      <c r="H470" s="50"/>
      <c r="I470" s="50"/>
      <c r="J470" s="114" t="str">
        <f t="shared" si="72"/>
        <v>TBD</v>
      </c>
      <c r="K470" s="343" t="str">
        <f t="shared" si="73"/>
        <v/>
      </c>
      <c r="L470" s="676" t="s">
        <v>411</v>
      </c>
      <c r="M470" s="617"/>
      <c r="N470" s="50"/>
      <c r="O470" s="50" t="s">
        <v>437</v>
      </c>
      <c r="P470" s="50"/>
      <c r="Q470" s="50"/>
      <c r="R470" s="50"/>
      <c r="S470" s="50"/>
      <c r="T470" s="50"/>
      <c r="U470" s="50"/>
      <c r="V470" s="50"/>
      <c r="W470" s="71"/>
      <c r="X470" s="664" t="s">
        <v>411</v>
      </c>
      <c r="AB470" s="1194"/>
      <c r="AC470" s="551" t="str">
        <f t="shared" si="70"/>
        <v/>
      </c>
      <c r="AD470" s="1062" t="str">
        <f t="shared" si="71"/>
        <v/>
      </c>
      <c r="AE470" s="576" t="s">
        <v>976</v>
      </c>
    </row>
    <row r="471" spans="1:31" ht="11.25" customHeight="1">
      <c r="A471" s="611">
        <v>9</v>
      </c>
      <c r="B471" s="110" t="s">
        <v>1192</v>
      </c>
      <c r="C471" s="111"/>
      <c r="D471" s="50" t="s">
        <v>438</v>
      </c>
      <c r="E471" s="49"/>
      <c r="F471" s="49"/>
      <c r="G471" s="49"/>
      <c r="H471" s="49"/>
      <c r="I471" s="49"/>
      <c r="J471" s="114" t="str">
        <f t="shared" si="72"/>
        <v>TBD</v>
      </c>
      <c r="K471" s="343" t="str">
        <f t="shared" si="73"/>
        <v/>
      </c>
      <c r="L471" s="676" t="s">
        <v>411</v>
      </c>
      <c r="M471" s="617"/>
      <c r="N471" s="50"/>
      <c r="O471" s="50" t="s">
        <v>438</v>
      </c>
      <c r="P471" s="49"/>
      <c r="Q471" s="49"/>
      <c r="R471" s="49"/>
      <c r="S471" s="49"/>
      <c r="T471" s="49"/>
      <c r="U471" s="49"/>
      <c r="V471" s="49"/>
      <c r="W471" s="71"/>
      <c r="X471" s="664" t="s">
        <v>411</v>
      </c>
      <c r="AB471" s="49"/>
      <c r="AC471" s="551" t="str">
        <f t="shared" si="70"/>
        <v/>
      </c>
      <c r="AD471" s="457"/>
    </row>
    <row r="472" spans="1:31" ht="11.25" customHeight="1">
      <c r="A472" s="611">
        <v>10</v>
      </c>
      <c r="B472" s="110" t="s">
        <v>1193</v>
      </c>
      <c r="C472" s="111"/>
      <c r="D472" s="50" t="s">
        <v>560</v>
      </c>
      <c r="E472" s="49"/>
      <c r="F472" s="49"/>
      <c r="G472" s="49"/>
      <c r="H472" s="49"/>
      <c r="I472" s="49"/>
      <c r="J472" s="114" t="str">
        <f t="shared" si="72"/>
        <v>TBD</v>
      </c>
      <c r="K472" s="343" t="str">
        <f t="shared" si="73"/>
        <v/>
      </c>
      <c r="L472" s="676" t="s">
        <v>411</v>
      </c>
      <c r="M472" s="617"/>
      <c r="N472" s="49"/>
      <c r="O472" s="50" t="s">
        <v>560</v>
      </c>
      <c r="P472" s="49"/>
      <c r="Q472" s="49"/>
      <c r="R472" s="49"/>
      <c r="S472" s="49"/>
      <c r="T472" s="49"/>
      <c r="U472" s="49"/>
      <c r="V472" s="49"/>
      <c r="W472" s="71"/>
      <c r="X472" s="664" t="s">
        <v>411</v>
      </c>
      <c r="AA472" s="462" t="s">
        <v>293</v>
      </c>
      <c r="AB472" s="1195"/>
      <c r="AC472" s="551" t="str">
        <f t="shared" si="70"/>
        <v/>
      </c>
      <c r="AD472" s="1064" t="str">
        <f>S482</f>
        <v/>
      </c>
      <c r="AE472" s="1182" t="s">
        <v>1144</v>
      </c>
    </row>
    <row r="473" spans="1:31" ht="11.25" customHeight="1">
      <c r="A473" s="611">
        <v>11</v>
      </c>
      <c r="B473" s="127"/>
      <c r="D473" s="50" t="s">
        <v>562</v>
      </c>
      <c r="J473" s="114" t="str">
        <f t="shared" si="72"/>
        <v>TBD</v>
      </c>
      <c r="K473" s="343" t="str">
        <f t="shared" si="73"/>
        <v/>
      </c>
      <c r="L473" s="676" t="s">
        <v>411</v>
      </c>
      <c r="M473" s="617"/>
      <c r="N473" s="50"/>
      <c r="O473" s="50" t="s">
        <v>562</v>
      </c>
      <c r="W473" s="71"/>
      <c r="X473" s="664" t="s">
        <v>411</v>
      </c>
      <c r="AA473" s="462" t="s">
        <v>294</v>
      </c>
      <c r="AB473" s="1196"/>
      <c r="AC473" s="551" t="str">
        <f t="shared" si="70"/>
        <v>Change</v>
      </c>
      <c r="AD473" s="1065" t="str">
        <f>U504</f>
        <v>TBD</v>
      </c>
      <c r="AE473" s="576" t="s">
        <v>977</v>
      </c>
    </row>
    <row r="474" spans="1:31" ht="11.25" customHeight="1">
      <c r="A474" s="611">
        <v>12</v>
      </c>
      <c r="B474" s="110" t="s">
        <v>1221</v>
      </c>
      <c r="C474" s="159"/>
      <c r="D474" s="50" t="s">
        <v>1119</v>
      </c>
      <c r="J474" s="114" t="str">
        <f t="shared" si="72"/>
        <v>TBD</v>
      </c>
      <c r="K474" s="343" t="str">
        <f t="shared" si="73"/>
        <v/>
      </c>
      <c r="L474" s="676" t="s">
        <v>411</v>
      </c>
      <c r="M474" s="617"/>
      <c r="N474" s="49"/>
      <c r="O474" s="50" t="s">
        <v>1119</v>
      </c>
      <c r="W474" s="71"/>
      <c r="X474" s="664" t="s">
        <v>411</v>
      </c>
      <c r="AA474" s="462" t="s">
        <v>1045</v>
      </c>
      <c r="AB474" s="1197"/>
      <c r="AC474" s="551" t="str">
        <f>IF(AND(OR(AB474="",AB474=0),OR(AD474="",AD474=0)),"",IF(AB474&lt;&gt;AD474,"Change",""))</f>
        <v/>
      </c>
      <c r="AD474" s="1079" t="str">
        <f>O506</f>
        <v/>
      </c>
    </row>
    <row r="475" spans="1:31" ht="11.25" customHeight="1">
      <c r="A475" s="611">
        <v>13</v>
      </c>
      <c r="B475" s="127"/>
      <c r="K475" s="69"/>
      <c r="L475" s="676" t="s">
        <v>411</v>
      </c>
      <c r="M475" s="127"/>
      <c r="W475" s="71"/>
      <c r="X475" s="664" t="s">
        <v>411</v>
      </c>
      <c r="AA475" s="462" t="s">
        <v>295</v>
      </c>
      <c r="AB475" s="1198"/>
      <c r="AC475" s="551" t="str">
        <f t="shared" si="70"/>
        <v>Change</v>
      </c>
      <c r="AD475" s="1065" t="str">
        <f>R537</f>
        <v>TBD</v>
      </c>
      <c r="AE475" s="576" t="s">
        <v>978</v>
      </c>
    </row>
    <row r="476" spans="1:31" ht="11.25" customHeight="1">
      <c r="A476" s="611">
        <v>14</v>
      </c>
      <c r="B476" s="102" t="s">
        <v>552</v>
      </c>
      <c r="C476" s="922" t="str">
        <f>IF(O476="","",IF(LEN(O476)&lt;=135,O476,IF(LEN(O476)&lt;=260,LEFT(O476,SEARCH(" ",O476,125)),LEFT(O476,SEARCH(" ",O476,130)))))</f>
        <v/>
      </c>
      <c r="D476" s="48"/>
      <c r="E476" s="48"/>
      <c r="F476" s="48"/>
      <c r="G476" s="48"/>
      <c r="H476" s="48"/>
      <c r="I476" s="48"/>
      <c r="J476" s="48"/>
      <c r="K476" s="69"/>
      <c r="L476" s="676" t="s">
        <v>411</v>
      </c>
      <c r="M476" s="85"/>
      <c r="N476" s="577" t="s">
        <v>552</v>
      </c>
      <c r="O476" s="713" t="str">
        <f>IF(O478&lt;&gt;"",O478,IF(OR(AB429=0,AB429=""),"",AB429))</f>
        <v/>
      </c>
      <c r="P476" s="48"/>
      <c r="Q476" s="48"/>
      <c r="R476" s="48"/>
      <c r="S476" s="48"/>
      <c r="T476" s="48"/>
      <c r="U476" s="48"/>
      <c r="V476" s="48"/>
      <c r="W476" s="103"/>
      <c r="X476" s="664" t="s">
        <v>411</v>
      </c>
      <c r="AA476" s="462" t="s">
        <v>296</v>
      </c>
      <c r="AB476" s="1197"/>
      <c r="AC476" s="551" t="str">
        <f t="shared" si="70"/>
        <v/>
      </c>
      <c r="AD476" s="1066" t="str">
        <f>IF(Q547="","",Q547)</f>
        <v/>
      </c>
      <c r="AE476" s="576" t="s">
        <v>979</v>
      </c>
    </row>
    <row r="477" spans="1:31" ht="11.25" customHeight="1">
      <c r="A477" s="611">
        <v>15</v>
      </c>
      <c r="B477" s="85"/>
      <c r="C477" s="923" t="str">
        <f>IF(LEN(O476)&lt;=135,"",IF(LEN(O476)&lt;=260,RIGHT(O476,LEN(O476)-SEARCH(" ",O476,125)),MID(O476,SEARCH(" ",O476,130),IF(LEN(O476)&lt;=265,LEN(O476),SEARCH(" ",O476,255)-SEARCH(" ",O476,130)))))</f>
        <v/>
      </c>
      <c r="D477" s="48"/>
      <c r="E477" s="48"/>
      <c r="F477" s="48"/>
      <c r="G477" s="48"/>
      <c r="H477" s="48"/>
      <c r="I477" s="48"/>
      <c r="J477" s="48"/>
      <c r="K477" s="69"/>
      <c r="L477" s="676" t="s">
        <v>411</v>
      </c>
      <c r="M477" s="66"/>
      <c r="N477" s="609" t="s">
        <v>282</v>
      </c>
      <c r="O477" s="59"/>
      <c r="P477" s="921">
        <f>LEN(O476)</f>
        <v>0</v>
      </c>
      <c r="Q477" s="59"/>
      <c r="R477" s="59"/>
      <c r="S477" s="59"/>
      <c r="T477" s="59"/>
      <c r="U477" s="59"/>
      <c r="V477" s="59"/>
      <c r="W477" s="105"/>
      <c r="X477" s="664" t="s">
        <v>411</v>
      </c>
      <c r="AB477" s="49"/>
      <c r="AC477" s="551" t="str">
        <f t="shared" si="70"/>
        <v/>
      </c>
      <c r="AD477" s="457"/>
    </row>
    <row r="478" spans="1:31" ht="11.25" customHeight="1">
      <c r="A478" s="611">
        <v>16</v>
      </c>
      <c r="B478" s="85"/>
      <c r="C478" s="923" t="str">
        <f>IF(LEN(O476)&lt;=265,"",RIGHT(O476,LEN(O476)-SEARCH(" ",O476,255)))</f>
        <v/>
      </c>
      <c r="D478" s="48"/>
      <c r="E478" s="48"/>
      <c r="F478" s="48"/>
      <c r="G478" s="48"/>
      <c r="H478" s="48"/>
      <c r="I478" s="48"/>
      <c r="J478" s="48"/>
      <c r="K478" s="69"/>
      <c r="L478" s="676" t="s">
        <v>411</v>
      </c>
      <c r="M478" s="213"/>
      <c r="N478" s="1024" t="s">
        <v>619</v>
      </c>
      <c r="O478" s="1026"/>
      <c r="P478" s="59"/>
      <c r="Q478" s="59"/>
      <c r="R478" s="48"/>
      <c r="S478" s="48"/>
      <c r="T478" s="48"/>
      <c r="U478" s="48"/>
      <c r="V478" s="48"/>
      <c r="W478" s="103"/>
      <c r="X478" s="664" t="s">
        <v>411</v>
      </c>
      <c r="AA478" s="462" t="s">
        <v>298</v>
      </c>
      <c r="AB478" s="1198"/>
      <c r="AC478" s="551" t="str">
        <f t="shared" si="70"/>
        <v/>
      </c>
      <c r="AD478" s="1066" t="str">
        <f>IF(Q608="","",Q608)</f>
        <v/>
      </c>
      <c r="AE478" s="576" t="s">
        <v>980</v>
      </c>
    </row>
    <row r="479" spans="1:31" ht="11.25" customHeight="1">
      <c r="A479" s="611">
        <v>17</v>
      </c>
      <c r="B479" s="85"/>
      <c r="C479" s="326"/>
      <c r="D479" s="49"/>
      <c r="E479" s="49"/>
      <c r="F479" s="49"/>
      <c r="G479" s="49"/>
      <c r="H479" s="49"/>
      <c r="I479" s="49"/>
      <c r="J479" s="49"/>
      <c r="K479" s="69"/>
      <c r="L479" s="676" t="s">
        <v>411</v>
      </c>
      <c r="M479" s="66"/>
      <c r="N479" s="49"/>
      <c r="O479" s="49"/>
      <c r="P479" s="49"/>
      <c r="Q479" s="49"/>
      <c r="R479" s="49"/>
      <c r="S479" s="49"/>
      <c r="T479" s="49"/>
      <c r="U479" s="49"/>
      <c r="V479" s="49"/>
      <c r="W479" s="69"/>
      <c r="X479" s="664" t="s">
        <v>411</v>
      </c>
      <c r="AA479" s="462"/>
      <c r="AB479" s="49"/>
      <c r="AC479" s="551" t="str">
        <f t="shared" si="70"/>
        <v/>
      </c>
      <c r="AD479" s="457"/>
    </row>
    <row r="480" spans="1:31" ht="11.25" customHeight="1" thickBot="1">
      <c r="A480" s="611">
        <v>18</v>
      </c>
      <c r="B480" s="191" t="s">
        <v>563</v>
      </c>
      <c r="D480" s="117" t="s">
        <v>512</v>
      </c>
      <c r="E480" s="117" t="s">
        <v>512</v>
      </c>
      <c r="F480" s="117" t="s">
        <v>564</v>
      </c>
      <c r="K480" s="71"/>
      <c r="L480" s="676" t="s">
        <v>411</v>
      </c>
      <c r="M480" s="127"/>
      <c r="P480" s="117" t="s">
        <v>1118</v>
      </c>
      <c r="Q480" s="117" t="s">
        <v>1113</v>
      </c>
      <c r="R480" s="117" t="s">
        <v>512</v>
      </c>
      <c r="S480" s="117" t="s">
        <v>564</v>
      </c>
      <c r="W480" s="71"/>
      <c r="X480" s="664" t="s">
        <v>411</v>
      </c>
      <c r="AA480" s="462" t="s">
        <v>299</v>
      </c>
      <c r="AB480" s="1198"/>
      <c r="AC480" s="551" t="str">
        <f t="shared" si="70"/>
        <v>Change</v>
      </c>
      <c r="AD480" s="1066" t="str">
        <f>S950</f>
        <v>HVL @80 kVp (Avg kV)</v>
      </c>
      <c r="AE480" s="576" t="s">
        <v>981</v>
      </c>
    </row>
    <row r="481" spans="1:31" ht="11.25" customHeight="1" thickBot="1">
      <c r="A481" s="611">
        <v>19</v>
      </c>
      <c r="B481" s="191" t="s">
        <v>565</v>
      </c>
      <c r="C481" s="49"/>
      <c r="D481" s="146" t="s">
        <v>566</v>
      </c>
      <c r="E481" s="146" t="s">
        <v>567</v>
      </c>
      <c r="F481" s="138" t="s">
        <v>568</v>
      </c>
      <c r="G481" s="1153" t="s">
        <v>569</v>
      </c>
      <c r="K481" s="71"/>
      <c r="L481" s="676" t="s">
        <v>411</v>
      </c>
      <c r="M481" s="127"/>
      <c r="N481" s="194" t="s">
        <v>563</v>
      </c>
      <c r="P481" s="146" t="s">
        <v>566</v>
      </c>
      <c r="Q481" s="146" t="s">
        <v>566</v>
      </c>
      <c r="R481" s="146" t="s">
        <v>567</v>
      </c>
      <c r="S481" s="146" t="s">
        <v>568</v>
      </c>
      <c r="T481" s="1152" t="s">
        <v>569</v>
      </c>
      <c r="W481" s="71"/>
      <c r="X481" s="664" t="s">
        <v>411</v>
      </c>
      <c r="AA481" s="462" t="s">
        <v>300</v>
      </c>
      <c r="AB481" s="1197"/>
      <c r="AC481" s="551" t="e">
        <f t="shared" si="70"/>
        <v>#DIV/0!</v>
      </c>
      <c r="AD481" s="1066" t="e">
        <f>S951</f>
        <v>#DIV/0!</v>
      </c>
      <c r="AE481" s="576" t="s">
        <v>982</v>
      </c>
    </row>
    <row r="482" spans="1:31" ht="11.25" customHeight="1">
      <c r="A482" s="611">
        <v>20</v>
      </c>
      <c r="B482" s="66"/>
      <c r="D482" s="154" t="str">
        <f>IF(Q482="","",Q482)</f>
        <v/>
      </c>
      <c r="E482" s="154" t="str">
        <f>IF(R482="","",R482)</f>
        <v/>
      </c>
      <c r="F482" s="1148" t="str">
        <f>S482</f>
        <v/>
      </c>
      <c r="G482" s="1154" t="str">
        <f>IF(K472="NO","NA",T482)</f>
        <v/>
      </c>
      <c r="I482" s="49"/>
      <c r="J482" s="49"/>
      <c r="K482" s="71"/>
      <c r="L482" s="676" t="s">
        <v>411</v>
      </c>
      <c r="M482" s="127"/>
      <c r="N482" s="194" t="s">
        <v>565</v>
      </c>
      <c r="P482" s="1147"/>
      <c r="Q482" s="1161" t="str">
        <f>IF(P482&lt;&gt;"",P482,IF(AB88="","",AB88))</f>
        <v/>
      </c>
      <c r="R482" s="1162"/>
      <c r="S482" s="1148" t="str">
        <f>IF(OR(P482="",R482=""),"",ABS(P482-R482)/R482)</f>
        <v/>
      </c>
      <c r="T482" s="1149" t="str">
        <f>IF(OR(M472=2,M472=3),"NA",IF(S482="","",IF(S482&lt;=0.02,"YES","NO")))</f>
        <v/>
      </c>
      <c r="U482" s="49"/>
      <c r="W482" s="71"/>
      <c r="X482" s="664" t="s">
        <v>411</v>
      </c>
      <c r="AA482" s="462"/>
      <c r="AB482" s="49"/>
      <c r="AC482" s="551" t="str">
        <f t="shared" si="70"/>
        <v/>
      </c>
      <c r="AD482" s="575"/>
      <c r="AE482" s="662"/>
    </row>
    <row r="483" spans="1:31" ht="11.25" customHeight="1">
      <c r="A483" s="611">
        <v>21</v>
      </c>
      <c r="B483" s="66"/>
      <c r="D483" s="154" t="str">
        <f t="shared" ref="D483:D484" si="74">IF(Q483="","",Q483)</f>
        <v/>
      </c>
      <c r="E483" s="154" t="str">
        <f t="shared" ref="E483" si="75">IF(R483="","",R483)</f>
        <v/>
      </c>
      <c r="F483" s="1148" t="str">
        <f>S483</f>
        <v/>
      </c>
      <c r="G483" s="1154" t="str">
        <f>IF(K472="NO","NA",T483)</f>
        <v/>
      </c>
      <c r="I483" s="49"/>
      <c r="J483" s="49"/>
      <c r="K483" s="71"/>
      <c r="L483" s="676" t="s">
        <v>411</v>
      </c>
      <c r="M483" s="127"/>
      <c r="P483" s="1147"/>
      <c r="Q483" s="1161" t="str">
        <f t="shared" ref="Q483:Q484" si="76">IF(P483&lt;&gt;"",P483,IF(AB89="","",AB89))</f>
        <v/>
      </c>
      <c r="R483" s="1162"/>
      <c r="S483" s="1148" t="str">
        <f t="shared" ref="S483:S484" si="77">IF(OR(P483="",R483=""),"",ABS(P483-R483)/R483)</f>
        <v/>
      </c>
      <c r="T483" s="1150" t="str">
        <f>IF(OR(M472=2,M472=3),"NA",IF(S483="","",IF(S483&lt;=0.02,"YES","NO")))</f>
        <v/>
      </c>
      <c r="U483" s="49"/>
      <c r="V483" s="49"/>
      <c r="W483" s="71"/>
      <c r="X483" s="664" t="s">
        <v>411</v>
      </c>
      <c r="AA483" s="462" t="s">
        <v>301</v>
      </c>
      <c r="AB483" s="1198"/>
      <c r="AC483" s="551" t="str">
        <f t="shared" si="70"/>
        <v>Change</v>
      </c>
      <c r="AD483" s="1066" t="str">
        <f>IF(W1063="","",W1063)</f>
        <v>NA</v>
      </c>
      <c r="AE483" s="576" t="s">
        <v>983</v>
      </c>
    </row>
    <row r="484" spans="1:31" ht="11.25" customHeight="1" thickBot="1">
      <c r="A484" s="611">
        <v>22</v>
      </c>
      <c r="B484" s="66"/>
      <c r="C484" s="49"/>
      <c r="D484" s="154" t="str">
        <f t="shared" si="74"/>
        <v/>
      </c>
      <c r="E484" s="154" t="str">
        <f>IF(R484="","",R484)</f>
        <v/>
      </c>
      <c r="F484" s="1148" t="str">
        <f>S484</f>
        <v/>
      </c>
      <c r="G484" s="1155" t="str">
        <f>IF(K472="NO","NA",T484)</f>
        <v/>
      </c>
      <c r="K484" s="71"/>
      <c r="L484" s="676" t="s">
        <v>411</v>
      </c>
      <c r="M484" s="66"/>
      <c r="N484" s="49"/>
      <c r="P484" s="1147"/>
      <c r="Q484" s="1161" t="str">
        <f t="shared" si="76"/>
        <v/>
      </c>
      <c r="R484" s="1162"/>
      <c r="S484" s="1148" t="str">
        <f t="shared" si="77"/>
        <v/>
      </c>
      <c r="T484" s="1151" t="str">
        <f>IF(OR(M472=2,M472=3),"NA",IF(S484="","",IF(S484&lt;=0.02,"YES","NO")))</f>
        <v/>
      </c>
      <c r="W484" s="71"/>
      <c r="X484" s="664" t="s">
        <v>411</v>
      </c>
      <c r="AA484" s="462" t="s">
        <v>302</v>
      </c>
      <c r="AB484" s="1197"/>
      <c r="AC484" s="551" t="str">
        <f t="shared" si="70"/>
        <v>Change</v>
      </c>
      <c r="AD484" s="1066" t="str">
        <f>IF(W1129="","",W1129)</f>
        <v>NA</v>
      </c>
      <c r="AE484" s="576" t="s">
        <v>984</v>
      </c>
    </row>
    <row r="485" spans="1:31" ht="11.25" customHeight="1">
      <c r="A485" s="611">
        <v>23</v>
      </c>
      <c r="B485" s="66"/>
      <c r="C485" s="49"/>
      <c r="K485" s="71"/>
      <c r="L485" s="676" t="s">
        <v>411</v>
      </c>
      <c r="M485" s="66"/>
      <c r="N485" s="49"/>
      <c r="S485" s="712" t="s">
        <v>376</v>
      </c>
      <c r="T485" s="754" t="str">
        <f>IF(AB472="","",AB472)</f>
        <v/>
      </c>
      <c r="W485" s="71"/>
      <c r="X485" s="664" t="s">
        <v>411</v>
      </c>
      <c r="AA485" s="462"/>
      <c r="AB485" s="49"/>
      <c r="AC485" s="551" t="str">
        <f t="shared" si="70"/>
        <v/>
      </c>
      <c r="AD485" s="575"/>
      <c r="AE485" s="662"/>
    </row>
    <row r="486" spans="1:31" ht="11.25" customHeight="1">
      <c r="A486" s="611">
        <v>24</v>
      </c>
      <c r="B486" s="192" t="s">
        <v>570</v>
      </c>
      <c r="C486" s="100" t="s">
        <v>571</v>
      </c>
      <c r="K486" s="71"/>
      <c r="L486" s="676" t="s">
        <v>411</v>
      </c>
      <c r="M486" s="102"/>
      <c r="N486" s="132" t="s">
        <v>570</v>
      </c>
      <c r="O486" s="100" t="s">
        <v>571</v>
      </c>
      <c r="P486" s="49"/>
      <c r="Q486" s="49"/>
      <c r="R486" s="49"/>
      <c r="S486" s="49"/>
      <c r="U486" s="50"/>
      <c r="V486" s="49"/>
      <c r="W486" s="71"/>
      <c r="X486" s="664" t="s">
        <v>411</v>
      </c>
      <c r="AA486" s="462" t="s">
        <v>303</v>
      </c>
      <c r="AB486" s="1199"/>
      <c r="AC486" s="551" t="str">
        <f t="shared" si="70"/>
        <v/>
      </c>
      <c r="AD486" s="1057">
        <f>R1432</f>
        <v>0</v>
      </c>
      <c r="AE486" s="576" t="s">
        <v>985</v>
      </c>
    </row>
    <row r="487" spans="1:31" ht="11.25" customHeight="1">
      <c r="A487" s="611">
        <v>25</v>
      </c>
      <c r="B487" s="85"/>
      <c r="D487" s="49"/>
      <c r="E487" s="49"/>
      <c r="F487" s="49"/>
      <c r="G487" s="49"/>
      <c r="H487" s="49"/>
      <c r="I487" s="49"/>
      <c r="J487" s="49"/>
      <c r="K487" s="71"/>
      <c r="L487" s="676" t="s">
        <v>411</v>
      </c>
      <c r="M487" s="127"/>
      <c r="O487" s="49"/>
      <c r="P487" s="49"/>
      <c r="Q487" s="49"/>
      <c r="R487" s="49"/>
      <c r="S487" s="49"/>
      <c r="U487" s="49"/>
      <c r="V487" s="49"/>
      <c r="W487" s="71"/>
      <c r="X487" s="664" t="s">
        <v>411</v>
      </c>
      <c r="AA487" s="462" t="s">
        <v>304</v>
      </c>
      <c r="AB487" s="1200"/>
      <c r="AC487" s="551" t="str">
        <f t="shared" si="70"/>
        <v/>
      </c>
      <c r="AD487" s="1057">
        <f>T1432</f>
        <v>0</v>
      </c>
      <c r="AE487" s="576" t="s">
        <v>986</v>
      </c>
    </row>
    <row r="488" spans="1:31" ht="11.25" customHeight="1">
      <c r="A488" s="611">
        <v>26</v>
      </c>
      <c r="B488" s="102" t="s">
        <v>552</v>
      </c>
      <c r="C488" s="922" t="str">
        <f>IF(O488="","",IF(LEN(O488)&lt;=135,O488,IF(LEN(O488)&lt;=260,LEFT(O488,SEARCH(" ",O488,125)),LEFT(O488,SEARCH(" ",O488,130)))))</f>
        <v/>
      </c>
      <c r="D488" s="48"/>
      <c r="E488" s="48"/>
      <c r="F488" s="48"/>
      <c r="G488" s="48"/>
      <c r="H488" s="48"/>
      <c r="I488" s="48"/>
      <c r="J488" s="48"/>
      <c r="K488" s="71"/>
      <c r="L488" s="676" t="s">
        <v>411</v>
      </c>
      <c r="M488" s="127"/>
      <c r="N488" s="577" t="s">
        <v>552</v>
      </c>
      <c r="O488" s="713" t="str">
        <f>IF(O490&lt;&gt;"",O490,IF(OR(AB430=0,AB430=""),"",AB430))</f>
        <v/>
      </c>
      <c r="P488" s="48"/>
      <c r="Q488" s="48"/>
      <c r="R488" s="48"/>
      <c r="S488" s="48"/>
      <c r="T488" s="48"/>
      <c r="U488" s="48"/>
      <c r="V488" s="48"/>
      <c r="W488" s="103"/>
      <c r="X488" s="664" t="s">
        <v>411</v>
      </c>
      <c r="AA488" s="462" t="s">
        <v>305</v>
      </c>
      <c r="AB488" s="1200"/>
      <c r="AC488" s="551" t="str">
        <f t="shared" si="70"/>
        <v/>
      </c>
      <c r="AD488" s="1057">
        <f>R1433</f>
        <v>0</v>
      </c>
      <c r="AE488" s="576" t="s">
        <v>987</v>
      </c>
    </row>
    <row r="489" spans="1:31" ht="11.25" customHeight="1">
      <c r="A489" s="611">
        <v>27</v>
      </c>
      <c r="B489" s="85"/>
      <c r="C489" s="923" t="str">
        <f>IF(LEN(O488)&lt;=135,"",IF(LEN(O488)&lt;=260,RIGHT(O488,LEN(O488)-SEARCH(" ",O488,125)),MID(O488,SEARCH(" ",O488,130),IF(LEN(O488)&lt;=265,LEN(O488),SEARCH(" ",O488,255)-SEARCH(" ",O488,130)))))</f>
        <v/>
      </c>
      <c r="D489" s="48"/>
      <c r="E489" s="48"/>
      <c r="F489" s="48"/>
      <c r="G489" s="48"/>
      <c r="H489" s="48"/>
      <c r="I489" s="48"/>
      <c r="J489" s="48"/>
      <c r="K489" s="71"/>
      <c r="L489" s="676" t="s">
        <v>411</v>
      </c>
      <c r="M489" s="85"/>
      <c r="N489" s="609" t="s">
        <v>282</v>
      </c>
      <c r="O489" s="59"/>
      <c r="P489" s="921">
        <f>LEN(O488)</f>
        <v>0</v>
      </c>
      <c r="Q489" s="59"/>
      <c r="R489" s="59"/>
      <c r="S489" s="59"/>
      <c r="T489" s="59"/>
      <c r="U489" s="59"/>
      <c r="V489" s="59"/>
      <c r="W489" s="105"/>
      <c r="X489" s="664" t="s">
        <v>411</v>
      </c>
      <c r="AA489" s="675" t="s">
        <v>306</v>
      </c>
      <c r="AB489" s="49"/>
      <c r="AC489" s="551" t="str">
        <f t="shared" si="70"/>
        <v/>
      </c>
      <c r="AD489" s="457"/>
    </row>
    <row r="490" spans="1:31" ht="11.25" customHeight="1">
      <c r="A490" s="611">
        <v>28</v>
      </c>
      <c r="B490" s="85"/>
      <c r="C490" s="923" t="str">
        <f>IF(LEN(O488)&lt;=265,"",RIGHT(O488,LEN(O488)-SEARCH(" ",O488,255)))</f>
        <v/>
      </c>
      <c r="D490" s="48"/>
      <c r="E490" s="48"/>
      <c r="F490" s="48"/>
      <c r="G490" s="48"/>
      <c r="H490" s="48"/>
      <c r="I490" s="48"/>
      <c r="J490" s="48"/>
      <c r="K490" s="71"/>
      <c r="L490" s="676" t="s">
        <v>411</v>
      </c>
      <c r="M490" s="66"/>
      <c r="N490" s="1024" t="s">
        <v>619</v>
      </c>
      <c r="O490" s="1026"/>
      <c r="P490" s="59"/>
      <c r="Q490" s="59"/>
      <c r="R490" s="48"/>
      <c r="S490" s="48"/>
      <c r="T490" s="48"/>
      <c r="U490" s="48"/>
      <c r="V490" s="48"/>
      <c r="W490" s="103"/>
      <c r="X490" s="664" t="s">
        <v>411</v>
      </c>
      <c r="AA490" s="462" t="str">
        <f t="shared" ref="AA490:AA499" si="78">IF(M87="","N/A",M87)</f>
        <v>CXR</v>
      </c>
      <c r="AB490" s="1201"/>
      <c r="AC490" s="551" t="str">
        <f t="shared" si="70"/>
        <v/>
      </c>
      <c r="AD490" s="1055" t="str">
        <f t="shared" ref="AD490:AD499" si="79">U87</f>
        <v/>
      </c>
      <c r="AE490" s="576" t="s">
        <v>988</v>
      </c>
    </row>
    <row r="491" spans="1:31" ht="11.25" customHeight="1">
      <c r="A491" s="611">
        <v>29</v>
      </c>
      <c r="B491" s="127"/>
      <c r="K491" s="71"/>
      <c r="L491" s="676" t="s">
        <v>411</v>
      </c>
      <c r="M491" s="127"/>
      <c r="W491" s="71"/>
      <c r="X491" s="664" t="s">
        <v>411</v>
      </c>
      <c r="AA491" s="462" t="str">
        <f t="shared" si="78"/>
        <v>Abdomen AP</v>
      </c>
      <c r="AB491" s="1202"/>
      <c r="AC491" s="551" t="str">
        <f t="shared" si="70"/>
        <v/>
      </c>
      <c r="AD491" s="1055" t="str">
        <f t="shared" si="79"/>
        <v/>
      </c>
      <c r="AE491" s="576" t="s">
        <v>989</v>
      </c>
    </row>
    <row r="492" spans="1:31" ht="11.25" customHeight="1">
      <c r="A492" s="611">
        <v>30</v>
      </c>
      <c r="B492" s="191" t="s">
        <v>572</v>
      </c>
      <c r="C492" s="49"/>
      <c r="D492" s="49"/>
      <c r="E492" s="49"/>
      <c r="F492" s="149" t="s">
        <v>573</v>
      </c>
      <c r="G492" s="150"/>
      <c r="H492" s="49"/>
      <c r="I492" s="49"/>
      <c r="J492" s="49"/>
      <c r="K492" s="71"/>
      <c r="L492" s="676" t="s">
        <v>411</v>
      </c>
      <c r="M492" s="127"/>
      <c r="N492" s="194" t="s">
        <v>572</v>
      </c>
      <c r="O492" s="49"/>
      <c r="P492" s="49"/>
      <c r="Q492" s="149" t="s">
        <v>573</v>
      </c>
      <c r="R492" s="150"/>
      <c r="S492" s="49"/>
      <c r="U492" s="49"/>
      <c r="V492" s="49"/>
      <c r="W492" s="71"/>
      <c r="X492" s="664" t="s">
        <v>411</v>
      </c>
      <c r="AA492" s="462" t="str">
        <f t="shared" si="78"/>
        <v>Ribs</v>
      </c>
      <c r="AB492" s="1202"/>
      <c r="AC492" s="551" t="str">
        <f t="shared" si="70"/>
        <v/>
      </c>
      <c r="AD492" s="1055" t="str">
        <f t="shared" si="79"/>
        <v/>
      </c>
      <c r="AE492" s="576" t="s">
        <v>990</v>
      </c>
    </row>
    <row r="493" spans="1:31" ht="11.25" customHeight="1" thickBot="1">
      <c r="A493" s="611">
        <v>31</v>
      </c>
      <c r="B493" s="191" t="s">
        <v>574</v>
      </c>
      <c r="C493" s="49"/>
      <c r="D493" s="49"/>
      <c r="E493" s="49"/>
      <c r="F493" s="146" t="s">
        <v>458</v>
      </c>
      <c r="G493" s="146" t="s">
        <v>457</v>
      </c>
      <c r="H493" s="49"/>
      <c r="I493" s="49"/>
      <c r="J493" s="49"/>
      <c r="K493" s="71"/>
      <c r="L493" s="676" t="s">
        <v>411</v>
      </c>
      <c r="M493" s="127"/>
      <c r="N493" s="194" t="s">
        <v>574</v>
      </c>
      <c r="O493" s="49"/>
      <c r="P493" s="49"/>
      <c r="Q493" s="27" t="s">
        <v>458</v>
      </c>
      <c r="R493" s="27" t="s">
        <v>457</v>
      </c>
      <c r="S493" s="49"/>
      <c r="U493" s="49"/>
      <c r="V493" s="49"/>
      <c r="W493" s="71"/>
      <c r="X493" s="664" t="s">
        <v>411</v>
      </c>
      <c r="AA493" s="462" t="str">
        <f t="shared" si="78"/>
        <v>C-Spine AP</v>
      </c>
      <c r="AB493" s="1202"/>
      <c r="AC493" s="551" t="str">
        <f t="shared" si="70"/>
        <v/>
      </c>
      <c r="AD493" s="1055" t="str">
        <f t="shared" si="79"/>
        <v/>
      </c>
      <c r="AE493" s="576" t="s">
        <v>991</v>
      </c>
    </row>
    <row r="494" spans="1:31" ht="11.25" customHeight="1" thickBot="1">
      <c r="A494" s="611">
        <v>32</v>
      </c>
      <c r="B494" s="127"/>
      <c r="C494" s="49"/>
      <c r="D494" s="49"/>
      <c r="E494" s="49"/>
      <c r="F494" s="118" t="str">
        <f>IF(Q494="","",Q494)</f>
        <v/>
      </c>
      <c r="G494" s="118" t="str">
        <f>IF(R494="","",R494)</f>
        <v/>
      </c>
      <c r="H494" s="49"/>
      <c r="I494" s="42" t="s">
        <v>569</v>
      </c>
      <c r="J494" s="141" t="str">
        <f>IF(V494="","",V494)</f>
        <v>TBD</v>
      </c>
      <c r="K494" s="71"/>
      <c r="L494" s="676" t="s">
        <v>411</v>
      </c>
      <c r="M494" s="66"/>
      <c r="N494" s="49"/>
      <c r="O494" s="49"/>
      <c r="P494" s="49"/>
      <c r="Q494" s="616"/>
      <c r="R494" s="616"/>
      <c r="S494" s="49"/>
      <c r="U494" s="749" t="s">
        <v>569</v>
      </c>
      <c r="V494" s="740" t="str">
        <f>IF(Q494="NA","NA",IF(OR(Q494="",R494=""),"TBD",IF(AND(Q494&lt;=5,R494&lt;=5),"YES","NO")))</f>
        <v>TBD</v>
      </c>
      <c r="W494" s="71"/>
      <c r="X494" s="664" t="s">
        <v>411</v>
      </c>
      <c r="AA494" s="462" t="str">
        <f t="shared" si="78"/>
        <v>Skull</v>
      </c>
      <c r="AB494" s="1202"/>
      <c r="AC494" s="551" t="str">
        <f t="shared" si="70"/>
        <v/>
      </c>
      <c r="AD494" s="1055" t="str">
        <f t="shared" si="79"/>
        <v/>
      </c>
      <c r="AE494" s="576" t="s">
        <v>992</v>
      </c>
    </row>
    <row r="495" spans="1:31" ht="11.25" customHeight="1">
      <c r="A495" s="611">
        <v>33</v>
      </c>
      <c r="B495" s="66"/>
      <c r="C495" s="49"/>
      <c r="D495" s="49"/>
      <c r="E495" s="49"/>
      <c r="K495" s="71"/>
      <c r="L495" s="676" t="s">
        <v>411</v>
      </c>
      <c r="M495" s="66"/>
      <c r="N495" s="49"/>
      <c r="O495" s="49"/>
      <c r="P495" s="714" t="s">
        <v>376</v>
      </c>
      <c r="Q495" s="807" t="str">
        <f>IF(AB92="","",AB92)</f>
        <v/>
      </c>
      <c r="R495" s="807" t="str">
        <f>IF(AB93="","",AB93)</f>
        <v/>
      </c>
      <c r="W495" s="71"/>
      <c r="X495" s="664" t="s">
        <v>411</v>
      </c>
      <c r="AA495" s="462" t="str">
        <f t="shared" si="78"/>
        <v>Foot</v>
      </c>
      <c r="AB495" s="1202"/>
      <c r="AC495" s="551" t="str">
        <f t="shared" si="70"/>
        <v/>
      </c>
      <c r="AD495" s="1055" t="str">
        <f t="shared" si="79"/>
        <v/>
      </c>
      <c r="AE495" s="576" t="s">
        <v>993</v>
      </c>
    </row>
    <row r="496" spans="1:31" ht="11.25" customHeight="1">
      <c r="A496" s="611">
        <v>34</v>
      </c>
      <c r="B496" s="192" t="s">
        <v>570</v>
      </c>
      <c r="C496" s="100" t="s">
        <v>576</v>
      </c>
      <c r="D496" s="49"/>
      <c r="E496" s="49"/>
      <c r="F496" s="49"/>
      <c r="G496" s="49"/>
      <c r="J496" s="49"/>
      <c r="K496" s="71"/>
      <c r="L496" s="676" t="s">
        <v>411</v>
      </c>
      <c r="M496" s="102"/>
      <c r="N496" s="132" t="s">
        <v>570</v>
      </c>
      <c r="O496" s="100" t="s">
        <v>576</v>
      </c>
      <c r="P496" s="49"/>
      <c r="Q496" s="49"/>
      <c r="R496" s="49"/>
      <c r="S496" s="49"/>
      <c r="U496" s="50"/>
      <c r="V496" s="49"/>
      <c r="W496" s="71"/>
      <c r="X496" s="664" t="s">
        <v>411</v>
      </c>
      <c r="AA496" s="462" t="str">
        <f t="shared" si="78"/>
        <v>Knee</v>
      </c>
      <c r="AB496" s="1202"/>
      <c r="AC496" s="551" t="str">
        <f t="shared" si="70"/>
        <v/>
      </c>
      <c r="AD496" s="1055" t="str">
        <f t="shared" si="79"/>
        <v/>
      </c>
      <c r="AE496" s="576" t="s">
        <v>994</v>
      </c>
    </row>
    <row r="497" spans="1:31" ht="11.25" customHeight="1">
      <c r="A497" s="611">
        <v>35</v>
      </c>
      <c r="B497" s="127"/>
      <c r="D497" s="49"/>
      <c r="E497" s="49"/>
      <c r="F497" s="49"/>
      <c r="G497" s="49"/>
      <c r="H497" s="49"/>
      <c r="I497" s="49"/>
      <c r="J497" s="49"/>
      <c r="K497" s="71"/>
      <c r="L497" s="676" t="s">
        <v>411</v>
      </c>
      <c r="M497" s="127"/>
      <c r="W497" s="71"/>
      <c r="X497" s="664" t="s">
        <v>411</v>
      </c>
      <c r="AA497" s="462" t="str">
        <f t="shared" si="78"/>
        <v>Pelvis AP</v>
      </c>
      <c r="AB497" s="1202"/>
      <c r="AC497" s="551" t="str">
        <f t="shared" si="70"/>
        <v/>
      </c>
      <c r="AD497" s="1055" t="str">
        <f t="shared" si="79"/>
        <v/>
      </c>
      <c r="AE497" s="576" t="s">
        <v>995</v>
      </c>
    </row>
    <row r="498" spans="1:31" ht="11.25" customHeight="1">
      <c r="A498" s="611">
        <v>36</v>
      </c>
      <c r="B498" s="102" t="s">
        <v>552</v>
      </c>
      <c r="C498" s="922" t="str">
        <f>IF(O498="","",IF(LEN(O498)&lt;=135,O498,IF(LEN(O498)&lt;=260,LEFT(O498,SEARCH(" ",O498,125)),LEFT(O498,SEARCH(" ",O498,130)))))</f>
        <v/>
      </c>
      <c r="D498" s="48"/>
      <c r="E498" s="48"/>
      <c r="F498" s="48"/>
      <c r="G498" s="48"/>
      <c r="H498" s="48"/>
      <c r="I498" s="48"/>
      <c r="J498" s="48"/>
      <c r="K498" s="71"/>
      <c r="L498" s="676" t="s">
        <v>411</v>
      </c>
      <c r="M498" s="127"/>
      <c r="N498" s="577" t="s">
        <v>552</v>
      </c>
      <c r="O498" s="713" t="str">
        <f>IF(O500&lt;&gt;"",O500,IF(OR(AB431=0,AB431=""),"",AB431))</f>
        <v/>
      </c>
      <c r="P498" s="48"/>
      <c r="Q498" s="48"/>
      <c r="R498" s="48"/>
      <c r="S498" s="48"/>
      <c r="T498" s="48"/>
      <c r="U498" s="48"/>
      <c r="V498" s="48"/>
      <c r="W498" s="103"/>
      <c r="X498" s="664" t="s">
        <v>411</v>
      </c>
      <c r="AA498" s="462" t="str">
        <f t="shared" si="78"/>
        <v>Shoulder</v>
      </c>
      <c r="AB498" s="1202"/>
      <c r="AC498" s="551" t="str">
        <f t="shared" si="70"/>
        <v/>
      </c>
      <c r="AD498" s="1055" t="str">
        <f t="shared" si="79"/>
        <v/>
      </c>
      <c r="AE498" s="576" t="s">
        <v>996</v>
      </c>
    </row>
    <row r="499" spans="1:31" ht="11.25" customHeight="1">
      <c r="A499" s="611">
        <v>37</v>
      </c>
      <c r="B499" s="85"/>
      <c r="C499" s="923" t="str">
        <f>IF(LEN(O498)&lt;=135,"",IF(LEN(O498)&lt;=260,RIGHT(O498,LEN(O498)-SEARCH(" ",O498,125)),MID(O498,SEARCH(" ",O498,130),IF(LEN(O498)&lt;=265,LEN(O498),SEARCH(" ",O498,255)-SEARCH(" ",O498,130)))))</f>
        <v/>
      </c>
      <c r="D499" s="48"/>
      <c r="E499" s="48"/>
      <c r="F499" s="48"/>
      <c r="G499" s="48"/>
      <c r="H499" s="48"/>
      <c r="I499" s="48"/>
      <c r="J499" s="48"/>
      <c r="K499" s="71"/>
      <c r="L499" s="676" t="s">
        <v>411</v>
      </c>
      <c r="M499" s="85"/>
      <c r="N499" s="609" t="s">
        <v>282</v>
      </c>
      <c r="O499" s="59"/>
      <c r="P499" s="921">
        <f>LEN(O498)</f>
        <v>0</v>
      </c>
      <c r="Q499" s="59"/>
      <c r="R499" s="59"/>
      <c r="S499" s="59"/>
      <c r="T499" s="59"/>
      <c r="U499" s="59"/>
      <c r="V499" s="59"/>
      <c r="W499" s="105"/>
      <c r="X499" s="664" t="s">
        <v>411</v>
      </c>
      <c r="AA499" s="462" t="str">
        <f t="shared" si="78"/>
        <v>LS Spine AP</v>
      </c>
      <c r="AB499" s="1202"/>
      <c r="AC499" s="551" t="str">
        <f t="shared" si="70"/>
        <v/>
      </c>
      <c r="AD499" s="1055" t="str">
        <f t="shared" si="79"/>
        <v/>
      </c>
      <c r="AE499" s="576" t="s">
        <v>997</v>
      </c>
    </row>
    <row r="500" spans="1:31" ht="11.25" customHeight="1">
      <c r="A500" s="611">
        <v>38</v>
      </c>
      <c r="B500" s="85"/>
      <c r="C500" s="922" t="str">
        <f>IF(LEN(O498)&lt;=265,"",RIGHT(O498,LEN(O498)-SEARCH(" ",O498,255)))</f>
        <v/>
      </c>
      <c r="D500" s="48"/>
      <c r="E500" s="48"/>
      <c r="F500" s="48"/>
      <c r="G500" s="48"/>
      <c r="H500" s="48"/>
      <c r="I500" s="48"/>
      <c r="J500" s="48"/>
      <c r="K500" s="71"/>
      <c r="L500" s="676" t="s">
        <v>411</v>
      </c>
      <c r="M500" s="66"/>
      <c r="N500" s="1024" t="s">
        <v>619</v>
      </c>
      <c r="O500" s="1026"/>
      <c r="P500" s="59"/>
      <c r="Q500" s="59"/>
      <c r="R500" s="48"/>
      <c r="S500" s="48"/>
      <c r="T500" s="48"/>
      <c r="U500" s="48"/>
      <c r="V500" s="48"/>
      <c r="W500" s="103"/>
      <c r="X500" s="664" t="s">
        <v>411</v>
      </c>
      <c r="AA500" s="462"/>
      <c r="AB500" s="49"/>
      <c r="AC500" s="551" t="str">
        <f t="shared" si="70"/>
        <v/>
      </c>
      <c r="AD500" s="457"/>
    </row>
    <row r="501" spans="1:31" ht="11.25" customHeight="1">
      <c r="A501" s="611">
        <v>39</v>
      </c>
      <c r="B501" s="127"/>
      <c r="K501" s="71"/>
      <c r="L501" s="676" t="s">
        <v>411</v>
      </c>
      <c r="M501" s="127"/>
      <c r="W501" s="71"/>
      <c r="X501" s="664" t="s">
        <v>411</v>
      </c>
      <c r="AA501" s="132" t="s">
        <v>307</v>
      </c>
      <c r="AB501" s="1193"/>
      <c r="AC501" s="551" t="str">
        <f t="shared" si="70"/>
        <v/>
      </c>
      <c r="AD501" s="1062">
        <f>O170</f>
        <v>0</v>
      </c>
      <c r="AE501" s="576" t="s">
        <v>998</v>
      </c>
    </row>
    <row r="502" spans="1:31" ht="11.25" customHeight="1">
      <c r="A502" s="611">
        <v>40</v>
      </c>
      <c r="B502" s="191" t="s">
        <v>577</v>
      </c>
      <c r="C502" s="1"/>
      <c r="E502" s="128" t="str">
        <f>Q502</f>
        <v>Measurements (lux) at 100cm*</v>
      </c>
      <c r="F502" s="128"/>
      <c r="I502" s="128" t="s">
        <v>578</v>
      </c>
      <c r="J502" s="159"/>
      <c r="K502" s="71"/>
      <c r="L502" s="676" t="s">
        <v>411</v>
      </c>
      <c r="M502" s="127"/>
      <c r="N502" s="194" t="s">
        <v>577</v>
      </c>
      <c r="O502" s="1"/>
      <c r="Q502" s="128" t="str">
        <f>IF(OR(O507="",O507=2),"Measurements (lux) at 100cm*",IF(O507=1,"Measurements (Ft-cd) at 100cm*"))</f>
        <v>Measurements (lux) at 100cm*</v>
      </c>
      <c r="R502" s="128"/>
      <c r="U502" s="128" t="s">
        <v>578</v>
      </c>
      <c r="V502" s="159"/>
      <c r="W502" s="71"/>
      <c r="X502" s="664" t="s">
        <v>411</v>
      </c>
      <c r="AA502" s="457"/>
      <c r="AB502" s="49"/>
      <c r="AC502" s="551" t="str">
        <f t="shared" si="70"/>
        <v/>
      </c>
      <c r="AD502" s="575"/>
      <c r="AE502" s="576"/>
    </row>
    <row r="503" spans="1:31" ht="11.25" customHeight="1" thickBot="1">
      <c r="A503" s="611">
        <v>41</v>
      </c>
      <c r="B503" s="191" t="s">
        <v>579</v>
      </c>
      <c r="D503" s="138" t="s">
        <v>580</v>
      </c>
      <c r="E503" s="138" t="s">
        <v>581</v>
      </c>
      <c r="F503" s="138" t="s">
        <v>582</v>
      </c>
      <c r="G503" s="146" t="s">
        <v>583</v>
      </c>
      <c r="H503" s="1"/>
      <c r="I503" s="152" t="str">
        <f>U503</f>
        <v>(lux)</v>
      </c>
      <c r="J503" s="157"/>
      <c r="K503" s="71"/>
      <c r="L503" s="676" t="s">
        <v>411</v>
      </c>
      <c r="M503" s="127"/>
      <c r="N503" s="194" t="s">
        <v>579</v>
      </c>
      <c r="P503" s="6" t="s">
        <v>580</v>
      </c>
      <c r="Q503" s="6" t="s">
        <v>581</v>
      </c>
      <c r="R503" s="6" t="s">
        <v>582</v>
      </c>
      <c r="S503" s="27" t="s">
        <v>583</v>
      </c>
      <c r="U503" s="152" t="str">
        <f>IF(OR(O507="",O507=2),"(lux)",IF(O507=1,"(ft-cd)"))</f>
        <v>(lux)</v>
      </c>
      <c r="V503" s="157"/>
      <c r="W503" s="71"/>
      <c r="X503" s="664" t="s">
        <v>411</v>
      </c>
      <c r="AA503" s="457"/>
      <c r="AB503" s="1193"/>
      <c r="AC503" s="551" t="str">
        <f t="shared" si="70"/>
        <v/>
      </c>
      <c r="AD503" s="1062">
        <f>O172</f>
        <v>0</v>
      </c>
      <c r="AE503" s="576" t="s">
        <v>999</v>
      </c>
    </row>
    <row r="504" spans="1:31" ht="11.25" customHeight="1">
      <c r="A504" s="611">
        <v>42</v>
      </c>
      <c r="B504" s="45"/>
      <c r="D504" s="14" t="str">
        <f>IF(P504="","",P504)</f>
        <v/>
      </c>
      <c r="E504" s="14" t="str">
        <f>IF(Q504="","",Q504)</f>
        <v/>
      </c>
      <c r="F504" s="14" t="str">
        <f>IF(R504="","",R504)</f>
        <v/>
      </c>
      <c r="G504" s="14" t="str">
        <f>IF(S504="","",S504)</f>
        <v/>
      </c>
      <c r="H504" s="1"/>
      <c r="I504" s="1255" t="str">
        <f>IF(U504="","",U504)</f>
        <v>TBD</v>
      </c>
      <c r="J504" s="1256"/>
      <c r="K504" s="71"/>
      <c r="L504" s="676" t="s">
        <v>411</v>
      </c>
      <c r="M504" s="45"/>
      <c r="P504" s="753" t="str">
        <f>IF(Sheet1!P4="","",Sheet1!P4-Sheet1!$P$8)</f>
        <v/>
      </c>
      <c r="Q504" s="753" t="str">
        <f>IF(Sheet1!P5="","",Sheet1!P5-Sheet1!$P$8)</f>
        <v/>
      </c>
      <c r="R504" s="753" t="str">
        <f>IF(Sheet1!P6="","",Sheet1!P6-Sheet1!$P$8)</f>
        <v/>
      </c>
      <c r="S504" s="634" t="str">
        <f>IF(Sheet1!P7="","",Sheet1!P7-Sheet1!$P$8)</f>
        <v/>
      </c>
      <c r="U504" s="873" t="str">
        <f>IF(OR(V506="NA",P504="NA"),"NA",IF(OR(P504="",Q504="",R504="",S504=""),"TBD",AVERAGE(P504:S504)))</f>
        <v>TBD</v>
      </c>
      <c r="V504" s="874"/>
      <c r="W504" s="71"/>
      <c r="X504" s="664" t="s">
        <v>411</v>
      </c>
      <c r="AA504" s="457"/>
      <c r="AB504" s="49"/>
      <c r="AC504" s="551" t="str">
        <f t="shared" si="70"/>
        <v/>
      </c>
      <c r="AD504" s="575"/>
      <c r="AE504" s="576"/>
    </row>
    <row r="505" spans="1:31" ht="11.25" customHeight="1" thickBot="1">
      <c r="A505" s="611">
        <v>43</v>
      </c>
      <c r="B505" s="45"/>
      <c r="D505" s="50" t="s">
        <v>584</v>
      </c>
      <c r="K505" s="71"/>
      <c r="L505" s="676" t="s">
        <v>411</v>
      </c>
      <c r="M505" s="45"/>
      <c r="P505" s="50" t="s">
        <v>584</v>
      </c>
      <c r="W505" s="71"/>
      <c r="X505" s="664" t="s">
        <v>411</v>
      </c>
      <c r="AA505" s="457"/>
      <c r="AB505" s="1193"/>
      <c r="AC505" s="551" t="str">
        <f t="shared" si="70"/>
        <v/>
      </c>
      <c r="AD505" s="1062">
        <f>O174</f>
        <v>0</v>
      </c>
      <c r="AE505" s="576" t="s">
        <v>1000</v>
      </c>
    </row>
    <row r="506" spans="1:31" ht="11.25" customHeight="1" thickBot="1">
      <c r="A506" s="611">
        <v>44</v>
      </c>
      <c r="B506" s="192" t="s">
        <v>570</v>
      </c>
      <c r="C506" s="100" t="str">
        <f>O508</f>
        <v>Average light field illumination &gt;= 160 lux.</v>
      </c>
      <c r="I506" s="42" t="s">
        <v>569</v>
      </c>
      <c r="J506" s="141" t="str">
        <f>IF(V506="","",V506)</f>
        <v>TBD</v>
      </c>
      <c r="K506" s="71"/>
      <c r="L506" s="676" t="s">
        <v>411</v>
      </c>
      <c r="M506" s="127"/>
      <c r="N506" s="462" t="s">
        <v>1043</v>
      </c>
      <c r="O506" s="1078" t="str">
        <f>IF(O507&lt;&gt;"",O507,IF(OR(AB474=0,AB474=""),"",AB474))</f>
        <v/>
      </c>
      <c r="P506" s="685" t="s">
        <v>1044</v>
      </c>
      <c r="U506" s="749" t="s">
        <v>569</v>
      </c>
      <c r="V506" s="740" t="str">
        <f>IF(OR(M473=2,M473=3,P504="NA"),"NA",IF(OR(P504="",Q504="",R504="",S504=""),"TBD",IF(O507=1,IF(AVERAGE(P504:S504)&gt;=15,"YES","NO"),IF(OR(O507="",O507=2),IF(AVERAGE(P504:S504)&gt;160,"YES","NO")))))</f>
        <v>TBD</v>
      </c>
      <c r="W506" s="71"/>
      <c r="X506" s="664" t="s">
        <v>411</v>
      </c>
      <c r="AA506" s="457"/>
      <c r="AB506" s="49"/>
      <c r="AC506" s="551" t="str">
        <f t="shared" si="70"/>
        <v/>
      </c>
      <c r="AD506" s="575"/>
      <c r="AE506" s="576"/>
    </row>
    <row r="507" spans="1:31" ht="11.25" customHeight="1">
      <c r="A507" s="611">
        <v>45</v>
      </c>
      <c r="B507" s="127"/>
      <c r="C507" s="54" t="s">
        <v>47</v>
      </c>
      <c r="D507" s="59" t="str">
        <f>IF($O$687="","",$O$687)</f>
        <v>Piranha 1 CB2-17090320</v>
      </c>
      <c r="E507" s="59"/>
      <c r="F507" s="49"/>
      <c r="G507" s="54" t="s">
        <v>1104</v>
      </c>
      <c r="H507" s="1143" t="str">
        <f>IF(H692="","",H692)</f>
        <v/>
      </c>
      <c r="J507" s="54" t="s">
        <v>1109</v>
      </c>
      <c r="K507" s="1144" t="str">
        <f>IF(K692="","",K692)</f>
        <v/>
      </c>
      <c r="L507" s="676" t="s">
        <v>411</v>
      </c>
      <c r="M507" s="102"/>
      <c r="O507" s="701"/>
      <c r="W507" s="71"/>
      <c r="X507" s="664" t="s">
        <v>411</v>
      </c>
      <c r="AA507" s="457"/>
      <c r="AB507" s="1193"/>
      <c r="AC507" s="551" t="str">
        <f t="shared" si="70"/>
        <v/>
      </c>
      <c r="AD507" s="1062">
        <f>O176</f>
        <v>0</v>
      </c>
      <c r="AE507" s="576" t="s">
        <v>1001</v>
      </c>
    </row>
    <row r="508" spans="1:31" ht="11.25" customHeight="1">
      <c r="A508" s="611">
        <v>46</v>
      </c>
      <c r="B508" s="127"/>
      <c r="K508" s="71"/>
      <c r="L508" s="676" t="s">
        <v>411</v>
      </c>
      <c r="M508" s="127"/>
      <c r="N508" s="132" t="s">
        <v>570</v>
      </c>
      <c r="O508" s="100" t="str">
        <f>IF(OR(O506="",O506=2),"Average light field illumination &gt;= 160 lux.",IF(O506=1,"Average light field illumination &gt;=15 ft-cd."))</f>
        <v>Average light field illumination &gt;= 160 lux.</v>
      </c>
      <c r="T508" s="50"/>
      <c r="W508" s="71"/>
      <c r="X508" s="664" t="s">
        <v>411</v>
      </c>
      <c r="AA508" s="457"/>
      <c r="AB508" s="49"/>
      <c r="AC508" s="551" t="str">
        <f t="shared" si="70"/>
        <v/>
      </c>
      <c r="AD508" s="575"/>
      <c r="AE508" s="576"/>
    </row>
    <row r="509" spans="1:31" ht="11.25" customHeight="1" thickBot="1">
      <c r="A509" s="611">
        <v>47</v>
      </c>
      <c r="B509" s="102" t="s">
        <v>552</v>
      </c>
      <c r="C509" s="922" t="str">
        <f>IF(O510="","",IF(LEN(O510)&lt;=135,O510,IF(LEN(O510)&lt;=260,LEFT(O510,SEARCH(" ",O510,125)),LEFT(O510,SEARCH(" ",O510,130)))))</f>
        <v/>
      </c>
      <c r="D509" s="48"/>
      <c r="E509" s="48"/>
      <c r="F509" s="48"/>
      <c r="G509" s="48"/>
      <c r="H509" s="48"/>
      <c r="I509" s="48"/>
      <c r="J509" s="48"/>
      <c r="K509" s="69"/>
      <c r="L509" s="676" t="s">
        <v>411</v>
      </c>
      <c r="M509" s="127"/>
      <c r="T509" s="714" t="s">
        <v>376</v>
      </c>
      <c r="U509" s="1287" t="str">
        <f>IF(OR(AB473=0,AB473=""),"",AB473)</f>
        <v/>
      </c>
      <c r="V509" s="1288"/>
      <c r="W509" s="71"/>
      <c r="X509" s="664" t="s">
        <v>411</v>
      </c>
      <c r="AA509" s="457"/>
      <c r="AB509" s="1193"/>
      <c r="AC509" s="551" t="str">
        <f t="shared" si="70"/>
        <v/>
      </c>
      <c r="AD509" s="1062">
        <f>O178</f>
        <v>0</v>
      </c>
      <c r="AE509" s="576" t="s">
        <v>1002</v>
      </c>
    </row>
    <row r="510" spans="1:31" ht="11.25" customHeight="1">
      <c r="A510" s="611">
        <v>48</v>
      </c>
      <c r="B510" s="85"/>
      <c r="C510" s="923" t="str">
        <f>IF(LEN(O510)&lt;=135,"",IF(LEN(O510)&lt;=260,RIGHT(O510,LEN(O510)-SEARCH(" ",O510,125)),MID(O510,SEARCH(" ",O510,130),IF(LEN(O510)&lt;=265,LEN(O510),SEARCH(" ",O510,255)-SEARCH(" ",O510,130)))))</f>
        <v/>
      </c>
      <c r="D510" s="48"/>
      <c r="E510" s="48"/>
      <c r="F510" s="48"/>
      <c r="G510" s="48"/>
      <c r="H510" s="48"/>
      <c r="I510" s="48"/>
      <c r="J510" s="48"/>
      <c r="K510" s="69"/>
      <c r="L510" s="676" t="s">
        <v>411</v>
      </c>
      <c r="M510" s="85"/>
      <c r="N510" s="577" t="s">
        <v>552</v>
      </c>
      <c r="O510" s="713" t="str">
        <f>IF(O512&lt;&gt;"",O512,IF(OR(AB432=0,AB432=""),"",AB432))</f>
        <v/>
      </c>
      <c r="P510" s="48"/>
      <c r="Q510" s="48"/>
      <c r="R510" s="48"/>
      <c r="S510" s="48"/>
      <c r="T510" s="48"/>
      <c r="U510" s="48"/>
      <c r="V510" s="48"/>
      <c r="W510" s="103"/>
      <c r="X510" s="664" t="s">
        <v>411</v>
      </c>
      <c r="AA510" s="457"/>
      <c r="AB510" s="49"/>
      <c r="AC510" s="551" t="str">
        <f t="shared" si="70"/>
        <v/>
      </c>
      <c r="AD510" s="575"/>
      <c r="AE510" s="576"/>
    </row>
    <row r="511" spans="1:31" ht="11.25" customHeight="1">
      <c r="A511" s="611">
        <v>49</v>
      </c>
      <c r="B511" s="85"/>
      <c r="C511" s="922" t="str">
        <f>IF(LEN(O510)&lt;=265,"",RIGHT(O510,LEN(O510)-SEARCH(" ",O510,255)))</f>
        <v/>
      </c>
      <c r="D511" s="48"/>
      <c r="E511" s="48"/>
      <c r="F511" s="48"/>
      <c r="G511" s="48"/>
      <c r="H511" s="48"/>
      <c r="I511" s="48"/>
      <c r="J511" s="48"/>
      <c r="K511" s="69"/>
      <c r="L511" s="676" t="s">
        <v>411</v>
      </c>
      <c r="M511" s="66"/>
      <c r="N511" s="609" t="s">
        <v>282</v>
      </c>
      <c r="O511" s="59"/>
      <c r="P511" s="921">
        <f>LEN(O510)</f>
        <v>0</v>
      </c>
      <c r="Q511" s="59"/>
      <c r="R511" s="59"/>
      <c r="S511" s="59"/>
      <c r="T511" s="59"/>
      <c r="U511" s="59"/>
      <c r="V511" s="59"/>
      <c r="W511" s="105"/>
      <c r="X511" s="664" t="s">
        <v>411</v>
      </c>
      <c r="AA511" s="457"/>
      <c r="AB511" s="1193"/>
      <c r="AC511" s="551" t="str">
        <f t="shared" si="70"/>
        <v/>
      </c>
      <c r="AD511" s="1062">
        <f>O180</f>
        <v>0</v>
      </c>
      <c r="AE511" s="576" t="s">
        <v>1003</v>
      </c>
    </row>
    <row r="512" spans="1:31" ht="11.25" customHeight="1">
      <c r="A512" s="611">
        <v>50</v>
      </c>
      <c r="B512" s="127"/>
      <c r="K512" s="71"/>
      <c r="L512" s="676" t="s">
        <v>411</v>
      </c>
      <c r="M512" s="127"/>
      <c r="N512" s="1024" t="s">
        <v>619</v>
      </c>
      <c r="O512" s="1026"/>
      <c r="P512" s="59"/>
      <c r="Q512" s="59"/>
      <c r="R512" s="48"/>
      <c r="S512" s="48"/>
      <c r="T512" s="48"/>
      <c r="U512" s="48"/>
      <c r="V512" s="48"/>
      <c r="W512" s="103"/>
      <c r="X512" s="664" t="s">
        <v>411</v>
      </c>
      <c r="AA512" s="457"/>
      <c r="AB512" s="49"/>
      <c r="AC512" s="551" t="str">
        <f t="shared" si="70"/>
        <v/>
      </c>
      <c r="AD512" s="575"/>
      <c r="AE512" s="576"/>
    </row>
    <row r="513" spans="1:31" ht="11.25" customHeight="1">
      <c r="A513" s="611">
        <v>51</v>
      </c>
      <c r="B513" s="191"/>
      <c r="C513" s="49"/>
      <c r="D513" s="49"/>
      <c r="E513" s="128"/>
      <c r="F513" s="111"/>
      <c r="G513" s="49"/>
      <c r="H513" s="49"/>
      <c r="I513" s="49"/>
      <c r="J513" s="49"/>
      <c r="K513" s="69"/>
      <c r="L513" s="676" t="s">
        <v>411</v>
      </c>
      <c r="M513" s="127"/>
      <c r="W513" s="69"/>
      <c r="X513" s="664" t="s">
        <v>411</v>
      </c>
      <c r="AA513" s="457"/>
      <c r="AB513" s="1193"/>
      <c r="AC513" s="551" t="str">
        <f t="shared" si="70"/>
        <v/>
      </c>
      <c r="AD513" s="1062">
        <f>O182</f>
        <v>0</v>
      </c>
      <c r="AE513" s="576" t="s">
        <v>1004</v>
      </c>
    </row>
    <row r="514" spans="1:31" ht="11.25" customHeight="1">
      <c r="A514" s="611">
        <v>52</v>
      </c>
      <c r="B514" s="191"/>
      <c r="C514" s="49"/>
      <c r="D514" s="109"/>
      <c r="E514" s="111"/>
      <c r="F514" s="109"/>
      <c r="G514" s="111"/>
      <c r="H514" s="49"/>
      <c r="I514" s="128"/>
      <c r="J514" s="53"/>
      <c r="K514" s="69"/>
      <c r="L514" s="676" t="s">
        <v>411</v>
      </c>
      <c r="M514" s="127"/>
      <c r="W514" s="69"/>
      <c r="X514" s="664" t="s">
        <v>411</v>
      </c>
      <c r="AA514" s="457"/>
      <c r="AB514" s="49"/>
      <c r="AC514" s="551" t="str">
        <f t="shared" si="70"/>
        <v/>
      </c>
      <c r="AD514" s="575"/>
      <c r="AE514" s="576"/>
    </row>
    <row r="515" spans="1:31" ht="11.25" customHeight="1">
      <c r="A515" s="611">
        <v>53</v>
      </c>
      <c r="B515" s="66"/>
      <c r="C515" s="49"/>
      <c r="D515" s="128"/>
      <c r="E515" s="128"/>
      <c r="F515" s="128"/>
      <c r="G515" s="128"/>
      <c r="H515" s="49"/>
      <c r="I515" s="128"/>
      <c r="J515" s="53"/>
      <c r="K515" s="69"/>
      <c r="L515" s="676" t="s">
        <v>411</v>
      </c>
      <c r="M515" s="66"/>
      <c r="W515" s="69"/>
      <c r="X515" s="664" t="s">
        <v>411</v>
      </c>
      <c r="AA515" s="457"/>
      <c r="AB515" s="1193"/>
      <c r="AC515" s="551" t="str">
        <f t="shared" si="70"/>
        <v/>
      </c>
      <c r="AD515" s="1062">
        <f>O184</f>
        <v>0</v>
      </c>
      <c r="AE515" s="576" t="s">
        <v>1005</v>
      </c>
    </row>
    <row r="516" spans="1:31" ht="11.25" customHeight="1">
      <c r="A516" s="611">
        <v>54</v>
      </c>
      <c r="B516" s="66"/>
      <c r="C516" s="49"/>
      <c r="D516" s="50"/>
      <c r="E516" s="49"/>
      <c r="F516" s="49"/>
      <c r="G516" s="49"/>
      <c r="H516" s="49"/>
      <c r="I516" s="49"/>
      <c r="J516" s="49"/>
      <c r="K516" s="69"/>
      <c r="L516" s="676" t="s">
        <v>411</v>
      </c>
      <c r="M516" s="66"/>
      <c r="W516" s="69"/>
      <c r="X516" s="664" t="s">
        <v>411</v>
      </c>
      <c r="AA516" s="457"/>
      <c r="AB516" s="49"/>
      <c r="AC516" s="551" t="str">
        <f t="shared" si="70"/>
        <v/>
      </c>
      <c r="AD516" s="575"/>
      <c r="AE516" s="576"/>
    </row>
    <row r="517" spans="1:31" ht="11.25" customHeight="1">
      <c r="A517" s="611">
        <v>55</v>
      </c>
      <c r="B517" s="66"/>
      <c r="C517" s="49"/>
      <c r="H517" s="49"/>
      <c r="I517" s="37"/>
      <c r="J517" s="49"/>
      <c r="K517" s="69"/>
      <c r="L517" s="676" t="s">
        <v>411</v>
      </c>
      <c r="M517" s="66"/>
      <c r="W517" s="69"/>
      <c r="X517" s="664" t="s">
        <v>411</v>
      </c>
      <c r="AA517" s="457"/>
      <c r="AB517" s="1193"/>
      <c r="AC517" s="551" t="str">
        <f t="shared" si="70"/>
        <v/>
      </c>
      <c r="AD517" s="1062">
        <f>O186</f>
        <v>0</v>
      </c>
      <c r="AE517" s="576" t="s">
        <v>1006</v>
      </c>
    </row>
    <row r="518" spans="1:31" ht="11.25" customHeight="1">
      <c r="A518" s="611">
        <v>56</v>
      </c>
      <c r="B518" s="192"/>
      <c r="C518" s="100"/>
      <c r="D518" s="49"/>
      <c r="E518" s="49"/>
      <c r="F518" s="49"/>
      <c r="K518" s="69"/>
      <c r="L518" s="676" t="s">
        <v>411</v>
      </c>
      <c r="M518" s="102"/>
      <c r="W518" s="69"/>
      <c r="X518" s="664" t="s">
        <v>411</v>
      </c>
      <c r="AA518" s="462"/>
      <c r="AB518" s="49"/>
      <c r="AC518" s="551" t="str">
        <f t="shared" si="70"/>
        <v/>
      </c>
      <c r="AD518" s="575"/>
      <c r="AE518" s="576"/>
    </row>
    <row r="519" spans="1:31" ht="11.25" customHeight="1">
      <c r="A519" s="611">
        <v>57</v>
      </c>
      <c r="B519" s="127"/>
      <c r="K519" s="71"/>
      <c r="L519" s="676" t="s">
        <v>411</v>
      </c>
      <c r="M519" s="127"/>
      <c r="W519" s="69"/>
      <c r="X519" s="664" t="s">
        <v>411</v>
      </c>
      <c r="AA519" s="675" t="s">
        <v>356</v>
      </c>
      <c r="AB519" s="49"/>
      <c r="AC519" s="551" t="str">
        <f>IF(AND(OR(AB519="",AB519=0),OR(AD519="",AD519=0)),"",IF(AB519&lt;&gt;AD519,"Change",""))</f>
        <v/>
      </c>
      <c r="AD519" s="457"/>
      <c r="AE519" s="576"/>
    </row>
    <row r="520" spans="1:31" ht="11.25" customHeight="1">
      <c r="A520" s="611">
        <v>58</v>
      </c>
      <c r="B520" s="102"/>
      <c r="C520" s="374"/>
      <c r="D520" s="49"/>
      <c r="E520" s="49"/>
      <c r="F520" s="49"/>
      <c r="G520" s="49"/>
      <c r="H520" s="49"/>
      <c r="I520" s="49"/>
      <c r="J520" s="49"/>
      <c r="K520" s="69"/>
      <c r="L520" s="676" t="s">
        <v>411</v>
      </c>
      <c r="M520" s="127"/>
      <c r="N520" s="54"/>
      <c r="O520" s="375"/>
      <c r="P520" s="49"/>
      <c r="Q520" s="49"/>
      <c r="R520" s="49"/>
      <c r="S520" s="49"/>
      <c r="T520" s="49"/>
      <c r="U520" s="49"/>
      <c r="V520" s="49"/>
      <c r="W520" s="69"/>
      <c r="X520" s="664" t="s">
        <v>411</v>
      </c>
      <c r="AA520" s="462" t="s">
        <v>610</v>
      </c>
      <c r="AB520" s="1199"/>
      <c r="AC520" s="551" t="str">
        <f>IF(AND(OR(AB520="",AB520=0),OR(AD520="",AD520=0)),"",IF(AB520&lt;&gt;AD520,"Change",""))</f>
        <v/>
      </c>
      <c r="AD520" s="1057" t="str">
        <f>IF(OR(M1003=0,M1003=""),"",M1003)</f>
        <v/>
      </c>
      <c r="AE520" s="576" t="s">
        <v>345</v>
      </c>
    </row>
    <row r="521" spans="1:31" ht="11.25" customHeight="1">
      <c r="A521" s="611">
        <v>59</v>
      </c>
      <c r="B521" s="85"/>
      <c r="C521" s="374"/>
      <c r="D521" s="49"/>
      <c r="E521" s="49"/>
      <c r="F521" s="49"/>
      <c r="G521" s="49"/>
      <c r="H521" s="49"/>
      <c r="I521" s="49"/>
      <c r="J521" s="49"/>
      <c r="K521" s="69"/>
      <c r="L521" s="676" t="s">
        <v>411</v>
      </c>
      <c r="M521" s="85"/>
      <c r="N521" s="50"/>
      <c r="O521" s="50"/>
      <c r="P521" s="50"/>
      <c r="Q521" s="50"/>
      <c r="R521" s="50"/>
      <c r="S521" s="50"/>
      <c r="T521" s="50"/>
      <c r="U521" s="50"/>
      <c r="V521" s="50"/>
      <c r="W521" s="70"/>
      <c r="X521" s="664" t="s">
        <v>411</v>
      </c>
      <c r="AA521" s="462" t="s">
        <v>230</v>
      </c>
      <c r="AB521" s="1200"/>
      <c r="AC521" s="551" t="str">
        <f>IF(AND(OR(AB521="",AB521=0),OR(AD521="",AD521=0)),"",IF(AB521&lt;&gt;AD521,"Change",""))</f>
        <v/>
      </c>
      <c r="AD521" s="1051" t="str">
        <f>IF(OR(N1003=0,N1003=""),"",N1003)</f>
        <v/>
      </c>
      <c r="AE521" s="576" t="s">
        <v>537</v>
      </c>
    </row>
    <row r="522" spans="1:31" ht="11.25" customHeight="1">
      <c r="A522" s="611">
        <v>60</v>
      </c>
      <c r="B522" s="85"/>
      <c r="C522" s="374"/>
      <c r="D522" s="49"/>
      <c r="E522" s="49"/>
      <c r="F522" s="49"/>
      <c r="G522" s="49"/>
      <c r="H522" s="49"/>
      <c r="I522" s="49"/>
      <c r="J522" s="49"/>
      <c r="K522" s="69"/>
      <c r="L522" s="676" t="s">
        <v>411</v>
      </c>
      <c r="M522" s="66"/>
      <c r="N522" s="49"/>
      <c r="O522" s="50"/>
      <c r="P522" s="50"/>
      <c r="Q522" s="50"/>
      <c r="R522" s="49"/>
      <c r="S522" s="49"/>
      <c r="T522" s="49"/>
      <c r="U522" s="49"/>
      <c r="V522" s="49"/>
      <c r="W522" s="69"/>
      <c r="X522" s="664" t="s">
        <v>411</v>
      </c>
      <c r="AA522" s="462" t="s">
        <v>606</v>
      </c>
      <c r="AB522" s="1200"/>
      <c r="AC522" s="551" t="str">
        <f>IF(AND(OR(AB522="",AB522=0),OR(AD522="",AD522=0)),"",IF(AB522&lt;&gt;AD522,"Change",""))</f>
        <v/>
      </c>
      <c r="AD522" s="1057" t="str">
        <f>IF(OR(M1008=0,M1008=""),"",M1008)</f>
        <v/>
      </c>
      <c r="AE522" s="576" t="s">
        <v>346</v>
      </c>
    </row>
    <row r="523" spans="1:31" ht="11.25" customHeight="1" thickBot="1">
      <c r="A523" s="611">
        <v>61</v>
      </c>
      <c r="B523" s="193"/>
      <c r="C523" s="83"/>
      <c r="D523" s="83"/>
      <c r="E523" s="83"/>
      <c r="F523" s="83"/>
      <c r="G523" s="83"/>
      <c r="H523" s="83"/>
      <c r="I523" s="83"/>
      <c r="J523" s="83"/>
      <c r="K523" s="86"/>
      <c r="L523" s="676" t="s">
        <v>411</v>
      </c>
      <c r="M523" s="98"/>
      <c r="N523" s="83"/>
      <c r="O523" s="83"/>
      <c r="P523" s="83"/>
      <c r="Q523" s="83"/>
      <c r="R523" s="83"/>
      <c r="S523" s="83"/>
      <c r="T523" s="83"/>
      <c r="U523" s="83"/>
      <c r="V523" s="83"/>
      <c r="W523" s="86"/>
      <c r="X523" s="664" t="s">
        <v>411</v>
      </c>
      <c r="AA523" s="462" t="s">
        <v>344</v>
      </c>
      <c r="AB523" s="1202"/>
      <c r="AC523" s="551" t="str">
        <f>IF(AND(OR(AB523="",AB523=0),OR(AD523="",AD523=0)),"",IF(AB523&lt;&gt;AD523,"Change",""))</f>
        <v>Change</v>
      </c>
      <c r="AD523" s="1067">
        <f>IF(OR(N1008=0,N1008=""),"",N1008)</f>
        <v>7.8740157480314963</v>
      </c>
      <c r="AE523" s="576" t="s">
        <v>538</v>
      </c>
    </row>
    <row r="524" spans="1:31" ht="11.25" customHeight="1" thickTop="1">
      <c r="A524" s="611">
        <v>62</v>
      </c>
      <c r="L524" s="676" t="s">
        <v>411</v>
      </c>
      <c r="X524" s="664" t="s">
        <v>411</v>
      </c>
      <c r="AB524" s="49"/>
      <c r="AD524" s="457"/>
    </row>
    <row r="525" spans="1:31" ht="11.25" customHeight="1">
      <c r="A525" s="611">
        <v>63</v>
      </c>
      <c r="L525" s="676" t="s">
        <v>411</v>
      </c>
      <c r="X525" s="664" t="s">
        <v>411</v>
      </c>
      <c r="AA525" s="675" t="s">
        <v>357</v>
      </c>
      <c r="AB525" s="49"/>
      <c r="AC525" s="551" t="str">
        <f>IF(AND(OR(AB525="",AB525=0),OR(AD525="",AD525=0)),"",IF(AB525&lt;&gt;AD525,"Change",""))</f>
        <v/>
      </c>
      <c r="AD525" s="457"/>
      <c r="AE525" s="576"/>
    </row>
    <row r="526" spans="1:31" ht="11.25" customHeight="1">
      <c r="A526" s="611">
        <v>64</v>
      </c>
      <c r="L526" s="676" t="s">
        <v>411</v>
      </c>
      <c r="X526" s="664" t="s">
        <v>411</v>
      </c>
      <c r="AA526" s="462" t="s">
        <v>610</v>
      </c>
      <c r="AB526" s="1199"/>
      <c r="AC526" s="551" t="str">
        <f>IF(AND(OR(AB526="",AB526=0),OR(AD526="",AD526=0)),"",IF(AB526&lt;&gt;AD526,"Change",""))</f>
        <v/>
      </c>
      <c r="AD526" s="1056" t="str">
        <f>IF(OR(Q1063=0,Q1063=""),"",Q1063)</f>
        <v/>
      </c>
      <c r="AE526" s="576" t="s">
        <v>352</v>
      </c>
    </row>
    <row r="527" spans="1:31" ht="11.25" customHeight="1">
      <c r="A527" s="611">
        <v>65</v>
      </c>
      <c r="B527" s="52" t="str">
        <f t="array" ref="B527:C528">$B$65:$C$66</f>
        <v>Date:</v>
      </c>
      <c r="C527" s="1133" t="str">
        <v/>
      </c>
      <c r="D527" s="56"/>
      <c r="E527" s="49"/>
      <c r="F527" s="49"/>
      <c r="G527" s="49"/>
      <c r="H527" s="49"/>
      <c r="I527" s="52" t="str">
        <f t="array" ref="I527:J528">$I$65:$J$66</f>
        <v>Inspector:</v>
      </c>
      <c r="J527" s="421" t="str">
        <v>Eugene Mah</v>
      </c>
      <c r="L527" s="676" t="s">
        <v>411</v>
      </c>
      <c r="M527" s="49"/>
      <c r="N527" s="49"/>
      <c r="O527" s="49"/>
      <c r="P527" s="49"/>
      <c r="Q527" s="49"/>
      <c r="R527" s="49"/>
      <c r="S527" s="49"/>
      <c r="T527" s="49"/>
      <c r="U527" s="49"/>
      <c r="V527" s="49"/>
      <c r="W527" s="49"/>
      <c r="X527" s="664" t="s">
        <v>411</v>
      </c>
      <c r="AA527" s="462" t="s">
        <v>230</v>
      </c>
      <c r="AB527" s="1200"/>
      <c r="AC527" s="551" t="str">
        <f>IF(AND(OR(AB527="",AB527=0),OR(AD527="",AD527=0)),"",IF(AB527&lt;&gt;AD527,"Change",""))</f>
        <v/>
      </c>
      <c r="AD527" s="1068" t="str">
        <f>IF(OR(Q1064=0,Q1064=""),"",Q1064)</f>
        <v/>
      </c>
      <c r="AE527" s="576" t="s">
        <v>353</v>
      </c>
    </row>
    <row r="528" spans="1:31" ht="11.25" customHeight="1">
      <c r="A528" s="611">
        <v>66</v>
      </c>
      <c r="B528" s="52" t="str">
        <v>Room Number:</v>
      </c>
      <c r="C528" s="373" t="str">
        <v/>
      </c>
      <c r="D528" s="49"/>
      <c r="E528" s="49"/>
      <c r="F528" s="49"/>
      <c r="G528" s="49"/>
      <c r="H528" s="49"/>
      <c r="I528" s="52" t="str">
        <v>Survey ID:</v>
      </c>
      <c r="J528" s="1045" t="str">
        <v/>
      </c>
      <c r="L528" s="676" t="s">
        <v>411</v>
      </c>
      <c r="M528" s="49"/>
      <c r="N528" s="49"/>
      <c r="O528" s="49"/>
      <c r="P528" s="49"/>
      <c r="Q528" s="49"/>
      <c r="R528" s="49"/>
      <c r="S528" s="49"/>
      <c r="T528" s="49"/>
      <c r="U528" s="49"/>
      <c r="V528" s="49"/>
      <c r="W528" s="49"/>
      <c r="X528" s="664" t="s">
        <v>411</v>
      </c>
      <c r="AA528" s="462" t="s">
        <v>606</v>
      </c>
      <c r="AB528" s="1200"/>
      <c r="AC528" s="551" t="str">
        <f>IF(AND(OR(AB528="",AB528=0),OR(AD528="",AD528=0)),"",IF(AB528&lt;&gt;AD528,"Change",""))</f>
        <v/>
      </c>
      <c r="AD528" s="1057" t="str">
        <f>IF(OR(Q1065=0,Q1065=""),"",Q1065)</f>
        <v/>
      </c>
      <c r="AE528" s="576" t="s">
        <v>354</v>
      </c>
    </row>
    <row r="529" spans="1:31" ht="11.25" customHeight="1">
      <c r="A529" s="611">
        <v>1</v>
      </c>
      <c r="K529" s="131" t="str">
        <f>$F$2</f>
        <v>Medical University of South Carolina</v>
      </c>
      <c r="L529" s="676" t="s">
        <v>411</v>
      </c>
      <c r="M529" s="49"/>
      <c r="W529" s="131" t="str">
        <f>$F$2</f>
        <v>Medical University of South Carolina</v>
      </c>
      <c r="X529" s="664" t="s">
        <v>411</v>
      </c>
      <c r="AA529" s="462" t="s">
        <v>344</v>
      </c>
      <c r="AB529" s="1202"/>
      <c r="AC529" s="551" t="str">
        <f>IF(AND(OR(AB529="",AB529=0),OR(AD529="",AD529=0)),"",IF(AB529&lt;&gt;AD529,"Change",""))</f>
        <v>Change</v>
      </c>
      <c r="AD529" s="1067">
        <f>IF(OR(Q1066=0,Q1066=""),"",Q1066)</f>
        <v>7.8740157480314963</v>
      </c>
      <c r="AE529" s="576" t="s">
        <v>355</v>
      </c>
    </row>
    <row r="530" spans="1:31" ht="11.25" customHeight="1" thickBot="1">
      <c r="A530" s="611">
        <v>2</v>
      </c>
      <c r="F530" s="82" t="str">
        <f>$F$464</f>
        <v>Measurement Data</v>
      </c>
      <c r="K530" s="132" t="str">
        <f>$F$5</f>
        <v>Radiographic System Compliance Inspection</v>
      </c>
      <c r="L530" s="676" t="s">
        <v>411</v>
      </c>
      <c r="N530" s="87"/>
      <c r="O530" s="87"/>
      <c r="P530" s="1"/>
      <c r="R530" s="82" t="str">
        <f>$F$464</f>
        <v>Measurement Data</v>
      </c>
      <c r="W530" s="132" t="str">
        <f>$F$5</f>
        <v>Radiographic System Compliance Inspection</v>
      </c>
      <c r="X530" s="664" t="s">
        <v>411</v>
      </c>
      <c r="AB530" s="49"/>
      <c r="AD530" s="457"/>
    </row>
    <row r="531" spans="1:31" ht="11.25" customHeight="1" thickTop="1" thickBot="1">
      <c r="A531" s="611">
        <v>3</v>
      </c>
      <c r="B531" s="79"/>
      <c r="C531" s="62"/>
      <c r="D531" s="62"/>
      <c r="E531" s="62"/>
      <c r="F531" s="197"/>
      <c r="G531" s="62"/>
      <c r="H531" s="62"/>
      <c r="I531" s="62"/>
      <c r="J531" s="62"/>
      <c r="K531" s="80"/>
      <c r="L531" s="676" t="s">
        <v>411</v>
      </c>
      <c r="M531" s="79"/>
      <c r="N531" s="62"/>
      <c r="O531" s="62"/>
      <c r="P531" s="62"/>
      <c r="Q531" s="62"/>
      <c r="R531" s="62"/>
      <c r="S531" s="62"/>
      <c r="T531" s="62"/>
      <c r="U531" s="853"/>
      <c r="V531" s="62"/>
      <c r="W531" s="80"/>
      <c r="X531" s="664" t="s">
        <v>411</v>
      </c>
      <c r="AA531" s="675" t="s">
        <v>358</v>
      </c>
      <c r="AB531" s="49"/>
      <c r="AC531" s="551" t="str">
        <f>IF(AND(OR(AB531="",AB531=0),OR(AD531="",AD531=0)),"",IF(AB531&lt;&gt;AD531,"Change",""))</f>
        <v/>
      </c>
      <c r="AD531" s="457"/>
      <c r="AE531" s="576"/>
    </row>
    <row r="532" spans="1:31" ht="11.25" customHeight="1" thickTop="1" thickBot="1">
      <c r="A532" s="611">
        <v>4</v>
      </c>
      <c r="B532" s="127"/>
      <c r="F532" s="190" t="s">
        <v>442</v>
      </c>
      <c r="G532" s="209"/>
      <c r="H532" s="532"/>
      <c r="I532" s="533"/>
      <c r="J532" s="534" t="s">
        <v>586</v>
      </c>
      <c r="K532" s="535" t="str">
        <f>IF(R416=1,"NA",R416)</f>
        <v>NA</v>
      </c>
      <c r="L532" s="676" t="s">
        <v>411</v>
      </c>
      <c r="M532" s="127"/>
      <c r="P532" s="994" t="str">
        <f>IF(M409=2,"**SKIP**","**TEST**")</f>
        <v>**TEST**</v>
      </c>
      <c r="R532" s="594" t="s">
        <v>314</v>
      </c>
      <c r="W532" s="71"/>
      <c r="X532" s="664" t="s">
        <v>411</v>
      </c>
      <c r="AA532" s="462" t="s">
        <v>610</v>
      </c>
      <c r="AB532" s="1199"/>
      <c r="AC532" s="551" t="str">
        <f>IF(AND(OR(AB532="",AB532=0),OR(AD532="",AD532=0)),"",IF(AB532&lt;&gt;AD532,"Change",""))</f>
        <v/>
      </c>
      <c r="AD532" s="1068" t="str">
        <f>IF(OR(R1127=0,R1127=""),"",R1127)</f>
        <v/>
      </c>
      <c r="AE532" s="576" t="s">
        <v>348</v>
      </c>
    </row>
    <row r="533" spans="1:31" ht="11.25" customHeight="1" thickTop="1">
      <c r="A533" s="611">
        <v>5</v>
      </c>
      <c r="B533" s="127"/>
      <c r="G533" s="536"/>
      <c r="H533" s="537" t="s">
        <v>588</v>
      </c>
      <c r="I533" s="538"/>
      <c r="J533" s="539"/>
      <c r="K533" s="540"/>
      <c r="L533" s="676" t="s">
        <v>411</v>
      </c>
      <c r="M533" s="191" t="s">
        <v>605</v>
      </c>
      <c r="S533" s="589" t="s">
        <v>318</v>
      </c>
      <c r="U533" s="574"/>
      <c r="W533" s="464"/>
      <c r="X533" s="664" t="s">
        <v>411</v>
      </c>
      <c r="AA533" s="462" t="s">
        <v>230</v>
      </c>
      <c r="AB533" s="1200"/>
      <c r="AC533" s="551" t="str">
        <f>IF(AND(OR(AB533="",AB533=0),OR(AD533="",AD533=0)),"",IF(AB533&lt;&gt;AD533,"Change",""))</f>
        <v/>
      </c>
      <c r="AD533" s="1057" t="str">
        <f>IF(OR(R1128=0,R1128=""),"",R1128)</f>
        <v/>
      </c>
      <c r="AE533" s="576" t="s">
        <v>349</v>
      </c>
    </row>
    <row r="534" spans="1:31" ht="11.25" customHeight="1" thickBot="1">
      <c r="A534" s="611">
        <v>6</v>
      </c>
      <c r="B534" s="191"/>
      <c r="C534" s="49"/>
      <c r="D534" s="49"/>
      <c r="E534" s="49"/>
      <c r="F534" s="49"/>
      <c r="G534" s="326"/>
      <c r="H534" s="541" t="s">
        <v>590</v>
      </c>
      <c r="I534" s="542"/>
      <c r="J534" s="543"/>
      <c r="K534" s="544"/>
      <c r="L534" s="676" t="s">
        <v>411</v>
      </c>
      <c r="M534" s="127"/>
      <c r="S534" s="589" t="s">
        <v>319</v>
      </c>
      <c r="T534" s="589"/>
      <c r="U534" s="574"/>
      <c r="W534" s="464"/>
      <c r="X534" s="664" t="s">
        <v>411</v>
      </c>
      <c r="AA534" s="462" t="s">
        <v>606</v>
      </c>
      <c r="AB534" s="1200"/>
      <c r="AC534" s="551" t="str">
        <f>IF(AND(OR(AB534="",AB534=0),OR(AD534="",AD534=0)),"",IF(AB534&lt;&gt;AD534,"Change",""))</f>
        <v/>
      </c>
      <c r="AD534" s="1057" t="str">
        <f>IF(OR(R1129=0,R1129=""),"",R1129)</f>
        <v/>
      </c>
      <c r="AE534" s="576" t="s">
        <v>350</v>
      </c>
    </row>
    <row r="535" spans="1:31" ht="11.25" customHeight="1" thickTop="1" thickBot="1">
      <c r="A535" s="611">
        <v>9</v>
      </c>
      <c r="B535" s="191" t="s">
        <v>591</v>
      </c>
      <c r="C535" s="326"/>
      <c r="E535" s="128" t="s">
        <v>592</v>
      </c>
      <c r="F535" s="128"/>
      <c r="G535" s="49" t="s">
        <v>568</v>
      </c>
      <c r="H535" s="529"/>
      <c r="I535" s="530"/>
      <c r="J535" s="545" t="s">
        <v>593</v>
      </c>
      <c r="K535" s="531" t="str">
        <f>IF(M421="","NA",M421&amp;" cm")</f>
        <v>NA</v>
      </c>
      <c r="L535" s="676" t="s">
        <v>411</v>
      </c>
      <c r="M535" s="127"/>
      <c r="O535" s="128" t="s">
        <v>592</v>
      </c>
      <c r="P535" s="128"/>
      <c r="R535" s="49" t="s">
        <v>568</v>
      </c>
      <c r="T535" s="590" t="s">
        <v>603</v>
      </c>
      <c r="U535" s="49"/>
      <c r="W535" s="673" t="s">
        <v>603</v>
      </c>
      <c r="X535" s="664" t="s">
        <v>411</v>
      </c>
      <c r="AA535" s="462" t="s">
        <v>344</v>
      </c>
      <c r="AB535" s="1202"/>
      <c r="AC535" s="551" t="str">
        <f>IF(AND(OR(AB535="",AB535=0),OR(AD535="",AD535=0)),"",IF(AB535&lt;&gt;AD535,"Change",""))</f>
        <v>Change</v>
      </c>
      <c r="AD535" s="1067">
        <f>IF(OR(R1130=0,R1130=""),"",R1130)</f>
        <v>7.8740157480314963</v>
      </c>
      <c r="AE535" s="576" t="s">
        <v>351</v>
      </c>
    </row>
    <row r="536" spans="1:31" ht="11.25" customHeight="1" thickTop="1" thickBot="1">
      <c r="A536" s="611">
        <v>8</v>
      </c>
      <c r="B536" s="127"/>
      <c r="E536" s="152" t="s">
        <v>595</v>
      </c>
      <c r="F536" s="153"/>
      <c r="G536" s="146" t="s">
        <v>596</v>
      </c>
      <c r="H536" s="49"/>
      <c r="I536" s="49"/>
      <c r="J536" s="49"/>
      <c r="K536" s="69"/>
      <c r="L536" s="676" t="s">
        <v>411</v>
      </c>
      <c r="M536" s="127"/>
      <c r="O536" s="152" t="s">
        <v>595</v>
      </c>
      <c r="P536" s="153"/>
      <c r="R536" s="117" t="s">
        <v>596</v>
      </c>
      <c r="T536" s="49"/>
      <c r="U536" s="49"/>
      <c r="W536" s="674" t="s">
        <v>604</v>
      </c>
      <c r="X536" s="664" t="s">
        <v>411</v>
      </c>
      <c r="AB536" s="49"/>
      <c r="AD536" s="457"/>
    </row>
    <row r="537" spans="1:31" ht="11.25" customHeight="1" thickBot="1">
      <c r="A537" s="611">
        <v>9</v>
      </c>
      <c r="B537" s="127"/>
      <c r="E537" s="147" t="str">
        <f>IF(O537="","",O537)</f>
        <v/>
      </c>
      <c r="F537" s="148"/>
      <c r="G537" s="154" t="str">
        <f>IF(R537="","",R537)</f>
        <v>TBD</v>
      </c>
      <c r="H537" s="49"/>
      <c r="I537" s="42" t="s">
        <v>569</v>
      </c>
      <c r="J537" s="141" t="str">
        <f>IF(U537="","",U537)</f>
        <v>TBD</v>
      </c>
      <c r="K537" s="69"/>
      <c r="L537" s="676" t="s">
        <v>411</v>
      </c>
      <c r="M537" s="127"/>
      <c r="O537" s="1291"/>
      <c r="P537" s="1292"/>
      <c r="Q537" s="715"/>
      <c r="R537" s="875" t="str">
        <f>IF(OR($M$409&lt;&gt;1,$O$537="NA"),"NA",IF(OR($M$420="",$M$420=0,$M$421="",$M$421=0,$O$537=""),"TBD",(180/PI())*ATAN(($O$537/152)*IF($T$535="Upper",IF($M$410=1,1,($M$420/($M$420+$M$421))),IF($M$410=1,(($M$420-15.2)/$M$420),((($M$420+$M$421)-(15.2+$M$421))/($M$420+$M$421)))))))</f>
        <v>TBD</v>
      </c>
      <c r="T537" s="749" t="s">
        <v>569</v>
      </c>
      <c r="U537" s="740" t="str">
        <f>IF($R$537="NA","NA",IF($R$537="TBD","TBD",IF($R$537&lt;=2,"YES","NO")))</f>
        <v>TBD</v>
      </c>
      <c r="W537" s="71"/>
      <c r="X537" s="664" t="s">
        <v>411</v>
      </c>
      <c r="AA537" s="675" t="s">
        <v>1011</v>
      </c>
      <c r="AB537" s="49"/>
      <c r="AD537" s="457"/>
    </row>
    <row r="538" spans="1:31" ht="11.25" customHeight="1">
      <c r="A538" s="611">
        <v>10</v>
      </c>
      <c r="B538" s="127"/>
      <c r="E538" s="49"/>
      <c r="F538" s="49"/>
      <c r="G538" s="49"/>
      <c r="H538" s="49"/>
      <c r="I538" s="49"/>
      <c r="J538" s="49"/>
      <c r="K538" s="69"/>
      <c r="L538" s="676" t="s">
        <v>411</v>
      </c>
      <c r="M538" s="127"/>
      <c r="O538" s="49"/>
      <c r="P538" s="49"/>
      <c r="Q538" s="712" t="s">
        <v>376</v>
      </c>
      <c r="R538" s="846" t="str">
        <f>IF(OR(AB475=0,AB475=""),"",AB475)</f>
        <v/>
      </c>
      <c r="S538" s="49"/>
      <c r="T538" s="49"/>
      <c r="U538" s="49"/>
      <c r="W538" s="71"/>
      <c r="X538" s="664" t="s">
        <v>411</v>
      </c>
      <c r="AA538" s="462"/>
      <c r="AB538" s="1203"/>
      <c r="AC538" s="551" t="str">
        <f t="shared" ref="AC538:AC543" si="80">IF(AND(OR(AB538="",AB538=0),OR(AD538="",AD538=0)),"",IF(AB538&lt;&gt;AD538,"Change",""))</f>
        <v/>
      </c>
      <c r="AD538" s="1062" t="str">
        <f t="shared" ref="AD538:AD543" si="81">IF(OR(T1="",T1=0),"",T1)</f>
        <v/>
      </c>
      <c r="AE538" s="555" t="s">
        <v>1012</v>
      </c>
    </row>
    <row r="539" spans="1:31" ht="11.25" customHeight="1">
      <c r="A539" s="611">
        <v>11</v>
      </c>
      <c r="B539" s="192" t="s">
        <v>570</v>
      </c>
      <c r="C539" s="100" t="s">
        <v>602</v>
      </c>
      <c r="D539" s="49"/>
      <c r="E539" s="49"/>
      <c r="H539" s="49"/>
      <c r="I539" s="49"/>
      <c r="J539" s="49"/>
      <c r="K539" s="69"/>
      <c r="L539" s="676" t="s">
        <v>411</v>
      </c>
      <c r="M539" s="127"/>
      <c r="N539" s="132" t="s">
        <v>570</v>
      </c>
      <c r="O539" s="100" t="s">
        <v>602</v>
      </c>
      <c r="P539" s="49"/>
      <c r="Q539" s="49"/>
      <c r="R539" s="50"/>
      <c r="T539" s="49"/>
      <c r="U539" s="49"/>
      <c r="V539" s="49"/>
      <c r="W539" s="71"/>
      <c r="X539" s="664" t="s">
        <v>411</v>
      </c>
      <c r="AB539" s="1203"/>
      <c r="AC539" s="551" t="str">
        <f t="shared" si="80"/>
        <v/>
      </c>
      <c r="AD539" s="1062" t="str">
        <f t="shared" si="81"/>
        <v/>
      </c>
      <c r="AE539" s="555" t="s">
        <v>1013</v>
      </c>
    </row>
    <row r="540" spans="1:31" ht="11.25" customHeight="1">
      <c r="A540" s="611">
        <v>12</v>
      </c>
      <c r="B540" s="127"/>
      <c r="K540" s="71"/>
      <c r="L540" s="676" t="s">
        <v>411</v>
      </c>
      <c r="M540" s="127"/>
      <c r="W540" s="71"/>
      <c r="X540" s="664" t="s">
        <v>411</v>
      </c>
      <c r="AB540" s="1203"/>
      <c r="AC540" s="551" t="str">
        <f t="shared" si="80"/>
        <v/>
      </c>
      <c r="AD540" s="1062" t="str">
        <f t="shared" si="81"/>
        <v/>
      </c>
      <c r="AE540" s="555" t="s">
        <v>1014</v>
      </c>
    </row>
    <row r="541" spans="1:31" ht="11.25" customHeight="1">
      <c r="A541" s="611">
        <v>13</v>
      </c>
      <c r="B541" s="191" t="s">
        <v>605</v>
      </c>
      <c r="C541" s="199"/>
      <c r="D541" s="128"/>
      <c r="E541" s="49"/>
      <c r="K541" s="71"/>
      <c r="L541" s="676" t="s">
        <v>411</v>
      </c>
      <c r="M541" s="191" t="s">
        <v>320</v>
      </c>
      <c r="T541" s="712" t="s">
        <v>376</v>
      </c>
      <c r="U541" s="755" t="str">
        <f>IF(OR(AB115=0,AB115=""),"",AB115)</f>
        <v/>
      </c>
      <c r="V541" s="977"/>
      <c r="W541" s="71"/>
      <c r="X541" s="664" t="s">
        <v>411</v>
      </c>
      <c r="AB541" s="1203"/>
      <c r="AC541" s="551" t="str">
        <f t="shared" si="80"/>
        <v/>
      </c>
      <c r="AD541" s="1062" t="str">
        <f t="shared" si="81"/>
        <v/>
      </c>
      <c r="AE541" s="555" t="s">
        <v>1015</v>
      </c>
    </row>
    <row r="542" spans="1:31" ht="11.25" customHeight="1">
      <c r="A542" s="611">
        <v>14</v>
      </c>
      <c r="B542" s="127"/>
      <c r="K542" s="71"/>
      <c r="L542" s="676" t="s">
        <v>411</v>
      </c>
      <c r="M542" s="127"/>
      <c r="N542" s="54" t="s">
        <v>606</v>
      </c>
      <c r="O542" s="813" t="str">
        <f>IF(O543&lt;&gt;"",O543,IF(OR(AB112=0,AB112=""),"",AB112))</f>
        <v/>
      </c>
      <c r="P542" s="54" t="s">
        <v>607</v>
      </c>
      <c r="Q542" s="813" t="str">
        <f>IF(Q543&lt;&gt;"",Q543,IF(OR(AB113=0,AB113=""),"",AB113))</f>
        <v/>
      </c>
      <c r="R542" s="54" t="s">
        <v>608</v>
      </c>
      <c r="S542" s="848" t="str">
        <f>IF(S543&lt;&gt;"",S543,IF(OR(AB114=0,AB114=""),"",AB114))</f>
        <v/>
      </c>
      <c r="T542" s="54" t="s">
        <v>609</v>
      </c>
      <c r="U542" s="847">
        <f>IF(AND(OR(U543=0,U543=""),OR(Q542=0,Q542=""),OR(S542=0,S542=""),OR(U541=0,U541="")),0.5,IF(U543&lt;&gt;"","See below",IF(AND(Q542&lt;&gt;"",S542&lt;&gt;""),Q542*S542,U541)))</f>
        <v>0.5</v>
      </c>
      <c r="W542" s="71"/>
      <c r="X542" s="664" t="s">
        <v>411</v>
      </c>
      <c r="AB542" s="1203"/>
      <c r="AC542" s="551" t="str">
        <f t="shared" si="80"/>
        <v/>
      </c>
      <c r="AD542" s="1062" t="str">
        <f t="shared" si="81"/>
        <v/>
      </c>
      <c r="AE542" s="555" t="s">
        <v>1016</v>
      </c>
    </row>
    <row r="543" spans="1:31" ht="11.25" customHeight="1">
      <c r="A543" s="611">
        <v>15</v>
      </c>
      <c r="B543" s="102" t="s">
        <v>606</v>
      </c>
      <c r="C543" s="48" t="str">
        <f>IF(O542="","",O542)</f>
        <v/>
      </c>
      <c r="D543" s="54" t="s">
        <v>607</v>
      </c>
      <c r="E543" s="48" t="str">
        <f>IF($U$543&lt;&gt;"","",IF(Q542="","",Q542))</f>
        <v/>
      </c>
      <c r="F543" s="54" t="s">
        <v>608</v>
      </c>
      <c r="G543" s="48" t="str">
        <f>IF($U$543&lt;&gt;"","",IF(S542="","",S542))</f>
        <v/>
      </c>
      <c r="H543" s="54" t="s">
        <v>609</v>
      </c>
      <c r="I543" s="48">
        <f>IF(U542="","",IF(U543="",U542,U543))</f>
        <v>0.5</v>
      </c>
      <c r="J543" s="54" t="s">
        <v>610</v>
      </c>
      <c r="K543" s="103" t="str">
        <f>IF(U423="","",U423&amp;" "&amp;TBCM_IN)</f>
        <v/>
      </c>
      <c r="L543" s="676" t="s">
        <v>411</v>
      </c>
      <c r="M543" s="127"/>
      <c r="N543" s="675" t="s">
        <v>50</v>
      </c>
      <c r="O543" s="768"/>
      <c r="P543" s="675" t="s">
        <v>50</v>
      </c>
      <c r="Q543" s="768"/>
      <c r="R543" s="675" t="s">
        <v>50</v>
      </c>
      <c r="S543" s="771"/>
      <c r="T543" s="675" t="s">
        <v>50</v>
      </c>
      <c r="U543" s="854"/>
      <c r="W543" s="71"/>
      <c r="X543" s="664" t="s">
        <v>411</v>
      </c>
      <c r="AB543" s="1203"/>
      <c r="AC543" s="551" t="str">
        <f t="shared" si="80"/>
        <v/>
      </c>
      <c r="AD543" s="1062" t="str">
        <f t="shared" si="81"/>
        <v/>
      </c>
      <c r="AE543" s="555" t="s">
        <v>1017</v>
      </c>
    </row>
    <row r="544" spans="1:31" ht="11.25" customHeight="1" thickBot="1">
      <c r="A544" s="611">
        <v>16</v>
      </c>
      <c r="B544" s="127"/>
      <c r="K544" s="71"/>
      <c r="L544" s="676" t="s">
        <v>411</v>
      </c>
      <c r="M544" s="102"/>
      <c r="W544" s="71"/>
      <c r="X544" s="664" t="s">
        <v>411</v>
      </c>
    </row>
    <row r="545" spans="1:33" ht="11.25" customHeight="1">
      <c r="A545" s="611">
        <v>17</v>
      </c>
      <c r="B545" s="127"/>
      <c r="C545" s="128" t="s">
        <v>612</v>
      </c>
      <c r="D545" s="111"/>
      <c r="J545" s="49"/>
      <c r="K545" s="71"/>
      <c r="L545" s="676" t="s">
        <v>411</v>
      </c>
      <c r="M545" s="463"/>
      <c r="N545" s="491" t="s">
        <v>618</v>
      </c>
      <c r="O545" s="457"/>
      <c r="P545" s="457"/>
      <c r="Q545" s="849" t="s">
        <v>612</v>
      </c>
      <c r="R545" s="850"/>
      <c r="W545" s="71"/>
      <c r="X545" s="664" t="s">
        <v>411</v>
      </c>
    </row>
    <row r="546" spans="1:33" ht="11.25" customHeight="1" thickBot="1">
      <c r="A546" s="611">
        <v>18</v>
      </c>
      <c r="B546" s="127"/>
      <c r="C546" s="152" t="str">
        <f>"Distance ("&amp;TBCM_IN&amp;")"</f>
        <v>Distance (cm)</v>
      </c>
      <c r="D546" s="151"/>
      <c r="I546" s="152" t="s">
        <v>612</v>
      </c>
      <c r="J546" s="151"/>
      <c r="K546" s="71"/>
      <c r="L546" s="676" t="s">
        <v>411</v>
      </c>
      <c r="M546" s="617"/>
      <c r="N546" s="490" t="s">
        <v>620</v>
      </c>
      <c r="O546" s="457"/>
      <c r="P546" s="457"/>
      <c r="Q546" s="851" t="str">
        <f>"Distance ("&amp;TBCM_IN&amp;")"</f>
        <v>Distance (cm)</v>
      </c>
      <c r="R546" s="852"/>
      <c r="T546" s="152" t="s">
        <v>612</v>
      </c>
      <c r="U546" s="151"/>
      <c r="W546" s="71"/>
      <c r="X546" s="664" t="s">
        <v>411</v>
      </c>
    </row>
    <row r="547" spans="1:33" ht="11.25" customHeight="1" thickBot="1">
      <c r="A547" s="611">
        <v>19</v>
      </c>
      <c r="B547" s="127"/>
      <c r="C547" s="147">
        <f>IF(M546&lt;&gt;"","NA",Q547)</f>
        <v>0</v>
      </c>
      <c r="D547" s="158"/>
      <c r="I547" s="195" t="s">
        <v>569</v>
      </c>
      <c r="J547" s="196" t="str">
        <f>U547</f>
        <v>TBD</v>
      </c>
      <c r="K547" s="71"/>
      <c r="L547" s="676" t="s">
        <v>411</v>
      </c>
      <c r="M547" s="617"/>
      <c r="N547" s="490" t="s">
        <v>626</v>
      </c>
      <c r="O547" s="457"/>
      <c r="P547" s="457"/>
      <c r="Q547" s="1289"/>
      <c r="R547" s="1290"/>
      <c r="T547" s="749" t="s">
        <v>569</v>
      </c>
      <c r="U547" s="740" t="str">
        <f>IF(OR($Q$547="NA",$M$409=2),"NA",IF($M$546=1,"YES",IF($M$546=2,"NO",IF(Q547="","TBD",IF(TBCM_IN="cm",IF(Q547&gt;0.02*U423,"NO","YES"),IF(Q547&gt;0.02*U423,"NO","YES"))))))</f>
        <v>TBD</v>
      </c>
      <c r="W547" s="71"/>
      <c r="X547" s="664" t="s">
        <v>411</v>
      </c>
    </row>
    <row r="548" spans="1:33" ht="11.25" customHeight="1" thickBot="1">
      <c r="A548" s="611">
        <v>20</v>
      </c>
      <c r="B548" s="127"/>
      <c r="C548" s="49"/>
      <c r="I548" s="37"/>
      <c r="K548" s="71"/>
      <c r="L548" s="676" t="s">
        <v>411</v>
      </c>
      <c r="M548" s="617"/>
      <c r="N548" s="490" t="s">
        <v>628</v>
      </c>
      <c r="O548" s="457"/>
      <c r="P548" s="457"/>
      <c r="Q548" s="752" t="s">
        <v>376</v>
      </c>
      <c r="R548" s="964" t="str">
        <f>IF(OR(AB476=0,AB476=""),"",AB476)</f>
        <v/>
      </c>
      <c r="W548" s="71"/>
      <c r="X548" s="664" t="s">
        <v>411</v>
      </c>
    </row>
    <row r="549" spans="1:33" ht="11.25" customHeight="1">
      <c r="A549" s="611">
        <v>21</v>
      </c>
      <c r="B549" s="192" t="s">
        <v>570</v>
      </c>
      <c r="C549" s="100" t="s">
        <v>617</v>
      </c>
      <c r="K549" s="71"/>
      <c r="L549" s="676" t="s">
        <v>411</v>
      </c>
      <c r="M549" s="127"/>
      <c r="N549" s="132" t="s">
        <v>570</v>
      </c>
      <c r="O549" s="100" t="s">
        <v>17</v>
      </c>
      <c r="W549" s="71"/>
      <c r="X549" s="664" t="s">
        <v>411</v>
      </c>
      <c r="AE549"/>
    </row>
    <row r="550" spans="1:33" ht="11.25" customHeight="1" thickBot="1">
      <c r="A550" s="611">
        <v>22</v>
      </c>
      <c r="B550" s="127"/>
      <c r="K550" s="71"/>
      <c r="L550" s="676" t="s">
        <v>411</v>
      </c>
      <c r="M550" s="127"/>
      <c r="W550" s="71"/>
      <c r="X550" s="664" t="s">
        <v>411</v>
      </c>
      <c r="AE550"/>
    </row>
    <row r="551" spans="1:33" ht="11.25" customHeight="1">
      <c r="A551" s="611">
        <v>23</v>
      </c>
      <c r="B551" s="972" t="s">
        <v>621</v>
      </c>
      <c r="C551" s="410"/>
      <c r="D551" s="184" t="s">
        <v>622</v>
      </c>
      <c r="E551" s="410"/>
      <c r="F551" s="184" t="s">
        <v>623</v>
      </c>
      <c r="G551" s="969"/>
      <c r="H551" s="179" t="s">
        <v>624</v>
      </c>
      <c r="I551" s="967"/>
      <c r="J551" s="968" t="s">
        <v>625</v>
      </c>
      <c r="K551" s="976"/>
      <c r="L551" s="676" t="s">
        <v>411</v>
      </c>
      <c r="M551" s="245" t="s">
        <v>621</v>
      </c>
      <c r="N551" s="173"/>
      <c r="O551" s="244" t="s">
        <v>622</v>
      </c>
      <c r="P551" s="173"/>
      <c r="Q551" s="244" t="s">
        <v>623</v>
      </c>
      <c r="R551" s="246"/>
      <c r="T551" s="109" t="s">
        <v>624</v>
      </c>
      <c r="U551" s="128"/>
      <c r="V551" s="109" t="s">
        <v>625</v>
      </c>
      <c r="W551" s="186"/>
      <c r="X551" s="664" t="s">
        <v>411</v>
      </c>
      <c r="AE551"/>
    </row>
    <row r="552" spans="1:33" ht="11.25" customHeight="1" thickBot="1">
      <c r="A552" s="611">
        <v>24</v>
      </c>
      <c r="B552" s="161" t="str">
        <f>"("&amp;TBCM_IN&amp;")"</f>
        <v>(cm)</v>
      </c>
      <c r="C552" s="173"/>
      <c r="D552" s="172" t="str">
        <f>"("&amp;TBCM_IN&amp;")"</f>
        <v>(cm)</v>
      </c>
      <c r="E552" s="173"/>
      <c r="F552" s="172" t="str">
        <f>"("&amp;TBCM_IN&amp;")"</f>
        <v>(cm)</v>
      </c>
      <c r="G552" s="246"/>
      <c r="H552" s="166" t="s">
        <v>627</v>
      </c>
      <c r="I552" s="163"/>
      <c r="J552" s="165" t="s">
        <v>627</v>
      </c>
      <c r="K552" s="186"/>
      <c r="L552" s="676" t="s">
        <v>411</v>
      </c>
      <c r="M552" s="161" t="str">
        <f>"("&amp;TBCM_IN&amp;")"</f>
        <v>(cm)</v>
      </c>
      <c r="N552" s="173"/>
      <c r="O552" s="172" t="str">
        <f>"("&amp;TBCM_IN&amp;")"</f>
        <v>(cm)</v>
      </c>
      <c r="P552" s="173"/>
      <c r="Q552" s="172" t="str">
        <f>"("&amp;TBCM_IN&amp;")"</f>
        <v>(cm)</v>
      </c>
      <c r="R552" s="246"/>
      <c r="T552" s="149" t="s">
        <v>627</v>
      </c>
      <c r="U552" s="163"/>
      <c r="V552" s="165" t="s">
        <v>627</v>
      </c>
      <c r="W552" s="186"/>
      <c r="X552" s="664" t="s">
        <v>411</v>
      </c>
      <c r="AE552"/>
    </row>
    <row r="553" spans="1:33" ht="11.25" customHeight="1" thickBot="1">
      <c r="A553" s="611">
        <v>25</v>
      </c>
      <c r="B553" s="162" t="s">
        <v>457</v>
      </c>
      <c r="C553" s="168" t="s">
        <v>458</v>
      </c>
      <c r="D553" s="169" t="s">
        <v>457</v>
      </c>
      <c r="E553" s="168" t="s">
        <v>458</v>
      </c>
      <c r="F553" s="169" t="s">
        <v>457</v>
      </c>
      <c r="G553" s="171" t="s">
        <v>458</v>
      </c>
      <c r="H553" s="167" t="s">
        <v>457</v>
      </c>
      <c r="I553" s="168" t="s">
        <v>458</v>
      </c>
      <c r="J553" s="169" t="s">
        <v>457</v>
      </c>
      <c r="K553" s="23" t="s">
        <v>458</v>
      </c>
      <c r="L553" s="676" t="s">
        <v>411</v>
      </c>
      <c r="M553" s="247" t="s">
        <v>457</v>
      </c>
      <c r="N553" s="248" t="s">
        <v>458</v>
      </c>
      <c r="O553" s="249" t="s">
        <v>457</v>
      </c>
      <c r="P553" s="248" t="s">
        <v>458</v>
      </c>
      <c r="Q553" s="249" t="s">
        <v>457</v>
      </c>
      <c r="R553" s="250" t="s">
        <v>458</v>
      </c>
      <c r="S553" s="526" t="str">
        <f t="array" ref="S553:S555">Gen_form!$R$414:$R$416</f>
        <v>CR</v>
      </c>
      <c r="T553" s="250" t="s">
        <v>457</v>
      </c>
      <c r="U553" s="248" t="s">
        <v>458</v>
      </c>
      <c r="V553" s="249" t="s">
        <v>457</v>
      </c>
      <c r="W553" s="253" t="s">
        <v>458</v>
      </c>
      <c r="X553" s="664" t="s">
        <v>411</v>
      </c>
      <c r="AE553"/>
    </row>
    <row r="554" spans="1:33" ht="11.25" customHeight="1" thickBot="1">
      <c r="A554" s="611">
        <v>26</v>
      </c>
      <c r="B554" s="392" t="str">
        <f t="shared" ref="B554:G555" si="82">IF(M554="","",M554)</f>
        <v/>
      </c>
      <c r="C554" s="380" t="str">
        <f t="shared" si="82"/>
        <v/>
      </c>
      <c r="D554" s="379" t="str">
        <f t="shared" si="82"/>
        <v/>
      </c>
      <c r="E554" s="380" t="str">
        <f t="shared" si="82"/>
        <v/>
      </c>
      <c r="F554" s="379" t="str">
        <f t="shared" si="82"/>
        <v/>
      </c>
      <c r="G554" s="384" t="str">
        <f t="shared" si="82"/>
        <v/>
      </c>
      <c r="H554" s="174" t="str">
        <f t="shared" ref="H554:K555" si="83">IF(T554="","",T554)</f>
        <v>NA</v>
      </c>
      <c r="I554" s="175" t="str">
        <f t="shared" si="83"/>
        <v>NA</v>
      </c>
      <c r="J554" s="176" t="str">
        <f t="shared" si="83"/>
        <v>NA</v>
      </c>
      <c r="K554" s="187" t="str">
        <f t="shared" si="83"/>
        <v>NA</v>
      </c>
      <c r="L554" s="676" t="s">
        <v>411</v>
      </c>
      <c r="M554" s="814" t="str">
        <f>IF(M560&lt;&gt;"",M560,IF(OR(AB118=0,AB118=""),"",AB118))</f>
        <v/>
      </c>
      <c r="N554" s="815" t="str">
        <f>IF(N560&lt;&gt;"",N560,IF(OR(AB119=0,AB119=""),"",AB119))</f>
        <v/>
      </c>
      <c r="O554" s="618"/>
      <c r="P554" s="619"/>
      <c r="Q554" s="618"/>
      <c r="R554" s="616"/>
      <c r="S554" s="527" t="str">
        <v>Avg. CF</v>
      </c>
      <c r="T554" s="602" t="str">
        <f>IF(OR($M$547&lt;&gt;"",$M$409&lt;&gt;1,$M$470=2,$M$470=3),"NA",IF(OR($U$423="",M554="",M554=0,O554="",O554=0),"NA",ABS(M554-O554)/$U$423))</f>
        <v>NA</v>
      </c>
      <c r="U554" s="601" t="str">
        <f>IF(OR($M$547&lt;&gt;"",$M$409&lt;&gt;1,$M$470=2,$M$470=3),"NA",IF(OR($U$423="",N554="",N554=0,P554="",P554=0),"NA",ABS(N554-P554)/$U$423))</f>
        <v>NA</v>
      </c>
      <c r="V554" s="600" t="str">
        <f>IF(OR($M$548&lt;&gt;"",$M$409&lt;&gt;1,$M$473=2,$M$473=3),"NA",IF(OR($U$423="",O554="",Q554=""),"NA",ABS(O554-Q554)/$U$423))</f>
        <v>NA</v>
      </c>
      <c r="W554" s="606" t="str">
        <f>IF(OR($M$548&lt;&gt;"",$M$409&lt;&gt;1,$M$473=2,$M$473=3),"NA",IF(OR($U$423="",P554="",R554=""),"NA",ABS(P554-R554)/$U$423))</f>
        <v>NA</v>
      </c>
      <c r="X554" s="664" t="s">
        <v>411</v>
      </c>
      <c r="AE554"/>
      <c r="AG554" s="978"/>
    </row>
    <row r="555" spans="1:33" ht="11.25" customHeight="1" thickBot="1">
      <c r="A555" s="611">
        <v>27</v>
      </c>
      <c r="B555" s="392" t="str">
        <f t="shared" si="82"/>
        <v/>
      </c>
      <c r="C555" s="380" t="str">
        <f t="shared" si="82"/>
        <v/>
      </c>
      <c r="D555" s="379" t="str">
        <f t="shared" si="82"/>
        <v/>
      </c>
      <c r="E555" s="380" t="str">
        <f t="shared" si="82"/>
        <v/>
      </c>
      <c r="F555" s="379" t="str">
        <f t="shared" si="82"/>
        <v/>
      </c>
      <c r="G555" s="384" t="str">
        <f t="shared" si="82"/>
        <v/>
      </c>
      <c r="H555" s="174" t="str">
        <f t="shared" si="83"/>
        <v>NA</v>
      </c>
      <c r="I555" s="175" t="str">
        <f t="shared" si="83"/>
        <v>NA</v>
      </c>
      <c r="J555" s="176" t="str">
        <f t="shared" si="83"/>
        <v>NA</v>
      </c>
      <c r="K555" s="187" t="str">
        <f t="shared" si="83"/>
        <v>NA</v>
      </c>
      <c r="L555" s="676" t="s">
        <v>411</v>
      </c>
      <c r="M555" s="814" t="str">
        <f>IF(M561&lt;&gt;"",M561,IF(OR(AB120=0,AB120=""),"",AB120))</f>
        <v/>
      </c>
      <c r="N555" s="815" t="str">
        <f>IF(N561&lt;&gt;"",N561,IF(OR(AB121=0,AB121=""),"",AB121))</f>
        <v/>
      </c>
      <c r="O555" s="618"/>
      <c r="P555" s="619"/>
      <c r="Q555" s="618"/>
      <c r="R555" s="616"/>
      <c r="S555" s="528">
        <v>1</v>
      </c>
      <c r="T555" s="605" t="str">
        <f>IF(OR(M555="",M555=0,O555="",O555=0,$M$547&lt;&gt;"",$M$409&lt;&gt;1,$M$470=2,$M$470=3),"NA",IF($U$423="","TBD",ABS(M555-O555)/$U$423))</f>
        <v>NA</v>
      </c>
      <c r="U555" s="604" t="str">
        <f>IF(OR(N555="",N555=0,P555="",P555=0,$M$547&lt;&gt;"",$M$409&lt;&gt;1,$M$470=2,$M$470=3),"NA",IF(OR($U$423="",$U$423=0),"NA",ABS(N555-P555)/$U$423))</f>
        <v>NA</v>
      </c>
      <c r="V555" s="603" t="str">
        <f>IF(OR(M555="",M555=0,Q555="",Q555=0,$M$548&lt;&gt;"",$M$409&lt;&gt;1,$M$473=2,$M$473=3),"NA",IF(OR($U$423="",O555="",Q555=""),"NA",ABS(O555-Q555)/$U$423))</f>
        <v>NA</v>
      </c>
      <c r="W555" s="607" t="str">
        <f>IF(OR(N555="",N555=0,R555="",R555=0,$M$548&lt;&gt;"",$M$409&lt;&gt;1,$M$473=2,$M$473=3),"NA",IF(OR($U$423="",P555="",R555=""),"NA",ABS(P555-R555)/$U$423))</f>
        <v>NA</v>
      </c>
      <c r="X555" s="664" t="s">
        <v>411</v>
      </c>
      <c r="AE555"/>
      <c r="AG555" s="978"/>
    </row>
    <row r="556" spans="1:33" ht="11.25" customHeight="1" thickBot="1">
      <c r="A556" s="611">
        <v>28</v>
      </c>
      <c r="B556" s="160" t="s">
        <v>629</v>
      </c>
      <c r="K556" s="71"/>
      <c r="L556" s="676" t="s">
        <v>411</v>
      </c>
      <c r="M556" s="160" t="s">
        <v>629</v>
      </c>
      <c r="N556" s="49"/>
      <c r="O556" s="49"/>
      <c r="P556" s="49"/>
      <c r="Q556" s="49"/>
      <c r="R556" s="156"/>
      <c r="S556" s="49"/>
      <c r="W556" s="71"/>
      <c r="X556" s="664" t="s">
        <v>411</v>
      </c>
      <c r="AE556"/>
      <c r="AG556" s="978"/>
    </row>
    <row r="557" spans="1:33" ht="11.25" customHeight="1" thickBot="1">
      <c r="A557" s="611">
        <v>29</v>
      </c>
      <c r="B557" s="160" t="s">
        <v>630</v>
      </c>
      <c r="H557" s="180"/>
      <c r="I557" s="181" t="s">
        <v>631</v>
      </c>
      <c r="J557" s="179"/>
      <c r="K557" s="188"/>
      <c r="L557" s="676" t="s">
        <v>411</v>
      </c>
      <c r="M557" s="160" t="s">
        <v>630</v>
      </c>
      <c r="T557" s="806"/>
      <c r="U557" s="1293" t="s">
        <v>631</v>
      </c>
      <c r="V557" s="1293"/>
      <c r="W557" s="805"/>
      <c r="X557" s="664" t="s">
        <v>411</v>
      </c>
      <c r="AE557"/>
      <c r="AG557" s="978"/>
    </row>
    <row r="558" spans="1:33" ht="11.25" customHeight="1">
      <c r="A558" s="611">
        <v>30</v>
      </c>
      <c r="B558" s="66"/>
      <c r="C558" s="49"/>
      <c r="D558" s="49"/>
      <c r="F558" s="184" t="str">
        <f>"Indicated Field Size ("&amp;TBCM_IN&amp;")"</f>
        <v>Indicated Field Size (cm)</v>
      </c>
      <c r="G558" s="185"/>
      <c r="H558" s="165" t="s">
        <v>624</v>
      </c>
      <c r="I558" s="163"/>
      <c r="J558" s="165" t="s">
        <v>625</v>
      </c>
      <c r="K558" s="254"/>
      <c r="L558" s="676" t="s">
        <v>411</v>
      </c>
      <c r="M558" s="723" t="s">
        <v>632</v>
      </c>
      <c r="N558" s="718"/>
      <c r="R558" s="184" t="str">
        <f>"Indicated Field Size ("&amp;TBCM_IN&amp;")"</f>
        <v>Indicated Field Size (cm)</v>
      </c>
      <c r="S558" s="251"/>
      <c r="T558" s="172" t="s">
        <v>624</v>
      </c>
      <c r="U558" s="746"/>
      <c r="V558" s="109" t="s">
        <v>625</v>
      </c>
      <c r="W558" s="747"/>
      <c r="X558" s="664" t="s">
        <v>411</v>
      </c>
      <c r="AE558"/>
      <c r="AG558" s="978"/>
    </row>
    <row r="559" spans="1:33" ht="11.25" customHeight="1" thickBot="1">
      <c r="A559" s="611">
        <v>31</v>
      </c>
      <c r="B559" s="102"/>
      <c r="C559" s="50"/>
      <c r="F559" s="169" t="s">
        <v>457</v>
      </c>
      <c r="G559" s="168" t="s">
        <v>458</v>
      </c>
      <c r="H559" s="169" t="s">
        <v>457</v>
      </c>
      <c r="I559" s="168" t="s">
        <v>458</v>
      </c>
      <c r="J559" s="169" t="s">
        <v>457</v>
      </c>
      <c r="K559" s="23" t="s">
        <v>458</v>
      </c>
      <c r="L559" s="676" t="s">
        <v>411</v>
      </c>
      <c r="M559" s="247" t="s">
        <v>457</v>
      </c>
      <c r="N559" s="720" t="s">
        <v>458</v>
      </c>
      <c r="R559" s="249" t="s">
        <v>457</v>
      </c>
      <c r="S559" s="248" t="s">
        <v>458</v>
      </c>
      <c r="T559" s="249" t="s">
        <v>457</v>
      </c>
      <c r="U559" s="248" t="s">
        <v>458</v>
      </c>
      <c r="V559" s="249" t="s">
        <v>457</v>
      </c>
      <c r="W559" s="253" t="s">
        <v>458</v>
      </c>
      <c r="X559" s="664" t="s">
        <v>411</v>
      </c>
      <c r="AB559" s="457"/>
      <c r="AD559" s="457"/>
      <c r="AG559" s="978"/>
    </row>
    <row r="560" spans="1:33" ht="11.25" customHeight="1" thickBot="1">
      <c r="A560" s="611">
        <v>32</v>
      </c>
      <c r="B560" s="66"/>
      <c r="C560" s="49"/>
      <c r="D560" s="49"/>
      <c r="F560" s="379" t="str">
        <f t="shared" ref="F560:K561" si="84">R560</f>
        <v/>
      </c>
      <c r="G560" s="380" t="str">
        <f t="shared" si="84"/>
        <v/>
      </c>
      <c r="H560" s="164" t="str">
        <f t="shared" si="84"/>
        <v>NA</v>
      </c>
      <c r="I560" s="182" t="str">
        <f t="shared" si="84"/>
        <v>NA</v>
      </c>
      <c r="J560" s="164" t="str">
        <f t="shared" si="84"/>
        <v>NA</v>
      </c>
      <c r="K560" s="125" t="str">
        <f t="shared" si="84"/>
        <v>NA</v>
      </c>
      <c r="L560" s="676" t="s">
        <v>411</v>
      </c>
      <c r="M560" s="702"/>
      <c r="N560" s="719"/>
      <c r="R560" s="379" t="str">
        <f>IF(M554=0,"",M554)</f>
        <v/>
      </c>
      <c r="S560" s="380" t="str">
        <f>IF(N554=0,"",N554)</f>
        <v/>
      </c>
      <c r="T560" s="740" t="str">
        <f>IF($M$547=1,"YES",IF($M$547=2,"NO",IF(OR(T554="NA",$M$409&lt;&gt;1,$M$470=2,$M$470=3),"NA",IF(T554="TBD","TBD",IF(T554&gt;0.02,"NO","YES")))))</f>
        <v>NA</v>
      </c>
      <c r="U560" s="740" t="str">
        <f>IF($M$547=1,"YES",IF($M$547=2,"NO",IF(OR(U554="NA",$M$409&lt;&gt;1,$M$470=2,$M$470=3),"NA",IF(U554="TBD","TBD",IF(U554&gt;0.02,"NO","YES")))))</f>
        <v>NA</v>
      </c>
      <c r="V560" s="740" t="str">
        <f>IF($M$548=1,"YES",IF($M$548=2,"NO",IF(OR(V554="NA",$M$409&lt;&gt;1,$M$473=2,$M$473=3),"NA",IF(V554="TBD","TBD",IF(V554&gt;0.02,"NO","YES")))))</f>
        <v>NA</v>
      </c>
      <c r="W560" s="751" t="str">
        <f>IF($M$548=1,"YES",IF($M$548=2,"NO",IF(OR(W554="NA",$M$409&lt;&gt;1,$M$473=2,$M$473=3),"NA",IF(W554="TBD","TBD",IF(W554&gt;0.02,"NO","YES")))))</f>
        <v>NA</v>
      </c>
      <c r="X560" s="664" t="s">
        <v>411</v>
      </c>
    </row>
    <row r="561" spans="1:30" ht="11.25" customHeight="1" thickBot="1">
      <c r="A561" s="611">
        <v>33</v>
      </c>
      <c r="B561" s="127"/>
      <c r="F561" s="381" t="str">
        <f t="shared" si="84"/>
        <v/>
      </c>
      <c r="G561" s="382" t="str">
        <f t="shared" si="84"/>
        <v/>
      </c>
      <c r="H561" s="178" t="str">
        <f t="shared" si="84"/>
        <v>NA</v>
      </c>
      <c r="I561" s="183" t="str">
        <f t="shared" si="84"/>
        <v>NA</v>
      </c>
      <c r="J561" s="178" t="str">
        <f t="shared" si="84"/>
        <v>NA</v>
      </c>
      <c r="K561" s="189" t="str">
        <f t="shared" si="84"/>
        <v>NA</v>
      </c>
      <c r="L561" s="676" t="s">
        <v>411</v>
      </c>
      <c r="M561" s="702"/>
      <c r="N561" s="703"/>
      <c r="R561" s="381" t="str">
        <f>IF(M555=0,"",M555)</f>
        <v/>
      </c>
      <c r="S561" s="382" t="str">
        <f>IF(N555=0,"",N555)</f>
        <v/>
      </c>
      <c r="T561" s="740" t="str">
        <f>IF(T555="NA","NA",IF(T555="TBD","TBD",IF(T555&gt;0.02,"NO","YES")))</f>
        <v>NA</v>
      </c>
      <c r="U561" s="740" t="str">
        <f>IF(U555="NA","NA",IF(U555="TBD","TBD",IF(U555&gt;0.02,"NO","YES")))</f>
        <v>NA</v>
      </c>
      <c r="V561" s="740" t="str">
        <f>IF(V555="NA","NA",IF(V555="TBD","TBD",IF(V555&gt;0.02,"NO","YES")))</f>
        <v>NA</v>
      </c>
      <c r="W561" s="751" t="str">
        <f>IF(W555="NA","NA",IF(W555="TBD","TBD",IF(W555&gt;0.02,"NO","YES")))</f>
        <v>NA</v>
      </c>
      <c r="X561" s="664" t="s">
        <v>411</v>
      </c>
    </row>
    <row r="562" spans="1:30" ht="11.25" customHeight="1">
      <c r="A562" s="611">
        <v>34</v>
      </c>
      <c r="B562" s="127"/>
      <c r="K562" s="71"/>
      <c r="L562" s="676" t="s">
        <v>411</v>
      </c>
      <c r="M562" s="127"/>
      <c r="W562" s="71"/>
      <c r="X562" s="664" t="s">
        <v>411</v>
      </c>
    </row>
    <row r="563" spans="1:30" ht="11.25" customHeight="1">
      <c r="A563" s="611">
        <v>35</v>
      </c>
      <c r="B563" s="192" t="s">
        <v>570</v>
      </c>
      <c r="C563" s="100" t="s">
        <v>633</v>
      </c>
      <c r="K563" s="71"/>
      <c r="L563" s="676" t="s">
        <v>411</v>
      </c>
      <c r="M563" s="102"/>
      <c r="N563" s="132" t="s">
        <v>570</v>
      </c>
      <c r="O563" s="100" t="s">
        <v>633</v>
      </c>
      <c r="R563" s="50"/>
      <c r="U563" s="49"/>
      <c r="V563" s="49"/>
      <c r="W563" s="71"/>
      <c r="X563" s="664" t="s">
        <v>411</v>
      </c>
    </row>
    <row r="564" spans="1:30" ht="11.25" customHeight="1">
      <c r="A564" s="611">
        <v>36</v>
      </c>
      <c r="B564" s="200"/>
      <c r="C564" s="100" t="s">
        <v>446</v>
      </c>
      <c r="K564" s="71"/>
      <c r="L564" s="676" t="s">
        <v>411</v>
      </c>
      <c r="M564" s="66"/>
      <c r="N564" s="190"/>
      <c r="O564" s="100" t="s">
        <v>446</v>
      </c>
      <c r="R564" s="50"/>
      <c r="U564" s="49"/>
      <c r="V564" s="49"/>
      <c r="W564" s="71"/>
      <c r="X564" s="664" t="s">
        <v>411</v>
      </c>
    </row>
    <row r="565" spans="1:30" ht="11.25" customHeight="1">
      <c r="A565" s="611">
        <v>37</v>
      </c>
      <c r="B565" s="102" t="s">
        <v>552</v>
      </c>
      <c r="C565" s="922" t="str">
        <f>IF(O565="","",IF(LEN(O565)&lt;=135,O565,IF(LEN(O565)&lt;=260,LEFT(O565,SEARCH(" ",O565,125)),LEFT(O565,SEARCH(" ",O565,130)))))</f>
        <v/>
      </c>
      <c r="D565" s="48"/>
      <c r="E565" s="48"/>
      <c r="F565" s="48"/>
      <c r="G565" s="48"/>
      <c r="H565" s="48"/>
      <c r="I565" s="48"/>
      <c r="J565" s="48"/>
      <c r="K565" s="69"/>
      <c r="L565" s="676" t="s">
        <v>411</v>
      </c>
      <c r="M565" s="127"/>
      <c r="N565" s="577" t="s">
        <v>552</v>
      </c>
      <c r="O565" s="713" t="str">
        <f>IF(O567&lt;&gt;"",O567,IF(OR(AB433=0,AB433=""),"",AB433))</f>
        <v/>
      </c>
      <c r="P565" s="48"/>
      <c r="Q565" s="48"/>
      <c r="R565" s="48"/>
      <c r="S565" s="48"/>
      <c r="T565" s="48"/>
      <c r="U565" s="48"/>
      <c r="V565" s="48"/>
      <c r="W565" s="103"/>
      <c r="X565" s="664" t="s">
        <v>411</v>
      </c>
    </row>
    <row r="566" spans="1:30" ht="11.25" customHeight="1">
      <c r="A566" s="611">
        <v>38</v>
      </c>
      <c r="B566" s="85"/>
      <c r="C566" s="923" t="str">
        <f>IF(LEN(O565)&lt;=135,"",IF(LEN(O565)&lt;=260,RIGHT(O565,LEN(O565)-SEARCH(" ",O565,125)),MID(O565,SEARCH(" ",O565,130),IF(LEN(O565)&lt;=265,LEN(O565),SEARCH(" ",O565,255)-SEARCH(" ",O565,130)))))</f>
        <v/>
      </c>
      <c r="D566" s="48"/>
      <c r="E566" s="48"/>
      <c r="F566" s="48"/>
      <c r="G566" s="48"/>
      <c r="H566" s="48"/>
      <c r="I566" s="48"/>
      <c r="J566" s="48"/>
      <c r="K566" s="69"/>
      <c r="L566" s="676" t="s">
        <v>411</v>
      </c>
      <c r="M566" s="85"/>
      <c r="N566" s="609" t="s">
        <v>282</v>
      </c>
      <c r="O566" s="59"/>
      <c r="P566" s="921">
        <f>LEN(O565)</f>
        <v>0</v>
      </c>
      <c r="Q566" s="59"/>
      <c r="R566" s="59"/>
      <c r="S566" s="59"/>
      <c r="T566" s="59"/>
      <c r="U566" s="59"/>
      <c r="V566" s="59"/>
      <c r="W566" s="105"/>
      <c r="X566" s="664" t="s">
        <v>411</v>
      </c>
    </row>
    <row r="567" spans="1:30" ht="11.25" customHeight="1">
      <c r="A567" s="611">
        <v>39</v>
      </c>
      <c r="B567" s="85"/>
      <c r="C567" s="922" t="str">
        <f>IF(LEN(O565)&lt;=265,"",RIGHT(O565,LEN(O565)-SEARCH(" ",O565,255)))</f>
        <v/>
      </c>
      <c r="D567" s="48"/>
      <c r="E567" s="48"/>
      <c r="F567" s="48"/>
      <c r="G567" s="48"/>
      <c r="H567" s="48"/>
      <c r="I567" s="48"/>
      <c r="J567" s="48"/>
      <c r="K567" s="69"/>
      <c r="L567" s="676" t="s">
        <v>411</v>
      </c>
      <c r="M567" s="66"/>
      <c r="N567" s="1024" t="s">
        <v>619</v>
      </c>
      <c r="O567" s="1026"/>
      <c r="P567" s="59"/>
      <c r="Q567" s="59"/>
      <c r="R567" s="48"/>
      <c r="S567" s="48"/>
      <c r="T567" s="48"/>
      <c r="U567" s="48"/>
      <c r="V567" s="48"/>
      <c r="W567" s="103"/>
      <c r="X567" s="664" t="s">
        <v>411</v>
      </c>
    </row>
    <row r="568" spans="1:30" ht="11.25" customHeight="1">
      <c r="A568" s="611">
        <v>40</v>
      </c>
      <c r="B568" s="127"/>
      <c r="K568" s="71"/>
      <c r="L568" s="676" t="s">
        <v>411</v>
      </c>
      <c r="M568" s="127"/>
      <c r="W568" s="71"/>
      <c r="X568" s="664" t="s">
        <v>411</v>
      </c>
    </row>
    <row r="569" spans="1:30" ht="11.25" customHeight="1">
      <c r="A569" s="611">
        <v>41</v>
      </c>
      <c r="B569" s="191" t="s">
        <v>634</v>
      </c>
      <c r="C569" s="53"/>
      <c r="D569" s="53"/>
      <c r="E569" s="209"/>
      <c r="K569" s="71"/>
      <c r="L569" s="676" t="s">
        <v>411</v>
      </c>
      <c r="M569" s="127"/>
      <c r="W569" s="71"/>
      <c r="X569" s="664" t="s">
        <v>411</v>
      </c>
    </row>
    <row r="570" spans="1:30" ht="11.25" customHeight="1">
      <c r="A570" s="611">
        <v>42</v>
      </c>
      <c r="B570" s="127"/>
      <c r="C570" s="53"/>
      <c r="J570" s="99" t="s">
        <v>416</v>
      </c>
      <c r="K570" s="71"/>
      <c r="L570" s="676" t="s">
        <v>411</v>
      </c>
      <c r="M570" s="191" t="s">
        <v>634</v>
      </c>
      <c r="N570" s="53"/>
      <c r="O570" s="53"/>
      <c r="P570" s="53"/>
      <c r="W570" s="71"/>
      <c r="X570" s="664" t="s">
        <v>411</v>
      </c>
    </row>
    <row r="571" spans="1:30" ht="11.25" customHeight="1">
      <c r="A571" s="611">
        <v>43</v>
      </c>
      <c r="B571" s="127"/>
      <c r="C571" s="53"/>
      <c r="E571" s="50" t="s">
        <v>635</v>
      </c>
      <c r="J571" s="114" t="str">
        <f>IF(M409=2,"NA",IF($M572="","TBD",IF($M572=1,"YES",IF($M572=3,"NA",""))))</f>
        <v>TBD</v>
      </c>
      <c r="K571" s="115" t="str">
        <f>IF($M572=2,"NO","")</f>
        <v/>
      </c>
      <c r="L571" s="676" t="s">
        <v>411</v>
      </c>
      <c r="M571" s="202" t="s">
        <v>636</v>
      </c>
      <c r="W571" s="71"/>
      <c r="X571" s="664" t="s">
        <v>411</v>
      </c>
    </row>
    <row r="572" spans="1:30" ht="11.25" customHeight="1" thickBot="1">
      <c r="A572" s="611">
        <v>44</v>
      </c>
      <c r="B572" s="127"/>
      <c r="K572" s="71"/>
      <c r="L572" s="676" t="s">
        <v>411</v>
      </c>
      <c r="M572" s="816" t="str">
        <f>IF(N572&lt;&gt;"",N572,IF(OR(AB123=0,AB123=""),"",AB123))</f>
        <v/>
      </c>
      <c r="N572" s="701"/>
      <c r="O572" s="50" t="s">
        <v>637</v>
      </c>
      <c r="W572" s="71"/>
      <c r="X572" s="664" t="s">
        <v>411</v>
      </c>
    </row>
    <row r="573" spans="1:30" ht="11.25" customHeight="1">
      <c r="A573" s="611">
        <v>45</v>
      </c>
      <c r="B573" s="972" t="str">
        <f>"Cassette/Film Size ("&amp;TBCM_IN&amp;")"</f>
        <v>Cassette/Film Size (cm)</v>
      </c>
      <c r="C573" s="410"/>
      <c r="D573" s="184" t="str">
        <f>"Measured* Radiation ("&amp;TBCM_IN&amp;")"</f>
        <v>Measured* Radiation (cm)</v>
      </c>
      <c r="E573" s="410"/>
      <c r="F573" s="1297" t="s">
        <v>627</v>
      </c>
      <c r="G573" s="1298"/>
      <c r="H573" s="1299"/>
      <c r="I573" s="1269" t="s">
        <v>631</v>
      </c>
      <c r="J573" s="1270"/>
      <c r="K573" s="1271"/>
      <c r="L573" s="676" t="s">
        <v>411</v>
      </c>
      <c r="M573" s="127"/>
      <c r="N573" s="243" t="str">
        <f>"Cassette/Film Size ("&amp;TBCM_IN&amp;")"</f>
        <v>Cassette/Film Size (cm)</v>
      </c>
      <c r="O573" s="173"/>
      <c r="P573" s="244" t="str">
        <f>"Measured* Radiation ("&amp;TBCM_IN&amp;")"</f>
        <v>Measured* Radiation (cm)</v>
      </c>
      <c r="Q573" s="173"/>
      <c r="R573" s="1275" t="s">
        <v>627</v>
      </c>
      <c r="S573" s="1259"/>
      <c r="T573" s="1276"/>
      <c r="U573" s="1266" t="s">
        <v>631</v>
      </c>
      <c r="V573" s="1267"/>
      <c r="W573" s="1268"/>
      <c r="X573" s="664" t="s">
        <v>411</v>
      </c>
      <c r="AA573" s="457"/>
      <c r="AB573" s="457"/>
      <c r="AC573" s="457"/>
      <c r="AD573" s="457"/>
    </row>
    <row r="574" spans="1:30" ht="11.25" customHeight="1" thickBot="1">
      <c r="A574" s="611">
        <v>46</v>
      </c>
      <c r="B574" s="162" t="s">
        <v>457</v>
      </c>
      <c r="C574" s="168" t="s">
        <v>458</v>
      </c>
      <c r="D574" s="169" t="s">
        <v>457</v>
      </c>
      <c r="E574" s="203" t="s">
        <v>458</v>
      </c>
      <c r="F574" s="169" t="s">
        <v>457</v>
      </c>
      <c r="G574" s="27" t="s">
        <v>458</v>
      </c>
      <c r="H574" s="27" t="s">
        <v>21</v>
      </c>
      <c r="I574" s="206" t="s">
        <v>457</v>
      </c>
      <c r="J574" s="27" t="s">
        <v>458</v>
      </c>
      <c r="K574" s="518" t="s">
        <v>21</v>
      </c>
      <c r="L574" s="676" t="s">
        <v>411</v>
      </c>
      <c r="M574" s="127"/>
      <c r="N574" s="250" t="s">
        <v>457</v>
      </c>
      <c r="O574" s="248" t="s">
        <v>458</v>
      </c>
      <c r="P574" s="249" t="s">
        <v>457</v>
      </c>
      <c r="Q574" s="252" t="s">
        <v>458</v>
      </c>
      <c r="R574" s="249" t="s">
        <v>457</v>
      </c>
      <c r="S574" s="250" t="s">
        <v>458</v>
      </c>
      <c r="T574" s="250" t="s">
        <v>21</v>
      </c>
      <c r="U574" s="748" t="s">
        <v>457</v>
      </c>
      <c r="V574" s="248" t="s">
        <v>458</v>
      </c>
      <c r="W574" s="1038" t="s">
        <v>21</v>
      </c>
      <c r="X574" s="664" t="s">
        <v>411</v>
      </c>
      <c r="AA574" s="457"/>
      <c r="AB574" s="457"/>
      <c r="AC574" s="457"/>
      <c r="AD574" s="457"/>
    </row>
    <row r="575" spans="1:30" ht="11.25" customHeight="1" thickBot="1">
      <c r="A575" s="611">
        <v>47</v>
      </c>
      <c r="B575" s="510" t="str">
        <f t="shared" ref="B575:K576" si="85">IF(N575="","",N575)</f>
        <v>NA</v>
      </c>
      <c r="C575" s="255" t="str">
        <f t="shared" si="85"/>
        <v>NA</v>
      </c>
      <c r="D575" s="379" t="str">
        <f t="shared" si="85"/>
        <v>NA</v>
      </c>
      <c r="E575" s="391" t="str">
        <f t="shared" si="85"/>
        <v>NA</v>
      </c>
      <c r="F575" s="176" t="str">
        <f t="shared" si="85"/>
        <v>NA</v>
      </c>
      <c r="G575" s="177" t="str">
        <f t="shared" si="85"/>
        <v>NA</v>
      </c>
      <c r="H575" s="177" t="str">
        <f t="shared" si="85"/>
        <v>NA</v>
      </c>
      <c r="I575" s="164" t="str">
        <f t="shared" si="85"/>
        <v>NA</v>
      </c>
      <c r="J575" s="118" t="str">
        <f t="shared" si="85"/>
        <v>NA</v>
      </c>
      <c r="K575" s="103" t="str">
        <f t="shared" si="85"/>
        <v>NA</v>
      </c>
      <c r="L575" s="676" t="s">
        <v>411</v>
      </c>
      <c r="M575" s="127"/>
      <c r="N575" s="817" t="str">
        <f>IF(AND($M$572&lt;&gt;1,OR(N578=0,N578="")),"NA",IF(N578&lt;&gt;"",N578,IF(TBCM_IN&lt;&gt;"cm",10,24)))</f>
        <v>NA</v>
      </c>
      <c r="O575" s="817" t="str">
        <f>IF(AND($M$572&lt;&gt;1,OR(O578=0,O578="")),"NA",IF(O578&lt;&gt;"",O578,IF(TBCM_IN&lt;&gt;"cm",12,30)))</f>
        <v>NA</v>
      </c>
      <c r="P575" s="781" t="str">
        <f>IF(P578&lt;&gt;"",P578,IF(OR(O554="",$M$572&lt;&gt;1),"NA",O554))</f>
        <v>NA</v>
      </c>
      <c r="Q575" s="782" t="str">
        <f>IF(Q578&lt;&gt;"",Q578,IF(OR(P554="",$M$572&lt;&gt;1),"NA",P554))</f>
        <v>NA</v>
      </c>
      <c r="R575" s="176" t="str">
        <f>IF(OR(P575="NA",$M$409&lt;&gt;1,$M$572&lt;&gt;1),"NA",IF(OR($U$423=0,$U$423=""),"SID?",IF(OR(AND($M$572=1,P575=""),N575="",P575=""),"TBD",(P575-N575)/$U$423)))</f>
        <v>NA</v>
      </c>
      <c r="S575" s="177" t="str">
        <f>IF(OR(Q575="NA",$M$409&lt;&gt;1,$M$572&lt;&gt;1),"NA",IF(OR($U$423=0,$U$423=""),"SID?",IF(OR(AND($M$572=1,Q575=""),O575="",Q575=""),"TBD",(Q575-O575)/$U$423)))</f>
        <v>NA</v>
      </c>
      <c r="T575" s="177" t="str">
        <f>IF(OR(R575="NA",$M$409&lt;&gt;1,$M$572&lt;&gt;1),"NA",IF(OR($U$423=0,$U$423=""),"SID?",IF(OR(AND($M$572=1,R575=""),P575="",R575=""),"TBD",(ABS(N575-P575)+ABS(O575-Q575))/$U$423)))</f>
        <v>NA</v>
      </c>
      <c r="U575" s="750" t="str">
        <f>IF($M$572=2,"NO",IF(R575="NA","NA",IF(OR(R575="SID?",R575="TBD"),"TBD",IF(ABS(R575)&gt;0.02,"NO","YES"))))</f>
        <v>NA</v>
      </c>
      <c r="V575" s="740" t="str">
        <f>IF($M$572=2,"NO",IF(S575="NA","NA",IF(OR(S575="SID?",S575="TBD"),"TBD",IF(ABS(S575)&gt;0.02,"NO","YES"))))</f>
        <v>NA</v>
      </c>
      <c r="W575" s="751" t="str">
        <f>IF($M$572=2,"NO",IF(T575="NA","NA",IF(OR(T575="SID?",T575="TBD"),"TBD",IF(ABS(T575)&gt;0.03,"NO","YES"))))</f>
        <v>NA</v>
      </c>
      <c r="X575" s="664" t="s">
        <v>411</v>
      </c>
      <c r="AA575" s="457"/>
      <c r="AB575" s="457"/>
      <c r="AC575" s="457"/>
      <c r="AD575" s="457"/>
    </row>
    <row r="576" spans="1:30" ht="11.25" customHeight="1" thickBot="1">
      <c r="A576" s="611">
        <v>48</v>
      </c>
      <c r="B576" s="510" t="str">
        <f t="shared" si="85"/>
        <v>NA</v>
      </c>
      <c r="C576" s="255" t="str">
        <f t="shared" si="85"/>
        <v>NA</v>
      </c>
      <c r="D576" s="379" t="str">
        <f t="shared" si="85"/>
        <v>NA</v>
      </c>
      <c r="E576" s="391" t="str">
        <f t="shared" si="85"/>
        <v>NA</v>
      </c>
      <c r="F576" s="176" t="str">
        <f t="shared" si="85"/>
        <v>NA</v>
      </c>
      <c r="G576" s="177" t="str">
        <f t="shared" si="85"/>
        <v>NA</v>
      </c>
      <c r="H576" s="177" t="str">
        <f t="shared" si="85"/>
        <v>NA</v>
      </c>
      <c r="I576" s="204" t="str">
        <f t="shared" si="85"/>
        <v>NA</v>
      </c>
      <c r="J576" s="146" t="str">
        <f t="shared" si="85"/>
        <v>NA</v>
      </c>
      <c r="K576" s="1044" t="str">
        <f t="shared" si="85"/>
        <v>NA</v>
      </c>
      <c r="L576" s="676" t="s">
        <v>411</v>
      </c>
      <c r="M576" s="127"/>
      <c r="N576" s="817" t="str">
        <f>IF(AND($M$572&lt;&gt;1,OR(N579=0,N579="")),"NA",IF(N579&lt;&gt;"",N579,IF(TBCM_IN&lt;&gt;"cm",14,35)))</f>
        <v>NA</v>
      </c>
      <c r="O576" s="817" t="str">
        <f>IF(AND($M$572&lt;&gt;1,OR(O579=0,O579="")),"NA",IF(O579&lt;&gt;"",O579,IF(TBCM_IN&lt;&gt;"cm",17,43)))</f>
        <v>NA</v>
      </c>
      <c r="P576" s="781" t="str">
        <f>IF(P579&lt;&gt;"",P579,IF(OR(O555="",$M$572&lt;&gt;1),"NA",O555))</f>
        <v>NA</v>
      </c>
      <c r="Q576" s="782" t="str">
        <f>IF(Q579&lt;&gt;"",Q579,IF(OR(P555="",$M$572&lt;&gt;1),"NA",P555))</f>
        <v>NA</v>
      </c>
      <c r="R576" s="176" t="str">
        <f>IF(OR(P576="NA",$M$409&lt;&gt;1,$M$572&lt;&gt;1),"NA",IF(OR($U$423=0,$U$423=""),"SID?",IF(OR(AND($M$572=1,P576=""),N576="",P576=""),"TBD",(P576-N576)/$U$423)))</f>
        <v>NA</v>
      </c>
      <c r="S576" s="177" t="str">
        <f>IF(OR(Q576="NA",$M$409&lt;&gt;1,$M$572&lt;&gt;1),"NA",IF(OR($U$423=0,$U$423=""),"SID?",IF(OR(AND($M$572=1,Q576=""),O576="",Q576=""),"TBD",(Q576-O576)/$U$423)))</f>
        <v>NA</v>
      </c>
      <c r="T576" s="177" t="str">
        <f>IF(OR(R576="NA",$M$409&lt;&gt;1,$M$572&lt;&gt;1),"NA",IF(OR($U$423=0,$U$423=""),"SID?",IF(OR(AND($M$572=1,R576=""),P576="",R576=""),"TBD",(ABS(N576-P576)+ABS(O576-Q576))/$U$423)))</f>
        <v>NA</v>
      </c>
      <c r="U576" s="750" t="str">
        <f>IF($M$572=2,"NO",IF(R576="NA","NA",IF(OR(R576="SID?",R576="TBD"),"TBD",IF(ABS(R576)&gt;0.02,"NO","YES"))))</f>
        <v>NA</v>
      </c>
      <c r="V576" s="740" t="str">
        <f>IF($M$572=2,"NO",IF(S576="NA","NA",IF(OR(S576="SID?",S576="TBD"),"TBD",IF(ABS(S576)&gt;0.02,"NO","YES"))))</f>
        <v>NA</v>
      </c>
      <c r="W576" s="751" t="str">
        <f>IF($M$572=2,"NO",IF(T576="NA","NA",IF(OR(T576="SID?",T576="TBD"),"TBD",IF(ABS(T576)&gt;0.03,"NO","YES"))))</f>
        <v>NA</v>
      </c>
      <c r="X576" s="664" t="s">
        <v>411</v>
      </c>
      <c r="AA576" s="457"/>
      <c r="AB576" s="457"/>
      <c r="AC576" s="457"/>
      <c r="AD576" s="457"/>
    </row>
    <row r="577" spans="1:30" ht="11.25" customHeight="1">
      <c r="A577" s="611">
        <v>49</v>
      </c>
      <c r="B577" s="127"/>
      <c r="C577" s="3" t="s">
        <v>629</v>
      </c>
      <c r="K577" s="71"/>
      <c r="L577" s="676" t="s">
        <v>411</v>
      </c>
      <c r="M577" s="127"/>
      <c r="N577" s="3" t="s">
        <v>629</v>
      </c>
      <c r="W577" s="71"/>
      <c r="X577" s="664" t="s">
        <v>411</v>
      </c>
      <c r="AA577" s="457"/>
      <c r="AB577" s="457"/>
      <c r="AC577" s="457"/>
      <c r="AD577" s="457"/>
    </row>
    <row r="578" spans="1:30" ht="11.25" customHeight="1">
      <c r="A578" s="611">
        <v>50</v>
      </c>
      <c r="B578" s="127"/>
      <c r="K578" s="71"/>
      <c r="L578" s="676" t="s">
        <v>411</v>
      </c>
      <c r="M578" s="736" t="s">
        <v>619</v>
      </c>
      <c r="N578" s="775"/>
      <c r="O578" s="775"/>
      <c r="P578" s="774"/>
      <c r="Q578" s="774"/>
      <c r="R578" s="49"/>
      <c r="S578" s="776"/>
      <c r="T578" s="49"/>
      <c r="U578" s="49"/>
      <c r="V578" s="49"/>
      <c r="W578" s="69"/>
      <c r="X578" s="664" t="s">
        <v>411</v>
      </c>
      <c r="AA578" s="457"/>
      <c r="AB578" s="457"/>
      <c r="AC578" s="457"/>
      <c r="AD578" s="457"/>
    </row>
    <row r="579" spans="1:30" ht="11.25" customHeight="1">
      <c r="A579" s="611">
        <v>51</v>
      </c>
      <c r="B579" s="192" t="s">
        <v>570</v>
      </c>
      <c r="C579" s="100" t="s">
        <v>29</v>
      </c>
      <c r="D579" s="50"/>
      <c r="E579" s="49"/>
      <c r="F579" s="49"/>
      <c r="G579" s="49"/>
      <c r="H579" s="49"/>
      <c r="I579" s="49"/>
      <c r="J579" s="114"/>
      <c r="K579" s="115" t="str">
        <f>IF(M581=2,"NO","")</f>
        <v/>
      </c>
      <c r="L579" s="676" t="s">
        <v>411</v>
      </c>
      <c r="M579" s="737" t="s">
        <v>308</v>
      </c>
      <c r="N579" s="775"/>
      <c r="O579" s="775"/>
      <c r="P579" s="774"/>
      <c r="Q579" s="774"/>
      <c r="W579" s="71"/>
      <c r="X579" s="664" t="s">
        <v>411</v>
      </c>
      <c r="AA579" s="457"/>
      <c r="AB579" s="457"/>
      <c r="AC579" s="457"/>
      <c r="AD579" s="457"/>
    </row>
    <row r="580" spans="1:30" ht="11.25" customHeight="1">
      <c r="A580" s="611">
        <v>52</v>
      </c>
      <c r="B580" s="127"/>
      <c r="C580" s="685" t="s">
        <v>28</v>
      </c>
      <c r="K580" s="71"/>
      <c r="L580" s="676" t="s">
        <v>411</v>
      </c>
      <c r="M580" s="127"/>
      <c r="N580" s="132" t="s">
        <v>570</v>
      </c>
      <c r="O580" s="100" t="s">
        <v>29</v>
      </c>
      <c r="W580" s="71"/>
      <c r="X580" s="664" t="s">
        <v>411</v>
      </c>
      <c r="AA580" s="457"/>
      <c r="AB580" s="457"/>
      <c r="AC580" s="457"/>
      <c r="AD580" s="457"/>
    </row>
    <row r="581" spans="1:30" ht="11.25" customHeight="1">
      <c r="A581" s="611">
        <v>53</v>
      </c>
      <c r="B581" s="102" t="s">
        <v>552</v>
      </c>
      <c r="C581" s="922" t="str">
        <f>IF(O582="","",IF(LEN(O582)&lt;=135,O582,IF(LEN(O582)&lt;=260,LEFT(O582,SEARCH(" ",O582,125)),LEFT(O582,SEARCH(" ",O582,130)))))</f>
        <v/>
      </c>
      <c r="D581" s="48"/>
      <c r="E581" s="48"/>
      <c r="F581" s="48"/>
      <c r="G581" s="48"/>
      <c r="H581" s="48"/>
      <c r="I581" s="48"/>
      <c r="J581" s="48"/>
      <c r="K581" s="69"/>
      <c r="L581" s="676" t="s">
        <v>411</v>
      </c>
      <c r="M581" s="210"/>
      <c r="O581" s="685" t="s">
        <v>28</v>
      </c>
      <c r="P581" s="49"/>
      <c r="Q581" s="49"/>
      <c r="R581" s="50"/>
      <c r="S581" s="50"/>
      <c r="T581" s="50"/>
      <c r="U581" s="50"/>
      <c r="V581" s="50"/>
      <c r="W581" s="70"/>
      <c r="X581" s="664" t="s">
        <v>411</v>
      </c>
      <c r="AA581" s="457"/>
      <c r="AB581" s="457"/>
      <c r="AC581" s="457"/>
      <c r="AD581" s="457"/>
    </row>
    <row r="582" spans="1:30" ht="11.25" customHeight="1">
      <c r="A582" s="611">
        <v>54</v>
      </c>
      <c r="B582" s="85"/>
      <c r="C582" s="923" t="str">
        <f>IF(LEN(O582)&lt;=135,"",IF(LEN(O582)&lt;=260,RIGHT(O582,LEN(O582)-SEARCH(" ",O582,125)),MID(O582,SEARCH(" ",O582,130),IF(LEN(O582)&lt;=265,LEN(O582),SEARCH(" ",O582,255)-SEARCH(" ",O582,130)))))</f>
        <v/>
      </c>
      <c r="D582" s="48"/>
      <c r="E582" s="48"/>
      <c r="F582" s="48"/>
      <c r="G582" s="48"/>
      <c r="H582" s="48"/>
      <c r="I582" s="48"/>
      <c r="J582" s="48"/>
      <c r="K582" s="69"/>
      <c r="L582" s="676" t="s">
        <v>411</v>
      </c>
      <c r="M582" s="127"/>
      <c r="N582" s="577" t="s">
        <v>552</v>
      </c>
      <c r="O582" s="713" t="str">
        <f>IF(O584&lt;&gt;"",O584,IF(OR(AB434=0,AB434=""),"",AB434))</f>
        <v/>
      </c>
      <c r="P582" s="48"/>
      <c r="Q582" s="48"/>
      <c r="R582" s="48"/>
      <c r="S582" s="48"/>
      <c r="T582" s="48"/>
      <c r="U582" s="48"/>
      <c r="V582" s="48"/>
      <c r="W582" s="103"/>
      <c r="X582" s="664" t="s">
        <v>411</v>
      </c>
      <c r="AA582" s="457"/>
      <c r="AB582" s="457"/>
      <c r="AC582" s="457"/>
      <c r="AD582" s="457"/>
    </row>
    <row r="583" spans="1:30" ht="11.25" customHeight="1">
      <c r="A583" s="611">
        <v>55</v>
      </c>
      <c r="B583" s="85"/>
      <c r="C583" s="922" t="str">
        <f>IF(LEN(O582)&lt;=265,"",RIGHT(O582,LEN(O582)-SEARCH(" ",O582,255)))</f>
        <v/>
      </c>
      <c r="D583" s="48"/>
      <c r="E583" s="48"/>
      <c r="F583" s="48"/>
      <c r="G583" s="48"/>
      <c r="H583" s="48"/>
      <c r="I583" s="48"/>
      <c r="J583" s="48"/>
      <c r="K583" s="69"/>
      <c r="L583" s="676" t="s">
        <v>411</v>
      </c>
      <c r="M583" s="85"/>
      <c r="N583" s="609" t="s">
        <v>282</v>
      </c>
      <c r="O583" s="59"/>
      <c r="P583" s="921">
        <f>LEN(O582)</f>
        <v>0</v>
      </c>
      <c r="Q583" s="59"/>
      <c r="R583" s="59"/>
      <c r="S583" s="59"/>
      <c r="T583" s="59"/>
      <c r="U583" s="59"/>
      <c r="V583" s="59"/>
      <c r="W583" s="105"/>
      <c r="X583" s="664" t="s">
        <v>411</v>
      </c>
      <c r="AA583" s="457"/>
      <c r="AB583" s="457"/>
      <c r="AC583" s="457"/>
      <c r="AD583" s="457"/>
    </row>
    <row r="584" spans="1:30" ht="11.25" customHeight="1">
      <c r="A584" s="611">
        <v>56</v>
      </c>
      <c r="B584" s="127"/>
      <c r="K584" s="71"/>
      <c r="L584" s="676" t="s">
        <v>411</v>
      </c>
      <c r="M584" s="66"/>
      <c r="N584" s="1024" t="s">
        <v>619</v>
      </c>
      <c r="O584" s="1026"/>
      <c r="W584" s="71"/>
      <c r="X584" s="664" t="s">
        <v>411</v>
      </c>
    </row>
    <row r="585" spans="1:30" ht="11.25" customHeight="1">
      <c r="A585" s="611">
        <v>57</v>
      </c>
      <c r="B585" s="198" t="s">
        <v>414</v>
      </c>
      <c r="C585" s="109"/>
      <c r="E585" s="199" t="s">
        <v>639</v>
      </c>
      <c r="F585" s="53"/>
      <c r="G585" s="1"/>
      <c r="H585" s="1"/>
      <c r="I585" s="1"/>
      <c r="J585" s="262" t="s">
        <v>416</v>
      </c>
      <c r="K585" s="395"/>
      <c r="L585" s="676" t="s">
        <v>411</v>
      </c>
      <c r="M585" s="127"/>
      <c r="W585" s="71"/>
      <c r="X585" s="664" t="s">
        <v>411</v>
      </c>
    </row>
    <row r="586" spans="1:30" ht="11.25" customHeight="1">
      <c r="A586" s="611">
        <v>58</v>
      </c>
      <c r="B586" s="110"/>
      <c r="C586" s="111"/>
      <c r="D586" s="50" t="s">
        <v>449</v>
      </c>
      <c r="E586" s="49"/>
      <c r="F586" s="49"/>
      <c r="G586" s="49"/>
      <c r="H586" s="49"/>
      <c r="I586" s="49"/>
      <c r="J586" s="114" t="str">
        <f>IF($M$409=2,"NA",IF($M588="","TBD",IF($M588=1,"YES",IF($M588=3,"NA",""))))</f>
        <v>TBD</v>
      </c>
      <c r="K586" s="115" t="str">
        <f>IF($M$409=2,"",IF($M588=2,"NO",""))</f>
        <v/>
      </c>
      <c r="L586" s="676" t="s">
        <v>411</v>
      </c>
      <c r="M586" s="127"/>
      <c r="W586" s="71"/>
      <c r="X586" s="664" t="s">
        <v>411</v>
      </c>
    </row>
    <row r="587" spans="1:30" ht="11.25" customHeight="1">
      <c r="A587" s="611">
        <v>59</v>
      </c>
      <c r="B587" s="85"/>
      <c r="C587" s="50"/>
      <c r="D587" s="50" t="s">
        <v>1052</v>
      </c>
      <c r="J587" s="114" t="str">
        <f>IF($M$409=2,"NA",IF($M589="","TBD",IF($M589=1,"Stationary",IF($M589=2,"Reciprocating",IF($M589=3,"NA","")))))</f>
        <v>TBD</v>
      </c>
      <c r="K587" s="115"/>
      <c r="L587" s="676" t="s">
        <v>411</v>
      </c>
      <c r="M587" s="202" t="s">
        <v>417</v>
      </c>
      <c r="O587" s="209"/>
      <c r="Q587" s="199" t="s">
        <v>639</v>
      </c>
      <c r="R587" s="53"/>
      <c r="W587" s="71"/>
      <c r="X587" s="664" t="s">
        <v>411</v>
      </c>
    </row>
    <row r="588" spans="1:30" ht="11.25" customHeight="1">
      <c r="A588" s="611">
        <v>60</v>
      </c>
      <c r="B588" s="102"/>
      <c r="C588" s="374"/>
      <c r="D588" s="50" t="str">
        <f>IF(J587="YES","","Radiographic image is free of grid lines.")</f>
        <v>Radiographic image is free of grid lines.</v>
      </c>
      <c r="E588" s="50"/>
      <c r="F588" s="50"/>
      <c r="G588" s="50"/>
      <c r="H588" s="50"/>
      <c r="I588" s="50"/>
      <c r="J588" s="114" t="str">
        <f>IF(M589=1,"NA",IF(OR($M$409=2,M590=3),"NA",IF($M590="","TBD",IF($M590=1,"YES",""))))</f>
        <v>TBD</v>
      </c>
      <c r="K588" s="115" t="str">
        <f>IF(OR($M$409=2,M589=1),"",IF(M590=2,"NO",""))</f>
        <v/>
      </c>
      <c r="L588" s="676" t="s">
        <v>411</v>
      </c>
      <c r="M588" s="617"/>
      <c r="N588" s="50"/>
      <c r="O588" s="50" t="s">
        <v>449</v>
      </c>
      <c r="P588" s="49"/>
      <c r="Q588" s="49"/>
      <c r="R588" s="49"/>
      <c r="S588" s="49"/>
      <c r="T588" s="49"/>
      <c r="U588" s="49"/>
      <c r="V588" s="49"/>
      <c r="W588" s="69"/>
      <c r="X588" s="664" t="s">
        <v>411</v>
      </c>
    </row>
    <row r="589" spans="1:30" ht="11.25" customHeight="1">
      <c r="A589" s="611">
        <v>61</v>
      </c>
      <c r="B589" s="102" t="s">
        <v>552</v>
      </c>
      <c r="C589" s="922" t="str">
        <f>IF(O591="","",IF(LEN(O591)&lt;=135,O591,IF(LEN(O591)&lt;=260,LEFT(O591,SEARCH(" ",O591,125)),LEFT(O591,SEARCH(" ",O591,130)))))</f>
        <v/>
      </c>
      <c r="D589" s="369"/>
      <c r="E589" s="369"/>
      <c r="F589" s="369"/>
      <c r="G589" s="369"/>
      <c r="H589" s="369"/>
      <c r="I589" s="369"/>
      <c r="J589" s="369"/>
      <c r="K589" s="69"/>
      <c r="L589" s="676" t="s">
        <v>411</v>
      </c>
      <c r="M589" s="818" t="str">
        <f>IF(N589&lt;&gt;"",N589,IF(OR(AB124=0,AB124=""),"",AB124))</f>
        <v/>
      </c>
      <c r="N589" s="701"/>
      <c r="O589" s="50" t="s">
        <v>640</v>
      </c>
      <c r="W589" s="71"/>
      <c r="X589" s="664" t="s">
        <v>411</v>
      </c>
    </row>
    <row r="590" spans="1:30" ht="11.25" customHeight="1">
      <c r="A590" s="611">
        <v>62</v>
      </c>
      <c r="B590" s="85"/>
      <c r="C590" s="923" t="str">
        <f>IF(LEN(O591)&lt;=135,"",IF(LEN(O591)&lt;=260,RIGHT(O591,LEN(O591)-SEARCH(" ",O591,125)),MID(O591,SEARCH(" ",O591,130),IF(LEN(O591)&lt;=265,LEN(O591),SEARCH(" ",O591,255)-SEARCH(" ",O591,130)))))</f>
        <v/>
      </c>
      <c r="D590" s="369"/>
      <c r="E590" s="369"/>
      <c r="F590" s="369"/>
      <c r="G590" s="369"/>
      <c r="H590" s="369"/>
      <c r="I590" s="369"/>
      <c r="J590" s="369"/>
      <c r="K590" s="69"/>
      <c r="L590" s="676" t="s">
        <v>411</v>
      </c>
      <c r="M590" s="617"/>
      <c r="N590" s="50"/>
      <c r="O590" s="50" t="str">
        <f>IF(M589=1,"","Radiographic image is free of grid lines.")</f>
        <v>Radiographic image is free of grid lines.</v>
      </c>
      <c r="P590" s="50"/>
      <c r="Q590" s="50"/>
      <c r="R590" s="50"/>
      <c r="S590" s="50"/>
      <c r="T590" s="50"/>
      <c r="U590" s="50"/>
      <c r="V590" s="50"/>
      <c r="W590" s="70"/>
      <c r="X590" s="664" t="s">
        <v>411</v>
      </c>
    </row>
    <row r="591" spans="1:30" ht="11.25" customHeight="1">
      <c r="A591" s="611">
        <v>63</v>
      </c>
      <c r="B591" s="127"/>
      <c r="C591" s="922" t="str">
        <f>IF(LEN(O591)&lt;=265,"",RIGHT(O591,LEN(O591)-SEARCH(" ",O591,255)))</f>
        <v/>
      </c>
      <c r="D591" s="369"/>
      <c r="E591" s="369"/>
      <c r="F591" s="369"/>
      <c r="G591" s="369"/>
      <c r="H591" s="369"/>
      <c r="I591" s="369"/>
      <c r="J591" s="369"/>
      <c r="K591" s="71"/>
      <c r="L591" s="676" t="s">
        <v>411</v>
      </c>
      <c r="M591" s="127"/>
      <c r="N591" s="577" t="s">
        <v>552</v>
      </c>
      <c r="O591" s="713" t="str">
        <f>IF(O593&lt;&gt;"",O593,IF(OR(AB435=0,AB435=""),"",AB435))</f>
        <v/>
      </c>
      <c r="P591" s="48"/>
      <c r="Q591" s="48"/>
      <c r="R591" s="48"/>
      <c r="S591" s="48"/>
      <c r="T591" s="48"/>
      <c r="U591" s="48"/>
      <c r="V591" s="48"/>
      <c r="W591" s="103"/>
      <c r="X591" s="664" t="s">
        <v>411</v>
      </c>
    </row>
    <row r="592" spans="1:30" ht="11.25" customHeight="1" thickBot="1">
      <c r="A592" s="611">
        <v>64</v>
      </c>
      <c r="B592" s="201"/>
      <c r="C592" s="145"/>
      <c r="D592" s="73"/>
      <c r="E592" s="73"/>
      <c r="F592" s="73"/>
      <c r="G592" s="73"/>
      <c r="H592" s="73"/>
      <c r="I592" s="73"/>
      <c r="J592" s="73"/>
      <c r="K592" s="74"/>
      <c r="L592" s="676" t="s">
        <v>411</v>
      </c>
      <c r="M592" s="85"/>
      <c r="N592" s="609" t="s">
        <v>282</v>
      </c>
      <c r="O592" s="59"/>
      <c r="P592" s="921">
        <f>LEN(O591)</f>
        <v>0</v>
      </c>
      <c r="Q592" s="59"/>
      <c r="R592" s="59"/>
      <c r="S592" s="59"/>
      <c r="T592" s="59"/>
      <c r="U592" s="59"/>
      <c r="V592" s="59"/>
      <c r="W592" s="105"/>
      <c r="X592" s="664" t="s">
        <v>411</v>
      </c>
    </row>
    <row r="593" spans="1:24" ht="11.25" customHeight="1" thickTop="1">
      <c r="A593" s="611">
        <v>65</v>
      </c>
      <c r="B593" s="52" t="str">
        <f t="array" ref="B593:C594">$B$65:$C$66</f>
        <v>Date:</v>
      </c>
      <c r="C593" s="1133" t="str">
        <v/>
      </c>
      <c r="D593" s="56"/>
      <c r="E593" s="49"/>
      <c r="F593" s="49"/>
      <c r="G593" s="49"/>
      <c r="H593" s="49"/>
      <c r="I593" s="52" t="str">
        <f t="array" ref="I593:J594">$I$65:$J$66</f>
        <v>Inspector:</v>
      </c>
      <c r="J593" s="421" t="str">
        <v>Eugene Mah</v>
      </c>
      <c r="L593" s="676" t="s">
        <v>411</v>
      </c>
      <c r="M593" s="66"/>
      <c r="N593" s="1024" t="s">
        <v>619</v>
      </c>
      <c r="O593" s="1026"/>
      <c r="P593" s="59"/>
      <c r="Q593" s="59"/>
      <c r="R593" s="48"/>
      <c r="S593" s="48"/>
      <c r="T593" s="48"/>
      <c r="U593" s="48"/>
      <c r="V593" s="48"/>
      <c r="W593" s="103"/>
      <c r="X593" s="664" t="s">
        <v>411</v>
      </c>
    </row>
    <row r="594" spans="1:24" ht="11.25" customHeight="1" thickBot="1">
      <c r="A594" s="611">
        <v>66</v>
      </c>
      <c r="B594" s="52" t="str">
        <v>Room Number:</v>
      </c>
      <c r="C594" s="373" t="str">
        <v/>
      </c>
      <c r="D594" s="49"/>
      <c r="E594" s="49"/>
      <c r="F594" s="49"/>
      <c r="G594" s="49"/>
      <c r="H594" s="49"/>
      <c r="I594" s="52" t="str">
        <v>Survey ID:</v>
      </c>
      <c r="J594" s="1045" t="str">
        <v/>
      </c>
      <c r="L594" s="676" t="s">
        <v>411</v>
      </c>
      <c r="M594" s="72"/>
      <c r="N594" s="73"/>
      <c r="O594" s="73"/>
      <c r="P594" s="73"/>
      <c r="Q594" s="73"/>
      <c r="R594" s="73"/>
      <c r="S594" s="73"/>
      <c r="T594" s="73"/>
      <c r="U594" s="73"/>
      <c r="V594" s="73"/>
      <c r="W594" s="74"/>
      <c r="X594" s="664" t="s">
        <v>411</v>
      </c>
    </row>
    <row r="595" spans="1:24" ht="11.25" customHeight="1" thickTop="1">
      <c r="A595" s="611">
        <v>1</v>
      </c>
      <c r="K595" s="131" t="str">
        <f>$F$2</f>
        <v>Medical University of South Carolina</v>
      </c>
      <c r="L595" s="676" t="s">
        <v>411</v>
      </c>
      <c r="M595" s="49"/>
      <c r="W595" s="131" t="str">
        <f>$F$2</f>
        <v>Medical University of South Carolina</v>
      </c>
      <c r="X595" s="664" t="s">
        <v>411</v>
      </c>
    </row>
    <row r="596" spans="1:24" ht="11.25" customHeight="1" thickBot="1">
      <c r="A596" s="611">
        <v>2</v>
      </c>
      <c r="F596" s="82" t="str">
        <f>$F$464</f>
        <v>Measurement Data</v>
      </c>
      <c r="K596" s="132" t="str">
        <f>$F$5</f>
        <v>Radiographic System Compliance Inspection</v>
      </c>
      <c r="L596" s="676" t="s">
        <v>411</v>
      </c>
      <c r="N596" s="87"/>
      <c r="O596" s="87"/>
      <c r="P596" s="1"/>
      <c r="R596" s="82" t="str">
        <f>$F$464</f>
        <v>Measurement Data</v>
      </c>
      <c r="W596" s="132" t="str">
        <f>$F$5</f>
        <v>Radiographic System Compliance Inspection</v>
      </c>
      <c r="X596" s="664" t="s">
        <v>411</v>
      </c>
    </row>
    <row r="597" spans="1:24" ht="11.25" customHeight="1" thickTop="1" thickBot="1">
      <c r="A597" s="611">
        <v>3</v>
      </c>
      <c r="L597" s="676" t="s">
        <v>411</v>
      </c>
      <c r="M597" s="79"/>
      <c r="N597" s="62"/>
      <c r="O597" s="62"/>
      <c r="P597" s="62"/>
      <c r="Q597" s="197"/>
      <c r="R597" s="62"/>
      <c r="S597" s="62"/>
      <c r="T597" s="62"/>
      <c r="U597" s="62"/>
      <c r="V597" s="62"/>
      <c r="W597" s="80"/>
      <c r="X597" s="664" t="s">
        <v>411</v>
      </c>
    </row>
    <row r="598" spans="1:24" ht="11.25" customHeight="1" thickTop="1" thickBot="1">
      <c r="A598" s="611">
        <v>4</v>
      </c>
      <c r="B598" s="79"/>
      <c r="C598" s="62"/>
      <c r="D598" s="62"/>
      <c r="E598" s="62"/>
      <c r="F598" s="197"/>
      <c r="G598" s="62"/>
      <c r="H598" s="62"/>
      <c r="I598" s="62"/>
      <c r="J598" s="62"/>
      <c r="K598" s="80"/>
      <c r="L598" s="676" t="s">
        <v>411</v>
      </c>
      <c r="M598" s="127"/>
      <c r="P598" s="994" t="str">
        <f>IF(M434=2,"**SKIP**","**TEST**")</f>
        <v>**TEST**</v>
      </c>
      <c r="R598" s="594" t="s">
        <v>325</v>
      </c>
      <c r="W598" s="71"/>
      <c r="X598" s="664" t="s">
        <v>411</v>
      </c>
    </row>
    <row r="599" spans="1:24" ht="11.25" customHeight="1">
      <c r="A599" s="611">
        <v>5</v>
      </c>
      <c r="B599" s="66"/>
      <c r="C599" s="49"/>
      <c r="D599" s="49"/>
      <c r="E599" s="49"/>
      <c r="F599" s="190" t="s">
        <v>453</v>
      </c>
      <c r="G599" s="49"/>
      <c r="H599" s="49"/>
      <c r="I599" s="49"/>
      <c r="J599" s="49"/>
      <c r="K599" s="69"/>
      <c r="L599" s="676" t="s">
        <v>411</v>
      </c>
      <c r="M599" s="127"/>
      <c r="W599" s="71"/>
      <c r="X599" s="664" t="s">
        <v>411</v>
      </c>
    </row>
    <row r="600" spans="1:24" ht="11.25" customHeight="1">
      <c r="A600" s="611">
        <v>6</v>
      </c>
      <c r="B600" s="66"/>
      <c r="C600" s="49"/>
      <c r="D600" s="49"/>
      <c r="E600" s="49"/>
      <c r="F600" s="190"/>
      <c r="G600" s="49"/>
      <c r="H600" s="49"/>
      <c r="I600" s="49"/>
      <c r="J600" s="49"/>
      <c r="K600" s="69"/>
      <c r="L600" s="676" t="s">
        <v>411</v>
      </c>
      <c r="M600" s="191" t="s">
        <v>320</v>
      </c>
      <c r="T600" s="773" t="s">
        <v>616</v>
      </c>
      <c r="U600" s="915" t="str">
        <f>IF(OR(AB139=0,AB139=""),"",AB139)</f>
        <v/>
      </c>
      <c r="W600" s="71"/>
      <c r="X600" s="664" t="s">
        <v>411</v>
      </c>
    </row>
    <row r="601" spans="1:24" ht="11.25" customHeight="1">
      <c r="A601" s="611">
        <v>7</v>
      </c>
      <c r="B601" s="66"/>
      <c r="C601" s="49"/>
      <c r="D601" s="49"/>
      <c r="E601" s="49"/>
      <c r="F601" s="190"/>
      <c r="G601" s="49"/>
      <c r="H601" s="49"/>
      <c r="I601" s="49"/>
      <c r="J601" s="49"/>
      <c r="K601" s="69"/>
      <c r="L601" s="676" t="s">
        <v>411</v>
      </c>
      <c r="M601" s="127"/>
      <c r="N601" s="868" t="s">
        <v>606</v>
      </c>
      <c r="O601" s="821" t="str">
        <f>IF(O602&lt;&gt;"",O602,IF(OR(AB136=0,AB136=""),"",AB136))</f>
        <v/>
      </c>
      <c r="P601" s="54" t="s">
        <v>607</v>
      </c>
      <c r="Q601" s="821" t="str">
        <f>IF(Q602&lt;&gt;"",Q602,IF(OR(AB137=0,AB137=""),"",AB137))</f>
        <v/>
      </c>
      <c r="R601" s="54" t="s">
        <v>608</v>
      </c>
      <c r="S601" s="867" t="str">
        <f>IF(S602&lt;&gt;"",S602,IF(OR(AB138=0,AB138=""),"",AB138))</f>
        <v/>
      </c>
      <c r="T601" s="54" t="s">
        <v>609</v>
      </c>
      <c r="U601" s="222">
        <f>IF(AND(OR(U602=0,U602=""),OR(Q601=0,Q601=""),OR(S601=0,S601=""),OR(U600=0,U600="")),2,IF(U602&lt;&gt;"","See below",IF(AND(Q601&lt;&gt;"",S601&lt;&gt;""),Q601*S601,U600)))</f>
        <v>2</v>
      </c>
      <c r="V601" s="354"/>
      <c r="W601" s="71"/>
      <c r="X601" s="664" t="s">
        <v>411</v>
      </c>
    </row>
    <row r="602" spans="1:24" ht="11.25" customHeight="1">
      <c r="A602" s="611">
        <v>8</v>
      </c>
      <c r="B602" s="191" t="s">
        <v>605</v>
      </c>
      <c r="C602" s="199"/>
      <c r="D602" s="128"/>
      <c r="E602" s="49"/>
      <c r="K602" s="71"/>
      <c r="L602" s="676" t="s">
        <v>411</v>
      </c>
      <c r="M602" s="127"/>
      <c r="N602" s="869" t="s">
        <v>50</v>
      </c>
      <c r="O602" s="768"/>
      <c r="P602" s="675" t="s">
        <v>50</v>
      </c>
      <c r="Q602" s="768"/>
      <c r="R602" s="675" t="s">
        <v>50</v>
      </c>
      <c r="S602" s="771"/>
      <c r="T602" s="675" t="s">
        <v>50</v>
      </c>
      <c r="U602" s="772"/>
      <c r="W602" s="71"/>
      <c r="X602" s="664" t="s">
        <v>411</v>
      </c>
    </row>
    <row r="603" spans="1:24" ht="11.25" customHeight="1">
      <c r="A603" s="611">
        <v>9</v>
      </c>
      <c r="B603" s="127"/>
      <c r="K603" s="71"/>
      <c r="L603" s="676" t="s">
        <v>411</v>
      </c>
      <c r="M603" s="127"/>
      <c r="V603" s="49"/>
      <c r="W603" s="71"/>
      <c r="X603" s="664" t="s">
        <v>411</v>
      </c>
    </row>
    <row r="604" spans="1:24" ht="11.25" customHeight="1">
      <c r="A604" s="611">
        <v>10</v>
      </c>
      <c r="B604" s="102" t="s">
        <v>606</v>
      </c>
      <c r="C604" s="48" t="str">
        <f>IF(O601="","",O601)</f>
        <v/>
      </c>
      <c r="D604" s="54" t="s">
        <v>607</v>
      </c>
      <c r="E604" s="48" t="str">
        <f>IF($U$602&lt;&gt;"","",IF(Q601="","",Q601))</f>
        <v/>
      </c>
      <c r="F604" s="54" t="s">
        <v>608</v>
      </c>
      <c r="G604" s="48" t="str">
        <f>IF($U$602&lt;&gt;"","",IF(S601="","",S601))</f>
        <v/>
      </c>
      <c r="H604" s="54" t="s">
        <v>609</v>
      </c>
      <c r="I604" s="48">
        <f>IF(U601="","",IF(U602="",U601,U602))</f>
        <v>2</v>
      </c>
      <c r="J604" s="54"/>
      <c r="K604" s="69"/>
      <c r="L604" s="676" t="s">
        <v>411</v>
      </c>
      <c r="M604" s="127"/>
      <c r="W604" s="71"/>
      <c r="X604" s="664" t="s">
        <v>411</v>
      </c>
    </row>
    <row r="605" spans="1:24" ht="11.25" customHeight="1" thickBot="1">
      <c r="A605" s="611">
        <v>11</v>
      </c>
      <c r="B605" s="127"/>
      <c r="K605" s="71"/>
      <c r="L605" s="676" t="s">
        <v>411</v>
      </c>
      <c r="M605" s="191" t="s">
        <v>605</v>
      </c>
      <c r="W605" s="71"/>
      <c r="X605" s="664" t="s">
        <v>411</v>
      </c>
    </row>
    <row r="606" spans="1:24" ht="11.25" customHeight="1">
      <c r="A606" s="611">
        <v>12</v>
      </c>
      <c r="B606" s="127"/>
      <c r="C606" s="128" t="s">
        <v>612</v>
      </c>
      <c r="D606" s="111"/>
      <c r="J606" s="49"/>
      <c r="K606" s="71"/>
      <c r="L606" s="676" t="s">
        <v>411</v>
      </c>
      <c r="M606" s="463"/>
      <c r="N606" s="491" t="s">
        <v>618</v>
      </c>
      <c r="O606" s="457"/>
      <c r="Q606" s="849" t="s">
        <v>612</v>
      </c>
      <c r="R606" s="850"/>
      <c r="W606" s="71"/>
      <c r="X606" s="664" t="s">
        <v>411</v>
      </c>
    </row>
    <row r="607" spans="1:24" ht="11.25" customHeight="1" thickBot="1">
      <c r="A607" s="611">
        <v>13</v>
      </c>
      <c r="B607" s="127"/>
      <c r="C607" s="152" t="str">
        <f>"Distance ("&amp;WBCM_IN&amp;")"</f>
        <v>Distance (cm)</v>
      </c>
      <c r="D607" s="151"/>
      <c r="I607" s="152" t="s">
        <v>612</v>
      </c>
      <c r="J607" s="151"/>
      <c r="K607" s="71"/>
      <c r="L607" s="676" t="s">
        <v>411</v>
      </c>
      <c r="M607" s="617"/>
      <c r="N607" s="490" t="s">
        <v>620</v>
      </c>
      <c r="O607" s="457"/>
      <c r="Q607" s="851" t="str">
        <f>"Distance ("&amp;WBCM_IN&amp;")"</f>
        <v>Distance (cm)</v>
      </c>
      <c r="R607" s="852"/>
      <c r="T607" s="1294" t="s">
        <v>612</v>
      </c>
      <c r="U607" s="1295"/>
      <c r="W607" s="71"/>
      <c r="X607" s="664" t="s">
        <v>411</v>
      </c>
    </row>
    <row r="608" spans="1:24" ht="11.25" customHeight="1" thickBot="1">
      <c r="A608" s="611">
        <v>14</v>
      </c>
      <c r="B608" s="127"/>
      <c r="C608" s="147">
        <f>Q608</f>
        <v>0</v>
      </c>
      <c r="D608" s="158"/>
      <c r="I608" s="195" t="s">
        <v>569</v>
      </c>
      <c r="J608" s="196" t="str">
        <f>U608</f>
        <v>TBD</v>
      </c>
      <c r="K608" s="71"/>
      <c r="L608" s="676" t="s">
        <v>411</v>
      </c>
      <c r="M608" s="617"/>
      <c r="N608" s="490" t="s">
        <v>626</v>
      </c>
      <c r="O608" s="457"/>
      <c r="Q608" s="1273"/>
      <c r="R608" s="1274"/>
      <c r="T608" s="749" t="s">
        <v>569</v>
      </c>
      <c r="U608" s="740" t="str">
        <f>IF(OR($M$434=2,$Q$608="NA"),"NA",IF($M$607=1,"YES",IF($M$607=2,"NO",IF($Q$608="","TBD",IF(WBCM_IN="cm",IF($Q$608&gt;0.02*M616,"NO","YES"),IF($Q$608&gt;0.02*M616,"NO","YES"))))))</f>
        <v>TBD</v>
      </c>
      <c r="W608" s="71"/>
      <c r="X608" s="664" t="s">
        <v>411</v>
      </c>
    </row>
    <row r="609" spans="1:24" ht="11.25" customHeight="1">
      <c r="A609" s="611">
        <v>15</v>
      </c>
      <c r="B609" s="127"/>
      <c r="C609" s="49"/>
      <c r="I609" s="37"/>
      <c r="K609" s="71"/>
      <c r="L609" s="676" t="s">
        <v>411</v>
      </c>
      <c r="M609" s="617"/>
      <c r="N609" s="490" t="s">
        <v>628</v>
      </c>
      <c r="O609" s="457"/>
      <c r="Q609" s="712" t="s">
        <v>376</v>
      </c>
      <c r="R609" s="916" t="str">
        <f>IF(AB478="","",AB478)</f>
        <v/>
      </c>
      <c r="W609" s="71"/>
      <c r="X609" s="664" t="s">
        <v>411</v>
      </c>
    </row>
    <row r="610" spans="1:24" ht="11.25" customHeight="1">
      <c r="A610" s="611">
        <v>16</v>
      </c>
      <c r="B610" s="192" t="s">
        <v>570</v>
      </c>
      <c r="C610" s="100" t="s">
        <v>617</v>
      </c>
      <c r="K610" s="71"/>
      <c r="L610" s="676" t="s">
        <v>411</v>
      </c>
      <c r="M610" s="127"/>
      <c r="N610" s="132" t="s">
        <v>570</v>
      </c>
      <c r="O610" s="100" t="s">
        <v>17</v>
      </c>
      <c r="W610" s="71"/>
      <c r="X610" s="664" t="s">
        <v>411</v>
      </c>
    </row>
    <row r="611" spans="1:24" ht="11.25" customHeight="1" thickBot="1">
      <c r="A611" s="611">
        <v>17</v>
      </c>
      <c r="B611" s="127"/>
      <c r="K611" s="71"/>
      <c r="L611" s="676" t="s">
        <v>411</v>
      </c>
      <c r="M611" s="127"/>
      <c r="W611" s="71"/>
      <c r="X611" s="664" t="s">
        <v>411</v>
      </c>
    </row>
    <row r="612" spans="1:24" ht="11.25" customHeight="1">
      <c r="A612" s="611">
        <v>18</v>
      </c>
      <c r="B612" s="127"/>
      <c r="C612" s="971"/>
      <c r="D612" s="972" t="s">
        <v>621</v>
      </c>
      <c r="E612" s="410"/>
      <c r="F612" s="184" t="s">
        <v>622</v>
      </c>
      <c r="G612" s="410"/>
      <c r="H612" s="184" t="s">
        <v>623</v>
      </c>
      <c r="I612" s="969"/>
      <c r="K612" s="71"/>
      <c r="L612" s="676" t="s">
        <v>411</v>
      </c>
      <c r="M612" s="127"/>
      <c r="W612" s="71"/>
      <c r="X612" s="664" t="s">
        <v>411</v>
      </c>
    </row>
    <row r="613" spans="1:24" ht="11.25" customHeight="1">
      <c r="A613" s="611">
        <v>19</v>
      </c>
      <c r="B613" s="127"/>
      <c r="C613" s="365" t="s">
        <v>512</v>
      </c>
      <c r="D613" s="172" t="str">
        <f>"("&amp;WBCM_IN&amp;")"</f>
        <v>(cm)</v>
      </c>
      <c r="E613" s="173"/>
      <c r="F613" s="172" t="str">
        <f>"("&amp;WBCM_IN&amp;")"</f>
        <v>(cm)</v>
      </c>
      <c r="G613" s="173"/>
      <c r="H613" s="172" t="str">
        <f>"("&amp;WBCM_IN&amp;")"</f>
        <v>(cm)</v>
      </c>
      <c r="I613" s="170"/>
      <c r="K613" s="71"/>
      <c r="L613" s="676" t="s">
        <v>411</v>
      </c>
      <c r="M613" s="66" t="s">
        <v>644</v>
      </c>
      <c r="N613" s="244" t="s">
        <v>621</v>
      </c>
      <c r="O613" s="173"/>
      <c r="P613" s="244" t="s">
        <v>622</v>
      </c>
      <c r="Q613" s="173"/>
      <c r="R613" s="244" t="s">
        <v>623</v>
      </c>
      <c r="S613" s="246"/>
      <c r="T613" s="109" t="s">
        <v>624</v>
      </c>
      <c r="U613" s="128"/>
      <c r="V613" s="109" t="s">
        <v>625</v>
      </c>
      <c r="W613" s="186"/>
      <c r="X613" s="664" t="s">
        <v>411</v>
      </c>
    </row>
    <row r="614" spans="1:24" ht="11.25" customHeight="1" thickBot="1">
      <c r="A614" s="611">
        <v>20</v>
      </c>
      <c r="B614" s="127"/>
      <c r="C614" s="366" t="str">
        <f>"("&amp;IF(WBCM_IN="","",WBCM_IN)&amp;")"</f>
        <v>(cm)</v>
      </c>
      <c r="D614" s="169" t="s">
        <v>457</v>
      </c>
      <c r="E614" s="168" t="s">
        <v>458</v>
      </c>
      <c r="F614" s="169" t="s">
        <v>457</v>
      </c>
      <c r="G614" s="168" t="s">
        <v>458</v>
      </c>
      <c r="H614" s="169" t="s">
        <v>457</v>
      </c>
      <c r="I614" s="171" t="s">
        <v>458</v>
      </c>
      <c r="K614" s="71"/>
      <c r="L614" s="676" t="s">
        <v>411</v>
      </c>
      <c r="M614" s="66" t="s">
        <v>512</v>
      </c>
      <c r="N614" s="172" t="str">
        <f>"("&amp;WBCM_IN&amp;")"</f>
        <v>(cm)</v>
      </c>
      <c r="O614" s="173"/>
      <c r="P614" s="172" t="str">
        <f>"("&amp;WBCM_IN&amp;")"</f>
        <v>(cm)</v>
      </c>
      <c r="Q614" s="173"/>
      <c r="R614" s="172" t="str">
        <f>"("&amp;WBCM_IN&amp;")"</f>
        <v>(cm)</v>
      </c>
      <c r="S614" s="246"/>
      <c r="T614" s="149" t="s">
        <v>627</v>
      </c>
      <c r="U614" s="163"/>
      <c r="V614" s="165" t="s">
        <v>627</v>
      </c>
      <c r="W614" s="186"/>
      <c r="X614" s="664" t="s">
        <v>411</v>
      </c>
    </row>
    <row r="615" spans="1:24" ht="11.25" customHeight="1" thickBot="1">
      <c r="A615" s="611">
        <v>21</v>
      </c>
      <c r="B615" s="127"/>
      <c r="C615" s="383" t="str">
        <f t="shared" ref="C615:I616" si="86">IF(M616="","",M616)</f>
        <v/>
      </c>
      <c r="D615" s="379" t="str">
        <f t="shared" si="86"/>
        <v/>
      </c>
      <c r="E615" s="380" t="str">
        <f t="shared" si="86"/>
        <v/>
      </c>
      <c r="F615" s="379" t="str">
        <f t="shared" si="86"/>
        <v/>
      </c>
      <c r="G615" s="380" t="str">
        <f t="shared" si="86"/>
        <v/>
      </c>
      <c r="H615" s="379">
        <f t="shared" si="86"/>
        <v>14</v>
      </c>
      <c r="I615" s="384">
        <f t="shared" si="86"/>
        <v>18</v>
      </c>
      <c r="K615" s="71"/>
      <c r="L615" s="676" t="s">
        <v>411</v>
      </c>
      <c r="M615" s="219" t="str">
        <f>"("&amp;IF(WBCM_IN="","",WBCM_IN)&amp;")"</f>
        <v>(cm)</v>
      </c>
      <c r="N615" s="249" t="s">
        <v>457</v>
      </c>
      <c r="O615" s="248" t="s">
        <v>645</v>
      </c>
      <c r="P615" s="249" t="s">
        <v>457</v>
      </c>
      <c r="Q615" s="248" t="s">
        <v>645</v>
      </c>
      <c r="R615" s="249" t="s">
        <v>457</v>
      </c>
      <c r="S615" s="250" t="s">
        <v>645</v>
      </c>
      <c r="T615" s="250" t="s">
        <v>457</v>
      </c>
      <c r="U615" s="248" t="s">
        <v>645</v>
      </c>
      <c r="V615" s="249" t="s">
        <v>457</v>
      </c>
      <c r="W615" s="253" t="s">
        <v>645</v>
      </c>
      <c r="X615" s="664" t="s">
        <v>411</v>
      </c>
    </row>
    <row r="616" spans="1:24" ht="11.25" customHeight="1" thickBot="1">
      <c r="A616" s="611">
        <v>22</v>
      </c>
      <c r="B616" s="127"/>
      <c r="C616" s="385" t="str">
        <f t="shared" si="86"/>
        <v/>
      </c>
      <c r="D616" s="386" t="str">
        <f t="shared" si="86"/>
        <v/>
      </c>
      <c r="E616" s="387" t="str">
        <f t="shared" si="86"/>
        <v/>
      </c>
      <c r="F616" s="386" t="str">
        <f t="shared" si="86"/>
        <v/>
      </c>
      <c r="G616" s="387" t="str">
        <f t="shared" si="86"/>
        <v/>
      </c>
      <c r="H616" s="386" t="str">
        <f t="shared" si="86"/>
        <v/>
      </c>
      <c r="I616" s="388" t="str">
        <f t="shared" si="86"/>
        <v/>
      </c>
      <c r="K616" s="71"/>
      <c r="L616" s="676" t="s">
        <v>411</v>
      </c>
      <c r="M616" s="812" t="str">
        <f>IF(M622&lt;&gt;"",M622,IF(OR(AB142=0,AB142=""),"",ROUND(AB142,2)))</f>
        <v/>
      </c>
      <c r="N616" s="822" t="str">
        <f>IF(N622&lt;&gt;"",N622,IF(OR(AB146=0,AB146=""),"",AB146))</f>
        <v/>
      </c>
      <c r="O616" s="823" t="str">
        <f>IF(O622&lt;&gt;"",O622,IF(OR(AB147=0,AB147=""),"",AB147))</f>
        <v/>
      </c>
      <c r="P616" s="618"/>
      <c r="Q616" s="619"/>
      <c r="R616" s="618">
        <v>14</v>
      </c>
      <c r="S616" s="616">
        <v>18</v>
      </c>
      <c r="T616" s="602" t="str">
        <f>IF(OR($M$608&lt;&gt;"",$M$434&lt;&gt;1,$M$470=2,$M$470=3,$M$616=0,$M$616=""),"NA",IF(OR(N616="",P616=""),"NA",ABS(N616-P616)/$M$616))</f>
        <v>NA</v>
      </c>
      <c r="U616" s="601" t="str">
        <f>IF(OR($M$608&lt;&gt;"",$M$434&lt;&gt;1,$M$470=2,$M$470=3,$M$616=0,$M$616=""),"NA",IF(OR(O616="",Q616=""),"NA",ABS(O616-Q616)/$M$616))</f>
        <v>NA</v>
      </c>
      <c r="V616" s="600" t="str">
        <f>IF(OR($M$609&lt;&gt;"",$M$434&lt;&gt;1,$M$473=2,$M$473=3,$M$616=0,$M$616=""),"NA",IF(OR(P616="",R616=""),"NA",ABS(P616-R616)/$M$616))</f>
        <v>NA</v>
      </c>
      <c r="W616" s="606" t="str">
        <f>IF(OR($M$609&lt;&gt;"",$M$434&lt;&gt;1,$M$473=2,$M$473=3,$M$616=0,$M$616=""),"NA",IF(OR(Q616="",S616=""),"NA",ABS(Q616-S616)/$M$616))</f>
        <v>NA</v>
      </c>
      <c r="X616" s="664" t="s">
        <v>411</v>
      </c>
    </row>
    <row r="617" spans="1:24" ht="11.25" customHeight="1" thickBot="1">
      <c r="A617" s="611">
        <v>23</v>
      </c>
      <c r="B617" s="127"/>
      <c r="C617" s="3" t="s">
        <v>629</v>
      </c>
      <c r="K617" s="71"/>
      <c r="L617" s="676" t="s">
        <v>411</v>
      </c>
      <c r="M617" s="812" t="str">
        <f>IF(M623&lt;&gt;"",M623,IF(OR(AB143=0,AB143=""),"",ROUND(AB143,2)))</f>
        <v/>
      </c>
      <c r="N617" s="822" t="str">
        <f>IF(N623&lt;&gt;"",N623,IF(OR(AB148=0,AB148=""),"",AB148))</f>
        <v/>
      </c>
      <c r="O617" s="823" t="str">
        <f>IF(O623&lt;&gt;"",O623,IF(OR(AB149=0,AB149=""),"",AB149))</f>
        <v/>
      </c>
      <c r="P617" s="618"/>
      <c r="Q617" s="619"/>
      <c r="R617" s="618"/>
      <c r="S617" s="616"/>
      <c r="T617" s="605" t="str">
        <f>IF(OR($M$608&lt;&gt;"",$M$434&lt;&gt;1,$M$470=2,$M$470=3,$M$617=0,$M$617=""),"NA",IF(OR(N617="",P617=""),"NA",ABS(N617-P617)/$M$617))</f>
        <v>NA</v>
      </c>
      <c r="U617" s="604" t="str">
        <f>IF(OR($M$608&lt;&gt;"",$M$434&lt;&gt;1,$M$470=2,$M$470=3,$M$617=0,$M$617=""),"NA",IF(OR(O617="",Q617=""),"NA",ABS(O617-Q617)/$M$617))</f>
        <v>NA</v>
      </c>
      <c r="V617" s="603" t="str">
        <f>IF(OR($M$609&lt;&gt;"",$M$434&lt;&gt;1,$M$473=2,$M$473=3,$M$617=0,$M$617=""),"NA",IF(OR(P617="",R617=""),"NA",ABS(P617-R617)/$M$617))</f>
        <v>NA</v>
      </c>
      <c r="W617" s="607" t="str">
        <f>IF(OR($M$609&lt;&gt;"",$M$434&lt;&gt;1,$M$473=2,$M$473=3,$M$617=0,$M$617=""),"NA",IF(OR(Q617="",S617=""),"NA",ABS(Q617-S617)/$M$617))</f>
        <v>NA</v>
      </c>
      <c r="X617" s="664" t="s">
        <v>411</v>
      </c>
    </row>
    <row r="618" spans="1:24" ht="11.25" customHeight="1" thickBot="1">
      <c r="A618" s="611">
        <v>24</v>
      </c>
      <c r="B618" s="127"/>
      <c r="C618" s="3" t="s">
        <v>630</v>
      </c>
      <c r="K618" s="71"/>
      <c r="L618" s="676" t="s">
        <v>411</v>
      </c>
      <c r="M618" s="160" t="s">
        <v>629</v>
      </c>
      <c r="N618" s="49"/>
      <c r="O618" s="49"/>
      <c r="P618" s="49"/>
      <c r="Q618" s="49"/>
      <c r="R618" s="156"/>
      <c r="S618" s="49"/>
      <c r="W618" s="71"/>
      <c r="X618" s="664" t="s">
        <v>411</v>
      </c>
    </row>
    <row r="619" spans="1:24" ht="11.25" customHeight="1" thickBot="1">
      <c r="A619" s="611">
        <v>25</v>
      </c>
      <c r="B619" s="966" t="s">
        <v>624</v>
      </c>
      <c r="C619" s="967"/>
      <c r="D619" s="968" t="s">
        <v>625</v>
      </c>
      <c r="E619" s="969"/>
      <c r="F619" s="970"/>
      <c r="G619" s="345"/>
      <c r="H619" s="180"/>
      <c r="I619" s="181" t="s">
        <v>631</v>
      </c>
      <c r="J619" s="179"/>
      <c r="K619" s="188"/>
      <c r="L619" s="676" t="s">
        <v>411</v>
      </c>
      <c r="M619" s="160" t="s">
        <v>630</v>
      </c>
      <c r="T619" s="806"/>
      <c r="U619" s="1293" t="s">
        <v>631</v>
      </c>
      <c r="V619" s="1293"/>
      <c r="W619" s="805"/>
      <c r="X619" s="664" t="s">
        <v>411</v>
      </c>
    </row>
    <row r="620" spans="1:24" ht="11.25" customHeight="1">
      <c r="A620" s="611">
        <v>26</v>
      </c>
      <c r="B620" s="110" t="s">
        <v>627</v>
      </c>
      <c r="C620" s="163"/>
      <c r="D620" s="165" t="s">
        <v>627</v>
      </c>
      <c r="E620" s="362"/>
      <c r="F620" s="364" t="str">
        <f>"Indicated Field Size ("&amp;WBCM_IN&amp;")"</f>
        <v>Indicated Field Size (cm)</v>
      </c>
      <c r="G620" s="185"/>
      <c r="H620" s="165" t="s">
        <v>624</v>
      </c>
      <c r="I620" s="163"/>
      <c r="J620" s="165" t="s">
        <v>625</v>
      </c>
      <c r="K620" s="254"/>
      <c r="L620" s="676" t="s">
        <v>411</v>
      </c>
      <c r="M620" s="723" t="s">
        <v>632</v>
      </c>
      <c r="N620" s="724"/>
      <c r="O620" s="718"/>
      <c r="R620" s="184" t="str">
        <f>"Indicated Field Size ("&amp;WBCM_IN&amp;")"</f>
        <v>Indicated Field Size (cm)</v>
      </c>
      <c r="S620" s="251"/>
      <c r="T620" s="172" t="s">
        <v>624</v>
      </c>
      <c r="U620" s="746"/>
      <c r="V620" s="109" t="s">
        <v>625</v>
      </c>
      <c r="W620" s="747"/>
      <c r="X620" s="664" t="s">
        <v>411</v>
      </c>
    </row>
    <row r="621" spans="1:24" ht="11.25" customHeight="1" thickBot="1">
      <c r="A621" s="611">
        <v>27</v>
      </c>
      <c r="B621" s="162" t="s">
        <v>457</v>
      </c>
      <c r="C621" s="168" t="s">
        <v>458</v>
      </c>
      <c r="D621" s="169" t="s">
        <v>457</v>
      </c>
      <c r="E621" s="171" t="s">
        <v>458</v>
      </c>
      <c r="F621" s="167" t="s">
        <v>457</v>
      </c>
      <c r="G621" s="168" t="s">
        <v>458</v>
      </c>
      <c r="H621" s="169" t="s">
        <v>457</v>
      </c>
      <c r="I621" s="168" t="s">
        <v>458</v>
      </c>
      <c r="J621" s="169" t="s">
        <v>457</v>
      </c>
      <c r="K621" s="23" t="s">
        <v>458</v>
      </c>
      <c r="L621" s="676" t="s">
        <v>411</v>
      </c>
      <c r="M621" s="247" t="s">
        <v>512</v>
      </c>
      <c r="N621" s="250" t="s">
        <v>457</v>
      </c>
      <c r="O621" s="250" t="s">
        <v>645</v>
      </c>
      <c r="R621" s="249" t="s">
        <v>457</v>
      </c>
      <c r="S621" s="248" t="s">
        <v>645</v>
      </c>
      <c r="T621" s="249" t="s">
        <v>457</v>
      </c>
      <c r="U621" s="248" t="s">
        <v>645</v>
      </c>
      <c r="V621" s="249" t="s">
        <v>457</v>
      </c>
      <c r="W621" s="253" t="s">
        <v>645</v>
      </c>
      <c r="X621" s="664" t="s">
        <v>411</v>
      </c>
    </row>
    <row r="622" spans="1:24" ht="11.25" customHeight="1" thickBot="1">
      <c r="A622" s="611">
        <v>28</v>
      </c>
      <c r="B622" s="367" t="str">
        <f t="shared" ref="B622:E623" si="87">IF(T616="","",T616)</f>
        <v>NA</v>
      </c>
      <c r="C622" s="175" t="str">
        <f t="shared" si="87"/>
        <v>NA</v>
      </c>
      <c r="D622" s="176" t="str">
        <f t="shared" si="87"/>
        <v>NA</v>
      </c>
      <c r="E622" s="363" t="str">
        <f t="shared" si="87"/>
        <v>NA</v>
      </c>
      <c r="F622" s="389" t="str">
        <f t="shared" ref="F622:K623" si="88">R622</f>
        <v/>
      </c>
      <c r="G622" s="380" t="str">
        <f t="shared" si="88"/>
        <v/>
      </c>
      <c r="H622" s="164" t="str">
        <f t="shared" si="88"/>
        <v>NA</v>
      </c>
      <c r="I622" s="182" t="str">
        <f t="shared" si="88"/>
        <v>NA</v>
      </c>
      <c r="J622" s="164" t="str">
        <f t="shared" si="88"/>
        <v>NA</v>
      </c>
      <c r="K622" s="125" t="str">
        <f t="shared" si="88"/>
        <v>NA</v>
      </c>
      <c r="L622" s="676" t="s">
        <v>411</v>
      </c>
      <c r="M622" s="702"/>
      <c r="N622" s="704"/>
      <c r="O622" s="703"/>
      <c r="R622" s="379" t="str">
        <f>IF(N616="","",N616)</f>
        <v/>
      </c>
      <c r="S622" s="380" t="str">
        <f>IF(O616="","",O616)</f>
        <v/>
      </c>
      <c r="T622" s="740" t="str">
        <f>IF($M$608=1,"YES",IF($M$608=2,"NO",IF(OR(T616="NA",$M$434&lt;&gt;1,$M$470=2,$M$470=3),"NA",IF(T616="TBD","TBD",IF(T616&gt;0.02,"NO","YES")))))</f>
        <v>NA</v>
      </c>
      <c r="U622" s="740" t="str">
        <f>IF($M$608=1,"YES",IF($M$608=2,"NO",IF(OR(U616="NA",$M$434&lt;&gt;1,$M$470=2,$M$470=3),"NA",IF(U616="TBD","TBD",IF(U616&gt;0.02,"NO","YES")))))</f>
        <v>NA</v>
      </c>
      <c r="V622" s="740" t="str">
        <f>IF($M$609=1,"YES",IF($M$609=2,"NO",IF(OR(V616="NA",$M$434&lt;&gt;1,$M$473=2,$M$473=3),"NA",IF(V616="TBD","TBD",IF(V616&gt;0.02,"NO","YES")))))</f>
        <v>NA</v>
      </c>
      <c r="W622" s="751" t="str">
        <f>IF($M$609=1,"YES",IF($M$609=2,"NO",IF(OR(W616="NA",$M$434&lt;&gt;1,$M$473=2,$M$473=3),"NA",IF(W616="TBD","TBD",IF(W616&gt;0.02,"NO","YES")))))</f>
        <v>NA</v>
      </c>
      <c r="X622" s="664" t="s">
        <v>411</v>
      </c>
    </row>
    <row r="623" spans="1:24" ht="11.25" customHeight="1" thickBot="1">
      <c r="A623" s="611">
        <v>29</v>
      </c>
      <c r="B623" s="367" t="str">
        <f t="shared" si="87"/>
        <v>NA</v>
      </c>
      <c r="C623" s="175" t="str">
        <f t="shared" si="87"/>
        <v>NA</v>
      </c>
      <c r="D623" s="176" t="str">
        <f t="shared" si="87"/>
        <v>NA</v>
      </c>
      <c r="E623" s="363" t="str">
        <f t="shared" si="87"/>
        <v>NA</v>
      </c>
      <c r="F623" s="390" t="str">
        <f t="shared" si="88"/>
        <v/>
      </c>
      <c r="G623" s="382" t="str">
        <f t="shared" si="88"/>
        <v/>
      </c>
      <c r="H623" s="178" t="str">
        <f t="shared" si="88"/>
        <v>NA</v>
      </c>
      <c r="I623" s="183" t="str">
        <f t="shared" si="88"/>
        <v>NA</v>
      </c>
      <c r="J623" s="178" t="str">
        <f t="shared" si="88"/>
        <v>NA</v>
      </c>
      <c r="K623" s="208" t="str">
        <f t="shared" si="88"/>
        <v>NA</v>
      </c>
      <c r="L623" s="676" t="s">
        <v>411</v>
      </c>
      <c r="M623" s="702"/>
      <c r="N623" s="704"/>
      <c r="O623" s="703"/>
      <c r="R623" s="381" t="str">
        <f>IF(N617="","",N617)</f>
        <v/>
      </c>
      <c r="S623" s="382" t="str">
        <f>IF(O617="","",O617)</f>
        <v/>
      </c>
      <c r="T623" s="740" t="str">
        <f>IF(T617="NA","NA",IF(T617="TBD","TBD",IF(T617&gt;0.02,"NO","YES")))</f>
        <v>NA</v>
      </c>
      <c r="U623" s="740" t="str">
        <f>IF(U617="NA","NA",IF(U617="TBD","TBD",IF(U617&gt;0.02,"NO","YES")))</f>
        <v>NA</v>
      </c>
      <c r="V623" s="740" t="str">
        <f>IF(V617="NA","NA",IF(V617="TBD","TBD",IF(V617&gt;0.02,"NO","YES")))</f>
        <v>NA</v>
      </c>
      <c r="W623" s="751" t="str">
        <f>IF(W617="NA","NA",IF(W617="TBD","TBD",IF(W617&gt;0.02,"NO","YES")))</f>
        <v>NA</v>
      </c>
      <c r="X623" s="664" t="s">
        <v>411</v>
      </c>
    </row>
    <row r="624" spans="1:24" ht="11.25" customHeight="1">
      <c r="A624" s="611">
        <v>30</v>
      </c>
      <c r="B624" s="192" t="s">
        <v>570</v>
      </c>
      <c r="C624" s="100" t="s">
        <v>633</v>
      </c>
      <c r="K624" s="71"/>
      <c r="L624" s="676" t="s">
        <v>411</v>
      </c>
      <c r="M624" s="127"/>
      <c r="W624" s="71"/>
      <c r="X624" s="664" t="s">
        <v>411</v>
      </c>
    </row>
    <row r="625" spans="1:35" ht="11.25" customHeight="1">
      <c r="A625" s="611">
        <v>31</v>
      </c>
      <c r="B625" s="200"/>
      <c r="C625" s="100" t="s">
        <v>446</v>
      </c>
      <c r="K625" s="71"/>
      <c r="L625" s="676" t="s">
        <v>411</v>
      </c>
      <c r="M625" s="102"/>
      <c r="N625" s="132" t="s">
        <v>570</v>
      </c>
      <c r="O625" s="100" t="s">
        <v>633</v>
      </c>
      <c r="R625" s="50"/>
      <c r="U625" s="49"/>
      <c r="V625" s="49"/>
      <c r="W625" s="71"/>
      <c r="X625" s="664" t="s">
        <v>411</v>
      </c>
    </row>
    <row r="626" spans="1:35" ht="11.25" customHeight="1">
      <c r="A626" s="611">
        <v>32</v>
      </c>
      <c r="B626" s="127"/>
      <c r="K626" s="71"/>
      <c r="L626" s="676" t="s">
        <v>411</v>
      </c>
      <c r="M626" s="66"/>
      <c r="N626" s="190"/>
      <c r="O626" s="100" t="s">
        <v>446</v>
      </c>
      <c r="R626" s="50"/>
      <c r="U626" s="49"/>
      <c r="V626" s="49"/>
      <c r="W626" s="71"/>
      <c r="X626" s="664" t="s">
        <v>411</v>
      </c>
    </row>
    <row r="627" spans="1:35" ht="11.25" customHeight="1">
      <c r="A627" s="611">
        <v>33</v>
      </c>
      <c r="B627" s="102" t="s">
        <v>552</v>
      </c>
      <c r="C627" s="922" t="str">
        <f>IF(O628="","",IF(LEN(O628)&lt;=135,O628,IF(LEN(O628)&lt;=260,LEFT(O628,SEARCH(" ",O628,125)),LEFT(O628,SEARCH(" ",O628,130)))))</f>
        <v/>
      </c>
      <c r="D627" s="48"/>
      <c r="E627" s="48"/>
      <c r="F627" s="48"/>
      <c r="G627" s="48"/>
      <c r="H627" s="48"/>
      <c r="I627" s="48"/>
      <c r="J627" s="48"/>
      <c r="K627" s="69"/>
      <c r="L627" s="676" t="s">
        <v>411</v>
      </c>
      <c r="M627" s="127"/>
      <c r="W627" s="71"/>
      <c r="X627" s="664" t="s">
        <v>411</v>
      </c>
    </row>
    <row r="628" spans="1:35" ht="11.25" customHeight="1">
      <c r="A628" s="611">
        <v>34</v>
      </c>
      <c r="B628" s="85"/>
      <c r="C628" s="923" t="str">
        <f>IF(LEN(O628)&lt;=135,"",IF(LEN(O628)&lt;=260,RIGHT(O628,LEN(O628)-SEARCH(" ",O628,125)),MID(O628,SEARCH(" ",O628,130),IF(LEN(O628)&lt;=265,LEN(O628),SEARCH(" ",O628,255)-SEARCH(" ",O628,130)))))</f>
        <v/>
      </c>
      <c r="D628" s="48"/>
      <c r="E628" s="48"/>
      <c r="F628" s="48"/>
      <c r="G628" s="48"/>
      <c r="H628" s="48"/>
      <c r="I628" s="48"/>
      <c r="J628" s="48"/>
      <c r="K628" s="69"/>
      <c r="L628" s="676" t="s">
        <v>411</v>
      </c>
      <c r="M628" s="127"/>
      <c r="N628" s="577" t="s">
        <v>552</v>
      </c>
      <c r="O628" s="713" t="str">
        <f>IF(O630&lt;&gt;"",O630,IF(OR(AB436=0,AB436=""),"",AB436))</f>
        <v/>
      </c>
      <c r="P628" s="48"/>
      <c r="Q628" s="48"/>
      <c r="R628" s="48"/>
      <c r="S628" s="48"/>
      <c r="T628" s="48"/>
      <c r="U628" s="48"/>
      <c r="V628" s="48"/>
      <c r="W628" s="103"/>
      <c r="X628" s="664" t="s">
        <v>411</v>
      </c>
    </row>
    <row r="629" spans="1:35" ht="11.25" customHeight="1">
      <c r="A629" s="611">
        <v>35</v>
      </c>
      <c r="B629" s="85"/>
      <c r="C629" s="922" t="str">
        <f>IF(LEN(O628)&lt;=265,"",RIGHT(O628,LEN(O628)-SEARCH(" ",O628,255)))</f>
        <v/>
      </c>
      <c r="D629" s="48"/>
      <c r="E629" s="48"/>
      <c r="F629" s="48"/>
      <c r="G629" s="48"/>
      <c r="H629" s="48"/>
      <c r="I629" s="48"/>
      <c r="J629" s="48"/>
      <c r="K629" s="69"/>
      <c r="L629" s="676" t="s">
        <v>411</v>
      </c>
      <c r="M629" s="85"/>
      <c r="N629" s="609" t="s">
        <v>282</v>
      </c>
      <c r="O629" s="59"/>
      <c r="P629" s="921">
        <f>LEN(O628)</f>
        <v>0</v>
      </c>
      <c r="Q629" s="59"/>
      <c r="R629" s="59"/>
      <c r="S629" s="59"/>
      <c r="T629" s="59"/>
      <c r="U629" s="59"/>
      <c r="V629" s="59"/>
      <c r="W629" s="105"/>
      <c r="X629" s="664" t="s">
        <v>411</v>
      </c>
    </row>
    <row r="630" spans="1:35" ht="11.25" customHeight="1">
      <c r="A630" s="611">
        <v>36</v>
      </c>
      <c r="B630" s="127"/>
      <c r="K630" s="71"/>
      <c r="L630" s="676" t="s">
        <v>411</v>
      </c>
      <c r="M630" s="66"/>
      <c r="N630" s="1024" t="s">
        <v>619</v>
      </c>
      <c r="O630" s="1026"/>
      <c r="P630" s="59"/>
      <c r="Q630" s="59"/>
      <c r="R630" s="48"/>
      <c r="S630" s="48"/>
      <c r="T630" s="48"/>
      <c r="U630" s="48"/>
      <c r="V630" s="48"/>
      <c r="W630" s="103"/>
      <c r="X630" s="664" t="s">
        <v>411</v>
      </c>
    </row>
    <row r="631" spans="1:35" ht="11.25" customHeight="1">
      <c r="A631" s="611">
        <v>37</v>
      </c>
      <c r="B631" s="191" t="s">
        <v>634</v>
      </c>
      <c r="C631" s="53"/>
      <c r="D631" s="53"/>
      <c r="E631" s="209"/>
      <c r="K631" s="71"/>
      <c r="L631" s="676" t="s">
        <v>411</v>
      </c>
      <c r="M631" s="127"/>
      <c r="W631" s="71"/>
      <c r="X631" s="664" t="s">
        <v>411</v>
      </c>
    </row>
    <row r="632" spans="1:35" ht="11.25" customHeight="1">
      <c r="A632" s="611">
        <v>38</v>
      </c>
      <c r="B632" s="127"/>
      <c r="C632" s="53"/>
      <c r="J632" s="262" t="s">
        <v>416</v>
      </c>
      <c r="K632" s="395"/>
      <c r="L632" s="676" t="s">
        <v>411</v>
      </c>
      <c r="M632" s="127"/>
      <c r="W632" s="71"/>
      <c r="X632" s="664" t="s">
        <v>411</v>
      </c>
    </row>
    <row r="633" spans="1:35" ht="11.25" customHeight="1">
      <c r="A633" s="611">
        <v>39</v>
      </c>
      <c r="B633" s="127"/>
      <c r="C633" s="53"/>
      <c r="E633" s="50" t="s">
        <v>635</v>
      </c>
      <c r="J633" s="114" t="str">
        <f>IF(M434=2,"NA",IF($M635="","TBD",IF($M635=1,"YES",IF($M635=3,"NA",""))))</f>
        <v>TBD</v>
      </c>
      <c r="K633" s="115" t="str">
        <f>IF($M635=2,"NO","")</f>
        <v/>
      </c>
      <c r="L633" s="676" t="s">
        <v>411</v>
      </c>
      <c r="M633" s="191" t="s">
        <v>634</v>
      </c>
      <c r="N633" s="53"/>
      <c r="O633" s="53"/>
      <c r="P633" s="53"/>
      <c r="W633" s="71"/>
      <c r="X633" s="664" t="s">
        <v>411</v>
      </c>
    </row>
    <row r="634" spans="1:35" ht="11.25" customHeight="1" thickBot="1">
      <c r="A634" s="611">
        <v>40</v>
      </c>
      <c r="B634" s="127"/>
      <c r="K634" s="71"/>
      <c r="L634" s="676" t="s">
        <v>411</v>
      </c>
      <c r="M634" s="202" t="s">
        <v>636</v>
      </c>
      <c r="W634" s="71"/>
      <c r="X634" s="664" t="s">
        <v>411</v>
      </c>
      <c r="AE634"/>
      <c r="AF634"/>
      <c r="AG634"/>
      <c r="AH634"/>
      <c r="AI634"/>
    </row>
    <row r="635" spans="1:35" ht="11.25" customHeight="1">
      <c r="A635" s="611">
        <v>41</v>
      </c>
      <c r="B635" s="973" t="s">
        <v>512</v>
      </c>
      <c r="C635" s="974" t="str">
        <f>"Cassette/Film Size ("&amp;WBCM_IN&amp;")"</f>
        <v>Cassette/Film Size (cm)</v>
      </c>
      <c r="D635" s="410"/>
      <c r="E635" s="184" t="str">
        <f>"Measured* Radiation ("&amp;WBCM_IN&amp;")"</f>
        <v>Measured* Radiation (cm)</v>
      </c>
      <c r="F635" s="410"/>
      <c r="G635" s="968" t="s">
        <v>627</v>
      </c>
      <c r="H635" s="975"/>
      <c r="I635" s="975"/>
      <c r="J635" s="205" t="s">
        <v>631</v>
      </c>
      <c r="K635" s="207"/>
      <c r="L635" s="676" t="s">
        <v>411</v>
      </c>
      <c r="M635" s="816" t="str">
        <f>IF(N635&lt;&gt;"",N635,IF(OR(AB151=0,AB151=""),"",AB151))</f>
        <v/>
      </c>
      <c r="N635" s="701"/>
      <c r="O635" s="50" t="s">
        <v>635</v>
      </c>
      <c r="W635" s="71"/>
      <c r="X635" s="664" t="s">
        <v>411</v>
      </c>
      <c r="AE635"/>
      <c r="AF635"/>
      <c r="AG635"/>
      <c r="AH635"/>
      <c r="AI635"/>
    </row>
    <row r="636" spans="1:35" ht="11.25" customHeight="1" thickBot="1">
      <c r="A636" s="611">
        <v>42</v>
      </c>
      <c r="B636" s="219" t="str">
        <f>"("&amp;IF(WBCM_IN="","",WBCM_IN)&amp;")"</f>
        <v>(cm)</v>
      </c>
      <c r="C636" s="27" t="s">
        <v>457</v>
      </c>
      <c r="D636" s="168" t="s">
        <v>458</v>
      </c>
      <c r="E636" s="169" t="s">
        <v>457</v>
      </c>
      <c r="F636" s="203" t="s">
        <v>458</v>
      </c>
      <c r="G636" s="169" t="s">
        <v>457</v>
      </c>
      <c r="H636" s="27" t="s">
        <v>458</v>
      </c>
      <c r="I636" s="203" t="s">
        <v>21</v>
      </c>
      <c r="J636" s="206" t="s">
        <v>457</v>
      </c>
      <c r="K636" s="23" t="s">
        <v>458</v>
      </c>
      <c r="L636" s="676" t="s">
        <v>411</v>
      </c>
      <c r="M636" s="127"/>
      <c r="W636" s="71"/>
      <c r="X636" s="664" t="s">
        <v>411</v>
      </c>
      <c r="AE636"/>
      <c r="AF636"/>
      <c r="AG636"/>
      <c r="AH636"/>
      <c r="AI636"/>
    </row>
    <row r="637" spans="1:35" ht="11.25" customHeight="1">
      <c r="A637" s="611">
        <v>43</v>
      </c>
      <c r="B637" s="393" t="str">
        <f t="shared" ref="B637:I638" si="89">IF(M639="","",M639)</f>
        <v>NA</v>
      </c>
      <c r="C637" s="256" t="str">
        <f t="shared" si="89"/>
        <v>NA</v>
      </c>
      <c r="D637" s="255" t="str">
        <f t="shared" si="89"/>
        <v>NA</v>
      </c>
      <c r="E637" s="379" t="str">
        <f t="shared" si="89"/>
        <v>NA</v>
      </c>
      <c r="F637" s="391" t="str">
        <f t="shared" si="89"/>
        <v>NA</v>
      </c>
      <c r="G637" s="176" t="str">
        <f t="shared" si="89"/>
        <v>NA</v>
      </c>
      <c r="H637" s="177" t="str">
        <f t="shared" si="89"/>
        <v>NA</v>
      </c>
      <c r="I637" s="177" t="str">
        <f t="shared" si="89"/>
        <v>NA</v>
      </c>
      <c r="J637" s="164" t="str">
        <f>IF(U639="","",U639)</f>
        <v>NA</v>
      </c>
      <c r="K637" s="125" t="str">
        <f>IF(V639="","",V639)</f>
        <v>NA</v>
      </c>
      <c r="L637" s="676" t="s">
        <v>411</v>
      </c>
      <c r="M637" s="66" t="s">
        <v>512</v>
      </c>
      <c r="N637" s="243" t="str">
        <f>"Cassette/Film Size ("&amp;WBCM_IN&amp;")"</f>
        <v>Cassette/Film Size (cm)</v>
      </c>
      <c r="O637" s="173"/>
      <c r="P637" s="244" t="str">
        <f>"Measured* Radiation ("&amp;WBCM_IN&amp;")"</f>
        <v>Measured* Radiation (cm)</v>
      </c>
      <c r="Q637" s="173"/>
      <c r="R637" s="1275" t="s">
        <v>627</v>
      </c>
      <c r="S637" s="1259"/>
      <c r="T637" s="1276"/>
      <c r="U637" s="1266" t="s">
        <v>631</v>
      </c>
      <c r="V637" s="1267"/>
      <c r="W637" s="1268"/>
      <c r="X637" s="664" t="s">
        <v>411</v>
      </c>
      <c r="AE637"/>
      <c r="AF637"/>
      <c r="AG637"/>
      <c r="AH637"/>
      <c r="AI637"/>
    </row>
    <row r="638" spans="1:35" ht="11.25" customHeight="1" thickBot="1">
      <c r="A638" s="611">
        <v>44</v>
      </c>
      <c r="B638" s="393" t="str">
        <f t="shared" si="89"/>
        <v>NA</v>
      </c>
      <c r="C638" s="256" t="str">
        <f t="shared" si="89"/>
        <v>NA</v>
      </c>
      <c r="D638" s="255" t="str">
        <f t="shared" si="89"/>
        <v>NA</v>
      </c>
      <c r="E638" s="379" t="str">
        <f t="shared" si="89"/>
        <v>NA</v>
      </c>
      <c r="F638" s="391" t="str">
        <f t="shared" si="89"/>
        <v>NA</v>
      </c>
      <c r="G638" s="176" t="str">
        <f t="shared" si="89"/>
        <v>NA</v>
      </c>
      <c r="H638" s="177" t="str">
        <f t="shared" si="89"/>
        <v>NA</v>
      </c>
      <c r="I638" s="177" t="str">
        <f t="shared" si="89"/>
        <v>NA</v>
      </c>
      <c r="J638" s="204" t="str">
        <f>IF(U640="","",U640)</f>
        <v>NA</v>
      </c>
      <c r="K638" s="208" t="str">
        <f>IF(V640="","",V640)</f>
        <v>NA</v>
      </c>
      <c r="L638" s="676" t="s">
        <v>411</v>
      </c>
      <c r="M638" s="219" t="str">
        <f>"("&amp;IF(WBCM_IN="","",WBCM_IN)&amp;")"</f>
        <v>(cm)</v>
      </c>
      <c r="N638" s="250" t="s">
        <v>457</v>
      </c>
      <c r="O638" s="248" t="s">
        <v>645</v>
      </c>
      <c r="P638" s="249" t="s">
        <v>457</v>
      </c>
      <c r="Q638" s="252" t="s">
        <v>645</v>
      </c>
      <c r="R638" s="249" t="s">
        <v>457</v>
      </c>
      <c r="S638" s="250" t="s">
        <v>645</v>
      </c>
      <c r="T638" s="250" t="s">
        <v>21</v>
      </c>
      <c r="U638" s="748" t="s">
        <v>457</v>
      </c>
      <c r="V638" s="248" t="s">
        <v>645</v>
      </c>
      <c r="W638" s="1038" t="s">
        <v>21</v>
      </c>
      <c r="X638" s="664" t="s">
        <v>411</v>
      </c>
      <c r="AE638"/>
      <c r="AF638"/>
      <c r="AG638"/>
      <c r="AH638"/>
      <c r="AI638"/>
    </row>
    <row r="639" spans="1:35" ht="11.25" customHeight="1" thickBot="1">
      <c r="A639" s="611">
        <v>45</v>
      </c>
      <c r="B639" s="127"/>
      <c r="C639" s="3" t="s">
        <v>629</v>
      </c>
      <c r="K639" s="71"/>
      <c r="L639" s="676" t="s">
        <v>411</v>
      </c>
      <c r="M639" s="824" t="str">
        <f>IF(M642&lt;&gt;"",M642,IF(OR(M616=0,M616="",$M$635&lt;&gt;1),"NA",M616))</f>
        <v>NA</v>
      </c>
      <c r="N639" s="817" t="str">
        <f>IF(OR(M639="NA",AND($M$635&lt;&gt;1,OR(N642=0,N642=""))),"NA",IF(N642&lt;&gt;"",N642,IF(WBCM_IN&lt;&gt;"cm",10,24)))</f>
        <v>NA</v>
      </c>
      <c r="O639" s="817" t="str">
        <f>IF(OR(N639="NA",AND($M$635&lt;&gt;1,OR(O642=0,O642=""))),"NA",IF(O642&lt;&gt;"",O642,IF(WBCM_IN&lt;&gt;"cm",12,30)))</f>
        <v>NA</v>
      </c>
      <c r="P639" s="783" t="str">
        <f>IF(P642&lt;&gt;"",P642,IF(OR(P616="",$M$635&lt;&gt;1),"NA",P616))</f>
        <v>NA</v>
      </c>
      <c r="Q639" s="784" t="str">
        <f>IF(Q642&lt;&gt;"",Q642,IF(OR(Q616="",$M$635&lt;&gt;1),"NA",Q616))</f>
        <v>NA</v>
      </c>
      <c r="R639" s="176" t="str">
        <f>IF(OR(P639="NA",$M$434&lt;&gt;1,$M$635&lt;&gt;1),"NA",IF(OR($M$639=0,$M$639=""),"SID?",IF(OR(AND($M$635=1,P639=""),N639="",P639=""),"TBD",(P639-N639)/$M$639)))</f>
        <v>NA</v>
      </c>
      <c r="S639" s="177" t="str">
        <f>IF(OR(Q639="NA",$M$434&lt;&gt;1,$M$635&lt;&gt;1),"NA",IF(OR($M$639=0,$M$639=""),"SID?",IF(OR(AND($M$635=1,Q639=""),O639="",Q639=""),"TBD",(Q639-O639)/$M$639)))</f>
        <v>NA</v>
      </c>
      <c r="T639" s="177" t="str">
        <f>IF(OR(R639="NA",$M$434&lt;&gt;1,$M$635&lt;&gt;1),"NA",IF(OR($M$639=0,$M$639=""),"SID?",IF(OR(AND($M$635=1,R639=""),P639="",R639=""),"TBD",(ABS(N639-P639)+ABS(O639-Q639))/$M$639)))</f>
        <v>NA</v>
      </c>
      <c r="U639" s="750" t="str">
        <f>IF($M$635=2,"NO",IF(R639="NA","NA",IF(OR(R639="SID?",R639="TBD"),"TBD",IF(ABS(R639)&gt;0.02,"NO","YES"))))</f>
        <v>NA</v>
      </c>
      <c r="V639" s="740" t="str">
        <f>IF($M$635=2,"NO",IF(S639="NA","NA",IF(OR(S639="SID?",S639="TBD"),"TBD",IF(ABS(S639)&gt;0.02,"NO","YES"))))</f>
        <v>NA</v>
      </c>
      <c r="W639" s="751" t="str">
        <f>IF($M$635=2,"NO",IF(T639="NA","NA",IF(OR(T639="SID?",T639="TBD"),"TBD",IF(ABS(T639)&gt;0.03,"NO","YES"))))</f>
        <v>NA</v>
      </c>
      <c r="X639" s="664" t="s">
        <v>411</v>
      </c>
      <c r="AE639"/>
      <c r="AF639"/>
      <c r="AG639"/>
      <c r="AH639"/>
      <c r="AI639"/>
    </row>
    <row r="640" spans="1:35" ht="11.25" customHeight="1" thickBot="1">
      <c r="A640" s="611">
        <v>46</v>
      </c>
      <c r="B640" s="127"/>
      <c r="K640" s="71"/>
      <c r="L640" s="676" t="s">
        <v>411</v>
      </c>
      <c r="M640" s="824" t="str">
        <f>IF(M643&lt;&gt;"",M643,IF(OR(M617=0,M617="",$M$635&lt;&gt;1),"NA",M617))</f>
        <v>NA</v>
      </c>
      <c r="N640" s="817" t="str">
        <f>IF(OR(M640="NA",AND($M$635&lt;&gt;1,OR(N643=0,N643=""))),"NA",IF(N643&lt;&gt;"",N643,IF(WBCM_IN&lt;&gt;"cm",14,35)))</f>
        <v>NA</v>
      </c>
      <c r="O640" s="817" t="str">
        <f>IF(OR(N640="NA",AND($M$635&lt;&gt;1,OR(O643=0,O643=""))),"NA",IF(O643&lt;&gt;"",O643,IF(WBCM_IN&lt;&gt;"cm",17,43)))</f>
        <v>NA</v>
      </c>
      <c r="P640" s="783" t="str">
        <f>IF(P643&lt;&gt;"",P643,IF(OR(P617="",$M$635&lt;&gt;1),"NA",P617))</f>
        <v>NA</v>
      </c>
      <c r="Q640" s="784" t="str">
        <f>IF(Q643&lt;&gt;"",Q643,IF(OR(Q617="",$M$635&lt;&gt;1),"NA",Q617))</f>
        <v>NA</v>
      </c>
      <c r="R640" s="176" t="str">
        <f>IF(OR(P640="NA",$M$434&lt;&gt;1,$M$635&lt;&gt;1),"NA",IF(OR($M$640=0,$M$640=""),"SID?",IF(OR(AND($M$635=1,P640=""),N640="",P640=""),"TBD",(P640-N640)/$M$640)))</f>
        <v>NA</v>
      </c>
      <c r="S640" s="177" t="str">
        <f>IF(OR(Q640="NA",$M$434&lt;&gt;1,$M$635&lt;&gt;1),"NA",IF(OR($M$640=0,$M$640=""),"SID?",IF(OR(AND($M$635=1,Q640=""),O640="",Q640=""),"TBD",(Q640-O640)/$M$640)))</f>
        <v>NA</v>
      </c>
      <c r="T640" s="177" t="str">
        <f>IF(OR(R640="NA",$M$434&lt;&gt;1,$M$635&lt;&gt;1),"NA",IF(OR($M$639=0,$M$639=""),"SID?",IF(OR(AND($M$635=1,R640=""),P640="",R640=""),"TBD",(ABS(N640-P640)+ABS(O640-Q640))/$M$639)))</f>
        <v>NA</v>
      </c>
      <c r="U640" s="750" t="str">
        <f>IF($M$635=2,"NO",IF(R640="NA","NA",IF(OR(R640="SID?",R640="TBD"),"TBD",IF(ABS(R640)&gt;0.02,"NO","YES"))))</f>
        <v>NA</v>
      </c>
      <c r="V640" s="740" t="str">
        <f>IF($M$635=2,"NO",IF(S640="NA","NA",IF(OR(S640="SID?",S640="TBD"),"TBD",IF(ABS(S640)&gt;0.02,"NO","YES"))))</f>
        <v>NA</v>
      </c>
      <c r="W640" s="751" t="str">
        <f>IF($M$635=2,"NO",IF(T640="NA","NA",IF(OR(T640="SID?",T640="TBD"),"TBD",IF(ABS(T640)&gt;0.03,"NO","YES"))))</f>
        <v>NA</v>
      </c>
      <c r="X640" s="664" t="s">
        <v>411</v>
      </c>
      <c r="AE640"/>
      <c r="AF640"/>
      <c r="AG640"/>
      <c r="AH640"/>
      <c r="AI640"/>
    </row>
    <row r="641" spans="1:35" ht="11.25" customHeight="1">
      <c r="A641" s="611">
        <v>47</v>
      </c>
      <c r="B641" s="192" t="s">
        <v>570</v>
      </c>
      <c r="C641" s="100" t="s">
        <v>29</v>
      </c>
      <c r="D641" s="50"/>
      <c r="E641" s="49"/>
      <c r="F641" s="49"/>
      <c r="G641" s="49"/>
      <c r="H641" s="49"/>
      <c r="I641" s="49"/>
      <c r="J641" s="114"/>
      <c r="K641" s="115" t="str">
        <f>IF(M643=2,"NO","")</f>
        <v/>
      </c>
      <c r="L641" s="676" t="s">
        <v>411</v>
      </c>
      <c r="M641" s="127"/>
      <c r="N641" s="3" t="s">
        <v>629</v>
      </c>
      <c r="W641" s="71"/>
      <c r="X641" s="664" t="s">
        <v>411</v>
      </c>
      <c r="AE641"/>
      <c r="AF641"/>
      <c r="AG641"/>
      <c r="AH641"/>
      <c r="AI641"/>
    </row>
    <row r="642" spans="1:35" ht="11.25" customHeight="1">
      <c r="A642" s="611">
        <v>48</v>
      </c>
      <c r="B642" s="127"/>
      <c r="C642" s="685" t="s">
        <v>28</v>
      </c>
      <c r="K642" s="71"/>
      <c r="L642" s="676" t="s">
        <v>411</v>
      </c>
      <c r="M642" s="695"/>
      <c r="N642" s="696"/>
      <c r="O642" s="696"/>
      <c r="P642" s="774"/>
      <c r="Q642" s="774"/>
      <c r="R642" s="734" t="s">
        <v>619</v>
      </c>
      <c r="W642" s="71"/>
      <c r="X642" s="664" t="s">
        <v>411</v>
      </c>
      <c r="AE642"/>
      <c r="AF642"/>
      <c r="AG642"/>
      <c r="AH642"/>
      <c r="AI642"/>
    </row>
    <row r="643" spans="1:35" ht="11.25" customHeight="1">
      <c r="A643" s="611">
        <v>49</v>
      </c>
      <c r="B643" s="102"/>
      <c r="K643" s="71"/>
      <c r="L643" s="676" t="s">
        <v>411</v>
      </c>
      <c r="M643" s="695"/>
      <c r="N643" s="696"/>
      <c r="O643" s="696"/>
      <c r="P643" s="774"/>
      <c r="Q643" s="774"/>
      <c r="R643" s="735" t="s">
        <v>308</v>
      </c>
      <c r="S643" s="49"/>
      <c r="T643" s="49"/>
      <c r="U643" s="49"/>
      <c r="V643" s="49"/>
      <c r="W643" s="69"/>
      <c r="X643" s="664" t="s">
        <v>411</v>
      </c>
      <c r="AE643"/>
      <c r="AF643"/>
      <c r="AG643"/>
      <c r="AH643"/>
      <c r="AI643"/>
    </row>
    <row r="644" spans="1:35" ht="11.25" customHeight="1">
      <c r="A644" s="611">
        <v>50</v>
      </c>
      <c r="B644" s="85" t="s">
        <v>552</v>
      </c>
      <c r="C644" s="922" t="str">
        <f>IF(O646="","",IF(LEN(O646)&lt;=135,O646,IF(LEN(O646)&lt;=260,LEFT(O646,SEARCH(" ",O646,125)),LEFT(O646,SEARCH(" ",O646,130)))))</f>
        <v/>
      </c>
      <c r="D644" s="48"/>
      <c r="E644" s="48"/>
      <c r="F644" s="48"/>
      <c r="G644" s="48"/>
      <c r="H644" s="48"/>
      <c r="I644" s="48"/>
      <c r="J644" s="48"/>
      <c r="K644" s="71"/>
      <c r="L644" s="676" t="s">
        <v>411</v>
      </c>
      <c r="M644" s="211"/>
      <c r="N644" s="132" t="s">
        <v>570</v>
      </c>
      <c r="O644" s="100" t="s">
        <v>29</v>
      </c>
      <c r="W644" s="71"/>
      <c r="X644" s="664" t="s">
        <v>411</v>
      </c>
      <c r="AE644"/>
      <c r="AF644"/>
      <c r="AG644"/>
      <c r="AH644"/>
      <c r="AI644"/>
    </row>
    <row r="645" spans="1:35" ht="11.25" customHeight="1">
      <c r="A645" s="611">
        <v>51</v>
      </c>
      <c r="B645" s="85"/>
      <c r="C645" s="923" t="str">
        <f>IF(LEN(O646)&lt;=135,"",IF(LEN(O646)&lt;=260,RIGHT(O646,LEN(O646)-SEARCH(" ",O646,125)),MID(O646,SEARCH(" ",O646,130),IF(LEN(O646)&lt;=265,LEN(O646),SEARCH(" ",O646,255)-SEARCH(" ",O646,130)))))</f>
        <v/>
      </c>
      <c r="D645" s="48"/>
      <c r="E645" s="48"/>
      <c r="F645" s="48"/>
      <c r="G645" s="48"/>
      <c r="H645" s="48"/>
      <c r="I645" s="48"/>
      <c r="J645" s="48"/>
      <c r="K645" s="71"/>
      <c r="L645" s="676" t="s">
        <v>411</v>
      </c>
      <c r="M645" s="127"/>
      <c r="O645" s="685" t="s">
        <v>28</v>
      </c>
      <c r="W645" s="71"/>
      <c r="X645" s="664" t="s">
        <v>411</v>
      </c>
      <c r="AE645"/>
      <c r="AF645"/>
      <c r="AG645"/>
      <c r="AH645"/>
      <c r="AI645"/>
    </row>
    <row r="646" spans="1:35" ht="11.25" customHeight="1">
      <c r="A646" s="611">
        <v>52</v>
      </c>
      <c r="B646" s="127"/>
      <c r="C646" s="922" t="str">
        <f>IF(LEN(O646)&lt;=265,"",RIGHT(O646,LEN(O646)-SEARCH(" ",O646,255)))</f>
        <v/>
      </c>
      <c r="D646" s="48"/>
      <c r="E646" s="48"/>
      <c r="F646" s="48"/>
      <c r="G646" s="48"/>
      <c r="H646" s="48"/>
      <c r="I646" s="48"/>
      <c r="J646" s="48"/>
      <c r="K646" s="71"/>
      <c r="L646" s="676" t="s">
        <v>411</v>
      </c>
      <c r="M646" s="85"/>
      <c r="N646" s="577" t="s">
        <v>552</v>
      </c>
      <c r="O646" s="713" t="str">
        <f>IF(O648&lt;&gt;"",O648,IF(OR(AB437=0,AB437=""),"",AB437))</f>
        <v/>
      </c>
      <c r="P646" s="48"/>
      <c r="Q646" s="48"/>
      <c r="R646" s="48"/>
      <c r="S646" s="48"/>
      <c r="T646" s="48"/>
      <c r="U646" s="48"/>
      <c r="V646" s="48"/>
      <c r="W646" s="103"/>
      <c r="X646" s="664" t="s">
        <v>411</v>
      </c>
      <c r="Y646" s="457"/>
      <c r="Z646" s="457"/>
      <c r="AA646" s="457"/>
      <c r="AB646" s="457"/>
      <c r="AE646"/>
      <c r="AF646"/>
      <c r="AG646"/>
      <c r="AH646"/>
      <c r="AI646"/>
    </row>
    <row r="647" spans="1:35" ht="11.25" customHeight="1">
      <c r="A647" s="611">
        <v>53</v>
      </c>
      <c r="B647" s="127"/>
      <c r="K647" s="71"/>
      <c r="L647" s="676" t="s">
        <v>411</v>
      </c>
      <c r="M647" s="66"/>
      <c r="N647" s="609" t="s">
        <v>282</v>
      </c>
      <c r="O647" s="59"/>
      <c r="P647" s="921">
        <f>LEN(O646)</f>
        <v>0</v>
      </c>
      <c r="Q647" s="59"/>
      <c r="R647" s="59"/>
      <c r="S647" s="59"/>
      <c r="T647" s="59"/>
      <c r="U647" s="59"/>
      <c r="V647" s="59"/>
      <c r="W647" s="105"/>
      <c r="X647" s="664" t="s">
        <v>411</v>
      </c>
      <c r="Y647" s="457"/>
      <c r="Z647" s="457"/>
      <c r="AA647" s="457"/>
      <c r="AB647" s="457"/>
      <c r="AE647"/>
      <c r="AF647"/>
      <c r="AG647"/>
      <c r="AH647"/>
      <c r="AI647"/>
    </row>
    <row r="648" spans="1:35" ht="11.25" customHeight="1">
      <c r="A648" s="611">
        <v>54</v>
      </c>
      <c r="B648" s="198" t="s">
        <v>414</v>
      </c>
      <c r="C648" s="109"/>
      <c r="E648" s="199" t="s">
        <v>639</v>
      </c>
      <c r="F648" s="53"/>
      <c r="G648" s="1"/>
      <c r="H648" s="1"/>
      <c r="I648" s="1"/>
      <c r="J648" s="262" t="s">
        <v>416</v>
      </c>
      <c r="K648" s="395"/>
      <c r="L648" s="676" t="s">
        <v>411</v>
      </c>
      <c r="M648" s="127"/>
      <c r="N648" s="1024" t="s">
        <v>619</v>
      </c>
      <c r="O648" s="1026"/>
      <c r="P648" s="50"/>
      <c r="Q648" s="50"/>
      <c r="R648" s="49"/>
      <c r="S648" s="49"/>
      <c r="T648" s="49"/>
      <c r="U648" s="49"/>
      <c r="V648" s="49"/>
      <c r="W648" s="69"/>
      <c r="X648" s="664" t="s">
        <v>411</v>
      </c>
      <c r="Y648" s="457"/>
      <c r="Z648" s="457"/>
      <c r="AA648" s="457"/>
      <c r="AB648" s="457"/>
      <c r="AE648"/>
      <c r="AF648"/>
      <c r="AG648"/>
      <c r="AH648"/>
      <c r="AI648"/>
    </row>
    <row r="649" spans="1:35" ht="11.25" customHeight="1">
      <c r="A649" s="611">
        <v>55</v>
      </c>
      <c r="B649" s="110"/>
      <c r="C649" s="111"/>
      <c r="D649" s="50" t="s">
        <v>449</v>
      </c>
      <c r="E649" s="49"/>
      <c r="F649" s="49"/>
      <c r="G649" s="49"/>
      <c r="H649" s="49"/>
      <c r="I649" s="49"/>
      <c r="J649" s="114" t="str">
        <f>IF($M$434=2,"NA",IF($M652="","TBD",IF($M652=1,"YES",IF($M652=3,"NA",""))))</f>
        <v>TBD</v>
      </c>
      <c r="K649" s="115" t="str">
        <f>IF($M$434=2,"",IF($M652=2,"NO",""))</f>
        <v/>
      </c>
      <c r="L649" s="676" t="s">
        <v>411</v>
      </c>
      <c r="M649" s="127"/>
      <c r="W649" s="71"/>
      <c r="X649" s="664" t="s">
        <v>411</v>
      </c>
      <c r="Y649" s="457"/>
      <c r="Z649" s="457"/>
      <c r="AA649" s="457"/>
      <c r="AB649" s="457"/>
      <c r="AE649"/>
      <c r="AF649"/>
      <c r="AG649"/>
      <c r="AH649"/>
      <c r="AI649"/>
    </row>
    <row r="650" spans="1:35" ht="11.25" customHeight="1">
      <c r="A650" s="611">
        <v>56</v>
      </c>
      <c r="B650" s="85"/>
      <c r="C650" s="50"/>
      <c r="D650" s="50" t="s">
        <v>1052</v>
      </c>
      <c r="J650" s="114" t="str">
        <f>IF($M$409=2,"NA",IF($M653="","TBD",IF($M653=1,"Stationary",IF($M653=2,"Reciprocating",IF($M653=3,"NA","")))))</f>
        <v>TBD</v>
      </c>
      <c r="K650" s="115"/>
      <c r="L650" s="676" t="s">
        <v>411</v>
      </c>
      <c r="M650" s="127"/>
      <c r="O650" s="209"/>
      <c r="R650" s="870" t="s">
        <v>639</v>
      </c>
      <c r="W650" s="71"/>
      <c r="X650" s="664" t="s">
        <v>411</v>
      </c>
      <c r="Y650" s="457"/>
      <c r="Z650" s="457"/>
      <c r="AA650" s="457"/>
      <c r="AB650" s="457"/>
      <c r="AE650"/>
      <c r="AF650"/>
      <c r="AG650"/>
      <c r="AH650"/>
      <c r="AI650"/>
    </row>
    <row r="651" spans="1:35" ht="11.25" customHeight="1">
      <c r="A651" s="611">
        <v>57</v>
      </c>
      <c r="B651" s="127"/>
      <c r="D651" s="50" t="str">
        <f>IF(J650="YES","","Radiographic image is free of grid lines.")</f>
        <v>Radiographic image is free of grid lines.</v>
      </c>
      <c r="E651" s="50"/>
      <c r="F651" s="50"/>
      <c r="G651" s="50"/>
      <c r="H651" s="50"/>
      <c r="I651" s="50"/>
      <c r="J651" s="114" t="str">
        <f>IF($M$653=1,"NA",IF(OR($M$434=2,M654=3),"NA",IF($M654="","TBD",IF($M654=1,"YES",""))))</f>
        <v>TBD</v>
      </c>
      <c r="K651" s="115" t="str">
        <f>IF(OR($M$434=2,M653=1),"",IF($J$650="YES","",IF($M654=2,"NO","")))</f>
        <v/>
      </c>
      <c r="L651" s="676" t="s">
        <v>411</v>
      </c>
      <c r="M651" s="202" t="s">
        <v>417</v>
      </c>
      <c r="R651" s="53"/>
      <c r="W651" s="71"/>
      <c r="X651" s="664" t="s">
        <v>411</v>
      </c>
      <c r="Y651" s="457"/>
      <c r="Z651" s="457"/>
      <c r="AA651" s="457"/>
      <c r="AB651" s="457"/>
      <c r="AE651"/>
      <c r="AF651"/>
      <c r="AG651"/>
      <c r="AH651"/>
      <c r="AI651"/>
    </row>
    <row r="652" spans="1:35" ht="11.25" customHeight="1">
      <c r="A652" s="611">
        <v>58</v>
      </c>
      <c r="B652" s="127"/>
      <c r="K652" s="71"/>
      <c r="L652" s="676" t="s">
        <v>411</v>
      </c>
      <c r="M652" s="721"/>
      <c r="N652" s="50"/>
      <c r="O652" s="50" t="s">
        <v>449</v>
      </c>
      <c r="P652" s="49"/>
      <c r="Q652" s="49"/>
      <c r="R652" s="49"/>
      <c r="S652" s="49"/>
      <c r="T652" s="49"/>
      <c r="U652" s="49"/>
      <c r="V652" s="49"/>
      <c r="W652" s="69"/>
      <c r="X652" s="664" t="s">
        <v>411</v>
      </c>
      <c r="Y652" s="457"/>
      <c r="Z652" s="457"/>
      <c r="AA652" s="457"/>
      <c r="AB652" s="457"/>
      <c r="AE652"/>
      <c r="AF652"/>
      <c r="AG652"/>
      <c r="AH652"/>
      <c r="AI652"/>
    </row>
    <row r="653" spans="1:35" ht="11.25" customHeight="1">
      <c r="A653" s="611">
        <v>59</v>
      </c>
      <c r="B653" s="102" t="s">
        <v>552</v>
      </c>
      <c r="C653" s="922" t="str">
        <f>IF(O656="","",IF(LEN(O656)&lt;=135,O656,IF(LEN(O656)&lt;=260,LEFT(O656,SEARCH(" ",O656,125)),LEFT(O656,SEARCH(" ",O656,130)))))</f>
        <v/>
      </c>
      <c r="D653" s="48"/>
      <c r="E653" s="48"/>
      <c r="F653" s="48"/>
      <c r="G653" s="48"/>
      <c r="H653" s="48"/>
      <c r="I653" s="48"/>
      <c r="J653" s="48"/>
      <c r="K653" s="69"/>
      <c r="L653" s="676" t="s">
        <v>411</v>
      </c>
      <c r="M653" s="818" t="str">
        <f>IF(N653&lt;&gt;"",N653,IF(OR(AB152=0,AB152=""),"",AB152))</f>
        <v/>
      </c>
      <c r="N653" s="701"/>
      <c r="O653" s="50" t="s">
        <v>640</v>
      </c>
      <c r="P653" s="50"/>
      <c r="Q653" s="50"/>
      <c r="R653" s="50"/>
      <c r="S653" s="50"/>
      <c r="T653" s="50"/>
      <c r="U653" s="50"/>
      <c r="V653" s="50"/>
      <c r="W653" s="70"/>
      <c r="X653" s="664" t="s">
        <v>411</v>
      </c>
      <c r="Y653" s="457"/>
      <c r="Z653" s="457"/>
      <c r="AA653" s="457"/>
      <c r="AB653" s="457"/>
      <c r="AE653"/>
      <c r="AF653"/>
      <c r="AG653"/>
      <c r="AH653"/>
      <c r="AI653"/>
    </row>
    <row r="654" spans="1:35" ht="11.25" customHeight="1">
      <c r="A654" s="611">
        <v>60</v>
      </c>
      <c r="B654" s="85"/>
      <c r="C654" s="923" t="str">
        <f>IF(LEN(O656)&lt;=135,"",IF(LEN(O656)&lt;=260,RIGHT(O656,LEN(O656)-SEARCH(" ",O656,125)),MID(O656,SEARCH(" ",O656,130),IF(LEN(O656)&lt;=265,LEN(O656),SEARCH(" ",O656,255)-SEARCH(" ",O656,130)))))</f>
        <v/>
      </c>
      <c r="D654" s="48"/>
      <c r="E654" s="48"/>
      <c r="F654" s="48"/>
      <c r="G654" s="48"/>
      <c r="H654" s="48"/>
      <c r="I654" s="48"/>
      <c r="J654" s="48"/>
      <c r="K654" s="69"/>
      <c r="L654" s="676" t="s">
        <v>411</v>
      </c>
      <c r="M654" s="617"/>
      <c r="O654" s="50" t="str">
        <f>IF(M653=1,"","Radiographic image is free of grid lines.")</f>
        <v>Radiographic image is free of grid lines.</v>
      </c>
      <c r="W654" s="71"/>
      <c r="X654" s="664" t="s">
        <v>411</v>
      </c>
      <c r="Y654" s="457"/>
      <c r="Z654" s="457"/>
      <c r="AA654" s="457"/>
      <c r="AB654" s="457"/>
      <c r="AE654"/>
      <c r="AF654"/>
      <c r="AG654"/>
      <c r="AH654"/>
      <c r="AI654"/>
    </row>
    <row r="655" spans="1:35" ht="11.25" customHeight="1">
      <c r="A655" s="611">
        <v>61</v>
      </c>
      <c r="B655" s="85"/>
      <c r="C655" s="922" t="str">
        <f>IF(LEN(O656)&lt;=265,"",RIGHT(O656,LEN(O656)-SEARCH(" ",O656,255)))</f>
        <v/>
      </c>
      <c r="D655" s="48"/>
      <c r="E655" s="48"/>
      <c r="F655" s="48"/>
      <c r="G655" s="48"/>
      <c r="H655" s="48"/>
      <c r="I655" s="48"/>
      <c r="J655" s="48"/>
      <c r="K655" s="69"/>
      <c r="L655" s="676" t="s">
        <v>411</v>
      </c>
      <c r="M655" s="127"/>
      <c r="W655" s="71"/>
      <c r="X655" s="664" t="s">
        <v>411</v>
      </c>
      <c r="Y655" s="457"/>
      <c r="Z655" s="457"/>
      <c r="AA655" s="457"/>
      <c r="AB655" s="457"/>
      <c r="AE655"/>
      <c r="AF655"/>
      <c r="AG655"/>
      <c r="AH655"/>
      <c r="AI655"/>
    </row>
    <row r="656" spans="1:35" ht="11.25" customHeight="1">
      <c r="A656" s="611">
        <v>62</v>
      </c>
      <c r="B656" s="127"/>
      <c r="K656" s="71"/>
      <c r="L656" s="676" t="s">
        <v>411</v>
      </c>
      <c r="M656" s="127"/>
      <c r="N656" s="577" t="s">
        <v>552</v>
      </c>
      <c r="O656" s="713" t="str">
        <f>IF(O658&lt;&gt;"",O658,IF(OR(AB438=0,AB438=""),"",AB438))</f>
        <v/>
      </c>
      <c r="P656" s="48"/>
      <c r="Q656" s="48"/>
      <c r="R656" s="48"/>
      <c r="S656" s="48"/>
      <c r="T656" s="48"/>
      <c r="U656" s="48"/>
      <c r="V656" s="48"/>
      <c r="W656" s="103"/>
      <c r="X656" s="664" t="s">
        <v>411</v>
      </c>
      <c r="Y656" s="457"/>
      <c r="Z656" s="457"/>
      <c r="AA656" s="457"/>
      <c r="AB656" s="457"/>
      <c r="AE656"/>
      <c r="AF656"/>
      <c r="AG656"/>
      <c r="AH656"/>
      <c r="AI656"/>
    </row>
    <row r="657" spans="1:35" ht="11.25" customHeight="1" thickBot="1">
      <c r="A657" s="611">
        <v>63</v>
      </c>
      <c r="B657" s="201"/>
      <c r="C657" s="73"/>
      <c r="D657" s="73"/>
      <c r="E657" s="73"/>
      <c r="F657" s="73"/>
      <c r="G657" s="73"/>
      <c r="H657" s="73"/>
      <c r="I657" s="73"/>
      <c r="J657" s="73"/>
      <c r="K657" s="74"/>
      <c r="L657" s="676" t="s">
        <v>411</v>
      </c>
      <c r="M657" s="85"/>
      <c r="N657" s="609" t="s">
        <v>282</v>
      </c>
      <c r="O657" s="59"/>
      <c r="P657" s="921">
        <f>LEN(O656)</f>
        <v>0</v>
      </c>
      <c r="Q657" s="59"/>
      <c r="R657" s="59"/>
      <c r="S657" s="59"/>
      <c r="T657" s="59"/>
      <c r="U657" s="59"/>
      <c r="V657" s="59"/>
      <c r="W657" s="105"/>
      <c r="X657" s="664" t="s">
        <v>411</v>
      </c>
      <c r="Y657" s="457"/>
      <c r="Z657" s="1260" t="s">
        <v>1068</v>
      </c>
      <c r="AA657" s="1260"/>
      <c r="AB657" s="457"/>
      <c r="AE657"/>
      <c r="AF657"/>
      <c r="AG657"/>
      <c r="AH657"/>
      <c r="AI657"/>
    </row>
    <row r="658" spans="1:35" ht="11.25" customHeight="1" thickTop="1">
      <c r="A658" s="611">
        <v>64</v>
      </c>
      <c r="B658" s="49"/>
      <c r="D658" s="49"/>
      <c r="E658" s="49"/>
      <c r="F658" s="49"/>
      <c r="G658" s="49"/>
      <c r="H658" s="49"/>
      <c r="I658" s="49"/>
      <c r="J658" s="49"/>
      <c r="K658" s="49"/>
      <c r="L658" s="676" t="s">
        <v>411</v>
      </c>
      <c r="M658" s="66"/>
      <c r="N658" s="1024" t="s">
        <v>619</v>
      </c>
      <c r="O658" s="1026"/>
      <c r="P658" s="59"/>
      <c r="Q658" s="59"/>
      <c r="R658" s="48"/>
      <c r="S658" s="48"/>
      <c r="T658" s="48"/>
      <c r="U658" s="48"/>
      <c r="V658" s="48"/>
      <c r="W658" s="103"/>
      <c r="X658" s="664" t="s">
        <v>411</v>
      </c>
      <c r="Y658" s="457"/>
      <c r="Z658">
        <v>1.1000000000000001</v>
      </c>
      <c r="AA658">
        <v>0.5</v>
      </c>
      <c r="AB658" s="457"/>
      <c r="AE658"/>
      <c r="AF658"/>
      <c r="AG658"/>
      <c r="AH658"/>
      <c r="AI658"/>
    </row>
    <row r="659" spans="1:35" ht="11.25" customHeight="1" thickBot="1">
      <c r="A659" s="611">
        <v>65</v>
      </c>
      <c r="B659" s="52" t="str">
        <f t="array" ref="B659:C660">$B$65:$C$66</f>
        <v>Date:</v>
      </c>
      <c r="C659" s="1133" t="str">
        <v/>
      </c>
      <c r="D659" s="56"/>
      <c r="E659" s="49"/>
      <c r="F659" s="49"/>
      <c r="G659" s="49"/>
      <c r="H659" s="49"/>
      <c r="I659" s="52" t="str">
        <f t="array" ref="I659:J660">$I$65:$J$66</f>
        <v>Inspector:</v>
      </c>
      <c r="J659" s="421" t="str">
        <v>Eugene Mah</v>
      </c>
      <c r="L659" s="676" t="s">
        <v>411</v>
      </c>
      <c r="M659" s="98"/>
      <c r="N659" s="83"/>
      <c r="O659" s="83"/>
      <c r="P659" s="83"/>
      <c r="Q659" s="83"/>
      <c r="R659" s="83"/>
      <c r="S659" s="83"/>
      <c r="T659" s="83"/>
      <c r="U659" s="83"/>
      <c r="V659" s="83"/>
      <c r="W659" s="86"/>
      <c r="X659" s="664" t="s">
        <v>411</v>
      </c>
      <c r="Y659" s="457"/>
      <c r="Z659">
        <v>1.2</v>
      </c>
      <c r="AA659">
        <v>0.56000000000000005</v>
      </c>
      <c r="AB659" s="457"/>
      <c r="AE659"/>
      <c r="AF659"/>
      <c r="AG659"/>
      <c r="AH659"/>
      <c r="AI659"/>
    </row>
    <row r="660" spans="1:35" ht="11.25" customHeight="1" thickTop="1">
      <c r="A660" s="611">
        <v>66</v>
      </c>
      <c r="B660" s="52" t="str">
        <v>Room Number:</v>
      </c>
      <c r="C660" s="373" t="str">
        <v/>
      </c>
      <c r="D660" s="49"/>
      <c r="E660" s="49"/>
      <c r="F660" s="49"/>
      <c r="G660" s="49"/>
      <c r="H660" s="49"/>
      <c r="I660" s="52" t="str">
        <v>Survey ID:</v>
      </c>
      <c r="J660" s="1045" t="str">
        <v/>
      </c>
      <c r="L660" s="676" t="s">
        <v>411</v>
      </c>
      <c r="M660" s="49"/>
      <c r="N660" s="49"/>
      <c r="O660" s="49"/>
      <c r="P660" s="49"/>
      <c r="Q660" s="49"/>
      <c r="R660" s="49"/>
      <c r="S660" s="49"/>
      <c r="T660" s="49"/>
      <c r="U660" s="49"/>
      <c r="V660" s="49"/>
      <c r="W660" s="49"/>
      <c r="X660" s="664" t="s">
        <v>411</v>
      </c>
      <c r="Y660" s="457"/>
      <c r="Z660">
        <v>1.3</v>
      </c>
      <c r="AA660">
        <v>0.63</v>
      </c>
      <c r="AB660" s="457"/>
      <c r="AE660"/>
      <c r="AF660"/>
      <c r="AG660"/>
      <c r="AH660"/>
      <c r="AI660"/>
    </row>
    <row r="661" spans="1:35" ht="11.25" customHeight="1">
      <c r="A661" s="611">
        <v>1</v>
      </c>
      <c r="K661" s="131" t="str">
        <f>$F$2</f>
        <v>Medical University of South Carolina</v>
      </c>
      <c r="L661" s="676" t="s">
        <v>411</v>
      </c>
      <c r="W661" s="131" t="str">
        <f>$F$2</f>
        <v>Medical University of South Carolina</v>
      </c>
      <c r="X661" s="664" t="s">
        <v>411</v>
      </c>
      <c r="Z661">
        <v>2.1</v>
      </c>
      <c r="AA661">
        <v>0.71</v>
      </c>
      <c r="AE661"/>
      <c r="AF661"/>
      <c r="AG661"/>
      <c r="AH661"/>
      <c r="AI661"/>
    </row>
    <row r="662" spans="1:35" ht="11.25" customHeight="1">
      <c r="A662" s="611">
        <v>2</v>
      </c>
      <c r="F662" s="82" t="str">
        <f>$F$464</f>
        <v>Measurement Data</v>
      </c>
      <c r="K662" s="132" t="str">
        <f>$F$5</f>
        <v>Radiographic System Compliance Inspection</v>
      </c>
      <c r="L662" s="676" t="s">
        <v>411</v>
      </c>
      <c r="Q662" s="82" t="str">
        <f>$F$464</f>
        <v>Measurement Data</v>
      </c>
      <c r="W662" s="132" t="str">
        <f>$F$5</f>
        <v>Radiographic System Compliance Inspection</v>
      </c>
      <c r="X662" s="664" t="s">
        <v>411</v>
      </c>
      <c r="Z662">
        <v>2.2000000000000002</v>
      </c>
      <c r="AA662">
        <v>0.8</v>
      </c>
      <c r="AE662"/>
      <c r="AF662"/>
      <c r="AG662"/>
      <c r="AH662"/>
      <c r="AI662"/>
    </row>
    <row r="663" spans="1:35" ht="11.25" customHeight="1" thickBot="1">
      <c r="A663" s="611">
        <v>3</v>
      </c>
      <c r="L663" s="676" t="s">
        <v>411</v>
      </c>
      <c r="X663" s="664" t="s">
        <v>411</v>
      </c>
      <c r="Z663">
        <v>2.2999999999999998</v>
      </c>
      <c r="AA663">
        <v>0.9</v>
      </c>
      <c r="AE663"/>
      <c r="AF663"/>
      <c r="AG663"/>
      <c r="AH663"/>
      <c r="AI663"/>
    </row>
    <row r="664" spans="1:35" ht="11.25" customHeight="1" thickTop="1">
      <c r="A664" s="611">
        <v>4</v>
      </c>
      <c r="F664" s="190" t="s">
        <v>508</v>
      </c>
      <c r="L664" s="676" t="s">
        <v>411</v>
      </c>
      <c r="M664" s="79"/>
      <c r="N664" s="62"/>
      <c r="O664" s="62"/>
      <c r="P664" s="62"/>
      <c r="Q664" s="62"/>
      <c r="R664" s="62"/>
      <c r="S664" s="62"/>
      <c r="T664" s="62"/>
      <c r="U664" s="62"/>
      <c r="V664" s="62"/>
      <c r="W664" s="80"/>
      <c r="X664" s="664" t="s">
        <v>411</v>
      </c>
      <c r="Z664">
        <v>3.1</v>
      </c>
      <c r="AA664">
        <v>1</v>
      </c>
      <c r="AE664"/>
      <c r="AF664"/>
      <c r="AG664"/>
      <c r="AH664"/>
      <c r="AI664"/>
    </row>
    <row r="665" spans="1:35" ht="11.25" customHeight="1" thickBot="1">
      <c r="A665" s="611">
        <v>5</v>
      </c>
      <c r="F665" s="257"/>
      <c r="L665" s="676" t="s">
        <v>411</v>
      </c>
      <c r="M665" s="127"/>
      <c r="Q665" s="257" t="s">
        <v>492</v>
      </c>
      <c r="V665" s="4" t="s">
        <v>668</v>
      </c>
      <c r="W665" s="451" t="s">
        <v>669</v>
      </c>
      <c r="X665" s="664" t="s">
        <v>411</v>
      </c>
      <c r="Z665">
        <v>3.2</v>
      </c>
      <c r="AA665">
        <v>1.1200000000000001</v>
      </c>
      <c r="AE665"/>
      <c r="AF665"/>
      <c r="AG665"/>
      <c r="AH665"/>
      <c r="AI665"/>
    </row>
    <row r="666" spans="1:35" ht="11.25" customHeight="1" thickTop="1">
      <c r="A666" s="611">
        <v>6</v>
      </c>
      <c r="B666" s="79"/>
      <c r="C666" s="62"/>
      <c r="D666" s="62"/>
      <c r="E666" s="62"/>
      <c r="F666" s="62"/>
      <c r="G666" s="62"/>
      <c r="H666" s="62"/>
      <c r="I666" s="62"/>
      <c r="J666" s="62"/>
      <c r="K666" s="80"/>
      <c r="L666" s="676" t="s">
        <v>411</v>
      </c>
      <c r="M666" s="191" t="s">
        <v>655</v>
      </c>
      <c r="N666" s="109"/>
      <c r="O666" s="1"/>
      <c r="P666" s="1"/>
      <c r="Q666" s="50"/>
      <c r="R666" s="1"/>
      <c r="S666" s="1"/>
      <c r="T666" s="1"/>
      <c r="U666" s="4" t="s">
        <v>567</v>
      </c>
      <c r="V666" s="4" t="s">
        <v>670</v>
      </c>
      <c r="W666" s="451" t="s">
        <v>670</v>
      </c>
      <c r="X666" s="664" t="s">
        <v>411</v>
      </c>
      <c r="Z666">
        <v>3.3</v>
      </c>
      <c r="AA666">
        <v>1.25</v>
      </c>
      <c r="AE666"/>
      <c r="AF666"/>
      <c r="AG666"/>
      <c r="AH666"/>
      <c r="AI666"/>
    </row>
    <row r="667" spans="1:35" ht="11.25" customHeight="1">
      <c r="A667" s="611">
        <v>7</v>
      </c>
      <c r="B667" s="191" t="s">
        <v>655</v>
      </c>
      <c r="C667" s="109"/>
      <c r="D667" s="1"/>
      <c r="E667" s="1"/>
      <c r="F667" s="1"/>
      <c r="G667" s="1"/>
      <c r="H667" s="1"/>
      <c r="I667" s="1"/>
      <c r="J667" s="1"/>
      <c r="K667" s="71"/>
      <c r="L667" s="676" t="s">
        <v>411</v>
      </c>
      <c r="M667" s="213" t="str">
        <f>$S$37</f>
        <v>Large:</v>
      </c>
      <c r="N667" s="785" t="str">
        <f>IF($U$54="","?Tube #?",IF(ISNA(MATCH($U$54,$U$59:$U$65,0)),IF(ISNA(MATCH($U$54,$V$59:$V$65,0)),"?Tube #?",$T$37),$T$24))</f>
        <v/>
      </c>
      <c r="O667" s="3" t="s">
        <v>671</v>
      </c>
      <c r="P667" s="1156" t="s">
        <v>467</v>
      </c>
      <c r="R667" s="919"/>
      <c r="S667" s="1"/>
      <c r="T667" s="1"/>
      <c r="U667" s="4" t="s">
        <v>672</v>
      </c>
      <c r="V667" s="4" t="s">
        <v>672</v>
      </c>
      <c r="W667" s="451" t="s">
        <v>672</v>
      </c>
      <c r="X667" s="664" t="s">
        <v>411</v>
      </c>
      <c r="Z667">
        <v>4.0999999999999996</v>
      </c>
      <c r="AA667">
        <v>1.4</v>
      </c>
      <c r="AE667"/>
      <c r="AF667"/>
      <c r="AG667"/>
      <c r="AH667"/>
      <c r="AI667"/>
    </row>
    <row r="668" spans="1:35" ht="11.25" customHeight="1" thickBot="1">
      <c r="A668" s="611">
        <v>8</v>
      </c>
      <c r="B668" s="127"/>
      <c r="J668" s="4" t="s">
        <v>668</v>
      </c>
      <c r="K668" s="451" t="s">
        <v>669</v>
      </c>
      <c r="L668" s="676" t="s">
        <v>411</v>
      </c>
      <c r="M668" s="45"/>
      <c r="O668" s="27" t="s">
        <v>465</v>
      </c>
      <c r="P668" s="827" t="str">
        <f>IF(LFMAS="",AB155,LFMAS)</f>
        <v>mA</v>
      </c>
      <c r="Q668" s="27" t="s">
        <v>673</v>
      </c>
      <c r="R668" s="27" t="s">
        <v>674</v>
      </c>
      <c r="S668" s="27" t="s">
        <v>675</v>
      </c>
      <c r="T668" s="260" t="s">
        <v>676</v>
      </c>
      <c r="U668" s="6" t="s">
        <v>677</v>
      </c>
      <c r="V668" s="6" t="s">
        <v>677</v>
      </c>
      <c r="W668" s="23" t="s">
        <v>677</v>
      </c>
      <c r="X668" s="664" t="s">
        <v>411</v>
      </c>
      <c r="Z668">
        <v>4.2</v>
      </c>
      <c r="AA668">
        <v>1.6</v>
      </c>
      <c r="AE668"/>
      <c r="AF668"/>
      <c r="AG668"/>
      <c r="AH668"/>
      <c r="AI668"/>
    </row>
    <row r="669" spans="1:35" ht="11.25" customHeight="1">
      <c r="A669" s="611">
        <v>9</v>
      </c>
      <c r="B669" s="213" t="str">
        <f>IF(M667="","",M667)</f>
        <v>Large:</v>
      </c>
      <c r="C669" s="2" t="str">
        <f>IF(N667="","",N667)</f>
        <v/>
      </c>
      <c r="D669" s="3" t="str">
        <f>IF(O667="","",O667)</f>
        <v>mm</v>
      </c>
      <c r="E669" s="1"/>
      <c r="F669" s="1"/>
      <c r="G669" s="1"/>
      <c r="H669" s="1"/>
      <c r="I669" s="4" t="s">
        <v>567</v>
      </c>
      <c r="J669" s="4" t="s">
        <v>670</v>
      </c>
      <c r="K669" s="451" t="s">
        <v>670</v>
      </c>
      <c r="L669" s="676" t="s">
        <v>411</v>
      </c>
      <c r="M669" s="45"/>
      <c r="O669" s="825" t="str">
        <f>IF(O670&lt;&gt;"",O670,IF(OR(AB156=0,AB156=""),"",AB156))</f>
        <v/>
      </c>
      <c r="P669" s="825" t="str">
        <f>IF(P670&lt;&gt;"",P670,IF(OR(AB157=0,AB157=""),"",AB157))</f>
        <v/>
      </c>
      <c r="Q669" s="826" t="str">
        <f>IF(Q670&lt;&gt;"",Q670,IF(OR(AB158=0,AB158=""),"",AB158))</f>
        <v/>
      </c>
      <c r="R669" s="827" t="str">
        <f>IF(R670&lt;&gt;"",R670,IF(OR(AB159=0,AB159=""),"",AB159))</f>
        <v/>
      </c>
      <c r="S669" s="827" t="str">
        <f>IF(S670&lt;&gt;"",S670,IF(OR(AB160=0,AB160=""),"",AB160))</f>
        <v/>
      </c>
      <c r="T669" s="786" t="str">
        <f>IF(OR(R669="",R669=0,S669="",S669=0),"",R669/(R669-S669))</f>
        <v/>
      </c>
      <c r="U669" s="620"/>
      <c r="V669" s="828" t="str">
        <f>IF(OR(AB162=0,AB162=""),"",AB162)</f>
        <v/>
      </c>
      <c r="W669" s="829" t="str">
        <f>IF(OR(AB163=0,AB163=""),"",AB163)</f>
        <v/>
      </c>
      <c r="X669" s="664" t="s">
        <v>411</v>
      </c>
      <c r="Z669">
        <v>4.3</v>
      </c>
      <c r="AA669">
        <v>1.8</v>
      </c>
      <c r="AE669"/>
      <c r="AF669"/>
      <c r="AG669"/>
      <c r="AH669"/>
      <c r="AI669"/>
    </row>
    <row r="670" spans="1:35" ht="11.25" customHeight="1">
      <c r="A670" s="611">
        <v>10</v>
      </c>
      <c r="B670" s="45"/>
      <c r="C670" s="1"/>
      <c r="D670" s="1"/>
      <c r="E670" s="1"/>
      <c r="F670" s="1"/>
      <c r="G670" s="1"/>
      <c r="H670" s="1"/>
      <c r="I670" s="4" t="s">
        <v>672</v>
      </c>
      <c r="J670" s="4" t="s">
        <v>672</v>
      </c>
      <c r="K670" s="451" t="s">
        <v>672</v>
      </c>
      <c r="L670" s="676" t="s">
        <v>411</v>
      </c>
      <c r="M670" s="725"/>
      <c r="N670" s="717" t="s">
        <v>678</v>
      </c>
      <c r="O670" s="697"/>
      <c r="P670" s="697"/>
      <c r="Q670" s="698"/>
      <c r="R670" s="699"/>
      <c r="S670" s="699"/>
      <c r="V670" s="1"/>
      <c r="W670" s="39"/>
      <c r="X670" s="664" t="s">
        <v>411</v>
      </c>
      <c r="Z670">
        <v>5.0999999999999996</v>
      </c>
      <c r="AA670">
        <v>2</v>
      </c>
      <c r="AE670"/>
      <c r="AF670"/>
      <c r="AG670"/>
      <c r="AH670"/>
      <c r="AI670"/>
    </row>
    <row r="671" spans="1:35" ht="11.25" customHeight="1" thickBot="1">
      <c r="A671" s="611">
        <v>11</v>
      </c>
      <c r="B671" s="45"/>
      <c r="C671" s="27" t="s">
        <v>465</v>
      </c>
      <c r="D671" s="27" t="str">
        <f>IF(LFMAS="","mA/mAs",LFMAS)</f>
        <v>mA</v>
      </c>
      <c r="E671" s="27" t="s">
        <v>673</v>
      </c>
      <c r="F671" s="27" t="s">
        <v>674</v>
      </c>
      <c r="G671" s="27" t="s">
        <v>675</v>
      </c>
      <c r="H671" s="260" t="s">
        <v>676</v>
      </c>
      <c r="I671" s="6" t="s">
        <v>677</v>
      </c>
      <c r="J671" s="6" t="s">
        <v>677</v>
      </c>
      <c r="K671" s="23" t="s">
        <v>677</v>
      </c>
      <c r="L671" s="676" t="s">
        <v>411</v>
      </c>
      <c r="M671" s="127"/>
      <c r="P671" s="1"/>
      <c r="Q671" s="50"/>
      <c r="R671" s="1"/>
      <c r="S671" s="1"/>
      <c r="U671" s="4" t="s">
        <v>567</v>
      </c>
      <c r="V671" s="4" t="s">
        <v>670</v>
      </c>
      <c r="W671" s="451" t="s">
        <v>670</v>
      </c>
      <c r="X671" s="664" t="s">
        <v>411</v>
      </c>
      <c r="Z671">
        <v>5.2</v>
      </c>
      <c r="AA671">
        <v>2.2400000000000002</v>
      </c>
      <c r="AE671"/>
      <c r="AF671"/>
      <c r="AG671"/>
      <c r="AH671"/>
      <c r="AI671"/>
    </row>
    <row r="672" spans="1:35" ht="11.25" customHeight="1">
      <c r="A672" s="611">
        <v>12</v>
      </c>
      <c r="B672" s="45"/>
      <c r="C672" s="21" t="str">
        <f t="shared" ref="C672:K672" si="90">IF(O669="","",O669)</f>
        <v/>
      </c>
      <c r="D672" s="21" t="str">
        <f t="shared" si="90"/>
        <v/>
      </c>
      <c r="E672" s="22" t="str">
        <f t="shared" si="90"/>
        <v/>
      </c>
      <c r="F672" s="21" t="str">
        <f t="shared" si="90"/>
        <v/>
      </c>
      <c r="G672" s="21" t="str">
        <f t="shared" si="90"/>
        <v/>
      </c>
      <c r="H672" s="22" t="str">
        <f t="shared" si="90"/>
        <v/>
      </c>
      <c r="I672" s="21" t="str">
        <f t="shared" si="90"/>
        <v/>
      </c>
      <c r="J672" s="8" t="str">
        <f t="shared" si="90"/>
        <v/>
      </c>
      <c r="K672" s="452" t="str">
        <f t="shared" si="90"/>
        <v/>
      </c>
      <c r="L672" s="676" t="s">
        <v>411</v>
      </c>
      <c r="M672" s="213" t="str">
        <f>IF($U$54="","Small:",IF(ISNA(MATCH($U$54,$U$59:$U$65,0)),IF(ISNA(MATCH($U$54,$V$59:$V$65,0)),"Small:",IF($T$39="",$S$38,$S$39)),IF($T$26="",$S$25,$S$26)))</f>
        <v>Small:</v>
      </c>
      <c r="N672" s="785" t="str">
        <f>IF($U$54="","?Tube #?",IF(ISNA(MATCH($U$54,$U$59:$U$65,0)),IF(ISNA(MATCH($U$54,$V$59:$V$65,0)),"?Tube #?",IF($T$39="",$T$38,$T$39)),IF($T$26="",$T$25,$T$26)))</f>
        <v/>
      </c>
      <c r="O672" s="3" t="s">
        <v>671</v>
      </c>
      <c r="P672" s="1156" t="s">
        <v>467</v>
      </c>
      <c r="R672" s="919"/>
      <c r="S672" s="1"/>
      <c r="U672" s="4" t="s">
        <v>672</v>
      </c>
      <c r="V672" s="4" t="s">
        <v>672</v>
      </c>
      <c r="W672" s="451" t="s">
        <v>672</v>
      </c>
      <c r="X672" s="664" t="s">
        <v>411</v>
      </c>
      <c r="Z672">
        <v>5.3</v>
      </c>
      <c r="AA672">
        <v>2.5</v>
      </c>
      <c r="AE672"/>
      <c r="AF672"/>
      <c r="AG672"/>
      <c r="AH672"/>
      <c r="AI672"/>
    </row>
    <row r="673" spans="1:35" ht="11.25" customHeight="1" thickBot="1">
      <c r="A673" s="611">
        <v>13</v>
      </c>
      <c r="B673" s="45"/>
      <c r="C673" s="1"/>
      <c r="D673" s="1"/>
      <c r="E673" s="1"/>
      <c r="F673" s="1"/>
      <c r="G673" s="1"/>
      <c r="H673" s="1"/>
      <c r="I673" s="1"/>
      <c r="J673" s="1"/>
      <c r="K673" s="39"/>
      <c r="L673" s="676" t="s">
        <v>411</v>
      </c>
      <c r="M673" s="127"/>
      <c r="O673" s="27" t="s">
        <v>465</v>
      </c>
      <c r="P673" s="827" t="str">
        <f>IF(SFMAS="",AB165,SFMAS)</f>
        <v>mA</v>
      </c>
      <c r="Q673" s="27" t="s">
        <v>673</v>
      </c>
      <c r="R673" s="27" t="s">
        <v>674</v>
      </c>
      <c r="S673" s="27" t="s">
        <v>675</v>
      </c>
      <c r="T673" s="260" t="s">
        <v>676</v>
      </c>
      <c r="U673" s="6" t="s">
        <v>677</v>
      </c>
      <c r="V673" s="6" t="s">
        <v>677</v>
      </c>
      <c r="W673" s="23" t="s">
        <v>677</v>
      </c>
      <c r="X673" s="664" t="s">
        <v>411</v>
      </c>
      <c r="Z673">
        <v>6.1</v>
      </c>
      <c r="AA673">
        <v>2.8</v>
      </c>
      <c r="AE673"/>
      <c r="AF673"/>
      <c r="AG673"/>
      <c r="AH673"/>
      <c r="AI673"/>
    </row>
    <row r="674" spans="1:35" ht="11.25" customHeight="1">
      <c r="A674" s="611">
        <v>14</v>
      </c>
      <c r="B674" s="213" t="str">
        <f>IF(M672="","",M672)</f>
        <v>Small:</v>
      </c>
      <c r="C674" s="2" t="str">
        <f>IF(N672="","",N672)</f>
        <v/>
      </c>
      <c r="D674" s="3" t="str">
        <f>IF(O672="","",O672)</f>
        <v>mm</v>
      </c>
      <c r="E674" s="1"/>
      <c r="F674" s="1"/>
      <c r="G674" s="1"/>
      <c r="H674" s="1"/>
      <c r="I674" s="4" t="s">
        <v>567</v>
      </c>
      <c r="J674" s="4" t="s">
        <v>670</v>
      </c>
      <c r="K674" s="451" t="s">
        <v>670</v>
      </c>
      <c r="L674" s="676" t="s">
        <v>411</v>
      </c>
      <c r="M674" s="45"/>
      <c r="O674" s="825" t="str">
        <f>IF(O675&lt;&gt;"",O675,IF(OR(AB166=0,AB166=""),"",AB166))</f>
        <v/>
      </c>
      <c r="P674" s="825" t="str">
        <f>IF(P675&lt;&gt;"",P675,IF(OR(AB167=0,AB167=""),"",AB167))</f>
        <v/>
      </c>
      <c r="Q674" s="826" t="str">
        <f>IF(Q675&lt;&gt;"",Q675,IF(OR(AB168=0,AB168=""),"",AB168))</f>
        <v/>
      </c>
      <c r="R674" s="827" t="str">
        <f>IF(R675&lt;&gt;"",R675,IF(OR(AB169=0,AB169=""),"",AB169))</f>
        <v/>
      </c>
      <c r="S674" s="827" t="str">
        <f>IF(S675&lt;&gt;"",S675,IF(OR(AB170=0,AB170=""),"",AB170))</f>
        <v/>
      </c>
      <c r="T674" s="786" t="str">
        <f>IF(OR(R674="",R674=0,S674="",S674=0),"",R674/(R674-S674))</f>
        <v/>
      </c>
      <c r="U674" s="620"/>
      <c r="V674" s="828" t="str">
        <f>IF(OR(AB172=0,AB172=""),"",AB172)</f>
        <v/>
      </c>
      <c r="W674" s="829" t="str">
        <f>IF(OR(AB173=0,AB173=""),"",AB173)</f>
        <v/>
      </c>
      <c r="X674" s="664" t="s">
        <v>411</v>
      </c>
      <c r="Z674">
        <v>6.2</v>
      </c>
      <c r="AA674">
        <v>3.15</v>
      </c>
      <c r="AE674"/>
      <c r="AF674"/>
      <c r="AG674"/>
      <c r="AH674"/>
      <c r="AI674"/>
    </row>
    <row r="675" spans="1:35" ht="11.25" customHeight="1">
      <c r="A675" s="611">
        <v>15</v>
      </c>
      <c r="B675" s="45"/>
      <c r="C675" s="1"/>
      <c r="D675" s="1"/>
      <c r="E675" s="1"/>
      <c r="F675" s="1"/>
      <c r="G675" s="1"/>
      <c r="H675" s="1"/>
      <c r="I675" s="4" t="s">
        <v>672</v>
      </c>
      <c r="J675" s="4" t="s">
        <v>672</v>
      </c>
      <c r="K675" s="451" t="s">
        <v>672</v>
      </c>
      <c r="L675" s="676" t="s">
        <v>411</v>
      </c>
      <c r="M675" s="725"/>
      <c r="N675" s="717" t="s">
        <v>678</v>
      </c>
      <c r="O675" s="697"/>
      <c r="P675" s="697"/>
      <c r="Q675" s="698"/>
      <c r="R675" s="699"/>
      <c r="S675" s="699"/>
      <c r="T675" s="1"/>
      <c r="U675" s="1"/>
      <c r="V675" s="1"/>
      <c r="W675" s="39"/>
      <c r="X675" s="664" t="s">
        <v>411</v>
      </c>
      <c r="Z675">
        <v>6.3</v>
      </c>
      <c r="AA675">
        <v>3.55</v>
      </c>
      <c r="AE675"/>
      <c r="AF675"/>
      <c r="AG675"/>
      <c r="AH675"/>
      <c r="AI675"/>
    </row>
    <row r="676" spans="1:35" ht="11.25" customHeight="1" thickBot="1">
      <c r="A676" s="611">
        <v>16</v>
      </c>
      <c r="B676" s="45"/>
      <c r="C676" s="27" t="s">
        <v>465</v>
      </c>
      <c r="D676" s="27" t="str">
        <f>IF(SFMAS="","mA/mAs",SFMAS)</f>
        <v>mA</v>
      </c>
      <c r="E676" s="27" t="s">
        <v>673</v>
      </c>
      <c r="F676" s="27" t="s">
        <v>674</v>
      </c>
      <c r="G676" s="27" t="s">
        <v>675</v>
      </c>
      <c r="H676" s="260" t="s">
        <v>676</v>
      </c>
      <c r="I676" s="6" t="s">
        <v>677</v>
      </c>
      <c r="J676" s="6" t="s">
        <v>677</v>
      </c>
      <c r="K676" s="23" t="s">
        <v>677</v>
      </c>
      <c r="L676" s="676" t="s">
        <v>411</v>
      </c>
      <c r="M676" s="45"/>
      <c r="O676" s="3" t="s">
        <v>679</v>
      </c>
      <c r="P676" s="1"/>
      <c r="Q676" s="1"/>
      <c r="R676" s="1"/>
      <c r="S676" s="1"/>
      <c r="T676" s="1"/>
      <c r="U676" s="1"/>
      <c r="V676" s="1"/>
      <c r="W676" s="39"/>
      <c r="X676" s="664" t="s">
        <v>411</v>
      </c>
      <c r="Z676">
        <v>7.1</v>
      </c>
      <c r="AA676">
        <v>4</v>
      </c>
      <c r="AE676"/>
      <c r="AF676"/>
      <c r="AG676"/>
      <c r="AH676"/>
      <c r="AI676"/>
    </row>
    <row r="677" spans="1:35" ht="11.25" customHeight="1">
      <c r="A677" s="611">
        <v>17</v>
      </c>
      <c r="B677" s="45"/>
      <c r="C677" s="21" t="str">
        <f t="shared" ref="C677:K677" si="91">IF(O674="","",O674)</f>
        <v/>
      </c>
      <c r="D677" s="21" t="str">
        <f t="shared" si="91"/>
        <v/>
      </c>
      <c r="E677" s="22" t="str">
        <f t="shared" si="91"/>
        <v/>
      </c>
      <c r="F677" s="21" t="str">
        <f t="shared" si="91"/>
        <v/>
      </c>
      <c r="G677" s="21" t="str">
        <f t="shared" si="91"/>
        <v/>
      </c>
      <c r="H677" s="22" t="str">
        <f t="shared" si="91"/>
        <v/>
      </c>
      <c r="I677" s="21" t="str">
        <f t="shared" si="91"/>
        <v/>
      </c>
      <c r="J677" s="8" t="str">
        <f t="shared" si="91"/>
        <v/>
      </c>
      <c r="K677" s="452" t="str">
        <f t="shared" si="91"/>
        <v/>
      </c>
      <c r="L677" s="676" t="s">
        <v>411</v>
      </c>
      <c r="M677" s="213"/>
      <c r="O677" s="3" t="s">
        <v>680</v>
      </c>
      <c r="W677" s="39"/>
      <c r="X677" s="664" t="s">
        <v>411</v>
      </c>
      <c r="Z677">
        <v>7.2</v>
      </c>
      <c r="AA677">
        <v>4.5</v>
      </c>
      <c r="AE677"/>
      <c r="AF677"/>
      <c r="AG677"/>
      <c r="AH677"/>
      <c r="AI677"/>
    </row>
    <row r="678" spans="1:35" ht="11.25" customHeight="1" thickBot="1">
      <c r="A678" s="611">
        <v>18</v>
      </c>
      <c r="B678" s="45"/>
      <c r="C678" s="3" t="s">
        <v>679</v>
      </c>
      <c r="D678" s="1"/>
      <c r="E678" s="1"/>
      <c r="F678" s="1"/>
      <c r="G678" s="1"/>
      <c r="H678" s="1"/>
      <c r="I678" s="1"/>
      <c r="J678" s="1"/>
      <c r="K678" s="71"/>
      <c r="L678" s="676" t="s">
        <v>411</v>
      </c>
      <c r="M678" s="202" t="s">
        <v>417</v>
      </c>
      <c r="W678" s="39"/>
      <c r="X678" s="664" t="s">
        <v>411</v>
      </c>
      <c r="Z678">
        <v>7.3</v>
      </c>
      <c r="AA678">
        <v>5</v>
      </c>
      <c r="AE678"/>
      <c r="AF678"/>
      <c r="AG678"/>
      <c r="AH678"/>
      <c r="AI678"/>
    </row>
    <row r="679" spans="1:35" ht="11.25" customHeight="1" thickBot="1">
      <c r="A679" s="611">
        <v>19</v>
      </c>
      <c r="B679" s="213"/>
      <c r="C679" s="3" t="s">
        <v>680</v>
      </c>
      <c r="D679" s="1"/>
      <c r="E679" s="1"/>
      <c r="F679" s="1"/>
      <c r="G679" s="1"/>
      <c r="H679" s="1"/>
      <c r="I679" s="42" t="s">
        <v>569</v>
      </c>
      <c r="J679" s="141" t="str">
        <f>IF($M679="","TBD",IF($M679=1,"YES",IF($M679=2,"NO","NA")))</f>
        <v>NA</v>
      </c>
      <c r="K679" s="71"/>
      <c r="L679" s="676" t="s">
        <v>411</v>
      </c>
      <c r="M679" s="617">
        <v>3</v>
      </c>
      <c r="N679" s="685" t="s">
        <v>493</v>
      </c>
      <c r="O679" s="50"/>
      <c r="W679" s="71"/>
      <c r="X679" s="664" t="s">
        <v>411</v>
      </c>
    </row>
    <row r="680" spans="1:35" ht="11.25" customHeight="1">
      <c r="A680" s="611">
        <v>20</v>
      </c>
      <c r="B680" s="127"/>
      <c r="K680" s="71"/>
      <c r="L680" s="676" t="s">
        <v>411</v>
      </c>
      <c r="M680" s="127"/>
      <c r="O680" s="132" t="s">
        <v>570</v>
      </c>
      <c r="P680" s="100" t="s">
        <v>681</v>
      </c>
      <c r="W680" s="71"/>
      <c r="X680" s="664" t="s">
        <v>411</v>
      </c>
    </row>
    <row r="681" spans="1:35" ht="11.25" customHeight="1">
      <c r="A681" s="611">
        <v>21</v>
      </c>
      <c r="B681" s="127"/>
      <c r="C681" s="132" t="s">
        <v>570</v>
      </c>
      <c r="D681" s="100" t="s">
        <v>681</v>
      </c>
      <c r="K681" s="71"/>
      <c r="L681" s="676" t="s">
        <v>411</v>
      </c>
      <c r="M681" s="127"/>
      <c r="W681" s="71"/>
      <c r="X681" s="664" t="s">
        <v>411</v>
      </c>
    </row>
    <row r="682" spans="1:35" ht="11.25" customHeight="1">
      <c r="A682" s="611">
        <v>22</v>
      </c>
      <c r="B682" s="127"/>
      <c r="K682" s="71"/>
      <c r="L682" s="676" t="s">
        <v>411</v>
      </c>
      <c r="M682" s="127"/>
      <c r="W682" s="71"/>
      <c r="X682" s="664" t="s">
        <v>411</v>
      </c>
      <c r="AI682"/>
    </row>
    <row r="683" spans="1:35" ht="11.25" customHeight="1">
      <c r="A683" s="611">
        <v>23</v>
      </c>
      <c r="B683" s="102" t="s">
        <v>552</v>
      </c>
      <c r="C683" s="922" t="str">
        <f>IF(O683="","",IF(LEN(O683)&lt;=135,O683,IF(LEN(O683)&lt;=260,LEFT(O683,SEARCH(" ",O683,125)),LEFT(O683,SEARCH(" ",O683,130)))))</f>
        <v/>
      </c>
      <c r="D683" s="2"/>
      <c r="E683" s="2"/>
      <c r="F683" s="2"/>
      <c r="G683" s="2"/>
      <c r="H683" s="2"/>
      <c r="I683" s="2"/>
      <c r="J683" s="2"/>
      <c r="K683" s="71"/>
      <c r="L683" s="676" t="s">
        <v>411</v>
      </c>
      <c r="M683" s="127"/>
      <c r="N683" s="577" t="s">
        <v>552</v>
      </c>
      <c r="O683" s="713" t="str">
        <f>IF(O685&lt;&gt;"",O685,IF(OR(AB439=0,AB439=""),"",AB439))</f>
        <v/>
      </c>
      <c r="P683" s="48"/>
      <c r="Q683" s="2"/>
      <c r="R683" s="2"/>
      <c r="S683" s="2"/>
      <c r="T683" s="2"/>
      <c r="U683" s="2"/>
      <c r="V683" s="2"/>
      <c r="W683" s="31"/>
      <c r="X683" s="664" t="s">
        <v>411</v>
      </c>
      <c r="AI683"/>
    </row>
    <row r="684" spans="1:35" ht="11.25" customHeight="1">
      <c r="A684" s="611">
        <v>24</v>
      </c>
      <c r="B684" s="45"/>
      <c r="C684" s="923" t="str">
        <f>IF(LEN(O683)&lt;=135,"",IF(LEN(O683)&lt;=260,RIGHT(O683,LEN(O683)-SEARCH(" ",O683,125)),MID(O683,SEARCH(" ",O683,130),IF(LEN(O683)&lt;=265,LEN(O683),SEARCH(" ",O683,255)-SEARCH(" ",O683,130)))))</f>
        <v/>
      </c>
      <c r="D684" s="2"/>
      <c r="E684" s="2"/>
      <c r="F684" s="2"/>
      <c r="G684" s="2"/>
      <c r="H684" s="2"/>
      <c r="I684" s="2"/>
      <c r="J684" s="2"/>
      <c r="K684" s="71"/>
      <c r="L684" s="676" t="s">
        <v>411</v>
      </c>
      <c r="M684" s="85"/>
      <c r="N684" s="609" t="s">
        <v>282</v>
      </c>
      <c r="O684" s="59"/>
      <c r="P684" s="921">
        <f>LEN(O683)</f>
        <v>0</v>
      </c>
      <c r="Q684" s="11"/>
      <c r="R684" s="11"/>
      <c r="S684" s="11"/>
      <c r="T684" s="11"/>
      <c r="U684" s="11"/>
      <c r="V684" s="11"/>
      <c r="W684" s="214"/>
      <c r="X684" s="664" t="s">
        <v>411</v>
      </c>
      <c r="AE684"/>
      <c r="AF684"/>
      <c r="AG684"/>
      <c r="AH684"/>
      <c r="AI684"/>
    </row>
    <row r="685" spans="1:35" ht="11.25" customHeight="1">
      <c r="A685" s="611">
        <v>25</v>
      </c>
      <c r="B685" s="45"/>
      <c r="C685" s="922" t="str">
        <f>IF(LEN(O683)&lt;=265,"",RIGHT(O683,LEN(O683)-SEARCH(" ",O683,255)))</f>
        <v/>
      </c>
      <c r="D685" s="2"/>
      <c r="E685" s="2"/>
      <c r="F685" s="2"/>
      <c r="G685" s="2"/>
      <c r="H685" s="2"/>
      <c r="I685" s="2"/>
      <c r="J685" s="2"/>
      <c r="K685" s="71"/>
      <c r="L685" s="676" t="s">
        <v>411</v>
      </c>
      <c r="M685" s="66"/>
      <c r="N685" s="1024" t="s">
        <v>619</v>
      </c>
      <c r="O685" s="1026"/>
      <c r="W685" s="71"/>
      <c r="X685" s="664" t="s">
        <v>411</v>
      </c>
      <c r="AE685"/>
      <c r="AF685"/>
      <c r="AG685"/>
      <c r="AH685"/>
      <c r="AI685"/>
    </row>
    <row r="686" spans="1:35" ht="11.25" customHeight="1" thickBot="1">
      <c r="A686" s="611">
        <v>26</v>
      </c>
      <c r="B686" s="98"/>
      <c r="C686" s="83"/>
      <c r="D686" s="83"/>
      <c r="E686" s="83"/>
      <c r="F686" s="83"/>
      <c r="G686" s="83"/>
      <c r="H686" s="83"/>
      <c r="I686" s="83"/>
      <c r="J686" s="83"/>
      <c r="K686" s="86"/>
      <c r="L686" s="676" t="s">
        <v>411</v>
      </c>
      <c r="M686" s="127"/>
      <c r="R686" s="257" t="s">
        <v>682</v>
      </c>
      <c r="W686" s="71"/>
      <c r="X686" s="664" t="s">
        <v>411</v>
      </c>
      <c r="Y686" s="49" t="s">
        <v>1158</v>
      </c>
      <c r="Z686" s="49"/>
      <c r="AE686"/>
      <c r="AF686"/>
      <c r="AG686"/>
      <c r="AH686"/>
      <c r="AI686"/>
    </row>
    <row r="687" spans="1:35" ht="11.25" customHeight="1" thickTop="1">
      <c r="A687" s="611">
        <v>27</v>
      </c>
      <c r="L687" s="676" t="s">
        <v>411</v>
      </c>
      <c r="M687" s="127"/>
      <c r="N687" s="54" t="s">
        <v>47</v>
      </c>
      <c r="O687" s="787" t="str">
        <f>IF(O688&lt;&gt;"",O688,IF(OR(AB175="",AB175=0),"Unknown",AB175))</f>
        <v>Piranha 1 CB2-17090320</v>
      </c>
      <c r="P687" s="48"/>
      <c r="Q687" s="48"/>
      <c r="R687" s="1139" t="s">
        <v>1104</v>
      </c>
      <c r="S687" s="1140"/>
      <c r="W687" s="71"/>
      <c r="X687" s="664" t="s">
        <v>411</v>
      </c>
      <c r="Y687" s="49" t="s">
        <v>1159</v>
      </c>
      <c r="Z687" s="50" t="s">
        <v>1160</v>
      </c>
      <c r="AE687"/>
      <c r="AF687"/>
      <c r="AG687"/>
      <c r="AH687"/>
      <c r="AI687"/>
    </row>
    <row r="688" spans="1:35" ht="11.25" customHeight="1">
      <c r="A688" s="611">
        <v>28</v>
      </c>
      <c r="L688" s="676" t="s">
        <v>411</v>
      </c>
      <c r="M688" s="127"/>
      <c r="N688" s="1024" t="s">
        <v>50</v>
      </c>
      <c r="O688" s="1111" t="s">
        <v>1160</v>
      </c>
      <c r="R688" s="1139" t="s">
        <v>1109</v>
      </c>
      <c r="S688" s="1141"/>
      <c r="W688" s="71"/>
      <c r="X688" s="664" t="s">
        <v>411</v>
      </c>
      <c r="Y688" s="49" t="s">
        <v>1161</v>
      </c>
      <c r="Z688" s="50" t="s">
        <v>1162</v>
      </c>
      <c r="AE688"/>
      <c r="AF688"/>
      <c r="AG688"/>
      <c r="AH688"/>
      <c r="AI688"/>
    </row>
    <row r="689" spans="1:35" ht="11.25" customHeight="1">
      <c r="A689" s="611">
        <v>29</v>
      </c>
      <c r="F689" s="190" t="s">
        <v>52</v>
      </c>
      <c r="L689" s="676" t="s">
        <v>411</v>
      </c>
      <c r="M689" s="191" t="s">
        <v>53</v>
      </c>
      <c r="N689" s="109"/>
      <c r="O689" s="109"/>
      <c r="P689" s="109"/>
      <c r="Q689" s="1"/>
      <c r="R689" s="1"/>
      <c r="S689" s="1"/>
      <c r="T689" s="1"/>
      <c r="U689" s="1"/>
      <c r="V689" s="1"/>
      <c r="W689" s="39"/>
      <c r="X689" s="664" t="s">
        <v>411</v>
      </c>
      <c r="AE689"/>
      <c r="AF689"/>
      <c r="AG689"/>
      <c r="AH689"/>
      <c r="AI689"/>
    </row>
    <row r="690" spans="1:35" ht="11.25" customHeight="1" thickBot="1">
      <c r="A690" s="611">
        <v>30</v>
      </c>
      <c r="F690" s="257"/>
      <c r="L690" s="676" t="s">
        <v>411</v>
      </c>
      <c r="M690" s="66"/>
      <c r="N690" s="49"/>
      <c r="O690" s="50"/>
      <c r="P690" s="49"/>
      <c r="Q690" s="49"/>
      <c r="R690" s="49"/>
      <c r="S690" s="49"/>
      <c r="T690" s="49"/>
      <c r="U690" s="49"/>
      <c r="V690" s="49"/>
      <c r="W690" s="69"/>
      <c r="X690" s="664" t="s">
        <v>411</v>
      </c>
      <c r="AE690"/>
      <c r="AF690"/>
      <c r="AG690"/>
      <c r="AH690"/>
      <c r="AI690"/>
    </row>
    <row r="691" spans="1:35" ht="11.25" customHeight="1" thickTop="1">
      <c r="A691" s="611">
        <v>31</v>
      </c>
      <c r="B691" s="79"/>
      <c r="C691" s="62"/>
      <c r="D691" s="62"/>
      <c r="E691" s="62"/>
      <c r="F691" s="62"/>
      <c r="G691" s="62"/>
      <c r="H691" s="62"/>
      <c r="I691" s="62"/>
      <c r="J691" s="62"/>
      <c r="K691" s="80"/>
      <c r="L691" s="676" t="s">
        <v>411</v>
      </c>
      <c r="M691" s="66"/>
      <c r="N691" s="49"/>
      <c r="O691" s="49"/>
      <c r="P691" s="49"/>
      <c r="Q691" s="100" t="s">
        <v>54</v>
      </c>
      <c r="R691" s="49"/>
      <c r="T691" s="49"/>
      <c r="U691" s="49"/>
      <c r="V691" s="49"/>
      <c r="W691" s="69"/>
      <c r="X691" s="664" t="s">
        <v>411</v>
      </c>
      <c r="AE691"/>
      <c r="AF691"/>
      <c r="AG691"/>
      <c r="AH691"/>
      <c r="AI691"/>
    </row>
    <row r="692" spans="1:35" ht="11.25" customHeight="1">
      <c r="A692" s="611">
        <v>32</v>
      </c>
      <c r="B692" s="127"/>
      <c r="C692" s="54" t="s">
        <v>47</v>
      </c>
      <c r="D692" s="59" t="str">
        <f>IF($O$687="","",$O$687)</f>
        <v>Piranha 1 CB2-17090320</v>
      </c>
      <c r="E692" s="59"/>
      <c r="F692" s="49"/>
      <c r="G692" s="54" t="s">
        <v>1104</v>
      </c>
      <c r="H692" s="1143" t="str">
        <f>IF(S687="","",S687)</f>
        <v/>
      </c>
      <c r="J692" s="54" t="s">
        <v>1109</v>
      </c>
      <c r="K692" s="1144" t="str">
        <f>IF(S688="","",S688)</f>
        <v/>
      </c>
      <c r="L692" s="676" t="s">
        <v>411</v>
      </c>
      <c r="M692" s="66" t="s">
        <v>55</v>
      </c>
      <c r="N692" s="218" t="s">
        <v>56</v>
      </c>
      <c r="O692" s="218" t="s">
        <v>57</v>
      </c>
      <c r="P692" s="218" t="s">
        <v>58</v>
      </c>
      <c r="Q692" s="49"/>
      <c r="R692" s="218" t="s">
        <v>59</v>
      </c>
      <c r="S692" s="218" t="s">
        <v>60</v>
      </c>
      <c r="T692" s="66"/>
      <c r="U692" s="50" t="s">
        <v>61</v>
      </c>
      <c r="V692" s="49"/>
      <c r="W692" s="69"/>
      <c r="X692" s="664" t="s">
        <v>411</v>
      </c>
      <c r="AE692"/>
      <c r="AF692"/>
      <c r="AG692"/>
      <c r="AH692"/>
      <c r="AI692"/>
    </row>
    <row r="693" spans="1:35" ht="11.25" customHeight="1" thickBot="1">
      <c r="A693" s="611">
        <v>33</v>
      </c>
      <c r="B693" s="127"/>
      <c r="C693" s="1"/>
      <c r="D693" s="1"/>
      <c r="E693" s="1"/>
      <c r="G693" s="1"/>
      <c r="H693" s="1"/>
      <c r="I693" s="1"/>
      <c r="J693" s="1"/>
      <c r="K693" s="71"/>
      <c r="L693" s="676" t="s">
        <v>411</v>
      </c>
      <c r="M693" s="219" t="s">
        <v>62</v>
      </c>
      <c r="N693" s="621" t="s">
        <v>615</v>
      </c>
      <c r="O693" s="138" t="s">
        <v>63</v>
      </c>
      <c r="P693" s="138" t="s">
        <v>48</v>
      </c>
      <c r="Q693" s="138" t="s">
        <v>64</v>
      </c>
      <c r="R693" s="138" t="str">
        <f>IF(AND(LFMAS="",SFMAS=""),"mA/mAs",IF(O694="Large",LFMAS,SFMAS))</f>
        <v>mA</v>
      </c>
      <c r="S693" s="138" t="s">
        <v>65</v>
      </c>
      <c r="T693" s="219" t="s">
        <v>66</v>
      </c>
      <c r="U693" s="138" t="s">
        <v>67</v>
      </c>
      <c r="V693" s="138" t="s">
        <v>65</v>
      </c>
      <c r="W693" s="208" t="s">
        <v>1053</v>
      </c>
      <c r="X693" s="664" t="s">
        <v>411</v>
      </c>
      <c r="AE693"/>
      <c r="AF693"/>
      <c r="AG693"/>
      <c r="AH693"/>
      <c r="AI693"/>
    </row>
    <row r="694" spans="1:35" ht="11.25" customHeight="1">
      <c r="A694" s="611">
        <v>34</v>
      </c>
      <c r="B694" s="191" t="s">
        <v>68</v>
      </c>
      <c r="C694" s="109"/>
      <c r="D694" s="1"/>
      <c r="E694" s="1"/>
      <c r="G694" s="1"/>
      <c r="H694" s="1"/>
      <c r="I694" s="1"/>
      <c r="J694" s="1"/>
      <c r="K694" s="71"/>
      <c r="L694" s="676" t="s">
        <v>411</v>
      </c>
      <c r="M694" s="1208" t="str">
        <f>IF(OR(Q694="",AM688="",AM688=0),"","Delay:"&amp;AM688&amp;"ms")</f>
        <v/>
      </c>
      <c r="N694" s="356">
        <v>100</v>
      </c>
      <c r="O694" s="217" t="str">
        <f>Sheet1!F4</f>
        <v>Large</v>
      </c>
      <c r="P694" s="1206"/>
      <c r="Q694" s="216">
        <f>Sheet1!A4</f>
        <v>60</v>
      </c>
      <c r="R694" s="426" cm="1">
        <f t="array" ref="R694">_xlfn.SWITCH(LFMAS,"mA",Sheet1!B4,"mAs",Sheet1!C4)</f>
        <v>400</v>
      </c>
      <c r="S694" s="221" cm="1">
        <f t="array" ref="S694">_xlfn.SWITCH(LFMAS,"mA",Sheet1!D4,"mAs","")</f>
        <v>0.05</v>
      </c>
      <c r="T694" s="1204"/>
      <c r="U694" s="217" t="str">
        <f>IF(Sheet1!G4="","",Sheet1!G4)</f>
        <v/>
      </c>
      <c r="V694" s="221" t="str">
        <f>IF(Sheet1!H4="","",Sheet1!H4)</f>
        <v/>
      </c>
      <c r="W694" s="443" t="str">
        <f>IF(Sheet1!I4="","",Sheet1!I4)</f>
        <v/>
      </c>
      <c r="X694" s="664" t="s">
        <v>411</v>
      </c>
      <c r="AE694"/>
      <c r="AF694"/>
      <c r="AG694"/>
      <c r="AH694"/>
      <c r="AI694"/>
    </row>
    <row r="695" spans="1:35" ht="11.25" customHeight="1">
      <c r="A695" s="611">
        <v>35</v>
      </c>
      <c r="B695" s="66"/>
      <c r="C695" s="49"/>
      <c r="D695" s="49"/>
      <c r="E695" s="49"/>
      <c r="F695" s="49"/>
      <c r="G695" s="49"/>
      <c r="H695" s="49"/>
      <c r="I695" s="49"/>
      <c r="J695" s="49"/>
      <c r="K695" s="69"/>
      <c r="L695" s="676" t="s">
        <v>411</v>
      </c>
      <c r="M695" s="1208" t="str">
        <f>IF(OR(Q695="",AM689="",AM689=0),"","Delay:"&amp;AM689&amp;"ms")</f>
        <v/>
      </c>
      <c r="N695" s="356">
        <f>$N$694</f>
        <v>100</v>
      </c>
      <c r="O695" s="217" t="str">
        <f>Sheet1!F5</f>
        <v>Large</v>
      </c>
      <c r="P695" s="1206"/>
      <c r="Q695" s="216">
        <f>Sheet1!A5</f>
        <v>80</v>
      </c>
      <c r="R695" s="426" cm="1">
        <f t="array" ref="R695">_xlfn.SWITCH(LFMAS,"mA",Sheet1!B5,"mAs",Sheet1!C5)</f>
        <v>400</v>
      </c>
      <c r="S695" s="221" cm="1">
        <f t="array" ref="S695">_xlfn.SWITCH(LFMAS,"mA",Sheet1!D5,"mAs","")</f>
        <v>0.05</v>
      </c>
      <c r="T695" s="1204"/>
      <c r="U695" s="217" t="str">
        <f>IF(Sheet1!G5="","",Sheet1!G5)</f>
        <v/>
      </c>
      <c r="V695" s="221" t="str">
        <f>IF(Sheet1!H5="","",Sheet1!H5)</f>
        <v/>
      </c>
      <c r="W695" s="443" t="str">
        <f>IF(Sheet1!I5="","",Sheet1!I5)</f>
        <v/>
      </c>
      <c r="X695" s="664" t="s">
        <v>411</v>
      </c>
      <c r="AE695"/>
      <c r="AF695"/>
      <c r="AG695"/>
      <c r="AH695"/>
      <c r="AI695"/>
    </row>
    <row r="696" spans="1:35" ht="11.25" customHeight="1">
      <c r="A696" s="611">
        <v>36</v>
      </c>
      <c r="B696" s="127"/>
      <c r="K696" s="71"/>
      <c r="L696" s="676" t="s">
        <v>411</v>
      </c>
      <c r="M696" s="1208" t="str">
        <f>IF(OR(Q696="",AM704="",AM704=0),"","Delay:"&amp;AM704&amp;"ms")</f>
        <v/>
      </c>
      <c r="N696" s="356">
        <f t="shared" ref="N696:N698" si="92">$N$694</f>
        <v>100</v>
      </c>
      <c r="O696" s="217" t="str">
        <f>Sheet1!F20</f>
        <v>Large</v>
      </c>
      <c r="P696" s="1206"/>
      <c r="Q696" s="216">
        <f>Sheet1!A20</f>
        <v>100</v>
      </c>
      <c r="R696" s="426" cm="1">
        <f t="array" ref="R696">_xlfn.SWITCH(LFMAS,"mA",Sheet1!B20,"mAs",Sheet1!C20)</f>
        <v>400</v>
      </c>
      <c r="S696" s="221" cm="1">
        <f t="array" ref="S696">_xlfn.SWITCH(LFMAS,"mA",Sheet1!D20,"mAs","")</f>
        <v>0.05</v>
      </c>
      <c r="T696" s="1204"/>
      <c r="U696" s="217" t="str">
        <f>IF(Sheet1!G20="","",Sheet1!G20)</f>
        <v/>
      </c>
      <c r="V696" s="221" t="str">
        <f>IF(Sheet1!H20="","",Sheet1!H20)</f>
        <v/>
      </c>
      <c r="W696" s="443" t="str">
        <f>IF(Sheet1!I20="","",Sheet1!I20)</f>
        <v/>
      </c>
      <c r="X696" s="664" t="s">
        <v>411</v>
      </c>
      <c r="AE696"/>
      <c r="AF696"/>
      <c r="AG696"/>
      <c r="AH696"/>
      <c r="AI696"/>
    </row>
    <row r="697" spans="1:35" ht="11.25" customHeight="1">
      <c r="A697" s="611">
        <v>37</v>
      </c>
      <c r="B697" s="127"/>
      <c r="C697" s="49" t="s">
        <v>69</v>
      </c>
      <c r="H697" s="49" t="s">
        <v>70</v>
      </c>
      <c r="K697" s="71"/>
      <c r="L697" s="676" t="s">
        <v>411</v>
      </c>
      <c r="M697" s="1208" t="str">
        <f>IF(OR(Q697="",AM705="",AM705=0),"","Delay:"&amp;AM705&amp;"ms")</f>
        <v/>
      </c>
      <c r="N697" s="356">
        <f t="shared" si="92"/>
        <v>100</v>
      </c>
      <c r="O697" s="217" t="str">
        <f>Sheet1!F21</f>
        <v>Large</v>
      </c>
      <c r="P697" s="1206"/>
      <c r="Q697" s="216">
        <f>Sheet1!A21</f>
        <v>120</v>
      </c>
      <c r="R697" s="426" cm="1">
        <f t="array" ref="R697">_xlfn.SWITCH(LFMAS,"mA",Sheet1!B21,"mAs",Sheet1!C21)</f>
        <v>400</v>
      </c>
      <c r="S697" s="221" cm="1">
        <f t="array" ref="S697">_xlfn.SWITCH(LFMAS,"mA",Sheet1!D21,"mAs","")</f>
        <v>0.05</v>
      </c>
      <c r="T697" s="1204"/>
      <c r="U697" s="217" t="str">
        <f>IF(Sheet1!G21="","",Sheet1!G21)</f>
        <v/>
      </c>
      <c r="V697" s="221" t="str">
        <f>IF(Sheet1!H21="","",Sheet1!H21)</f>
        <v/>
      </c>
      <c r="W697" s="443" t="str">
        <f>IF(Sheet1!I21="","",Sheet1!I21)</f>
        <v/>
      </c>
      <c r="X697" s="664" t="s">
        <v>411</v>
      </c>
      <c r="AE697"/>
      <c r="AF697"/>
      <c r="AG697"/>
      <c r="AH697"/>
      <c r="AI697"/>
    </row>
    <row r="698" spans="1:35" ht="11.25" customHeight="1">
      <c r="A698" s="611">
        <v>38</v>
      </c>
      <c r="B698" s="127"/>
      <c r="K698" s="71"/>
      <c r="L698" s="676" t="s">
        <v>411</v>
      </c>
      <c r="M698" s="1208" t="str">
        <f>IF(OR(Q698="",AM706="",AM706=0),"","Delay:"&amp;AM706&amp;"ms")</f>
        <v/>
      </c>
      <c r="N698" s="356">
        <f t="shared" si="92"/>
        <v>100</v>
      </c>
      <c r="O698" s="217" t="str">
        <f>Sheet1!F22</f>
        <v>Large</v>
      </c>
      <c r="P698" s="1206"/>
      <c r="Q698" s="216">
        <f>Sheet1!A22</f>
        <v>140</v>
      </c>
      <c r="R698" s="426" cm="1">
        <f t="array" ref="R698">_xlfn.SWITCH(LFMAS,"mA",Sheet1!B22,"mAs",Sheet1!C22)</f>
        <v>400</v>
      </c>
      <c r="S698" s="221" cm="1">
        <f t="array" ref="S698">_xlfn.SWITCH(LFMAS,"mA",Sheet1!D22,"mAs","")</f>
        <v>0.05</v>
      </c>
      <c r="T698" s="1204"/>
      <c r="U698" s="217" t="str">
        <f>IF(Sheet1!G22="","",Sheet1!G22)</f>
        <v/>
      </c>
      <c r="V698" s="221" t="str">
        <f>IF(Sheet1!H22="","",Sheet1!H22)</f>
        <v/>
      </c>
      <c r="W698" s="443" t="str">
        <f>IF(Sheet1!I22="","",Sheet1!I22)</f>
        <v/>
      </c>
      <c r="X698" s="664" t="s">
        <v>411</v>
      </c>
      <c r="AE698"/>
      <c r="AF698"/>
      <c r="AG698"/>
      <c r="AH698"/>
      <c r="AI698"/>
    </row>
    <row r="699" spans="1:35" ht="11.25" customHeight="1">
      <c r="A699" s="611">
        <v>39</v>
      </c>
      <c r="B699" s="102" t="s">
        <v>71</v>
      </c>
      <c r="C699" s="48">
        <f>IF(N694="","",N694)</f>
        <v>100</v>
      </c>
      <c r="D699" s="50" t="str">
        <f>N693</f>
        <v>cm</v>
      </c>
      <c r="E699" s="49"/>
      <c r="F699" s="49"/>
      <c r="G699" s="54" t="s">
        <v>71</v>
      </c>
      <c r="H699" s="48">
        <f>IF(N712="","",N712)</f>
        <v>100</v>
      </c>
      <c r="I699" s="50" t="str">
        <f>N711</f>
        <v>cm</v>
      </c>
      <c r="J699" s="49"/>
      <c r="K699" s="69"/>
      <c r="L699" s="676" t="s">
        <v>411</v>
      </c>
      <c r="M699" s="1208"/>
      <c r="N699" s="356" t="str">
        <f t="shared" ref="N699:N701" si="93">IF(OR($N$694="",Q699=""),"",$N$694)</f>
        <v/>
      </c>
      <c r="O699" s="217" t="str">
        <f t="shared" ref="O699:O701" si="94">IF(Q699="","",O698)</f>
        <v/>
      </c>
      <c r="P699" s="1207"/>
      <c r="Q699" s="622"/>
      <c r="R699" s="426" t="str">
        <f>IF(OR($R$694="",Q699=""),"",$R$694)</f>
        <v/>
      </c>
      <c r="S699" s="221" t="str">
        <f>IF(OR($S$694="",Q699=""),"",$S$694)</f>
        <v/>
      </c>
      <c r="T699" s="1205"/>
      <c r="U699" s="623"/>
      <c r="V699" s="624"/>
      <c r="W699" s="625"/>
      <c r="X699" s="664" t="s">
        <v>411</v>
      </c>
      <c r="AE699"/>
      <c r="AF699"/>
      <c r="AG699"/>
      <c r="AH699"/>
      <c r="AI699"/>
    </row>
    <row r="700" spans="1:35" ht="11.25" customHeight="1">
      <c r="A700" s="611">
        <v>40</v>
      </c>
      <c r="B700" s="102" t="s">
        <v>607</v>
      </c>
      <c r="C700" s="61">
        <f>IF(R694="","",IF(LFMAS="mA",R694,""))</f>
        <v>400</v>
      </c>
      <c r="D700" s="49"/>
      <c r="E700" s="49"/>
      <c r="F700" s="54"/>
      <c r="G700" s="54" t="s">
        <v>72</v>
      </c>
      <c r="H700" s="61">
        <f>IF(R712="","",IF(SFMAS="mA",R712,""))</f>
        <v>100</v>
      </c>
      <c r="J700" s="49"/>
      <c r="K700" s="69"/>
      <c r="L700" s="676" t="s">
        <v>411</v>
      </c>
      <c r="M700" s="1208"/>
      <c r="N700" s="356" t="str">
        <f t="shared" si="93"/>
        <v/>
      </c>
      <c r="O700" s="217" t="str">
        <f t="shared" si="94"/>
        <v/>
      </c>
      <c r="P700" s="1207"/>
      <c r="Q700" s="622"/>
      <c r="R700" s="426" t="str">
        <f>IF(OR($R$694="",Q700=""),"",$R$694)</f>
        <v/>
      </c>
      <c r="S700" s="221" t="str">
        <f>IF(OR($S$694="",Q700=""),"",$S$694)</f>
        <v/>
      </c>
      <c r="T700" s="1205"/>
      <c r="U700" s="623"/>
      <c r="V700" s="624"/>
      <c r="W700" s="625"/>
      <c r="X700" s="664" t="s">
        <v>411</v>
      </c>
      <c r="AE700"/>
      <c r="AF700"/>
      <c r="AG700"/>
      <c r="AH700"/>
      <c r="AI700"/>
    </row>
    <row r="701" spans="1:35" ht="11.25" customHeight="1">
      <c r="A701" s="611">
        <v>41</v>
      </c>
      <c r="B701" s="102" t="s">
        <v>609</v>
      </c>
      <c r="C701" s="61" t="str">
        <f>IF(R694="","",IF(LFMAS="mAs",R694,""))</f>
        <v/>
      </c>
      <c r="D701" s="49"/>
      <c r="E701" s="49"/>
      <c r="F701" s="49"/>
      <c r="G701" s="54" t="s">
        <v>609</v>
      </c>
      <c r="H701" s="61" t="str">
        <f>IF(R712="","",IF(SFMAS="mAs",R712,""))</f>
        <v/>
      </c>
      <c r="J701" s="49"/>
      <c r="K701" s="69"/>
      <c r="L701" s="676" t="s">
        <v>411</v>
      </c>
      <c r="M701" s="1208"/>
      <c r="N701" s="356" t="str">
        <f t="shared" si="93"/>
        <v/>
      </c>
      <c r="O701" s="217" t="str">
        <f t="shared" si="94"/>
        <v/>
      </c>
      <c r="P701" s="1207"/>
      <c r="Q701" s="622"/>
      <c r="R701" s="426" t="str">
        <f>IF(OR($R$694="",Q701=""),"",$R$694)</f>
        <v/>
      </c>
      <c r="S701" s="221" t="str">
        <f>IF(OR($S$694="",Q701=""),"",$S$694)</f>
        <v/>
      </c>
      <c r="T701" s="1205"/>
      <c r="U701" s="623"/>
      <c r="V701" s="624"/>
      <c r="W701" s="625"/>
      <c r="X701" s="664" t="s">
        <v>411</v>
      </c>
      <c r="AE701"/>
      <c r="AF701"/>
      <c r="AG701"/>
      <c r="AH701"/>
      <c r="AI701"/>
    </row>
    <row r="702" spans="1:35" ht="11.25" customHeight="1">
      <c r="A702" s="611">
        <v>42</v>
      </c>
      <c r="B702" s="102" t="s">
        <v>73</v>
      </c>
      <c r="C702" s="155">
        <f>IF(S694="","",S694)</f>
        <v>0.05</v>
      </c>
      <c r="D702" s="49"/>
      <c r="E702" s="49"/>
      <c r="F702" s="49"/>
      <c r="G702" s="54" t="s">
        <v>73</v>
      </c>
      <c r="H702" s="155">
        <f>IF(S712="","",S712)</f>
        <v>0.1</v>
      </c>
      <c r="J702" s="49"/>
      <c r="K702" s="69"/>
      <c r="L702" s="676" t="s">
        <v>411</v>
      </c>
      <c r="M702" s="85" t="s">
        <v>74</v>
      </c>
      <c r="N702" s="49"/>
      <c r="O702" s="49"/>
      <c r="P702" s="49"/>
      <c r="Q702" s="49"/>
      <c r="R702" s="49"/>
      <c r="S702" s="49"/>
      <c r="T702" s="49"/>
      <c r="U702" s="49"/>
      <c r="V702" s="49"/>
      <c r="W702" s="69"/>
      <c r="X702" s="664" t="s">
        <v>411</v>
      </c>
      <c r="AE702"/>
      <c r="AF702"/>
      <c r="AG702"/>
      <c r="AH702"/>
      <c r="AI702"/>
    </row>
    <row r="703" spans="1:35" ht="11.25" customHeight="1" thickBot="1">
      <c r="A703" s="611">
        <v>43</v>
      </c>
      <c r="B703" s="85" t="s">
        <v>74</v>
      </c>
      <c r="C703" s="49"/>
      <c r="D703" s="49"/>
      <c r="E703" s="49"/>
      <c r="F703" s="49"/>
      <c r="G703" s="50" t="s">
        <v>74</v>
      </c>
      <c r="H703" s="49"/>
      <c r="I703" s="49"/>
      <c r="J703" s="49"/>
      <c r="K703" s="69"/>
      <c r="L703" s="676" t="s">
        <v>411</v>
      </c>
      <c r="M703" s="127"/>
      <c r="N703" s="577" t="s">
        <v>552</v>
      </c>
      <c r="O703" s="713" t="str">
        <f>IF(O705&lt;&gt;"",O705,IF(OR(AB440=0,AB440=""),"",AB440))</f>
        <v/>
      </c>
      <c r="P703" s="48"/>
      <c r="Q703" s="48"/>
      <c r="R703" s="48"/>
      <c r="S703" s="48"/>
      <c r="T703" s="48"/>
      <c r="U703" s="48"/>
      <c r="V703" s="48"/>
      <c r="W703" s="103"/>
      <c r="X703" s="664" t="s">
        <v>411</v>
      </c>
      <c r="AE703"/>
      <c r="AF703"/>
      <c r="AG703"/>
      <c r="AH703"/>
      <c r="AI703"/>
    </row>
    <row r="704" spans="1:35" ht="11.25" customHeight="1" thickBot="1">
      <c r="A704" s="611">
        <v>44</v>
      </c>
      <c r="B704" s="127"/>
      <c r="K704" s="69"/>
      <c r="L704" s="676" t="s">
        <v>411</v>
      </c>
      <c r="M704" s="85"/>
      <c r="N704" s="609" t="s">
        <v>126</v>
      </c>
      <c r="O704" s="59"/>
      <c r="P704" s="921">
        <f>LEN(O703)</f>
        <v>0</v>
      </c>
      <c r="Q704" s="49"/>
      <c r="R704" s="49"/>
      <c r="S704" s="49"/>
      <c r="T704" s="49"/>
      <c r="U704" s="749" t="s">
        <v>569</v>
      </c>
      <c r="V704" s="740" t="str">
        <f>IF(E707="","TBD",(IF(AND(ABS(MAX(E707:E714))&lt;=0.05,ABS(MIN(E707:E714))&lt;=0.05),"YES","NO")))</f>
        <v>TBD</v>
      </c>
      <c r="W704" s="69"/>
      <c r="X704" s="664" t="s">
        <v>411</v>
      </c>
      <c r="AE704"/>
      <c r="AF704"/>
      <c r="AG704"/>
      <c r="AH704"/>
      <c r="AI704"/>
    </row>
    <row r="705" spans="1:35" ht="11.25" customHeight="1">
      <c r="A705" s="611">
        <v>45</v>
      </c>
      <c r="B705" s="123" t="s">
        <v>566</v>
      </c>
      <c r="C705" s="128" t="s">
        <v>567</v>
      </c>
      <c r="D705" s="53"/>
      <c r="E705" s="117" t="s">
        <v>66</v>
      </c>
      <c r="G705" s="117" t="s">
        <v>566</v>
      </c>
      <c r="H705" s="128" t="s">
        <v>567</v>
      </c>
      <c r="I705" s="53"/>
      <c r="J705" s="117" t="s">
        <v>66</v>
      </c>
      <c r="K705" s="69"/>
      <c r="L705" s="676" t="s">
        <v>411</v>
      </c>
      <c r="M705" s="66"/>
      <c r="N705" s="1024" t="s">
        <v>619</v>
      </c>
      <c r="O705" s="1026"/>
      <c r="W705" s="71"/>
      <c r="X705" s="664" t="s">
        <v>411</v>
      </c>
      <c r="AE705"/>
      <c r="AF705"/>
      <c r="AG705"/>
      <c r="AH705"/>
      <c r="AI705"/>
    </row>
    <row r="706" spans="1:35" ht="11.25" customHeight="1" thickBot="1">
      <c r="A706" s="611">
        <v>46</v>
      </c>
      <c r="B706" s="259" t="s">
        <v>465</v>
      </c>
      <c r="C706" s="138" t="s">
        <v>66</v>
      </c>
      <c r="D706" s="138" t="s">
        <v>67</v>
      </c>
      <c r="E706" s="146" t="s">
        <v>75</v>
      </c>
      <c r="F706" s="49"/>
      <c r="G706" s="146" t="s">
        <v>465</v>
      </c>
      <c r="H706" s="138" t="s">
        <v>66</v>
      </c>
      <c r="I706" s="138" t="s">
        <v>67</v>
      </c>
      <c r="J706" s="146" t="s">
        <v>75</v>
      </c>
      <c r="K706" s="69"/>
      <c r="L706" s="676" t="s">
        <v>411</v>
      </c>
      <c r="M706" s="191" t="s">
        <v>76</v>
      </c>
      <c r="N706" s="128"/>
      <c r="O706" s="128"/>
      <c r="P706" s="128"/>
      <c r="Q706" s="49"/>
      <c r="R706" s="49"/>
      <c r="S706" s="49"/>
      <c r="T706" s="49"/>
      <c r="U706" s="49"/>
      <c r="V706" s="49"/>
      <c r="W706" s="69"/>
      <c r="X706" s="664" t="s">
        <v>411</v>
      </c>
      <c r="AE706"/>
      <c r="AF706"/>
      <c r="AG706"/>
      <c r="AH706"/>
      <c r="AI706"/>
    </row>
    <row r="707" spans="1:35" ht="11.25" customHeight="1">
      <c r="A707" s="611">
        <v>47</v>
      </c>
      <c r="B707" s="510">
        <f t="shared" ref="B707:B714" si="95">IF(Q694="","",Q694)</f>
        <v>60</v>
      </c>
      <c r="C707" s="368" t="str">
        <f t="shared" ref="C707:D714" si="96">IF(T694="","",T694)</f>
        <v/>
      </c>
      <c r="D707" s="222" t="str">
        <f t="shared" si="96"/>
        <v/>
      </c>
      <c r="E707" s="136" t="str">
        <f>IF(OR(B707="",D707=""),"",IF(AND(B707&gt;0,D707&gt;0),(D707-B707)/B707,""))</f>
        <v/>
      </c>
      <c r="F707" s="49"/>
      <c r="G707" s="216">
        <f t="shared" ref="G707:G712" si="97">IF(Q712="","",Q712)</f>
        <v>50</v>
      </c>
      <c r="H707" s="220" t="str">
        <f t="shared" ref="H707:I712" si="98">IF(T712="","",T712)</f>
        <v/>
      </c>
      <c r="I707" s="220" t="str">
        <f t="shared" si="98"/>
        <v/>
      </c>
      <c r="J707" s="136" t="str">
        <f>IF(OR(G707="",I707=""),"",IF(AND(G707&gt;0,I707&gt;0),(I707-G707)/G707,""))</f>
        <v/>
      </c>
      <c r="K707" s="69"/>
      <c r="L707" s="676" t="s">
        <v>411</v>
      </c>
      <c r="M707" s="127"/>
      <c r="W707" s="71"/>
      <c r="X707" s="664" t="s">
        <v>411</v>
      </c>
      <c r="AE707"/>
      <c r="AF707"/>
      <c r="AG707"/>
      <c r="AH707"/>
      <c r="AI707"/>
    </row>
    <row r="708" spans="1:35" ht="11.25" customHeight="1">
      <c r="A708" s="611">
        <v>48</v>
      </c>
      <c r="B708" s="510">
        <f t="shared" si="95"/>
        <v>80</v>
      </c>
      <c r="C708" s="368" t="str">
        <f t="shared" si="96"/>
        <v/>
      </c>
      <c r="D708" s="222" t="str">
        <f t="shared" si="96"/>
        <v/>
      </c>
      <c r="E708" s="136" t="str">
        <f>IF(OR(B708="",D708=""),"",IF(AND(B708&gt;0,D708&gt;0),(D708-B708)/B708,""))</f>
        <v/>
      </c>
      <c r="F708" s="49"/>
      <c r="G708" s="216">
        <f t="shared" si="97"/>
        <v>70</v>
      </c>
      <c r="H708" s="220" t="str">
        <f t="shared" si="98"/>
        <v/>
      </c>
      <c r="I708" s="220" t="str">
        <f t="shared" si="98"/>
        <v/>
      </c>
      <c r="J708" s="136" t="str">
        <f t="shared" ref="J708:J712" si="99">IF(OR(G708="",I708=""),"",IF(AND(G708&gt;0,I708&gt;0),(I708-G708)/G708,""))</f>
        <v/>
      </c>
      <c r="K708" s="69"/>
      <c r="L708" s="676" t="s">
        <v>411</v>
      </c>
      <c r="M708" s="66"/>
      <c r="N708" s="49"/>
      <c r="O708" s="50"/>
      <c r="P708" s="49"/>
      <c r="Q708" s="49"/>
      <c r="R708" s="49"/>
      <c r="S708" s="49"/>
      <c r="T708" s="49"/>
      <c r="U708" s="49"/>
      <c r="V708" s="49"/>
      <c r="W708" s="69"/>
      <c r="X708" s="664" t="s">
        <v>411</v>
      </c>
      <c r="AE708"/>
      <c r="AF708"/>
      <c r="AG708"/>
      <c r="AH708"/>
      <c r="AI708"/>
    </row>
    <row r="709" spans="1:35" ht="11.25" customHeight="1">
      <c r="A709" s="611">
        <v>49</v>
      </c>
      <c r="B709" s="510">
        <f t="shared" si="95"/>
        <v>100</v>
      </c>
      <c r="C709" s="368" t="str">
        <f t="shared" si="96"/>
        <v/>
      </c>
      <c r="D709" s="222" t="str">
        <f t="shared" si="96"/>
        <v/>
      </c>
      <c r="E709" s="136" t="str">
        <f t="shared" ref="E709:E714" si="100">IF(OR(B709="",D709=""),"",IF(AND(B709&gt;0,D709&gt;0),(D709-B709)/B709,""))</f>
        <v/>
      </c>
      <c r="F709" s="49"/>
      <c r="G709" s="216">
        <f t="shared" si="97"/>
        <v>90</v>
      </c>
      <c r="H709" s="220" t="str">
        <f t="shared" si="98"/>
        <v/>
      </c>
      <c r="I709" s="220" t="str">
        <f t="shared" si="98"/>
        <v/>
      </c>
      <c r="J709" s="136" t="str">
        <f t="shared" si="99"/>
        <v/>
      </c>
      <c r="K709" s="69"/>
      <c r="L709" s="676" t="s">
        <v>411</v>
      </c>
      <c r="M709" s="66"/>
      <c r="N709" s="49"/>
      <c r="O709" s="49"/>
      <c r="P709" s="49"/>
      <c r="Q709" s="100" t="s">
        <v>54</v>
      </c>
      <c r="R709" s="49"/>
      <c r="T709" s="49"/>
      <c r="U709" s="49"/>
      <c r="V709" s="49"/>
      <c r="W709" s="69"/>
      <c r="X709" s="664" t="s">
        <v>411</v>
      </c>
      <c r="AE709"/>
      <c r="AF709"/>
      <c r="AG709"/>
      <c r="AH709"/>
      <c r="AI709"/>
    </row>
    <row r="710" spans="1:35" ht="11.25" customHeight="1">
      <c r="A710" s="611">
        <v>50</v>
      </c>
      <c r="B710" s="510">
        <f t="shared" si="95"/>
        <v>120</v>
      </c>
      <c r="C710" s="368" t="str">
        <f t="shared" si="96"/>
        <v/>
      </c>
      <c r="D710" s="222" t="str">
        <f t="shared" si="96"/>
        <v/>
      </c>
      <c r="E710" s="136" t="str">
        <f t="shared" si="100"/>
        <v/>
      </c>
      <c r="F710" s="49"/>
      <c r="G710" s="216">
        <f t="shared" si="97"/>
        <v>110</v>
      </c>
      <c r="H710" s="220" t="str">
        <f t="shared" si="98"/>
        <v/>
      </c>
      <c r="I710" s="220" t="str">
        <f t="shared" si="98"/>
        <v/>
      </c>
      <c r="J710" s="136" t="str">
        <f t="shared" si="99"/>
        <v/>
      </c>
      <c r="K710" s="69"/>
      <c r="L710" s="676" t="s">
        <v>411</v>
      </c>
      <c r="M710" s="66" t="s">
        <v>55</v>
      </c>
      <c r="N710" s="218" t="s">
        <v>56</v>
      </c>
      <c r="O710" s="218" t="s">
        <v>57</v>
      </c>
      <c r="P710" s="218" t="s">
        <v>58</v>
      </c>
      <c r="Q710" s="49"/>
      <c r="R710" s="218"/>
      <c r="S710" s="218" t="s">
        <v>60</v>
      </c>
      <c r="T710" s="66"/>
      <c r="U710" s="50" t="s">
        <v>61</v>
      </c>
      <c r="V710" s="49"/>
      <c r="W710" s="69"/>
      <c r="X710" s="664" t="s">
        <v>411</v>
      </c>
      <c r="AE710"/>
      <c r="AF710"/>
      <c r="AG710"/>
      <c r="AH710"/>
      <c r="AI710"/>
    </row>
    <row r="711" spans="1:35" ht="11.25" customHeight="1" thickBot="1">
      <c r="A711" s="611">
        <v>51</v>
      </c>
      <c r="B711" s="510">
        <f t="shared" si="95"/>
        <v>140</v>
      </c>
      <c r="C711" s="368" t="str">
        <f t="shared" si="96"/>
        <v/>
      </c>
      <c r="D711" s="222" t="str">
        <f t="shared" si="96"/>
        <v/>
      </c>
      <c r="E711" s="136" t="str">
        <f t="shared" si="100"/>
        <v/>
      </c>
      <c r="F711" s="49"/>
      <c r="G711" s="216">
        <f t="shared" si="97"/>
        <v>130</v>
      </c>
      <c r="H711" s="220" t="str">
        <f t="shared" si="98"/>
        <v/>
      </c>
      <c r="I711" s="220" t="str">
        <f t="shared" si="98"/>
        <v/>
      </c>
      <c r="J711" s="136" t="str">
        <f t="shared" si="99"/>
        <v/>
      </c>
      <c r="K711" s="69"/>
      <c r="L711" s="676" t="s">
        <v>411</v>
      </c>
      <c r="M711" s="219" t="s">
        <v>62</v>
      </c>
      <c r="N711" s="621" t="s">
        <v>615</v>
      </c>
      <c r="O711" s="138" t="s">
        <v>63</v>
      </c>
      <c r="P711" s="138" t="s">
        <v>48</v>
      </c>
      <c r="Q711" s="138" t="s">
        <v>64</v>
      </c>
      <c r="R711" s="138" t="str">
        <f>IF(AND(LFMAS="",SFMAS=""),"mA/mAs",IF(O712="Large",LFMAS,SFMAS))</f>
        <v>mA</v>
      </c>
      <c r="S711" s="138" t="s">
        <v>65</v>
      </c>
      <c r="T711" s="219" t="s">
        <v>66</v>
      </c>
      <c r="U711" s="138" t="s">
        <v>67</v>
      </c>
      <c r="V711" s="138" t="s">
        <v>65</v>
      </c>
      <c r="W711" s="208" t="s">
        <v>1053</v>
      </c>
      <c r="X711" s="664" t="s">
        <v>411</v>
      </c>
      <c r="AE711"/>
      <c r="AF711"/>
      <c r="AG711"/>
      <c r="AH711"/>
      <c r="AI711"/>
    </row>
    <row r="712" spans="1:35" ht="11.25" customHeight="1">
      <c r="A712" s="611">
        <v>52</v>
      </c>
      <c r="B712" s="510" t="str">
        <f t="shared" si="95"/>
        <v/>
      </c>
      <c r="C712" s="368" t="str">
        <f t="shared" si="96"/>
        <v/>
      </c>
      <c r="D712" s="222" t="str">
        <f t="shared" si="96"/>
        <v/>
      </c>
      <c r="E712" s="136" t="str">
        <f t="shared" si="100"/>
        <v/>
      </c>
      <c r="F712" s="49"/>
      <c r="G712" s="216" t="str">
        <f t="shared" si="97"/>
        <v/>
      </c>
      <c r="H712" s="220" t="str">
        <f t="shared" si="98"/>
        <v/>
      </c>
      <c r="I712" s="220" t="str">
        <f t="shared" si="98"/>
        <v/>
      </c>
      <c r="J712" s="136" t="str">
        <f t="shared" si="99"/>
        <v/>
      </c>
      <c r="K712" s="69"/>
      <c r="L712" s="676" t="s">
        <v>411</v>
      </c>
      <c r="M712" s="1208"/>
      <c r="N712" s="356">
        <f>$N$694</f>
        <v>100</v>
      </c>
      <c r="O712" s="217" t="str">
        <f>Sheet1!F23</f>
        <v>Small</v>
      </c>
      <c r="P712" s="1206"/>
      <c r="Q712" s="216">
        <f>Sheet1!A23</f>
        <v>50</v>
      </c>
      <c r="R712" s="426" cm="1">
        <f t="array" ref="R712">_xlfn.SWITCH(SFMAS,"mA",Sheet1!B23,"mAs",Sheet1!C23)</f>
        <v>100</v>
      </c>
      <c r="S712" s="221" cm="1">
        <f t="array" ref="S712">_xlfn.SWITCH(SFMAS,"mA",Sheet1!D23,"mAs","")</f>
        <v>0.1</v>
      </c>
      <c r="T712" s="1204"/>
      <c r="U712" s="217" t="str">
        <f>IF(Sheet1!G23="","",Sheet1!G23)</f>
        <v/>
      </c>
      <c r="V712" s="221" t="str">
        <f>IF(Sheet1!H23="","",Sheet1!H23)</f>
        <v/>
      </c>
      <c r="W712" s="443" t="str">
        <f>IF(Sheet1!I23="","",Sheet1!I23)</f>
        <v/>
      </c>
      <c r="X712" s="664" t="s">
        <v>411</v>
      </c>
      <c r="AE712"/>
      <c r="AF712"/>
      <c r="AG712"/>
      <c r="AH712"/>
      <c r="AI712"/>
    </row>
    <row r="713" spans="1:35" ht="11.25" customHeight="1">
      <c r="A713" s="611">
        <v>53</v>
      </c>
      <c r="B713" s="510" t="str">
        <f t="shared" si="95"/>
        <v/>
      </c>
      <c r="C713" s="368" t="str">
        <f t="shared" si="96"/>
        <v/>
      </c>
      <c r="D713" s="222" t="str">
        <f t="shared" si="96"/>
        <v/>
      </c>
      <c r="E713" s="136" t="str">
        <f t="shared" si="100"/>
        <v/>
      </c>
      <c r="F713" s="49"/>
      <c r="G713" s="49"/>
      <c r="H713" s="49"/>
      <c r="K713" s="69"/>
      <c r="L713" s="676" t="s">
        <v>411</v>
      </c>
      <c r="M713" s="1208"/>
      <c r="N713" s="356">
        <f>IF(OR($N$712="",Q713=""),"",$N$712)</f>
        <v>100</v>
      </c>
      <c r="O713" s="217" t="str">
        <f>Sheet1!F24</f>
        <v>Small</v>
      </c>
      <c r="P713" s="1206"/>
      <c r="Q713" s="216">
        <f>Sheet1!A24</f>
        <v>70</v>
      </c>
      <c r="R713" s="426" cm="1">
        <f t="array" ref="R713">_xlfn.SWITCH(SFMAS,"mA",Sheet1!B24,"mAs",Sheet1!C24)</f>
        <v>100</v>
      </c>
      <c r="S713" s="221" cm="1">
        <f t="array" ref="S713">_xlfn.SWITCH(SFMAS,"mA",Sheet1!D24,"mAs","")</f>
        <v>0.1</v>
      </c>
      <c r="T713" s="1204"/>
      <c r="U713" s="217" t="str">
        <f>IF(Sheet1!G24="","",Sheet1!G24)</f>
        <v/>
      </c>
      <c r="V713" s="221" t="str">
        <f>IF(Sheet1!H24="","",Sheet1!H24)</f>
        <v/>
      </c>
      <c r="W713" s="443" t="str">
        <f>IF(Sheet1!I24="","",Sheet1!I24)</f>
        <v/>
      </c>
      <c r="X713" s="664" t="s">
        <v>411</v>
      </c>
      <c r="AE713"/>
      <c r="AF713"/>
      <c r="AG713"/>
      <c r="AH713"/>
      <c r="AI713"/>
    </row>
    <row r="714" spans="1:35" ht="11.25" customHeight="1">
      <c r="A714" s="611">
        <v>54</v>
      </c>
      <c r="B714" s="511" t="str">
        <f t="shared" si="95"/>
        <v/>
      </c>
      <c r="C714" s="232" t="str">
        <f t="shared" si="96"/>
        <v/>
      </c>
      <c r="D714" s="222" t="str">
        <f t="shared" si="96"/>
        <v/>
      </c>
      <c r="E714" s="136" t="str">
        <f t="shared" si="100"/>
        <v/>
      </c>
      <c r="F714" s="49"/>
      <c r="G714" s="49"/>
      <c r="H714" s="49"/>
      <c r="I714" s="49"/>
      <c r="J714" s="49"/>
      <c r="K714" s="69"/>
      <c r="L714" s="676" t="s">
        <v>411</v>
      </c>
      <c r="M714" s="1208"/>
      <c r="N714" s="356">
        <f>IF(OR($N$712="",Q714=""),"",$N$712)</f>
        <v>100</v>
      </c>
      <c r="O714" s="217" t="str">
        <f>Sheet1!F25</f>
        <v>Small</v>
      </c>
      <c r="P714" s="1206"/>
      <c r="Q714" s="216">
        <f>Sheet1!A25</f>
        <v>90</v>
      </c>
      <c r="R714" s="426" cm="1">
        <f t="array" ref="R714">_xlfn.SWITCH(SFMAS,"mA",Sheet1!B25,"mAs",Sheet1!C25)</f>
        <v>100</v>
      </c>
      <c r="S714" s="221" cm="1">
        <f t="array" ref="S714">_xlfn.SWITCH(SFMAS,"mA",Sheet1!D25,"mAs","")</f>
        <v>0.1</v>
      </c>
      <c r="T714" s="1204"/>
      <c r="U714" s="217" t="str">
        <f>IF(Sheet1!G25="","",Sheet1!G25)</f>
        <v/>
      </c>
      <c r="V714" s="221" t="str">
        <f>IF(Sheet1!H25="","",Sheet1!H25)</f>
        <v/>
      </c>
      <c r="W714" s="443" t="str">
        <f>IF(Sheet1!I25="","",Sheet1!I25)</f>
        <v/>
      </c>
      <c r="X714" s="664" t="s">
        <v>411</v>
      </c>
      <c r="AE714"/>
      <c r="AF714"/>
      <c r="AG714"/>
      <c r="AH714"/>
      <c r="AI714"/>
    </row>
    <row r="715" spans="1:35" ht="11.25" customHeight="1" thickBot="1">
      <c r="A715" s="611">
        <v>55</v>
      </c>
      <c r="B715" s="66"/>
      <c r="C715" s="49"/>
      <c r="F715" s="49"/>
      <c r="G715" s="49"/>
      <c r="H715" s="49"/>
      <c r="I715" s="49"/>
      <c r="J715" s="49"/>
      <c r="K715" s="69"/>
      <c r="L715" s="676" t="s">
        <v>411</v>
      </c>
      <c r="M715" s="1208"/>
      <c r="N715" s="356">
        <f>IF(OR($N$712="",Q715=""),"",$N$712)</f>
        <v>100</v>
      </c>
      <c r="O715" s="217" t="str">
        <f>IF(Q715="","",O714)</f>
        <v>Small</v>
      </c>
      <c r="P715" s="1206"/>
      <c r="Q715" s="216">
        <f>Sheet1!A35</f>
        <v>110</v>
      </c>
      <c r="R715" s="426" cm="1">
        <f t="array" ref="R715">_xlfn.SWITCH(SFMAS,"mA",Sheet1!B35,"mAs",Sheet1!C35)</f>
        <v>100</v>
      </c>
      <c r="S715" s="221" cm="1">
        <f t="array" ref="S715">_xlfn.SWITCH(SFMAS,"mA",Sheet1!D26,"mAs","")</f>
        <v>0.1</v>
      </c>
      <c r="T715" s="1204"/>
      <c r="U715" s="217" t="str">
        <f>IF(Sheet1!G35="","",Sheet1!G35)</f>
        <v/>
      </c>
      <c r="V715" s="221" t="str">
        <f>IF(Sheet1!H35="","",Sheet1!H35)</f>
        <v/>
      </c>
      <c r="W715" s="443" t="str">
        <f>IF(Sheet1!I35="","",Sheet1!I35)</f>
        <v/>
      </c>
      <c r="X715" s="664" t="s">
        <v>411</v>
      </c>
      <c r="AE715"/>
      <c r="AF715"/>
      <c r="AG715"/>
      <c r="AH715"/>
      <c r="AI715"/>
    </row>
    <row r="716" spans="1:35" ht="11.25" customHeight="1" thickBot="1">
      <c r="A716" s="611">
        <v>56</v>
      </c>
      <c r="B716" s="66"/>
      <c r="C716" s="49"/>
      <c r="D716" s="140" t="s">
        <v>569</v>
      </c>
      <c r="E716" s="141" t="str">
        <f>IF(E707="","TBD",(IF(AND(ABS(MAX(E707:E714))&lt;=0.05,ABS(MIN(E707:E714))&lt;=0.05),"YES","NO")))</f>
        <v>TBD</v>
      </c>
      <c r="F716" s="49"/>
      <c r="G716" s="49"/>
      <c r="H716" s="49"/>
      <c r="I716" s="140" t="s">
        <v>569</v>
      </c>
      <c r="J716" s="141" t="str">
        <f>IF(J707="","TBD",(IF(AND(ABS(MAX(J707:J712))&lt;=0.05,ABS(MIN(J707:J712))&lt;=0.05),"YES","NO")))</f>
        <v>TBD</v>
      </c>
      <c r="K716" s="69"/>
      <c r="L716" s="676" t="s">
        <v>411</v>
      </c>
      <c r="M716" s="1208"/>
      <c r="N716" s="356">
        <f>IF(OR($N$712="",Q716=""),"",$N$712)</f>
        <v>100</v>
      </c>
      <c r="O716" s="217" t="str">
        <f>IF(Q716="","",O715)</f>
        <v>Small</v>
      </c>
      <c r="P716" s="1206"/>
      <c r="Q716" s="216">
        <f>Sheet1!A36</f>
        <v>130</v>
      </c>
      <c r="R716" s="426" cm="1">
        <f t="array" ref="R716">_xlfn.SWITCH(SFMAS,"mA",Sheet1!B36,"mAs",Sheet1!C36)</f>
        <v>100</v>
      </c>
      <c r="S716" s="221" cm="1">
        <f t="array" ref="S716">_xlfn.SWITCH(SFMAS,"mA",Sheet1!D27,"mAs","")</f>
        <v>0.1</v>
      </c>
      <c r="T716" s="1204"/>
      <c r="U716" s="217" t="str">
        <f>IF(Sheet1!G36="","",Sheet1!G36)</f>
        <v/>
      </c>
      <c r="V716" s="221" t="str">
        <f>IF(Sheet1!H36="","",Sheet1!H36)</f>
        <v/>
      </c>
      <c r="W716" s="443" t="str">
        <f>IF(Sheet1!I36="","",Sheet1!I36)</f>
        <v/>
      </c>
      <c r="X716" s="664" t="s">
        <v>411</v>
      </c>
      <c r="AE716"/>
      <c r="AF716"/>
      <c r="AG716"/>
      <c r="AH716"/>
      <c r="AI716"/>
    </row>
    <row r="717" spans="1:35" ht="11.25" customHeight="1">
      <c r="A717" s="611">
        <v>57</v>
      </c>
      <c r="B717" s="127"/>
      <c r="K717" s="69"/>
      <c r="L717" s="676" t="s">
        <v>411</v>
      </c>
      <c r="M717" s="1209"/>
      <c r="N717" s="356" t="str">
        <f>IF(OR($N$712="",Q717=""),"",$N$712)</f>
        <v/>
      </c>
      <c r="O717" s="217" t="str">
        <f>IF(Q717="","",O716)</f>
        <v/>
      </c>
      <c r="P717" s="1210"/>
      <c r="Q717" s="622"/>
      <c r="R717" s="426" t="str">
        <f>IF(OR($R$712="",Q717=""),"",$R$712)</f>
        <v/>
      </c>
      <c r="S717" s="221" t="str">
        <f>IF(OR($S$712="",Q717=""),"",$S$712)</f>
        <v/>
      </c>
      <c r="T717" s="1211"/>
      <c r="U717" s="623"/>
      <c r="V717" s="624"/>
      <c r="W717" s="625"/>
      <c r="X717" s="664" t="s">
        <v>411</v>
      </c>
      <c r="AE717"/>
      <c r="AF717"/>
      <c r="AG717"/>
      <c r="AH717"/>
      <c r="AI717"/>
    </row>
    <row r="718" spans="1:35" ht="11.25" customHeight="1">
      <c r="A718" s="611">
        <v>58</v>
      </c>
      <c r="B718" s="127"/>
      <c r="C718" s="132" t="s">
        <v>570</v>
      </c>
      <c r="D718" s="100" t="s">
        <v>466</v>
      </c>
      <c r="K718" s="71"/>
      <c r="L718" s="676" t="s">
        <v>411</v>
      </c>
      <c r="M718" s="85" t="s">
        <v>74</v>
      </c>
      <c r="W718" s="71"/>
      <c r="X718" s="664" t="s">
        <v>411</v>
      </c>
      <c r="AE718"/>
      <c r="AF718"/>
      <c r="AG718"/>
      <c r="AH718"/>
      <c r="AI718"/>
    </row>
    <row r="719" spans="1:35" ht="11.25" customHeight="1">
      <c r="A719" s="611">
        <v>59</v>
      </c>
      <c r="B719" s="127"/>
      <c r="K719" s="71"/>
      <c r="L719" s="676" t="s">
        <v>411</v>
      </c>
      <c r="M719" s="127"/>
      <c r="N719" s="577" t="s">
        <v>552</v>
      </c>
      <c r="O719" s="1025" t="str">
        <f>IF(O720&lt;&gt;"",O720,IF(OR(AB441=0,AB441=""),"",AB441))</f>
        <v/>
      </c>
      <c r="P719" s="48"/>
      <c r="Q719" s="48"/>
      <c r="R719" s="48"/>
      <c r="S719" s="48"/>
      <c r="T719" s="48"/>
      <c r="U719" s="48"/>
      <c r="V719" s="48"/>
      <c r="W719" s="103"/>
      <c r="X719" s="664" t="s">
        <v>411</v>
      </c>
      <c r="AE719"/>
      <c r="AF719"/>
      <c r="AG719"/>
      <c r="AH719"/>
      <c r="AI719"/>
    </row>
    <row r="720" spans="1:35" ht="11.25" customHeight="1" thickBot="1">
      <c r="A720" s="611">
        <v>60</v>
      </c>
      <c r="B720" s="102"/>
      <c r="K720" s="71"/>
      <c r="L720" s="676" t="s">
        <v>411</v>
      </c>
      <c r="M720" s="85"/>
      <c r="N720" s="1024" t="s">
        <v>619</v>
      </c>
      <c r="O720" s="1026"/>
      <c r="P720" s="920">
        <f>LEN(O719)</f>
        <v>0</v>
      </c>
      <c r="Q720" s="49"/>
      <c r="R720" s="49"/>
      <c r="S720" s="49"/>
      <c r="T720" s="49"/>
      <c r="U720" s="49"/>
      <c r="V720" s="49"/>
      <c r="W720" s="69"/>
      <c r="X720" s="664" t="s">
        <v>411</v>
      </c>
      <c r="AE720"/>
      <c r="AF720"/>
      <c r="AG720"/>
      <c r="AH720"/>
      <c r="AI720"/>
    </row>
    <row r="721" spans="1:35" ht="11.25" customHeight="1" thickBot="1">
      <c r="A721" s="611">
        <v>61</v>
      </c>
      <c r="B721" s="66" t="s">
        <v>552</v>
      </c>
      <c r="C721" s="922" t="str">
        <f>IF(O721="","",IF(LEN(O721)&lt;=135,O721,IF(LEN(O721)&lt;=260,LEFT(O721,SEARCH(" ",O721,125)),LEFT(O721,SEARCH(" ",O721,130)))))</f>
        <v/>
      </c>
      <c r="D721" s="48"/>
      <c r="E721" s="48"/>
      <c r="F721" s="48"/>
      <c r="G721" s="48"/>
      <c r="H721" s="48"/>
      <c r="I721" s="48"/>
      <c r="J721" s="48"/>
      <c r="K721" s="71"/>
      <c r="L721" s="676" t="s">
        <v>411</v>
      </c>
      <c r="M721" s="66"/>
      <c r="O721" s="726" t="str">
        <f>IF(AND(O703="",O719=""),"",IF(AND(O703&lt;&gt;"",O719=""),"Lg. F:  "&amp;O703,IF(AND(O703="",O719&lt;&gt;""),"Sm. F:  "&amp;O719,"Lg. F:  "&amp;O703&amp;";  Sm. F:  "&amp;O719)))</f>
        <v/>
      </c>
      <c r="P721" s="50" t="s">
        <v>78</v>
      </c>
      <c r="Q721" s="49"/>
      <c r="R721" s="49"/>
      <c r="S721" s="49"/>
      <c r="T721" s="49"/>
      <c r="U721" s="749" t="s">
        <v>569</v>
      </c>
      <c r="V721" s="740" t="str">
        <f>IF(J707="","TBD",(IF(AND(ABS(MAX(J707:J712))&lt;=0.05,ABS(MIN(J707:J712))&lt;=0.05),"YES","NO")))</f>
        <v>TBD</v>
      </c>
      <c r="W721" s="69"/>
      <c r="X721" s="664" t="s">
        <v>411</v>
      </c>
      <c r="AE721"/>
      <c r="AF721"/>
      <c r="AG721"/>
      <c r="AH721"/>
      <c r="AI721"/>
    </row>
    <row r="722" spans="1:35" ht="11.25" customHeight="1">
      <c r="A722" s="611">
        <v>62</v>
      </c>
      <c r="B722" s="66"/>
      <c r="C722" s="923" t="str">
        <f>IF(LEN(O721)&lt;=135,"",IF(LEN(O721)&lt;=260,RIGHT(O721,LEN(O721)-SEARCH(" ",O721,125)),MID(O721,SEARCH(" ",O721,130),IF(LEN(O721)&lt;=265,LEN(O721),SEARCH(" ",O721,255)-SEARCH(" ",O721,130)))))</f>
        <v/>
      </c>
      <c r="D722" s="48"/>
      <c r="E722" s="48"/>
      <c r="F722" s="48"/>
      <c r="G722" s="48"/>
      <c r="H722" s="48"/>
      <c r="I722" s="48"/>
      <c r="J722" s="48"/>
      <c r="K722" s="71"/>
      <c r="L722" s="676" t="s">
        <v>411</v>
      </c>
      <c r="M722" s="127"/>
      <c r="N722" s="609" t="s">
        <v>126</v>
      </c>
      <c r="P722" s="920">
        <f>LEN(O721)</f>
        <v>0</v>
      </c>
      <c r="W722" s="71"/>
      <c r="X722" s="664" t="s">
        <v>411</v>
      </c>
      <c r="AE722"/>
      <c r="AF722"/>
      <c r="AG722"/>
      <c r="AH722"/>
      <c r="AI722"/>
    </row>
    <row r="723" spans="1:35" ht="11.25" customHeight="1">
      <c r="A723" s="611">
        <v>63</v>
      </c>
      <c r="B723" s="127"/>
      <c r="C723" s="922" t="str">
        <f>IF(LEN(O721)&lt;=265,"",RIGHT(O721,LEN(O721)-SEARCH(" ",O721,255)))</f>
        <v/>
      </c>
      <c r="D723" s="48"/>
      <c r="E723" s="48"/>
      <c r="F723" s="48"/>
      <c r="G723" s="48"/>
      <c r="H723" s="48"/>
      <c r="I723" s="48"/>
      <c r="J723" s="48"/>
      <c r="K723" s="71"/>
      <c r="L723" s="676" t="s">
        <v>411</v>
      </c>
      <c r="M723" s="127"/>
      <c r="N723" s="132" t="s">
        <v>570</v>
      </c>
      <c r="O723" s="100" t="s">
        <v>466</v>
      </c>
      <c r="P723" s="100"/>
      <c r="W723" s="71"/>
      <c r="X723" s="664" t="s">
        <v>411</v>
      </c>
      <c r="AE723"/>
      <c r="AF723"/>
      <c r="AG723"/>
      <c r="AH723"/>
      <c r="AI723"/>
    </row>
    <row r="724" spans="1:35" ht="11.25" customHeight="1" thickBot="1">
      <c r="A724" s="611">
        <v>64</v>
      </c>
      <c r="B724" s="98"/>
      <c r="C724" s="83"/>
      <c r="D724" s="83"/>
      <c r="E724" s="83"/>
      <c r="F724" s="83"/>
      <c r="G724" s="83"/>
      <c r="H724" s="83"/>
      <c r="I724" s="83"/>
      <c r="J724" s="83"/>
      <c r="K724" s="86"/>
      <c r="L724" s="676" t="s">
        <v>411</v>
      </c>
      <c r="M724" s="98"/>
      <c r="N724" s="83"/>
      <c r="O724" s="83"/>
      <c r="P724" s="83"/>
      <c r="Q724" s="83"/>
      <c r="R724" s="83"/>
      <c r="S724" s="83"/>
      <c r="T724" s="83"/>
      <c r="U724" s="83"/>
      <c r="V724" s="83"/>
      <c r="W724" s="86"/>
      <c r="X724" s="664" t="s">
        <v>411</v>
      </c>
      <c r="AE724"/>
      <c r="AF724"/>
      <c r="AG724"/>
      <c r="AH724"/>
      <c r="AI724"/>
    </row>
    <row r="725" spans="1:35" ht="11.25" customHeight="1" thickTop="1">
      <c r="A725" s="611">
        <v>65</v>
      </c>
      <c r="B725" s="52" t="str">
        <f t="array" ref="B725:C726">$B$65:$C$66</f>
        <v>Date:</v>
      </c>
      <c r="C725" s="1133" t="str">
        <v/>
      </c>
      <c r="D725" s="116"/>
      <c r="E725" s="51"/>
      <c r="F725" s="51"/>
      <c r="G725" s="51"/>
      <c r="H725" s="51"/>
      <c r="I725" s="52" t="str">
        <f t="array" ref="I725:J726">$I$65:$J$66</f>
        <v>Inspector:</v>
      </c>
      <c r="J725" s="421" t="str">
        <v>Eugene Mah</v>
      </c>
      <c r="L725" s="676" t="s">
        <v>411</v>
      </c>
      <c r="X725" s="664" t="s">
        <v>411</v>
      </c>
      <c r="AE725"/>
      <c r="AF725"/>
      <c r="AG725"/>
      <c r="AH725"/>
      <c r="AI725"/>
    </row>
    <row r="726" spans="1:35" ht="11.25" customHeight="1">
      <c r="A726" s="611">
        <v>66</v>
      </c>
      <c r="B726" s="52" t="str">
        <v>Room Number:</v>
      </c>
      <c r="C726" s="373" t="str">
        <v/>
      </c>
      <c r="E726" s="51"/>
      <c r="F726" s="51"/>
      <c r="G726" s="51"/>
      <c r="H726" s="51"/>
      <c r="I726" s="52" t="str">
        <v>Survey ID:</v>
      </c>
      <c r="J726" s="1045" t="str">
        <v/>
      </c>
      <c r="L726" s="676" t="s">
        <v>411</v>
      </c>
      <c r="X726" s="664" t="s">
        <v>411</v>
      </c>
      <c r="AE726"/>
      <c r="AF726"/>
      <c r="AG726"/>
      <c r="AH726"/>
      <c r="AI726"/>
    </row>
    <row r="727" spans="1:35" ht="11.25" customHeight="1">
      <c r="A727" s="611">
        <v>1</v>
      </c>
      <c r="K727" s="131" t="str">
        <f>$F$2</f>
        <v>Medical University of South Carolina</v>
      </c>
      <c r="L727" s="676" t="s">
        <v>411</v>
      </c>
      <c r="W727" s="131" t="str">
        <f>$F$2</f>
        <v>Medical University of South Carolina</v>
      </c>
      <c r="X727" s="664" t="s">
        <v>411</v>
      </c>
      <c r="AE727"/>
      <c r="AF727"/>
      <c r="AG727"/>
      <c r="AH727"/>
      <c r="AI727"/>
    </row>
    <row r="728" spans="1:35" ht="11.25" customHeight="1">
      <c r="A728" s="611">
        <v>2</v>
      </c>
      <c r="F728" s="82" t="str">
        <f>$F$464</f>
        <v>Measurement Data</v>
      </c>
      <c r="K728" s="132" t="str">
        <f>$F$5</f>
        <v>Radiographic System Compliance Inspection</v>
      </c>
      <c r="L728" s="676" t="s">
        <v>411</v>
      </c>
      <c r="W728" s="132" t="str">
        <f>$F$5</f>
        <v>Radiographic System Compliance Inspection</v>
      </c>
      <c r="X728" s="664" t="s">
        <v>411</v>
      </c>
      <c r="AE728"/>
      <c r="AF728"/>
      <c r="AG728"/>
      <c r="AH728"/>
      <c r="AI728"/>
    </row>
    <row r="729" spans="1:35" ht="11.25" customHeight="1" thickBot="1">
      <c r="A729" s="611">
        <v>3</v>
      </c>
      <c r="L729" s="676" t="s">
        <v>411</v>
      </c>
      <c r="M729" s="215"/>
      <c r="R729" s="82" t="str">
        <f>$F$464</f>
        <v>Measurement Data</v>
      </c>
      <c r="X729" s="664" t="s">
        <v>411</v>
      </c>
      <c r="AE729"/>
      <c r="AF729"/>
      <c r="AG729"/>
      <c r="AH729"/>
      <c r="AI729"/>
    </row>
    <row r="730" spans="1:35" ht="11.25" customHeight="1" thickTop="1" thickBot="1">
      <c r="A730" s="611">
        <v>4</v>
      </c>
      <c r="B730" s="79"/>
      <c r="C730" s="62"/>
      <c r="D730" s="62"/>
      <c r="E730" s="62"/>
      <c r="F730" s="62"/>
      <c r="G730" s="62"/>
      <c r="H730" s="62"/>
      <c r="I730" s="62"/>
      <c r="J730" s="62"/>
      <c r="K730" s="80"/>
      <c r="L730" s="676" t="s">
        <v>411</v>
      </c>
      <c r="X730" s="664" t="s">
        <v>411</v>
      </c>
    </row>
    <row r="731" spans="1:35" ht="11.25" customHeight="1" thickTop="1">
      <c r="A731" s="611">
        <v>5</v>
      </c>
      <c r="B731" s="127"/>
      <c r="F731" s="257" t="s">
        <v>682</v>
      </c>
      <c r="K731" s="71"/>
      <c r="L731" s="676" t="s">
        <v>411</v>
      </c>
      <c r="M731" s="64"/>
      <c r="N731" s="62"/>
      <c r="O731" s="62"/>
      <c r="P731" s="62"/>
      <c r="Q731" s="62"/>
      <c r="R731" s="62"/>
      <c r="S731" s="113"/>
      <c r="T731" s="113"/>
      <c r="U731" s="113"/>
      <c r="V731" s="113"/>
      <c r="W731" s="65"/>
      <c r="X731" s="664" t="s">
        <v>411</v>
      </c>
    </row>
    <row r="732" spans="1:35" ht="11.25" customHeight="1">
      <c r="A732" s="611">
        <v>6</v>
      </c>
      <c r="B732" s="127"/>
      <c r="K732" s="71"/>
      <c r="L732" s="676" t="s">
        <v>411</v>
      </c>
      <c r="M732" s="127"/>
      <c r="R732" s="257" t="s">
        <v>682</v>
      </c>
      <c r="W732" s="71"/>
      <c r="X732" s="664" t="s">
        <v>411</v>
      </c>
    </row>
    <row r="733" spans="1:35" ht="11.25" customHeight="1">
      <c r="A733" s="611">
        <v>7</v>
      </c>
      <c r="B733" s="127"/>
      <c r="C733" s="54" t="s">
        <v>47</v>
      </c>
      <c r="D733" s="59" t="str">
        <f>IF($O$687="","",$O$687)</f>
        <v>Piranha 1 CB2-17090320</v>
      </c>
      <c r="E733" s="59"/>
      <c r="F733" s="48"/>
      <c r="K733" s="71"/>
      <c r="L733" s="676" t="s">
        <v>411</v>
      </c>
      <c r="M733" s="127"/>
      <c r="W733" s="71"/>
      <c r="X733" s="664" t="s">
        <v>411</v>
      </c>
    </row>
    <row r="734" spans="1:35" ht="11.25" customHeight="1">
      <c r="A734" s="611">
        <v>8</v>
      </c>
      <c r="B734" s="127"/>
      <c r="K734" s="71"/>
      <c r="L734" s="676" t="s">
        <v>411</v>
      </c>
      <c r="M734" s="127"/>
      <c r="N734" s="54" t="s">
        <v>47</v>
      </c>
      <c r="O734" s="59" t="str">
        <f>IF($O$687="","",$O$687)</f>
        <v>Piranha 1 CB2-17090320</v>
      </c>
      <c r="P734" s="59"/>
      <c r="Q734" s="48"/>
      <c r="W734" s="71"/>
      <c r="X734" s="664" t="s">
        <v>411</v>
      </c>
    </row>
    <row r="735" spans="1:35" ht="11.25" customHeight="1">
      <c r="A735" s="611">
        <v>9</v>
      </c>
      <c r="B735" s="191" t="s">
        <v>1069</v>
      </c>
      <c r="C735" s="128"/>
      <c r="D735" s="128"/>
      <c r="E735" s="128"/>
      <c r="G735" s="49"/>
      <c r="H735" s="49"/>
      <c r="I735" s="49"/>
      <c r="J735" s="49"/>
      <c r="K735" s="69"/>
      <c r="L735" s="676" t="s">
        <v>411</v>
      </c>
      <c r="M735" s="127"/>
      <c r="W735" s="71"/>
      <c r="X735" s="664" t="s">
        <v>411</v>
      </c>
    </row>
    <row r="736" spans="1:35" ht="11.25" customHeight="1">
      <c r="A736" s="611">
        <v>10</v>
      </c>
      <c r="B736" s="66"/>
      <c r="C736" s="49"/>
      <c r="D736" s="49"/>
      <c r="E736" s="49"/>
      <c r="F736" s="49"/>
      <c r="G736" s="49"/>
      <c r="H736" s="49"/>
      <c r="I736" s="49"/>
      <c r="J736" s="49"/>
      <c r="K736" s="69"/>
      <c r="L736" s="676" t="s">
        <v>411</v>
      </c>
      <c r="M736" s="191" t="s">
        <v>1070</v>
      </c>
      <c r="N736" s="128"/>
      <c r="O736" s="128"/>
      <c r="P736" s="128"/>
      <c r="Q736" s="49"/>
      <c r="R736" s="49"/>
      <c r="S736" s="49"/>
      <c r="T736" s="49"/>
      <c r="U736" s="49"/>
      <c r="V736" s="49"/>
      <c r="W736" s="69"/>
      <c r="X736" s="664" t="s">
        <v>411</v>
      </c>
    </row>
    <row r="737" spans="1:24" ht="11.25" customHeight="1">
      <c r="A737" s="611">
        <v>11</v>
      </c>
      <c r="B737" s="127"/>
      <c r="D737" s="262" t="s">
        <v>69</v>
      </c>
      <c r="E737" s="53"/>
      <c r="H737" s="262" t="s">
        <v>70</v>
      </c>
      <c r="I737" s="53"/>
      <c r="K737" s="69"/>
      <c r="L737" s="676" t="s">
        <v>411</v>
      </c>
      <c r="M737" s="66"/>
      <c r="N737" s="49"/>
      <c r="O737" s="49"/>
      <c r="P737" s="49"/>
      <c r="Q737" s="49"/>
      <c r="R737" s="49"/>
      <c r="S737" s="49"/>
      <c r="T737" s="49"/>
      <c r="U737" s="49"/>
      <c r="V737" s="49"/>
      <c r="W737" s="69"/>
      <c r="X737" s="664" t="s">
        <v>411</v>
      </c>
    </row>
    <row r="738" spans="1:24" ht="11.25" customHeight="1">
      <c r="A738" s="611">
        <v>12</v>
      </c>
      <c r="B738" s="127"/>
      <c r="D738" s="54" t="s">
        <v>80</v>
      </c>
      <c r="E738" s="48">
        <f>IF(N740="","",N740)</f>
        <v>100</v>
      </c>
      <c r="F738" s="50" t="str">
        <f>N739</f>
        <v>cm</v>
      </c>
      <c r="G738" s="49"/>
      <c r="H738" s="54" t="s">
        <v>80</v>
      </c>
      <c r="I738" s="48">
        <f>IF(N759="","",N759)</f>
        <v>100</v>
      </c>
      <c r="J738" s="50" t="str">
        <f>N758</f>
        <v>cm</v>
      </c>
      <c r="K738" s="69"/>
      <c r="L738" s="676" t="s">
        <v>411</v>
      </c>
      <c r="M738" s="66" t="s">
        <v>55</v>
      </c>
      <c r="N738" s="218" t="s">
        <v>79</v>
      </c>
      <c r="O738" s="218" t="s">
        <v>57</v>
      </c>
      <c r="P738" s="218" t="s">
        <v>58</v>
      </c>
      <c r="Q738" s="49"/>
      <c r="R738" s="218"/>
      <c r="S738" s="218" t="s">
        <v>60</v>
      </c>
      <c r="T738" s="66"/>
      <c r="U738" s="50" t="s">
        <v>61</v>
      </c>
      <c r="V738" s="49"/>
      <c r="W738" s="69"/>
      <c r="X738" s="664" t="s">
        <v>411</v>
      </c>
    </row>
    <row r="739" spans="1:24" ht="11.25" customHeight="1" thickBot="1">
      <c r="A739" s="611">
        <v>13</v>
      </c>
      <c r="B739" s="127"/>
      <c r="C739" s="54"/>
      <c r="D739" s="54" t="s">
        <v>607</v>
      </c>
      <c r="E739" s="61">
        <f>IF(R740="","",IF(LFMAS="mA",R740,""))</f>
        <v>400</v>
      </c>
      <c r="F739" s="49"/>
      <c r="G739" s="54"/>
      <c r="H739" s="54" t="s">
        <v>607</v>
      </c>
      <c r="I739" s="61">
        <f>IF(R759="","",IF(SFMAS="mA",R759,""))</f>
        <v>100</v>
      </c>
      <c r="K739" s="69"/>
      <c r="L739" s="676" t="s">
        <v>411</v>
      </c>
      <c r="M739" s="219" t="s">
        <v>62</v>
      </c>
      <c r="N739" s="138" t="str">
        <f>LFSDD</f>
        <v>cm</v>
      </c>
      <c r="O739" s="138" t="s">
        <v>63</v>
      </c>
      <c r="P739" s="138" t="s">
        <v>48</v>
      </c>
      <c r="Q739" s="138" t="s">
        <v>64</v>
      </c>
      <c r="R739" s="138" t="str">
        <f>IF(AND(LFMAS="",SFMAS=""),"mA/mAs",IF(O740="Large",LFMAS,SFMAS))</f>
        <v>mA</v>
      </c>
      <c r="S739" s="138" t="s">
        <v>65</v>
      </c>
      <c r="T739" s="219" t="s">
        <v>66</v>
      </c>
      <c r="U739" s="138" t="s">
        <v>67</v>
      </c>
      <c r="V739" s="138" t="s">
        <v>65</v>
      </c>
      <c r="W739" s="208" t="s">
        <v>1053</v>
      </c>
      <c r="X739" s="664" t="s">
        <v>411</v>
      </c>
    </row>
    <row r="740" spans="1:24" ht="11.25" customHeight="1">
      <c r="A740" s="611">
        <v>14</v>
      </c>
      <c r="B740" s="127"/>
      <c r="C740" s="49"/>
      <c r="D740" s="54" t="s">
        <v>609</v>
      </c>
      <c r="E740" s="61" t="str">
        <f>IF(R740="","",IF(LFMAS="mAs",R740,""))</f>
        <v/>
      </c>
      <c r="F740" s="49"/>
      <c r="G740" s="49"/>
      <c r="H740" s="54" t="s">
        <v>609</v>
      </c>
      <c r="I740" s="61" t="str">
        <f>IF(R759="","",IF(SFMAS="mAs",R759,""))</f>
        <v/>
      </c>
      <c r="K740" s="69"/>
      <c r="L740" s="676" t="s">
        <v>411</v>
      </c>
      <c r="M740" s="1208"/>
      <c r="N740" s="356">
        <f>$N$694</f>
        <v>100</v>
      </c>
      <c r="O740" s="217" t="str">
        <f>$O$695</f>
        <v>Large</v>
      </c>
      <c r="P740" s="1206"/>
      <c r="Q740" s="216">
        <f>Sheet1!A5</f>
        <v>80</v>
      </c>
      <c r="R740" s="426" cm="1">
        <f t="array" ref="R740">_xlfn.SWITCH(LFMAS,"mA",Sheet1!B5,"mAs",Sheet1!C5)</f>
        <v>400</v>
      </c>
      <c r="S740" s="221" cm="1">
        <f t="array" ref="S740">_xlfn.SWITCH(LFMAS,"mA",Sheet1!D5,"mAs","")</f>
        <v>0.05</v>
      </c>
      <c r="T740" s="1213"/>
      <c r="U740" s="217" t="str">
        <f>IF(Sheet1!G5="","",Sheet1!G5)</f>
        <v/>
      </c>
      <c r="V740" s="221" t="str">
        <f>IF(Sheet1!H5="","",Sheet1!H5)</f>
        <v/>
      </c>
      <c r="W740" s="443" t="str">
        <f>IF(Sheet1!I5="","",Sheet1!I5)</f>
        <v/>
      </c>
      <c r="X740" s="664" t="s">
        <v>411</v>
      </c>
    </row>
    <row r="741" spans="1:24" ht="11.25" customHeight="1">
      <c r="A741" s="611">
        <v>15</v>
      </c>
      <c r="B741" s="127"/>
      <c r="C741" s="49"/>
      <c r="D741" s="54" t="s">
        <v>73</v>
      </c>
      <c r="E741" s="155">
        <f>IF(S740="","",S740)</f>
        <v>0.05</v>
      </c>
      <c r="F741" s="49"/>
      <c r="G741" s="49"/>
      <c r="H741" s="54" t="s">
        <v>73</v>
      </c>
      <c r="I741" s="155">
        <f>IF(S759="","",S759)</f>
        <v>0.1</v>
      </c>
      <c r="K741" s="69"/>
      <c r="L741" s="676" t="s">
        <v>411</v>
      </c>
      <c r="M741" s="1208"/>
      <c r="N741" s="356">
        <f>IF(OR(N$740="",$Q741=""),"",N$740)</f>
        <v>100</v>
      </c>
      <c r="O741" s="217" t="str">
        <f>IF(Q741="","",O740)</f>
        <v>Large</v>
      </c>
      <c r="P741" s="1206"/>
      <c r="Q741" s="216">
        <f>Sheet1!A6</f>
        <v>80</v>
      </c>
      <c r="R741" s="426" cm="1">
        <f t="array" ref="R741">_xlfn.SWITCH(LFMAS,"mA",Sheet1!B6,"mAs",Sheet1!C6)</f>
        <v>400</v>
      </c>
      <c r="S741" s="221" cm="1">
        <f t="array" ref="S741">_xlfn.SWITCH(LFMAS,"mA",Sheet1!D6,"mAs","")</f>
        <v>0.05</v>
      </c>
      <c r="T741" s="1213"/>
      <c r="U741" s="217" t="str">
        <f>IF(Sheet1!G6="","",Sheet1!G6)</f>
        <v/>
      </c>
      <c r="V741" s="221" t="str">
        <f>IF(Sheet1!H6="","",Sheet1!H6)</f>
        <v/>
      </c>
      <c r="W741" s="443" t="str">
        <f>IF(Sheet1!I6="","",Sheet1!I6)</f>
        <v/>
      </c>
      <c r="X741" s="664" t="s">
        <v>411</v>
      </c>
    </row>
    <row r="742" spans="1:24" ht="11.25" customHeight="1">
      <c r="A742" s="611">
        <v>16</v>
      </c>
      <c r="B742" s="127"/>
      <c r="C742" s="49"/>
      <c r="D742" s="49"/>
      <c r="E742" s="49"/>
      <c r="F742" s="49"/>
      <c r="G742" s="49"/>
      <c r="H742" s="49"/>
      <c r="I742" s="49"/>
      <c r="K742" s="69"/>
      <c r="L742" s="676" t="s">
        <v>411</v>
      </c>
      <c r="M742" s="1208"/>
      <c r="N742" s="356">
        <f>IF(OR(N$740="",$Q742=""),"",N$740)</f>
        <v>100</v>
      </c>
      <c r="O742" s="217" t="str">
        <f>IF(Q742="","",O741)</f>
        <v>Large</v>
      </c>
      <c r="P742" s="1206"/>
      <c r="Q742" s="216">
        <f>Sheet1!A7</f>
        <v>80</v>
      </c>
      <c r="R742" s="426" cm="1">
        <f t="array" ref="R742">_xlfn.SWITCH(LFMAS,"mA",Sheet1!B7,"mAs",Sheet1!C7)</f>
        <v>400</v>
      </c>
      <c r="S742" s="221" cm="1">
        <f t="array" ref="S742">_xlfn.SWITCH(LFMAS,"mA",Sheet1!D7,"mAs","")</f>
        <v>0.05</v>
      </c>
      <c r="T742" s="1213"/>
      <c r="U742" s="217" t="str">
        <f>IF(Sheet1!G7="","",Sheet1!G7)</f>
        <v/>
      </c>
      <c r="V742" s="221" t="str">
        <f>IF(Sheet1!H7="","",Sheet1!H7)</f>
        <v/>
      </c>
      <c r="W742" s="443" t="str">
        <f>IF(Sheet1!I7="","",Sheet1!I7)</f>
        <v/>
      </c>
      <c r="X742" s="664" t="s">
        <v>411</v>
      </c>
    </row>
    <row r="743" spans="1:24" ht="11.25" customHeight="1">
      <c r="A743" s="611">
        <v>17</v>
      </c>
      <c r="B743" s="127"/>
      <c r="D743" s="49" t="s">
        <v>566</v>
      </c>
      <c r="E743" s="128" t="s">
        <v>567</v>
      </c>
      <c r="F743" s="128"/>
      <c r="G743" s="49"/>
      <c r="H743" s="49" t="s">
        <v>566</v>
      </c>
      <c r="I743" s="128" t="s">
        <v>567</v>
      </c>
      <c r="J743" s="128"/>
      <c r="K743" s="71"/>
      <c r="L743" s="676" t="s">
        <v>411</v>
      </c>
      <c r="M743" s="1208"/>
      <c r="N743" s="356">
        <f>IF(OR(N$740="",$Q743=""),"",N$740)</f>
        <v>100</v>
      </c>
      <c r="O743" s="217" t="str">
        <f>IF(Q743="","",O742)</f>
        <v>Large</v>
      </c>
      <c r="P743" s="1206"/>
      <c r="Q743" s="216">
        <f>Sheet1!A8</f>
        <v>80</v>
      </c>
      <c r="R743" s="426" cm="1">
        <f t="array" ref="R743">_xlfn.SWITCH(LFMAS,"mA",Sheet1!B8,"mAs",Sheet1!C8)</f>
        <v>400</v>
      </c>
      <c r="S743" s="221" cm="1">
        <f t="array" ref="S743">_xlfn.SWITCH(LFMAS,"mA",Sheet1!D8,"mAs","")</f>
        <v>0.05</v>
      </c>
      <c r="T743" s="1213"/>
      <c r="U743" s="217" t="str">
        <f>IF(Sheet1!G8="","",Sheet1!G8)</f>
        <v/>
      </c>
      <c r="V743" s="221" t="str">
        <f>IF(Sheet1!H8="","",Sheet1!H8)</f>
        <v/>
      </c>
      <c r="W743" s="443" t="str">
        <f>IF(Sheet1!I8="","",Sheet1!I8)</f>
        <v/>
      </c>
      <c r="X743" s="664" t="s">
        <v>411</v>
      </c>
    </row>
    <row r="744" spans="1:24" ht="11.25" customHeight="1" thickBot="1">
      <c r="A744" s="611">
        <v>18</v>
      </c>
      <c r="B744" s="127"/>
      <c r="C744" s="49"/>
      <c r="D744" s="146" t="s">
        <v>465</v>
      </c>
      <c r="E744" s="146" t="s">
        <v>465</v>
      </c>
      <c r="F744" s="146" t="s">
        <v>1053</v>
      </c>
      <c r="G744" s="49"/>
      <c r="H744" s="146" t="s">
        <v>465</v>
      </c>
      <c r="I744" s="146" t="s">
        <v>465</v>
      </c>
      <c r="J744" s="146" t="s">
        <v>1053</v>
      </c>
      <c r="K744" s="69"/>
      <c r="L744" s="676" t="s">
        <v>411</v>
      </c>
      <c r="M744" s="1208"/>
      <c r="N744" s="356">
        <f>IF(OR(N$740="",$Q744=""),"",N$740)</f>
        <v>100</v>
      </c>
      <c r="O744" s="217" t="str">
        <f>IF(Q744="","",O743)</f>
        <v>Large</v>
      </c>
      <c r="P744" s="1206"/>
      <c r="Q744" s="216">
        <f>Sheet1!A9</f>
        <v>80</v>
      </c>
      <c r="R744" s="426" cm="1">
        <f t="array" ref="R744">_xlfn.SWITCH(LFMAS,"mA",Sheet1!B9,"mAs",Sheet1!C9)</f>
        <v>400</v>
      </c>
      <c r="S744" s="221" cm="1">
        <f t="array" ref="S744">_xlfn.SWITCH(LFMAS,"mA",Sheet1!D9,"mAs","")</f>
        <v>0.05</v>
      </c>
      <c r="T744" s="1213"/>
      <c r="U744" s="217" t="str">
        <f>IF(Sheet1!G9="","",Sheet1!G9)</f>
        <v/>
      </c>
      <c r="V744" s="221" t="str">
        <f>IF(Sheet1!H9="","",Sheet1!H9)</f>
        <v/>
      </c>
      <c r="W744" s="443" t="str">
        <f>IF(Sheet1!I9="","",Sheet1!I9)</f>
        <v/>
      </c>
      <c r="X744" s="664" t="s">
        <v>411</v>
      </c>
    </row>
    <row r="745" spans="1:24" ht="11.25" customHeight="1">
      <c r="A745" s="611">
        <v>19</v>
      </c>
      <c r="B745" s="127"/>
      <c r="C745" s="49"/>
      <c r="D745" s="217">
        <f>IF(Q740="","",Q740)</f>
        <v>80</v>
      </c>
      <c r="E745" s="118" t="str">
        <f>IF(U740="","",U740)</f>
        <v/>
      </c>
      <c r="F745" s="423" t="str">
        <f t="shared" ref="F745:F754" si="101">IF(W740="","",W740)</f>
        <v/>
      </c>
      <c r="G745" s="49"/>
      <c r="H745" s="217">
        <f>IF(Q759="","",Q759)</f>
        <v>90</v>
      </c>
      <c r="I745" s="118" t="str">
        <f>IF(U759="","",U759)</f>
        <v/>
      </c>
      <c r="J745" s="423" t="str">
        <f t="shared" ref="J745:J754" si="102">IF(W759="","",W759)</f>
        <v/>
      </c>
      <c r="K745" s="69"/>
      <c r="L745" s="676" t="s">
        <v>411</v>
      </c>
      <c r="M745" s="1208"/>
      <c r="N745" s="216" t="str">
        <f t="shared" ref="N745:O749" si="103">IF(AND($T745="",$V745=""),"",N$740)</f>
        <v/>
      </c>
      <c r="O745" s="216" t="str">
        <f t="shared" si="103"/>
        <v/>
      </c>
      <c r="P745" s="1206"/>
      <c r="Q745" s="216" t="str">
        <f>IF(AND($T745="",$V745=""),"",Q$740)</f>
        <v/>
      </c>
      <c r="R745" s="216" t="str">
        <f t="shared" ref="R745:S749" si="104">IF(AND($T745="",$V745=""),"",R$740)</f>
        <v/>
      </c>
      <c r="S745" s="216" t="str">
        <f t="shared" si="104"/>
        <v/>
      </c>
      <c r="T745" s="1205"/>
      <c r="U745" s="623"/>
      <c r="V745" s="624"/>
      <c r="W745" s="625"/>
      <c r="X745" s="664" t="s">
        <v>411</v>
      </c>
    </row>
    <row r="746" spans="1:24" ht="11.25" customHeight="1">
      <c r="A746" s="611">
        <v>20</v>
      </c>
      <c r="B746" s="127"/>
      <c r="C746" s="49"/>
      <c r="D746" s="49"/>
      <c r="E746" s="118" t="str">
        <f t="shared" ref="E746:E754" si="105">IF(U741="","",U741)</f>
        <v/>
      </c>
      <c r="F746" s="423" t="str">
        <f t="shared" si="101"/>
        <v/>
      </c>
      <c r="G746" s="49"/>
      <c r="H746" s="49"/>
      <c r="I746" s="118" t="str">
        <f t="shared" ref="I746:I754" si="106">IF(U760="","",U760)</f>
        <v/>
      </c>
      <c r="J746" s="423" t="str">
        <f t="shared" si="102"/>
        <v/>
      </c>
      <c r="K746" s="69"/>
      <c r="L746" s="676" t="s">
        <v>411</v>
      </c>
      <c r="M746" s="1208"/>
      <c r="N746" s="216" t="str">
        <f t="shared" si="103"/>
        <v/>
      </c>
      <c r="O746" s="216" t="str">
        <f t="shared" si="103"/>
        <v/>
      </c>
      <c r="P746" s="1206"/>
      <c r="Q746" s="216" t="str">
        <f>IF(AND($T746="",$V746=""),"",Q$740)</f>
        <v/>
      </c>
      <c r="R746" s="216" t="str">
        <f t="shared" si="104"/>
        <v/>
      </c>
      <c r="S746" s="216" t="str">
        <f t="shared" si="104"/>
        <v/>
      </c>
      <c r="T746" s="1205"/>
      <c r="U746" s="623"/>
      <c r="V746" s="624"/>
      <c r="W746" s="625"/>
      <c r="X746" s="664" t="s">
        <v>411</v>
      </c>
    </row>
    <row r="747" spans="1:24" ht="11.25" customHeight="1">
      <c r="A747" s="611">
        <v>21</v>
      </c>
      <c r="B747" s="127"/>
      <c r="C747" s="49"/>
      <c r="D747" s="49"/>
      <c r="E747" s="118" t="str">
        <f t="shared" si="105"/>
        <v/>
      </c>
      <c r="F747" s="423" t="str">
        <f t="shared" si="101"/>
        <v/>
      </c>
      <c r="G747" s="49"/>
      <c r="H747" s="49"/>
      <c r="I747" s="118" t="str">
        <f t="shared" si="106"/>
        <v/>
      </c>
      <c r="J747" s="423" t="str">
        <f t="shared" si="102"/>
        <v/>
      </c>
      <c r="K747" s="69"/>
      <c r="L747" s="676" t="s">
        <v>411</v>
      </c>
      <c r="M747" s="1208"/>
      <c r="N747" s="216" t="str">
        <f t="shared" si="103"/>
        <v/>
      </c>
      <c r="O747" s="216" t="str">
        <f t="shared" si="103"/>
        <v/>
      </c>
      <c r="P747" s="1206"/>
      <c r="Q747" s="216" t="str">
        <f>IF(AND($T747="",$V747=""),"",Q$740)</f>
        <v/>
      </c>
      <c r="R747" s="216" t="str">
        <f t="shared" si="104"/>
        <v/>
      </c>
      <c r="S747" s="216" t="str">
        <f t="shared" si="104"/>
        <v/>
      </c>
      <c r="T747" s="1205"/>
      <c r="U747" s="623"/>
      <c r="V747" s="624"/>
      <c r="W747" s="625"/>
      <c r="X747" s="664" t="s">
        <v>411</v>
      </c>
    </row>
    <row r="748" spans="1:24" ht="11.25" customHeight="1">
      <c r="A748" s="611">
        <v>22</v>
      </c>
      <c r="B748" s="127"/>
      <c r="C748" s="49"/>
      <c r="D748" s="49"/>
      <c r="E748" s="118" t="str">
        <f t="shared" si="105"/>
        <v/>
      </c>
      <c r="F748" s="423" t="str">
        <f t="shared" si="101"/>
        <v/>
      </c>
      <c r="G748" s="49"/>
      <c r="H748" s="49"/>
      <c r="I748" s="118" t="str">
        <f t="shared" si="106"/>
        <v/>
      </c>
      <c r="J748" s="423" t="str">
        <f t="shared" si="102"/>
        <v/>
      </c>
      <c r="K748" s="69"/>
      <c r="L748" s="676" t="s">
        <v>411</v>
      </c>
      <c r="M748" s="1208"/>
      <c r="N748" s="216" t="str">
        <f t="shared" si="103"/>
        <v/>
      </c>
      <c r="O748" s="216" t="str">
        <f t="shared" si="103"/>
        <v/>
      </c>
      <c r="P748" s="1206"/>
      <c r="Q748" s="216" t="str">
        <f>IF(AND($T748="",$V748=""),"",Q$740)</f>
        <v/>
      </c>
      <c r="R748" s="216" t="str">
        <f t="shared" si="104"/>
        <v/>
      </c>
      <c r="S748" s="216" t="str">
        <f t="shared" si="104"/>
        <v/>
      </c>
      <c r="T748" s="1205"/>
      <c r="U748" s="623"/>
      <c r="V748" s="624"/>
      <c r="W748" s="625"/>
      <c r="X748" s="664" t="s">
        <v>411</v>
      </c>
    </row>
    <row r="749" spans="1:24" ht="11.25" customHeight="1" thickBot="1">
      <c r="A749" s="611">
        <v>23</v>
      </c>
      <c r="B749" s="127"/>
      <c r="C749" s="49"/>
      <c r="D749" s="49"/>
      <c r="E749" s="118" t="str">
        <f t="shared" si="105"/>
        <v/>
      </c>
      <c r="F749" s="423" t="str">
        <f t="shared" si="101"/>
        <v/>
      </c>
      <c r="G749" s="49"/>
      <c r="H749" s="49"/>
      <c r="I749" s="118" t="str">
        <f t="shared" si="106"/>
        <v/>
      </c>
      <c r="J749" s="423" t="str">
        <f t="shared" si="102"/>
        <v/>
      </c>
      <c r="K749" s="71"/>
      <c r="L749" s="676" t="s">
        <v>411</v>
      </c>
      <c r="M749" s="1212"/>
      <c r="N749" s="223" t="str">
        <f t="shared" si="103"/>
        <v/>
      </c>
      <c r="O749" s="223" t="str">
        <f t="shared" si="103"/>
        <v/>
      </c>
      <c r="P749" s="1215"/>
      <c r="Q749" s="223" t="str">
        <f>IF(AND($T749="",$V749=""),"",Q$740)</f>
        <v/>
      </c>
      <c r="R749" s="223" t="str">
        <f t="shared" si="104"/>
        <v/>
      </c>
      <c r="S749" s="223" t="str">
        <f t="shared" si="104"/>
        <v/>
      </c>
      <c r="T749" s="1214"/>
      <c r="U749" s="626"/>
      <c r="V749" s="627"/>
      <c r="W749" s="628"/>
      <c r="X749" s="664" t="s">
        <v>411</v>
      </c>
    </row>
    <row r="750" spans="1:24" ht="11.25" customHeight="1" thickTop="1">
      <c r="A750" s="611">
        <v>24</v>
      </c>
      <c r="B750" s="127"/>
      <c r="D750" s="49"/>
      <c r="E750" s="118" t="str">
        <f t="shared" si="105"/>
        <v/>
      </c>
      <c r="F750" s="423" t="str">
        <f t="shared" si="101"/>
        <v/>
      </c>
      <c r="G750" s="49"/>
      <c r="H750" s="49"/>
      <c r="I750" s="118" t="str">
        <f t="shared" si="106"/>
        <v/>
      </c>
      <c r="J750" s="423" t="str">
        <f t="shared" si="102"/>
        <v/>
      </c>
      <c r="K750" s="71"/>
      <c r="L750" s="676" t="s">
        <v>411</v>
      </c>
      <c r="M750" s="599" t="s">
        <v>81</v>
      </c>
      <c r="N750" s="113"/>
      <c r="O750" s="113"/>
      <c r="P750" s="113"/>
      <c r="Q750" s="113"/>
      <c r="R750" s="113"/>
      <c r="S750" s="113"/>
      <c r="T750" s="113"/>
      <c r="U750" s="113"/>
      <c r="V750" s="113"/>
      <c r="W750" s="65"/>
      <c r="X750" s="664" t="s">
        <v>411</v>
      </c>
    </row>
    <row r="751" spans="1:24" ht="11.25" customHeight="1">
      <c r="A751" s="611">
        <v>25</v>
      </c>
      <c r="B751" s="127"/>
      <c r="D751" s="49"/>
      <c r="E751" s="118" t="str">
        <f t="shared" si="105"/>
        <v/>
      </c>
      <c r="F751" s="423" t="str">
        <f t="shared" si="101"/>
        <v/>
      </c>
      <c r="G751" s="49"/>
      <c r="H751" s="49"/>
      <c r="I751" s="118" t="str">
        <f t="shared" si="106"/>
        <v/>
      </c>
      <c r="J751" s="423" t="str">
        <f t="shared" si="102"/>
        <v/>
      </c>
      <c r="K751" s="71"/>
      <c r="L751" s="676" t="s">
        <v>411</v>
      </c>
      <c r="M751" s="66"/>
      <c r="N751" s="609" t="s">
        <v>126</v>
      </c>
      <c r="O751" s="1025" t="str">
        <f>IF(O752&lt;&gt;"",O752,IF(OR(AB442=0,AB442=""),"",AB442))</f>
        <v/>
      </c>
      <c r="P751" s="48"/>
      <c r="Q751" s="48"/>
      <c r="R751" s="48"/>
      <c r="S751" s="48"/>
      <c r="T751" s="48"/>
      <c r="U751" s="48"/>
      <c r="V751" s="48"/>
      <c r="W751" s="103"/>
      <c r="X751" s="664" t="s">
        <v>411</v>
      </c>
    </row>
    <row r="752" spans="1:24" ht="11.25" customHeight="1" thickBot="1">
      <c r="A752" s="611">
        <v>26</v>
      </c>
      <c r="B752" s="127"/>
      <c r="D752" s="49"/>
      <c r="E752" s="118" t="str">
        <f t="shared" si="105"/>
        <v/>
      </c>
      <c r="F752" s="423" t="str">
        <f t="shared" si="101"/>
        <v/>
      </c>
      <c r="G752" s="49"/>
      <c r="H752" s="49"/>
      <c r="I752" s="118" t="str">
        <f t="shared" si="106"/>
        <v/>
      </c>
      <c r="J752" s="423" t="str">
        <f t="shared" si="102"/>
        <v/>
      </c>
      <c r="K752" s="71"/>
      <c r="L752" s="676" t="s">
        <v>411</v>
      </c>
      <c r="M752" s="85"/>
      <c r="N752" s="1024" t="s">
        <v>619</v>
      </c>
      <c r="O752" s="1026"/>
      <c r="P752" s="921">
        <f>LEN(O751)</f>
        <v>0</v>
      </c>
      <c r="Q752" s="48"/>
      <c r="R752" s="48"/>
      <c r="S752" s="48"/>
      <c r="T752" s="48"/>
      <c r="U752" s="48"/>
      <c r="V752" s="48"/>
      <c r="W752" s="103"/>
      <c r="X752" s="664" t="s">
        <v>411</v>
      </c>
    </row>
    <row r="753" spans="1:24" ht="11.25" customHeight="1" thickBot="1">
      <c r="A753" s="611">
        <v>27</v>
      </c>
      <c r="B753" s="127"/>
      <c r="D753" s="49"/>
      <c r="E753" s="118" t="str">
        <f t="shared" si="105"/>
        <v/>
      </c>
      <c r="F753" s="423" t="str">
        <f t="shared" si="101"/>
        <v/>
      </c>
      <c r="G753" s="49"/>
      <c r="H753" s="49"/>
      <c r="I753" s="118" t="str">
        <f t="shared" si="106"/>
        <v/>
      </c>
      <c r="J753" s="423" t="str">
        <f t="shared" si="102"/>
        <v/>
      </c>
      <c r="K753" s="71"/>
      <c r="L753" s="676" t="s">
        <v>411</v>
      </c>
      <c r="M753" s="66"/>
      <c r="N753" s="609" t="s">
        <v>126</v>
      </c>
      <c r="O753" s="1025" t="str">
        <f>IF(O754&lt;&gt;"",O754,IF(OR(AB443=0,AB443=""),"",AB443))</f>
        <v/>
      </c>
      <c r="P753" s="995"/>
      <c r="Q753" s="48"/>
      <c r="R753" s="48"/>
      <c r="S753" s="48"/>
      <c r="U753" s="1001" t="s">
        <v>465</v>
      </c>
      <c r="V753" s="1001" t="s">
        <v>1053</v>
      </c>
      <c r="W753" s="1002" t="s">
        <v>468</v>
      </c>
      <c r="X753" s="664" t="s">
        <v>411</v>
      </c>
    </row>
    <row r="754" spans="1:24" ht="11.25" customHeight="1" thickBot="1">
      <c r="A754" s="611">
        <v>28</v>
      </c>
      <c r="B754" s="127"/>
      <c r="D754" s="49"/>
      <c r="E754" s="118" t="str">
        <f t="shared" si="105"/>
        <v/>
      </c>
      <c r="F754" s="423" t="str">
        <f t="shared" si="101"/>
        <v/>
      </c>
      <c r="G754" s="49"/>
      <c r="H754" s="49"/>
      <c r="I754" s="118" t="str">
        <f t="shared" si="106"/>
        <v/>
      </c>
      <c r="J754" s="423" t="str">
        <f t="shared" si="102"/>
        <v/>
      </c>
      <c r="K754" s="69"/>
      <c r="L754" s="676" t="s">
        <v>411</v>
      </c>
      <c r="M754" s="66"/>
      <c r="N754" s="132" t="s">
        <v>619</v>
      </c>
      <c r="O754" s="1026"/>
      <c r="P754" s="920">
        <f>LEN(O753)</f>
        <v>0</v>
      </c>
      <c r="Q754" s="49"/>
      <c r="R754" s="49"/>
      <c r="S754" s="49"/>
      <c r="T754" s="1001" t="s">
        <v>569</v>
      </c>
      <c r="U754" s="998" t="str">
        <f>IF(U740="","NA",IF(E758="TBD","TBD",IF(E758&gt;0.05,"NO","YES")))</f>
        <v>NA</v>
      </c>
      <c r="V754" s="999" t="str">
        <f>IF(W740="","NA",IF(F758="TBD","TBD",IF(F758&gt;0.05,"NO","YES")))</f>
        <v>NA</v>
      </c>
      <c r="W754" s="1000" t="str">
        <f>IF(M806&lt;&gt;1,"NA",IF(K827="TBD","TBD",IF(K827&gt;=0.05,"NO","YES")))</f>
        <v>NA</v>
      </c>
      <c r="X754" s="664" t="s">
        <v>411</v>
      </c>
    </row>
    <row r="755" spans="1:24" ht="11.25" customHeight="1">
      <c r="A755" s="611">
        <v>29</v>
      </c>
      <c r="B755" s="127"/>
      <c r="D755" s="49"/>
      <c r="E755" s="49"/>
      <c r="F755" s="424"/>
      <c r="G755" s="49"/>
      <c r="H755" s="49"/>
      <c r="I755" s="49"/>
      <c r="J755" s="424"/>
      <c r="K755" s="69"/>
      <c r="L755" s="676" t="s">
        <v>411</v>
      </c>
      <c r="M755" s="191" t="s">
        <v>1071</v>
      </c>
      <c r="N755" s="128"/>
      <c r="O755" s="128"/>
      <c r="P755" s="128"/>
      <c r="Q755" s="49"/>
      <c r="R755" s="49"/>
      <c r="S755" s="49"/>
      <c r="T755" s="49"/>
      <c r="U755" s="49"/>
      <c r="V755" s="49"/>
      <c r="W755" s="69"/>
      <c r="X755" s="664" t="s">
        <v>411</v>
      </c>
    </row>
    <row r="756" spans="1:24" ht="11.25" customHeight="1">
      <c r="A756" s="611">
        <v>30</v>
      </c>
      <c r="B756" s="127"/>
      <c r="C756" s="49"/>
      <c r="D756" s="49" t="s">
        <v>83</v>
      </c>
      <c r="E756" s="119" t="str">
        <f>IF(AND(E745&gt;0,MIN(E746:E754)&gt;0),AVERAGE(E745:E754),"")</f>
        <v/>
      </c>
      <c r="F756" s="425" t="str">
        <f>IF(AND(F745&gt;0,MIN(F746:F754)&gt;0),AVERAGE(F745:F754),"")</f>
        <v/>
      </c>
      <c r="G756" s="49"/>
      <c r="H756" s="49" t="s">
        <v>83</v>
      </c>
      <c r="I756" s="119" t="str">
        <f>IF(AND(I745&gt;0,MIN(I746:I754)&gt;0),AVERAGE(I745:I754),"")</f>
        <v/>
      </c>
      <c r="J756" s="425" t="str">
        <f>IF(AND(J745&gt;0,MIN(J746:J754)&gt;0),AVERAGE(J745:J754),"")</f>
        <v/>
      </c>
      <c r="K756" s="69"/>
      <c r="L756" s="676" t="s">
        <v>411</v>
      </c>
      <c r="M756" s="66"/>
      <c r="N756" s="49"/>
      <c r="O756" s="49"/>
      <c r="P756" s="49"/>
      <c r="Q756" s="49"/>
      <c r="R756" s="49"/>
      <c r="S756" s="49"/>
      <c r="T756" s="49"/>
      <c r="U756" s="49"/>
      <c r="V756" s="49"/>
      <c r="W756" s="69"/>
      <c r="X756" s="664" t="s">
        <v>411</v>
      </c>
    </row>
    <row r="757" spans="1:24" ht="11.25" customHeight="1">
      <c r="A757" s="611">
        <v>31</v>
      </c>
      <c r="B757" s="127"/>
      <c r="C757" s="49"/>
      <c r="D757" s="49" t="s">
        <v>84</v>
      </c>
      <c r="E757" s="118" t="str">
        <f>IF(AND(E745&gt;0,MIN(E746:E754)&gt;0),STDEV(E745:E754),"")</f>
        <v/>
      </c>
      <c r="F757" s="118" t="str">
        <f>IF(AND(F745&gt;0,MIN(F746:F754)&gt;0),STDEV(F745:F754),"")</f>
        <v/>
      </c>
      <c r="G757" s="49"/>
      <c r="H757" s="49" t="s">
        <v>84</v>
      </c>
      <c r="I757" s="118" t="str">
        <f>IF(AND(I745&gt;0,MIN(I746:I754)&gt;0),STDEV(I745:I754),"")</f>
        <v/>
      </c>
      <c r="J757" s="118" t="str">
        <f>IF(AND(J745&gt;0,MIN(J746:J754)&gt;0),STDEV(J745:J754),"")</f>
        <v/>
      </c>
      <c r="K757" s="69"/>
      <c r="L757" s="676" t="s">
        <v>411</v>
      </c>
      <c r="M757" s="66" t="s">
        <v>55</v>
      </c>
      <c r="N757" s="218" t="s">
        <v>79</v>
      </c>
      <c r="O757" s="218" t="s">
        <v>57</v>
      </c>
      <c r="P757" s="218" t="s">
        <v>58</v>
      </c>
      <c r="Q757" s="49"/>
      <c r="R757" s="218"/>
      <c r="S757" s="218" t="s">
        <v>60</v>
      </c>
      <c r="T757" s="123"/>
      <c r="U757" s="50" t="s">
        <v>61</v>
      </c>
      <c r="V757" s="49"/>
      <c r="W757" s="69"/>
      <c r="X757" s="664" t="s">
        <v>411</v>
      </c>
    </row>
    <row r="758" spans="1:24" ht="11.25" customHeight="1" thickBot="1">
      <c r="A758" s="611">
        <v>32</v>
      </c>
      <c r="B758" s="127"/>
      <c r="C758" s="49"/>
      <c r="D758" s="49" t="s">
        <v>85</v>
      </c>
      <c r="E758" s="136" t="str">
        <f>IF(E756="","TBD",IF(E756&gt;0,E757/E756,"TBD"))</f>
        <v>TBD</v>
      </c>
      <c r="F758" s="136" t="str">
        <f>IF(F756="","TBD",IF(F756&gt;0,F757/F756,"TBD"))</f>
        <v>TBD</v>
      </c>
      <c r="G758" s="49"/>
      <c r="H758" s="49" t="s">
        <v>85</v>
      </c>
      <c r="I758" s="136" t="str">
        <f>IF(I756="","TBD",IF(I756&gt;0,I757/I756,"TBD"))</f>
        <v>TBD</v>
      </c>
      <c r="J758" s="136" t="str">
        <f>IF(J756="","TBD",IF(J756&gt;0,J757/J756,"TBD"))</f>
        <v>TBD</v>
      </c>
      <c r="K758" s="69"/>
      <c r="L758" s="676" t="s">
        <v>411</v>
      </c>
      <c r="M758" s="219" t="s">
        <v>62</v>
      </c>
      <c r="N758" s="138" t="str">
        <f>SFSDD</f>
        <v>cm</v>
      </c>
      <c r="O758" s="138" t="s">
        <v>63</v>
      </c>
      <c r="P758" s="138" t="s">
        <v>48</v>
      </c>
      <c r="Q758" s="138" t="s">
        <v>64</v>
      </c>
      <c r="R758" s="138" t="str">
        <f>IF(AND(LFMAS="",SFMAS=""),"mA/mAs",IF(O759="Large",LFMAS,SFMAS))</f>
        <v>mA</v>
      </c>
      <c r="S758" s="138" t="s">
        <v>65</v>
      </c>
      <c r="T758" s="259" t="s">
        <v>66</v>
      </c>
      <c r="U758" s="458" t="s">
        <v>67</v>
      </c>
      <c r="V758" s="458" t="s">
        <v>65</v>
      </c>
      <c r="W758" s="208" t="s">
        <v>1053</v>
      </c>
      <c r="X758" s="664" t="s">
        <v>411</v>
      </c>
    </row>
    <row r="759" spans="1:24" ht="11.25" customHeight="1" thickBot="1">
      <c r="A759" s="611">
        <v>33</v>
      </c>
      <c r="B759" s="127"/>
      <c r="D759" s="49"/>
      <c r="E759" s="49"/>
      <c r="F759" s="49"/>
      <c r="G759" s="49"/>
      <c r="H759" s="49"/>
      <c r="I759" s="49"/>
      <c r="J759" s="49"/>
      <c r="K759" s="69"/>
      <c r="L759" s="676" t="s">
        <v>411</v>
      </c>
      <c r="M759" s="1216"/>
      <c r="N759" s="356">
        <f>$N$694</f>
        <v>100</v>
      </c>
      <c r="O759" s="217" t="str">
        <f>$O$714</f>
        <v>Small</v>
      </c>
      <c r="P759" s="1218"/>
      <c r="Q759" s="216">
        <f>Sheet1!A25</f>
        <v>90</v>
      </c>
      <c r="R759" s="426" cm="1">
        <f t="array" ref="R759">_xlfn.SWITCH(SFMAS,"mA",Sheet1!B25,"mAs",Sheet1!C25)</f>
        <v>100</v>
      </c>
      <c r="S759" s="221" cm="1">
        <f t="array" ref="S759">_xlfn.SWITCH(SFMAS,"mA",Sheet1!D25,"mAs","")</f>
        <v>0.1</v>
      </c>
      <c r="T759" s="1221"/>
      <c r="U759" s="196" t="str">
        <f>IF(Sheet1!G25="","",Sheet1!G25)</f>
        <v/>
      </c>
      <c r="V759" s="459" t="str">
        <f>IF(Sheet1!H25="","",Sheet1!H25)</f>
        <v/>
      </c>
      <c r="W759" s="460" t="str">
        <f>IF(Sheet1!I25="","",Sheet1!I25)</f>
        <v/>
      </c>
      <c r="X759" s="664" t="s">
        <v>411</v>
      </c>
    </row>
    <row r="760" spans="1:24" ht="11.25" customHeight="1" thickBot="1">
      <c r="A760" s="611">
        <v>34</v>
      </c>
      <c r="B760" s="66"/>
      <c r="C760" s="49"/>
      <c r="D760" s="258" t="s">
        <v>569</v>
      </c>
      <c r="E760" s="261" t="str">
        <f>IF(U740="","NA",IF(E758="TBD","TBD",IF(E758&gt;0.05,"NO","YES")))</f>
        <v>NA</v>
      </c>
      <c r="F760" s="141" t="str">
        <f>IF(W740="","NA",IF(F758="TBD","TBD",IF(F758&gt;0.05,"NO","YES")))</f>
        <v>NA</v>
      </c>
      <c r="G760" s="49"/>
      <c r="H760" s="258" t="s">
        <v>569</v>
      </c>
      <c r="I760" s="261" t="str">
        <f>IF(U759="","NA",IF(I758="TBD","TBD",IF(I758&gt;0.05,"NO","YES")))</f>
        <v>NA</v>
      </c>
      <c r="J760" s="141" t="str">
        <f>IF(W759="","NA",IF(J758="TBD","TBD",IF(J758&gt;0.05,"NO","YES")))</f>
        <v>NA</v>
      </c>
      <c r="K760" s="69"/>
      <c r="L760" s="676" t="s">
        <v>411</v>
      </c>
      <c r="M760" s="1216"/>
      <c r="N760" s="356">
        <f>IF(OR(N$759="",$Q760=""),"",N$759)</f>
        <v>100</v>
      </c>
      <c r="O760" s="217" t="str">
        <f>IF(Q760="","",O759)</f>
        <v>Small</v>
      </c>
      <c r="P760" s="1218"/>
      <c r="Q760" s="216">
        <f>Sheet1!A26</f>
        <v>90</v>
      </c>
      <c r="R760" s="426" cm="1">
        <f t="array" ref="R760">_xlfn.SWITCH(SFMAS,"mA",Sheet1!B26,"mAs",Sheet1!C26)</f>
        <v>100</v>
      </c>
      <c r="S760" s="221" cm="1">
        <f t="array" ref="S760">_xlfn.SWITCH(SFMAS,"mA",Sheet1!D26,"mAs","")</f>
        <v>0.1</v>
      </c>
      <c r="T760" s="1221"/>
      <c r="U760" s="196" t="str">
        <f>IF(Sheet1!G26="","",Sheet1!G26)</f>
        <v/>
      </c>
      <c r="V760" s="459" t="str">
        <f>IF(Sheet1!H26="","",Sheet1!H26)</f>
        <v/>
      </c>
      <c r="W760" s="103" t="str">
        <f>IF(Sheet1!I26="","",Sheet1!I26)</f>
        <v/>
      </c>
      <c r="X760" s="664" t="s">
        <v>411</v>
      </c>
    </row>
    <row r="761" spans="1:24" ht="11.25" customHeight="1">
      <c r="A761" s="611">
        <v>35</v>
      </c>
      <c r="B761" s="127"/>
      <c r="K761" s="69"/>
      <c r="L761" s="676" t="s">
        <v>411</v>
      </c>
      <c r="M761" s="1216"/>
      <c r="N761" s="356">
        <f>IF(OR(N$759="",$Q761=""),"",N$759)</f>
        <v>100</v>
      </c>
      <c r="O761" s="217" t="str">
        <f>IF(Q761="","",O760)</f>
        <v>Small</v>
      </c>
      <c r="P761" s="1218"/>
      <c r="Q761" s="216">
        <f>Sheet1!A27</f>
        <v>90</v>
      </c>
      <c r="R761" s="426" cm="1">
        <f t="array" ref="R761">_xlfn.SWITCH(SFMAS,"mA",Sheet1!B27,"mAs",Sheet1!C27)</f>
        <v>100</v>
      </c>
      <c r="S761" s="221" cm="1">
        <f t="array" ref="S761">_xlfn.SWITCH(SFMAS,"mA",Sheet1!D27,"mAs","")</f>
        <v>0.1</v>
      </c>
      <c r="T761" s="1221"/>
      <c r="U761" s="196" t="str">
        <f>IF(Sheet1!G27="","",Sheet1!G27)</f>
        <v/>
      </c>
      <c r="V761" s="459" t="str">
        <f>IF(Sheet1!H27="","",Sheet1!H27)</f>
        <v/>
      </c>
      <c r="W761" s="103" t="str">
        <f>IF(Sheet1!I27="","",Sheet1!I27)</f>
        <v/>
      </c>
      <c r="X761" s="664" t="s">
        <v>411</v>
      </c>
    </row>
    <row r="762" spans="1:24" ht="11.25" customHeight="1">
      <c r="A762" s="611">
        <v>36</v>
      </c>
      <c r="B762" s="127"/>
      <c r="C762" s="50" t="s">
        <v>86</v>
      </c>
      <c r="K762" s="69"/>
      <c r="L762" s="676" t="s">
        <v>411</v>
      </c>
      <c r="M762" s="1216"/>
      <c r="N762" s="356">
        <f>IF(OR(N$759="",$Q762=""),"",N$759)</f>
        <v>100</v>
      </c>
      <c r="O762" s="217" t="str">
        <f>IF(Q762="","",O761)</f>
        <v>Small</v>
      </c>
      <c r="P762" s="1218"/>
      <c r="Q762" s="216">
        <f>Sheet1!A28</f>
        <v>90</v>
      </c>
      <c r="R762" s="426" cm="1">
        <f t="array" ref="R762">_xlfn.SWITCH(SFMAS,"mA",Sheet1!B28,"mAs",Sheet1!C28)</f>
        <v>100</v>
      </c>
      <c r="S762" s="221" cm="1">
        <f t="array" ref="S762">_xlfn.SWITCH(SFMAS,"mA",Sheet1!D28,"mAs","")</f>
        <v>0.1</v>
      </c>
      <c r="T762" s="1221"/>
      <c r="U762" s="196" t="str">
        <f>IF(Sheet1!G28="","",Sheet1!G28)</f>
        <v/>
      </c>
      <c r="V762" s="459" t="str">
        <f>IF(Sheet1!H28="","",Sheet1!H28)</f>
        <v/>
      </c>
      <c r="W762" s="103" t="str">
        <f>IF(Sheet1!I28="","",Sheet1!I28)</f>
        <v/>
      </c>
      <c r="X762" s="664" t="s">
        <v>411</v>
      </c>
    </row>
    <row r="763" spans="1:24" ht="11.25" customHeight="1">
      <c r="A763" s="611">
        <v>37</v>
      </c>
      <c r="B763" s="127"/>
      <c r="K763" s="69"/>
      <c r="L763" s="676" t="s">
        <v>411</v>
      </c>
      <c r="M763" s="1216"/>
      <c r="N763" s="356">
        <f>IF(OR(N$759="",$Q763=""),"",N$759)</f>
        <v>100</v>
      </c>
      <c r="O763" s="217" t="str">
        <f>IF(Q763="","",O762)</f>
        <v>Small</v>
      </c>
      <c r="P763" s="1218"/>
      <c r="Q763" s="216">
        <f>Sheet1!A29</f>
        <v>90</v>
      </c>
      <c r="R763" s="426" cm="1">
        <f t="array" ref="R763">_xlfn.SWITCH(SFMAS,"mA",Sheet1!B29,"mAs",Sheet1!C29)</f>
        <v>100</v>
      </c>
      <c r="S763" s="221" cm="1">
        <f t="array" ref="S763">_xlfn.SWITCH(SFMAS,"mA",Sheet1!D29,"mAs","")</f>
        <v>0.1</v>
      </c>
      <c r="T763" s="1221"/>
      <c r="U763" s="196" t="str">
        <f>IF(Sheet1!G29="","",Sheet1!G29)</f>
        <v/>
      </c>
      <c r="V763" s="459" t="str">
        <f>IF(Sheet1!H29="","",Sheet1!H29)</f>
        <v/>
      </c>
      <c r="W763" s="103" t="str">
        <f>IF(Sheet1!I29="","",Sheet1!I29)</f>
        <v/>
      </c>
      <c r="X763" s="664" t="s">
        <v>411</v>
      </c>
    </row>
    <row r="764" spans="1:24" ht="11.25" customHeight="1">
      <c r="A764" s="611">
        <v>38</v>
      </c>
      <c r="B764" s="127"/>
      <c r="C764" s="49"/>
      <c r="D764" s="132" t="s">
        <v>570</v>
      </c>
      <c r="E764" s="100" t="s">
        <v>87</v>
      </c>
      <c r="F764" s="49"/>
      <c r="G764" s="49"/>
      <c r="H764" s="49"/>
      <c r="I764" s="49"/>
      <c r="J764" s="49"/>
      <c r="K764" s="69"/>
      <c r="L764" s="676" t="s">
        <v>411</v>
      </c>
      <c r="M764" s="1213"/>
      <c r="N764" s="216" t="str">
        <f t="shared" ref="N764:S768" si="107">IF(AND($T764="",$V764=""),"",N$759)</f>
        <v/>
      </c>
      <c r="O764" s="216" t="str">
        <f t="shared" si="107"/>
        <v/>
      </c>
      <c r="P764" s="1219"/>
      <c r="Q764" s="216" t="str">
        <f>IF(AND($T764="",$V764=""),"",Q$759)</f>
        <v/>
      </c>
      <c r="R764" s="216" t="str">
        <f>IF(AND($T764="",$V764=""),"",R$759)</f>
        <v/>
      </c>
      <c r="S764" s="216" t="str">
        <f>IF(AND($T764="",$V764=""),"",S$759)</f>
        <v/>
      </c>
      <c r="T764" s="1222"/>
      <c r="U764" s="629"/>
      <c r="V764" s="630"/>
      <c r="W764" s="631"/>
      <c r="X764" s="664" t="s">
        <v>411</v>
      </c>
    </row>
    <row r="765" spans="1:24" ht="11.25" customHeight="1">
      <c r="A765" s="611">
        <v>39</v>
      </c>
      <c r="B765" s="127"/>
      <c r="K765" s="71"/>
      <c r="L765" s="676" t="s">
        <v>411</v>
      </c>
      <c r="M765" s="1213"/>
      <c r="N765" s="216" t="str">
        <f t="shared" si="107"/>
        <v/>
      </c>
      <c r="O765" s="216" t="str">
        <f t="shared" si="107"/>
        <v/>
      </c>
      <c r="P765" s="1219"/>
      <c r="Q765" s="216" t="str">
        <f t="shared" si="107"/>
        <v/>
      </c>
      <c r="R765" s="216" t="str">
        <f t="shared" si="107"/>
        <v/>
      </c>
      <c r="S765" s="216" t="str">
        <f t="shared" si="107"/>
        <v/>
      </c>
      <c r="T765" s="1222"/>
      <c r="U765" s="629"/>
      <c r="V765" s="630"/>
      <c r="W765" s="631"/>
      <c r="X765" s="664" t="s">
        <v>411</v>
      </c>
    </row>
    <row r="766" spans="1:24" ht="11.25" customHeight="1">
      <c r="A766" s="611">
        <v>40</v>
      </c>
      <c r="B766" s="127"/>
      <c r="K766" s="71"/>
      <c r="L766" s="676" t="s">
        <v>411</v>
      </c>
      <c r="M766" s="1213"/>
      <c r="N766" s="216" t="str">
        <f t="shared" si="107"/>
        <v/>
      </c>
      <c r="O766" s="216" t="str">
        <f t="shared" si="107"/>
        <v/>
      </c>
      <c r="P766" s="1219"/>
      <c r="Q766" s="216" t="str">
        <f t="shared" si="107"/>
        <v/>
      </c>
      <c r="R766" s="216" t="str">
        <f t="shared" si="107"/>
        <v/>
      </c>
      <c r="S766" s="216" t="str">
        <f t="shared" si="107"/>
        <v/>
      </c>
      <c r="T766" s="1205"/>
      <c r="U766" s="623"/>
      <c r="V766" s="624"/>
      <c r="W766" s="625"/>
      <c r="X766" s="664" t="s">
        <v>411</v>
      </c>
    </row>
    <row r="767" spans="1:24" ht="11.25" customHeight="1">
      <c r="A767" s="611">
        <v>41</v>
      </c>
      <c r="B767" s="127"/>
      <c r="K767" s="71"/>
      <c r="L767" s="676" t="s">
        <v>411</v>
      </c>
      <c r="M767" s="1213"/>
      <c r="N767" s="216" t="str">
        <f t="shared" si="107"/>
        <v/>
      </c>
      <c r="O767" s="216" t="str">
        <f t="shared" si="107"/>
        <v/>
      </c>
      <c r="P767" s="1219"/>
      <c r="Q767" s="216" t="str">
        <f t="shared" si="107"/>
        <v/>
      </c>
      <c r="R767" s="216" t="str">
        <f t="shared" si="107"/>
        <v/>
      </c>
      <c r="S767" s="216" t="str">
        <f t="shared" si="107"/>
        <v/>
      </c>
      <c r="T767" s="1205"/>
      <c r="U767" s="623"/>
      <c r="V767" s="624"/>
      <c r="W767" s="625"/>
      <c r="X767" s="664" t="s">
        <v>411</v>
      </c>
    </row>
    <row r="768" spans="1:24" ht="11.25" customHeight="1" thickBot="1">
      <c r="A768" s="611">
        <v>42</v>
      </c>
      <c r="B768" s="127"/>
      <c r="K768" s="71"/>
      <c r="L768" s="676" t="s">
        <v>411</v>
      </c>
      <c r="M768" s="1217"/>
      <c r="N768" s="223" t="str">
        <f t="shared" si="107"/>
        <v/>
      </c>
      <c r="O768" s="223" t="str">
        <f t="shared" si="107"/>
        <v/>
      </c>
      <c r="P768" s="1220"/>
      <c r="Q768" s="223" t="str">
        <f t="shared" si="107"/>
        <v/>
      </c>
      <c r="R768" s="223" t="str">
        <f t="shared" si="107"/>
        <v/>
      </c>
      <c r="S768" s="223" t="str">
        <f t="shared" si="107"/>
        <v/>
      </c>
      <c r="T768" s="1214"/>
      <c r="U768" s="626"/>
      <c r="V768" s="627"/>
      <c r="W768" s="628"/>
      <c r="X768" s="664" t="s">
        <v>411</v>
      </c>
    </row>
    <row r="769" spans="1:24" ht="11.25" customHeight="1" thickTop="1">
      <c r="A769" s="611">
        <v>43</v>
      </c>
      <c r="B769" s="102" t="s">
        <v>552</v>
      </c>
      <c r="C769" s="922" t="str">
        <f>IF(O780="","",IF(LEN(O780)&lt;=135,O780,IF(LEN(O780)&lt;=260,LEFT(O780,SEARCH(" ",O780,125)),LEFT(O780,SEARCH(" ",O780,130)))))</f>
        <v/>
      </c>
      <c r="D769" s="48"/>
      <c r="E769" s="48"/>
      <c r="F769" s="48"/>
      <c r="G769" s="48"/>
      <c r="H769" s="48"/>
      <c r="I769" s="48"/>
      <c r="J769" s="48"/>
      <c r="K769" s="71"/>
      <c r="L769" s="676" t="s">
        <v>411</v>
      </c>
      <c r="M769" s="64"/>
      <c r="N769" s="113"/>
      <c r="O769" s="113"/>
      <c r="P769" s="113"/>
      <c r="Q769" s="113"/>
      <c r="R769" s="113"/>
      <c r="S769" s="113"/>
      <c r="T769" s="113"/>
      <c r="U769" s="113"/>
      <c r="V769" s="113"/>
      <c r="W769" s="65"/>
      <c r="X769" s="664" t="s">
        <v>411</v>
      </c>
    </row>
    <row r="770" spans="1:24" ht="11.25" customHeight="1">
      <c r="A770" s="611">
        <v>44</v>
      </c>
      <c r="B770" s="66"/>
      <c r="C770" s="923" t="str">
        <f>IF(LEN(O780)&lt;=135,"",IF(LEN(O780)&lt;=260,RIGHT(O780,LEN(O780)-SEARCH(" ",O780,125)),MID(O780,SEARCH(" ",O780,130),IF(LEN(O780)&lt;=265,LEN(O780),SEARCH(" ",O780,255)-SEARCH(" ",O780,130)))))</f>
        <v/>
      </c>
      <c r="D770" s="48"/>
      <c r="E770" s="48"/>
      <c r="F770" s="48"/>
      <c r="G770" s="48"/>
      <c r="H770" s="48"/>
      <c r="I770" s="48"/>
      <c r="J770" s="48"/>
      <c r="K770" s="71"/>
      <c r="L770" s="676" t="s">
        <v>411</v>
      </c>
      <c r="M770" s="66"/>
      <c r="N770" s="609" t="s">
        <v>126</v>
      </c>
      <c r="O770" s="1025" t="str">
        <f>IF(O771&lt;&gt;"",O771,IF(OR(AB444=0,AB444=""),"",AB444))</f>
        <v/>
      </c>
      <c r="P770" s="1028"/>
      <c r="Q770" s="48"/>
      <c r="R770" s="48"/>
      <c r="S770" s="48"/>
      <c r="T770" s="48"/>
      <c r="V770" s="49"/>
      <c r="W770" s="69"/>
      <c r="X770" s="664" t="s">
        <v>411</v>
      </c>
    </row>
    <row r="771" spans="1:24" ht="11.25" customHeight="1">
      <c r="A771" s="611">
        <v>45</v>
      </c>
      <c r="B771" s="102"/>
      <c r="C771" s="922" t="str">
        <f>IF(LEN(O780)&lt;=265,"",RIGHT(O780,LEN(O780)-SEARCH(" ",O780,255)))</f>
        <v/>
      </c>
      <c r="D771" s="48"/>
      <c r="E771" s="48"/>
      <c r="F771" s="48"/>
      <c r="G771" s="48"/>
      <c r="H771" s="48"/>
      <c r="I771" s="48"/>
      <c r="J771" s="48"/>
      <c r="K771" s="71"/>
      <c r="L771" s="676" t="s">
        <v>411</v>
      </c>
      <c r="M771" s="85"/>
      <c r="N771" s="1024" t="s">
        <v>619</v>
      </c>
      <c r="O771" s="1026"/>
      <c r="P771" s="920">
        <f>LEN(O770)</f>
        <v>0</v>
      </c>
      <c r="R771" s="49"/>
      <c r="S771" s="49"/>
      <c r="T771" s="49"/>
      <c r="W771" s="69"/>
      <c r="X771" s="664" t="s">
        <v>411</v>
      </c>
    </row>
    <row r="772" spans="1:24" ht="11.25" customHeight="1" thickBot="1">
      <c r="A772" s="611">
        <v>46</v>
      </c>
      <c r="B772" s="66"/>
      <c r="C772" s="922" t="str">
        <f>IF(O782="","",IF(LEN(O782)&lt;=135,O782,IF(LEN(O782)&lt;=260,LEFT(O782,SEARCH(" ",O782,125)),LEFT(O782,SEARCH(" ",O782,130)))))</f>
        <v/>
      </c>
      <c r="D772" s="48"/>
      <c r="E772" s="48"/>
      <c r="F772" s="48"/>
      <c r="G772" s="48"/>
      <c r="H772" s="48"/>
      <c r="I772" s="48"/>
      <c r="J772" s="48"/>
      <c r="K772" s="71"/>
      <c r="L772" s="676" t="s">
        <v>411</v>
      </c>
      <c r="M772" s="66"/>
      <c r="N772" s="609" t="s">
        <v>126</v>
      </c>
      <c r="O772" s="1025" t="str">
        <f>IF(O773&lt;&gt;"",O773,IF(OR(AB445=0,AB445=""),"",AB445))</f>
        <v/>
      </c>
      <c r="P772" s="1028"/>
      <c r="Q772" s="48"/>
      <c r="R772" s="48"/>
      <c r="S772" s="48"/>
      <c r="T772" s="48"/>
      <c r="V772" s="49"/>
      <c r="W772" s="69"/>
      <c r="X772" s="664" t="s">
        <v>411</v>
      </c>
    </row>
    <row r="773" spans="1:24" ht="11.25" customHeight="1" thickBot="1">
      <c r="A773" s="611">
        <v>47</v>
      </c>
      <c r="B773" s="66"/>
      <c r="C773" s="923" t="str">
        <f>IF(LEN(O782)&lt;=135,"",IF(LEN(O782)&lt;=260,RIGHT(O782,LEN(O782)-SEARCH(" ",O782,125)),MID(O782,SEARCH(" ",O782,130),IF(LEN(O782)&lt;=265,LEN(O782),SEARCH(" ",O782,255)-SEARCH(" ",O782,130)))))</f>
        <v/>
      </c>
      <c r="D773" s="48"/>
      <c r="E773" s="48"/>
      <c r="F773" s="48"/>
      <c r="G773" s="48"/>
      <c r="H773" s="48"/>
      <c r="I773" s="48"/>
      <c r="J773" s="48"/>
      <c r="K773" s="71"/>
      <c r="L773" s="676" t="s">
        <v>411</v>
      </c>
      <c r="M773" s="66"/>
      <c r="N773" s="132" t="s">
        <v>619</v>
      </c>
      <c r="O773" s="1026"/>
      <c r="P773" s="920">
        <f>LEN(O772)</f>
        <v>0</v>
      </c>
      <c r="R773" s="49"/>
      <c r="S773" s="49"/>
      <c r="T773" s="49"/>
      <c r="U773" s="49"/>
      <c r="V773" s="1001" t="s">
        <v>465</v>
      </c>
      <c r="W773" s="1002" t="s">
        <v>1053</v>
      </c>
      <c r="X773" s="664" t="s">
        <v>411</v>
      </c>
    </row>
    <row r="774" spans="1:24" ht="11.25" customHeight="1" thickBot="1">
      <c r="A774" s="611">
        <v>48</v>
      </c>
      <c r="B774" s="127"/>
      <c r="C774" s="922" t="str">
        <f>IF(LEN(O782)&lt;=265,"",RIGHT(O782,LEN(O782)-SEARCH(" ",O782,255)))</f>
        <v/>
      </c>
      <c r="D774" s="48"/>
      <c r="E774" s="48"/>
      <c r="F774" s="48"/>
      <c r="G774" s="48"/>
      <c r="H774" s="48"/>
      <c r="I774" s="48"/>
      <c r="J774" s="48"/>
      <c r="K774" s="71"/>
      <c r="L774" s="676" t="s">
        <v>411</v>
      </c>
      <c r="M774" s="85"/>
      <c r="N774" s="128"/>
      <c r="O774" s="128"/>
      <c r="Q774" s="50"/>
      <c r="R774" s="49"/>
      <c r="S774" s="49"/>
      <c r="T774" s="49"/>
      <c r="U774" s="1029" t="s">
        <v>569</v>
      </c>
      <c r="V774" s="999" t="str">
        <f>IF(U759="","NA",IF(I758="TBD","TBD",IF(I758&gt;0.05,"NO","YES")))</f>
        <v>NA</v>
      </c>
      <c r="W774" s="1000" t="str">
        <f>IF(W759="","NA",IF(J758="TBD","TBD",IF(J758&gt;0.05,"NO","YES")))</f>
        <v>NA</v>
      </c>
      <c r="X774" s="664" t="s">
        <v>411</v>
      </c>
    </row>
    <row r="775" spans="1:24" ht="11.25" customHeight="1">
      <c r="A775" s="611">
        <v>49</v>
      </c>
      <c r="B775" s="127"/>
      <c r="K775" s="71"/>
      <c r="L775" s="676" t="s">
        <v>411</v>
      </c>
      <c r="M775" s="66"/>
      <c r="N775" s="132" t="s">
        <v>570</v>
      </c>
      <c r="O775" s="100" t="s">
        <v>87</v>
      </c>
      <c r="S775" s="49"/>
      <c r="T775" s="49"/>
      <c r="U775" s="49"/>
      <c r="V775" s="49"/>
      <c r="W775" s="69"/>
      <c r="X775" s="664" t="s">
        <v>411</v>
      </c>
    </row>
    <row r="776" spans="1:24" ht="11.25" customHeight="1">
      <c r="A776" s="611">
        <v>50</v>
      </c>
      <c r="B776" s="127"/>
      <c r="K776" s="71"/>
      <c r="L776" s="676" t="s">
        <v>411</v>
      </c>
      <c r="M776" s="66"/>
      <c r="N776" s="49"/>
      <c r="Q776" s="49"/>
      <c r="R776" s="49"/>
      <c r="S776" s="49"/>
      <c r="T776" s="49"/>
      <c r="U776" s="49"/>
      <c r="V776" s="49"/>
      <c r="W776" s="69"/>
      <c r="X776" s="664" t="s">
        <v>411</v>
      </c>
    </row>
    <row r="777" spans="1:24" ht="11.25" customHeight="1" thickBot="1">
      <c r="A777" s="611">
        <v>51</v>
      </c>
      <c r="B777" s="98"/>
      <c r="C777" s="83"/>
      <c r="D777" s="83"/>
      <c r="E777" s="83"/>
      <c r="F777" s="83"/>
      <c r="G777" s="83"/>
      <c r="H777" s="83"/>
      <c r="I777" s="83"/>
      <c r="J777" s="83"/>
      <c r="K777" s="86"/>
      <c r="L777" s="676" t="s">
        <v>411</v>
      </c>
      <c r="M777" s="98"/>
      <c r="N777" s="83"/>
      <c r="O777" s="83"/>
      <c r="P777" s="83"/>
      <c r="Q777" s="83"/>
      <c r="R777" s="83"/>
      <c r="S777" s="83"/>
      <c r="T777" s="83"/>
      <c r="U777" s="83"/>
      <c r="V777" s="83"/>
      <c r="W777" s="86"/>
      <c r="X777" s="664" t="s">
        <v>411</v>
      </c>
    </row>
    <row r="778" spans="1:24" ht="11.25" customHeight="1" thickTop="1">
      <c r="A778" s="611">
        <v>52</v>
      </c>
      <c r="L778" s="676" t="s">
        <v>411</v>
      </c>
      <c r="X778" s="664" t="s">
        <v>411</v>
      </c>
    </row>
    <row r="779" spans="1:24" ht="11.25" customHeight="1">
      <c r="A779" s="611">
        <v>53</v>
      </c>
      <c r="B779" s="49"/>
      <c r="C779" s="49"/>
      <c r="D779" s="49"/>
      <c r="E779" s="49"/>
      <c r="F779" s="49"/>
      <c r="G779" s="49"/>
      <c r="H779" s="49"/>
      <c r="I779" s="49"/>
      <c r="J779" s="49"/>
      <c r="K779" s="49"/>
      <c r="L779" s="676" t="s">
        <v>411</v>
      </c>
      <c r="N779" s="804" t="s">
        <v>1024</v>
      </c>
      <c r="X779" s="664" t="s">
        <v>411</v>
      </c>
    </row>
    <row r="780" spans="1:24" ht="11.25" customHeight="1">
      <c r="A780" s="611">
        <v>54</v>
      </c>
      <c r="B780" s="49"/>
      <c r="C780" s="49"/>
      <c r="D780" s="49"/>
      <c r="E780" s="49"/>
      <c r="F780" s="49"/>
      <c r="G780" s="49"/>
      <c r="H780" s="49"/>
      <c r="I780" s="49"/>
      <c r="J780" s="49"/>
      <c r="K780" s="49"/>
      <c r="L780" s="676" t="s">
        <v>411</v>
      </c>
      <c r="N780" s="462" t="s">
        <v>509</v>
      </c>
      <c r="O780" s="726" t="str">
        <f>IF(AND(O751="",O753=""),"","Lg. F:  "&amp;O751&amp;IF(O753&lt;&gt;"","; "&amp;O753,""))</f>
        <v/>
      </c>
      <c r="X780" s="664" t="s">
        <v>411</v>
      </c>
    </row>
    <row r="781" spans="1:24" ht="11.25" customHeight="1">
      <c r="A781" s="611">
        <v>55</v>
      </c>
      <c r="B781" s="49"/>
      <c r="C781" s="49"/>
      <c r="D781" s="49"/>
      <c r="E781" s="49"/>
      <c r="F781" s="49"/>
      <c r="G781" s="49"/>
      <c r="H781" s="49"/>
      <c r="I781" s="49"/>
      <c r="J781" s="49"/>
      <c r="K781" s="49"/>
      <c r="L781" s="676" t="s">
        <v>411</v>
      </c>
      <c r="N781" s="462"/>
      <c r="X781" s="664" t="s">
        <v>411</v>
      </c>
    </row>
    <row r="782" spans="1:24" ht="11.25" customHeight="1">
      <c r="A782" s="611">
        <v>56</v>
      </c>
      <c r="B782" s="49"/>
      <c r="C782" s="49"/>
      <c r="D782" s="49"/>
      <c r="E782" s="49"/>
      <c r="F782" s="49"/>
      <c r="G782" s="49"/>
      <c r="H782" s="49"/>
      <c r="I782" s="49"/>
      <c r="J782" s="49"/>
      <c r="K782" s="49"/>
      <c r="L782" s="676" t="s">
        <v>411</v>
      </c>
      <c r="N782" s="462" t="s">
        <v>522</v>
      </c>
      <c r="O782" s="372" t="str">
        <f>IF(AND(O770="",O772=""),"","Sm. F:  "&amp;O770&amp;IF(O772&lt;&gt;"","; "&amp;O772,""))</f>
        <v/>
      </c>
      <c r="X782" s="664" t="s">
        <v>411</v>
      </c>
    </row>
    <row r="783" spans="1:24" ht="11.25" customHeight="1">
      <c r="A783" s="611">
        <v>57</v>
      </c>
      <c r="B783" s="49"/>
      <c r="C783" s="49"/>
      <c r="D783" s="49"/>
      <c r="E783" s="49"/>
      <c r="F783" s="49"/>
      <c r="G783" s="49"/>
      <c r="H783" s="49"/>
      <c r="I783" s="49"/>
      <c r="J783" s="49"/>
      <c r="K783" s="49"/>
      <c r="L783" s="676" t="s">
        <v>411</v>
      </c>
      <c r="X783" s="664" t="s">
        <v>411</v>
      </c>
    </row>
    <row r="784" spans="1:24" ht="11.25" customHeight="1">
      <c r="A784" s="611">
        <v>58</v>
      </c>
      <c r="B784" s="49"/>
      <c r="C784" s="49"/>
      <c r="D784" s="49"/>
      <c r="E784" s="49"/>
      <c r="F784" s="49"/>
      <c r="G784" s="49"/>
      <c r="H784" s="49"/>
      <c r="I784" s="49"/>
      <c r="J784" s="49"/>
      <c r="K784" s="49"/>
      <c r="L784" s="676" t="s">
        <v>411</v>
      </c>
      <c r="X784" s="664" t="s">
        <v>411</v>
      </c>
    </row>
    <row r="785" spans="1:24" ht="11.25" customHeight="1">
      <c r="A785" s="611">
        <v>59</v>
      </c>
      <c r="B785" s="49"/>
      <c r="C785" s="49"/>
      <c r="D785" s="49"/>
      <c r="E785" s="49"/>
      <c r="F785" s="49"/>
      <c r="G785" s="49"/>
      <c r="H785" s="49"/>
      <c r="I785" s="49"/>
      <c r="J785" s="49"/>
      <c r="K785" s="49"/>
      <c r="L785" s="676" t="s">
        <v>411</v>
      </c>
      <c r="X785" s="664" t="s">
        <v>411</v>
      </c>
    </row>
    <row r="786" spans="1:24" ht="11.25" customHeight="1">
      <c r="A786" s="611">
        <v>60</v>
      </c>
      <c r="B786" s="49"/>
      <c r="C786" s="49"/>
      <c r="D786" s="49"/>
      <c r="E786" s="49"/>
      <c r="F786" s="49"/>
      <c r="G786" s="49"/>
      <c r="H786" s="49"/>
      <c r="I786" s="49"/>
      <c r="J786" s="49"/>
      <c r="K786" s="49"/>
      <c r="L786" s="676" t="s">
        <v>411</v>
      </c>
      <c r="X786" s="664" t="s">
        <v>411</v>
      </c>
    </row>
    <row r="787" spans="1:24" ht="11.25" customHeight="1">
      <c r="A787" s="611">
        <v>61</v>
      </c>
      <c r="B787" s="49"/>
      <c r="C787" s="49"/>
      <c r="D787" s="49"/>
      <c r="E787" s="49"/>
      <c r="F787" s="49"/>
      <c r="G787" s="49"/>
      <c r="H787" s="49"/>
      <c r="I787" s="49"/>
      <c r="J787" s="49"/>
      <c r="K787" s="49"/>
      <c r="L787" s="676" t="s">
        <v>411</v>
      </c>
      <c r="X787" s="664" t="s">
        <v>411</v>
      </c>
    </row>
    <row r="788" spans="1:24" ht="11.25" customHeight="1">
      <c r="A788" s="611">
        <v>62</v>
      </c>
      <c r="B788" s="49"/>
      <c r="C788" s="49"/>
      <c r="D788" s="49"/>
      <c r="E788" s="49"/>
      <c r="F788" s="49"/>
      <c r="G788" s="49"/>
      <c r="H788" s="49"/>
      <c r="I788" s="49"/>
      <c r="J788" s="49"/>
      <c r="K788" s="49"/>
      <c r="L788" s="676" t="s">
        <v>411</v>
      </c>
      <c r="X788" s="664" t="s">
        <v>411</v>
      </c>
    </row>
    <row r="789" spans="1:24" ht="11.25" customHeight="1">
      <c r="A789" s="611">
        <v>63</v>
      </c>
      <c r="B789" s="49"/>
      <c r="C789" s="49"/>
      <c r="D789" s="49"/>
      <c r="E789" s="49"/>
      <c r="F789" s="49"/>
      <c r="G789" s="49"/>
      <c r="H789" s="49"/>
      <c r="I789" s="49"/>
      <c r="J789" s="49"/>
      <c r="K789" s="49"/>
      <c r="L789" s="676" t="s">
        <v>411</v>
      </c>
      <c r="X789" s="664" t="s">
        <v>411</v>
      </c>
    </row>
    <row r="790" spans="1:24" ht="11.25" customHeight="1">
      <c r="A790" s="611">
        <v>64</v>
      </c>
      <c r="B790" s="49"/>
      <c r="C790" s="49"/>
      <c r="D790" s="49"/>
      <c r="E790" s="49"/>
      <c r="F790" s="49"/>
      <c r="G790" s="49"/>
      <c r="H790" s="49"/>
      <c r="I790" s="49"/>
      <c r="J790" s="49"/>
      <c r="K790" s="49"/>
      <c r="L790" s="676" t="s">
        <v>411</v>
      </c>
      <c r="X790" s="664" t="s">
        <v>411</v>
      </c>
    </row>
    <row r="791" spans="1:24" ht="11.25" customHeight="1">
      <c r="A791" s="611">
        <v>65</v>
      </c>
      <c r="B791" s="52" t="str">
        <f t="array" ref="B791:C792">$B$65:$C$66</f>
        <v>Date:</v>
      </c>
      <c r="C791" s="1133" t="str">
        <v/>
      </c>
      <c r="D791" s="56"/>
      <c r="E791" s="49"/>
      <c r="F791" s="49"/>
      <c r="G791" s="49"/>
      <c r="H791" s="49"/>
      <c r="I791" s="52" t="str">
        <f t="array" ref="I791:J792">$I$65:$J$66</f>
        <v>Inspector:</v>
      </c>
      <c r="J791" s="421" t="str">
        <v>Eugene Mah</v>
      </c>
      <c r="L791" s="676" t="s">
        <v>411</v>
      </c>
      <c r="X791" s="664" t="s">
        <v>411</v>
      </c>
    </row>
    <row r="792" spans="1:24" ht="11.25" customHeight="1">
      <c r="A792" s="611">
        <v>66</v>
      </c>
      <c r="B792" s="52" t="str">
        <v>Room Number:</v>
      </c>
      <c r="C792" s="373" t="str">
        <v/>
      </c>
      <c r="D792" s="49"/>
      <c r="E792" s="49"/>
      <c r="F792" s="49"/>
      <c r="G792" s="49"/>
      <c r="H792" s="49"/>
      <c r="I792" s="52" t="str">
        <v>Survey ID:</v>
      </c>
      <c r="J792" s="1045" t="str">
        <v/>
      </c>
      <c r="L792" s="676" t="s">
        <v>411</v>
      </c>
      <c r="X792" s="664" t="s">
        <v>411</v>
      </c>
    </row>
    <row r="793" spans="1:24" ht="11.25" customHeight="1">
      <c r="A793" s="611">
        <v>1</v>
      </c>
      <c r="K793" s="131" t="str">
        <f>$F$2</f>
        <v>Medical University of South Carolina</v>
      </c>
      <c r="L793" s="676" t="s">
        <v>411</v>
      </c>
      <c r="W793" s="131" t="str">
        <f>$F$2</f>
        <v>Medical University of South Carolina</v>
      </c>
      <c r="X793" s="664" t="s">
        <v>411</v>
      </c>
    </row>
    <row r="794" spans="1:24" ht="11.25" customHeight="1">
      <c r="A794" s="611">
        <v>2</v>
      </c>
      <c r="F794" s="82" t="str">
        <f>$F$464</f>
        <v>Measurement Data</v>
      </c>
      <c r="K794" s="132" t="str">
        <f>$F$5</f>
        <v>Radiographic System Compliance Inspection</v>
      </c>
      <c r="L794" s="676" t="s">
        <v>411</v>
      </c>
      <c r="W794" s="132" t="str">
        <f>$F$5</f>
        <v>Radiographic System Compliance Inspection</v>
      </c>
      <c r="X794" s="664" t="s">
        <v>411</v>
      </c>
    </row>
    <row r="795" spans="1:24" ht="11.25" customHeight="1" thickBot="1">
      <c r="A795" s="611">
        <v>3</v>
      </c>
      <c r="B795" s="49"/>
      <c r="C795" s="49"/>
      <c r="D795" s="49"/>
      <c r="E795" s="49"/>
      <c r="F795" s="49"/>
      <c r="G795" s="49"/>
      <c r="H795" s="49"/>
      <c r="I795" s="49"/>
      <c r="J795" s="49"/>
      <c r="K795" s="49"/>
      <c r="L795" s="676" t="s">
        <v>411</v>
      </c>
      <c r="M795" s="49"/>
      <c r="N795" s="49"/>
      <c r="O795" s="49"/>
      <c r="P795" s="49"/>
      <c r="Q795" s="49"/>
      <c r="R795" s="49"/>
      <c r="S795" s="49"/>
      <c r="T795" s="49"/>
      <c r="U795" s="49"/>
      <c r="V795" s="49"/>
      <c r="W795" s="49"/>
      <c r="X795" s="664" t="s">
        <v>411</v>
      </c>
    </row>
    <row r="796" spans="1:24" ht="11.25" customHeight="1" thickTop="1">
      <c r="A796" s="611">
        <v>4</v>
      </c>
      <c r="B796" s="79"/>
      <c r="C796" s="62"/>
      <c r="D796" s="62"/>
      <c r="E796" s="62"/>
      <c r="F796" s="62"/>
      <c r="G796" s="62"/>
      <c r="H796" s="62"/>
      <c r="I796" s="62"/>
      <c r="J796" s="62"/>
      <c r="K796" s="80"/>
      <c r="L796" s="676" t="s">
        <v>411</v>
      </c>
      <c r="M796" s="49"/>
      <c r="O796" s="49"/>
      <c r="P796" s="49"/>
      <c r="Q796" s="82" t="str">
        <f>$F$464</f>
        <v>Measurement Data</v>
      </c>
      <c r="R796" s="49"/>
      <c r="S796" s="49"/>
      <c r="T796" s="49"/>
      <c r="U796" s="49"/>
      <c r="V796" s="49"/>
      <c r="W796" s="49"/>
      <c r="X796" s="664" t="s">
        <v>411</v>
      </c>
    </row>
    <row r="797" spans="1:24" ht="11.25" customHeight="1" thickBot="1">
      <c r="A797" s="611">
        <v>5</v>
      </c>
      <c r="B797" s="66"/>
      <c r="C797" s="54" t="s">
        <v>47</v>
      </c>
      <c r="D797" s="59" t="str">
        <f>IF($O$687="","",$O$687)</f>
        <v>Piranha 1 CB2-17090320</v>
      </c>
      <c r="E797" s="59"/>
      <c r="F797" s="48"/>
      <c r="G797" s="49"/>
      <c r="H797" s="49"/>
      <c r="I797" s="49"/>
      <c r="J797" s="49"/>
      <c r="K797" s="69"/>
      <c r="L797" s="676" t="s">
        <v>411</v>
      </c>
      <c r="M797" s="50"/>
      <c r="T797" s="49"/>
      <c r="U797" s="49"/>
      <c r="V797" s="49"/>
      <c r="W797" s="49"/>
      <c r="X797" s="664" t="s">
        <v>411</v>
      </c>
    </row>
    <row r="798" spans="1:24" ht="11.25" customHeight="1" thickTop="1">
      <c r="A798" s="611">
        <v>6</v>
      </c>
      <c r="B798" s="66"/>
      <c r="C798" s="49"/>
      <c r="D798" s="49"/>
      <c r="E798" s="49"/>
      <c r="F798" s="49"/>
      <c r="G798" s="49"/>
      <c r="H798" s="49"/>
      <c r="I798" s="49"/>
      <c r="J798" s="49"/>
      <c r="K798" s="69"/>
      <c r="L798" s="676" t="s">
        <v>411</v>
      </c>
      <c r="M798" s="79"/>
      <c r="N798" s="62"/>
      <c r="O798" s="62"/>
      <c r="P798" s="62"/>
      <c r="Q798" s="62"/>
      <c r="R798" s="62"/>
      <c r="S798" s="62"/>
      <c r="T798" s="62"/>
      <c r="U798" s="62"/>
      <c r="V798" s="62"/>
      <c r="W798" s="80"/>
      <c r="X798" s="664" t="s">
        <v>411</v>
      </c>
    </row>
    <row r="799" spans="1:24" ht="11.25" customHeight="1">
      <c r="A799" s="611">
        <v>7</v>
      </c>
      <c r="B799" s="127"/>
      <c r="K799" s="71"/>
      <c r="L799" s="676" t="s">
        <v>411</v>
      </c>
      <c r="M799" s="66"/>
      <c r="N799" s="54" t="s">
        <v>47</v>
      </c>
      <c r="O799" s="59" t="str">
        <f>IF($O$687="","",$O$687)</f>
        <v>Piranha 1 CB2-17090320</v>
      </c>
      <c r="P799" s="59"/>
      <c r="Q799" s="48"/>
      <c r="R799" s="49"/>
      <c r="S799" s="49"/>
      <c r="T799" s="49"/>
      <c r="U799" s="49"/>
      <c r="V799" s="49"/>
      <c r="W799" s="69"/>
      <c r="X799" s="664" t="s">
        <v>411</v>
      </c>
    </row>
    <row r="800" spans="1:24" ht="11.25" customHeight="1">
      <c r="A800" s="611">
        <v>8</v>
      </c>
      <c r="B800" s="127"/>
      <c r="G800" s="190" t="str">
        <f>"Timer performance ("&amp;O809&amp;" Focal Spot)"</f>
        <v>Timer performance (Large Focal Spot)</v>
      </c>
      <c r="K800" s="71"/>
      <c r="L800" s="676" t="s">
        <v>411</v>
      </c>
      <c r="M800" s="66"/>
      <c r="N800" s="49"/>
      <c r="O800" s="49"/>
      <c r="P800" s="49"/>
      <c r="Q800" s="49"/>
      <c r="R800" s="49"/>
      <c r="S800" s="49"/>
      <c r="T800" s="49"/>
      <c r="U800" s="49"/>
      <c r="V800" s="49"/>
      <c r="W800" s="69"/>
      <c r="X800" s="664" t="s">
        <v>411</v>
      </c>
    </row>
    <row r="801" spans="1:24" ht="11.25" customHeight="1">
      <c r="A801" s="611">
        <v>9</v>
      </c>
      <c r="B801" s="127"/>
      <c r="K801" s="71"/>
      <c r="L801" s="676" t="s">
        <v>411</v>
      </c>
      <c r="M801" s="127"/>
      <c r="W801" s="71"/>
      <c r="X801" s="664" t="s">
        <v>411</v>
      </c>
    </row>
    <row r="802" spans="1:24" ht="11.25" customHeight="1">
      <c r="A802" s="611">
        <v>10</v>
      </c>
      <c r="B802" s="127"/>
      <c r="K802" s="71"/>
      <c r="L802" s="676" t="s">
        <v>411</v>
      </c>
      <c r="M802" s="339" t="s">
        <v>88</v>
      </c>
      <c r="N802" s="49"/>
      <c r="O802" s="49"/>
      <c r="P802" s="49"/>
      <c r="Q802" s="49"/>
      <c r="T802" s="49"/>
      <c r="U802" s="49"/>
      <c r="V802" s="49"/>
      <c r="W802" s="69"/>
      <c r="X802" s="664" t="s">
        <v>411</v>
      </c>
    </row>
    <row r="803" spans="1:24" ht="11.25" customHeight="1">
      <c r="A803" s="611">
        <v>11</v>
      </c>
      <c r="B803" s="66"/>
      <c r="D803" s="272" t="s">
        <v>90</v>
      </c>
      <c r="E803" s="273" t="str">
        <f>IF($O$805="","",$O$805)</f>
        <v>HF</v>
      </c>
      <c r="F803" s="274" t="str">
        <f>$Q$805</f>
        <v xml:space="preserve"> (High Frequency)</v>
      </c>
      <c r="K803" s="71"/>
      <c r="L803" s="676" t="s">
        <v>411</v>
      </c>
      <c r="M803" s="127"/>
      <c r="W803" s="71"/>
      <c r="X803" s="664" t="s">
        <v>411</v>
      </c>
    </row>
    <row r="804" spans="1:24" ht="11.25" customHeight="1">
      <c r="A804" s="611">
        <v>12</v>
      </c>
      <c r="B804" s="127"/>
      <c r="D804" s="49"/>
      <c r="E804" s="49"/>
      <c r="F804" s="49"/>
      <c r="G804" s="49"/>
      <c r="H804" s="49"/>
      <c r="I804" s="49"/>
      <c r="J804" s="49"/>
      <c r="K804" s="69"/>
      <c r="L804" s="676" t="s">
        <v>411</v>
      </c>
      <c r="M804" s="127"/>
      <c r="N804" s="50" t="s">
        <v>89</v>
      </c>
      <c r="W804" s="71"/>
      <c r="X804" s="664" t="s">
        <v>411</v>
      </c>
    </row>
    <row r="805" spans="1:24" ht="11.25" customHeight="1">
      <c r="A805" s="611">
        <v>13</v>
      </c>
      <c r="B805" s="266"/>
      <c r="F805" s="275" t="s">
        <v>565</v>
      </c>
      <c r="G805" s="54"/>
      <c r="H805" s="49"/>
      <c r="I805" s="49"/>
      <c r="J805" s="276" t="s">
        <v>92</v>
      </c>
      <c r="K805" s="468"/>
      <c r="L805" s="676" t="s">
        <v>411</v>
      </c>
      <c r="M805" s="127"/>
      <c r="N805" s="272" t="s">
        <v>90</v>
      </c>
      <c r="O805" s="993" t="str">
        <f>IF(P805&lt;&gt;"",P805,IF(OR(AB182=0,AB182=""),"",AB182))</f>
        <v>HF</v>
      </c>
      <c r="P805" s="697" t="s">
        <v>1048</v>
      </c>
      <c r="Q805" s="274" t="str">
        <f>IF(OR($O$805=0,$O$805="",$O$805="Dent"),"",IF(OR($O$805=1,$O$805=3),"-Phase",IF($O$805="HF"," (High Frequency)",IF($O$805="CP"," (Constant Potential)",""))))</f>
        <v xml:space="preserve"> (High Frequency)</v>
      </c>
      <c r="W805" s="71"/>
      <c r="X805" s="664" t="s">
        <v>411</v>
      </c>
    </row>
    <row r="806" spans="1:24" ht="11.25" customHeight="1">
      <c r="A806" s="611">
        <v>14</v>
      </c>
      <c r="B806" s="127"/>
      <c r="K806" s="71"/>
      <c r="L806" s="676" t="s">
        <v>411</v>
      </c>
      <c r="M806" s="1030" t="str">
        <f>IF($N$806&lt;&gt;"",$N$806,IF(OR(AB183=0,AB183=""),"",AB183))</f>
        <v/>
      </c>
      <c r="N806" s="697"/>
      <c r="O806" s="100" t="s">
        <v>91</v>
      </c>
      <c r="P806" s="49"/>
      <c r="Q806" s="49"/>
      <c r="S806" s="49"/>
      <c r="T806" s="49"/>
      <c r="W806" s="69"/>
      <c r="X806" s="664" t="s">
        <v>411</v>
      </c>
    </row>
    <row r="807" spans="1:24" ht="11.25" customHeight="1">
      <c r="A807" s="611">
        <v>15</v>
      </c>
      <c r="B807" s="127"/>
      <c r="C807" s="54" t="s">
        <v>71</v>
      </c>
      <c r="D807" s="48">
        <f>IF(N809="","",N809)</f>
        <v>100</v>
      </c>
      <c r="E807" s="50" t="str">
        <f>IF(N808="","",N808)</f>
        <v>cm</v>
      </c>
      <c r="G807" s="49"/>
      <c r="H807" s="49"/>
      <c r="I807" s="54" t="s">
        <v>71</v>
      </c>
      <c r="J807" s="48">
        <f>IF(N740="","",N740)</f>
        <v>100</v>
      </c>
      <c r="K807" s="70" t="str">
        <f>IF(N739="","",N739)</f>
        <v>cm</v>
      </c>
      <c r="L807" s="676" t="s">
        <v>411</v>
      </c>
      <c r="M807" s="66" t="s">
        <v>55</v>
      </c>
      <c r="N807" s="218" t="s">
        <v>79</v>
      </c>
      <c r="O807" s="218" t="s">
        <v>57</v>
      </c>
      <c r="P807" s="218" t="s">
        <v>58</v>
      </c>
      <c r="Q807" s="49"/>
      <c r="R807" s="44" t="s">
        <v>93</v>
      </c>
      <c r="S807" s="271"/>
      <c r="T807" s="269"/>
      <c r="U807" s="267" t="s">
        <v>94</v>
      </c>
      <c r="V807" s="128"/>
      <c r="W807" s="69"/>
      <c r="X807" s="664" t="s">
        <v>411</v>
      </c>
    </row>
    <row r="808" spans="1:24" ht="11.25" customHeight="1" thickBot="1">
      <c r="A808" s="611">
        <v>16</v>
      </c>
      <c r="B808" s="127"/>
      <c r="C808" s="54" t="s">
        <v>606</v>
      </c>
      <c r="D808" s="48">
        <f>IF(Q809="","",Q809)</f>
        <v>80</v>
      </c>
      <c r="E808" s="49"/>
      <c r="G808" s="49"/>
      <c r="H808" s="49"/>
      <c r="I808" s="54" t="s">
        <v>606</v>
      </c>
      <c r="J808" s="48">
        <f>IF(Q740="","",Q740)</f>
        <v>80</v>
      </c>
      <c r="K808" s="69"/>
      <c r="L808" s="676" t="s">
        <v>411</v>
      </c>
      <c r="M808" s="219" t="s">
        <v>62</v>
      </c>
      <c r="N808" s="138" t="str">
        <f>LFSDD</f>
        <v>cm</v>
      </c>
      <c r="O808" s="138" t="s">
        <v>63</v>
      </c>
      <c r="P808" s="138" t="s">
        <v>48</v>
      </c>
      <c r="Q808" s="138" t="s">
        <v>64</v>
      </c>
      <c r="R808" s="6" t="str">
        <f>IF(MIN($T$694:$T$701)&gt;0,LFMAS,IF(MIN($T$712:$T$717)&gt;0,SFMAS,"mA/mAs"))</f>
        <v>mA/mAs</v>
      </c>
      <c r="S808" s="268" t="str">
        <f>IF($O$805=1,"Pulses","seconds")</f>
        <v>seconds</v>
      </c>
      <c r="T808" s="270" t="s">
        <v>66</v>
      </c>
      <c r="U808" s="138" t="s">
        <v>67</v>
      </c>
      <c r="V808" s="138" t="str">
        <f>IF($O$805=1,"Pulses","seconds")</f>
        <v>seconds</v>
      </c>
      <c r="W808" s="208" t="s">
        <v>1053</v>
      </c>
      <c r="X808" s="664" t="s">
        <v>411</v>
      </c>
    </row>
    <row r="809" spans="1:24" ht="11.25" customHeight="1">
      <c r="A809" s="611">
        <v>17</v>
      </c>
      <c r="B809" s="102"/>
      <c r="D809" s="351"/>
      <c r="E809" s="49"/>
      <c r="G809" s="49"/>
      <c r="H809" s="49"/>
      <c r="I809" s="54" t="s">
        <v>607</v>
      </c>
      <c r="J809" s="61">
        <f>IF(R740="","",IF(R739="mA",R740,""))</f>
        <v>400</v>
      </c>
      <c r="K809" s="69"/>
      <c r="L809" s="676" t="s">
        <v>411</v>
      </c>
      <c r="M809" s="1216"/>
      <c r="N809" s="356">
        <f>$N$694</f>
        <v>100</v>
      </c>
      <c r="O809" s="217" t="str">
        <f>Sheet1!F37</f>
        <v>Large</v>
      </c>
      <c r="P809" s="1218"/>
      <c r="Q809" s="216">
        <f>Sheet1!A37</f>
        <v>80</v>
      </c>
      <c r="R809" s="426" cm="1">
        <f t="array" ref="R809">_xlfn.SWITCH(LFMAS,"mA",Sheet1!B37,"mAs",Sheet1!C37)</f>
        <v>200</v>
      </c>
      <c r="S809" s="480">
        <f>Sheet1!D37</f>
        <v>0.01</v>
      </c>
      <c r="T809" s="1224"/>
      <c r="U809" s="217" t="str">
        <f>IF(Sheet1!G37="","",Sheet1!G37)</f>
        <v/>
      </c>
      <c r="V809" s="221" t="str">
        <f>IF(Sheet1!H37="","",Sheet1!H37)</f>
        <v/>
      </c>
      <c r="W809" s="443" t="str">
        <f>IF(Sheet1!I37="","",Sheet1!I37)</f>
        <v/>
      </c>
      <c r="X809" s="664" t="s">
        <v>411</v>
      </c>
    </row>
    <row r="810" spans="1:24" ht="11.25" customHeight="1">
      <c r="A810" s="611">
        <v>18</v>
      </c>
      <c r="B810" s="102"/>
      <c r="F810" s="49"/>
      <c r="G810" s="49"/>
      <c r="H810" s="49"/>
      <c r="I810" s="54" t="s">
        <v>609</v>
      </c>
      <c r="J810" s="222" t="str">
        <f>IF(R740="","",IF(R739="mAs",R740,""))</f>
        <v/>
      </c>
      <c r="K810" s="69"/>
      <c r="L810" s="676" t="s">
        <v>411</v>
      </c>
      <c r="M810" s="1216"/>
      <c r="N810" s="356">
        <f>IF(AND(R810="",S810=""),"",$N$809)</f>
        <v>100</v>
      </c>
      <c r="O810" s="217" t="str">
        <f>Sheet1!F38</f>
        <v>Large</v>
      </c>
      <c r="P810" s="1223"/>
      <c r="Q810" s="216">
        <f>Sheet1!A38</f>
        <v>80</v>
      </c>
      <c r="R810" s="426" cm="1">
        <f t="array" ref="R810">_xlfn.SWITCH(LFMAS,"mA",Sheet1!B38,"mAs",Sheet1!C38)</f>
        <v>200</v>
      </c>
      <c r="S810" s="480">
        <f>Sheet1!D38</f>
        <v>0.02</v>
      </c>
      <c r="T810" s="1224"/>
      <c r="U810" s="217" t="str">
        <f>IF(Sheet1!G38="","",Sheet1!G38)</f>
        <v/>
      </c>
      <c r="V810" s="221" t="str">
        <f>IF(Sheet1!H38="","",Sheet1!H38)</f>
        <v/>
      </c>
      <c r="W810" s="443" t="str">
        <f>IF(Sheet1!I38="","",Sheet1!I38)</f>
        <v/>
      </c>
      <c r="X810" s="664" t="s">
        <v>411</v>
      </c>
    </row>
    <row r="811" spans="1:24" ht="11.25" customHeight="1">
      <c r="A811" s="611">
        <v>19</v>
      </c>
      <c r="B811" s="66"/>
      <c r="D811" s="49"/>
      <c r="E811" s="49"/>
      <c r="F811" s="49"/>
      <c r="G811" s="49"/>
      <c r="H811" s="49"/>
      <c r="I811" s="49"/>
      <c r="J811" s="49"/>
      <c r="K811" s="69"/>
      <c r="L811" s="676" t="s">
        <v>411</v>
      </c>
      <c r="M811" s="1216"/>
      <c r="N811" s="356">
        <f>IF(AND(R811="",S811=""),"",$N$809)</f>
        <v>100</v>
      </c>
      <c r="O811" s="217" t="str">
        <f>Sheet1!F39</f>
        <v>Large</v>
      </c>
      <c r="P811" s="1223"/>
      <c r="Q811" s="216">
        <f>Sheet1!A39</f>
        <v>80</v>
      </c>
      <c r="R811" s="426" cm="1">
        <f t="array" ref="R811">_xlfn.SWITCH(LFMAS,"mA",Sheet1!B39,"mAs",Sheet1!C39)</f>
        <v>200</v>
      </c>
      <c r="S811" s="480">
        <f>Sheet1!D39</f>
        <v>0.04</v>
      </c>
      <c r="T811" s="1224"/>
      <c r="U811" s="217" t="str">
        <f>IF(Sheet1!G39="","",Sheet1!G39)</f>
        <v/>
      </c>
      <c r="V811" s="221" t="str">
        <f>IF(Sheet1!H39="","",Sheet1!H39)</f>
        <v/>
      </c>
      <c r="W811" s="443" t="str">
        <f>IF(Sheet1!I39="","",Sheet1!I39)</f>
        <v/>
      </c>
      <c r="X811" s="664" t="s">
        <v>411</v>
      </c>
    </row>
    <row r="812" spans="1:24" ht="11.25" customHeight="1">
      <c r="A812" s="611">
        <v>20</v>
      </c>
      <c r="B812" s="474" t="s">
        <v>95</v>
      </c>
      <c r="C812" s="659"/>
      <c r="D812" s="49"/>
      <c r="E812" s="149" t="str">
        <f>"Time"&amp;IF($O$805=1," (Pulses)"," (sec)")</f>
        <v>Time (sec)</v>
      </c>
      <c r="F812" s="150"/>
      <c r="G812" s="49" t="s">
        <v>568</v>
      </c>
      <c r="H812" s="49"/>
      <c r="I812" s="49"/>
      <c r="J812" s="149" t="str">
        <f>"Time"&amp;IF($O$805=1," (Pulses)"," (sec)")</f>
        <v>Time (sec)</v>
      </c>
      <c r="K812" s="186"/>
      <c r="L812" s="676" t="s">
        <v>411</v>
      </c>
      <c r="M812" s="1216"/>
      <c r="N812" s="356">
        <f>IF(AND(R812="",S812=""),"",$N$809)</f>
        <v>100</v>
      </c>
      <c r="O812" s="217" t="str">
        <f>Sheet1!F40</f>
        <v>Large</v>
      </c>
      <c r="P812" s="1223"/>
      <c r="Q812" s="216">
        <f>Sheet1!A40</f>
        <v>80</v>
      </c>
      <c r="R812" s="426" cm="1">
        <f t="array" ref="R812">_xlfn.SWITCH(LFMAS,"mA",Sheet1!B40,"mAs",Sheet1!C40)</f>
        <v>200</v>
      </c>
      <c r="S812" s="480">
        <f>Sheet1!D40</f>
        <v>0.1</v>
      </c>
      <c r="T812" s="1224"/>
      <c r="U812" s="217" t="str">
        <f>IF(Sheet1!G40="","",Sheet1!G40)</f>
        <v/>
      </c>
      <c r="V812" s="221" t="str">
        <f>IF(Sheet1!H40="","",Sheet1!H40)</f>
        <v/>
      </c>
      <c r="W812" s="443" t="str">
        <f>IF(Sheet1!I40="","",Sheet1!I40)</f>
        <v/>
      </c>
      <c r="X812" s="664" t="s">
        <v>411</v>
      </c>
    </row>
    <row r="813" spans="1:24" ht="11.25" customHeight="1" thickBot="1">
      <c r="A813" s="611">
        <v>21</v>
      </c>
      <c r="B813" s="219" t="s">
        <v>66</v>
      </c>
      <c r="C813" s="138" t="s">
        <v>67</v>
      </c>
      <c r="D813" s="138" t="str">
        <f t="shared" ref="D813:D823" si="108">IF(R808="","",R808)</f>
        <v>mA/mAs</v>
      </c>
      <c r="E813" s="146" t="s">
        <v>566</v>
      </c>
      <c r="F813" s="137" t="s">
        <v>567</v>
      </c>
      <c r="G813" s="146" t="str">
        <f>IF($O$805=1," (Pulses)"," (Percent)")</f>
        <v xml:space="preserve"> (Percent)</v>
      </c>
      <c r="H813" s="146" t="s">
        <v>631</v>
      </c>
      <c r="I813" s="49"/>
      <c r="J813" s="146" t="s">
        <v>566</v>
      </c>
      <c r="K813" s="208" t="s">
        <v>567</v>
      </c>
      <c r="L813" s="676" t="s">
        <v>411</v>
      </c>
      <c r="M813" s="1216"/>
      <c r="N813" s="356">
        <f>IF(AND(R813="",S813=""),"",$N$809)</f>
        <v>100</v>
      </c>
      <c r="O813" s="217" t="str">
        <f>Sheet1!F41</f>
        <v>Large</v>
      </c>
      <c r="P813" s="1223"/>
      <c r="Q813" s="216">
        <f>Sheet1!A41</f>
        <v>80</v>
      </c>
      <c r="R813" s="426" cm="1">
        <f t="array" ref="R813">_xlfn.SWITCH(LFMAS,"mA",Sheet1!B41,"mAs",Sheet1!C41)</f>
        <v>200</v>
      </c>
      <c r="S813" s="480">
        <f>Sheet1!D41</f>
        <v>0.25</v>
      </c>
      <c r="T813" s="1224"/>
      <c r="U813" s="217" t="str">
        <f>IF(Sheet1!G41="","",Sheet1!G41)</f>
        <v/>
      </c>
      <c r="V813" s="221" t="str">
        <f>IF(Sheet1!H41="","",Sheet1!H41)</f>
        <v/>
      </c>
      <c r="W813" s="443" t="str">
        <f>IF(Sheet1!I41="","",Sheet1!I41)</f>
        <v/>
      </c>
      <c r="X813" s="664" t="s">
        <v>411</v>
      </c>
    </row>
    <row r="814" spans="1:24" ht="11.25" customHeight="1">
      <c r="A814" s="611">
        <v>22</v>
      </c>
      <c r="B814" s="471" t="str">
        <f t="shared" ref="B814:B823" si="109">IF(T809="","",T809)</f>
        <v/>
      </c>
      <c r="C814" s="473" t="str">
        <f t="shared" ref="C814:C823" si="110">IF(U809="","",U809)</f>
        <v/>
      </c>
      <c r="D814" s="217">
        <f t="shared" si="108"/>
        <v>200</v>
      </c>
      <c r="E814" s="120">
        <f t="shared" ref="E814:E823" si="111">IF(S809="","",S809)</f>
        <v>0.01</v>
      </c>
      <c r="F814" s="263" t="str">
        <f t="shared" ref="F814:F823" si="112">IF(V809="","",V809)</f>
        <v/>
      </c>
      <c r="G814" s="232" t="str">
        <f t="shared" ref="G814:G823" si="113">IF(OR(E814="",F814="",AND(LFMAS="",SFMAS=""),AND($AO$722="Large",LFMAS="mAs"),AND($AO$722="Small",SFMAS="mAs")),"",IF($O$805=1,(F814-E814),IF(AND(E814&gt;0,F814&gt;0),(ROUND(100*(F814-E814)/E814,1)),"")))</f>
        <v/>
      </c>
      <c r="H814" s="118" t="str">
        <f t="shared" ref="H814:H823" si="114">IF(AND($D$813&lt;&gt;"mAs",E814&lt;&gt;"",F814=""),"TBD",IF(G814="",IF(E814="","","NA"),IF($O$805="Dent",W828,IF($O$805=1,V828,U828))))</f>
        <v>TBD</v>
      </c>
      <c r="I814" s="49"/>
      <c r="J814" s="265">
        <f>IF(S740="","",S740)</f>
        <v>0.05</v>
      </c>
      <c r="K814" s="233" t="str">
        <f t="shared" ref="K814:K823" si="115">IF(V740="","",V740)</f>
        <v/>
      </c>
      <c r="L814" s="676" t="s">
        <v>411</v>
      </c>
      <c r="M814" s="1216"/>
      <c r="N814" s="356">
        <f>IF(AND(R814="",S814=""),"",$N$809)</f>
        <v>100</v>
      </c>
      <c r="O814" s="217" t="str">
        <f>Sheet1!F42</f>
        <v>Large</v>
      </c>
      <c r="P814" s="1223"/>
      <c r="Q814" s="216">
        <f>Sheet1!A42</f>
        <v>80</v>
      </c>
      <c r="R814" s="426" cm="1">
        <f t="array" ref="R814">_xlfn.SWITCH(LFMAS,"mA",Sheet1!B42,"mAs",Sheet1!C42)</f>
        <v>200</v>
      </c>
      <c r="S814" s="480">
        <f>Sheet1!D42</f>
        <v>0.4</v>
      </c>
      <c r="T814" s="1224"/>
      <c r="U814" s="217" t="str">
        <f>IF(Sheet1!G42="","",Sheet1!G42)</f>
        <v/>
      </c>
      <c r="V814" s="221" t="str">
        <f>IF(Sheet1!H42="","",Sheet1!H42)</f>
        <v/>
      </c>
      <c r="W814" s="443" t="str">
        <f>IF(Sheet1!I42="","",Sheet1!I42)</f>
        <v/>
      </c>
      <c r="X814" s="664" t="s">
        <v>411</v>
      </c>
    </row>
    <row r="815" spans="1:24" ht="11.25" customHeight="1">
      <c r="A815" s="611">
        <v>23</v>
      </c>
      <c r="B815" s="471" t="str">
        <f t="shared" si="109"/>
        <v/>
      </c>
      <c r="C815" s="473" t="str">
        <f t="shared" si="110"/>
        <v/>
      </c>
      <c r="D815" s="217">
        <f t="shared" si="108"/>
        <v>200</v>
      </c>
      <c r="E815" s="120">
        <f t="shared" si="111"/>
        <v>0.02</v>
      </c>
      <c r="F815" s="263" t="str">
        <f t="shared" si="112"/>
        <v/>
      </c>
      <c r="G815" s="232" t="str">
        <f t="shared" si="113"/>
        <v/>
      </c>
      <c r="H815" s="118" t="str">
        <f t="shared" si="114"/>
        <v>TBD</v>
      </c>
      <c r="I815" s="49"/>
      <c r="J815" s="264"/>
      <c r="K815" s="233" t="str">
        <f t="shared" si="115"/>
        <v/>
      </c>
      <c r="L815" s="676" t="s">
        <v>411</v>
      </c>
      <c r="M815" s="1213"/>
      <c r="N815" s="356" t="str">
        <f t="shared" ref="N815:Q818" si="116">IF(AND($R815="",$S815=""),"",N$809)</f>
        <v/>
      </c>
      <c r="O815" s="356" t="str">
        <f t="shared" si="116"/>
        <v/>
      </c>
      <c r="P815" s="1219"/>
      <c r="Q815" s="356" t="str">
        <f t="shared" si="116"/>
        <v/>
      </c>
      <c r="R815" s="426" t="str">
        <f>IF($S815="","",$R$809)</f>
        <v/>
      </c>
      <c r="S815" s="632"/>
      <c r="T815" s="1225"/>
      <c r="U815" s="623"/>
      <c r="V815" s="624"/>
      <c r="W815" s="625"/>
      <c r="X815" s="664" t="s">
        <v>411</v>
      </c>
    </row>
    <row r="816" spans="1:24" ht="11.25" customHeight="1">
      <c r="A816" s="611">
        <v>24</v>
      </c>
      <c r="B816" s="471" t="str">
        <f t="shared" si="109"/>
        <v/>
      </c>
      <c r="C816" s="473" t="str">
        <f t="shared" si="110"/>
        <v/>
      </c>
      <c r="D816" s="217">
        <f t="shared" si="108"/>
        <v>200</v>
      </c>
      <c r="E816" s="120">
        <f t="shared" si="111"/>
        <v>0.04</v>
      </c>
      <c r="F816" s="263" t="str">
        <f t="shared" si="112"/>
        <v/>
      </c>
      <c r="G816" s="232" t="str">
        <f t="shared" si="113"/>
        <v/>
      </c>
      <c r="H816" s="118" t="str">
        <f t="shared" si="114"/>
        <v>TBD</v>
      </c>
      <c r="I816" s="49"/>
      <c r="J816" s="264"/>
      <c r="K816" s="233" t="str">
        <f t="shared" si="115"/>
        <v/>
      </c>
      <c r="L816" s="676" t="s">
        <v>411</v>
      </c>
      <c r="M816" s="1213"/>
      <c r="N816" s="356" t="str">
        <f t="shared" si="116"/>
        <v/>
      </c>
      <c r="O816" s="356" t="str">
        <f t="shared" si="116"/>
        <v/>
      </c>
      <c r="P816" s="1219"/>
      <c r="Q816" s="356" t="str">
        <f t="shared" si="116"/>
        <v/>
      </c>
      <c r="R816" s="426" t="str">
        <f>IF($S816="","",$R$809)</f>
        <v/>
      </c>
      <c r="S816" s="632"/>
      <c r="T816" s="1225"/>
      <c r="U816" s="623"/>
      <c r="V816" s="624"/>
      <c r="W816" s="625"/>
      <c r="X816" s="664" t="s">
        <v>411</v>
      </c>
    </row>
    <row r="817" spans="1:24" ht="11.25" customHeight="1">
      <c r="A817" s="611">
        <v>25</v>
      </c>
      <c r="B817" s="471" t="str">
        <f t="shared" si="109"/>
        <v/>
      </c>
      <c r="C817" s="473" t="str">
        <f t="shared" si="110"/>
        <v/>
      </c>
      <c r="D817" s="217">
        <f t="shared" si="108"/>
        <v>200</v>
      </c>
      <c r="E817" s="120">
        <f t="shared" si="111"/>
        <v>0.1</v>
      </c>
      <c r="F817" s="263" t="str">
        <f t="shared" si="112"/>
        <v/>
      </c>
      <c r="G817" s="232" t="str">
        <f t="shared" si="113"/>
        <v/>
      </c>
      <c r="H817" s="118" t="str">
        <f t="shared" si="114"/>
        <v>TBD</v>
      </c>
      <c r="I817" s="49"/>
      <c r="J817" s="264"/>
      <c r="K817" s="233" t="str">
        <f t="shared" si="115"/>
        <v/>
      </c>
      <c r="L817" s="676" t="s">
        <v>411</v>
      </c>
      <c r="M817" s="1213"/>
      <c r="N817" s="356" t="str">
        <f t="shared" si="116"/>
        <v/>
      </c>
      <c r="O817" s="356" t="str">
        <f t="shared" si="116"/>
        <v/>
      </c>
      <c r="P817" s="1219"/>
      <c r="Q817" s="356" t="str">
        <f t="shared" si="116"/>
        <v/>
      </c>
      <c r="R817" s="426" t="str">
        <f>IF($S817="","",$R$809)</f>
        <v/>
      </c>
      <c r="S817" s="632"/>
      <c r="T817" s="1225"/>
      <c r="U817" s="623"/>
      <c r="V817" s="624"/>
      <c r="W817" s="625"/>
      <c r="X817" s="664" t="s">
        <v>411</v>
      </c>
    </row>
    <row r="818" spans="1:24" ht="11.25" customHeight="1" thickBot="1">
      <c r="A818" s="611">
        <v>26</v>
      </c>
      <c r="B818" s="471" t="str">
        <f t="shared" si="109"/>
        <v/>
      </c>
      <c r="C818" s="473" t="str">
        <f t="shared" si="110"/>
        <v/>
      </c>
      <c r="D818" s="217">
        <f t="shared" si="108"/>
        <v>200</v>
      </c>
      <c r="E818" s="120">
        <f t="shared" si="111"/>
        <v>0.25</v>
      </c>
      <c r="F818" s="263" t="str">
        <f t="shared" si="112"/>
        <v/>
      </c>
      <c r="G818" s="232" t="str">
        <f t="shared" si="113"/>
        <v/>
      </c>
      <c r="H818" s="118" t="str">
        <f t="shared" si="114"/>
        <v>TBD</v>
      </c>
      <c r="I818" s="49"/>
      <c r="J818" s="264"/>
      <c r="K818" s="233" t="str">
        <f t="shared" si="115"/>
        <v/>
      </c>
      <c r="L818" s="676" t="s">
        <v>411</v>
      </c>
      <c r="M818" s="1217"/>
      <c r="N818" s="357" t="str">
        <f t="shared" si="116"/>
        <v/>
      </c>
      <c r="O818" s="357" t="str">
        <f t="shared" si="116"/>
        <v/>
      </c>
      <c r="P818" s="1220"/>
      <c r="Q818" s="357" t="str">
        <f t="shared" si="116"/>
        <v/>
      </c>
      <c r="R818" s="461" t="str">
        <f>IF($S818="","",$R$809)</f>
        <v/>
      </c>
      <c r="S818" s="633"/>
      <c r="T818" s="1226"/>
      <c r="U818" s="626"/>
      <c r="V818" s="627"/>
      <c r="W818" s="628"/>
      <c r="X818" s="664" t="s">
        <v>411</v>
      </c>
    </row>
    <row r="819" spans="1:24" ht="11.25" customHeight="1" thickTop="1">
      <c r="A819" s="611">
        <v>27</v>
      </c>
      <c r="B819" s="471" t="str">
        <f t="shared" si="109"/>
        <v/>
      </c>
      <c r="C819" s="473" t="str">
        <f t="shared" si="110"/>
        <v/>
      </c>
      <c r="D819" s="217">
        <f t="shared" si="108"/>
        <v>200</v>
      </c>
      <c r="E819" s="120">
        <f t="shared" si="111"/>
        <v>0.4</v>
      </c>
      <c r="F819" s="263" t="str">
        <f t="shared" si="112"/>
        <v/>
      </c>
      <c r="G819" s="232" t="str">
        <f t="shared" si="113"/>
        <v/>
      </c>
      <c r="H819" s="118" t="str">
        <f t="shared" si="114"/>
        <v>TBD</v>
      </c>
      <c r="I819" s="49"/>
      <c r="J819" s="264"/>
      <c r="K819" s="233" t="str">
        <f t="shared" si="115"/>
        <v/>
      </c>
      <c r="L819" s="676" t="s">
        <v>411</v>
      </c>
      <c r="M819" s="79"/>
      <c r="N819" s="447" t="s">
        <v>96</v>
      </c>
      <c r="O819" s="62"/>
      <c r="P819" s="62"/>
      <c r="Q819" s="62"/>
      <c r="R819" s="62"/>
      <c r="S819" s="62"/>
      <c r="T819" s="62"/>
      <c r="U819" s="62"/>
      <c r="V819" s="62"/>
      <c r="W819" s="80"/>
      <c r="X819" s="664" t="s">
        <v>411</v>
      </c>
    </row>
    <row r="820" spans="1:24" ht="11.25" customHeight="1">
      <c r="A820" s="611">
        <v>28</v>
      </c>
      <c r="B820" s="471" t="str">
        <f t="shared" si="109"/>
        <v/>
      </c>
      <c r="C820" s="472" t="str">
        <f t="shared" si="110"/>
        <v/>
      </c>
      <c r="D820" s="217" t="str">
        <f t="shared" si="108"/>
        <v/>
      </c>
      <c r="E820" s="120" t="str">
        <f t="shared" si="111"/>
        <v/>
      </c>
      <c r="F820" s="263" t="str">
        <f t="shared" si="112"/>
        <v/>
      </c>
      <c r="G820" s="232" t="str">
        <f t="shared" si="113"/>
        <v/>
      </c>
      <c r="H820" s="118" t="str">
        <f t="shared" si="114"/>
        <v/>
      </c>
      <c r="I820" s="49"/>
      <c r="J820" s="264"/>
      <c r="K820" s="233" t="str">
        <f t="shared" si="115"/>
        <v/>
      </c>
      <c r="L820" s="676" t="s">
        <v>411</v>
      </c>
      <c r="M820" s="127"/>
      <c r="N820" s="50" t="s">
        <v>97</v>
      </c>
      <c r="W820" s="71"/>
      <c r="X820" s="664" t="s">
        <v>411</v>
      </c>
    </row>
    <row r="821" spans="1:24" ht="11.25" customHeight="1">
      <c r="A821" s="611">
        <v>29</v>
      </c>
      <c r="B821" s="471" t="str">
        <f t="shared" si="109"/>
        <v/>
      </c>
      <c r="C821" s="472" t="str">
        <f t="shared" si="110"/>
        <v/>
      </c>
      <c r="D821" s="217" t="str">
        <f t="shared" si="108"/>
        <v/>
      </c>
      <c r="E821" s="120" t="str">
        <f t="shared" si="111"/>
        <v/>
      </c>
      <c r="F821" s="263" t="str">
        <f t="shared" si="112"/>
        <v/>
      </c>
      <c r="G821" s="232" t="str">
        <f t="shared" si="113"/>
        <v/>
      </c>
      <c r="H821" s="118" t="str">
        <f t="shared" si="114"/>
        <v/>
      </c>
      <c r="I821" s="49"/>
      <c r="J821" s="264"/>
      <c r="K821" s="233" t="str">
        <f t="shared" si="115"/>
        <v/>
      </c>
      <c r="L821" s="676" t="s">
        <v>411</v>
      </c>
      <c r="M821" s="127"/>
      <c r="W821" s="71"/>
      <c r="X821" s="664" t="s">
        <v>411</v>
      </c>
    </row>
    <row r="822" spans="1:24" ht="11.25" customHeight="1">
      <c r="A822" s="611">
        <v>30</v>
      </c>
      <c r="B822" s="471" t="str">
        <f t="shared" si="109"/>
        <v/>
      </c>
      <c r="C822" s="472" t="str">
        <f t="shared" si="110"/>
        <v/>
      </c>
      <c r="D822" s="217" t="str">
        <f t="shared" si="108"/>
        <v/>
      </c>
      <c r="E822" s="120" t="str">
        <f t="shared" si="111"/>
        <v/>
      </c>
      <c r="F822" s="263" t="str">
        <f t="shared" si="112"/>
        <v/>
      </c>
      <c r="G822" s="232" t="str">
        <f t="shared" si="113"/>
        <v/>
      </c>
      <c r="H822" s="118" t="str">
        <f t="shared" si="114"/>
        <v/>
      </c>
      <c r="I822" s="49"/>
      <c r="J822" s="264"/>
      <c r="K822" s="233" t="str">
        <f t="shared" si="115"/>
        <v/>
      </c>
      <c r="L822" s="676" t="s">
        <v>411</v>
      </c>
      <c r="M822" s="66"/>
      <c r="N822" s="54" t="s">
        <v>552</v>
      </c>
      <c r="O822" s="986" t="str">
        <f>IF(O805="1*","Note: Although this is a single phase generator, the exposure time was recorded in seconds, rather than pulses.","")</f>
        <v/>
      </c>
      <c r="P822" s="48"/>
      <c r="Q822" s="48"/>
      <c r="R822" s="48"/>
      <c r="S822" s="48"/>
      <c r="T822" s="48"/>
      <c r="U822" s="48"/>
      <c r="V822" s="48"/>
      <c r="W822" s="103"/>
      <c r="X822" s="664" t="s">
        <v>411</v>
      </c>
    </row>
    <row r="823" spans="1:24" ht="11.25" customHeight="1">
      <c r="A823" s="611">
        <v>31</v>
      </c>
      <c r="B823" s="471" t="str">
        <f t="shared" si="109"/>
        <v/>
      </c>
      <c r="C823" s="472" t="str">
        <f t="shared" si="110"/>
        <v/>
      </c>
      <c r="D823" s="217" t="str">
        <f t="shared" si="108"/>
        <v/>
      </c>
      <c r="E823" s="120" t="str">
        <f t="shared" si="111"/>
        <v/>
      </c>
      <c r="F823" s="263" t="str">
        <f t="shared" si="112"/>
        <v/>
      </c>
      <c r="G823" s="232" t="str">
        <f t="shared" si="113"/>
        <v/>
      </c>
      <c r="H823" s="118" t="str">
        <f t="shared" si="114"/>
        <v/>
      </c>
      <c r="I823" s="49"/>
      <c r="J823" s="264"/>
      <c r="K823" s="233" t="str">
        <f t="shared" si="115"/>
        <v/>
      </c>
      <c r="L823" s="676" t="s">
        <v>411</v>
      </c>
      <c r="M823" s="104" t="s">
        <v>98</v>
      </c>
      <c r="N823" s="48"/>
      <c r="O823" s="48"/>
      <c r="P823" s="48"/>
      <c r="Q823" s="48"/>
      <c r="R823" s="48"/>
      <c r="S823" s="48"/>
      <c r="T823" s="48"/>
      <c r="U823" s="48"/>
      <c r="V823" s="48"/>
      <c r="W823" s="103"/>
      <c r="X823" s="664" t="s">
        <v>411</v>
      </c>
    </row>
    <row r="824" spans="1:24" ht="11.25" customHeight="1">
      <c r="A824" s="611">
        <v>32</v>
      </c>
      <c r="B824" s="66"/>
      <c r="D824" s="49"/>
      <c r="E824" s="49"/>
      <c r="F824" s="49"/>
      <c r="G824" s="49"/>
      <c r="H824" s="49"/>
      <c r="I824" s="49"/>
      <c r="J824" s="49"/>
      <c r="K824" s="69"/>
      <c r="L824" s="676" t="s">
        <v>411</v>
      </c>
      <c r="M824" s="106"/>
      <c r="N824" s="224" t="s">
        <v>82</v>
      </c>
      <c r="O824" s="713" t="str">
        <f>IF(O825&lt;&gt;"",O825,IF(OR(AB446=0,AB446=""),"",AB446))</f>
        <v/>
      </c>
      <c r="P824" s="48"/>
      <c r="Q824" s="48"/>
      <c r="R824" s="48"/>
      <c r="S824" s="48"/>
      <c r="T824" s="48"/>
      <c r="U824" s="48"/>
      <c r="V824" s="48"/>
      <c r="W824" s="103"/>
      <c r="X824" s="664" t="s">
        <v>411</v>
      </c>
    </row>
    <row r="825" spans="1:24" ht="11.25" customHeight="1">
      <c r="A825" s="611">
        <v>33</v>
      </c>
      <c r="B825" s="66"/>
      <c r="D825" s="49"/>
      <c r="E825" s="49"/>
      <c r="F825" s="49"/>
      <c r="G825" s="49"/>
      <c r="H825" s="49"/>
      <c r="I825" s="49"/>
      <c r="J825" s="264" t="s">
        <v>83</v>
      </c>
      <c r="K825" s="312" t="str">
        <f>IF(AND(K814&gt;0,MIN(K815:K823)&gt;0),AVERAGE(K814:K823),"")</f>
        <v/>
      </c>
      <c r="L825" s="676" t="s">
        <v>411</v>
      </c>
      <c r="M825" s="66"/>
      <c r="N825" s="1024" t="s">
        <v>619</v>
      </c>
      <c r="O825" s="1026"/>
      <c r="P825" s="921">
        <f>LEN(O824)</f>
        <v>0</v>
      </c>
      <c r="Q825" s="655"/>
      <c r="R825" s="655"/>
      <c r="S825" s="655"/>
      <c r="T825" s="655"/>
      <c r="U825" s="655"/>
      <c r="V825" s="655"/>
      <c r="W825" s="1027"/>
      <c r="X825" s="664" t="s">
        <v>411</v>
      </c>
    </row>
    <row r="826" spans="1:24" ht="11.25" customHeight="1">
      <c r="A826" s="611">
        <v>34</v>
      </c>
      <c r="B826" s="66"/>
      <c r="D826" s="49"/>
      <c r="E826" s="49"/>
      <c r="F826" s="49"/>
      <c r="G826" s="49"/>
      <c r="H826" s="49"/>
      <c r="I826" s="49"/>
      <c r="J826" s="264" t="s">
        <v>84</v>
      </c>
      <c r="K826" s="233" t="str">
        <f>IF(AND(K814&gt;0,MIN(K815:K823)&gt;0),STDEV(K814:K823),"")</f>
        <v/>
      </c>
      <c r="L826" s="676" t="s">
        <v>411</v>
      </c>
      <c r="M826" s="66"/>
      <c r="R826" s="149" t="str">
        <f>"Time"&amp;IF($O$805=1," (Pulses)"," (sec)")</f>
        <v>Time (sec)</v>
      </c>
      <c r="S826" s="150"/>
      <c r="T826" s="49" t="s">
        <v>568</v>
      </c>
      <c r="U826" s="49" t="s">
        <v>99</v>
      </c>
      <c r="V826" s="49" t="s">
        <v>100</v>
      </c>
      <c r="W826" s="69" t="s">
        <v>101</v>
      </c>
      <c r="X826" s="664" t="s">
        <v>411</v>
      </c>
    </row>
    <row r="827" spans="1:24" ht="11.25" customHeight="1" thickBot="1">
      <c r="A827" s="611">
        <v>35</v>
      </c>
      <c r="B827" s="66"/>
      <c r="D827" s="49"/>
      <c r="E827" s="49"/>
      <c r="F827" s="49"/>
      <c r="G827" s="49"/>
      <c r="H827" s="49"/>
      <c r="I827" s="49"/>
      <c r="J827" s="264" t="s">
        <v>102</v>
      </c>
      <c r="K827" s="469" t="str">
        <f>IF(OR(K825="",K825=0,K826=""),"TBD",IF(K825&gt;0,K826/K825,"TBD"))</f>
        <v>TBD</v>
      </c>
      <c r="L827" s="676" t="s">
        <v>411</v>
      </c>
      <c r="M827" s="66"/>
      <c r="R827" s="146" t="s">
        <v>566</v>
      </c>
      <c r="S827" s="137" t="s">
        <v>567</v>
      </c>
      <c r="T827" s="146" t="str">
        <f>IF($O$805=1," (Pulses)"," (Percent)")</f>
        <v xml:space="preserve"> (Percent)</v>
      </c>
      <c r="U827" s="146" t="s">
        <v>631</v>
      </c>
      <c r="V827" s="146" t="s">
        <v>631</v>
      </c>
      <c r="W827" s="208" t="s">
        <v>631</v>
      </c>
      <c r="X827" s="664" t="s">
        <v>411</v>
      </c>
    </row>
    <row r="828" spans="1:24" ht="11.25" customHeight="1" thickBot="1">
      <c r="A828" s="611">
        <v>36</v>
      </c>
      <c r="B828" s="66"/>
      <c r="D828" s="49"/>
      <c r="E828" s="49"/>
      <c r="F828" s="49"/>
      <c r="G828" s="49"/>
      <c r="H828" s="49"/>
      <c r="I828" s="49"/>
      <c r="J828" s="49"/>
      <c r="K828" s="69"/>
      <c r="L828" s="676" t="s">
        <v>411</v>
      </c>
      <c r="M828" s="66"/>
      <c r="R828" s="120">
        <f>IF(S809="","",S809)</f>
        <v>0.01</v>
      </c>
      <c r="S828" s="263" t="str">
        <f>IF(V809="","",V809)</f>
        <v/>
      </c>
      <c r="T828" s="777" t="str">
        <f t="shared" ref="T828:T837" si="117">IF(OR(E814="",F814="",AND(LFMAS="",SFMAS=""),AND($AO$722="Large",LFMAS="mAs"),AND($AO$722="Small",SFMAS="mAs")),"",IF($O$805=1,(F814-E814),IF(AND(E814&gt;0,F814&gt;0),(ROUND(100*(F814-E814)/E814,1)),"")))</f>
        <v/>
      </c>
      <c r="U828" s="741" t="str">
        <f t="shared" ref="U828:U837" si="118">IF(OR($M$806&lt;&gt;1,P805=1,AND(LFMAS="",SFMAS="")),"",IF(V809="","",IF(E814&lt;0.002,IF(ABS(G814)&gt;25,"NO","YES"),IF(E814&lt;=0.01,IF(ABS(G814)&gt;20,"NO","YES"),IF(E814&lt;=0.05,IF(ABS(G814)&gt;15,"NO","YES"),IF(E814&lt;=0.1,IF(ABS(G814)&gt;10,"NO","YES"),IF(ABS(G814)&gt;5,"NO","YES")))))))</f>
        <v/>
      </c>
      <c r="V828" s="741" t="str">
        <f t="shared" ref="V828:V837" si="119">IF(OR($M$806&lt;&gt;1,P805&lt;&gt;1,AND(LFMAS="",SFMAS="")),"",IF(V809="","",IF(E814&lt;=4,IF(ABS(G814)&gt;0,"NO","YES"),IF(E814&lt;=24,IF(ABS(G814)&gt;1,"NO","YES"),IF(E814&lt;=60,IF(ABS(G814)&gt;2,"NO","YES"),IF(ABS(G814)&gt;3,"NO","YES"))))))</f>
        <v/>
      </c>
      <c r="W828" s="742" t="str">
        <f t="shared" ref="W828:W837" si="120">IF(OR($M$806&lt;&gt;1,P805&lt;&gt;"Dent",AND(LFMAS="",SFMAS="")),"",IF(V809="","",IF(ABS(G814)&gt;15,"NO","YES")))</f>
        <v/>
      </c>
      <c r="X828" s="664" t="s">
        <v>411</v>
      </c>
    </row>
    <row r="829" spans="1:24" ht="11.25" customHeight="1" thickBot="1">
      <c r="A829" s="611">
        <v>37</v>
      </c>
      <c r="B829" s="66"/>
      <c r="D829" s="49"/>
      <c r="E829" s="49"/>
      <c r="F829" s="49"/>
      <c r="G829" s="140" t="s">
        <v>569</v>
      </c>
      <c r="H829" s="141" t="str">
        <f>IF(M806&lt;&gt;1,"NA",IF(MIN(F814:F823)=0,"TBD",IF(OR(H814="NO",H815="NO",H816="NO",H817="NO",H818="NO",H819="NO",H820="NO",H821="NO",H822="NO",H823="NO"),"NO","YES")))</f>
        <v>NA</v>
      </c>
      <c r="I829" s="49"/>
      <c r="J829" s="277" t="s">
        <v>569</v>
      </c>
      <c r="K829" s="470" t="str">
        <f>IF(M806&lt;&gt;1,"NA",IF(K827="TBD","TBD",IF(K827&gt;=0.05,"NO","YES")))</f>
        <v>NA</v>
      </c>
      <c r="L829" s="676" t="s">
        <v>411</v>
      </c>
      <c r="M829" s="66"/>
      <c r="R829" s="120">
        <f t="shared" ref="R829:R837" si="121">IF(S810="","",S810)</f>
        <v>0.02</v>
      </c>
      <c r="S829" s="263" t="str">
        <f t="shared" ref="S829:S837" si="122">IF(V810="","",V810)</f>
        <v/>
      </c>
      <c r="T829" s="777" t="str">
        <f t="shared" si="117"/>
        <v/>
      </c>
      <c r="U829" s="741" t="str">
        <f t="shared" si="118"/>
        <v/>
      </c>
      <c r="V829" s="741" t="str">
        <f t="shared" si="119"/>
        <v/>
      </c>
      <c r="W829" s="742" t="str">
        <f t="shared" si="120"/>
        <v/>
      </c>
      <c r="X829" s="664" t="s">
        <v>411</v>
      </c>
    </row>
    <row r="830" spans="1:24" ht="11.25" customHeight="1">
      <c r="A830" s="611">
        <v>38</v>
      </c>
      <c r="B830" s="102" t="s">
        <v>552</v>
      </c>
      <c r="C830" s="922" t="str">
        <f>IF(O833="","",IF(LEN(O833)&lt;=135,O833,IF(LEN(O833)&lt;=260,LEFT(O833,SEARCH(" ",O833,125)),LEFT(O833,SEARCH(" ",O833,130)))))</f>
        <v/>
      </c>
      <c r="D830" s="48"/>
      <c r="E830" s="48"/>
      <c r="F830" s="48"/>
      <c r="G830" s="48"/>
      <c r="H830" s="48"/>
      <c r="I830" s="48"/>
      <c r="J830" s="48"/>
      <c r="K830" s="69"/>
      <c r="L830" s="676" t="s">
        <v>411</v>
      </c>
      <c r="M830" s="66"/>
      <c r="R830" s="120">
        <f t="shared" si="121"/>
        <v>0.04</v>
      </c>
      <c r="S830" s="263" t="str">
        <f t="shared" si="122"/>
        <v/>
      </c>
      <c r="T830" s="777" t="str">
        <f t="shared" si="117"/>
        <v/>
      </c>
      <c r="U830" s="741" t="str">
        <f t="shared" si="118"/>
        <v/>
      </c>
      <c r="V830" s="741" t="str">
        <f t="shared" si="119"/>
        <v/>
      </c>
      <c r="W830" s="742" t="str">
        <f t="shared" si="120"/>
        <v/>
      </c>
      <c r="X830" s="664" t="s">
        <v>411</v>
      </c>
    </row>
    <row r="831" spans="1:24" ht="11.25" customHeight="1">
      <c r="A831" s="611">
        <v>39</v>
      </c>
      <c r="B831" s="66"/>
      <c r="C831" s="923" t="str">
        <f>IF(LEN(O833)&lt;=135,"",IF(LEN(O833)&lt;=260,RIGHT(O833,LEN(O833)-SEARCH(" ",O833,125)),MID(O833,SEARCH(" ",O833,130),IF(LEN(O833)&lt;=265,LEN(O833),SEARCH(" ",O833,255)-SEARCH(" ",O833,130)))))</f>
        <v/>
      </c>
      <c r="D831" s="48"/>
      <c r="E831" s="48"/>
      <c r="F831" s="48"/>
      <c r="G831" s="48"/>
      <c r="H831" s="48"/>
      <c r="I831" s="48"/>
      <c r="J831" s="48"/>
      <c r="K831" s="69"/>
      <c r="L831" s="676" t="s">
        <v>411</v>
      </c>
      <c r="M831" s="127"/>
      <c r="R831" s="120">
        <f t="shared" si="121"/>
        <v>0.1</v>
      </c>
      <c r="S831" s="263" t="str">
        <f t="shared" si="122"/>
        <v/>
      </c>
      <c r="T831" s="777" t="str">
        <f t="shared" si="117"/>
        <v/>
      </c>
      <c r="U831" s="741" t="str">
        <f t="shared" si="118"/>
        <v/>
      </c>
      <c r="V831" s="741" t="str">
        <f t="shared" si="119"/>
        <v/>
      </c>
      <c r="W831" s="742" t="str">
        <f t="shared" si="120"/>
        <v/>
      </c>
      <c r="X831" s="664" t="s">
        <v>411</v>
      </c>
    </row>
    <row r="832" spans="1:24" ht="11.25" customHeight="1">
      <c r="A832" s="611">
        <v>40</v>
      </c>
      <c r="B832" s="66"/>
      <c r="C832" s="922" t="str">
        <f>IF(LEN(O833)&lt;=265,"",RIGHT(O833,LEN(O833)-SEARCH(" ",O833,255)))</f>
        <v/>
      </c>
      <c r="D832" s="48"/>
      <c r="E832" s="48"/>
      <c r="F832" s="48"/>
      <c r="G832" s="48"/>
      <c r="H832" s="48"/>
      <c r="I832" s="48"/>
      <c r="J832" s="48"/>
      <c r="K832" s="69"/>
      <c r="L832" s="676" t="s">
        <v>411</v>
      </c>
      <c r="M832" s="85"/>
      <c r="R832" s="120">
        <f t="shared" si="121"/>
        <v>0.25</v>
      </c>
      <c r="S832" s="263" t="str">
        <f t="shared" si="122"/>
        <v/>
      </c>
      <c r="T832" s="777" t="str">
        <f t="shared" si="117"/>
        <v/>
      </c>
      <c r="U832" s="741" t="str">
        <f t="shared" si="118"/>
        <v/>
      </c>
      <c r="V832" s="741" t="str">
        <f t="shared" si="119"/>
        <v/>
      </c>
      <c r="W832" s="742" t="str">
        <f t="shared" si="120"/>
        <v/>
      </c>
      <c r="X832" s="664" t="s">
        <v>411</v>
      </c>
    </row>
    <row r="833" spans="1:24" ht="11.25" customHeight="1">
      <c r="A833" s="611">
        <v>41</v>
      </c>
      <c r="B833" s="66"/>
      <c r="C833" s="922" t="str">
        <f>IF(O836="","",IF(LEN(O836)&lt;=135,O836,IF(LEN(O836)&lt;=260,LEFT(O836,SEARCH(" ",O836,125)),LEFT(O836,SEARCH(" ",O836,130)))))</f>
        <v/>
      </c>
      <c r="D833" s="48"/>
      <c r="E833" s="48"/>
      <c r="F833" s="48"/>
      <c r="G833" s="48"/>
      <c r="H833" s="48"/>
      <c r="I833" s="48"/>
      <c r="J833" s="48"/>
      <c r="K833" s="69"/>
      <c r="L833" s="676" t="s">
        <v>411</v>
      </c>
      <c r="M833" s="66"/>
      <c r="N833" s="49"/>
      <c r="O833" s="372" t="str">
        <f>IF(AND(O822="",O751=""),"",IF(AND(O822&lt;&gt;"",O751=""),"Accuracy:  "&amp;O822,IF(AND(O822="",O751&lt;&gt;""),"Reproducibility:  "&amp;O751,"Accuracy:  "&amp;O822&amp;";  Reproducibility:  "&amp;O751)))</f>
        <v/>
      </c>
      <c r="P833" s="49"/>
      <c r="Q833" s="49"/>
      <c r="R833" s="120">
        <f t="shared" si="121"/>
        <v>0.4</v>
      </c>
      <c r="S833" s="263" t="str">
        <f t="shared" si="122"/>
        <v/>
      </c>
      <c r="T833" s="777" t="str">
        <f t="shared" si="117"/>
        <v/>
      </c>
      <c r="U833" s="741" t="str">
        <f t="shared" si="118"/>
        <v/>
      </c>
      <c r="V833" s="741" t="str">
        <f t="shared" si="119"/>
        <v/>
      </c>
      <c r="W833" s="742" t="str">
        <f t="shared" si="120"/>
        <v/>
      </c>
      <c r="X833" s="664" t="s">
        <v>411</v>
      </c>
    </row>
    <row r="834" spans="1:24" ht="11.25" customHeight="1">
      <c r="A834" s="611">
        <v>42</v>
      </c>
      <c r="B834" s="66"/>
      <c r="C834" s="923" t="str">
        <f>IF(LEN(O836)&lt;=135,"",IF(LEN(O836)&lt;=260,RIGHT(O836,LEN(O836)-SEARCH(" ",O836,125)),MID(O836,SEARCH(" ",O836,130),IF(LEN(O836)&lt;=265,LEN(O836),SEARCH(" ",O836,255)-SEARCH(" ",O836,130)))))</f>
        <v/>
      </c>
      <c r="D834" s="48"/>
      <c r="E834" s="48"/>
      <c r="F834" s="48"/>
      <c r="G834" s="48"/>
      <c r="H834" s="48"/>
      <c r="I834" s="48"/>
      <c r="J834" s="48"/>
      <c r="K834" s="69"/>
      <c r="L834" s="676" t="s">
        <v>411</v>
      </c>
      <c r="M834" s="66"/>
      <c r="N834" s="49"/>
      <c r="O834" s="50"/>
      <c r="P834" s="49" t="s">
        <v>103</v>
      </c>
      <c r="Q834" s="49"/>
      <c r="R834" s="120" t="str">
        <f t="shared" si="121"/>
        <v/>
      </c>
      <c r="S834" s="263" t="str">
        <f t="shared" si="122"/>
        <v/>
      </c>
      <c r="T834" s="118" t="str">
        <f t="shared" si="117"/>
        <v/>
      </c>
      <c r="U834" s="741" t="str">
        <f t="shared" si="118"/>
        <v/>
      </c>
      <c r="V834" s="741" t="str">
        <f t="shared" si="119"/>
        <v/>
      </c>
      <c r="W834" s="742" t="str">
        <f t="shared" si="120"/>
        <v/>
      </c>
      <c r="X834" s="664" t="s">
        <v>411</v>
      </c>
    </row>
    <row r="835" spans="1:24" ht="11.25" customHeight="1">
      <c r="A835" s="611">
        <v>43</v>
      </c>
      <c r="B835" s="66"/>
      <c r="C835" s="922" t="str">
        <f>IF(LEN(O836)&lt;=265,"",RIGHT(O836,LEN(O836)-SEARCH(" ",O836,255)))</f>
        <v/>
      </c>
      <c r="D835" s="48"/>
      <c r="E835" s="48"/>
      <c r="F835" s="48"/>
      <c r="G835" s="48"/>
      <c r="H835" s="48"/>
      <c r="I835" s="48"/>
      <c r="J835" s="48"/>
      <c r="K835" s="69"/>
      <c r="L835" s="676" t="s">
        <v>411</v>
      </c>
      <c r="M835" s="66"/>
      <c r="N835" s="49"/>
      <c r="P835" s="49"/>
      <c r="Q835" s="49"/>
      <c r="R835" s="120" t="str">
        <f t="shared" si="121"/>
        <v/>
      </c>
      <c r="S835" s="263" t="str">
        <f t="shared" si="122"/>
        <v/>
      </c>
      <c r="T835" s="118" t="str">
        <f t="shared" si="117"/>
        <v/>
      </c>
      <c r="U835" s="741" t="str">
        <f t="shared" si="118"/>
        <v/>
      </c>
      <c r="V835" s="741" t="str">
        <f t="shared" si="119"/>
        <v/>
      </c>
      <c r="W835" s="742" t="str">
        <f t="shared" si="120"/>
        <v/>
      </c>
      <c r="X835" s="664" t="s">
        <v>411</v>
      </c>
    </row>
    <row r="836" spans="1:24" ht="11.25" customHeight="1">
      <c r="A836" s="611">
        <v>44</v>
      </c>
      <c r="B836" s="127"/>
      <c r="K836" s="69"/>
      <c r="L836" s="676" t="s">
        <v>411</v>
      </c>
      <c r="M836" s="66"/>
      <c r="N836" s="49"/>
      <c r="O836" s="372" t="str">
        <f>IF(AND(O824="",O753=""),"",IF(AND(O824&lt;&gt;"",O753=""),"Accuracy:  "&amp;O824,IF(AND(O824="",O753&lt;&gt;""),"Reproducibility:  "&amp;O753,"Accuracy:  "&amp;O824&amp;";  Reproducibility:  "&amp;O753)))</f>
        <v/>
      </c>
      <c r="P836" s="49"/>
      <c r="Q836" s="49"/>
      <c r="R836" s="120" t="str">
        <f t="shared" si="121"/>
        <v/>
      </c>
      <c r="S836" s="263" t="str">
        <f t="shared" si="122"/>
        <v/>
      </c>
      <c r="T836" s="118" t="str">
        <f t="shared" si="117"/>
        <v/>
      </c>
      <c r="U836" s="741" t="str">
        <f t="shared" si="118"/>
        <v/>
      </c>
      <c r="V836" s="741" t="str">
        <f t="shared" si="119"/>
        <v/>
      </c>
      <c r="W836" s="742" t="str">
        <f t="shared" si="120"/>
        <v/>
      </c>
      <c r="X836" s="664" t="s">
        <v>411</v>
      </c>
    </row>
    <row r="837" spans="1:24" ht="11.25" customHeight="1">
      <c r="A837" s="611">
        <v>45</v>
      </c>
      <c r="B837" s="66"/>
      <c r="C837" s="340" t="s">
        <v>104</v>
      </c>
      <c r="D837" s="49"/>
      <c r="E837" s="49"/>
      <c r="F837" s="49"/>
      <c r="G837" s="49"/>
      <c r="H837" s="49"/>
      <c r="I837" s="49"/>
      <c r="J837" s="49"/>
      <c r="K837" s="69"/>
      <c r="L837" s="676" t="s">
        <v>411</v>
      </c>
      <c r="M837" s="66"/>
      <c r="N837" s="49"/>
      <c r="O837" s="49"/>
      <c r="P837" s="49"/>
      <c r="Q837" s="49"/>
      <c r="R837" s="120" t="str">
        <f t="shared" si="121"/>
        <v/>
      </c>
      <c r="S837" s="263" t="str">
        <f t="shared" si="122"/>
        <v/>
      </c>
      <c r="T837" s="118" t="str">
        <f t="shared" si="117"/>
        <v/>
      </c>
      <c r="U837" s="741" t="str">
        <f t="shared" si="118"/>
        <v/>
      </c>
      <c r="V837" s="741" t="str">
        <f t="shared" si="119"/>
        <v/>
      </c>
      <c r="W837" s="742" t="str">
        <f t="shared" si="120"/>
        <v/>
      </c>
      <c r="X837" s="664" t="s">
        <v>411</v>
      </c>
    </row>
    <row r="838" spans="1:24" ht="11.25" customHeight="1">
      <c r="A838" s="611">
        <v>46</v>
      </c>
      <c r="B838" s="127"/>
      <c r="C838" s="49" t="s">
        <v>460</v>
      </c>
      <c r="D838" s="49"/>
      <c r="E838" s="49"/>
      <c r="F838" s="49"/>
      <c r="G838" s="49" t="s">
        <v>460</v>
      </c>
      <c r="H838" s="49"/>
      <c r="I838" s="49"/>
      <c r="K838" s="69"/>
      <c r="L838" s="676" t="s">
        <v>411</v>
      </c>
      <c r="M838" s="66"/>
      <c r="N838" s="340" t="s">
        <v>104</v>
      </c>
      <c r="O838" s="49"/>
      <c r="P838" s="49"/>
      <c r="Q838" s="49"/>
      <c r="R838" s="49"/>
      <c r="S838" s="49"/>
      <c r="T838" s="49"/>
      <c r="U838" s="49"/>
      <c r="V838" s="49"/>
      <c r="W838" s="69"/>
      <c r="X838" s="664" t="s">
        <v>411</v>
      </c>
    </row>
    <row r="839" spans="1:24" ht="11.25" customHeight="1">
      <c r="A839" s="611">
        <v>47</v>
      </c>
      <c r="B839" s="127"/>
      <c r="C839" s="48" t="s">
        <v>105</v>
      </c>
      <c r="D839" s="217" t="s">
        <v>106</v>
      </c>
      <c r="E839" s="217" t="s">
        <v>107</v>
      </c>
      <c r="F839" s="49"/>
      <c r="G839" s="48" t="s">
        <v>105</v>
      </c>
      <c r="H839" s="217" t="s">
        <v>575</v>
      </c>
      <c r="I839" s="217" t="s">
        <v>107</v>
      </c>
      <c r="J839" s="49"/>
      <c r="K839" s="69"/>
      <c r="L839" s="676" t="s">
        <v>411</v>
      </c>
      <c r="M839" s="66"/>
      <c r="N839" s="49" t="s">
        <v>460</v>
      </c>
      <c r="O839" s="49"/>
      <c r="P839" s="49"/>
      <c r="Q839" s="49"/>
      <c r="R839" s="49" t="s">
        <v>460</v>
      </c>
      <c r="S839" s="49"/>
      <c r="T839" s="49"/>
      <c r="U839" s="49"/>
      <c r="V839" s="49"/>
      <c r="W839" s="69"/>
      <c r="X839" s="664" t="s">
        <v>411</v>
      </c>
    </row>
    <row r="840" spans="1:24" ht="11.25" customHeight="1">
      <c r="A840" s="611">
        <v>48</v>
      </c>
      <c r="B840" s="85"/>
      <c r="C840" s="49" t="s">
        <v>108</v>
      </c>
      <c r="D840" s="218" t="s">
        <v>1028</v>
      </c>
      <c r="E840" s="225">
        <v>0</v>
      </c>
      <c r="F840" s="50" t="s">
        <v>109</v>
      </c>
      <c r="G840" s="49" t="s">
        <v>110</v>
      </c>
      <c r="H840" s="218" t="s">
        <v>111</v>
      </c>
      <c r="I840" s="226">
        <v>0.15</v>
      </c>
      <c r="J840" s="49"/>
      <c r="K840" s="69"/>
      <c r="L840" s="676" t="s">
        <v>411</v>
      </c>
      <c r="M840" s="66"/>
      <c r="N840" s="48" t="s">
        <v>105</v>
      </c>
      <c r="O840" s="217" t="s">
        <v>106</v>
      </c>
      <c r="P840" s="217" t="s">
        <v>107</v>
      </c>
      <c r="Q840" s="49"/>
      <c r="R840" s="48" t="s">
        <v>105</v>
      </c>
      <c r="S840" s="217" t="s">
        <v>575</v>
      </c>
      <c r="T840" s="217" t="s">
        <v>107</v>
      </c>
      <c r="U840" s="49"/>
      <c r="V840" s="49"/>
      <c r="W840" s="69"/>
      <c r="X840" s="664" t="s">
        <v>411</v>
      </c>
    </row>
    <row r="841" spans="1:24" ht="11.25" customHeight="1">
      <c r="A841" s="611">
        <v>49</v>
      </c>
      <c r="B841" s="66"/>
      <c r="C841" s="49"/>
      <c r="D841" s="218" t="s">
        <v>1029</v>
      </c>
      <c r="E841" s="225">
        <v>1</v>
      </c>
      <c r="F841" s="50" t="s">
        <v>109</v>
      </c>
      <c r="G841" s="49"/>
      <c r="H841" s="227" t="s">
        <v>112</v>
      </c>
      <c r="I841" s="226">
        <v>0.1</v>
      </c>
      <c r="J841" s="49"/>
      <c r="K841" s="69"/>
      <c r="L841" s="676" t="s">
        <v>411</v>
      </c>
      <c r="M841" s="66"/>
      <c r="N841" s="49" t="s">
        <v>108</v>
      </c>
      <c r="O841" s="218" t="s">
        <v>1028</v>
      </c>
      <c r="P841" s="225">
        <v>0</v>
      </c>
      <c r="Q841" s="50" t="s">
        <v>109</v>
      </c>
      <c r="R841" s="49" t="s">
        <v>110</v>
      </c>
      <c r="S841" s="218" t="s">
        <v>111</v>
      </c>
      <c r="T841" s="226">
        <v>0.15</v>
      </c>
      <c r="U841" s="49"/>
      <c r="V841" s="49"/>
      <c r="W841" s="69"/>
      <c r="X841" s="664" t="s">
        <v>411</v>
      </c>
    </row>
    <row r="842" spans="1:24" ht="11.25" customHeight="1">
      <c r="A842" s="611">
        <v>50</v>
      </c>
      <c r="B842" s="66"/>
      <c r="C842" s="49"/>
      <c r="D842" s="218" t="s">
        <v>1026</v>
      </c>
      <c r="E842" s="225">
        <v>2</v>
      </c>
      <c r="F842" s="50" t="s">
        <v>109</v>
      </c>
      <c r="G842" s="49"/>
      <c r="H842" s="218" t="s">
        <v>113</v>
      </c>
      <c r="I842" s="226">
        <v>0.05</v>
      </c>
      <c r="J842" s="49"/>
      <c r="K842" s="69"/>
      <c r="L842" s="676" t="s">
        <v>411</v>
      </c>
      <c r="M842" s="66"/>
      <c r="N842" s="49"/>
      <c r="O842" s="218" t="s">
        <v>1029</v>
      </c>
      <c r="P842" s="225">
        <v>1</v>
      </c>
      <c r="Q842" s="50" t="s">
        <v>1025</v>
      </c>
      <c r="R842" s="49"/>
      <c r="S842" s="227" t="s">
        <v>112</v>
      </c>
      <c r="T842" s="226">
        <v>0.1</v>
      </c>
      <c r="U842" s="49"/>
      <c r="V842" s="49"/>
      <c r="W842" s="69"/>
      <c r="X842" s="664" t="s">
        <v>411</v>
      </c>
    </row>
    <row r="843" spans="1:24" ht="11.25" customHeight="1">
      <c r="A843" s="611">
        <v>51</v>
      </c>
      <c r="B843" s="66"/>
      <c r="C843" s="48"/>
      <c r="D843" s="217" t="s">
        <v>1027</v>
      </c>
      <c r="E843" s="216">
        <v>3</v>
      </c>
      <c r="F843" s="50" t="s">
        <v>109</v>
      </c>
      <c r="G843" s="75" t="s">
        <v>114</v>
      </c>
      <c r="H843" s="229" t="s">
        <v>111</v>
      </c>
      <c r="I843" s="230">
        <v>0.2</v>
      </c>
      <c r="J843" s="49"/>
      <c r="K843" s="69"/>
      <c r="L843" s="676" t="s">
        <v>411</v>
      </c>
      <c r="M843" s="66"/>
      <c r="N843" s="49"/>
      <c r="O843" s="218" t="s">
        <v>1026</v>
      </c>
      <c r="P843" s="225">
        <v>2</v>
      </c>
      <c r="Q843" s="50" t="s">
        <v>109</v>
      </c>
      <c r="R843" s="49"/>
      <c r="S843" s="218" t="s">
        <v>113</v>
      </c>
      <c r="T843" s="226">
        <v>0.05</v>
      </c>
      <c r="U843" s="49"/>
      <c r="V843" s="49"/>
      <c r="W843" s="69"/>
      <c r="X843" s="664" t="s">
        <v>411</v>
      </c>
    </row>
    <row r="844" spans="1:24" ht="11.25" customHeight="1">
      <c r="A844" s="611">
        <v>52</v>
      </c>
      <c r="B844" s="66"/>
      <c r="C844" s="49" t="s">
        <v>115</v>
      </c>
      <c r="D844" s="218" t="s">
        <v>111</v>
      </c>
      <c r="E844" s="226">
        <v>0.25</v>
      </c>
      <c r="F844" s="49"/>
      <c r="G844" s="49"/>
      <c r="H844" s="227" t="s">
        <v>112</v>
      </c>
      <c r="I844" s="226">
        <v>0.15</v>
      </c>
      <c r="J844" s="49"/>
      <c r="K844" s="69"/>
      <c r="L844" s="676" t="s">
        <v>411</v>
      </c>
      <c r="M844" s="66"/>
      <c r="N844" s="48"/>
      <c r="O844" s="217" t="s">
        <v>1027</v>
      </c>
      <c r="P844" s="216">
        <v>3</v>
      </c>
      <c r="Q844" s="50" t="s">
        <v>109</v>
      </c>
      <c r="R844" s="75" t="s">
        <v>114</v>
      </c>
      <c r="S844" s="229" t="s">
        <v>111</v>
      </c>
      <c r="T844" s="230">
        <v>0.2</v>
      </c>
      <c r="U844" s="49"/>
      <c r="V844" s="49"/>
      <c r="W844" s="69"/>
      <c r="X844" s="664" t="s">
        <v>411</v>
      </c>
    </row>
    <row r="845" spans="1:24" ht="11.25" customHeight="1">
      <c r="A845" s="611">
        <v>53</v>
      </c>
      <c r="B845" s="66"/>
      <c r="C845" s="49"/>
      <c r="D845" s="227" t="s">
        <v>116</v>
      </c>
      <c r="E845" s="226">
        <v>0.2</v>
      </c>
      <c r="F845" s="49"/>
      <c r="G845" s="49"/>
      <c r="H845" s="227" t="s">
        <v>117</v>
      </c>
      <c r="I845" s="226">
        <v>0.1</v>
      </c>
      <c r="J845" s="49"/>
      <c r="K845" s="69"/>
      <c r="L845" s="676" t="s">
        <v>411</v>
      </c>
      <c r="M845" s="66"/>
      <c r="N845" s="49" t="s">
        <v>115</v>
      </c>
      <c r="O845" s="218" t="s">
        <v>111</v>
      </c>
      <c r="P845" s="226">
        <v>0.25</v>
      </c>
      <c r="Q845" s="49"/>
      <c r="R845" s="49"/>
      <c r="S845" s="227" t="s">
        <v>112</v>
      </c>
      <c r="T845" s="226">
        <v>0.15</v>
      </c>
      <c r="U845" s="49"/>
      <c r="V845" s="49"/>
      <c r="W845" s="69"/>
      <c r="X845" s="664" t="s">
        <v>411</v>
      </c>
    </row>
    <row r="846" spans="1:24" ht="11.25" customHeight="1">
      <c r="A846" s="611">
        <v>54</v>
      </c>
      <c r="B846" s="66"/>
      <c r="C846" s="49"/>
      <c r="D846" s="227" t="s">
        <v>118</v>
      </c>
      <c r="E846" s="226">
        <v>0.15</v>
      </c>
      <c r="F846" s="49"/>
      <c r="G846" s="49"/>
      <c r="H846" s="218" t="s">
        <v>119</v>
      </c>
      <c r="I846" s="226">
        <v>0.05</v>
      </c>
      <c r="J846" s="49"/>
      <c r="K846" s="69"/>
      <c r="L846" s="676" t="s">
        <v>411</v>
      </c>
      <c r="M846" s="66"/>
      <c r="N846" s="49"/>
      <c r="O846" s="227" t="s">
        <v>116</v>
      </c>
      <c r="P846" s="226">
        <v>0.2</v>
      </c>
      <c r="Q846" s="49"/>
      <c r="R846" s="49"/>
      <c r="S846" s="227" t="s">
        <v>117</v>
      </c>
      <c r="T846" s="226">
        <v>0.1</v>
      </c>
      <c r="U846" s="49"/>
      <c r="V846" s="49"/>
      <c r="W846" s="69"/>
      <c r="X846" s="664" t="s">
        <v>411</v>
      </c>
    </row>
    <row r="847" spans="1:24" ht="11.25" customHeight="1">
      <c r="A847" s="611">
        <v>55</v>
      </c>
      <c r="B847" s="66"/>
      <c r="C847" s="49"/>
      <c r="D847" s="227" t="s">
        <v>120</v>
      </c>
      <c r="E847" s="226">
        <v>0.1</v>
      </c>
      <c r="F847" s="49"/>
      <c r="G847" s="49"/>
      <c r="H847" s="49"/>
      <c r="I847" s="49"/>
      <c r="J847" s="49"/>
      <c r="K847" s="69"/>
      <c r="L847" s="676" t="s">
        <v>411</v>
      </c>
      <c r="M847" s="66"/>
      <c r="N847" s="49"/>
      <c r="O847" s="227" t="s">
        <v>118</v>
      </c>
      <c r="P847" s="226">
        <v>0.15</v>
      </c>
      <c r="Q847" s="49"/>
      <c r="R847" s="49"/>
      <c r="S847" s="218" t="s">
        <v>119</v>
      </c>
      <c r="T847" s="226">
        <v>0.05</v>
      </c>
      <c r="U847" s="49"/>
      <c r="V847" s="49"/>
      <c r="W847" s="69"/>
      <c r="X847" s="664" t="s">
        <v>411</v>
      </c>
    </row>
    <row r="848" spans="1:24" ht="11.25" customHeight="1">
      <c r="A848" s="611">
        <v>56</v>
      </c>
      <c r="B848" s="66"/>
      <c r="C848" s="49"/>
      <c r="D848" s="218" t="s">
        <v>119</v>
      </c>
      <c r="E848" s="226">
        <v>0.05</v>
      </c>
      <c r="F848" s="49"/>
      <c r="G848" s="49"/>
      <c r="H848" s="49"/>
      <c r="I848" s="49"/>
      <c r="J848" s="49"/>
      <c r="K848" s="69"/>
      <c r="L848" s="676" t="s">
        <v>411</v>
      </c>
      <c r="M848" s="66"/>
      <c r="N848" s="49"/>
      <c r="O848" s="227" t="s">
        <v>120</v>
      </c>
      <c r="P848" s="226">
        <v>0.1</v>
      </c>
      <c r="Q848" s="49"/>
      <c r="R848" s="49"/>
      <c r="S848" s="49"/>
      <c r="T848" s="49"/>
      <c r="U848" s="49"/>
      <c r="V848" s="49"/>
      <c r="W848" s="69"/>
      <c r="X848" s="664" t="s">
        <v>411</v>
      </c>
    </row>
    <row r="849" spans="1:24" ht="11.25" customHeight="1">
      <c r="A849" s="611">
        <v>57</v>
      </c>
      <c r="B849" s="66"/>
      <c r="C849" s="49" t="s">
        <v>121</v>
      </c>
      <c r="D849" s="218" t="s">
        <v>122</v>
      </c>
      <c r="E849" s="547" t="s">
        <v>124</v>
      </c>
      <c r="F849" s="50" t="s">
        <v>109</v>
      </c>
      <c r="J849" s="49"/>
      <c r="K849" s="69"/>
      <c r="L849" s="676" t="s">
        <v>411</v>
      </c>
      <c r="M849" s="66"/>
      <c r="N849" s="48"/>
      <c r="O849" s="217" t="s">
        <v>119</v>
      </c>
      <c r="P849" s="228">
        <v>0.05</v>
      </c>
      <c r="Q849" s="49"/>
      <c r="R849" s="49"/>
      <c r="S849" s="49"/>
      <c r="T849" s="49"/>
      <c r="U849" s="49"/>
      <c r="V849" s="49"/>
      <c r="W849" s="69"/>
      <c r="X849" s="664" t="s">
        <v>411</v>
      </c>
    </row>
    <row r="850" spans="1:24" ht="11.25" customHeight="1">
      <c r="A850" s="611">
        <v>58</v>
      </c>
      <c r="B850" s="66"/>
      <c r="C850" s="48"/>
      <c r="D850" s="217" t="s">
        <v>122</v>
      </c>
      <c r="E850" s="546" t="s">
        <v>142</v>
      </c>
      <c r="F850" s="49"/>
      <c r="J850" s="49"/>
      <c r="K850" s="69"/>
      <c r="L850" s="676" t="s">
        <v>411</v>
      </c>
      <c r="M850" s="66"/>
      <c r="N850" s="49" t="s">
        <v>121</v>
      </c>
      <c r="O850" s="218" t="s">
        <v>122</v>
      </c>
      <c r="P850" s="547" t="s">
        <v>123</v>
      </c>
      <c r="Q850" s="50" t="s">
        <v>109</v>
      </c>
      <c r="R850" s="49"/>
      <c r="S850" s="49"/>
      <c r="T850" s="49"/>
      <c r="U850" s="49"/>
      <c r="V850" s="49"/>
      <c r="W850" s="69"/>
      <c r="X850" s="664" t="s">
        <v>411</v>
      </c>
    </row>
    <row r="851" spans="1:24" ht="11.25" customHeight="1" thickBot="1">
      <c r="A851" s="611">
        <v>59</v>
      </c>
      <c r="B851" s="72"/>
      <c r="C851" s="73"/>
      <c r="D851" s="73"/>
      <c r="E851" s="73"/>
      <c r="F851" s="73"/>
      <c r="G851" s="73"/>
      <c r="H851" s="73"/>
      <c r="I851" s="73"/>
      <c r="J851" s="73"/>
      <c r="K851" s="74"/>
      <c r="L851" s="676" t="s">
        <v>411</v>
      </c>
      <c r="M851" s="66"/>
      <c r="N851" s="48"/>
      <c r="O851" s="217" t="s">
        <v>122</v>
      </c>
      <c r="P851" s="546" t="s">
        <v>125</v>
      </c>
      <c r="Q851" s="49"/>
      <c r="R851" s="49"/>
      <c r="S851" s="49"/>
      <c r="T851" s="49"/>
      <c r="U851" s="49"/>
      <c r="V851" s="49"/>
      <c r="W851" s="69"/>
      <c r="X851" s="664" t="s">
        <v>411</v>
      </c>
    </row>
    <row r="852" spans="1:24" ht="11.25" customHeight="1" thickTop="1">
      <c r="A852" s="611">
        <v>60</v>
      </c>
      <c r="L852" s="676" t="s">
        <v>411</v>
      </c>
      <c r="M852" s="66"/>
      <c r="N852" s="49"/>
      <c r="O852" s="49"/>
      <c r="P852" s="49"/>
      <c r="Q852" s="49"/>
      <c r="R852" s="49"/>
      <c r="S852" s="49"/>
      <c r="T852" s="49"/>
      <c r="U852" s="49"/>
      <c r="V852" s="49"/>
      <c r="W852" s="69"/>
      <c r="X852" s="664" t="s">
        <v>411</v>
      </c>
    </row>
    <row r="853" spans="1:24" ht="11.25" customHeight="1" thickBot="1">
      <c r="A853" s="611">
        <v>61</v>
      </c>
      <c r="L853" s="676" t="s">
        <v>411</v>
      </c>
      <c r="M853" s="72"/>
      <c r="N853" s="73"/>
      <c r="O853" s="73"/>
      <c r="P853" s="73"/>
      <c r="Q853" s="73"/>
      <c r="R853" s="73"/>
      <c r="S853" s="73"/>
      <c r="T853" s="73"/>
      <c r="U853" s="73"/>
      <c r="V853" s="73"/>
      <c r="W853" s="74"/>
      <c r="X853" s="664" t="s">
        <v>411</v>
      </c>
    </row>
    <row r="854" spans="1:24" ht="11.25" customHeight="1" thickTop="1">
      <c r="A854" s="611">
        <v>62</v>
      </c>
      <c r="B854" s="49"/>
      <c r="C854" s="49"/>
      <c r="D854" s="49"/>
      <c r="E854" s="49"/>
      <c r="F854" s="49"/>
      <c r="G854" s="49"/>
      <c r="H854" s="49"/>
      <c r="I854" s="49"/>
      <c r="J854" s="49"/>
      <c r="K854" s="49"/>
      <c r="L854" s="676" t="s">
        <v>411</v>
      </c>
      <c r="M854" s="49"/>
      <c r="N854" s="49"/>
      <c r="O854" s="49"/>
      <c r="P854" s="49"/>
      <c r="Q854" s="49"/>
      <c r="R854" s="49"/>
      <c r="S854" s="49"/>
      <c r="T854" s="49"/>
      <c r="U854" s="49"/>
      <c r="V854" s="49"/>
      <c r="W854" s="49"/>
      <c r="X854" s="664" t="s">
        <v>411</v>
      </c>
    </row>
    <row r="855" spans="1:24" ht="11.25" customHeight="1">
      <c r="A855" s="611">
        <v>63</v>
      </c>
      <c r="B855" s="49"/>
      <c r="C855" s="49"/>
      <c r="D855" s="49"/>
      <c r="E855" s="49"/>
      <c r="F855" s="49"/>
      <c r="G855" s="49"/>
      <c r="H855" s="49"/>
      <c r="I855" s="49"/>
      <c r="J855" s="49"/>
      <c r="K855" s="49"/>
      <c r="L855" s="676" t="s">
        <v>411</v>
      </c>
      <c r="M855" s="49"/>
      <c r="N855" s="49"/>
      <c r="O855" s="49"/>
      <c r="P855" s="49"/>
      <c r="Q855" s="49"/>
      <c r="R855" s="49"/>
      <c r="S855" s="49"/>
      <c r="T855" s="49"/>
      <c r="U855" s="49"/>
      <c r="V855" s="49"/>
      <c r="W855" s="49"/>
      <c r="X855" s="664" t="s">
        <v>411</v>
      </c>
    </row>
    <row r="856" spans="1:24" ht="11.25" customHeight="1">
      <c r="A856" s="611">
        <v>64</v>
      </c>
      <c r="B856" s="49"/>
      <c r="C856" s="49"/>
      <c r="D856" s="49"/>
      <c r="E856" s="49"/>
      <c r="F856" s="49"/>
      <c r="G856" s="49"/>
      <c r="H856" s="49"/>
      <c r="I856" s="49"/>
      <c r="J856" s="49"/>
      <c r="K856" s="49"/>
      <c r="L856" s="676" t="s">
        <v>411</v>
      </c>
      <c r="M856" s="49"/>
      <c r="N856" s="49"/>
      <c r="O856" s="49"/>
      <c r="P856" s="49"/>
      <c r="Q856" s="49"/>
      <c r="R856" s="49"/>
      <c r="S856" s="49"/>
      <c r="T856" s="49"/>
      <c r="U856" s="49"/>
      <c r="V856" s="49"/>
      <c r="W856" s="49"/>
      <c r="X856" s="664" t="s">
        <v>411</v>
      </c>
    </row>
    <row r="857" spans="1:24" ht="11.25" customHeight="1">
      <c r="A857" s="611">
        <v>65</v>
      </c>
      <c r="B857" s="52" t="str">
        <f t="array" ref="B857:C858">$B$65:$C$66</f>
        <v>Date:</v>
      </c>
      <c r="C857" s="1133" t="str">
        <v/>
      </c>
      <c r="D857" s="49"/>
      <c r="E857" s="49"/>
      <c r="F857" s="49"/>
      <c r="G857" s="49"/>
      <c r="H857" s="49"/>
      <c r="I857" s="52" t="str">
        <f t="array" ref="I857:J858">$I$65:$J$66</f>
        <v>Inspector:</v>
      </c>
      <c r="J857" s="421" t="str">
        <v>Eugene Mah</v>
      </c>
      <c r="L857" s="676" t="s">
        <v>411</v>
      </c>
      <c r="M857" s="49"/>
      <c r="N857" s="49"/>
      <c r="O857" s="49"/>
      <c r="P857" s="49"/>
      <c r="Q857" s="49"/>
      <c r="R857" s="49"/>
      <c r="S857" s="49"/>
      <c r="T857" s="49"/>
      <c r="U857" s="49"/>
      <c r="V857" s="49"/>
      <c r="W857" s="49"/>
      <c r="X857" s="664" t="s">
        <v>411</v>
      </c>
    </row>
    <row r="858" spans="1:24" ht="11.25" customHeight="1">
      <c r="A858" s="611">
        <v>66</v>
      </c>
      <c r="B858" s="52" t="str">
        <v>Room Number:</v>
      </c>
      <c r="C858" s="373" t="str">
        <v/>
      </c>
      <c r="D858" s="49"/>
      <c r="E858" s="49"/>
      <c r="F858" s="49"/>
      <c r="G858" s="49"/>
      <c r="H858" s="49"/>
      <c r="I858" s="52" t="str">
        <v>Survey ID:</v>
      </c>
      <c r="J858" s="1045" t="str">
        <v/>
      </c>
      <c r="L858" s="676" t="s">
        <v>411</v>
      </c>
      <c r="M858" s="49"/>
      <c r="N858" s="49"/>
      <c r="O858" s="49"/>
      <c r="P858" s="49"/>
      <c r="Q858" s="49"/>
      <c r="R858" s="49"/>
      <c r="S858" s="49"/>
      <c r="T858" s="49"/>
      <c r="U858" s="49"/>
      <c r="V858" s="49"/>
      <c r="W858" s="49"/>
      <c r="X858" s="664" t="s">
        <v>411</v>
      </c>
    </row>
    <row r="859" spans="1:24" ht="11.25" customHeight="1">
      <c r="A859" s="611">
        <v>1</v>
      </c>
      <c r="K859" s="131" t="str">
        <f>$F$2</f>
        <v>Medical University of South Carolina</v>
      </c>
      <c r="L859" s="676" t="s">
        <v>411</v>
      </c>
      <c r="W859" s="131" t="str">
        <f>$F$2</f>
        <v>Medical University of South Carolina</v>
      </c>
      <c r="X859" s="664" t="s">
        <v>411</v>
      </c>
    </row>
    <row r="860" spans="1:24" ht="11.25" customHeight="1">
      <c r="A860" s="611">
        <v>2</v>
      </c>
      <c r="F860" s="82" t="str">
        <f>$F$464</f>
        <v>Measurement Data</v>
      </c>
      <c r="K860" s="132" t="str">
        <f>$F$5</f>
        <v>Radiographic System Compliance Inspection</v>
      </c>
      <c r="L860" s="676" t="s">
        <v>411</v>
      </c>
      <c r="R860" s="82" t="str">
        <f>$F$464</f>
        <v>Measurement Data</v>
      </c>
      <c r="W860" s="132" t="str">
        <f>$F$5</f>
        <v>Radiographic System Compliance Inspection</v>
      </c>
      <c r="X860" s="664" t="s">
        <v>411</v>
      </c>
    </row>
    <row r="861" spans="1:24" ht="11.25" customHeight="1" thickBot="1">
      <c r="A861" s="611">
        <v>3</v>
      </c>
      <c r="L861" s="676" t="s">
        <v>411</v>
      </c>
      <c r="X861" s="664" t="s">
        <v>411</v>
      </c>
    </row>
    <row r="862" spans="1:24" ht="11.25" customHeight="1" thickTop="1">
      <c r="A862" s="611">
        <v>4</v>
      </c>
      <c r="B862" s="79"/>
      <c r="C862" s="62"/>
      <c r="D862" s="62"/>
      <c r="E862" s="62"/>
      <c r="F862" s="62"/>
      <c r="G862" s="62"/>
      <c r="H862" s="62"/>
      <c r="I862" s="62"/>
      <c r="J862" s="62"/>
      <c r="K862" s="80"/>
      <c r="L862" s="676" t="s">
        <v>411</v>
      </c>
      <c r="M862" s="79"/>
      <c r="N862" s="62"/>
      <c r="O862" s="62"/>
      <c r="P862" s="62"/>
      <c r="Q862" s="62"/>
      <c r="R862" s="62"/>
      <c r="S862" s="62"/>
      <c r="T862" s="62"/>
      <c r="U862" s="62"/>
      <c r="V862" s="62"/>
      <c r="W862" s="80"/>
      <c r="X862" s="664" t="s">
        <v>411</v>
      </c>
    </row>
    <row r="863" spans="1:24" ht="11.25" customHeight="1">
      <c r="A863" s="611">
        <v>5</v>
      </c>
      <c r="B863" s="127"/>
      <c r="C863" s="54" t="s">
        <v>47</v>
      </c>
      <c r="D863" s="59" t="str">
        <f>IF($O$687="","",$O$687)</f>
        <v>Piranha 1 CB2-17090320</v>
      </c>
      <c r="E863" s="48"/>
      <c r="F863" s="48"/>
      <c r="K863" s="71"/>
      <c r="L863" s="676" t="s">
        <v>411</v>
      </c>
      <c r="M863" s="160"/>
      <c r="N863" s="54" t="s">
        <v>47</v>
      </c>
      <c r="O863" s="59" t="str">
        <f>IF($O$687="","",$O$687)</f>
        <v>Piranha 1 CB2-17090320</v>
      </c>
      <c r="P863" s="48"/>
      <c r="Q863" s="48"/>
      <c r="T863" s="1"/>
      <c r="U863" s="1"/>
      <c r="V863" s="1"/>
      <c r="W863" s="39"/>
      <c r="X863" s="664" t="s">
        <v>411</v>
      </c>
    </row>
    <row r="864" spans="1:24" ht="11.25" customHeight="1">
      <c r="A864" s="611">
        <v>6</v>
      </c>
      <c r="B864" s="127"/>
      <c r="K864" s="71"/>
      <c r="L864" s="676" t="s">
        <v>411</v>
      </c>
      <c r="M864" s="45"/>
      <c r="N864" s="1"/>
      <c r="O864" s="37"/>
      <c r="P864" s="1"/>
      <c r="Q864" s="1"/>
      <c r="R864" s="1"/>
      <c r="S864" s="1"/>
      <c r="T864" s="1"/>
      <c r="U864" s="1"/>
      <c r="V864" s="1"/>
      <c r="W864" s="39"/>
      <c r="X864" s="664" t="s">
        <v>411</v>
      </c>
    </row>
    <row r="865" spans="1:24" ht="11.25" customHeight="1">
      <c r="A865" s="611">
        <v>7</v>
      </c>
      <c r="B865" s="127"/>
      <c r="C865" s="53"/>
      <c r="K865" s="71"/>
      <c r="L865" s="676" t="s">
        <v>411</v>
      </c>
      <c r="M865" s="191" t="s">
        <v>660</v>
      </c>
      <c r="N865" s="53"/>
      <c r="O865" s="53"/>
      <c r="W865" s="71"/>
      <c r="X865" s="664" t="s">
        <v>411</v>
      </c>
    </row>
    <row r="866" spans="1:24" ht="11.25" customHeight="1">
      <c r="A866" s="611">
        <v>8</v>
      </c>
      <c r="B866" s="191" t="s">
        <v>660</v>
      </c>
      <c r="E866" s="54" t="s">
        <v>606</v>
      </c>
      <c r="F866" s="61">
        <f>IF(Q870="","",Q870)</f>
        <v>80</v>
      </c>
      <c r="G866" s="54" t="s">
        <v>143</v>
      </c>
      <c r="H866" s="48" t="str">
        <f>IF(P870="","",P870)</f>
        <v/>
      </c>
      <c r="J866" s="49"/>
      <c r="K866" s="69"/>
      <c r="L866" s="676" t="s">
        <v>411</v>
      </c>
      <c r="M866" s="66"/>
      <c r="N866" s="49"/>
      <c r="O866" s="49"/>
      <c r="P866" s="49"/>
      <c r="Q866" s="49"/>
      <c r="R866" s="49"/>
      <c r="S866" s="49"/>
      <c r="T866" s="49"/>
      <c r="U866" s="49"/>
      <c r="V866" s="49"/>
      <c r="W866" s="69"/>
      <c r="X866" s="664" t="s">
        <v>411</v>
      </c>
    </row>
    <row r="867" spans="1:24" ht="11.25" customHeight="1">
      <c r="A867" s="611">
        <v>9</v>
      </c>
      <c r="B867" s="66"/>
      <c r="C867" s="49"/>
      <c r="D867" s="49"/>
      <c r="E867" s="54" t="s">
        <v>71</v>
      </c>
      <c r="F867" s="48">
        <f>IF(N870="","",N870)</f>
        <v>100</v>
      </c>
      <c r="G867" s="50" t="str">
        <f>LFSDD</f>
        <v>cm</v>
      </c>
      <c r="H867" s="49"/>
      <c r="I867" s="49"/>
      <c r="J867" s="49" t="s">
        <v>144</v>
      </c>
      <c r="K867" s="69"/>
      <c r="L867" s="676" t="s">
        <v>411</v>
      </c>
      <c r="M867" s="66"/>
      <c r="N867" s="49"/>
      <c r="O867" s="49"/>
      <c r="P867" s="49"/>
      <c r="Q867" s="49"/>
      <c r="R867" s="49"/>
      <c r="S867" s="49"/>
      <c r="T867" s="49"/>
      <c r="U867" s="49"/>
      <c r="V867" s="49"/>
      <c r="W867" s="69"/>
      <c r="X867" s="664" t="s">
        <v>411</v>
      </c>
    </row>
    <row r="868" spans="1:24" ht="11.25" customHeight="1" thickBot="1">
      <c r="A868" s="611">
        <v>10</v>
      </c>
      <c r="B868" s="66" t="s">
        <v>55</v>
      </c>
      <c r="C868" s="117"/>
      <c r="D868" s="122" t="s">
        <v>60</v>
      </c>
      <c r="E868" s="66"/>
      <c r="F868" s="50" t="s">
        <v>61</v>
      </c>
      <c r="G868" s="49"/>
      <c r="H868" s="49"/>
      <c r="I868" s="49" t="s">
        <v>1054</v>
      </c>
      <c r="J868" s="117" t="s">
        <v>145</v>
      </c>
      <c r="K868" s="69"/>
      <c r="L868" s="676" t="s">
        <v>411</v>
      </c>
      <c r="M868" s="66" t="s">
        <v>510</v>
      </c>
      <c r="N868" s="218" t="s">
        <v>79</v>
      </c>
      <c r="O868" s="218" t="s">
        <v>57</v>
      </c>
      <c r="P868" s="218" t="s">
        <v>58</v>
      </c>
      <c r="Q868" s="49"/>
      <c r="R868" s="218"/>
      <c r="S868" s="122" t="s">
        <v>60</v>
      </c>
      <c r="T868" s="49"/>
      <c r="U868" s="50" t="s">
        <v>61</v>
      </c>
      <c r="V868" s="49"/>
      <c r="W868" s="69"/>
      <c r="X868" s="664" t="s">
        <v>411</v>
      </c>
    </row>
    <row r="869" spans="1:24" ht="11.25" customHeight="1" thickBot="1">
      <c r="A869" s="611">
        <v>11</v>
      </c>
      <c r="B869" s="219" t="s">
        <v>62</v>
      </c>
      <c r="C869" s="146" t="str">
        <f>IF(LFMAS="","mA/mAs",LFMAS)</f>
        <v>mA</v>
      </c>
      <c r="D869" s="208" t="s">
        <v>65</v>
      </c>
      <c r="E869" s="219" t="s">
        <v>66</v>
      </c>
      <c r="F869" s="138" t="s">
        <v>67</v>
      </c>
      <c r="G869" s="138" t="s">
        <v>65</v>
      </c>
      <c r="H869" s="138" t="s">
        <v>1053</v>
      </c>
      <c r="I869" s="231" t="s">
        <v>146</v>
      </c>
      <c r="J869" s="137" t="s">
        <v>49</v>
      </c>
      <c r="K869" s="280" t="s">
        <v>631</v>
      </c>
      <c r="L869" s="676" t="s">
        <v>411</v>
      </c>
      <c r="M869" s="219" t="s">
        <v>62</v>
      </c>
      <c r="N869" s="138" t="str">
        <f>LFSDD</f>
        <v>cm</v>
      </c>
      <c r="O869" s="138" t="s">
        <v>63</v>
      </c>
      <c r="P869" s="138" t="s">
        <v>48</v>
      </c>
      <c r="Q869" s="138" t="s">
        <v>64</v>
      </c>
      <c r="R869" s="138" t="str">
        <f>IF(AND(LFMAS="",SFMAS=""),"mA/mAs",IF(O870="Large",LFMAS,SFMAS))</f>
        <v>mA</v>
      </c>
      <c r="S869" s="208" t="s">
        <v>65</v>
      </c>
      <c r="T869" s="138" t="s">
        <v>66</v>
      </c>
      <c r="U869" s="138" t="s">
        <v>67</v>
      </c>
      <c r="V869" s="138" t="s">
        <v>65</v>
      </c>
      <c r="W869" s="208" t="s">
        <v>1053</v>
      </c>
      <c r="X869" s="664" t="s">
        <v>411</v>
      </c>
    </row>
    <row r="870" spans="1:24" ht="11.25" customHeight="1">
      <c r="A870" s="611">
        <v>12</v>
      </c>
      <c r="B870" s="281" t="s">
        <v>147</v>
      </c>
      <c r="C870" s="232">
        <f t="shared" ref="C870:H874" si="123">IF(R870="","",R870)</f>
        <v>400</v>
      </c>
      <c r="D870" s="233">
        <f t="shared" si="123"/>
        <v>0.05</v>
      </c>
      <c r="E870" s="234" t="str">
        <f t="shared" si="123"/>
        <v/>
      </c>
      <c r="F870" s="119" t="str">
        <f t="shared" si="123"/>
        <v/>
      </c>
      <c r="G870" s="120" t="str">
        <f t="shared" si="123"/>
        <v/>
      </c>
      <c r="H870" s="119" t="str">
        <f t="shared" si="123"/>
        <v/>
      </c>
      <c r="I870" s="1095" t="str">
        <f>IF(OR(H870="",AND(LFMAS="",SFMAS=""),AND($C$869="mA",D870="")),"",IF($C$869="mAs",H870/C870,H870/(C870*D870)))</f>
        <v/>
      </c>
      <c r="J870" s="1277" t="str">
        <f>IF(OR(I870="",I871=""),"",(MAX(I870:I871)-MIN(I870:I871))/(MAX(I870:I871)+MIN(I870:I871)))</f>
        <v/>
      </c>
      <c r="K870" s="282" t="s">
        <v>148</v>
      </c>
      <c r="L870" s="676" t="s">
        <v>411</v>
      </c>
      <c r="M870" s="281" t="s">
        <v>147</v>
      </c>
      <c r="N870" s="356">
        <f>$N$694</f>
        <v>100</v>
      </c>
      <c r="O870" s="217" t="str">
        <f>Sheet1!F6</f>
        <v>Large</v>
      </c>
      <c r="P870" s="1206"/>
      <c r="Q870" s="216">
        <f>Sheet1!A5</f>
        <v>80</v>
      </c>
      <c r="R870" s="426" cm="1">
        <f t="array" ref="R870">_xlfn.SWITCH(LFMAS,"mA",Sheet1!B5,"mAs",Sheet1!C5)</f>
        <v>400</v>
      </c>
      <c r="S870" s="233" cm="1">
        <f t="array" ref="S870">_xlfn.SWITCH(LFMAS,"mA",Sheet1!D5,"mAs","")</f>
        <v>0.05</v>
      </c>
      <c r="T870" s="1228"/>
      <c r="U870" s="217" t="str">
        <f>IF(Sheet1!G5="","",Sheet1!G5)</f>
        <v/>
      </c>
      <c r="V870" s="221" t="str">
        <f>IF(Sheet1!H5="","",Sheet1!H5)</f>
        <v/>
      </c>
      <c r="W870" s="443" t="str">
        <f>IF(Sheet1!I5="","",Sheet1!I5)</f>
        <v/>
      </c>
      <c r="X870" s="664" t="s">
        <v>411</v>
      </c>
    </row>
    <row r="871" spans="1:24" ht="11.25" customHeight="1" thickBot="1">
      <c r="A871" s="611">
        <v>13</v>
      </c>
      <c r="B871" s="219" t="s">
        <v>147</v>
      </c>
      <c r="C871" s="235">
        <f t="shared" si="123"/>
        <v>500</v>
      </c>
      <c r="D871" s="236">
        <f t="shared" si="123"/>
        <v>0.05</v>
      </c>
      <c r="E871" s="237" t="str">
        <f t="shared" si="123"/>
        <v/>
      </c>
      <c r="F871" s="238" t="str">
        <f t="shared" si="123"/>
        <v/>
      </c>
      <c r="G871" s="239" t="str">
        <f t="shared" si="123"/>
        <v/>
      </c>
      <c r="H871" s="238" t="str">
        <f t="shared" si="123"/>
        <v/>
      </c>
      <c r="I871" s="1096" t="str">
        <f>IF(OR(H871="",AND(LFMAS="",SFMAS=""),AND($C$869="mA",D871="")),"",IF($C$869="mAs",H871/C871,H871/(C871*D871)))</f>
        <v/>
      </c>
      <c r="J871" s="1278"/>
      <c r="K871" s="283" t="str">
        <f>IF(J870="","TBD",IF(J870&gt;0.1,"NO","YES"))</f>
        <v>TBD</v>
      </c>
      <c r="L871" s="676" t="s">
        <v>411</v>
      </c>
      <c r="M871" s="219" t="s">
        <v>147</v>
      </c>
      <c r="N871" s="481">
        <f>IF(R871="","",$N$870)</f>
        <v>100</v>
      </c>
      <c r="O871" s="138" t="str">
        <f>Sheet1!F16</f>
        <v>Large</v>
      </c>
      <c r="P871" s="1227"/>
      <c r="Q871" s="482">
        <f>Sheet1!A16</f>
        <v>80</v>
      </c>
      <c r="R871" s="483" cm="1">
        <f t="array" ref="R871">_xlfn.SWITCH(LFMAS,"mA",Sheet1!B16,"mAs",Sheet1!C16)</f>
        <v>500</v>
      </c>
      <c r="S871" s="236" cm="1">
        <f t="array" ref="S871">_xlfn.SWITCH(LFMAS,"mA",Sheet1!D16,"mAs","")</f>
        <v>0.05</v>
      </c>
      <c r="T871" s="1229"/>
      <c r="U871" s="138" t="str">
        <f>IF(Sheet1!G16="","",Sheet1!G16)</f>
        <v/>
      </c>
      <c r="V871" s="484" t="str">
        <f>IF(Sheet1!H16="","",Sheet1!H16)</f>
        <v/>
      </c>
      <c r="W871" s="485" t="str">
        <f>IF(Sheet1!I16="","",Sheet1!I16)</f>
        <v/>
      </c>
      <c r="X871" s="664" t="s">
        <v>411</v>
      </c>
    </row>
    <row r="872" spans="1:24" ht="11.25" customHeight="1">
      <c r="A872" s="611">
        <v>14</v>
      </c>
      <c r="B872" s="106" t="s">
        <v>149</v>
      </c>
      <c r="C872" s="232">
        <f t="shared" si="123"/>
        <v>50</v>
      </c>
      <c r="D872" s="233">
        <f t="shared" si="123"/>
        <v>0.05</v>
      </c>
      <c r="E872" s="234" t="str">
        <f t="shared" si="123"/>
        <v/>
      </c>
      <c r="F872" s="119" t="str">
        <f t="shared" si="123"/>
        <v/>
      </c>
      <c r="G872" s="120" t="str">
        <f t="shared" si="123"/>
        <v/>
      </c>
      <c r="H872" s="119" t="str">
        <f t="shared" si="123"/>
        <v/>
      </c>
      <c r="I872" s="1095" t="str">
        <f>IF(OR(H872="",AND(LFMAS="",SFMAS=""),AND($C$869="mA",D872="")),"",IF($C$869="mAs",H872/C872,H872/(C872*D872)))</f>
        <v/>
      </c>
      <c r="J872" s="1277" t="str">
        <f>IF(OR(I870="",I872=""),"",(MAX(I870:I874)-MIN(I870:I874))/(MAX(I870:I874)+MIN(I870:I874)))</f>
        <v/>
      </c>
      <c r="K872" s="284"/>
      <c r="L872" s="676" t="s">
        <v>411</v>
      </c>
      <c r="M872" s="106" t="s">
        <v>149</v>
      </c>
      <c r="N872" s="356">
        <f>IF(R872="","",$N$870)</f>
        <v>100</v>
      </c>
      <c r="O872" s="217" t="str">
        <f>Sheet1!F17</f>
        <v>Large</v>
      </c>
      <c r="P872" s="1206"/>
      <c r="Q872" s="216">
        <f>Sheet1!A17</f>
        <v>80</v>
      </c>
      <c r="R872" s="426" cm="1">
        <f t="array" ref="R872">_xlfn.SWITCH(LFMAS,"mA",Sheet1!B17,"mAs",Sheet1!C17)</f>
        <v>50</v>
      </c>
      <c r="S872" s="233" cm="1">
        <f t="array" ref="S872">_xlfn.SWITCH(LFMAS,"mA",Sheet1!D17,"mAs","")</f>
        <v>0.05</v>
      </c>
      <c r="T872" s="1228"/>
      <c r="U872" s="217" t="str">
        <f>IF(Sheet1!G17="","",Sheet1!G17)</f>
        <v/>
      </c>
      <c r="V872" s="221" t="str">
        <f>IF(Sheet1!H17="","",Sheet1!H17)</f>
        <v/>
      </c>
      <c r="W872" s="443" t="str">
        <f>IF(Sheet1!I17="","",Sheet1!I17)</f>
        <v/>
      </c>
      <c r="X872" s="664" t="s">
        <v>411</v>
      </c>
    </row>
    <row r="873" spans="1:24" ht="11.25" customHeight="1">
      <c r="A873" s="611">
        <v>15</v>
      </c>
      <c r="B873" s="106" t="s">
        <v>149</v>
      </c>
      <c r="C873" s="232">
        <f t="shared" si="123"/>
        <v>800</v>
      </c>
      <c r="D873" s="233">
        <f t="shared" si="123"/>
        <v>0.05</v>
      </c>
      <c r="E873" s="234" t="str">
        <f t="shared" si="123"/>
        <v/>
      </c>
      <c r="F873" s="119" t="str">
        <f t="shared" si="123"/>
        <v/>
      </c>
      <c r="G873" s="120" t="str">
        <f t="shared" si="123"/>
        <v/>
      </c>
      <c r="H873" s="119" t="str">
        <f t="shared" si="123"/>
        <v/>
      </c>
      <c r="I873" s="1095" t="str">
        <f>IF(OR(H873="",AND(LFMAS="",SFMAS=""),AND($C$869="mA",D873="")),"",IF($C$869="mAs",H873/C873,H873/(C873*D873)))</f>
        <v/>
      </c>
      <c r="J873" s="1300"/>
      <c r="K873" s="282" t="s">
        <v>149</v>
      </c>
      <c r="L873" s="676" t="s">
        <v>411</v>
      </c>
      <c r="M873" s="106" t="s">
        <v>149</v>
      </c>
      <c r="N873" s="356">
        <f>IF(R873="","",$N$870)</f>
        <v>100</v>
      </c>
      <c r="O873" s="217" t="str">
        <f>Sheet1!F18</f>
        <v>Large</v>
      </c>
      <c r="P873" s="1206"/>
      <c r="Q873" s="216">
        <f>Sheet1!A18</f>
        <v>80</v>
      </c>
      <c r="R873" s="426" cm="1">
        <f t="array" ref="R873">_xlfn.SWITCH(LFMAS,"mA",Sheet1!B18,"mAs",Sheet1!C18)</f>
        <v>800</v>
      </c>
      <c r="S873" s="233" cm="1">
        <f t="array" ref="S873">_xlfn.SWITCH(LFMAS,"mA",Sheet1!D18,"mAs","")</f>
        <v>0.05</v>
      </c>
      <c r="T873" s="1228"/>
      <c r="U873" s="217" t="str">
        <f>IF(Sheet1!G18="","",Sheet1!G18)</f>
        <v/>
      </c>
      <c r="V873" s="221" t="str">
        <f>IF(Sheet1!H18="","",Sheet1!H18)</f>
        <v/>
      </c>
      <c r="W873" s="443" t="str">
        <f>IF(Sheet1!I18="","",Sheet1!I18)</f>
        <v/>
      </c>
      <c r="X873" s="664" t="s">
        <v>411</v>
      </c>
    </row>
    <row r="874" spans="1:24" ht="11.25" customHeight="1" thickBot="1">
      <c r="A874" s="611">
        <v>16</v>
      </c>
      <c r="B874" s="219" t="s">
        <v>149</v>
      </c>
      <c r="C874" s="235">
        <f t="shared" si="123"/>
        <v>250</v>
      </c>
      <c r="D874" s="236">
        <f t="shared" si="123"/>
        <v>0.05</v>
      </c>
      <c r="E874" s="237" t="str">
        <f t="shared" si="123"/>
        <v/>
      </c>
      <c r="F874" s="238" t="str">
        <f t="shared" si="123"/>
        <v/>
      </c>
      <c r="G874" s="239" t="str">
        <f t="shared" si="123"/>
        <v/>
      </c>
      <c r="H874" s="238" t="str">
        <f t="shared" si="123"/>
        <v/>
      </c>
      <c r="I874" s="1096" t="str">
        <f>IF(OR(H874="",AND(LFMAS="",SFMAS=""),AND($C$869="mA",D874="")),"",IF($C$869="mAs",H874/C874,H874/(C874*D874)))</f>
        <v/>
      </c>
      <c r="J874" s="1278"/>
      <c r="K874" s="283" t="str">
        <f>IF(J872="","TBD",IF(J872&gt;0.1,"NO","YES"))</f>
        <v>TBD</v>
      </c>
      <c r="L874" s="676" t="s">
        <v>411</v>
      </c>
      <c r="M874" s="219" t="s">
        <v>149</v>
      </c>
      <c r="N874" s="481">
        <f>IF(R874="","",$N$870)</f>
        <v>100</v>
      </c>
      <c r="O874" s="138" t="str">
        <f>Sheet1!F19</f>
        <v>Large</v>
      </c>
      <c r="P874" s="1227"/>
      <c r="Q874" s="482">
        <f>Sheet1!A19</f>
        <v>80</v>
      </c>
      <c r="R874" s="483" cm="1">
        <f t="array" ref="R874">_xlfn.SWITCH(LFMAS,"mA",Sheet1!B19,"mAs",Sheet1!C19)</f>
        <v>250</v>
      </c>
      <c r="S874" s="236" cm="1">
        <f t="array" ref="S874">_xlfn.SWITCH(LFMAS,"mA",Sheet1!D19,"mAs","")</f>
        <v>0.05</v>
      </c>
      <c r="T874" s="1229"/>
      <c r="U874" s="138" t="str">
        <f>IF(Sheet1!G19="","",Sheet1!G19)</f>
        <v/>
      </c>
      <c r="V874" s="484" t="str">
        <f>IF(Sheet1!H19="","",Sheet1!H19)</f>
        <v/>
      </c>
      <c r="W874" s="485" t="str">
        <f>IF(Sheet1!I19="","",Sheet1!I19)</f>
        <v/>
      </c>
      <c r="X874" s="664" t="s">
        <v>411</v>
      </c>
    </row>
    <row r="875" spans="1:24" ht="11.25" customHeight="1" thickBot="1">
      <c r="A875" s="611">
        <v>17</v>
      </c>
      <c r="B875" s="85" t="s">
        <v>150</v>
      </c>
      <c r="C875" s="49"/>
      <c r="D875" s="49"/>
      <c r="E875" s="49"/>
      <c r="F875" s="49"/>
      <c r="G875" s="49"/>
      <c r="H875" s="49"/>
      <c r="I875" s="54"/>
      <c r="J875" s="49"/>
      <c r="K875" s="69"/>
      <c r="L875" s="676" t="s">
        <v>411</v>
      </c>
      <c r="M875" s="85" t="s">
        <v>150</v>
      </c>
      <c r="N875" s="49"/>
      <c r="O875" s="49"/>
      <c r="P875" s="49"/>
      <c r="Q875" s="49"/>
      <c r="R875" s="49"/>
      <c r="S875" s="49"/>
      <c r="T875" s="49"/>
      <c r="U875" s="49"/>
      <c r="V875" s="49"/>
      <c r="W875" s="69"/>
      <c r="X875" s="664" t="s">
        <v>411</v>
      </c>
    </row>
    <row r="876" spans="1:24" ht="11.25" customHeight="1" thickBot="1">
      <c r="A876" s="611">
        <v>18</v>
      </c>
      <c r="B876" s="66"/>
      <c r="C876" s="49"/>
      <c r="D876" s="49"/>
      <c r="E876" s="49"/>
      <c r="F876" s="49"/>
      <c r="G876" s="49"/>
      <c r="H876" s="49"/>
      <c r="I876" s="49"/>
      <c r="J876" s="49"/>
      <c r="K876" s="69"/>
      <c r="L876" s="676" t="s">
        <v>411</v>
      </c>
      <c r="M876" s="66"/>
      <c r="N876" s="49"/>
      <c r="O876" s="49"/>
      <c r="P876" s="49"/>
      <c r="Q876" s="49"/>
      <c r="R876" s="49"/>
      <c r="S876" s="49"/>
      <c r="T876" s="49"/>
      <c r="U876" s="49"/>
      <c r="V876" s="1029" t="s">
        <v>631</v>
      </c>
      <c r="W876" s="70"/>
      <c r="X876" s="664" t="s">
        <v>411</v>
      </c>
    </row>
    <row r="877" spans="1:24" ht="11.25" customHeight="1">
      <c r="A877" s="611">
        <v>19</v>
      </c>
      <c r="B877" s="102" t="s">
        <v>552</v>
      </c>
      <c r="C877" s="922" t="str">
        <f>IF(O877="","",IF(LEN(O877)&lt;=135,O877,IF(LEN(O877)&lt;=260,LEFT(O877,SEARCH(" ",O877,125)),LEFT(O877,SEARCH(" ",O877,130)))))</f>
        <v/>
      </c>
      <c r="D877" s="48"/>
      <c r="E877" s="48"/>
      <c r="F877" s="224"/>
      <c r="G877" s="48"/>
      <c r="H877" s="48"/>
      <c r="I877" s="48"/>
      <c r="J877" s="48"/>
      <c r="K877" s="69"/>
      <c r="L877" s="676" t="s">
        <v>411</v>
      </c>
      <c r="M877" s="127"/>
      <c r="N877" s="577" t="s">
        <v>552</v>
      </c>
      <c r="O877" s="713" t="str">
        <f>IF(O879&lt;&gt;"",O879,IF(OR(AB447=0,AB447=""),"",AB447))</f>
        <v/>
      </c>
      <c r="P877" s="48"/>
      <c r="Q877" s="48"/>
      <c r="R877" s="48"/>
      <c r="S877" s="48"/>
      <c r="T877" s="48"/>
      <c r="U877" s="48"/>
      <c r="V877" s="1136" t="s">
        <v>148</v>
      </c>
      <c r="W877" s="70"/>
      <c r="X877" s="664" t="s">
        <v>411</v>
      </c>
    </row>
    <row r="878" spans="1:24" ht="11.25" customHeight="1" thickBot="1">
      <c r="A878" s="611">
        <v>20</v>
      </c>
      <c r="B878" s="66"/>
      <c r="C878" s="923" t="str">
        <f>IF(LEN(O877)&lt;=135,"",IF(LEN(O877)&lt;=260,RIGHT(O877,LEN(O877)-SEARCH(" ",O877,125)),MID(O877,SEARCH(" ",O877,130),IF(LEN(O877)&lt;=265,LEN(O877),SEARCH(" ",O877,255)-SEARCH(" ",O877,130)))))</f>
        <v/>
      </c>
      <c r="D878" s="48"/>
      <c r="E878" s="48"/>
      <c r="F878" s="224"/>
      <c r="G878" s="48"/>
      <c r="H878" s="48"/>
      <c r="I878" s="48"/>
      <c r="J878" s="48"/>
      <c r="K878" s="69"/>
      <c r="L878" s="676" t="s">
        <v>411</v>
      </c>
      <c r="M878" s="85"/>
      <c r="N878" s="609" t="s">
        <v>282</v>
      </c>
      <c r="O878" s="59"/>
      <c r="P878" s="921">
        <f>LEN(O877)</f>
        <v>0</v>
      </c>
      <c r="Q878" s="48"/>
      <c r="R878" s="48"/>
      <c r="S878" s="48"/>
      <c r="T878" s="48"/>
      <c r="U878" s="48"/>
      <c r="V878" s="1003" t="str">
        <f>IF(J870="","TBD",IF(J870&gt;0.1,"NO","YES"))</f>
        <v>TBD</v>
      </c>
      <c r="W878" s="70"/>
      <c r="X878" s="664" t="s">
        <v>411</v>
      </c>
    </row>
    <row r="879" spans="1:24" ht="11.25" customHeight="1">
      <c r="A879" s="611">
        <v>21</v>
      </c>
      <c r="B879" s="66"/>
      <c r="C879" s="922" t="str">
        <f>IF(LEN(O877)&lt;=265,"",RIGHT(O877,LEN(O877)-SEARCH(" ",O877,255)))</f>
        <v/>
      </c>
      <c r="D879" s="48"/>
      <c r="E879" s="48"/>
      <c r="F879" s="224"/>
      <c r="G879" s="48"/>
      <c r="H879" s="48"/>
      <c r="I879" s="48"/>
      <c r="J879" s="48"/>
      <c r="K879" s="69"/>
      <c r="L879" s="676" t="s">
        <v>411</v>
      </c>
      <c r="M879" s="66"/>
      <c r="N879" s="1024" t="s">
        <v>619</v>
      </c>
      <c r="O879" s="1026"/>
      <c r="P879" s="59"/>
      <c r="Q879" s="59"/>
      <c r="R879" s="59"/>
      <c r="S879" s="59"/>
      <c r="T879" s="59"/>
      <c r="U879" s="59"/>
      <c r="V879" s="1136" t="s">
        <v>149</v>
      </c>
      <c r="W879" s="70"/>
      <c r="X879" s="664" t="s">
        <v>411</v>
      </c>
    </row>
    <row r="880" spans="1:24" ht="11.25" customHeight="1" thickBot="1">
      <c r="A880" s="611">
        <v>22</v>
      </c>
      <c r="B880" s="66"/>
      <c r="C880" s="49"/>
      <c r="D880" s="49"/>
      <c r="E880" s="49"/>
      <c r="F880" s="49"/>
      <c r="G880" s="49"/>
      <c r="H880" s="49"/>
      <c r="I880" s="49"/>
      <c r="J880" s="49"/>
      <c r="K880" s="69"/>
      <c r="L880" s="676" t="s">
        <v>411</v>
      </c>
      <c r="M880" s="66"/>
      <c r="N880" s="49"/>
      <c r="O880" s="49"/>
      <c r="P880" s="49"/>
      <c r="Q880" s="49"/>
      <c r="R880" s="49"/>
      <c r="S880" s="49"/>
      <c r="T880" s="49"/>
      <c r="U880" s="49"/>
      <c r="V880" s="1003" t="str">
        <f>IF(J872="","TBD",IF(J872&gt;0.1,"NO","YES"))</f>
        <v>TBD</v>
      </c>
      <c r="W880" s="70"/>
      <c r="X880" s="664" t="s">
        <v>411</v>
      </c>
    </row>
    <row r="881" spans="1:24" ht="11.25" customHeight="1">
      <c r="A881" s="611">
        <v>23</v>
      </c>
      <c r="B881" s="191" t="s">
        <v>661</v>
      </c>
      <c r="C881" s="128"/>
      <c r="D881" s="49"/>
      <c r="E881" s="54" t="s">
        <v>606</v>
      </c>
      <c r="F881" s="61">
        <f>IF(Q885="","",Q885)</f>
        <v>80</v>
      </c>
      <c r="G881" s="54" t="s">
        <v>143</v>
      </c>
      <c r="H881" s="48" t="str">
        <f>IF(P885="","",P885)</f>
        <v/>
      </c>
      <c r="J881" s="49"/>
      <c r="K881" s="69"/>
      <c r="L881" s="676" t="s">
        <v>411</v>
      </c>
      <c r="M881" s="191" t="s">
        <v>661</v>
      </c>
      <c r="N881" s="128"/>
      <c r="O881" s="128"/>
      <c r="P881" s="49"/>
      <c r="Q881" s="49"/>
      <c r="R881" s="49"/>
      <c r="S881" s="49"/>
      <c r="T881" s="49"/>
      <c r="U881" s="49"/>
      <c r="V881" s="49"/>
      <c r="W881" s="70"/>
      <c r="X881" s="664" t="s">
        <v>411</v>
      </c>
    </row>
    <row r="882" spans="1:24" ht="11.25" customHeight="1">
      <c r="A882" s="611">
        <v>24</v>
      </c>
      <c r="B882" s="66"/>
      <c r="C882" s="49"/>
      <c r="D882" s="49"/>
      <c r="E882" s="54" t="s">
        <v>71</v>
      </c>
      <c r="F882" s="48">
        <f>IF(N885="","",N885)</f>
        <v>100</v>
      </c>
      <c r="G882" s="50" t="str">
        <f>SFSDD</f>
        <v>cm</v>
      </c>
      <c r="H882" s="49"/>
      <c r="I882" s="49"/>
      <c r="J882" s="49" t="s">
        <v>151</v>
      </c>
      <c r="K882" s="69"/>
      <c r="L882" s="676" t="s">
        <v>411</v>
      </c>
      <c r="M882" s="66"/>
      <c r="N882" s="50"/>
      <c r="O882" s="50"/>
      <c r="P882" s="50"/>
      <c r="Q882" s="50"/>
      <c r="R882" s="50"/>
      <c r="S882" s="50"/>
      <c r="T882" s="50"/>
      <c r="U882" s="50"/>
      <c r="V882" s="50"/>
      <c r="W882" s="70"/>
      <c r="X882" s="664" t="s">
        <v>411</v>
      </c>
    </row>
    <row r="883" spans="1:24" ht="11.25" customHeight="1" thickBot="1">
      <c r="A883" s="611">
        <v>25</v>
      </c>
      <c r="B883" s="66" t="s">
        <v>55</v>
      </c>
      <c r="C883" s="117"/>
      <c r="D883" s="122" t="s">
        <v>60</v>
      </c>
      <c r="E883" s="66"/>
      <c r="F883" s="50" t="s">
        <v>61</v>
      </c>
      <c r="G883" s="49"/>
      <c r="H883" s="49"/>
      <c r="I883" s="218" t="s">
        <v>1054</v>
      </c>
      <c r="J883" s="117" t="s">
        <v>145</v>
      </c>
      <c r="K883" s="69"/>
      <c r="L883" s="676" t="s">
        <v>411</v>
      </c>
      <c r="M883" s="66" t="s">
        <v>510</v>
      </c>
      <c r="N883" s="218" t="s">
        <v>79</v>
      </c>
      <c r="O883" s="218" t="s">
        <v>57</v>
      </c>
      <c r="P883" s="218" t="s">
        <v>58</v>
      </c>
      <c r="Q883" s="49"/>
      <c r="R883" s="218"/>
      <c r="S883" s="122" t="s">
        <v>60</v>
      </c>
      <c r="T883" s="218"/>
      <c r="U883" s="50" t="s">
        <v>61</v>
      </c>
      <c r="V883" s="49"/>
      <c r="W883" s="69"/>
      <c r="X883" s="664" t="s">
        <v>411</v>
      </c>
    </row>
    <row r="884" spans="1:24" ht="11.25" customHeight="1" thickBot="1">
      <c r="A884" s="611">
        <v>26</v>
      </c>
      <c r="B884" s="219" t="s">
        <v>62</v>
      </c>
      <c r="C884" s="146" t="str">
        <f>IF(SFMAS="","mA/mAs",SFMAS)</f>
        <v>mA</v>
      </c>
      <c r="D884" s="208" t="s">
        <v>65</v>
      </c>
      <c r="E884" s="219" t="s">
        <v>66</v>
      </c>
      <c r="F884" s="138" t="s">
        <v>67</v>
      </c>
      <c r="G884" s="138" t="s">
        <v>65</v>
      </c>
      <c r="H884" s="138" t="s">
        <v>1053</v>
      </c>
      <c r="I884" s="231" t="s">
        <v>146</v>
      </c>
      <c r="J884" s="137" t="s">
        <v>49</v>
      </c>
      <c r="K884" s="1137" t="s">
        <v>631</v>
      </c>
      <c r="L884" s="676" t="s">
        <v>411</v>
      </c>
      <c r="M884" s="219" t="s">
        <v>62</v>
      </c>
      <c r="N884" s="138" t="str">
        <f>SFSDD</f>
        <v>cm</v>
      </c>
      <c r="O884" s="138" t="s">
        <v>63</v>
      </c>
      <c r="P884" s="138" t="s">
        <v>48</v>
      </c>
      <c r="Q884" s="138" t="s">
        <v>64</v>
      </c>
      <c r="R884" s="138" t="str">
        <f>IF(AND(LFMAS="",SFMAS=""),"mA/mAs",IF(O885="Large",LFMAS,SFMAS))</f>
        <v>mA</v>
      </c>
      <c r="S884" s="208" t="s">
        <v>65</v>
      </c>
      <c r="T884" s="138" t="s">
        <v>66</v>
      </c>
      <c r="U884" s="138" t="s">
        <v>67</v>
      </c>
      <c r="V884" s="138" t="s">
        <v>65</v>
      </c>
      <c r="W884" s="208" t="s">
        <v>1053</v>
      </c>
      <c r="X884" s="664" t="s">
        <v>411</v>
      </c>
    </row>
    <row r="885" spans="1:24" ht="11.25" customHeight="1">
      <c r="A885" s="611">
        <v>27</v>
      </c>
      <c r="B885" s="281" t="s">
        <v>147</v>
      </c>
      <c r="C885" s="232">
        <f t="shared" ref="C885:H889" si="124">IF(R885="","",R885)</f>
        <v>100</v>
      </c>
      <c r="D885" s="265">
        <f t="shared" si="124"/>
        <v>0.1</v>
      </c>
      <c r="E885" s="232" t="str">
        <f t="shared" si="124"/>
        <v/>
      </c>
      <c r="F885" s="232" t="str">
        <f t="shared" si="124"/>
        <v/>
      </c>
      <c r="G885" s="265" t="str">
        <f t="shared" si="124"/>
        <v/>
      </c>
      <c r="H885" s="118" t="str">
        <f t="shared" si="124"/>
        <v/>
      </c>
      <c r="I885" s="1095" t="str">
        <f>IF(OR(H885="",AND(LFMAS="",SFMAS=""),AND($C$884="mA",D885="")),"",IF($C$884="mAs",H885/C885,H885/(C885*D885)))</f>
        <v/>
      </c>
      <c r="J885" s="1277" t="str">
        <f>IF(OR(I885="",I886=""),"",(MAX(I885:I886)-MIN(I885:I886))/(MAX(I885:I886)+MIN(I885:I886)))</f>
        <v/>
      </c>
      <c r="K885" s="285" t="s">
        <v>148</v>
      </c>
      <c r="L885" s="676" t="s">
        <v>411</v>
      </c>
      <c r="M885" s="281" t="s">
        <v>147</v>
      </c>
      <c r="N885" s="356">
        <f>$N$694</f>
        <v>100</v>
      </c>
      <c r="O885" s="217" t="str">
        <f>Sheet1!F30</f>
        <v>Small</v>
      </c>
      <c r="P885" s="1206"/>
      <c r="Q885" s="216">
        <f>Sheet1!A30</f>
        <v>80</v>
      </c>
      <c r="R885" s="426" cm="1">
        <f t="array" ref="R885">_xlfn.SWITCH(SFMAS,"mA",Sheet1!B30,"mAs",Sheet1!C30)</f>
        <v>100</v>
      </c>
      <c r="S885" s="233" cm="1">
        <f t="array" ref="S885">_xlfn.SWITCH(SFMAS,"mA",Sheet1!D30,"mAs","")</f>
        <v>0.1</v>
      </c>
      <c r="T885" s="1228"/>
      <c r="U885" s="217" t="str">
        <f>IF(Sheet1!G30="","",Sheet1!G30)</f>
        <v/>
      </c>
      <c r="V885" s="221" t="str">
        <f>IF(Sheet1!H30="","",Sheet1!H30)</f>
        <v/>
      </c>
      <c r="W885" s="443" t="str">
        <f>IF(Sheet1!I30="","",Sheet1!I30)</f>
        <v/>
      </c>
      <c r="X885" s="664" t="s">
        <v>411</v>
      </c>
    </row>
    <row r="886" spans="1:24" ht="11.25" customHeight="1" thickBot="1">
      <c r="A886" s="611">
        <v>28</v>
      </c>
      <c r="B886" s="219" t="s">
        <v>147</v>
      </c>
      <c r="C886" s="235">
        <f t="shared" si="124"/>
        <v>110</v>
      </c>
      <c r="D886" s="417">
        <f t="shared" si="124"/>
        <v>0.1</v>
      </c>
      <c r="E886" s="235" t="str">
        <f t="shared" si="124"/>
        <v/>
      </c>
      <c r="F886" s="235" t="str">
        <f t="shared" si="124"/>
        <v/>
      </c>
      <c r="G886" s="417" t="str">
        <f t="shared" si="124"/>
        <v/>
      </c>
      <c r="H886" s="146" t="str">
        <f t="shared" si="124"/>
        <v/>
      </c>
      <c r="I886" s="1096" t="str">
        <f>IF(OR(H886="",AND(LFMAS="",SFMAS=""),AND($C$884="mA",D886="")),"",IF($C$884="mAs",H886/C886,H886/(C886*D886)))</f>
        <v/>
      </c>
      <c r="J886" s="1278"/>
      <c r="K886" s="283" t="str">
        <f>IF(J885="","TBD",IF(J885&gt;0.1,"NO","YES"))</f>
        <v>TBD</v>
      </c>
      <c r="L886" s="676" t="s">
        <v>411</v>
      </c>
      <c r="M886" s="219" t="s">
        <v>147</v>
      </c>
      <c r="N886" s="481">
        <f>IF(R886="","",$N$885)</f>
        <v>100</v>
      </c>
      <c r="O886" s="138" t="str">
        <f>Sheet1!F31</f>
        <v>Small</v>
      </c>
      <c r="P886" s="1227"/>
      <c r="Q886" s="482">
        <f>Sheet1!A31</f>
        <v>80</v>
      </c>
      <c r="R886" s="483" cm="1">
        <f t="array" ref="R886">_xlfn.SWITCH(SFMAS,"mA",Sheet1!B31,"mAs",Sheet1!C31)</f>
        <v>110</v>
      </c>
      <c r="S886" s="236" cm="1">
        <f t="array" ref="S886">_xlfn.SWITCH(SFMAS,"mA",Sheet1!D31,"mAs","")</f>
        <v>0.1</v>
      </c>
      <c r="T886" s="1229"/>
      <c r="U886" s="138" t="str">
        <f>IF(Sheet1!G31="","",Sheet1!G31)</f>
        <v/>
      </c>
      <c r="V886" s="484" t="str">
        <f>IF(Sheet1!H31="","",Sheet1!H31)</f>
        <v/>
      </c>
      <c r="W886" s="485" t="str">
        <f>IF(Sheet1!I31="","",Sheet1!I31)</f>
        <v/>
      </c>
      <c r="X886" s="664" t="s">
        <v>411</v>
      </c>
    </row>
    <row r="887" spans="1:24" ht="11.25" customHeight="1">
      <c r="A887" s="611">
        <v>29</v>
      </c>
      <c r="B887" s="106" t="s">
        <v>149</v>
      </c>
      <c r="C887" s="232">
        <f t="shared" si="124"/>
        <v>250</v>
      </c>
      <c r="D887" s="265">
        <f t="shared" si="124"/>
        <v>0.1</v>
      </c>
      <c r="E887" s="232" t="str">
        <f t="shared" si="124"/>
        <v/>
      </c>
      <c r="F887" s="232" t="str">
        <f t="shared" si="124"/>
        <v/>
      </c>
      <c r="G887" s="265" t="str">
        <f t="shared" si="124"/>
        <v/>
      </c>
      <c r="H887" s="118" t="str">
        <f t="shared" si="124"/>
        <v/>
      </c>
      <c r="I887" s="1095" t="str">
        <f>IF(OR(H887="",AND(LFMAS="",SFMAS=""),AND($C$884="mA",D887="")),"",IF($C$884="mAs",H887/C887,H887/(C887*D887)))</f>
        <v/>
      </c>
      <c r="J887" s="1277" t="str">
        <f>IF(OR(I885="",I887=""),"",(MAX(I885:I889)-MIN(I885:I889))/(MAX(I885:I889)+MIN(I885:I889)))</f>
        <v/>
      </c>
      <c r="K887" s="286"/>
      <c r="L887" s="676" t="s">
        <v>411</v>
      </c>
      <c r="M887" s="106" t="s">
        <v>149</v>
      </c>
      <c r="N887" s="356">
        <f>IF(R887="","",$N$885)</f>
        <v>100</v>
      </c>
      <c r="O887" s="217" t="str">
        <f>Sheet1!F32</f>
        <v>Small</v>
      </c>
      <c r="P887" s="1206"/>
      <c r="Q887" s="216">
        <f>Sheet1!A32</f>
        <v>80</v>
      </c>
      <c r="R887" s="426" cm="1">
        <f t="array" ref="R887">_xlfn.SWITCH(SFMAS,"mA",Sheet1!B32,"mAs",Sheet1!C32)</f>
        <v>250</v>
      </c>
      <c r="S887" s="233" cm="1">
        <f t="array" ref="S887">_xlfn.SWITCH(SFMAS,"mA",Sheet1!D32,"mAs","")</f>
        <v>0.1</v>
      </c>
      <c r="T887" s="1228"/>
      <c r="U887" s="217" t="str">
        <f>IF(Sheet1!G32="","",Sheet1!G32)</f>
        <v/>
      </c>
      <c r="V887" s="221" t="str">
        <f>IF(Sheet1!H32="","",Sheet1!H32)</f>
        <v/>
      </c>
      <c r="W887" s="443" t="str">
        <f>IF(Sheet1!I32="","",Sheet1!I32)</f>
        <v/>
      </c>
      <c r="X887" s="664" t="s">
        <v>411</v>
      </c>
    </row>
    <row r="888" spans="1:24" ht="11.25" customHeight="1">
      <c r="A888" s="611">
        <v>30</v>
      </c>
      <c r="B888" s="106" t="s">
        <v>149</v>
      </c>
      <c r="C888" s="232">
        <f t="shared" si="124"/>
        <v>50</v>
      </c>
      <c r="D888" s="265">
        <f t="shared" si="124"/>
        <v>0.1</v>
      </c>
      <c r="E888" s="232" t="str">
        <f t="shared" si="124"/>
        <v/>
      </c>
      <c r="F888" s="232" t="str">
        <f t="shared" si="124"/>
        <v/>
      </c>
      <c r="G888" s="265" t="str">
        <f t="shared" si="124"/>
        <v/>
      </c>
      <c r="H888" s="118" t="str">
        <f t="shared" si="124"/>
        <v/>
      </c>
      <c r="I888" s="1095" t="str">
        <f>IF(OR(H888="",AND(LFMAS="",SFMAS=""),AND($C$884="mA",D888="")),"",IF($C$884="mAs",H888/C888,H888/(C888*D888)))</f>
        <v/>
      </c>
      <c r="J888" s="1300"/>
      <c r="K888" s="282" t="s">
        <v>149</v>
      </c>
      <c r="L888" s="676" t="s">
        <v>411</v>
      </c>
      <c r="M888" s="106" t="s">
        <v>149</v>
      </c>
      <c r="N888" s="356">
        <f>IF(R888="","",$N$885)</f>
        <v>100</v>
      </c>
      <c r="O888" s="217" t="str">
        <f>Sheet1!F33</f>
        <v>Small</v>
      </c>
      <c r="P888" s="1206"/>
      <c r="Q888" s="216">
        <f>Sheet1!A33</f>
        <v>80</v>
      </c>
      <c r="R888" s="426" cm="1">
        <f t="array" ref="R888">_xlfn.SWITCH(SFMAS,"mA",Sheet1!B33,"mAs",Sheet1!C33)</f>
        <v>50</v>
      </c>
      <c r="S888" s="233" cm="1">
        <f t="array" ref="S888">_xlfn.SWITCH(SFMAS,"mA",Sheet1!D33,"mAs","")</f>
        <v>0.1</v>
      </c>
      <c r="T888" s="1228"/>
      <c r="U888" s="217" t="str">
        <f>IF(Sheet1!G33="","",Sheet1!G33)</f>
        <v/>
      </c>
      <c r="V888" s="221" t="str">
        <f>IF(Sheet1!H33="","",Sheet1!H33)</f>
        <v/>
      </c>
      <c r="W888" s="443" t="str">
        <f>IF(Sheet1!I33="","",Sheet1!I33)</f>
        <v/>
      </c>
      <c r="X888" s="664" t="s">
        <v>411</v>
      </c>
    </row>
    <row r="889" spans="1:24" ht="11.25" customHeight="1" thickBot="1">
      <c r="A889" s="611">
        <v>31</v>
      </c>
      <c r="B889" s="219" t="s">
        <v>149</v>
      </c>
      <c r="C889" s="235">
        <f t="shared" si="124"/>
        <v>160</v>
      </c>
      <c r="D889" s="417">
        <f t="shared" si="124"/>
        <v>0.1</v>
      </c>
      <c r="E889" s="235" t="str">
        <f t="shared" si="124"/>
        <v/>
      </c>
      <c r="F889" s="235" t="str">
        <f t="shared" si="124"/>
        <v/>
      </c>
      <c r="G889" s="417" t="str">
        <f t="shared" si="124"/>
        <v/>
      </c>
      <c r="H889" s="146" t="str">
        <f t="shared" si="124"/>
        <v/>
      </c>
      <c r="I889" s="1096" t="str">
        <f>IF(OR(H889="",AND(LFMAS="",SFMAS=""),AND($C$884="mA",D889="")),"",IF($C$884="mAs",H889/C889,H889/(C889*D889)))</f>
        <v/>
      </c>
      <c r="J889" s="1278"/>
      <c r="K889" s="283" t="str">
        <f>IF(J887="","TBD",IF(J887&gt;0.1,"NO","YES"))</f>
        <v>TBD</v>
      </c>
      <c r="L889" s="676" t="s">
        <v>411</v>
      </c>
      <c r="M889" s="219" t="s">
        <v>149</v>
      </c>
      <c r="N889" s="481">
        <f>IF(R889="","",$N$885)</f>
        <v>100</v>
      </c>
      <c r="O889" s="138" t="str">
        <f>Sheet1!F34</f>
        <v>Small</v>
      </c>
      <c r="P889" s="1227"/>
      <c r="Q889" s="482">
        <f>Sheet1!A34</f>
        <v>80</v>
      </c>
      <c r="R889" s="483" cm="1">
        <f t="array" ref="R889">_xlfn.SWITCH(SFMAS,"mA",Sheet1!B34,"mAs",Sheet1!C34)</f>
        <v>160</v>
      </c>
      <c r="S889" s="236" cm="1">
        <f t="array" ref="S889">_xlfn.SWITCH(SFMAS,"mA",Sheet1!D34,"mAs","")</f>
        <v>0.1</v>
      </c>
      <c r="T889" s="1229"/>
      <c r="U889" s="138" t="str">
        <f>IF(Sheet1!G34="","",Sheet1!G34)</f>
        <v/>
      </c>
      <c r="V889" s="484" t="str">
        <f>IF(Sheet1!H34="","",Sheet1!H34)</f>
        <v/>
      </c>
      <c r="W889" s="485" t="str">
        <f>IF(Sheet1!I34="","",Sheet1!I34)</f>
        <v/>
      </c>
      <c r="X889" s="664" t="s">
        <v>411</v>
      </c>
    </row>
    <row r="890" spans="1:24" ht="11.25" customHeight="1" thickBot="1">
      <c r="A890" s="611">
        <v>32</v>
      </c>
      <c r="B890" s="85" t="s">
        <v>150</v>
      </c>
      <c r="C890" s="49"/>
      <c r="D890" s="49"/>
      <c r="E890" s="49"/>
      <c r="F890" s="49"/>
      <c r="G890" s="49"/>
      <c r="H890" s="49"/>
      <c r="I890" s="54"/>
      <c r="J890" s="49"/>
      <c r="K890" s="69"/>
      <c r="L890" s="676" t="s">
        <v>411</v>
      </c>
      <c r="M890" s="85" t="s">
        <v>150</v>
      </c>
      <c r="N890" s="49"/>
      <c r="O890" s="49"/>
      <c r="P890" s="49"/>
      <c r="Q890" s="49"/>
      <c r="R890" s="49"/>
      <c r="S890" s="49"/>
      <c r="T890" s="49"/>
      <c r="U890" s="49"/>
      <c r="V890" s="49"/>
      <c r="W890" s="69"/>
      <c r="X890" s="664" t="s">
        <v>411</v>
      </c>
    </row>
    <row r="891" spans="1:24" ht="11.25" customHeight="1" thickBot="1">
      <c r="A891" s="611">
        <v>33</v>
      </c>
      <c r="B891" s="66"/>
      <c r="C891" s="49"/>
      <c r="D891" s="49"/>
      <c r="E891" s="49"/>
      <c r="F891" s="49"/>
      <c r="G891" s="49"/>
      <c r="H891" s="49"/>
      <c r="I891" s="49"/>
      <c r="J891" s="49"/>
      <c r="K891" s="69"/>
      <c r="L891" s="676" t="s">
        <v>411</v>
      </c>
      <c r="M891" s="66"/>
      <c r="N891" s="49"/>
      <c r="O891" s="49"/>
      <c r="P891" s="49"/>
      <c r="Q891" s="49"/>
      <c r="R891" s="49"/>
      <c r="S891" s="49"/>
      <c r="T891" s="49"/>
      <c r="U891" s="49"/>
      <c r="V891" s="1029" t="s">
        <v>631</v>
      </c>
      <c r="W891" s="69"/>
      <c r="X891" s="664" t="s">
        <v>411</v>
      </c>
    </row>
    <row r="892" spans="1:24" ht="11.25" customHeight="1">
      <c r="A892" s="611">
        <v>34</v>
      </c>
      <c r="B892" s="102" t="s">
        <v>552</v>
      </c>
      <c r="C892" s="922" t="str">
        <f>IF(O892="","",IF(LEN(O892)&lt;=135,O892,IF(LEN(O892)&lt;=260,LEFT(O892,SEARCH(" ",O892,125)),LEFT(O892,SEARCH(" ",O892,130)))))</f>
        <v/>
      </c>
      <c r="D892" s="48"/>
      <c r="E892" s="48"/>
      <c r="F892" s="224"/>
      <c r="G892" s="48"/>
      <c r="H892" s="48"/>
      <c r="I892" s="48"/>
      <c r="J892" s="48"/>
      <c r="K892" s="69"/>
      <c r="L892" s="676" t="s">
        <v>411</v>
      </c>
      <c r="M892" s="127"/>
      <c r="N892" s="577" t="s">
        <v>552</v>
      </c>
      <c r="O892" s="713" t="str">
        <f>IF(O894&lt;&gt;"",O894,IF(OR(AB448=0,AB448=""),"",AB448))</f>
        <v/>
      </c>
      <c r="P892" s="48"/>
      <c r="Q892" s="48"/>
      <c r="R892" s="48"/>
      <c r="S892" s="48"/>
      <c r="T892" s="48"/>
      <c r="U892" s="48"/>
      <c r="V892" s="1136" t="s">
        <v>148</v>
      </c>
      <c r="W892" s="69"/>
      <c r="X892" s="664" t="s">
        <v>411</v>
      </c>
    </row>
    <row r="893" spans="1:24" ht="11.25" customHeight="1" thickBot="1">
      <c r="A893" s="611">
        <v>35</v>
      </c>
      <c r="B893" s="66"/>
      <c r="C893" s="923" t="str">
        <f>IF(LEN(O892)&lt;=135,"",IF(LEN(O892)&lt;=260,RIGHT(O892,LEN(O892)-SEARCH(" ",O892,125)),MID(O892,SEARCH(" ",O892,130),IF(LEN(O892)&lt;=265,LEN(O892),SEARCH(" ",O892,255)-SEARCH(" ",O892,130)))))</f>
        <v/>
      </c>
      <c r="D893" s="48"/>
      <c r="E893" s="48"/>
      <c r="F893" s="224"/>
      <c r="G893" s="48"/>
      <c r="H893" s="48"/>
      <c r="I893" s="48"/>
      <c r="J893" s="48"/>
      <c r="K893" s="69"/>
      <c r="L893" s="676" t="s">
        <v>411</v>
      </c>
      <c r="M893" s="85"/>
      <c r="N893" s="609" t="s">
        <v>282</v>
      </c>
      <c r="O893" s="59"/>
      <c r="P893" s="921">
        <f>LEN(O892)</f>
        <v>0</v>
      </c>
      <c r="Q893" s="59"/>
      <c r="R893" s="59"/>
      <c r="S893" s="59"/>
      <c r="T893" s="59"/>
      <c r="U893" s="59"/>
      <c r="V893" s="1003" t="str">
        <f>IF(J885="","TBD",IF(J885&gt;0.1,"NO","YES"))</f>
        <v>TBD</v>
      </c>
      <c r="W893" s="69"/>
      <c r="X893" s="664" t="s">
        <v>411</v>
      </c>
    </row>
    <row r="894" spans="1:24" ht="11.25" customHeight="1">
      <c r="A894" s="611">
        <v>36</v>
      </c>
      <c r="B894" s="66"/>
      <c r="C894" s="922" t="str">
        <f>IF(LEN(O892)&lt;=265,"",RIGHT(O892,LEN(O892)-SEARCH(" ",O892,255)))</f>
        <v/>
      </c>
      <c r="D894" s="48"/>
      <c r="E894" s="48"/>
      <c r="F894" s="224"/>
      <c r="G894" s="48"/>
      <c r="H894" s="48"/>
      <c r="I894" s="48"/>
      <c r="J894" s="48"/>
      <c r="K894" s="69"/>
      <c r="L894" s="676" t="s">
        <v>411</v>
      </c>
      <c r="M894" s="66"/>
      <c r="N894" s="1024" t="s">
        <v>619</v>
      </c>
      <c r="O894" s="1026"/>
      <c r="P894" s="48"/>
      <c r="Q894" s="48"/>
      <c r="R894" s="48"/>
      <c r="S894" s="48"/>
      <c r="T894" s="48"/>
      <c r="U894" s="48"/>
      <c r="V894" s="1136" t="s">
        <v>149</v>
      </c>
      <c r="W894" s="69"/>
      <c r="X894" s="664" t="s">
        <v>411</v>
      </c>
    </row>
    <row r="895" spans="1:24" ht="11.25" customHeight="1" thickBot="1">
      <c r="A895" s="611">
        <v>37</v>
      </c>
      <c r="B895" s="66"/>
      <c r="C895" s="49"/>
      <c r="D895" s="49"/>
      <c r="E895" s="49"/>
      <c r="F895" s="114"/>
      <c r="G895" s="49"/>
      <c r="H895" s="49"/>
      <c r="I895" s="49"/>
      <c r="J895" s="49"/>
      <c r="K895" s="69"/>
      <c r="L895" s="676" t="s">
        <v>411</v>
      </c>
      <c r="M895" s="66"/>
      <c r="N895" s="49"/>
      <c r="O895" s="49"/>
      <c r="P895" s="49"/>
      <c r="Q895" s="49"/>
      <c r="R895" s="49"/>
      <c r="S895" s="49"/>
      <c r="T895" s="49"/>
      <c r="U895" s="49"/>
      <c r="V895" s="1003" t="str">
        <f>IF(J887="","TBD",IF(J887&gt;0.1,"NO","YES"))</f>
        <v>TBD</v>
      </c>
      <c r="W895" s="69"/>
      <c r="X895" s="664" t="s">
        <v>411</v>
      </c>
    </row>
    <row r="896" spans="1:24" ht="11.25" customHeight="1">
      <c r="A896" s="611">
        <v>38</v>
      </c>
      <c r="B896" s="191" t="s">
        <v>152</v>
      </c>
      <c r="C896" s="128"/>
      <c r="D896" s="128"/>
      <c r="E896" s="49"/>
      <c r="F896" s="49"/>
      <c r="G896" s="49"/>
      <c r="H896" s="49"/>
      <c r="I896" s="49"/>
      <c r="J896" s="49"/>
      <c r="K896" s="69"/>
      <c r="L896" s="676" t="s">
        <v>411</v>
      </c>
      <c r="M896" s="66"/>
      <c r="N896" s="49"/>
      <c r="O896" s="49"/>
      <c r="P896" s="49"/>
      <c r="Q896" s="49"/>
      <c r="R896" s="49"/>
      <c r="S896" s="49"/>
      <c r="T896" s="49"/>
      <c r="U896" s="49"/>
      <c r="V896" s="49"/>
      <c r="W896" s="69"/>
      <c r="X896" s="664" t="s">
        <v>411</v>
      </c>
    </row>
    <row r="897" spans="1:24" ht="11.25" customHeight="1">
      <c r="A897" s="611">
        <v>39</v>
      </c>
      <c r="B897" s="66"/>
      <c r="C897" s="49"/>
      <c r="D897" s="49"/>
      <c r="E897" s="49" t="s">
        <v>153</v>
      </c>
      <c r="F897" s="49"/>
      <c r="G897" s="49"/>
      <c r="H897" s="49"/>
      <c r="I897" s="49"/>
      <c r="J897" s="49"/>
      <c r="K897" s="69"/>
      <c r="L897" s="676" t="s">
        <v>411</v>
      </c>
      <c r="M897" s="66"/>
      <c r="N897" s="49"/>
      <c r="O897" s="49"/>
      <c r="P897" s="49"/>
      <c r="Q897" s="49"/>
      <c r="R897" s="49"/>
      <c r="S897" s="49"/>
      <c r="T897" s="49"/>
      <c r="U897" s="49"/>
      <c r="V897" s="49"/>
      <c r="W897" s="69"/>
      <c r="X897" s="664" t="s">
        <v>411</v>
      </c>
    </row>
    <row r="898" spans="1:24" ht="11.25" customHeight="1" thickBot="1">
      <c r="A898" s="611">
        <v>40</v>
      </c>
      <c r="B898" s="66"/>
      <c r="C898" s="149" t="s">
        <v>1054</v>
      </c>
      <c r="D898" s="128"/>
      <c r="E898" s="117" t="s">
        <v>145</v>
      </c>
      <c r="F898" s="49"/>
      <c r="G898" s="49"/>
      <c r="H898" s="49"/>
      <c r="I898" s="49"/>
      <c r="J898" s="49"/>
      <c r="K898" s="69"/>
      <c r="L898" s="676" t="s">
        <v>411</v>
      </c>
      <c r="M898" s="66"/>
      <c r="N898" s="49"/>
      <c r="O898" s="49"/>
      <c r="P898" s="49"/>
      <c r="Q898" s="49"/>
      <c r="R898" s="49"/>
      <c r="S898" s="49"/>
      <c r="T898" s="49"/>
      <c r="U898" s="49"/>
      <c r="V898" s="49"/>
      <c r="W898" s="69"/>
      <c r="X898" s="664" t="s">
        <v>411</v>
      </c>
    </row>
    <row r="899" spans="1:24" ht="11.25" customHeight="1" thickBot="1">
      <c r="A899" s="611">
        <v>41</v>
      </c>
      <c r="B899" s="66"/>
      <c r="C899" s="240" t="s">
        <v>146</v>
      </c>
      <c r="D899" s="242"/>
      <c r="E899" s="146" t="s">
        <v>49</v>
      </c>
      <c r="F899" s="49"/>
      <c r="G899" s="1126" t="s">
        <v>631</v>
      </c>
      <c r="H899" s="49"/>
      <c r="I899" s="49"/>
      <c r="J899" s="49"/>
      <c r="K899" s="69"/>
      <c r="L899" s="676" t="s">
        <v>411</v>
      </c>
      <c r="M899" s="66"/>
      <c r="N899" s="50" t="s">
        <v>154</v>
      </c>
      <c r="O899" s="49"/>
      <c r="P899" s="49"/>
      <c r="Q899" s="49"/>
      <c r="R899" s="49"/>
      <c r="S899" s="49"/>
      <c r="T899" s="49"/>
      <c r="U899" s="49"/>
      <c r="V899" s="996" t="s">
        <v>152</v>
      </c>
      <c r="W899" s="997"/>
      <c r="X899" s="664" t="s">
        <v>411</v>
      </c>
    </row>
    <row r="900" spans="1:24" ht="11.25" customHeight="1" thickBot="1">
      <c r="A900" s="611">
        <v>42</v>
      </c>
      <c r="B900" s="66"/>
      <c r="C900" s="241" t="s">
        <v>155</v>
      </c>
      <c r="D900" s="1097">
        <f>MAX(I870:I874,I885:I889)</f>
        <v>0</v>
      </c>
      <c r="E900" s="117" t="s">
        <v>149</v>
      </c>
      <c r="F900" s="49"/>
      <c r="G900" s="279" t="s">
        <v>149</v>
      </c>
      <c r="H900" s="49"/>
      <c r="I900" s="49"/>
      <c r="J900" s="49"/>
      <c r="K900" s="69"/>
      <c r="L900" s="676" t="s">
        <v>411</v>
      </c>
      <c r="M900" s="66"/>
      <c r="N900" s="49"/>
      <c r="O900" s="54" t="s">
        <v>156</v>
      </c>
      <c r="P900" s="49"/>
      <c r="Q900" s="114" t="s">
        <v>1058</v>
      </c>
      <c r="R900" s="49"/>
      <c r="S900" s="49"/>
      <c r="T900" s="49"/>
      <c r="U900" s="49"/>
      <c r="V900" s="49"/>
      <c r="W900" s="71"/>
      <c r="X900" s="664" t="s">
        <v>411</v>
      </c>
    </row>
    <row r="901" spans="1:24" ht="11.25" customHeight="1" thickBot="1">
      <c r="A901" s="611">
        <v>43</v>
      </c>
      <c r="B901" s="66"/>
      <c r="C901" s="241" t="s">
        <v>157</v>
      </c>
      <c r="D901" s="1097">
        <f>MIN(I870:I874,I885:I889)</f>
        <v>0</v>
      </c>
      <c r="E901" s="136" t="str">
        <f>IF(OR(I870="",I871="",I885="",I886=""),"NA",(MAX(I870:I874,I885:I889)-MIN(I870:I874,I885:I889))/(MAX(I870:I874,I885:I889)+MIN(I870:I874,I885:I889)))</f>
        <v>NA</v>
      </c>
      <c r="F901" s="49"/>
      <c r="G901" s="278" t="str">
        <f>IF(OR(E901="NA",$Q$870&lt;&gt;$Q$885),"NA",IF(E901&gt;0.1,"NO","YES"))</f>
        <v>NA</v>
      </c>
      <c r="H901" s="49"/>
      <c r="I901" s="49"/>
      <c r="J901" s="49"/>
      <c r="K901" s="69"/>
      <c r="L901" s="676" t="s">
        <v>411</v>
      </c>
      <c r="M901" s="66"/>
      <c r="N901" s="49"/>
      <c r="O901" s="49"/>
      <c r="P901" s="49"/>
      <c r="Q901" s="49" t="s">
        <v>1059</v>
      </c>
      <c r="R901" s="49"/>
      <c r="S901" s="49"/>
      <c r="T901" s="49"/>
      <c r="U901" s="49"/>
      <c r="V901" s="1029" t="s">
        <v>631</v>
      </c>
      <c r="W901" s="71"/>
      <c r="X901" s="664" t="s">
        <v>411</v>
      </c>
    </row>
    <row r="902" spans="1:24" ht="11.25" customHeight="1">
      <c r="A902" s="611">
        <v>44</v>
      </c>
      <c r="B902" s="127"/>
      <c r="K902" s="71"/>
      <c r="L902" s="676" t="s">
        <v>411</v>
      </c>
      <c r="M902" s="127"/>
      <c r="N902" s="49"/>
      <c r="O902" s="49"/>
      <c r="P902" s="49"/>
      <c r="Q902" s="49"/>
      <c r="R902" s="49"/>
      <c r="S902" s="49"/>
      <c r="T902" s="49"/>
      <c r="V902" s="1136" t="s">
        <v>149</v>
      </c>
      <c r="W902" s="71"/>
      <c r="X902" s="664" t="s">
        <v>411</v>
      </c>
    </row>
    <row r="903" spans="1:24" ht="11.25" customHeight="1" thickBot="1">
      <c r="A903" s="611">
        <v>45</v>
      </c>
      <c r="B903" s="127"/>
      <c r="C903" s="50" t="s">
        <v>154</v>
      </c>
      <c r="D903" s="49"/>
      <c r="E903" s="49"/>
      <c r="F903" s="49"/>
      <c r="G903" s="49"/>
      <c r="H903" s="49"/>
      <c r="I903" s="49"/>
      <c r="J903" s="49"/>
      <c r="K903" s="69"/>
      <c r="L903" s="676" t="s">
        <v>411</v>
      </c>
      <c r="M903" s="127"/>
      <c r="N903" s="49"/>
      <c r="O903" s="54" t="s">
        <v>158</v>
      </c>
      <c r="P903" s="49"/>
      <c r="Q903" s="114" t="s">
        <v>1060</v>
      </c>
      <c r="R903" s="49"/>
      <c r="S903" s="49"/>
      <c r="T903" s="49"/>
      <c r="V903" s="1003" t="str">
        <f>IF(OR(E901="NA",$Q$870&lt;&gt;$Q$885),"NA",IF(E901&gt;0.1,"NO","YES"))</f>
        <v>NA</v>
      </c>
      <c r="W903" s="71"/>
      <c r="X903" s="664" t="s">
        <v>411</v>
      </c>
    </row>
    <row r="904" spans="1:24" ht="11.25" customHeight="1">
      <c r="A904" s="611">
        <v>46</v>
      </c>
      <c r="B904" s="127"/>
      <c r="C904" s="49"/>
      <c r="D904" s="54" t="s">
        <v>156</v>
      </c>
      <c r="E904" s="49"/>
      <c r="F904" s="114" t="s">
        <v>1058</v>
      </c>
      <c r="G904" s="49"/>
      <c r="H904" s="49"/>
      <c r="I904" s="49"/>
      <c r="J904" s="49"/>
      <c r="K904" s="69"/>
      <c r="L904" s="676" t="s">
        <v>411</v>
      </c>
      <c r="M904" s="127"/>
      <c r="N904" s="49"/>
      <c r="O904" s="49"/>
      <c r="P904" s="49"/>
      <c r="Q904" s="49" t="s">
        <v>1061</v>
      </c>
      <c r="R904" s="49"/>
      <c r="S904" s="49"/>
      <c r="T904" s="49"/>
      <c r="W904" s="71"/>
      <c r="X904" s="664" t="s">
        <v>411</v>
      </c>
    </row>
    <row r="905" spans="1:24" ht="11.25" customHeight="1">
      <c r="A905" s="611">
        <v>47</v>
      </c>
      <c r="B905" s="127"/>
      <c r="C905" s="49"/>
      <c r="D905" s="49"/>
      <c r="E905" s="49"/>
      <c r="F905" s="49" t="s">
        <v>1059</v>
      </c>
      <c r="G905" s="49"/>
      <c r="H905" s="49"/>
      <c r="I905" s="49"/>
      <c r="J905" s="49"/>
      <c r="K905" s="69"/>
      <c r="L905" s="676" t="s">
        <v>411</v>
      </c>
      <c r="M905" s="66"/>
      <c r="Q905" s="49"/>
      <c r="R905" s="49"/>
      <c r="S905" s="49"/>
      <c r="T905" s="49"/>
      <c r="U905" s="49"/>
      <c r="V905" s="49"/>
      <c r="W905" s="69"/>
      <c r="X905" s="664" t="s">
        <v>411</v>
      </c>
    </row>
    <row r="906" spans="1:24" ht="11.25" customHeight="1">
      <c r="A906" s="611">
        <v>48</v>
      </c>
      <c r="B906" s="127"/>
      <c r="C906" s="49"/>
      <c r="D906" s="49"/>
      <c r="E906" s="49"/>
      <c r="F906" s="49"/>
      <c r="G906" s="49"/>
      <c r="H906" s="49"/>
      <c r="I906" s="49"/>
      <c r="J906" s="49"/>
      <c r="K906" s="69"/>
      <c r="L906" s="676" t="s">
        <v>411</v>
      </c>
      <c r="M906" s="66"/>
      <c r="N906" s="132" t="s">
        <v>570</v>
      </c>
      <c r="O906" s="100" t="s">
        <v>159</v>
      </c>
      <c r="P906" s="49"/>
      <c r="Q906" s="49"/>
      <c r="R906" s="49"/>
      <c r="S906" s="49"/>
      <c r="T906" s="49"/>
      <c r="U906" s="49"/>
      <c r="V906" s="49"/>
      <c r="W906" s="69"/>
      <c r="X906" s="664" t="s">
        <v>411</v>
      </c>
    </row>
    <row r="907" spans="1:24" ht="11.25" customHeight="1">
      <c r="A907" s="611">
        <v>49</v>
      </c>
      <c r="B907" s="127"/>
      <c r="C907" s="49"/>
      <c r="D907" s="54" t="s">
        <v>158</v>
      </c>
      <c r="E907" s="49"/>
      <c r="F907" s="114" t="s">
        <v>1060</v>
      </c>
      <c r="G907" s="49"/>
      <c r="H907" s="49"/>
      <c r="I907" s="49"/>
      <c r="J907" s="49"/>
      <c r="K907" s="69"/>
      <c r="L907" s="676" t="s">
        <v>411</v>
      </c>
      <c r="M907" s="66"/>
      <c r="N907" s="49"/>
      <c r="O907" s="49"/>
      <c r="P907" s="49"/>
      <c r="Q907" s="49"/>
      <c r="R907" s="49"/>
      <c r="S907" s="49"/>
      <c r="T907" s="49"/>
      <c r="U907" s="49"/>
      <c r="V907" s="49"/>
      <c r="W907" s="69"/>
      <c r="X907" s="664" t="s">
        <v>411</v>
      </c>
    </row>
    <row r="908" spans="1:24" ht="11.25" customHeight="1">
      <c r="A908" s="611">
        <v>50</v>
      </c>
      <c r="B908" s="127"/>
      <c r="C908" s="49"/>
      <c r="D908" s="49"/>
      <c r="E908" s="49"/>
      <c r="F908" s="49" t="s">
        <v>1061</v>
      </c>
      <c r="G908" s="49"/>
      <c r="H908" s="49"/>
      <c r="I908" s="49"/>
      <c r="J908" s="49"/>
      <c r="K908" s="69"/>
      <c r="L908" s="676" t="s">
        <v>411</v>
      </c>
      <c r="M908" s="66"/>
      <c r="N908" s="49"/>
      <c r="O908" s="49"/>
      <c r="P908" s="49"/>
      <c r="Q908" s="49"/>
      <c r="R908" s="49"/>
      <c r="S908" s="49"/>
      <c r="T908" s="49"/>
      <c r="U908" s="49"/>
      <c r="V908" s="49"/>
      <c r="W908" s="69"/>
      <c r="X908" s="664" t="s">
        <v>411</v>
      </c>
    </row>
    <row r="909" spans="1:24" ht="11.25" customHeight="1">
      <c r="A909" s="611">
        <v>51</v>
      </c>
      <c r="B909" s="66"/>
      <c r="F909" s="49"/>
      <c r="G909" s="49"/>
      <c r="H909" s="49"/>
      <c r="I909" s="49"/>
      <c r="J909" s="49"/>
      <c r="K909" s="69"/>
      <c r="L909" s="676" t="s">
        <v>411</v>
      </c>
      <c r="M909" s="66"/>
      <c r="N909" s="49"/>
      <c r="O909" s="49"/>
      <c r="P909" s="49"/>
      <c r="Q909" s="49"/>
      <c r="R909" s="49"/>
      <c r="S909" s="49"/>
      <c r="T909" s="49"/>
      <c r="U909" s="49"/>
      <c r="V909" s="49"/>
      <c r="W909" s="69"/>
      <c r="X909" s="664" t="s">
        <v>411</v>
      </c>
    </row>
    <row r="910" spans="1:24" ht="11.25" customHeight="1">
      <c r="A910" s="611">
        <v>52</v>
      </c>
      <c r="B910" s="66"/>
      <c r="C910" s="132" t="s">
        <v>570</v>
      </c>
      <c r="D910" s="100" t="s">
        <v>159</v>
      </c>
      <c r="E910" s="49"/>
      <c r="F910" s="49"/>
      <c r="G910" s="49"/>
      <c r="H910" s="49"/>
      <c r="I910" s="49"/>
      <c r="J910" s="49"/>
      <c r="K910" s="69"/>
      <c r="L910" s="676" t="s">
        <v>411</v>
      </c>
      <c r="M910" s="66"/>
      <c r="N910" s="49"/>
      <c r="O910" s="49"/>
      <c r="P910" s="49"/>
      <c r="Q910" s="49"/>
      <c r="R910" s="49"/>
      <c r="S910" s="49"/>
      <c r="T910" s="49"/>
      <c r="U910" s="49"/>
      <c r="V910" s="49"/>
      <c r="W910" s="69"/>
      <c r="X910" s="664" t="s">
        <v>411</v>
      </c>
    </row>
    <row r="911" spans="1:24" ht="11.25" customHeight="1">
      <c r="A911" s="611">
        <v>53</v>
      </c>
      <c r="B911" s="66"/>
      <c r="C911" s="49"/>
      <c r="D911" s="49"/>
      <c r="E911" s="49"/>
      <c r="F911" s="49"/>
      <c r="G911" s="49"/>
      <c r="H911" s="49"/>
      <c r="I911" s="49"/>
      <c r="J911" s="49"/>
      <c r="K911" s="69"/>
      <c r="L911" s="676" t="s">
        <v>411</v>
      </c>
      <c r="M911" s="202" t="s">
        <v>417</v>
      </c>
      <c r="N911" s="49"/>
      <c r="O911" s="49"/>
      <c r="P911" s="49"/>
      <c r="Q911" s="49"/>
      <c r="R911" s="49"/>
      <c r="S911" s="49"/>
      <c r="T911" s="49"/>
      <c r="U911" s="49"/>
      <c r="V911" s="49"/>
      <c r="W911" s="69"/>
      <c r="X911" s="664" t="s">
        <v>411</v>
      </c>
    </row>
    <row r="912" spans="1:24" ht="11.25" customHeight="1">
      <c r="A912" s="611">
        <v>54</v>
      </c>
      <c r="B912" s="108" t="s">
        <v>414</v>
      </c>
      <c r="C912" s="53"/>
      <c r="F912" s="99" t="s">
        <v>160</v>
      </c>
      <c r="J912" s="262" t="s">
        <v>416</v>
      </c>
      <c r="K912" s="395"/>
      <c r="L912" s="676" t="s">
        <v>411</v>
      </c>
      <c r="M912" s="66"/>
      <c r="Q912" s="99" t="s">
        <v>160</v>
      </c>
      <c r="W912" s="71"/>
      <c r="X912" s="664" t="s">
        <v>411</v>
      </c>
    </row>
    <row r="913" spans="1:33" ht="11.25" customHeight="1">
      <c r="A913" s="611">
        <v>55</v>
      </c>
      <c r="B913" s="110" t="s">
        <v>1202</v>
      </c>
      <c r="C913" s="111"/>
      <c r="D913" s="50" t="s">
        <v>161</v>
      </c>
      <c r="E913" s="49"/>
      <c r="F913" s="49"/>
      <c r="G913" s="49"/>
      <c r="H913" s="49"/>
      <c r="I913" s="49"/>
      <c r="J913" s="1110" t="str">
        <f>IF($M$53=1,$T$52,IF($M913="","TBD",IF($M913=1,"YES",IF($M913=3,"NA",""))))</f>
        <v>TBD</v>
      </c>
      <c r="K913" s="343" t="str">
        <f>IF($M$53=1,"",IF($M913=2,"NO",""))</f>
        <v/>
      </c>
      <c r="L913" s="676" t="s">
        <v>411</v>
      </c>
      <c r="M913" s="617"/>
      <c r="N913" s="50"/>
      <c r="O913" s="50" t="str">
        <f>IF(M53=1,"","Means provided to indicate technique factors prior to exposure.")</f>
        <v>Means provided to indicate technique factors prior to exposure.</v>
      </c>
      <c r="P913" s="49"/>
      <c r="Q913" s="49"/>
      <c r="R913" s="49"/>
      <c r="S913" s="49"/>
      <c r="T913" s="49"/>
      <c r="U913" s="49"/>
      <c r="V913" s="49"/>
      <c r="W913" s="69"/>
      <c r="X913" s="664" t="s">
        <v>411</v>
      </c>
    </row>
    <row r="914" spans="1:33" ht="11.25" customHeight="1">
      <c r="A914" s="611">
        <v>56</v>
      </c>
      <c r="B914" s="110"/>
      <c r="C914" s="111"/>
      <c r="D914" s="50" t="s">
        <v>162</v>
      </c>
      <c r="J914" s="1110" t="str">
        <f>IF($M$53=1,$T$52,IF($M914="","TBD",IF($M914=1,"YES",IF($M914=3,"NA",""))))</f>
        <v>TBD</v>
      </c>
      <c r="K914" s="343" t="str">
        <f>IF($M$53=1,"",IF($M914=2,"NO",""))</f>
        <v/>
      </c>
      <c r="L914" s="676" t="s">
        <v>411</v>
      </c>
      <c r="M914" s="617"/>
      <c r="O914" s="50" t="str">
        <f>IF(M53=1,"","All technique indicators functional and are free of excessive wear.")</f>
        <v>All technique indicators functional and are free of excessive wear.</v>
      </c>
      <c r="W914" s="71"/>
      <c r="X914" s="664" t="s">
        <v>411</v>
      </c>
    </row>
    <row r="915" spans="1:33" ht="11.25" customHeight="1">
      <c r="A915" s="611">
        <v>57</v>
      </c>
      <c r="B915" s="110"/>
      <c r="C915" s="111"/>
      <c r="D915" s="50" t="s">
        <v>163</v>
      </c>
      <c r="J915" s="1110" t="str">
        <f t="shared" ref="J915:J920" si="125">IF($M915="","TBD",IF($M915=1,"YES",IF($M915=3,"NA","")))</f>
        <v>TBD</v>
      </c>
      <c r="K915" s="343" t="str">
        <f t="shared" ref="K915:K920" si="126">IF($M915=2,"NO","")</f>
        <v/>
      </c>
      <c r="L915" s="676" t="s">
        <v>411</v>
      </c>
      <c r="M915" s="617"/>
      <c r="O915" s="50" t="s">
        <v>164</v>
      </c>
      <c r="W915" s="71"/>
      <c r="X915" s="664" t="s">
        <v>411</v>
      </c>
      <c r="AE915"/>
      <c r="AF915"/>
      <c r="AG915"/>
    </row>
    <row r="916" spans="1:33" ht="11.25" customHeight="1">
      <c r="A916" s="611">
        <v>58</v>
      </c>
      <c r="B916" s="110"/>
      <c r="C916" s="111"/>
      <c r="D916" s="50" t="s">
        <v>165</v>
      </c>
      <c r="J916" s="1110" t="str">
        <f t="shared" si="125"/>
        <v>TBD</v>
      </c>
      <c r="K916" s="343" t="str">
        <f t="shared" si="126"/>
        <v/>
      </c>
      <c r="L916" s="676" t="s">
        <v>411</v>
      </c>
      <c r="M916" s="617"/>
      <c r="O916" s="50" t="s">
        <v>166</v>
      </c>
      <c r="W916" s="71"/>
      <c r="X916" s="664" t="s">
        <v>411</v>
      </c>
      <c r="AE916"/>
      <c r="AF916"/>
      <c r="AG916"/>
    </row>
    <row r="917" spans="1:33" ht="11.25" customHeight="1">
      <c r="A917" s="611">
        <v>59</v>
      </c>
      <c r="B917" s="110" t="s">
        <v>1203</v>
      </c>
      <c r="C917" s="111"/>
      <c r="D917" s="50" t="s">
        <v>167</v>
      </c>
      <c r="E917" s="49"/>
      <c r="F917" s="49"/>
      <c r="G917" s="49"/>
      <c r="H917" s="49"/>
      <c r="I917" s="49"/>
      <c r="J917" s="1110" t="str">
        <f t="shared" si="125"/>
        <v>TBD</v>
      </c>
      <c r="K917" s="343" t="str">
        <f t="shared" si="126"/>
        <v/>
      </c>
      <c r="L917" s="676" t="s">
        <v>411</v>
      </c>
      <c r="M917" s="617"/>
      <c r="N917" s="50"/>
      <c r="O917" s="50" t="s">
        <v>168</v>
      </c>
      <c r="P917" s="49"/>
      <c r="Q917" s="49"/>
      <c r="R917" s="49"/>
      <c r="S917" s="49"/>
      <c r="T917" s="49"/>
      <c r="U917" s="49"/>
      <c r="V917" s="49"/>
      <c r="W917" s="69"/>
      <c r="X917" s="664" t="s">
        <v>411</v>
      </c>
      <c r="AE917"/>
      <c r="AF917"/>
      <c r="AG917"/>
    </row>
    <row r="918" spans="1:33" ht="11.25" customHeight="1">
      <c r="A918" s="611">
        <v>60</v>
      </c>
      <c r="B918" s="110" t="s">
        <v>1204</v>
      </c>
      <c r="C918" s="111"/>
      <c r="D918" s="50" t="s">
        <v>169</v>
      </c>
      <c r="E918" s="49"/>
      <c r="F918" s="49"/>
      <c r="G918" s="49"/>
      <c r="H918" s="49"/>
      <c r="I918" s="49"/>
      <c r="J918" s="1110" t="str">
        <f t="shared" si="125"/>
        <v>TBD</v>
      </c>
      <c r="K918" s="343" t="str">
        <f t="shared" si="126"/>
        <v/>
      </c>
      <c r="L918" s="676" t="s">
        <v>411</v>
      </c>
      <c r="M918" s="617"/>
      <c r="N918" s="50"/>
      <c r="O918" s="50" t="s">
        <v>170</v>
      </c>
      <c r="P918" s="49"/>
      <c r="Q918" s="49"/>
      <c r="R918" s="49"/>
      <c r="S918" s="49"/>
      <c r="T918" s="49"/>
      <c r="U918" s="49"/>
      <c r="V918" s="49"/>
      <c r="W918" s="69"/>
      <c r="X918" s="664" t="s">
        <v>411</v>
      </c>
      <c r="AE918"/>
      <c r="AF918"/>
      <c r="AG918"/>
    </row>
    <row r="919" spans="1:33" ht="11.25" customHeight="1">
      <c r="A919" s="611">
        <v>61</v>
      </c>
      <c r="B919" s="110" t="s">
        <v>1205</v>
      </c>
      <c r="C919" s="111"/>
      <c r="D919" s="50" t="s">
        <v>171</v>
      </c>
      <c r="E919" s="49"/>
      <c r="F919" s="49"/>
      <c r="G919" s="49"/>
      <c r="H919" s="49"/>
      <c r="I919" s="49"/>
      <c r="J919" s="1110" t="str">
        <f t="shared" si="125"/>
        <v>TBD</v>
      </c>
      <c r="K919" s="343" t="str">
        <f t="shared" si="126"/>
        <v/>
      </c>
      <c r="L919" s="676" t="s">
        <v>411</v>
      </c>
      <c r="M919" s="617"/>
      <c r="N919" s="50"/>
      <c r="O919" s="50" t="s">
        <v>172</v>
      </c>
      <c r="P919" s="49"/>
      <c r="Q919" s="49"/>
      <c r="R919" s="49"/>
      <c r="S919" s="49"/>
      <c r="T919" s="49"/>
      <c r="U919" s="49"/>
      <c r="V919" s="49"/>
      <c r="W919" s="69"/>
      <c r="X919" s="664" t="s">
        <v>411</v>
      </c>
      <c r="AE919"/>
      <c r="AF919"/>
      <c r="AG919"/>
    </row>
    <row r="920" spans="1:33" ht="11.25" customHeight="1">
      <c r="A920" s="611">
        <v>62</v>
      </c>
      <c r="B920" s="110"/>
      <c r="C920" s="111"/>
      <c r="D920" s="50" t="s">
        <v>173</v>
      </c>
      <c r="E920" s="49"/>
      <c r="F920" s="49"/>
      <c r="G920" s="49"/>
      <c r="H920" s="49"/>
      <c r="I920" s="49"/>
      <c r="J920" s="1110" t="str">
        <f t="shared" si="125"/>
        <v>TBD</v>
      </c>
      <c r="K920" s="343" t="str">
        <f t="shared" si="126"/>
        <v/>
      </c>
      <c r="L920" s="676" t="s">
        <v>411</v>
      </c>
      <c r="M920" s="617"/>
      <c r="N920" s="49"/>
      <c r="O920" s="50" t="s">
        <v>173</v>
      </c>
      <c r="P920" s="49"/>
      <c r="Q920" s="49"/>
      <c r="R920" s="49"/>
      <c r="S920" s="49"/>
      <c r="T920" s="49"/>
      <c r="U920" s="49"/>
      <c r="V920" s="49"/>
      <c r="W920" s="69"/>
      <c r="X920" s="664" t="s">
        <v>411</v>
      </c>
      <c r="AE920"/>
      <c r="AF920"/>
      <c r="AG920"/>
    </row>
    <row r="921" spans="1:33" ht="11.25" customHeight="1" thickBot="1">
      <c r="A921" s="611">
        <v>63</v>
      </c>
      <c r="B921" s="72"/>
      <c r="C921" s="73"/>
      <c r="D921" s="73"/>
      <c r="E921" s="73"/>
      <c r="F921" s="73"/>
      <c r="G921" s="73"/>
      <c r="H921" s="73"/>
      <c r="I921" s="73"/>
      <c r="J921" s="73"/>
      <c r="K921" s="74"/>
      <c r="L921" s="676" t="s">
        <v>411</v>
      </c>
      <c r="M921" s="72"/>
      <c r="N921" s="73"/>
      <c r="O921" s="73"/>
      <c r="P921" s="73"/>
      <c r="Q921" s="73"/>
      <c r="R921" s="73"/>
      <c r="S921" s="73"/>
      <c r="T921" s="73"/>
      <c r="U921" s="73"/>
      <c r="V921" s="73"/>
      <c r="W921" s="74"/>
      <c r="X921" s="664" t="s">
        <v>411</v>
      </c>
      <c r="AE921"/>
      <c r="AF921"/>
      <c r="AG921"/>
    </row>
    <row r="922" spans="1:33" ht="11.25" customHeight="1" thickTop="1">
      <c r="A922" s="611">
        <v>64</v>
      </c>
      <c r="L922" s="676" t="s">
        <v>411</v>
      </c>
      <c r="X922" s="664" t="s">
        <v>411</v>
      </c>
      <c r="AE922"/>
      <c r="AF922"/>
      <c r="AG922"/>
    </row>
    <row r="923" spans="1:33" ht="11.25" customHeight="1">
      <c r="A923" s="611">
        <v>65</v>
      </c>
      <c r="B923" s="52" t="str">
        <f t="array" ref="B923:C924">$B$65:$C$66</f>
        <v>Date:</v>
      </c>
      <c r="C923" s="1133" t="str">
        <v/>
      </c>
      <c r="D923" s="49"/>
      <c r="E923" s="49"/>
      <c r="F923" s="49"/>
      <c r="G923" s="49"/>
      <c r="H923" s="49"/>
      <c r="I923" s="52" t="str">
        <f t="array" ref="I923:J924">$I$65:$J$66</f>
        <v>Inspector:</v>
      </c>
      <c r="J923" s="421" t="str">
        <v>Eugene Mah</v>
      </c>
      <c r="L923" s="676" t="s">
        <v>411</v>
      </c>
      <c r="M923" s="49"/>
      <c r="N923" s="49"/>
      <c r="O923" s="49"/>
      <c r="P923" s="49"/>
      <c r="Q923" s="49"/>
      <c r="R923" s="49"/>
      <c r="S923" s="49"/>
      <c r="T923" s="49"/>
      <c r="U923" s="49"/>
      <c r="V923" s="49"/>
      <c r="W923" s="49"/>
      <c r="X923" s="664" t="s">
        <v>411</v>
      </c>
      <c r="AE923"/>
      <c r="AF923"/>
      <c r="AG923"/>
    </row>
    <row r="924" spans="1:33" ht="11.25" customHeight="1">
      <c r="A924" s="611">
        <v>66</v>
      </c>
      <c r="B924" s="52" t="str">
        <v>Room Number:</v>
      </c>
      <c r="C924" s="373" t="str">
        <v/>
      </c>
      <c r="D924" s="49"/>
      <c r="E924" s="49"/>
      <c r="F924" s="49"/>
      <c r="G924" s="49"/>
      <c r="H924" s="49"/>
      <c r="I924" s="52" t="str">
        <v>Survey ID:</v>
      </c>
      <c r="J924" s="1045" t="str">
        <v/>
      </c>
      <c r="L924" s="676" t="s">
        <v>411</v>
      </c>
      <c r="M924" s="49"/>
      <c r="N924" s="49"/>
      <c r="O924" s="49"/>
      <c r="P924" s="49"/>
      <c r="Q924" s="49"/>
      <c r="R924" s="49"/>
      <c r="S924" s="49"/>
      <c r="T924" s="49"/>
      <c r="U924" s="49"/>
      <c r="V924" s="49"/>
      <c r="W924" s="49"/>
      <c r="X924" s="664" t="s">
        <v>411</v>
      </c>
      <c r="AE924"/>
      <c r="AF924"/>
      <c r="AG924"/>
    </row>
    <row r="925" spans="1:33" ht="11.25" customHeight="1">
      <c r="A925" s="611">
        <v>1</v>
      </c>
      <c r="K925" s="131" t="str">
        <f>$F$2</f>
        <v>Medical University of South Carolina</v>
      </c>
      <c r="L925" s="676" t="s">
        <v>411</v>
      </c>
      <c r="W925" s="131" t="str">
        <f>$F$2</f>
        <v>Medical University of South Carolina</v>
      </c>
      <c r="X925" s="664" t="s">
        <v>411</v>
      </c>
      <c r="AE925"/>
      <c r="AF925"/>
      <c r="AG925"/>
    </row>
    <row r="926" spans="1:33" ht="11.25" customHeight="1">
      <c r="A926" s="611">
        <v>2</v>
      </c>
      <c r="C926" s="1"/>
      <c r="D926" s="1"/>
      <c r="E926" s="1"/>
      <c r="F926" s="82" t="str">
        <f>$F$464</f>
        <v>Measurement Data</v>
      </c>
      <c r="G926" s="1"/>
      <c r="H926" s="1"/>
      <c r="I926" s="1"/>
      <c r="J926" s="1"/>
      <c r="K926" s="132" t="str">
        <f>$F$5</f>
        <v>Radiographic System Compliance Inspection</v>
      </c>
      <c r="L926" s="676" t="s">
        <v>411</v>
      </c>
      <c r="O926" s="50"/>
      <c r="P926" s="1"/>
      <c r="Q926" s="1"/>
      <c r="R926" s="82" t="str">
        <f>$F$464</f>
        <v>Measurement Data</v>
      </c>
      <c r="S926" s="1"/>
      <c r="T926" s="1"/>
      <c r="U926" s="1"/>
      <c r="V926" s="1"/>
      <c r="W926" s="132" t="str">
        <f>$F$5</f>
        <v>Radiographic System Compliance Inspection</v>
      </c>
      <c r="X926" s="664" t="s">
        <v>411</v>
      </c>
      <c r="AE926"/>
      <c r="AF926"/>
      <c r="AG926"/>
    </row>
    <row r="927" spans="1:33" ht="11.25" customHeight="1">
      <c r="A927" s="611">
        <v>3</v>
      </c>
      <c r="B927" s="1"/>
      <c r="C927" s="1"/>
      <c r="D927" s="1"/>
      <c r="E927" s="1"/>
      <c r="F927" s="327" t="s">
        <v>174</v>
      </c>
      <c r="G927" s="1"/>
      <c r="H927" s="1"/>
      <c r="I927" s="1"/>
      <c r="J927" s="1"/>
      <c r="L927" s="676" t="s">
        <v>411</v>
      </c>
      <c r="M927" s="615">
        <v>1</v>
      </c>
      <c r="N927" s="100" t="s">
        <v>1222</v>
      </c>
      <c r="X927" s="664" t="s">
        <v>411</v>
      </c>
      <c r="AE927"/>
      <c r="AF927"/>
      <c r="AG927"/>
    </row>
    <row r="928" spans="1:33" ht="11.25" customHeight="1" thickBot="1">
      <c r="A928" s="611">
        <v>4</v>
      </c>
      <c r="L928" s="676" t="s">
        <v>411</v>
      </c>
      <c r="M928" s="514" t="s">
        <v>1223</v>
      </c>
      <c r="N928" s="436"/>
      <c r="X928" s="664" t="s">
        <v>411</v>
      </c>
      <c r="AE928"/>
      <c r="AF928"/>
      <c r="AG928"/>
    </row>
    <row r="929" spans="1:33" ht="11.25" customHeight="1" thickTop="1">
      <c r="A929" s="611">
        <v>5</v>
      </c>
      <c r="B929" s="79"/>
      <c r="C929" s="62"/>
      <c r="D929" s="62"/>
      <c r="E929" s="62"/>
      <c r="F929" s="62"/>
      <c r="G929" s="62"/>
      <c r="H929" s="62"/>
      <c r="I929" s="62"/>
      <c r="J929" s="62"/>
      <c r="K929" s="80"/>
      <c r="L929" s="676" t="s">
        <v>411</v>
      </c>
      <c r="M929" s="79"/>
      <c r="N929" s="62"/>
      <c r="O929" s="62"/>
      <c r="P929" s="62"/>
      <c r="Q929" s="62"/>
      <c r="R929" s="62"/>
      <c r="S929" s="62"/>
      <c r="T929" s="433" t="s">
        <v>175</v>
      </c>
      <c r="U929" s="438"/>
      <c r="V929" s="62"/>
      <c r="W929" s="80"/>
      <c r="X929" s="664" t="s">
        <v>411</v>
      </c>
      <c r="AE929"/>
      <c r="AF929"/>
      <c r="AG929"/>
    </row>
    <row r="930" spans="1:33" ht="11.25" customHeight="1">
      <c r="A930" s="611">
        <v>6</v>
      </c>
      <c r="B930" s="127"/>
      <c r="K930" s="71"/>
      <c r="L930" s="676" t="s">
        <v>411</v>
      </c>
      <c r="M930" s="191" t="s">
        <v>176</v>
      </c>
      <c r="N930" s="53"/>
      <c r="O930" s="53"/>
      <c r="P930" s="109"/>
      <c r="Q930" s="3"/>
      <c r="R930" s="1"/>
      <c r="S930" s="1"/>
      <c r="T930" s="1"/>
      <c r="U930" s="634" t="s">
        <v>1167</v>
      </c>
      <c r="V930" s="1"/>
      <c r="W930" s="39"/>
      <c r="X930" s="664" t="s">
        <v>411</v>
      </c>
      <c r="AE930"/>
      <c r="AF930"/>
      <c r="AG930"/>
    </row>
    <row r="931" spans="1:33" ht="11.25" customHeight="1">
      <c r="A931" s="611">
        <v>7</v>
      </c>
      <c r="B931" s="127"/>
      <c r="K931" s="71"/>
      <c r="L931" s="676" t="s">
        <v>411</v>
      </c>
      <c r="M931" s="45"/>
      <c r="N931" s="1"/>
      <c r="O931" s="1"/>
      <c r="P931" s="1"/>
      <c r="Q931" s="3"/>
      <c r="R931" s="1"/>
      <c r="S931" s="1"/>
      <c r="T931" s="1"/>
      <c r="U931" s="1"/>
      <c r="V931" s="1"/>
      <c r="W931" s="39"/>
      <c r="X931" s="664" t="s">
        <v>411</v>
      </c>
      <c r="AE931"/>
      <c r="AF931"/>
      <c r="AG931"/>
    </row>
    <row r="932" spans="1:33" ht="11.25" customHeight="1">
      <c r="A932" s="611">
        <v>8</v>
      </c>
      <c r="B932" s="127"/>
      <c r="D932" t="str">
        <f>O934&amp;" Focal Spot"</f>
        <v>Large Focal Spot</v>
      </c>
      <c r="K932" s="71"/>
      <c r="L932" s="676" t="s">
        <v>411</v>
      </c>
      <c r="M932" s="45"/>
      <c r="N932" s="4" t="s">
        <v>79</v>
      </c>
      <c r="O932" s="4" t="s">
        <v>57</v>
      </c>
      <c r="P932" s="478" t="s">
        <v>58</v>
      </c>
      <c r="Q932" s="1"/>
      <c r="R932" s="4"/>
      <c r="S932" s="4" t="s">
        <v>60</v>
      </c>
      <c r="T932" s="29"/>
      <c r="U932" s="3" t="s">
        <v>61</v>
      </c>
      <c r="V932" s="1"/>
      <c r="W932" s="39"/>
      <c r="X932" s="664" t="s">
        <v>411</v>
      </c>
      <c r="AE932"/>
      <c r="AF932"/>
      <c r="AG932"/>
    </row>
    <row r="933" spans="1:33" ht="11.25" customHeight="1" thickBot="1">
      <c r="A933" s="611">
        <v>9</v>
      </c>
      <c r="B933" s="45"/>
      <c r="C933" s="37" t="s">
        <v>80</v>
      </c>
      <c r="D933" s="2">
        <f>IF(N934="","",N934)</f>
        <v>100</v>
      </c>
      <c r="E933" s="3" t="str">
        <f>N933</f>
        <v>cm</v>
      </c>
      <c r="F933" s="1"/>
      <c r="G933" s="1"/>
      <c r="H933" s="37" t="s">
        <v>607</v>
      </c>
      <c r="I933" s="35">
        <f>IF(R934="","",IF(LFMAS="mA",R934,""))</f>
        <v>400</v>
      </c>
      <c r="J933" s="1"/>
      <c r="K933" s="71"/>
      <c r="L933" s="676" t="s">
        <v>411</v>
      </c>
      <c r="M933" s="7" t="s">
        <v>177</v>
      </c>
      <c r="N933" s="6" t="str">
        <f>LFSDD</f>
        <v>cm</v>
      </c>
      <c r="O933" s="6" t="s">
        <v>63</v>
      </c>
      <c r="P933" s="479" t="s">
        <v>48</v>
      </c>
      <c r="Q933" s="6" t="s">
        <v>64</v>
      </c>
      <c r="R933" s="6" t="str">
        <f>IF(MIN($T$694:$T$701)&gt;0,LFMAS,IF(MIN($T$712:$T$717)&gt;0,SFMAS,"mA/mAs"))</f>
        <v>mA/mAs</v>
      </c>
      <c r="S933" s="6" t="s">
        <v>65</v>
      </c>
      <c r="T933" s="206" t="s">
        <v>66</v>
      </c>
      <c r="U933" s="6" t="s">
        <v>67</v>
      </c>
      <c r="V933" s="6" t="s">
        <v>65</v>
      </c>
      <c r="W933" s="23" t="s">
        <v>1053</v>
      </c>
      <c r="X933" s="664" t="s">
        <v>411</v>
      </c>
      <c r="AE933"/>
      <c r="AF933"/>
      <c r="AG933"/>
    </row>
    <row r="934" spans="1:33" ht="11.25" customHeight="1">
      <c r="A934" s="611">
        <v>10</v>
      </c>
      <c r="B934" s="45"/>
      <c r="C934" s="37" t="s">
        <v>178</v>
      </c>
      <c r="D934" s="35">
        <f>IF(Q934="","",Q934)</f>
        <v>80</v>
      </c>
      <c r="E934" s="1"/>
      <c r="F934" s="1" t="str">
        <f>IF(OR(MAXAVG="",AND(MAXAVG="Avg kV",U934=""),AND(MAXAVG="Max kV",T934="")),"","Measured")</f>
        <v/>
      </c>
      <c r="G934" s="1"/>
      <c r="H934" s="37" t="s">
        <v>609</v>
      </c>
      <c r="I934" s="38" t="str">
        <f>IF(R934="","",IF(LFMAS="mAs",R934,""))</f>
        <v/>
      </c>
      <c r="J934" s="1"/>
      <c r="K934" s="71"/>
      <c r="L934" s="676" t="s">
        <v>411</v>
      </c>
      <c r="M934" s="486">
        <v>0</v>
      </c>
      <c r="N934" s="359">
        <f>$N$694</f>
        <v>100</v>
      </c>
      <c r="O934" s="8" t="s">
        <v>51</v>
      </c>
      <c r="P934" s="1247"/>
      <c r="Q934" s="10">
        <f>$Q$695</f>
        <v>80</v>
      </c>
      <c r="R934" s="428">
        <f>IF(R694="","",R694)</f>
        <v>400</v>
      </c>
      <c r="S934" s="9">
        <f>IF(S694="","",S694)</f>
        <v>0.05</v>
      </c>
      <c r="T934" s="1249"/>
      <c r="U934" s="8" t="str">
        <f t="shared" ref="U934:W935" si="127">IF(U743="","",U743)</f>
        <v/>
      </c>
      <c r="V934" s="9" t="str">
        <f t="shared" si="127"/>
        <v/>
      </c>
      <c r="W934" s="444" t="str">
        <f t="shared" si="127"/>
        <v/>
      </c>
      <c r="X934" s="664" t="s">
        <v>411</v>
      </c>
      <c r="AE934"/>
      <c r="AF934"/>
      <c r="AG934"/>
    </row>
    <row r="935" spans="1:33" ht="11.25" customHeight="1" thickBot="1">
      <c r="A935" s="611">
        <v>11</v>
      </c>
      <c r="B935" s="45"/>
      <c r="C935" s="1"/>
      <c r="D935" s="1"/>
      <c r="E935" s="1"/>
      <c r="F935" s="1" t="str">
        <f>IF(OR(AND(MAXAVG="Max kV",T934&lt;&gt;""),AND(MAXAVG="Avg kV",U934&lt;&gt;"")),MAXAVG,IF(T934&lt;&gt;"","Measured","Set"))</f>
        <v>Set</v>
      </c>
      <c r="G935" s="1"/>
      <c r="H935" s="37" t="s">
        <v>73</v>
      </c>
      <c r="I935" s="36">
        <f>IF(S934="","",S934)</f>
        <v>0.05</v>
      </c>
      <c r="J935" s="1"/>
      <c r="K935" s="71"/>
      <c r="L935" s="676" t="s">
        <v>411</v>
      </c>
      <c r="M935" s="7">
        <v>0</v>
      </c>
      <c r="N935" s="358">
        <f>IF(N934="","",N934)</f>
        <v>100</v>
      </c>
      <c r="O935" s="6" t="str">
        <f t="shared" ref="O935:O941" si="128">IF(Q935="","",O934)</f>
        <v>Large</v>
      </c>
      <c r="P935" s="1248"/>
      <c r="Q935" s="328">
        <f>IF(Q934="","",Q934)</f>
        <v>80</v>
      </c>
      <c r="R935" s="427">
        <f>IF(R934="","",R934)</f>
        <v>400</v>
      </c>
      <c r="S935" s="329">
        <f>IF(S934="","",S934)</f>
        <v>0.05</v>
      </c>
      <c r="T935" s="1250"/>
      <c r="U935" s="6" t="str">
        <f t="shared" si="127"/>
        <v/>
      </c>
      <c r="V935" s="329" t="str">
        <f t="shared" si="127"/>
        <v/>
      </c>
      <c r="W935" s="445" t="str">
        <f t="shared" si="127"/>
        <v/>
      </c>
      <c r="X935" s="664" t="s">
        <v>411</v>
      </c>
      <c r="AE935"/>
      <c r="AF935"/>
      <c r="AG935"/>
    </row>
    <row r="936" spans="1:33" ht="11.25" customHeight="1">
      <c r="A936" s="611">
        <v>12</v>
      </c>
      <c r="B936" s="45"/>
      <c r="C936" s="2" t="s">
        <v>179</v>
      </c>
      <c r="D936" s="8" t="s">
        <v>1053</v>
      </c>
      <c r="E936" s="8" t="s">
        <v>1053</v>
      </c>
      <c r="F936" s="8" t="s">
        <v>465</v>
      </c>
      <c r="G936" s="1"/>
      <c r="H936" s="1"/>
      <c r="I936" s="1"/>
      <c r="J936" s="1"/>
      <c r="K936" s="71"/>
      <c r="L936" s="676" t="s">
        <v>411</v>
      </c>
      <c r="M936" s="486" t="str">
        <f>IF(Sheet1!G10="","",Sheet1!E10)</f>
        <v/>
      </c>
      <c r="N936" s="359" t="str">
        <f>IF(M936="","",$N$934)</f>
        <v/>
      </c>
      <c r="O936" s="8" t="str">
        <f t="shared" si="128"/>
        <v/>
      </c>
      <c r="P936" s="1247"/>
      <c r="Q936" s="10" t="str">
        <f>IF(M936="","",Q935)</f>
        <v/>
      </c>
      <c r="R936" s="428" t="str">
        <f>IF(M936="","",R935)</f>
        <v/>
      </c>
      <c r="S936" s="9" t="str">
        <f>IF(M936="","",S935)</f>
        <v/>
      </c>
      <c r="T936" s="1249"/>
      <c r="U936" s="8" t="str">
        <f>IF(Sheet1!G10="","",Sheet1!G10)</f>
        <v/>
      </c>
      <c r="V936" s="9" t="str">
        <f>IF(Sheet1!H10="","",Sheet1!H10)</f>
        <v/>
      </c>
      <c r="W936" s="444" t="str">
        <f>IF(Sheet1!I10="","",Sheet1!I10)</f>
        <v/>
      </c>
      <c r="X936" s="664" t="s">
        <v>411</v>
      </c>
      <c r="AE936"/>
      <c r="AF936"/>
      <c r="AG936"/>
    </row>
    <row r="937" spans="1:33" ht="11.25" customHeight="1" thickBot="1">
      <c r="A937" s="611">
        <v>13</v>
      </c>
      <c r="B937" s="45"/>
      <c r="C937" s="2">
        <v>0</v>
      </c>
      <c r="D937" s="422" t="str">
        <f>IF(W934="","",W934)</f>
        <v/>
      </c>
      <c r="E937" s="422" t="str">
        <f>IF(W935="","",W935)</f>
        <v/>
      </c>
      <c r="F937" s="8">
        <f>avgkvp</f>
        <v>80</v>
      </c>
      <c r="G937" s="1"/>
      <c r="H937" s="37" t="str">
        <f>"kVp ("&amp;IF(AND(U930="",T934&lt;&gt;""),"Meas.",IF(MAXAVG="","Set",MAXAVG))&amp;")"</f>
        <v>kVp (Avg kV)</v>
      </c>
      <c r="I937" s="1">
        <f>avgkvp</f>
        <v>80</v>
      </c>
      <c r="J937" s="1"/>
      <c r="K937" s="71"/>
      <c r="L937" s="676" t="s">
        <v>411</v>
      </c>
      <c r="M937" s="7" t="str">
        <f>IF(M936="","",M936)</f>
        <v/>
      </c>
      <c r="N937" s="358" t="str">
        <f>IF(N936="","",N936)</f>
        <v/>
      </c>
      <c r="O937" s="6" t="str">
        <f t="shared" si="128"/>
        <v/>
      </c>
      <c r="P937" s="1248"/>
      <c r="Q937" s="328" t="str">
        <f>IF(Q936="","",Q936)</f>
        <v/>
      </c>
      <c r="R937" s="427" t="str">
        <f>IF(R936="","",R936)</f>
        <v/>
      </c>
      <c r="S937" s="329" t="str">
        <f>IF(S936="","",S936)</f>
        <v/>
      </c>
      <c r="T937" s="1250"/>
      <c r="U937" s="6" t="str">
        <f>IF(Sheet1!G11="","",Sheet1!G11)</f>
        <v/>
      </c>
      <c r="V937" s="329" t="str">
        <f>IF(Sheet1!H11="","",Sheet1!H11)</f>
        <v/>
      </c>
      <c r="W937" s="445" t="str">
        <f>IF(Sheet1!I11="","",Sheet1!I11)</f>
        <v/>
      </c>
      <c r="X937" s="664" t="s">
        <v>411</v>
      </c>
      <c r="AE937"/>
      <c r="AF937"/>
      <c r="AG937"/>
    </row>
    <row r="938" spans="1:33" ht="11.25" customHeight="1" thickBot="1">
      <c r="A938" s="611">
        <v>14</v>
      </c>
      <c r="B938" s="45"/>
      <c r="C938" s="2" t="str">
        <f>IF(M936="","",M936)</f>
        <v/>
      </c>
      <c r="D938" s="422" t="str">
        <f>IF(W936="","",W936)</f>
        <v/>
      </c>
      <c r="E938" s="422" t="str">
        <f>IF(W937="","",W937)</f>
        <v/>
      </c>
      <c r="F938" s="8" t="str">
        <f>IF(MAXAVG="Max kV", IF(T936="","",AVERAGE(T936:T937)), IF(U936="","",AVERAGE(U936:U937)))</f>
        <v/>
      </c>
      <c r="G938" s="1"/>
      <c r="H938" s="37" t="s">
        <v>180</v>
      </c>
      <c r="I938" s="2" t="e">
        <f>HVL</f>
        <v>#DIV/0!</v>
      </c>
      <c r="J938" s="1"/>
      <c r="K938" s="71"/>
      <c r="L938" s="676" t="s">
        <v>411</v>
      </c>
      <c r="M938" s="486" t="str">
        <f>IF(Sheet1!G12="","",Sheet1!E12)</f>
        <v/>
      </c>
      <c r="N938" s="359" t="str">
        <f>IF(M938="","",$N$934)</f>
        <v/>
      </c>
      <c r="O938" s="8" t="str">
        <f t="shared" si="128"/>
        <v/>
      </c>
      <c r="P938" s="1247"/>
      <c r="Q938" s="10" t="str">
        <f>IF(M938="","",Q937)</f>
        <v/>
      </c>
      <c r="R938" s="428" t="str">
        <f>IF(M938="","",R937)</f>
        <v/>
      </c>
      <c r="S938" s="9" t="str">
        <f>IF(M938="","",S937)</f>
        <v/>
      </c>
      <c r="T938" s="1249"/>
      <c r="U938" s="8" t="str">
        <f>IF(Sheet1!G12="","",Sheet1!G12)</f>
        <v/>
      </c>
      <c r="V938" s="9" t="str">
        <f>IF(Sheet1!H12="","",Sheet1!H12)</f>
        <v/>
      </c>
      <c r="W938" s="444" t="str">
        <f>IF(Sheet1!I12="","",Sheet1!I12)</f>
        <v/>
      </c>
      <c r="X938" s="664" t="s">
        <v>411</v>
      </c>
      <c r="AE938"/>
      <c r="AF938"/>
      <c r="AG938"/>
    </row>
    <row r="939" spans="1:33" ht="11.25" customHeight="1" thickTop="1" thickBot="1">
      <c r="A939" s="611">
        <v>15</v>
      </c>
      <c r="B939" s="45"/>
      <c r="C939" s="2" t="str">
        <f>IF(M938="","",M938)</f>
        <v/>
      </c>
      <c r="D939" s="422" t="str">
        <f>IF(W938="","",W938)</f>
        <v/>
      </c>
      <c r="E939" s="422" t="str">
        <f>IF(W939="","",W939)</f>
        <v/>
      </c>
      <c r="F939" s="8" t="str">
        <f>IF(MAXAVG="Max kV", IF(T937="","",AVERAGE(T937:T938)), IF(U937="","",AVERAGE(U937:U938)))</f>
        <v/>
      </c>
      <c r="G939" s="1"/>
      <c r="H939" s="37" t="s">
        <v>1050</v>
      </c>
      <c r="I939" s="1158" t="str">
        <f>IF(S959="","",S959)</f>
        <v>TBD</v>
      </c>
      <c r="J939" s="1"/>
      <c r="K939" s="71"/>
      <c r="L939" s="676" t="s">
        <v>411</v>
      </c>
      <c r="M939" s="7" t="str">
        <f>IF(M938="","",M938)</f>
        <v/>
      </c>
      <c r="N939" s="358" t="str">
        <f>IF(N938="","",N938)</f>
        <v/>
      </c>
      <c r="O939" s="6" t="str">
        <f t="shared" si="128"/>
        <v/>
      </c>
      <c r="P939" s="1248"/>
      <c r="Q939" s="328" t="str">
        <f>IF(Q938="","",Q938)</f>
        <v/>
      </c>
      <c r="R939" s="427" t="str">
        <f>IF(R938="","",R938)</f>
        <v/>
      </c>
      <c r="S939" s="329" t="str">
        <f>IF(S938="","",S938)</f>
        <v/>
      </c>
      <c r="T939" s="1250"/>
      <c r="U939" s="6" t="str">
        <f>IF(Sheet1!G13="","",Sheet1!G13)</f>
        <v/>
      </c>
      <c r="V939" s="329" t="str">
        <f>IF(Sheet1!H13="","",Sheet1!H13)</f>
        <v/>
      </c>
      <c r="W939" s="445" t="str">
        <f>IF(Sheet1!I13="","",Sheet1!I13)</f>
        <v/>
      </c>
      <c r="X939" s="664" t="s">
        <v>411</v>
      </c>
      <c r="AE939"/>
      <c r="AF939"/>
      <c r="AG939"/>
    </row>
    <row r="940" spans="1:33" ht="11.25" customHeight="1" thickTop="1">
      <c r="A940" s="611">
        <v>16</v>
      </c>
      <c r="B940" s="45"/>
      <c r="C940" s="2" t="str">
        <f>IF(M940="","",M940)</f>
        <v/>
      </c>
      <c r="D940" s="422" t="str">
        <f>IF(W940="","",W940)</f>
        <v/>
      </c>
      <c r="E940" s="422" t="str">
        <f>IF(W941="","",W941)</f>
        <v/>
      </c>
      <c r="F940" s="8" t="str">
        <f>IF(MAXAVG="Max kV", IF(T938="","",AVERAGE(T938:T939)), IF(U938="","",AVERAGE(U938:U939)))</f>
        <v/>
      </c>
      <c r="G940" s="1"/>
      <c r="J940" s="1"/>
      <c r="K940" s="71"/>
      <c r="L940" s="676" t="s">
        <v>411</v>
      </c>
      <c r="M940" s="486" t="str">
        <f>IF(Sheet1!G14="","",Sheet1!E14)</f>
        <v/>
      </c>
      <c r="N940" s="359" t="str">
        <f>IF(M940="","",$N$934)</f>
        <v/>
      </c>
      <c r="O940" s="8" t="str">
        <f t="shared" si="128"/>
        <v/>
      </c>
      <c r="P940" s="1247"/>
      <c r="Q940" s="10" t="str">
        <f>IF(M940="","",Q939)</f>
        <v/>
      </c>
      <c r="R940" s="428" t="str">
        <f>IF(M940="","",R939)</f>
        <v/>
      </c>
      <c r="S940" s="9" t="str">
        <f>IF(M940="","",S939)</f>
        <v/>
      </c>
      <c r="T940" s="1249"/>
      <c r="U940" s="8" t="str">
        <f>IF(Sheet1!G14="","",Sheet1!G14)</f>
        <v/>
      </c>
      <c r="V940" s="9" t="str">
        <f>IF(Sheet1!H14="","",Sheet1!H14)</f>
        <v/>
      </c>
      <c r="W940" s="444" t="str">
        <f>IF(Sheet1!I14="","",Sheet1!I14)</f>
        <v/>
      </c>
      <c r="X940" s="664" t="s">
        <v>411</v>
      </c>
      <c r="AE940"/>
      <c r="AF940"/>
      <c r="AG940"/>
    </row>
    <row r="941" spans="1:33" ht="11.25" customHeight="1" thickBot="1">
      <c r="A941" s="611">
        <v>17</v>
      </c>
      <c r="B941" s="45"/>
      <c r="C941" s="2" t="str">
        <f>IF(M942="","",M942)</f>
        <v/>
      </c>
      <c r="D941" s="422" t="str">
        <f>IF(W942="","",W942)</f>
        <v/>
      </c>
      <c r="E941" s="422" t="str">
        <f>IF(W943="","",W943)</f>
        <v/>
      </c>
      <c r="F941" s="8" t="str">
        <f>IF(MAXAVG="Max kV", IF(T939="","",AVERAGE(T939:T940)), IF(U939="","",AVERAGE(U939:U940)))</f>
        <v/>
      </c>
      <c r="G941" s="1"/>
      <c r="H941" s="100" t="str">
        <f>U950</f>
        <v>Criteria:  SC DES STANDARD</v>
      </c>
      <c r="I941" s="1"/>
      <c r="J941" s="1"/>
      <c r="K941" s="71"/>
      <c r="L941" s="676" t="s">
        <v>411</v>
      </c>
      <c r="M941" s="7" t="str">
        <f>IF(M940="","",M940)</f>
        <v/>
      </c>
      <c r="N941" s="358" t="str">
        <f>IF(N940="","",N940)</f>
        <v/>
      </c>
      <c r="O941" s="6" t="str">
        <f t="shared" si="128"/>
        <v/>
      </c>
      <c r="P941" s="1248"/>
      <c r="Q941" s="328" t="str">
        <f>IF(Q940="","",Q940)</f>
        <v/>
      </c>
      <c r="R941" s="427" t="str">
        <f>IF(R940="","",R940)</f>
        <v/>
      </c>
      <c r="S941" s="329" t="str">
        <f>IF(S940="","",S940)</f>
        <v/>
      </c>
      <c r="T941" s="1250"/>
      <c r="U941" s="6" t="str">
        <f>IF(Sheet1!G15="","",Sheet1!G15)</f>
        <v/>
      </c>
      <c r="V941" s="329" t="str">
        <f>IF(Sheet1!H15="","",Sheet1!H15)</f>
        <v/>
      </c>
      <c r="W941" s="445" t="str">
        <f>IF(Sheet1!I15="","",Sheet1!I15)</f>
        <v/>
      </c>
      <c r="X941" s="664" t="s">
        <v>411</v>
      </c>
      <c r="AE941"/>
      <c r="AF941"/>
      <c r="AG941"/>
    </row>
    <row r="942" spans="1:33" ht="11.25" customHeight="1">
      <c r="A942" s="611">
        <v>18</v>
      </c>
      <c r="B942" s="45"/>
      <c r="C942" s="2" t="str">
        <f>IF(M944="","",M944)</f>
        <v/>
      </c>
      <c r="D942" s="422" t="str">
        <f>IF(W944="","",W944)</f>
        <v/>
      </c>
      <c r="E942" s="422" t="str">
        <f>IF(W945="","",W945)</f>
        <v/>
      </c>
      <c r="F942" s="8" t="str">
        <f>IF(MAXAVG="Max kV", IF(T940="","",AVERAGE(T940:T941)), IF(U940="","",AVERAGE(U940:U941)))</f>
        <v/>
      </c>
      <c r="G942" s="413"/>
      <c r="H942" s="314" t="s">
        <v>181</v>
      </c>
      <c r="I942" s="314" t="s">
        <v>182</v>
      </c>
      <c r="J942" s="414" t="s">
        <v>183</v>
      </c>
      <c r="K942" s="71"/>
      <c r="L942" s="676" t="s">
        <v>411</v>
      </c>
      <c r="M942" s="635"/>
      <c r="N942" s="359" t="str">
        <f>IF(M942="","",$N$934)</f>
        <v/>
      </c>
      <c r="O942" s="8" t="str">
        <f t="shared" ref="O942:O945" si="129">IF(Q942="","",O941)</f>
        <v/>
      </c>
      <c r="P942" s="1247"/>
      <c r="Q942" s="10" t="str">
        <f>IF(M942="","",Q941)</f>
        <v/>
      </c>
      <c r="R942" s="428" t="str">
        <f>IF(M942="","",R941)</f>
        <v/>
      </c>
      <c r="S942" s="9" t="str">
        <f>IF(M942="","",S941)</f>
        <v/>
      </c>
      <c r="T942" s="1251"/>
      <c r="U942" s="636"/>
      <c r="V942" s="637"/>
      <c r="W942" s="638"/>
      <c r="X942" s="664" t="s">
        <v>411</v>
      </c>
      <c r="AE942"/>
      <c r="AF942"/>
      <c r="AG942"/>
    </row>
    <row r="943" spans="1:33" ht="11.25" customHeight="1" thickBot="1">
      <c r="A943" s="611">
        <v>19</v>
      </c>
      <c r="B943" s="45"/>
      <c r="C943" s="3" t="s">
        <v>184</v>
      </c>
      <c r="D943" s="1"/>
      <c r="E943" s="1"/>
      <c r="F943" s="1"/>
      <c r="G943" s="320" t="s">
        <v>465</v>
      </c>
      <c r="H943" s="315" t="s">
        <v>185</v>
      </c>
      <c r="I943" s="315" t="s">
        <v>185</v>
      </c>
      <c r="J943" s="415" t="s">
        <v>185</v>
      </c>
      <c r="K943" s="71"/>
      <c r="L943" s="676" t="s">
        <v>411</v>
      </c>
      <c r="M943" s="7" t="str">
        <f>IF(M942="","",M942)</f>
        <v/>
      </c>
      <c r="N943" s="358" t="str">
        <f>IF(N942="","",N942)</f>
        <v/>
      </c>
      <c r="O943" s="6" t="str">
        <f t="shared" si="129"/>
        <v/>
      </c>
      <c r="P943" s="1248"/>
      <c r="Q943" s="328" t="str">
        <f>IF(Q942="","",Q942)</f>
        <v/>
      </c>
      <c r="R943" s="427" t="str">
        <f>IF(R942="","",R942)</f>
        <v/>
      </c>
      <c r="S943" s="329" t="str">
        <f>IF(S942="","",S942)</f>
        <v/>
      </c>
      <c r="T943" s="1252"/>
      <c r="U943" s="639"/>
      <c r="V943" s="640"/>
      <c r="W943" s="641"/>
      <c r="X943" s="664" t="s">
        <v>411</v>
      </c>
      <c r="AE943"/>
      <c r="AF943"/>
      <c r="AG943"/>
    </row>
    <row r="944" spans="1:33" ht="11.25" customHeight="1">
      <c r="A944" s="611">
        <v>20</v>
      </c>
      <c r="B944" s="127"/>
      <c r="G944" s="322">
        <f t="shared" ref="G944:J951" si="130">T953</f>
        <v>60</v>
      </c>
      <c r="H944" s="351">
        <f t="shared" si="130"/>
        <v>1.5</v>
      </c>
      <c r="I944" s="317">
        <f t="shared" si="130"/>
        <v>1.5</v>
      </c>
      <c r="J944" s="416">
        <f t="shared" si="130"/>
        <v>1.9</v>
      </c>
      <c r="K944" s="71"/>
      <c r="L944" s="676" t="s">
        <v>411</v>
      </c>
      <c r="M944" s="635"/>
      <c r="N944" s="359" t="str">
        <f>IF(M944="","",$N$934)</f>
        <v/>
      </c>
      <c r="O944" s="8" t="str">
        <f t="shared" si="129"/>
        <v/>
      </c>
      <c r="P944" s="1247"/>
      <c r="Q944" s="10" t="str">
        <f>IF(M944="","",Q943)</f>
        <v/>
      </c>
      <c r="R944" s="428" t="str">
        <f>IF(M944="","",R943)</f>
        <v/>
      </c>
      <c r="S944" s="9" t="str">
        <f>IF(M944="","",S943)</f>
        <v/>
      </c>
      <c r="T944" s="1251"/>
      <c r="U944" s="636"/>
      <c r="V944" s="637"/>
      <c r="W944" s="638"/>
      <c r="X944" s="664" t="s">
        <v>411</v>
      </c>
      <c r="AB944" s="1"/>
      <c r="AC944" s="1"/>
      <c r="AD944" s="1"/>
    </row>
    <row r="945" spans="1:34" ht="11.25" customHeight="1" thickBot="1">
      <c r="A945" s="611">
        <v>21</v>
      </c>
      <c r="B945" s="127"/>
      <c r="G945" s="322">
        <f t="shared" si="130"/>
        <v>70</v>
      </c>
      <c r="H945" s="351">
        <f t="shared" si="130"/>
        <v>1.8</v>
      </c>
      <c r="I945" s="317">
        <f t="shared" si="130"/>
        <v>1.8</v>
      </c>
      <c r="J945" s="416">
        <f t="shared" si="130"/>
        <v>2.2000000000000002</v>
      </c>
      <c r="K945" s="71"/>
      <c r="L945" s="676" t="s">
        <v>411</v>
      </c>
      <c r="M945" s="7" t="str">
        <f>IF(M944="","",M944)</f>
        <v/>
      </c>
      <c r="N945" s="358" t="str">
        <f>IF(N944="","",N944)</f>
        <v/>
      </c>
      <c r="O945" s="6" t="str">
        <f t="shared" si="129"/>
        <v/>
      </c>
      <c r="P945" s="1248"/>
      <c r="Q945" s="328" t="str">
        <f>IF(Q944="","",Q944)</f>
        <v/>
      </c>
      <c r="R945" s="427" t="str">
        <f>IF(R944="","",R944)</f>
        <v/>
      </c>
      <c r="S945" s="329" t="str">
        <f>IF(S944="","",S944)</f>
        <v/>
      </c>
      <c r="T945" s="1252"/>
      <c r="U945" s="639"/>
      <c r="V945" s="640"/>
      <c r="W945" s="641"/>
      <c r="X945" s="664" t="s">
        <v>411</v>
      </c>
    </row>
    <row r="946" spans="1:34" ht="11.25" customHeight="1">
      <c r="A946" s="611">
        <v>22</v>
      </c>
      <c r="B946" s="127"/>
      <c r="C946" s="405"/>
      <c r="D946" s="406" t="s">
        <v>186</v>
      </c>
      <c r="E946" s="406"/>
      <c r="F946" s="407"/>
      <c r="G946" s="322">
        <f t="shared" si="130"/>
        <v>80</v>
      </c>
      <c r="H946" s="351">
        <f t="shared" si="130"/>
        <v>2.9</v>
      </c>
      <c r="I946" s="317">
        <f t="shared" si="130"/>
        <v>2.9</v>
      </c>
      <c r="J946" s="416">
        <f t="shared" si="130"/>
        <v>3.3</v>
      </c>
      <c r="K946" s="71"/>
      <c r="L946" s="676" t="s">
        <v>411</v>
      </c>
      <c r="M946" s="127"/>
      <c r="N946" s="54" t="s">
        <v>552</v>
      </c>
      <c r="O946" s="713" t="str">
        <f>IF(O948&lt;&gt;"",O948,IF(OR(AB449=0,AB449=""),"",AB449))</f>
        <v/>
      </c>
      <c r="P946" s="2"/>
      <c r="Q946" s="2"/>
      <c r="R946" s="2"/>
      <c r="S946" s="2"/>
      <c r="T946" s="2"/>
      <c r="U946" s="2"/>
      <c r="V946" s="2"/>
      <c r="W946" s="31"/>
      <c r="X946" s="664" t="s">
        <v>411</v>
      </c>
    </row>
    <row r="947" spans="1:34" ht="11.25" customHeight="1">
      <c r="A947" s="611">
        <v>23</v>
      </c>
      <c r="B947" s="127"/>
      <c r="C947" s="408"/>
      <c r="D947" s="99"/>
      <c r="E947" s="132" t="str">
        <f>"Min. acceptable HVL at "&amp;IF(avgkvp="TBD",avgkvp,ROUND(avgkvp,1))&amp;" kvp:"</f>
        <v>Min. acceptable HVL at 80 kvp:</v>
      </c>
      <c r="F947" s="418">
        <f>IF(avgkvp="TBD",avgkvp,$S$954)</f>
        <v>2.9</v>
      </c>
      <c r="G947" s="322">
        <f t="shared" si="130"/>
        <v>90</v>
      </c>
      <c r="H947" s="351">
        <f t="shared" si="130"/>
        <v>3.2</v>
      </c>
      <c r="I947" s="317">
        <f t="shared" si="130"/>
        <v>3.2</v>
      </c>
      <c r="J947" s="416">
        <f t="shared" si="130"/>
        <v>3.6</v>
      </c>
      <c r="K947" s="71"/>
      <c r="L947" s="676" t="s">
        <v>411</v>
      </c>
      <c r="M947" s="85"/>
      <c r="N947" s="609" t="s">
        <v>282</v>
      </c>
      <c r="O947" s="59"/>
      <c r="P947" s="921">
        <f>LEN(O946)</f>
        <v>0</v>
      </c>
      <c r="Q947" s="2"/>
      <c r="R947" s="2"/>
      <c r="S947" s="2"/>
      <c r="T947" s="2"/>
      <c r="U947" s="2"/>
      <c r="V947" s="2"/>
      <c r="W947" s="31"/>
      <c r="X947" s="664" t="s">
        <v>411</v>
      </c>
    </row>
    <row r="948" spans="1:34" ht="11.25" customHeight="1">
      <c r="A948" s="611">
        <v>24</v>
      </c>
      <c r="B948" s="127"/>
      <c r="C948" s="408"/>
      <c r="D948" s="99"/>
      <c r="E948" s="132" t="str">
        <f>"Desired HVL at meas. "&amp;IF(avgkvp="TBD",avgkvp,ROUND(avgkvp,1))&amp;" kVp:"</f>
        <v>Desired HVL at meas. 80 kVp:</v>
      </c>
      <c r="F948" s="418">
        <f>IF(avgkvp="TBD",avgkvp,$S$955)</f>
        <v>2.9</v>
      </c>
      <c r="G948" s="322">
        <f t="shared" si="130"/>
        <v>100</v>
      </c>
      <c r="H948" s="351">
        <f t="shared" si="130"/>
        <v>3.6</v>
      </c>
      <c r="I948" s="317">
        <f t="shared" si="130"/>
        <v>3.6</v>
      </c>
      <c r="J948" s="416">
        <f t="shared" si="130"/>
        <v>4</v>
      </c>
      <c r="K948" s="71"/>
      <c r="L948" s="676" t="s">
        <v>411</v>
      </c>
      <c r="M948" s="45"/>
      <c r="N948" s="1024" t="s">
        <v>619</v>
      </c>
      <c r="O948" s="1026"/>
      <c r="P948" s="2"/>
      <c r="Q948" s="2"/>
      <c r="R948" s="2"/>
      <c r="S948" s="2"/>
      <c r="T948" s="2"/>
      <c r="U948" s="2"/>
      <c r="V948" s="2"/>
      <c r="W948" s="31"/>
      <c r="X948" s="664" t="s">
        <v>411</v>
      </c>
    </row>
    <row r="949" spans="1:34" ht="11.25" customHeight="1" thickBot="1">
      <c r="A949" s="611">
        <v>25</v>
      </c>
      <c r="B949" s="127"/>
      <c r="C949" s="409"/>
      <c r="D949" s="515"/>
      <c r="E949" s="516" t="str">
        <f>"Max. acceptable HVL at "&amp;IF(avgkvp="TBD",avgkvp,ROUND(avgkvp,1))&amp;" kvp:"</f>
        <v>Max. acceptable HVL at 80 kvp:</v>
      </c>
      <c r="F949" s="517">
        <f>IF(avgkvp="TBD",avgkvp,$S$956)</f>
        <v>3.25</v>
      </c>
      <c r="G949" s="322">
        <f t="shared" si="130"/>
        <v>110</v>
      </c>
      <c r="H949" s="351">
        <f t="shared" si="130"/>
        <v>3.9</v>
      </c>
      <c r="I949" s="317">
        <f t="shared" si="130"/>
        <v>3.9</v>
      </c>
      <c r="J949" s="416">
        <f t="shared" si="130"/>
        <v>4.3</v>
      </c>
      <c r="K949" s="71"/>
      <c r="L949" s="676" t="s">
        <v>411</v>
      </c>
      <c r="M949" s="288" t="s">
        <v>187</v>
      </c>
      <c r="N949" s="1"/>
      <c r="O949" s="1"/>
      <c r="P949" s="1"/>
      <c r="Q949" s="1" t="str">
        <f>IF(AND(U930="",T934&lt;&gt;""),"Meas.",IF(MAXAVG="","Set",MAXAVG))</f>
        <v>Avg kV</v>
      </c>
      <c r="R949" s="1"/>
      <c r="S949" s="3"/>
      <c r="T949" s="1"/>
      <c r="V949" s="1"/>
      <c r="W949" s="39"/>
      <c r="X949" s="664" t="s">
        <v>411</v>
      </c>
      <c r="Z949" s="3"/>
      <c r="AA949" s="434" t="s">
        <v>6</v>
      </c>
      <c r="AB949" s="53"/>
      <c r="AC949" s="1"/>
      <c r="AD949" s="1"/>
      <c r="AE949" s="556"/>
      <c r="AF949" s="558" t="s">
        <v>1177</v>
      </c>
      <c r="AG949" s="559"/>
    </row>
    <row r="950" spans="1:34" ht="11.25" customHeight="1" thickBot="1">
      <c r="A950" s="611">
        <v>26</v>
      </c>
      <c r="B950" s="127"/>
      <c r="C950" s="49"/>
      <c r="D950" s="54"/>
      <c r="E950" s="49"/>
      <c r="F950" s="49"/>
      <c r="G950" s="322">
        <f t="shared" si="130"/>
        <v>120</v>
      </c>
      <c r="H950" s="351">
        <f t="shared" si="130"/>
        <v>4.25</v>
      </c>
      <c r="I950" s="317">
        <f t="shared" si="130"/>
        <v>4.25</v>
      </c>
      <c r="J950" s="416">
        <f t="shared" si="130"/>
        <v>4.6500000000000004</v>
      </c>
      <c r="K950" s="71"/>
      <c r="L950" s="676" t="s">
        <v>411</v>
      </c>
      <c r="M950" s="7" t="s">
        <v>188</v>
      </c>
      <c r="N950" s="5" t="s">
        <v>189</v>
      </c>
      <c r="O950" s="5" t="s">
        <v>191</v>
      </c>
      <c r="P950" s="5" t="s">
        <v>192</v>
      </c>
      <c r="Q950" s="5" t="s">
        <v>465</v>
      </c>
      <c r="R950" s="1"/>
      <c r="S950" s="5" t="str">
        <f>"HVL @"&amp;ROUND(avgkvp,2)&amp;" kVp ("&amp;IF(AND(U930="",T934&lt;&gt;""),"Meas.",IF(MAXAVG="","Set",MAXAVG))&amp;")"</f>
        <v>HVL @80 kVp (Avg kV)</v>
      </c>
      <c r="T950" s="1"/>
      <c r="U950" s="437" t="str">
        <f>"Criteria:  "&amp;IF(M927=1,"SC DES STANDARD","MUSC STANDARD")</f>
        <v>Criteria:  SC DES STANDARD</v>
      </c>
      <c r="W950" s="71"/>
      <c r="X950" s="664" t="s">
        <v>411</v>
      </c>
      <c r="Z950" s="1"/>
      <c r="AA950" s="318" t="s">
        <v>570</v>
      </c>
      <c r="AD950" s="1"/>
      <c r="AF950" s="560" t="s">
        <v>570</v>
      </c>
    </row>
    <row r="951" spans="1:34" ht="11.25" customHeight="1" thickTop="1" thickBot="1">
      <c r="A951" s="611">
        <v>27</v>
      </c>
      <c r="B951" s="127"/>
      <c r="G951" s="322">
        <f t="shared" si="130"/>
        <v>130</v>
      </c>
      <c r="H951" s="351">
        <f t="shared" si="130"/>
        <v>4.7</v>
      </c>
      <c r="I951" s="317">
        <f t="shared" si="130"/>
        <v>4.7</v>
      </c>
      <c r="J951" s="416">
        <f t="shared" si="130"/>
        <v>5.1000000000000005</v>
      </c>
      <c r="K951" s="71"/>
      <c r="L951" s="676" t="s">
        <v>411</v>
      </c>
      <c r="M951" s="46">
        <f>M934</f>
        <v>0</v>
      </c>
      <c r="N951" s="14" t="str">
        <f>IF(MIN(W934:W935)=0,"",AVERAGE(W934:W935))</f>
        <v/>
      </c>
      <c r="O951" s="14" t="str">
        <f>IF(EXP_0="","",ABS(EXP_0-EXP_0/2))</f>
        <v/>
      </c>
      <c r="P951" s="15" t="str">
        <f>IF(OR(EXP_0="",EXP_1=""),"",IF(ABS(EXP_0-EXP_0/2)=SMALL(DHALF,1),ALUM_0,IF(ABS(EXP_1-EXP_0/2)=SMALL(DHALF,1),ALUM_1,IF(ABS(EXP_2-EXP_0/2)=SMALL(DHALF,1),ALUM_2,IF(ABS(EXP_3-EXP_0/2)=SMALL(DHALF,1),ALUM_3,IF(ABS(EXP_4-EXP_0/2)=SMALL(DHALF,1),ALUM_4,IF(ABS(EXP_5-EXP_0/2)=SMALL(DHALF,1),ALUM_5,"")))))))</f>
        <v/>
      </c>
      <c r="Q951" s="16">
        <f>IF(AND(Q934="",T934=""),"TBD",IF(AND(U934&lt;&gt;"",MAXAVG="Avg kV"),AVERAGE(U934:U935),IF(AND(T934&lt;&gt;"",MAXAVG="Max kV"),AVERAGE(T934:T935),IF(T934&lt;&gt;"",AVERAGE(T934:T935),Q934))))</f>
        <v>80</v>
      </c>
      <c r="R951" s="1"/>
      <c r="S951" s="778" t="e">
        <f>IF(OR(MIN(ALUMLOW:ALUMHIGH)=0,MIN(EXPLOW:EXPHIGH)=0),AVERAGE(Sheet1!L5:L9),TREND(ALUM,LN_EXP,LN(EXP_0/2)))</f>
        <v>#DIV/0!</v>
      </c>
      <c r="T951" s="1"/>
      <c r="U951" s="314" t="s">
        <v>181</v>
      </c>
      <c r="V951" s="314" t="s">
        <v>182</v>
      </c>
      <c r="W951" s="319" t="s">
        <v>183</v>
      </c>
      <c r="X951" s="664" t="s">
        <v>411</v>
      </c>
      <c r="Z951" s="1"/>
      <c r="AA951" s="314" t="s">
        <v>181</v>
      </c>
      <c r="AB951" s="314" t="s">
        <v>182</v>
      </c>
      <c r="AC951" s="414" t="s">
        <v>183</v>
      </c>
      <c r="AD951" s="1"/>
      <c r="AF951" s="561" t="s">
        <v>181</v>
      </c>
      <c r="AG951" s="561" t="s">
        <v>182</v>
      </c>
      <c r="AH951" s="562" t="s">
        <v>183</v>
      </c>
    </row>
    <row r="952" spans="1:34" ht="11.25" customHeight="1" thickTop="1" thickBot="1">
      <c r="A952" s="611">
        <v>28</v>
      </c>
      <c r="B952" s="102" t="s">
        <v>552</v>
      </c>
      <c r="C952" s="922" t="str">
        <f>IF(O946="","",IF(LEN(O946)&lt;=135,O946,IF(LEN(O946)&lt;=260,LEFT(O946,SEARCH(" ",O946,125)),LEFT(O946,SEARCH(" ",O946,130)))))</f>
        <v/>
      </c>
      <c r="D952" s="2"/>
      <c r="E952" s="2"/>
      <c r="F952" s="2"/>
      <c r="G952" s="2"/>
      <c r="H952" s="2"/>
      <c r="I952" s="2"/>
      <c r="J952" s="2"/>
      <c r="K952" s="71"/>
      <c r="L952" s="676" t="s">
        <v>411</v>
      </c>
      <c r="M952" s="46" t="str">
        <f>IF(M936="","",M936)</f>
        <v/>
      </c>
      <c r="N952" s="14" t="str">
        <f>IF(MIN(W936:W937)=0,"",AVERAGE(W936:W937))</f>
        <v/>
      </c>
      <c r="O952" s="14" t="str">
        <f>IF(EXP_1="","",ABS(EXP_1-EXP_0/2))</f>
        <v/>
      </c>
      <c r="P952" s="14" t="str">
        <f>IF(OR(EXP_0="",EXP_1=""),"",IF(ABS(EXP_0-EXP_0/2)=SMALL(DHALF,2),ALUM_0,IF(ABS(EXP_1-EXP_0/2)=SMALL(DHALF,2),ALUM_1,IF(ABS(EXP_2-EXP_0/2)=SMALL(DHALF,2),ALUM_2,IF(ABS(EXP_3-EXP_0/2)=SMALL(DHALF,2),ALUM_3,IF(ABS(EXP_4-EXP_0/2)=SMALL(DHALF,2),ALUM_4,IF(ABS(EXP_5-EXP_0/2)=SMALL(DHALF,2),ALUM_5,"")))))))</f>
        <v/>
      </c>
      <c r="Q952" s="18"/>
      <c r="R952" s="1"/>
      <c r="S952" s="1"/>
      <c r="T952" s="320" t="s">
        <v>465</v>
      </c>
      <c r="U952" s="316" t="s">
        <v>185</v>
      </c>
      <c r="V952" s="316" t="s">
        <v>185</v>
      </c>
      <c r="W952" s="321" t="s">
        <v>185</v>
      </c>
      <c r="X952" s="664" t="s">
        <v>411</v>
      </c>
      <c r="Z952" s="320" t="s">
        <v>465</v>
      </c>
      <c r="AA952" s="316" t="s">
        <v>185</v>
      </c>
      <c r="AB952" s="316" t="s">
        <v>185</v>
      </c>
      <c r="AC952" s="548" t="s">
        <v>185</v>
      </c>
      <c r="AD952" s="1"/>
      <c r="AE952" s="563" t="s">
        <v>465</v>
      </c>
      <c r="AF952" s="564" t="s">
        <v>185</v>
      </c>
      <c r="AG952" s="564" t="s">
        <v>185</v>
      </c>
      <c r="AH952" s="565" t="s">
        <v>185</v>
      </c>
    </row>
    <row r="953" spans="1:34" ht="11.25" customHeight="1">
      <c r="A953" s="611">
        <v>29</v>
      </c>
      <c r="B953" s="45"/>
      <c r="C953" s="923" t="str">
        <f>IF(LEN(O946)&lt;=135,"",IF(LEN(O946)&lt;=260,RIGHT(O946,LEN(O946)-SEARCH(" ",O946,125)),MID(O946,SEARCH(" ",O946,130),IF(LEN(O946)&lt;=265,LEN(O946),SEARCH(" ",O946,255)-SEARCH(" ",O946,130)))))</f>
        <v/>
      </c>
      <c r="D953" s="2"/>
      <c r="E953" s="2"/>
      <c r="F953" s="2"/>
      <c r="G953" s="2"/>
      <c r="H953" s="2"/>
      <c r="I953" s="2"/>
      <c r="J953" s="2"/>
      <c r="K953" s="71"/>
      <c r="L953" s="676" t="s">
        <v>411</v>
      </c>
      <c r="M953" s="46" t="str">
        <f>IF(M938="","",M938)</f>
        <v/>
      </c>
      <c r="N953" s="14" t="str">
        <f>IF(MIN(W938:W939)=0,"",AVERAGE(W938:W939))</f>
        <v/>
      </c>
      <c r="O953" s="14" t="str">
        <f>IF(EXP_2="","",ABS(EXP_2-EXP_0/2))</f>
        <v/>
      </c>
      <c r="P953" s="1"/>
      <c r="Q953" s="1"/>
      <c r="R953" s="465" t="s">
        <v>193</v>
      </c>
      <c r="S953" s="410"/>
      <c r="T953" s="322">
        <f t="shared" ref="T953:W954" si="131">IF($M$927=1,AE957,Z953)</f>
        <v>60</v>
      </c>
      <c r="U953" s="351">
        <f t="shared" si="131"/>
        <v>1.5</v>
      </c>
      <c r="V953" s="317">
        <f t="shared" si="131"/>
        <v>1.5</v>
      </c>
      <c r="W953" s="323">
        <f t="shared" si="131"/>
        <v>1.9</v>
      </c>
      <c r="X953" s="664" t="s">
        <v>411</v>
      </c>
      <c r="Z953" s="322">
        <v>60</v>
      </c>
      <c r="AA953" s="435">
        <v>2.1854545454545447</v>
      </c>
      <c r="AB953" s="317">
        <v>1.5</v>
      </c>
      <c r="AC953" s="416">
        <f t="shared" ref="AC953:AC960" si="132">MAX(TRUNC(TREND($AA$953:$AA$960,$Z$953:$Z$960,1.1*Z953),1),ROUND(TREND($AA$953:$AA$960,$Z$953:$Z$960,1.1*Z953),1))</f>
        <v>2.4</v>
      </c>
      <c r="AD953" s="1"/>
      <c r="AE953" s="566">
        <v>30</v>
      </c>
      <c r="AF953" s="567">
        <v>0.3</v>
      </c>
      <c r="AG953" s="567">
        <v>0.3</v>
      </c>
      <c r="AH953" s="568">
        <f t="shared" ref="AH953:AH955" si="133">AG953+0.4</f>
        <v>0.7</v>
      </c>
    </row>
    <row r="954" spans="1:34" ht="11.25" customHeight="1" thickBot="1">
      <c r="A954" s="611">
        <v>30</v>
      </c>
      <c r="B954" s="45"/>
      <c r="C954" s="922" t="str">
        <f>IF(LEN(O946)&lt;=265,"",RIGHT(O946,LEN(O946)-SEARCH(" ",O946,255)))</f>
        <v/>
      </c>
      <c r="D954" s="2"/>
      <c r="E954" s="2"/>
      <c r="F954" s="2"/>
      <c r="G954" s="2"/>
      <c r="H954" s="2"/>
      <c r="I954" s="2"/>
      <c r="J954" s="2"/>
      <c r="K954" s="71"/>
      <c r="L954" s="676" t="s">
        <v>411</v>
      </c>
      <c r="M954" s="46" t="str">
        <f>IF(M940="","",M940)</f>
        <v/>
      </c>
      <c r="N954" s="14" t="str">
        <f>IF(MIN(W940:W941)=0,"",AVERAGE(W940:W941))</f>
        <v/>
      </c>
      <c r="O954" s="14" t="str">
        <f>IF(EXP_3="","",ABS(EXP_3-EXP_0/2))</f>
        <v/>
      </c>
      <c r="P954" s="5" t="s">
        <v>194</v>
      </c>
      <c r="Q954" s="5" t="s">
        <v>195</v>
      </c>
      <c r="R954" s="411" t="s">
        <v>196</v>
      </c>
      <c r="S954" s="271" cm="1">
        <f t="array" ref="S954">IF(avgkvp&lt;=70,ROUND(TREND(AF956:AF958,AE956:AE958,avgkvp,FALSE),1),ROUND(TREND(AF959:AF967,AE959:AE967,avgkvp,FALSE),1))</f>
        <v>2.9</v>
      </c>
      <c r="T954" s="322">
        <f t="shared" si="131"/>
        <v>70</v>
      </c>
      <c r="U954" s="351">
        <f t="shared" si="131"/>
        <v>1.8</v>
      </c>
      <c r="V954" s="317">
        <f t="shared" si="131"/>
        <v>1.8</v>
      </c>
      <c r="W954" s="323">
        <f t="shared" si="131"/>
        <v>2.2000000000000002</v>
      </c>
      <c r="X954" s="664" t="s">
        <v>411</v>
      </c>
      <c r="Z954" s="322">
        <v>70</v>
      </c>
      <c r="AA954" s="435">
        <v>2.6109090909090904</v>
      </c>
      <c r="AB954" s="317">
        <v>1.8</v>
      </c>
      <c r="AC954" s="416">
        <f t="shared" si="132"/>
        <v>2.9</v>
      </c>
      <c r="AE954" s="566">
        <v>40</v>
      </c>
      <c r="AF954" s="567">
        <v>0.4</v>
      </c>
      <c r="AG954" s="567">
        <v>0.4</v>
      </c>
      <c r="AH954" s="568">
        <f t="shared" si="133"/>
        <v>0.8</v>
      </c>
    </row>
    <row r="955" spans="1:34" ht="11.25" customHeight="1" thickBot="1">
      <c r="A955" s="611">
        <v>31</v>
      </c>
      <c r="B955" s="127"/>
      <c r="K955" s="71"/>
      <c r="L955" s="676" t="s">
        <v>411</v>
      </c>
      <c r="M955" s="46" t="str">
        <f>IF(M942="","",M942)</f>
        <v/>
      </c>
      <c r="N955" s="14" t="str">
        <f>IF(MIN(W942:W943)=0,"",AVERAGE(W942:W943))</f>
        <v/>
      </c>
      <c r="O955" s="14" t="str">
        <f>IF(EXP_4="","",ABS(EXP_4-EXP_0/2))</f>
        <v/>
      </c>
      <c r="P955" s="15" t="str">
        <f>IF(OR(EXP_0="",EXP_1=""),"",IF(ALUM_0=ALUMLOW,EXP_0,IF(ALUM_1=ALUMLOW,EXP_1,IF(ALUM_2=ALUMLOW,EXP_2,IF(ALUM_3=ALUMLOW,EXP_3,IF(ALUM_4=ALUMLOW,EXP_4,IF(ALUM_5=ALUMLOW,EXP_5,"")))))))</f>
        <v/>
      </c>
      <c r="Q955" s="19" t="str">
        <f>IF(EXPLOW="","",LN(EXPLOW))</f>
        <v/>
      </c>
      <c r="R955" s="466" t="s">
        <v>197</v>
      </c>
      <c r="S955" s="418" cm="1">
        <f t="array" ref="S955">IF(avgkvp&lt;=70,ROUND(TREND(AF956:AF958,AE956:AE958,avgkvp,FALSE),1),ROUND(TREND(AF959:AF967,AE959:AE967,avgkvp,FALSE),1))</f>
        <v>2.9</v>
      </c>
      <c r="T955" s="322">
        <f>IF($M$927=1,AE960,Z955)</f>
        <v>80</v>
      </c>
      <c r="U955" s="351">
        <f>IF($M$927=1,AF960,AA955)</f>
        <v>2.9</v>
      </c>
      <c r="V955" s="317">
        <f>IF($M$927=1,AG960,AB955)</f>
        <v>2.9</v>
      </c>
      <c r="W955" s="323">
        <f>IF($M$927=1,AH960,AC955)</f>
        <v>3.3</v>
      </c>
      <c r="X955" s="664" t="s">
        <v>411</v>
      </c>
      <c r="Z955" s="322">
        <v>80</v>
      </c>
      <c r="AA955" s="435">
        <v>3.0363636363636357</v>
      </c>
      <c r="AB955" s="317">
        <v>2.9</v>
      </c>
      <c r="AC955" s="416">
        <f t="shared" si="132"/>
        <v>3.4</v>
      </c>
      <c r="AD955" s="1"/>
      <c r="AE955" s="569">
        <v>50</v>
      </c>
      <c r="AF955" s="570">
        <v>0.5</v>
      </c>
      <c r="AG955" s="570">
        <v>0.5</v>
      </c>
      <c r="AH955" s="571">
        <f t="shared" si="133"/>
        <v>0.9</v>
      </c>
    </row>
    <row r="956" spans="1:34" ht="11.25" customHeight="1" thickBot="1">
      <c r="A956" s="611">
        <v>32</v>
      </c>
      <c r="B956" s="127"/>
      <c r="K956" s="71"/>
      <c r="L956" s="676" t="s">
        <v>411</v>
      </c>
      <c r="M956" s="46" t="str">
        <f>IF(M944="","",M944)</f>
        <v/>
      </c>
      <c r="N956" s="14" t="str">
        <f>IF(MIN(W944:W945)=0,"",AVERAGE(W944:W945))</f>
        <v/>
      </c>
      <c r="O956" s="14" t="str">
        <f>IF(EXP_5="","",ABS(EXP_5-EXP_0/2))</f>
        <v/>
      </c>
      <c r="P956" s="14" t="str">
        <f>IF(OR(EXP_0="",EXP_1=""),"",IF(ALUM_0=ALUMHIGH,EXP_0,IF(ALUM_1=ALUMHIGH,EXP_1,IF(ALUM_2=ALUMHIGH,EXP_2,IF(ALUM_3=ALUMHIGH,EXP_3,IF(ALUM_4=ALUMHIGH,EXP_4,IF(ALUM_5=ALUMHIGH,EXP_5,"")))))))</f>
        <v/>
      </c>
      <c r="Q956" s="20" t="str">
        <f>IF(EXPHIGH="","",LN(EXPHIGH))</f>
        <v/>
      </c>
      <c r="R956" s="412" t="s">
        <v>198</v>
      </c>
      <c r="S956" s="203" cm="1">
        <f t="array" ref="S956">IF(avgkvp&lt;=70,ROUND(TREND(AH956:AH958,AE956:AE958,avgkvp),2),ROUND(TREND(AH959:AH967,AE959:AE967,avgkvp),2))</f>
        <v>3.25</v>
      </c>
      <c r="T956" s="322">
        <f t="shared" ref="T956:W956" si="134">IF($M$927=1,AE961,Z956)</f>
        <v>90</v>
      </c>
      <c r="U956" s="351">
        <f t="shared" si="134"/>
        <v>3.2</v>
      </c>
      <c r="V956" s="317">
        <f t="shared" si="134"/>
        <v>3.2</v>
      </c>
      <c r="W956" s="323">
        <f t="shared" si="134"/>
        <v>3.6</v>
      </c>
      <c r="X956" s="664" t="s">
        <v>411</v>
      </c>
      <c r="Z956" s="322">
        <v>90</v>
      </c>
      <c r="AA956" s="435">
        <v>3.4618181818181815</v>
      </c>
      <c r="AB956" s="317">
        <v>3.2</v>
      </c>
      <c r="AC956" s="416">
        <f t="shared" si="132"/>
        <v>3.8</v>
      </c>
      <c r="AD956" s="1"/>
      <c r="AE956" s="566">
        <v>51</v>
      </c>
      <c r="AF956" s="567">
        <v>1.3</v>
      </c>
      <c r="AG956" s="567">
        <v>1.3</v>
      </c>
      <c r="AH956" s="568">
        <f>AG956+0.4</f>
        <v>1.7000000000000002</v>
      </c>
    </row>
    <row r="957" spans="1:34" ht="11.25" customHeight="1" thickBot="1">
      <c r="A957" s="611">
        <v>33</v>
      </c>
      <c r="B957" s="45"/>
      <c r="D957" s="1"/>
      <c r="E957" s="1"/>
      <c r="F957" s="1"/>
      <c r="G957" s="1"/>
      <c r="H957" s="1"/>
      <c r="I957" s="1"/>
      <c r="J957" s="1"/>
      <c r="K957" s="39"/>
      <c r="L957" s="676" t="s">
        <v>411</v>
      </c>
      <c r="M957" s="879" t="e">
        <f>HVL</f>
        <v>#DIV/0!</v>
      </c>
      <c r="N957" s="803" t="e">
        <f>IF(HVL="TBD","TBD",EXP(TREND(LN_EXP,ALUM,M957)))</f>
        <v>#DIV/0!</v>
      </c>
      <c r="O957" s="1"/>
      <c r="P957" s="1"/>
      <c r="Q957" s="1"/>
      <c r="R957" s="1"/>
      <c r="S957" s="1"/>
      <c r="T957" s="322">
        <f t="shared" ref="T957:W957" si="135">IF($M$927=1,AE962,Z957)</f>
        <v>100</v>
      </c>
      <c r="U957" s="351">
        <f t="shared" si="135"/>
        <v>3.6</v>
      </c>
      <c r="V957" s="317">
        <f t="shared" si="135"/>
        <v>3.6</v>
      </c>
      <c r="W957" s="323">
        <f t="shared" si="135"/>
        <v>4</v>
      </c>
      <c r="X957" s="664" t="s">
        <v>411</v>
      </c>
      <c r="Z957" s="322">
        <v>100</v>
      </c>
      <c r="AA957" s="435">
        <v>3.8872727272727272</v>
      </c>
      <c r="AB957" s="317">
        <v>3.6</v>
      </c>
      <c r="AC957" s="416">
        <f t="shared" si="132"/>
        <v>4.3</v>
      </c>
      <c r="AD957" s="1"/>
      <c r="AE957" s="566">
        <v>60</v>
      </c>
      <c r="AF957" s="567">
        <v>1.5</v>
      </c>
      <c r="AG957" s="567">
        <v>1.5</v>
      </c>
      <c r="AH957" s="568">
        <f>AG957+0.4</f>
        <v>1.9</v>
      </c>
    </row>
    <row r="958" spans="1:34" ht="11.25" customHeight="1" thickBot="1">
      <c r="A958" s="611">
        <v>34</v>
      </c>
      <c r="B958" s="34"/>
      <c r="C958" s="289"/>
      <c r="D958" s="289"/>
      <c r="E958" s="289"/>
      <c r="F958" s="455"/>
      <c r="G958" s="83"/>
      <c r="H958" s="289"/>
      <c r="I958" s="289"/>
      <c r="J958" s="289"/>
      <c r="K958" s="290"/>
      <c r="L958" s="676" t="s">
        <v>411</v>
      </c>
      <c r="M958" s="45"/>
      <c r="N958" s="1"/>
      <c r="P958" s="1"/>
      <c r="Q958" s="1"/>
      <c r="R958" s="749" t="s">
        <v>569</v>
      </c>
      <c r="S958" s="740" t="str">
        <f>IF(OR($W$934="",$W$934=0),"TBD",IF(AND(ROUND(HVL,2)&gt;=$S$954,TRUNC(100*HVL)/100&lt;=S956),"YES","NO"))</f>
        <v>TBD</v>
      </c>
      <c r="T958" s="322">
        <f t="shared" ref="T958:W958" si="136">IF($M$927=1,AE963,Z958)</f>
        <v>110</v>
      </c>
      <c r="U958" s="351">
        <f t="shared" si="136"/>
        <v>3.9</v>
      </c>
      <c r="V958" s="317">
        <f t="shared" si="136"/>
        <v>3.9</v>
      </c>
      <c r="W958" s="323">
        <f t="shared" si="136"/>
        <v>4.3</v>
      </c>
      <c r="X958" s="664" t="s">
        <v>411</v>
      </c>
      <c r="Z958" s="322">
        <v>110</v>
      </c>
      <c r="AA958" s="435">
        <v>4.3127272727272734</v>
      </c>
      <c r="AB958" s="317">
        <v>3.9</v>
      </c>
      <c r="AC958" s="416">
        <f t="shared" si="132"/>
        <v>4.8</v>
      </c>
      <c r="AE958" s="569">
        <v>70</v>
      </c>
      <c r="AF958" s="570">
        <v>1.8</v>
      </c>
      <c r="AG958" s="570">
        <v>1.8</v>
      </c>
      <c r="AH958" s="571">
        <f>AG958+0.4</f>
        <v>2.2000000000000002</v>
      </c>
    </row>
    <row r="959" spans="1:34" ht="11.25" customHeight="1" thickTop="1" thickBot="1">
      <c r="A959" s="611">
        <v>35</v>
      </c>
      <c r="L959" s="676" t="s">
        <v>411</v>
      </c>
      <c r="M959" s="45"/>
      <c r="N959" s="1"/>
      <c r="O959" s="1"/>
      <c r="P959" s="1"/>
      <c r="Q959" s="1"/>
      <c r="R959" s="749" t="s">
        <v>1049</v>
      </c>
      <c r="S959" s="740" t="str">
        <f>IF(OR($W$934="",$W$934=0),"TBD",IF(ROUND(HVL,2)&gt;=$S$954,"YES","NO"))</f>
        <v>TBD</v>
      </c>
      <c r="T959" s="322">
        <f t="shared" ref="T959:W959" si="137">IF($M$927=1,AE964,Z959)</f>
        <v>120</v>
      </c>
      <c r="U959" s="351">
        <f t="shared" si="137"/>
        <v>4.25</v>
      </c>
      <c r="V959" s="317">
        <f t="shared" si="137"/>
        <v>4.25</v>
      </c>
      <c r="W959" s="323">
        <f t="shared" si="137"/>
        <v>4.6500000000000004</v>
      </c>
      <c r="X959" s="664" t="s">
        <v>411</v>
      </c>
      <c r="Z959" s="322">
        <v>120</v>
      </c>
      <c r="AA959" s="435">
        <v>4.7381818181818192</v>
      </c>
      <c r="AB959" s="317">
        <v>4.25</v>
      </c>
      <c r="AC959" s="416">
        <f t="shared" si="132"/>
        <v>5.2</v>
      </c>
      <c r="AE959" s="566">
        <v>71</v>
      </c>
      <c r="AF959" s="567">
        <v>2.5</v>
      </c>
      <c r="AG959" s="567">
        <v>2.5</v>
      </c>
      <c r="AH959" s="568">
        <f>AG959+0.4</f>
        <v>2.9</v>
      </c>
    </row>
    <row r="960" spans="1:34" ht="11.25" customHeight="1" thickBot="1">
      <c r="A960" s="611">
        <v>36</v>
      </c>
      <c r="L960" s="676" t="s">
        <v>411</v>
      </c>
      <c r="M960" s="34"/>
      <c r="N960" s="83"/>
      <c r="O960" s="83"/>
      <c r="P960" s="83"/>
      <c r="Q960" s="83"/>
      <c r="R960" s="83"/>
      <c r="S960" s="83"/>
      <c r="T960" s="402">
        <f t="shared" ref="T960:W960" si="138">IF($M$927=1,AE965,Z960)</f>
        <v>130</v>
      </c>
      <c r="U960" s="467">
        <f t="shared" si="138"/>
        <v>4.7</v>
      </c>
      <c r="V960" s="403">
        <f t="shared" si="138"/>
        <v>4.7</v>
      </c>
      <c r="W960" s="404">
        <f t="shared" si="138"/>
        <v>5.1000000000000005</v>
      </c>
      <c r="X960" s="664" t="s">
        <v>411</v>
      </c>
      <c r="Z960" s="322">
        <v>130</v>
      </c>
      <c r="AA960" s="435">
        <v>5.1636363636363649</v>
      </c>
      <c r="AB960" s="317">
        <v>4.7</v>
      </c>
      <c r="AC960" s="416">
        <f t="shared" si="132"/>
        <v>5.7</v>
      </c>
      <c r="AD960" s="1"/>
      <c r="AE960" s="566">
        <v>80</v>
      </c>
      <c r="AF960" s="567">
        <v>2.9</v>
      </c>
      <c r="AG960" s="567">
        <v>2.9</v>
      </c>
      <c r="AH960" s="568">
        <f>AG960+0.4</f>
        <v>3.3</v>
      </c>
    </row>
    <row r="961" spans="1:34" ht="11.25" customHeight="1" thickTop="1">
      <c r="A961" s="611">
        <v>37</v>
      </c>
      <c r="B961" s="1"/>
      <c r="C961" s="1"/>
      <c r="D961" s="1"/>
      <c r="E961" s="1"/>
      <c r="F961" s="1"/>
      <c r="G961" s="1"/>
      <c r="H961" s="1"/>
      <c r="I961" s="1"/>
      <c r="J961" s="1"/>
      <c r="K961" s="1"/>
      <c r="L961" s="676" t="s">
        <v>411</v>
      </c>
      <c r="X961" s="664" t="s">
        <v>411</v>
      </c>
      <c r="AE961" s="566">
        <v>90</v>
      </c>
      <c r="AF961" s="567">
        <v>3.2</v>
      </c>
      <c r="AG961" s="567">
        <v>3.2</v>
      </c>
      <c r="AH961" s="568">
        <f t="shared" ref="AH961:AH967" si="139">AG961+0.4</f>
        <v>3.6</v>
      </c>
    </row>
    <row r="962" spans="1:34" ht="11.25" customHeight="1">
      <c r="A962" s="611">
        <v>38</v>
      </c>
      <c r="L962" s="676" t="s">
        <v>411</v>
      </c>
      <c r="R962" s="712" t="s">
        <v>376</v>
      </c>
      <c r="S962" s="713" t="str">
        <f>IF(OR(AB480=0,AB480=""),"",AB480)</f>
        <v/>
      </c>
      <c r="X962" s="664" t="s">
        <v>411</v>
      </c>
      <c r="AE962" s="566">
        <v>100</v>
      </c>
      <c r="AF962" s="567">
        <v>3.6</v>
      </c>
      <c r="AG962" s="567">
        <v>3.6</v>
      </c>
      <c r="AH962" s="568">
        <f t="shared" si="139"/>
        <v>4</v>
      </c>
    </row>
    <row r="963" spans="1:34" ht="11.25" customHeight="1">
      <c r="A963" s="611">
        <v>39</v>
      </c>
      <c r="L963" s="676" t="s">
        <v>411</v>
      </c>
      <c r="S963" s="727" t="str">
        <f>IF(OR(AB481=0,AB481=""),"",AB481)</f>
        <v/>
      </c>
      <c r="X963" s="664" t="s">
        <v>411</v>
      </c>
      <c r="AE963" s="566">
        <v>110</v>
      </c>
      <c r="AF963" s="567">
        <v>3.9</v>
      </c>
      <c r="AG963" s="567">
        <v>3.9</v>
      </c>
      <c r="AH963" s="568">
        <f t="shared" si="139"/>
        <v>4.3</v>
      </c>
    </row>
    <row r="964" spans="1:34" ht="11.25" customHeight="1">
      <c r="A964" s="611">
        <v>40</v>
      </c>
      <c r="L964" s="676" t="s">
        <v>411</v>
      </c>
      <c r="X964" s="664" t="s">
        <v>411</v>
      </c>
      <c r="AE964" s="566">
        <v>120</v>
      </c>
      <c r="AF964" s="572">
        <f>TREND(AF960:AF963,AE960:AE963,AE964)</f>
        <v>4.25</v>
      </c>
      <c r="AG964" s="567">
        <v>4.25</v>
      </c>
      <c r="AH964" s="568">
        <f t="shared" si="139"/>
        <v>4.6500000000000004</v>
      </c>
    </row>
    <row r="965" spans="1:34" ht="11.25" customHeight="1">
      <c r="A965" s="611">
        <v>41</v>
      </c>
      <c r="L965" s="676" t="s">
        <v>411</v>
      </c>
      <c r="X965" s="664" t="s">
        <v>411</v>
      </c>
      <c r="AE965" s="566">
        <v>130</v>
      </c>
      <c r="AF965" s="567">
        <v>4.7</v>
      </c>
      <c r="AG965" s="567">
        <v>4.7</v>
      </c>
      <c r="AH965" s="568">
        <f t="shared" si="139"/>
        <v>5.1000000000000005</v>
      </c>
    </row>
    <row r="966" spans="1:34" ht="11.25" customHeight="1">
      <c r="A966" s="611">
        <v>42</v>
      </c>
      <c r="L966" s="676" t="s">
        <v>411</v>
      </c>
      <c r="X966" s="664" t="s">
        <v>411</v>
      </c>
      <c r="AE966" s="566">
        <v>140</v>
      </c>
      <c r="AF966" s="572">
        <f>TREND(AF962:AF965,AE962:AE965,AE966)</f>
        <v>5.0249999999999995</v>
      </c>
      <c r="AG966" s="567">
        <v>5.0249999999999995</v>
      </c>
      <c r="AH966" s="568">
        <f t="shared" si="139"/>
        <v>5.4249999999999998</v>
      </c>
    </row>
    <row r="967" spans="1:34" ht="11.25" customHeight="1">
      <c r="A967" s="611">
        <v>43</v>
      </c>
      <c r="L967" s="676" t="s">
        <v>411</v>
      </c>
      <c r="X967" s="664" t="s">
        <v>411</v>
      </c>
      <c r="AE967" s="566">
        <v>150</v>
      </c>
      <c r="AF967" s="567">
        <v>5.4</v>
      </c>
      <c r="AG967" s="567">
        <v>5.4</v>
      </c>
      <c r="AH967" s="568">
        <f t="shared" si="139"/>
        <v>5.8000000000000007</v>
      </c>
    </row>
    <row r="968" spans="1:34" ht="11.25" customHeight="1">
      <c r="A968" s="611">
        <v>44</v>
      </c>
      <c r="L968" s="676" t="s">
        <v>411</v>
      </c>
      <c r="O968" s="457"/>
      <c r="X968" s="664" t="s">
        <v>411</v>
      </c>
    </row>
    <row r="969" spans="1:34" ht="11.25" customHeight="1">
      <c r="A969" s="611">
        <v>45</v>
      </c>
      <c r="L969" s="676" t="s">
        <v>411</v>
      </c>
      <c r="O969" s="457"/>
      <c r="X969" s="664" t="s">
        <v>411</v>
      </c>
    </row>
    <row r="970" spans="1:34" ht="11.25" customHeight="1">
      <c r="A970" s="611">
        <v>46</v>
      </c>
      <c r="L970" s="676" t="s">
        <v>411</v>
      </c>
      <c r="O970" s="457"/>
      <c r="X970" s="664" t="s">
        <v>411</v>
      </c>
    </row>
    <row r="971" spans="1:34" ht="11.25" customHeight="1">
      <c r="A971" s="611">
        <v>47</v>
      </c>
      <c r="L971" s="676" t="s">
        <v>411</v>
      </c>
      <c r="O971" s="457"/>
      <c r="X971" s="664" t="s">
        <v>411</v>
      </c>
    </row>
    <row r="972" spans="1:34" ht="11.25" customHeight="1">
      <c r="A972" s="611">
        <v>48</v>
      </c>
      <c r="L972" s="676" t="s">
        <v>411</v>
      </c>
      <c r="O972" s="457"/>
      <c r="X972" s="664" t="s">
        <v>411</v>
      </c>
    </row>
    <row r="973" spans="1:34" ht="11.25" customHeight="1">
      <c r="A973" s="611">
        <v>49</v>
      </c>
      <c r="L973" s="676" t="s">
        <v>411</v>
      </c>
      <c r="O973" s="457"/>
      <c r="X973" s="664" t="s">
        <v>411</v>
      </c>
    </row>
    <row r="974" spans="1:34" ht="11.25" customHeight="1">
      <c r="A974" s="611">
        <v>50</v>
      </c>
      <c r="L974" s="676" t="s">
        <v>411</v>
      </c>
      <c r="X974" s="664" t="s">
        <v>411</v>
      </c>
    </row>
    <row r="975" spans="1:34" ht="11.25" customHeight="1">
      <c r="A975" s="611">
        <v>51</v>
      </c>
      <c r="L975" s="676" t="s">
        <v>411</v>
      </c>
      <c r="X975" s="664" t="s">
        <v>411</v>
      </c>
    </row>
    <row r="976" spans="1:34" ht="11.25" customHeight="1" thickBot="1">
      <c r="A976" s="611">
        <v>52</v>
      </c>
      <c r="L976" s="676" t="s">
        <v>411</v>
      </c>
      <c r="M976" s="1272" t="str">
        <f>ROUND(I937,1)&amp;" kV"</f>
        <v>80 kV</v>
      </c>
      <c r="N976" s="1272"/>
      <c r="X976" s="664" t="s">
        <v>411</v>
      </c>
    </row>
    <row r="977" spans="1:26" ht="11.25" customHeight="1" thickBot="1">
      <c r="A977" s="611">
        <v>53</v>
      </c>
      <c r="L977" s="676" t="s">
        <v>411</v>
      </c>
      <c r="M977" s="336" t="s">
        <v>188</v>
      </c>
      <c r="N977" s="880" t="s">
        <v>189</v>
      </c>
      <c r="X977" s="664" t="s">
        <v>411</v>
      </c>
      <c r="Y977" s="49"/>
      <c r="Z977" s="49"/>
    </row>
    <row r="978" spans="1:26" ht="11.25" customHeight="1">
      <c r="A978" s="611">
        <v>54</v>
      </c>
      <c r="L978" s="676" t="s">
        <v>411</v>
      </c>
      <c r="M978" s="881" t="e">
        <f>IF(HVL="TBD","TBD",SMALL($M$951:$M$957,2))</f>
        <v>#DIV/0!</v>
      </c>
      <c r="N978" s="882" t="e">
        <f>IF(HVL="TBD","TBD",IF(M978="",NA(),INDEX($N$951:$N$957,MATCH(M978,$M$951:$M$957,0))))</f>
        <v>#DIV/0!</v>
      </c>
      <c r="X978" s="664" t="s">
        <v>411</v>
      </c>
      <c r="Y978" s="49"/>
      <c r="Z978" s="49"/>
    </row>
    <row r="979" spans="1:26" ht="11.25" customHeight="1">
      <c r="A979" s="611">
        <v>55</v>
      </c>
      <c r="L979" s="676" t="s">
        <v>411</v>
      </c>
      <c r="M979" s="883" t="e">
        <f>IF(HVL="TBD","TBD",SMALL($M$951:$M$957,3))</f>
        <v>#DIV/0!</v>
      </c>
      <c r="N979" s="882" t="e">
        <f t="shared" ref="N979:N983" si="140">IF(HVL="TBD","TBD",IF(M979="",NA(),INDEX($N$951:$N$957,MATCH(M979,$M$951:$M$957,0))))</f>
        <v>#DIV/0!</v>
      </c>
      <c r="X979" s="664" t="s">
        <v>411</v>
      </c>
    </row>
    <row r="980" spans="1:26" ht="11.25" customHeight="1">
      <c r="A980" s="611">
        <v>56</v>
      </c>
      <c r="L980" s="676" t="s">
        <v>411</v>
      </c>
      <c r="M980" s="883" t="e">
        <f>IF(HVL="TBD","TBD",SMALL($M$951:$M$957,4))</f>
        <v>#DIV/0!</v>
      </c>
      <c r="N980" s="882" t="e">
        <f t="shared" si="140"/>
        <v>#DIV/0!</v>
      </c>
      <c r="X980" s="664" t="s">
        <v>411</v>
      </c>
    </row>
    <row r="981" spans="1:26" ht="11.25" customHeight="1">
      <c r="A981" s="611">
        <v>57</v>
      </c>
      <c r="L981" s="676" t="s">
        <v>411</v>
      </c>
      <c r="M981" s="883" t="e">
        <f>IF(HVL="TBD","TBD",IF(ALUM_3="",NA(),SMALL($M$951:$M$957,5)))</f>
        <v>#DIV/0!</v>
      </c>
      <c r="N981" s="882" t="e">
        <f t="shared" si="140"/>
        <v>#DIV/0!</v>
      </c>
      <c r="X981" s="664" t="s">
        <v>411</v>
      </c>
    </row>
    <row r="982" spans="1:26" ht="11.25" customHeight="1">
      <c r="A982" s="611">
        <v>58</v>
      </c>
      <c r="L982" s="676" t="s">
        <v>411</v>
      </c>
      <c r="M982" s="883" t="e">
        <f>IF(HVL="TBD","TBD",IF(ALUM_4="",NA(),SMALL($M$951:$M$957,6)))</f>
        <v>#DIV/0!</v>
      </c>
      <c r="N982" s="882" t="e">
        <f t="shared" si="140"/>
        <v>#DIV/0!</v>
      </c>
      <c r="X982" s="664" t="s">
        <v>411</v>
      </c>
    </row>
    <row r="983" spans="1:26" ht="11.25" customHeight="1" thickBot="1">
      <c r="A983" s="611">
        <v>59</v>
      </c>
      <c r="L983" s="676" t="s">
        <v>411</v>
      </c>
      <c r="M983" s="884" t="e">
        <f>IF(HVL="TBD","TBD",IF(ALUM_5="",NA(),SMALL($M$951:$M$957,7)))</f>
        <v>#DIV/0!</v>
      </c>
      <c r="N983" s="885" t="e">
        <f t="shared" si="140"/>
        <v>#DIV/0!</v>
      </c>
      <c r="X983" s="664" t="s">
        <v>411</v>
      </c>
    </row>
    <row r="984" spans="1:26" ht="11.25" customHeight="1">
      <c r="A984" s="611">
        <v>60</v>
      </c>
      <c r="L984" s="676" t="s">
        <v>411</v>
      </c>
      <c r="X984" s="664" t="s">
        <v>411</v>
      </c>
    </row>
    <row r="985" spans="1:26" ht="11.25" customHeight="1">
      <c r="A985" s="611">
        <v>61</v>
      </c>
      <c r="L985" s="676" t="s">
        <v>411</v>
      </c>
      <c r="X985" s="664" t="s">
        <v>411</v>
      </c>
    </row>
    <row r="986" spans="1:26" ht="11.25" customHeight="1">
      <c r="A986" s="611">
        <v>62</v>
      </c>
      <c r="L986" s="676" t="s">
        <v>411</v>
      </c>
      <c r="X986" s="664" t="s">
        <v>411</v>
      </c>
    </row>
    <row r="987" spans="1:26" ht="11.25" customHeight="1">
      <c r="A987" s="611">
        <v>63</v>
      </c>
      <c r="L987" s="676" t="s">
        <v>411</v>
      </c>
      <c r="X987" s="664" t="s">
        <v>411</v>
      </c>
    </row>
    <row r="988" spans="1:26" ht="11.25" customHeight="1">
      <c r="A988" s="611">
        <v>64</v>
      </c>
      <c r="L988" s="676" t="s">
        <v>411</v>
      </c>
      <c r="X988" s="664" t="s">
        <v>411</v>
      </c>
    </row>
    <row r="989" spans="1:26" ht="11.25" customHeight="1">
      <c r="A989" s="611">
        <v>65</v>
      </c>
      <c r="B989" s="52" t="str">
        <f t="array" ref="B989:C990">$B$65:$C$66</f>
        <v>Date:</v>
      </c>
      <c r="C989" s="1133" t="str">
        <v/>
      </c>
      <c r="D989" s="49"/>
      <c r="E989" s="49"/>
      <c r="F989" s="49"/>
      <c r="G989" s="49"/>
      <c r="H989" s="49"/>
      <c r="I989" s="52" t="str">
        <f t="array" ref="I989:J990">$I$65:$J$66</f>
        <v>Inspector:</v>
      </c>
      <c r="J989" s="421" t="str">
        <v>Eugene Mah</v>
      </c>
      <c r="L989" s="676" t="s">
        <v>411</v>
      </c>
      <c r="X989" s="664" t="s">
        <v>411</v>
      </c>
    </row>
    <row r="990" spans="1:26" ht="11.25" customHeight="1">
      <c r="A990" s="611">
        <v>66</v>
      </c>
      <c r="B990" s="52" t="str">
        <v>Room Number:</v>
      </c>
      <c r="C990" s="373" t="str">
        <v/>
      </c>
      <c r="D990" s="49"/>
      <c r="E990" s="49"/>
      <c r="F990" s="49"/>
      <c r="G990" s="49"/>
      <c r="H990" s="49"/>
      <c r="I990" s="52" t="str">
        <v>Survey ID:</v>
      </c>
      <c r="J990" s="1045" t="str">
        <v/>
      </c>
      <c r="L990" s="676" t="s">
        <v>411</v>
      </c>
      <c r="P990" s="1004"/>
      <c r="X990" s="664" t="s">
        <v>411</v>
      </c>
    </row>
    <row r="991" spans="1:26" ht="11.25" customHeight="1">
      <c r="A991" s="611">
        <v>1</v>
      </c>
      <c r="B991" s="1"/>
      <c r="C991" s="1"/>
      <c r="D991" s="1"/>
      <c r="E991" s="1"/>
      <c r="H991" s="1"/>
      <c r="I991" s="1"/>
      <c r="J991" s="1"/>
      <c r="K991" s="131" t="str">
        <f>$F$2</f>
        <v>Medical University of South Carolina</v>
      </c>
      <c r="L991" s="676" t="s">
        <v>411</v>
      </c>
      <c r="M991" s="1"/>
      <c r="N991" s="1"/>
      <c r="O991" s="1"/>
      <c r="P991" s="804"/>
      <c r="Q991" s="1"/>
      <c r="S991" s="1"/>
      <c r="T991" s="1"/>
      <c r="U991" s="1"/>
      <c r="V991" s="1"/>
      <c r="W991" s="131" t="str">
        <f>$F$2</f>
        <v>Medical University of South Carolina</v>
      </c>
      <c r="X991" s="664" t="s">
        <v>411</v>
      </c>
    </row>
    <row r="992" spans="1:26" ht="11.25" customHeight="1">
      <c r="A992" s="611">
        <v>2</v>
      </c>
      <c r="F992" s="82" t="str">
        <f>$F$464</f>
        <v>Measurement Data</v>
      </c>
      <c r="K992" s="132" t="str">
        <f>$F$5</f>
        <v>Radiographic System Compliance Inspection</v>
      </c>
      <c r="L992" s="676" t="s">
        <v>411</v>
      </c>
      <c r="Q992" s="82" t="str">
        <f>$F$464</f>
        <v>Measurement Data</v>
      </c>
      <c r="W992" s="132" t="str">
        <f>$F$5</f>
        <v>Radiographic System Compliance Inspection</v>
      </c>
      <c r="X992" s="664" t="s">
        <v>411</v>
      </c>
    </row>
    <row r="993" spans="1:27" ht="11.25" customHeight="1" thickBot="1">
      <c r="A993" s="611">
        <v>3</v>
      </c>
      <c r="L993" s="676" t="s">
        <v>411</v>
      </c>
      <c r="X993" s="664" t="s">
        <v>411</v>
      </c>
    </row>
    <row r="994" spans="1:27" ht="11.25" customHeight="1">
      <c r="A994" s="611">
        <v>4</v>
      </c>
      <c r="B994" s="344"/>
      <c r="C994" s="345"/>
      <c r="D994" s="345"/>
      <c r="E994" s="345"/>
      <c r="F994" s="345"/>
      <c r="G994" s="345"/>
      <c r="H994" s="345"/>
      <c r="I994" s="345"/>
      <c r="J994" s="345"/>
      <c r="K994" s="346"/>
      <c r="L994" s="676" t="s">
        <v>411</v>
      </c>
      <c r="M994" s="344"/>
      <c r="N994" s="345"/>
      <c r="O994" s="345"/>
      <c r="P994" s="345"/>
      <c r="Q994" s="345"/>
      <c r="R994" s="345"/>
      <c r="S994" s="345"/>
      <c r="T994" s="345"/>
      <c r="U994" s="345"/>
      <c r="V994" s="345"/>
      <c r="W994" s="346"/>
      <c r="X994" s="664" t="s">
        <v>411</v>
      </c>
    </row>
    <row r="995" spans="1:27" ht="11.25" customHeight="1">
      <c r="A995" s="611">
        <v>5</v>
      </c>
      <c r="B995" s="347"/>
      <c r="F995" s="82" t="str">
        <f>IF(R995="","",R995)</f>
        <v>PHOTOTIMING</v>
      </c>
      <c r="K995" s="348"/>
      <c r="L995" s="676" t="s">
        <v>411</v>
      </c>
      <c r="M995" s="347"/>
      <c r="R995" s="82" t="s">
        <v>199</v>
      </c>
      <c r="W995" s="348"/>
      <c r="X995" s="664" t="s">
        <v>411</v>
      </c>
    </row>
    <row r="996" spans="1:27" ht="11.25" customHeight="1" thickBot="1">
      <c r="A996" s="611">
        <v>6</v>
      </c>
      <c r="B996" s="453"/>
      <c r="C996" s="349"/>
      <c r="D996" s="349"/>
      <c r="E996" s="349"/>
      <c r="F996" s="349"/>
      <c r="G996" s="349"/>
      <c r="H996" s="349"/>
      <c r="I996" s="349"/>
      <c r="J996" s="349"/>
      <c r="K996" s="350"/>
      <c r="L996" s="676" t="s">
        <v>411</v>
      </c>
      <c r="M996" s="206"/>
      <c r="N996" s="349"/>
      <c r="O996" s="349"/>
      <c r="P996" s="349"/>
      <c r="Q996" s="349"/>
      <c r="R996" s="349"/>
      <c r="S996" s="349"/>
      <c r="T996" s="349"/>
      <c r="U996" s="349"/>
      <c r="V996" s="349"/>
      <c r="W996" s="350"/>
      <c r="X996" s="664" t="s">
        <v>411</v>
      </c>
    </row>
    <row r="997" spans="1:27" ht="11.25" customHeight="1" thickBot="1">
      <c r="A997" s="611">
        <v>7</v>
      </c>
      <c r="L997" s="676" t="s">
        <v>411</v>
      </c>
      <c r="Q997" s="190"/>
      <c r="X997" s="664" t="s">
        <v>411</v>
      </c>
    </row>
    <row r="998" spans="1:27" ht="11.25" customHeight="1" thickTop="1" thickBot="1">
      <c r="A998" s="611">
        <v>8</v>
      </c>
      <c r="B998" s="79"/>
      <c r="C998" s="62"/>
      <c r="D998" s="62"/>
      <c r="E998" s="62"/>
      <c r="F998" s="62"/>
      <c r="G998" s="62"/>
      <c r="H998" s="62"/>
      <c r="I998" s="62"/>
      <c r="J998" s="62"/>
      <c r="K998" s="80"/>
      <c r="L998" s="676" t="s">
        <v>411</v>
      </c>
      <c r="M998" s="79"/>
      <c r="N998" s="62"/>
      <c r="O998" s="62"/>
      <c r="P998" s="62"/>
      <c r="Q998" s="62"/>
      <c r="R998" s="62"/>
      <c r="S998" s="62"/>
      <c r="T998" s="62"/>
      <c r="U998" s="62"/>
      <c r="V998" s="62"/>
      <c r="W998" s="80"/>
      <c r="X998" s="664" t="s">
        <v>411</v>
      </c>
    </row>
    <row r="999" spans="1:27" ht="11.25" customHeight="1" thickBot="1">
      <c r="A999" s="611">
        <v>9</v>
      </c>
      <c r="B999" s="45"/>
      <c r="C999" s="1"/>
      <c r="D999" s="1"/>
      <c r="E999" s="1"/>
      <c r="F999" s="190" t="s">
        <v>200</v>
      </c>
      <c r="H999" s="1"/>
      <c r="I999" s="1"/>
      <c r="J999" s="1"/>
      <c r="K999" s="39"/>
      <c r="L999" s="676" t="s">
        <v>411</v>
      </c>
      <c r="M999" s="212" t="s">
        <v>201</v>
      </c>
      <c r="Q999" s="642" t="s">
        <v>190</v>
      </c>
      <c r="R999" s="1"/>
      <c r="S999" s="3"/>
      <c r="W999" s="71"/>
      <c r="X999" s="664" t="s">
        <v>411</v>
      </c>
    </row>
    <row r="1000" spans="1:27" ht="11.25" customHeight="1" thickBot="1">
      <c r="A1000" s="611">
        <v>10</v>
      </c>
      <c r="B1000" s="127"/>
      <c r="K1000" s="71"/>
      <c r="L1000" s="676" t="s">
        <v>411</v>
      </c>
      <c r="M1000" s="894" t="s">
        <v>632</v>
      </c>
      <c r="N1000" s="895"/>
      <c r="O1000" s="1"/>
      <c r="P1000" s="1"/>
      <c r="Q1000" s="642" t="s">
        <v>575</v>
      </c>
      <c r="R1000" s="1"/>
      <c r="S1000" s="3"/>
      <c r="T1000" s="1"/>
      <c r="U1000" s="1"/>
      <c r="V1000" s="1"/>
      <c r="W1000" s="39"/>
      <c r="X1000" s="664" t="s">
        <v>411</v>
      </c>
    </row>
    <row r="1001" spans="1:27" ht="11.25" customHeight="1" thickBot="1">
      <c r="A1001" s="611">
        <v>11</v>
      </c>
      <c r="B1001" s="127"/>
      <c r="K1001" s="71"/>
      <c r="L1001" s="676" t="s">
        <v>411</v>
      </c>
      <c r="M1001" s="898"/>
      <c r="N1001" s="889"/>
      <c r="Q1001" s="1083"/>
      <c r="R1001" s="50" t="s">
        <v>1051</v>
      </c>
      <c r="W1001" s="71"/>
      <c r="X1001" s="664" t="s">
        <v>411</v>
      </c>
    </row>
    <row r="1002" spans="1:27" ht="11.25" customHeight="1" thickBot="1">
      <c r="A1002" s="611">
        <v>12</v>
      </c>
      <c r="B1002" s="908" t="s">
        <v>512</v>
      </c>
      <c r="C1002" s="909" t="s">
        <v>359</v>
      </c>
      <c r="E1002" s="168" t="s">
        <v>203</v>
      </c>
      <c r="F1002" s="206" t="str">
        <f>IF(Meter_OD="","TBD",Meter_OD)</f>
        <v>Meter</v>
      </c>
      <c r="G1002" s="168" t="s">
        <v>204</v>
      </c>
      <c r="H1002" s="169" t="str">
        <f>IF(Time_mAs="","TBD",Time_mAs)</f>
        <v>mAs</v>
      </c>
      <c r="I1002" s="27" t="s">
        <v>204</v>
      </c>
      <c r="J1002" s="1"/>
      <c r="K1002" s="71"/>
      <c r="L1002" s="676" t="s">
        <v>411</v>
      </c>
      <c r="M1002" s="162" t="s">
        <v>512</v>
      </c>
      <c r="N1002" s="168" t="s">
        <v>343</v>
      </c>
      <c r="P1002" s="203" t="s">
        <v>203</v>
      </c>
      <c r="Q1002" s="206" t="str">
        <f>IF(Meter_OD="","TBD",Meter_OD)</f>
        <v>Meter</v>
      </c>
      <c r="R1002" s="168" t="s">
        <v>204</v>
      </c>
      <c r="S1002" s="169" t="str">
        <f>IF(Time_mAs="","TBD",Time_mAs)</f>
        <v>mAs</v>
      </c>
      <c r="T1002" s="27" t="s">
        <v>204</v>
      </c>
      <c r="U1002" s="27" t="s">
        <v>205</v>
      </c>
      <c r="V1002" s="27" t="s">
        <v>206</v>
      </c>
      <c r="W1002" s="39"/>
      <c r="X1002" s="664" t="s">
        <v>411</v>
      </c>
      <c r="Y1002" s="457"/>
      <c r="Z1002" s="457"/>
      <c r="AA1002" s="457"/>
    </row>
    <row r="1003" spans="1:27" ht="11.25" customHeight="1" thickBot="1">
      <c r="A1003" s="611">
        <v>13</v>
      </c>
      <c r="B1003" s="911" t="str">
        <f>IF(M1003="","",M1003)</f>
        <v/>
      </c>
      <c r="C1003" s="910" t="str">
        <f>IF(N1003="","",N1003)</f>
        <v/>
      </c>
      <c r="E1003" s="330">
        <f>IF(P1003="","",P1003)</f>
        <v>4</v>
      </c>
      <c r="F1003" s="334" t="str">
        <f>IF(Q1003="","",Q1003)</f>
        <v/>
      </c>
      <c r="G1003" s="331" t="str">
        <f t="shared" ref="F1003:I1011" si="141">IF(R1003="","",R1003)</f>
        <v/>
      </c>
      <c r="H1003" s="335" t="str">
        <f t="shared" si="141"/>
        <v/>
      </c>
      <c r="I1003" s="28" t="str">
        <f t="shared" si="141"/>
        <v/>
      </c>
      <c r="J1003" s="1"/>
      <c r="K1003" s="71"/>
      <c r="L1003" s="676" t="s">
        <v>411</v>
      </c>
      <c r="M1003" s="897" t="str">
        <f>IF(M1001&lt;&gt;"",M1001&amp;" "&amp;WBCM_IN,IF(OR(AB520=0,AB520=""),"",AB520))</f>
        <v/>
      </c>
      <c r="N1003" s="890" t="str">
        <f>IF(N1001&lt;&gt;"",N1001,IF(OR(AB521=0,AB521=""),"",AB521))</f>
        <v/>
      </c>
      <c r="P1003" s="891">
        <v>4</v>
      </c>
      <c r="Q1003" s="643"/>
      <c r="R1003" s="331" t="str">
        <f>IF(OR($Q$1007="",Q1003="",Q1004=""),"",IF(ABS((Q1003-Q1004)/Q1004)&lt;$R$1013,ROUND(((Q1003-Q1004)/Q1004),2),IF(ABS((Q1003-Q1004)/Q1004)&gt;$U$1013,TRUNC(((Q1003-Q1004)/Q1004),2),((Q1003-Q1004)/Q1004))))</f>
        <v/>
      </c>
      <c r="S1003" s="643"/>
      <c r="T1003" s="331" t="str">
        <f>IF(OR($S$1007="",S1003="",S1004=""),"",IF(ABS((S1003-S1004)/S1004)&lt;$R$1013,ROUND(((S1003-S1004)/S1004),2),IF(ABS((S1003-S1004)/S1004)&gt;$U$1013,TRUNC(((S1003-S1004)/S1004),2),((S1003-S1004)/S1004))))</f>
        <v/>
      </c>
      <c r="U1003" s="28" t="str">
        <f>IF(OR($Q$1007="",$S$1007="",Q1003="",S1003=""),"",IF(MAX(R1003,T1003)&gt;$U$1013,MIN(R1003,T1003),MAX(R1003,T1003)))</f>
        <v/>
      </c>
      <c r="V1003" s="596" t="str">
        <f>IF(OR($Q$1007="",$S$1007="",Q1003="",S1003=""),"",IF(OR(AND(MAX(ABS(R1003))&gt;$U$1013,OR(MAX(ABS(T1003))&gt;$U$1013,MIN(ABS(T1003))&lt;$R$1013)),AND(MIN(ABS(R1003))&lt;$R$1013,OR(MAX(ABS(T1003))&gt;$U$1013,MIN(ABS(T1003))&lt;$R$1013))),ROUND(R1003*100,1)&amp;"%,"&amp;ROUND(T1003*100,1)&amp;"%",""))</f>
        <v/>
      </c>
      <c r="W1003" s="39"/>
      <c r="X1003" s="664" t="s">
        <v>411</v>
      </c>
      <c r="Y1003" s="495"/>
      <c r="Z1003" s="457"/>
      <c r="AA1003" s="457"/>
    </row>
    <row r="1004" spans="1:27" ht="11.25" customHeight="1" thickBot="1">
      <c r="A1004" s="611">
        <v>14</v>
      </c>
      <c r="B1004" s="213"/>
      <c r="C1004" s="1"/>
      <c r="D1004" s="1"/>
      <c r="E1004" s="330">
        <f t="shared" ref="E1004:E1011" si="142">IF(P1004="","",P1004)</f>
        <v>3</v>
      </c>
      <c r="F1004" s="334" t="str">
        <f t="shared" si="141"/>
        <v/>
      </c>
      <c r="G1004" s="331" t="str">
        <f t="shared" si="141"/>
        <v/>
      </c>
      <c r="H1004" s="335" t="str">
        <f t="shared" si="141"/>
        <v/>
      </c>
      <c r="I1004" s="28" t="str">
        <f t="shared" si="141"/>
        <v/>
      </c>
      <c r="J1004" s="1"/>
      <c r="K1004" s="71"/>
      <c r="L1004" s="676" t="s">
        <v>411</v>
      </c>
      <c r="M1004" s="896"/>
      <c r="P1004" s="891">
        <v>3</v>
      </c>
      <c r="Q1004" s="643"/>
      <c r="R1004" s="331" t="str">
        <f>IF(OR($Q$1007="",Q1004="",Q1005=""),"",IF(ABS((Q1004-Q1005)/Q1005)&lt;$R$1013,ROUND(((Q1004-Q1005)/Q1005),2),IF(ABS((Q1004-Q1005)/Q1005)&gt;$U$1013,TRUNC(((Q1004-Q1005)/Q1005),2),((Q1004-Q1005)/Q1005))))</f>
        <v/>
      </c>
      <c r="S1004" s="643"/>
      <c r="T1004" s="331" t="str">
        <f>IF(OR($S$1007="",S1004="",S1005=""),"",IF(ABS((S1004-S1005)/S1005)&lt;$R$1013,ROUND(((S1004-S1005)/S1005),2),IF(ABS((S1004-S1005)/S1005)&gt;$U$1013,TRUNC(((S1004-S1005)/S1005),2),((S1004-S1005)/S1005))))</f>
        <v/>
      </c>
      <c r="U1004" s="28" t="str">
        <f>IF(OR($Q$1007="",$S$1007="",Q1004="",S1004=""),"",IF(MAX(R1004,T1004)&gt;$U$1013,MIN(R1004,T1004),MAX(R1004,T1004)))</f>
        <v/>
      </c>
      <c r="V1004" s="596" t="str">
        <f>IF(OR($Q$1007="",$S$1007="",Q1004="",S1004=""),"",IF(OR(AND(MAX(ABS(R1004))&gt;$U$1013,OR(MAX(ABS(T1004))&gt;$U$1013,MIN(ABS(T1004))&lt;$R$1013)),AND(MIN(ABS(R1004))&lt;$R$1013,OR(MAX(ABS(T1004))&gt;$U$1013,MIN(ABS(T1004))&lt;$R$1013))),ROUND(R1004*100,1)&amp;"%,"&amp;ROUND(T1004*100,1)&amp;"%",""))</f>
        <v/>
      </c>
      <c r="W1004" s="39"/>
      <c r="X1004" s="664" t="s">
        <v>411</v>
      </c>
      <c r="Y1004" s="495"/>
      <c r="Z1004" s="457"/>
      <c r="AA1004" s="457"/>
    </row>
    <row r="1005" spans="1:27" ht="11.25" customHeight="1" thickBot="1">
      <c r="A1005" s="611">
        <v>15</v>
      </c>
      <c r="B1005" s="908" t="s">
        <v>465</v>
      </c>
      <c r="C1005" s="909" t="s">
        <v>202</v>
      </c>
      <c r="D1005" s="1"/>
      <c r="E1005" s="330">
        <f t="shared" si="142"/>
        <v>2</v>
      </c>
      <c r="F1005" s="334" t="str">
        <f>IF(Q1005="","",Q1005)</f>
        <v/>
      </c>
      <c r="G1005" s="331" t="str">
        <f t="shared" si="141"/>
        <v/>
      </c>
      <c r="H1005" s="335" t="str">
        <f t="shared" si="141"/>
        <v/>
      </c>
      <c r="I1005" s="28" t="str">
        <f t="shared" si="141"/>
        <v/>
      </c>
      <c r="J1005" s="1"/>
      <c r="K1005" s="71"/>
      <c r="L1005" s="676" t="s">
        <v>411</v>
      </c>
      <c r="M1005" s="894" t="s">
        <v>632</v>
      </c>
      <c r="N1005" s="895"/>
      <c r="P1005" s="891">
        <v>2</v>
      </c>
      <c r="Q1005" s="643"/>
      <c r="R1005" s="331" t="str">
        <f>IF(OR($Q$1007="",Q1005="",Q1006=""),"",IF(ABS((Q1005-Q1006)/Q1006)&lt;$R$1013,ROUND(((Q1005-Q1006)/Q1006),2),IF(ABS((Q1005-Q1006)/Q1006)&gt;$U$1013,TRUNC(((Q1005-Q1006)/Q1006),2),((Q1005-Q1006)/Q1006))))</f>
        <v/>
      </c>
      <c r="S1005" s="643"/>
      <c r="T1005" s="331" t="str">
        <f>IF(OR($S$1007="",S1005="",S1006=""),"",IF(ABS((S1005-S1006)/S1006)&lt;$R$1013,ROUND(((S1005-S1006)/S1006),2),IF(ABS((S1005-S1006)/S1006)&gt;$U$1013,TRUNC(((S1005-S1006)/S1006),2),((S1005-S1006)/S1006))))</f>
        <v/>
      </c>
      <c r="U1005" s="28" t="str">
        <f>IF(OR($Q$1007="",$S$1007="",Q1005="",S1005=""),"",IF(MAX(R1005,T1005)&gt;$U$1013,MIN(R1005,T1005),MAX(R1005,T1005)))</f>
        <v/>
      </c>
      <c r="V1005" s="596" t="str">
        <f>IF(OR($Q$1007="",$S$1007="",Q1005="",S1005=""),"",IF(OR(AND(MAX(ABS(R1005))&gt;$U$1013,OR(MAX(ABS(T1005))&gt;$U$1013,MIN(ABS(T1005))&lt;$R$1013)),AND(MIN(ABS(R1005))&lt;$R$1013,OR(MAX(ABS(T1005))&gt;$U$1013,MIN(ABS(T1005))&lt;$R$1013))),ROUND(R1005*100,1)&amp;"%,"&amp;ROUND(T1005*100,1)&amp;"%",""))</f>
        <v/>
      </c>
      <c r="W1005" s="39"/>
      <c r="X1005" s="664" t="s">
        <v>411</v>
      </c>
      <c r="Y1005" s="495"/>
      <c r="Z1005" s="457"/>
      <c r="AA1005" s="457"/>
    </row>
    <row r="1006" spans="1:27" ht="11.25" customHeight="1" thickBot="1">
      <c r="A1006" s="611">
        <v>16</v>
      </c>
      <c r="B1006" s="912" t="str">
        <f>IF(M1008="","",M1008)</f>
        <v/>
      </c>
      <c r="C1006" s="168">
        <f>IF(N1008="","",N1008)</f>
        <v>7.8740157480314963</v>
      </c>
      <c r="D1006" s="3" t="s">
        <v>207</v>
      </c>
      <c r="E1006" s="330">
        <f t="shared" si="142"/>
        <v>1</v>
      </c>
      <c r="F1006" s="334" t="str">
        <f t="shared" si="141"/>
        <v/>
      </c>
      <c r="G1006" s="331" t="str">
        <f t="shared" si="141"/>
        <v/>
      </c>
      <c r="H1006" s="335" t="str">
        <f t="shared" si="141"/>
        <v/>
      </c>
      <c r="I1006" s="28" t="str">
        <f t="shared" si="141"/>
        <v/>
      </c>
      <c r="J1006" s="1"/>
      <c r="K1006" s="71"/>
      <c r="L1006" s="676" t="s">
        <v>411</v>
      </c>
      <c r="M1006" s="892"/>
      <c r="N1006" s="889">
        <f>20/2.54</f>
        <v>7.8740157480314963</v>
      </c>
      <c r="P1006" s="891">
        <v>1</v>
      </c>
      <c r="Q1006" s="643"/>
      <c r="R1006" s="331" t="str">
        <f>IF(OR($Q$1007="",Q1006="",Q1007=""),"",IF(ABS((Q1006-Q1007)/Q1007)&lt;$R$1013,ROUND(((Q1006-Q1007)/Q1007),2),IF(ABS((Q1006-Q1007)/Q1007)&gt;$U$1013,TRUNC(((Q1006-Q1007)/Q1007),2),((Q1006-Q1007)/Q1007))))</f>
        <v/>
      </c>
      <c r="S1006" s="643"/>
      <c r="T1006" s="331" t="str">
        <f>IF(OR($S$1007="",S1006="",S1007=""),"",IF(ABS((S1006-S1007)/S1007)&lt;$R$1013,ROUND(((S1006-S1007)/S1007),2),IF(ABS((S1006-S1007)/S1007)&gt;$U$1013,TRUNC(((S1006-S1007)/S1007),2),((S1006-S1007)/S1007))))</f>
        <v/>
      </c>
      <c r="U1006" s="28" t="str">
        <f>IF(OR($Q$1007="",$S$1007="",Q1006="",S1006=""),"",IF(MAX(R1006,T1006)&gt;$U$1013,MIN(R1006,T1006),MAX(R1006,T1006)))</f>
        <v/>
      </c>
      <c r="V1006" s="596" t="str">
        <f>IF(OR($Q$1007="",$S$1007="",Q1006="",S1006=""),"",IF(OR(AND(MAX(ABS(R1006))&gt;$U$1013,OR(MAX(ABS(T1006))&gt;$U$1013,MIN(ABS(T1006))&lt;$R$1013)),AND(MIN(ABS(R1006))&lt;$R$1013,OR(MAX(ABS(T1006))&gt;$U$1013,MIN(ABS(T1006))&lt;$R$1013))),ROUND(R1006*100,1)&amp;"%,"&amp;ROUND(T1006*100,1)&amp;"%",""))</f>
        <v/>
      </c>
      <c r="W1006" s="39"/>
      <c r="X1006" s="664" t="s">
        <v>411</v>
      </c>
      <c r="Y1006" s="495"/>
      <c r="Z1006" s="457"/>
      <c r="AA1006" s="457"/>
    </row>
    <row r="1007" spans="1:27" ht="11.25" customHeight="1" thickBot="1">
      <c r="A1007" s="611">
        <v>17</v>
      </c>
      <c r="B1007" s="127"/>
      <c r="D1007" s="1"/>
      <c r="E1007" s="332">
        <f t="shared" si="142"/>
        <v>0</v>
      </c>
      <c r="F1007" s="336" t="str">
        <f t="shared" si="141"/>
        <v/>
      </c>
      <c r="G1007" s="333" t="str">
        <f t="shared" si="141"/>
        <v/>
      </c>
      <c r="H1007" s="337" t="str">
        <f t="shared" si="141"/>
        <v/>
      </c>
      <c r="I1007" s="333" t="str">
        <f t="shared" si="141"/>
        <v/>
      </c>
      <c r="J1007" s="1"/>
      <c r="K1007" s="71"/>
      <c r="L1007" s="676" t="s">
        <v>411</v>
      </c>
      <c r="M1007" s="162" t="s">
        <v>465</v>
      </c>
      <c r="N1007" s="168" t="s">
        <v>202</v>
      </c>
      <c r="O1007" s="1"/>
      <c r="P1007" s="332">
        <v>0</v>
      </c>
      <c r="Q1007" s="644"/>
      <c r="R1007" s="333" t="str">
        <f>IF(Q1007="","",0)</f>
        <v/>
      </c>
      <c r="S1007" s="644"/>
      <c r="T1007" s="519" t="str">
        <f>IF(S1007="","",0)</f>
        <v/>
      </c>
      <c r="U1007" s="597"/>
      <c r="V1007" s="597"/>
      <c r="W1007" s="39"/>
      <c r="X1007" s="664" t="s">
        <v>411</v>
      </c>
      <c r="Y1007" s="495"/>
      <c r="Z1007" s="457"/>
      <c r="AA1007" s="457"/>
    </row>
    <row r="1008" spans="1:27" ht="11.25" customHeight="1" thickBot="1">
      <c r="A1008" s="611">
        <v>18</v>
      </c>
      <c r="B1008" s="213"/>
      <c r="C1008" s="1"/>
      <c r="D1008" s="1"/>
      <c r="E1008" s="330">
        <f t="shared" si="142"/>
        <v>-1</v>
      </c>
      <c r="F1008" s="334" t="str">
        <f t="shared" si="141"/>
        <v/>
      </c>
      <c r="G1008" s="331" t="str">
        <f t="shared" si="141"/>
        <v/>
      </c>
      <c r="H1008" s="335" t="str">
        <f t="shared" si="141"/>
        <v/>
      </c>
      <c r="I1008" s="28" t="str">
        <f t="shared" si="141"/>
        <v/>
      </c>
      <c r="J1008" s="1"/>
      <c r="K1008" s="71"/>
      <c r="L1008" s="676" t="s">
        <v>411</v>
      </c>
      <c r="M1008" s="893" t="str">
        <f>IF(M1006&lt;&gt;"",M1006,IF(OR(AB522=0,AB522=""),"",AB522))</f>
        <v/>
      </c>
      <c r="N1008" s="890">
        <f>IF(N1006&lt;&gt;"",N1006,IF(OR(AB523=0,AB523=""),"",AB523))</f>
        <v>7.8740157480314963</v>
      </c>
      <c r="O1008" s="3" t="s">
        <v>207</v>
      </c>
      <c r="P1008" s="330">
        <v>-1</v>
      </c>
      <c r="Q1008" s="643"/>
      <c r="R1008" s="331" t="str">
        <f>IF(OR($Q$1007="",Q1007="",Q1008=""),"",IF(ABS((Q1008-Q1007)/Q1007)&lt;$R$1013,ROUND(((Q1008-Q1007)/Q1007),2),IF(ABS((Q1008-Q1007)/Q1007)&gt;$U$1013,TRUNC(((Q1008-Q1007)/Q1007),2),((Q1008-Q1007)/Q1007))))</f>
        <v/>
      </c>
      <c r="S1008" s="643"/>
      <c r="T1008" s="331" t="str">
        <f>IF(OR($S$1007="",S1007="",S1008=""),"",IF(ABS((S1008-S1007)/S1007)&lt;$R$1013,ROUND(((S1008-S1007)/S1007),2),IF(ABS((S1008-S1007)/S1007)&gt;$U$1013,TRUNC(((S1008-S1007)/S1007),2),((S1008-S1007)/S1007))))</f>
        <v/>
      </c>
      <c r="U1008" s="28" t="str">
        <f>IF(OR(Q$1007="",$S$1007="",Q1008="",S1008=""),"",IF(MAX(ABS(R1008),ABS(T1008))&gt;$U$1013,MIN(ABS(R1008),ABS(T1008)),MAX(ABS(R1008),ABS(T1008))))</f>
        <v/>
      </c>
      <c r="V1008" s="596" t="str">
        <f>IF(OR($Q$1007="",$S$1007="",Q1008="",S1008=""),"",IF(OR(AND(MAX(ABS(R1008))&gt;$U$1013,OR(MAX(ABS(T1008))&gt;$U$1013,MIN(ABS(T1008))&lt;$R$1013)),AND(MIN(ABS(R1008))&lt;$R$1013,OR(MAX(ABS(T1008))&gt;$U$1013,MIN(ABS(T1008))&lt;$R$1013))),ROUND(R1008*100,1)&amp;"%,"&amp;ROUND(T1008*100,1)&amp;"%",""))</f>
        <v/>
      </c>
      <c r="W1008" s="39"/>
      <c r="X1008" s="664" t="s">
        <v>411</v>
      </c>
      <c r="Y1008" s="495"/>
      <c r="Z1008" s="457"/>
      <c r="AA1008" s="457"/>
    </row>
    <row r="1009" spans="1:27" ht="11.25" customHeight="1">
      <c r="A1009" s="611">
        <v>19</v>
      </c>
      <c r="B1009" s="213"/>
      <c r="C1009" s="1"/>
      <c r="D1009" s="1"/>
      <c r="E1009" s="330">
        <f t="shared" si="142"/>
        <v>-2</v>
      </c>
      <c r="F1009" s="334" t="str">
        <f t="shared" si="141"/>
        <v/>
      </c>
      <c r="G1009" s="331" t="str">
        <f t="shared" si="141"/>
        <v/>
      </c>
      <c r="H1009" s="335" t="str">
        <f t="shared" si="141"/>
        <v/>
      </c>
      <c r="I1009" s="28" t="str">
        <f t="shared" si="141"/>
        <v/>
      </c>
      <c r="J1009" s="1"/>
      <c r="K1009" s="71"/>
      <c r="L1009" s="676" t="s">
        <v>411</v>
      </c>
      <c r="M1009" s="595"/>
      <c r="O1009" s="1"/>
      <c r="P1009" s="330">
        <v>-2</v>
      </c>
      <c r="Q1009" s="643"/>
      <c r="R1009" s="331" t="str">
        <f>IF(OR($Q$1007="",Q1008="",Q1009=""),"",IF(ABS((Q1009-Q1008)/Q1008)&lt;$R$1013,ROUND(((Q1009-Q1008)/Q1008),2),IF(ABS((Q1009-Q1008)/Q1008)&gt;$U$1013,TRUNC(((Q1009-Q1008)/Q1008),2),((Q1009-Q1008)/Q1008))))</f>
        <v/>
      </c>
      <c r="S1009" s="643"/>
      <c r="T1009" s="331" t="str">
        <f>IF(OR($S$1007="",S1008="",S1009=""),"",IF(ABS((S1009-S1008)/S1008)&lt;$R$1013,ROUND(((S1009-S1008)/S1008),2),IF(ABS((S1009-S1008)/S1008)&gt;$U$1013,TRUNC(((S1009-S1008)/S1008),2),((S1009-S1008)/S1008))))</f>
        <v/>
      </c>
      <c r="U1009" s="28" t="str">
        <f>IF(OR($Q$1007="",$S$1007="",Q1009="",S1009=""),"",IF(MAX(ABS(R1009),ABS(T1009))&gt;$U$1013,MIN(ABS(R1009),ABS(T1009)),MAX(ABS(R1009),ABS(T1009))))</f>
        <v/>
      </c>
      <c r="V1009" s="596" t="str">
        <f>IF(OR($Q$1007="",$S$1007="",Q1009="",S1009=""),"",IF(OR(AND(MAX(ABS(R1009))&gt;$U$1013,OR(MAX(ABS(T1009))&gt;$U$1013,MIN(ABS(T1009))&lt;$R$1013)),AND(MIN(ABS(R1009))&lt;$R$1013,OR(MAX(ABS(T1009))&gt;$U$1013,MIN(ABS(T1009))&lt;$R$1013))),ROUND(R1009*100,1)&amp;"%,"&amp;ROUND(T1009*100,1)&amp;"%",""))</f>
        <v/>
      </c>
      <c r="W1009" s="39"/>
      <c r="X1009" s="664" t="s">
        <v>411</v>
      </c>
      <c r="Y1009" s="495"/>
      <c r="Z1009" s="457"/>
      <c r="AA1009" s="457"/>
    </row>
    <row r="1010" spans="1:27" ht="11.25" customHeight="1">
      <c r="A1010" s="611">
        <v>20</v>
      </c>
      <c r="B1010" s="127"/>
      <c r="D1010" s="1"/>
      <c r="E1010" s="330">
        <f t="shared" si="142"/>
        <v>-3</v>
      </c>
      <c r="F1010" s="334" t="str">
        <f t="shared" si="141"/>
        <v/>
      </c>
      <c r="G1010" s="331" t="str">
        <f t="shared" si="141"/>
        <v/>
      </c>
      <c r="H1010" s="335" t="str">
        <f t="shared" si="141"/>
        <v/>
      </c>
      <c r="I1010" s="28" t="str">
        <f t="shared" si="141"/>
        <v/>
      </c>
      <c r="J1010" s="1"/>
      <c r="K1010" s="71"/>
      <c r="L1010" s="676" t="s">
        <v>411</v>
      </c>
      <c r="M1010" s="595"/>
      <c r="O1010" s="1"/>
      <c r="P1010" s="330">
        <v>-3</v>
      </c>
      <c r="Q1010" s="643"/>
      <c r="R1010" s="331" t="str">
        <f>IF(OR($Q$1007="",Q1009="",Q1010=""),"",IF(ABS((Q1010-Q1009)/Q1009)&lt;$R$1013,ROUND(((Q1010-Q1009)/Q1009),2),IF(ABS((Q1010-Q1009)/Q1009)&gt;$U$1013,TRUNC(((Q1010-Q1009)/Q1009),2),((Q1010-Q1009)/Q1009))))</f>
        <v/>
      </c>
      <c r="S1010" s="643"/>
      <c r="T1010" s="331" t="str">
        <f>IF(OR($S$1007="",S1009="",S1010=""),"",IF(ABS((S1010-S1009)/S1009)&lt;$R$1013,ROUND(((S1010-S1009)/S1009),2),IF(ABS((S1010-S1009)/S1009)&gt;$U$1013,TRUNC(((S1010-S1009)/S1009),2),((S1010-S1009)/S1009))))</f>
        <v/>
      </c>
      <c r="U1010" s="28" t="str">
        <f>IF(OR($Q$1007="",$S$1007="",Q1010="",S1010=""),"",IF(MAX(ABS(R1010),ABS(T1010))&gt;$U$1013,MIN(ABS(R1010),ABS(T1010)),MAX(ABS(R1010),ABS(T1010))))</f>
        <v/>
      </c>
      <c r="V1010" s="596" t="str">
        <f>IF(OR($Q$1007="",$S$1007="",Q1010="",S1010=""),"",IF(OR(AND(MAX(ABS(R1010))&gt;$U$1013,OR(MAX(ABS(T1010))&gt;$U$1013,MIN(ABS(T1010))&lt;$R$1013)),AND(MIN(ABS(R1010))&lt;$R$1013,OR(MAX(ABS(T1010))&gt;$U$1013,MIN(ABS(T1010))&lt;$R$1013))),ROUND(R1010*100,1)&amp;"%,"&amp;ROUND(T1010*100,1)&amp;"%",""))</f>
        <v/>
      </c>
      <c r="W1010" s="39"/>
      <c r="X1010" s="664" t="s">
        <v>411</v>
      </c>
      <c r="Y1010" s="495"/>
      <c r="Z1010" s="457"/>
      <c r="AA1010" s="457"/>
    </row>
    <row r="1011" spans="1:27" ht="11.25" customHeight="1" thickBot="1">
      <c r="A1011" s="611">
        <v>21</v>
      </c>
      <c r="B1011" s="213"/>
      <c r="C1011" s="1"/>
      <c r="D1011" s="1"/>
      <c r="E1011" s="330">
        <f t="shared" si="142"/>
        <v>-4</v>
      </c>
      <c r="F1011" s="334" t="str">
        <f t="shared" si="141"/>
        <v/>
      </c>
      <c r="G1011" s="331" t="str">
        <f t="shared" si="141"/>
        <v/>
      </c>
      <c r="H1011" s="335" t="str">
        <f t="shared" si="141"/>
        <v/>
      </c>
      <c r="I1011" s="28" t="str">
        <f t="shared" si="141"/>
        <v/>
      </c>
      <c r="K1011" s="71"/>
      <c r="L1011" s="676" t="s">
        <v>411</v>
      </c>
      <c r="M1011" s="595"/>
      <c r="N1011" s="1"/>
      <c r="O1011" s="1"/>
      <c r="P1011" s="330">
        <v>-4</v>
      </c>
      <c r="Q1011" s="643"/>
      <c r="R1011" s="331" t="str">
        <f>IF(OR($Q$1007="",Q1010="",Q1011=""),"",IF(ABS((Q1011-Q1010)/Q1010)&lt;$R$1013,ROUND(((Q1011-Q1010)/Q1010),2),IF(ABS((Q1011-Q1010)/Q1010)&gt;$U$1013,TRUNC(((Q1011-Q1010)/Q1010),2),((Q1011-Q1010)/Q1010))))</f>
        <v/>
      </c>
      <c r="S1011" s="643"/>
      <c r="T1011" s="331" t="str">
        <f>IF(OR($S$1007="",S1010="",S1011=""),"",IF(ABS((S1011-S1010)/S1010)&lt;$R$1013,ROUND(((S1011-S1010)/S1010),2),IF(ABS((S1011-S1010)/S1010)&gt;$U$1013,TRUNC(((S1011-S1010)/S1010),2),((S1011-S1010)/S1010))))</f>
        <v/>
      </c>
      <c r="U1011" s="28" t="str">
        <f>IF(OR($Q$1007="",$S$1007="",Q1011="",S1011=""),"",IF(MAX(ABS(R1011),ABS(T1011))&gt;$U$1013,MIN(ABS(R1011),ABS(T1011)),MAX(ABS(R1011),ABS(T1011))))</f>
        <v/>
      </c>
      <c r="V1011" s="596" t="str">
        <f>IF(OR($Q$1007="",$S$1007="",Q1011="",S1011=""),"",IF(OR(AND(MAX(ABS(R1011))&gt;$U$1013,OR(MAX(ABS(T1011))&gt;$U$1013,MIN(ABS(T1011))&lt;$R$1013)),AND(MIN(ABS(R1011))&lt;$R$1013,OR(MAX(ABS(T1011))&gt;$U$1013,MIN(ABS(T1011))&lt;$R$1013))),ROUND(R1011*100,1)&amp;"%,"&amp;ROUND(T1011*100,1)&amp;"%",""))</f>
        <v/>
      </c>
      <c r="W1011" s="39"/>
      <c r="X1011" s="664" t="s">
        <v>411</v>
      </c>
      <c r="Y1011" s="495"/>
      <c r="Z1011" s="457"/>
      <c r="AA1011" s="457"/>
    </row>
    <row r="1012" spans="1:27" ht="11.25" customHeight="1" thickBot="1">
      <c r="A1012" s="611">
        <v>22</v>
      </c>
      <c r="B1012" s="127"/>
      <c r="J1012" s="42" t="s">
        <v>569</v>
      </c>
      <c r="K1012" s="341" t="str">
        <f>IF(Q1001=2,"NA",IF(OR(W1013="YES",W1014="YES",W1015="YES"),"YES",IF(OR(W1013="NO",W1014="NO",W1015="NO"),"NO","TBD")))</f>
        <v>TBD</v>
      </c>
      <c r="L1012" s="676" t="s">
        <v>411</v>
      </c>
      <c r="M1012" s="595"/>
      <c r="N1012" s="918"/>
      <c r="V1012" s="1280" t="s">
        <v>631</v>
      </c>
      <c r="W1012" s="1281"/>
      <c r="X1012" s="664" t="s">
        <v>411</v>
      </c>
      <c r="Z1012" s="457"/>
    </row>
    <row r="1013" spans="1:27" ht="11.25" customHeight="1" thickBot="1">
      <c r="A1013" s="611">
        <v>23</v>
      </c>
      <c r="B1013" s="127"/>
      <c r="K1013" s="71"/>
      <c r="L1013" s="676" t="s">
        <v>411</v>
      </c>
      <c r="M1013" s="595"/>
      <c r="O1013" s="132" t="s">
        <v>570</v>
      </c>
      <c r="P1013" s="99"/>
      <c r="Q1013" s="132" t="s">
        <v>208</v>
      </c>
      <c r="R1013" s="313">
        <f>IF(AND(OR($Q$1007="",$Q$1006=""),OR($S$1007="",$S$1006="")),0.15,IF(AND(MIN($Q$1003:$Q$1005)=0,MIN($S$1003:$S$1005)=0),0.15,IF(AND(MIN($Q$1003:$Q$1004)=0,MIN($S$1003:$S$1004)=0),0.15,IF(AND($Q$1003=0,$S$1003=0),0.2,0.15))))</f>
        <v>0.15</v>
      </c>
      <c r="S1013" s="99"/>
      <c r="T1013" s="132" t="s">
        <v>209</v>
      </c>
      <c r="U1013" s="313">
        <f>IF(AND(OR($Q$1007="",$Q$1006=""),OR($S$1007="",$S$1006="")),0.5,IF(AND(MIN($Q$1003:$Q$1005)=0,MIN($S$1003:$S$1005)=0),0.5,IF(AND(MIN($Q$1003:$Q$1004)=0,MIN($S$1003:$S$1004)=0),0.5,IF(AND($Q$1003=0,$S$1003=0),0.35,0.3))))</f>
        <v>0.5</v>
      </c>
      <c r="V1013" s="42" t="str">
        <f>IF(Meter_OD="","TBD",Meter_OD&amp;":")</f>
        <v>Meter:</v>
      </c>
      <c r="W1013" s="743" t="str">
        <f>IF(AND($Q$1007="",$S$1007=""),"TBD",IF($Q$1007="","NA",IF(AND($Q$1007&gt;0,OR($Q$1006="",$Q$1008="")),"TBD",IF(OR(MAX(ABS(MAX(METP)),ABS(MIN(METM)))&gt;$U$1013,MIN(ABS(MIN(METP)),ABS(MAX(METM)))&lt;$R$1013,MIN(METP)&lt;0,MAX(METM)&gt;0),"NO","YES"))))</f>
        <v>TBD</v>
      </c>
      <c r="X1013" s="664" t="s">
        <v>411</v>
      </c>
    </row>
    <row r="1014" spans="1:27" ht="11.25" customHeight="1" thickBot="1">
      <c r="A1014" s="611">
        <v>24</v>
      </c>
      <c r="B1014" s="127"/>
      <c r="D1014" s="132" t="s">
        <v>570</v>
      </c>
      <c r="E1014" s="99"/>
      <c r="F1014" s="132" t="s">
        <v>208</v>
      </c>
      <c r="G1014" s="313">
        <f>$R$1013</f>
        <v>0.15</v>
      </c>
      <c r="H1014" s="99"/>
      <c r="I1014" s="132" t="s">
        <v>209</v>
      </c>
      <c r="J1014" s="313">
        <f>$U$1013</f>
        <v>0.5</v>
      </c>
      <c r="K1014" s="71"/>
      <c r="L1014" s="676" t="s">
        <v>411</v>
      </c>
      <c r="M1014" s="595"/>
      <c r="V1014" s="42" t="str">
        <f>IF(Time_mAs="","TBD",Time_mAs&amp;":")</f>
        <v>mAs:</v>
      </c>
      <c r="W1014" s="743" t="str">
        <f>IF(AND($Q$1007="",$S$1007=""),"TBD",IF($S$1007="","NA",IF(AND($S$1007&gt;0,OR($S$1006="",$S$1008="")),"TBD",IF(OR(MAX(ABS(MAX(MASP)),ABS(MIN(MASM)))&gt;$U$1013,MIN(ABS(MIN(MASP)),ABS(MAX(MASM)))&lt;$R$1013,MIN(MASP)&lt;0,MAX(MASM)&gt;0),"NO","YES"))))</f>
        <v>TBD</v>
      </c>
      <c r="X1014" s="664" t="s">
        <v>411</v>
      </c>
    </row>
    <row r="1015" spans="1:27" ht="11.25" customHeight="1" thickBot="1">
      <c r="A1015" s="611">
        <v>25</v>
      </c>
      <c r="B1015" s="127"/>
      <c r="K1015" s="71"/>
      <c r="L1015" s="676" t="s">
        <v>411</v>
      </c>
      <c r="M1015" s="595"/>
      <c r="O1015" s="594"/>
      <c r="P1015" s="594"/>
      <c r="Q1015" s="594"/>
      <c r="R1015" s="594"/>
      <c r="T1015" s="594"/>
      <c r="U1015" s="594"/>
      <c r="V1015" s="42" t="s">
        <v>210</v>
      </c>
      <c r="W1015" s="743" t="str">
        <f>IF(OR(AND($Q$1007="",$S$1007=""),AND($Q$1007&lt;&gt;"",$S$1007&lt;&gt;"",OR($Q$1006="",Q1008="",S1006="",S1008=""))),"TBD",IF(OR($Q$1007="",$S$1007=""),"NA",IF(OR(MAX(U1003:U1006)&gt;$U$1013,MAX(U1008:U1011)&gt;$U$1013,MIN(U1003:U1006)&lt;R1013,MIN(U1008:U1011)&lt;R1013),"NO","YES")))</f>
        <v>TBD</v>
      </c>
      <c r="X1015" s="664" t="s">
        <v>411</v>
      </c>
    </row>
    <row r="1016" spans="1:27" ht="11.25" customHeight="1" thickBot="1">
      <c r="A1016" s="611">
        <v>26</v>
      </c>
      <c r="B1016" s="98"/>
      <c r="C1016" s="83"/>
      <c r="D1016" s="83"/>
      <c r="E1016" s="83"/>
      <c r="F1016" s="83"/>
      <c r="G1016" s="83"/>
      <c r="H1016" s="83"/>
      <c r="I1016" s="83"/>
      <c r="J1016" s="83"/>
      <c r="K1016" s="86"/>
      <c r="L1016" s="676" t="s">
        <v>411</v>
      </c>
      <c r="M1016" s="98"/>
      <c r="N1016" s="83"/>
      <c r="O1016" s="83"/>
      <c r="P1016" s="83"/>
      <c r="Q1016" s="83"/>
      <c r="R1016" s="454"/>
      <c r="S1016" s="83"/>
      <c r="T1016" s="83"/>
      <c r="U1016" s="83"/>
      <c r="V1016" s="83"/>
      <c r="W1016" s="86"/>
      <c r="X1016" s="664" t="s">
        <v>411</v>
      </c>
    </row>
    <row r="1017" spans="1:27" ht="11.25" customHeight="1" thickTop="1">
      <c r="A1017" s="611">
        <v>27</v>
      </c>
      <c r="L1017" s="676" t="s">
        <v>411</v>
      </c>
      <c r="X1017" s="664" t="s">
        <v>411</v>
      </c>
    </row>
    <row r="1018" spans="1:27" ht="11.25" customHeight="1">
      <c r="A1018" s="611">
        <v>28</v>
      </c>
      <c r="L1018" s="676" t="s">
        <v>411</v>
      </c>
      <c r="X1018" s="664" t="s">
        <v>411</v>
      </c>
    </row>
    <row r="1019" spans="1:27" ht="11.25" customHeight="1">
      <c r="A1019" s="611">
        <v>29</v>
      </c>
      <c r="L1019" s="676" t="s">
        <v>411</v>
      </c>
      <c r="X1019" s="664" t="s">
        <v>411</v>
      </c>
    </row>
    <row r="1020" spans="1:27" ht="11.25" customHeight="1">
      <c r="A1020" s="611">
        <v>30</v>
      </c>
      <c r="L1020" s="676" t="s">
        <v>411</v>
      </c>
      <c r="X1020" s="664" t="s">
        <v>411</v>
      </c>
    </row>
    <row r="1021" spans="1:27" ht="11.25" customHeight="1">
      <c r="A1021" s="611">
        <v>31</v>
      </c>
      <c r="L1021" s="676" t="s">
        <v>411</v>
      </c>
      <c r="X1021" s="664" t="s">
        <v>411</v>
      </c>
    </row>
    <row r="1022" spans="1:27" ht="11.25" customHeight="1">
      <c r="A1022" s="611">
        <v>32</v>
      </c>
      <c r="F1022" s="190" t="s">
        <v>211</v>
      </c>
      <c r="L1022" s="676" t="s">
        <v>411</v>
      </c>
      <c r="R1022" s="190" t="s">
        <v>211</v>
      </c>
      <c r="X1022" s="664" t="s">
        <v>411</v>
      </c>
    </row>
    <row r="1023" spans="1:27" ht="11.25" customHeight="1" thickBot="1">
      <c r="A1023" s="611">
        <v>33</v>
      </c>
      <c r="L1023" s="676" t="s">
        <v>411</v>
      </c>
      <c r="X1023" s="664" t="s">
        <v>411</v>
      </c>
    </row>
    <row r="1024" spans="1:27" ht="11.25" customHeight="1" thickTop="1">
      <c r="A1024" s="611">
        <v>34</v>
      </c>
      <c r="B1024" s="79"/>
      <c r="C1024" s="62"/>
      <c r="D1024" s="62"/>
      <c r="E1024" s="62"/>
      <c r="F1024" s="62"/>
      <c r="G1024" s="62"/>
      <c r="H1024" s="62"/>
      <c r="I1024" s="62"/>
      <c r="J1024" s="62"/>
      <c r="K1024" s="80"/>
      <c r="L1024" s="676" t="s">
        <v>411</v>
      </c>
      <c r="M1024" s="79"/>
      <c r="N1024" s="62"/>
      <c r="O1024" s="62"/>
      <c r="P1024" s="62"/>
      <c r="Q1024" s="62"/>
      <c r="R1024" s="62"/>
      <c r="S1024" s="62"/>
      <c r="T1024" s="62"/>
      <c r="U1024" s="62"/>
      <c r="V1024" s="62"/>
      <c r="W1024" s="80"/>
      <c r="X1024" s="664" t="s">
        <v>411</v>
      </c>
    </row>
    <row r="1025" spans="1:24" ht="11.25" customHeight="1">
      <c r="A1025" s="611">
        <v>35</v>
      </c>
      <c r="B1025" s="108" t="s">
        <v>414</v>
      </c>
      <c r="C1025" s="109"/>
      <c r="F1025" s="99"/>
      <c r="J1025" s="262" t="s">
        <v>416</v>
      </c>
      <c r="K1025" s="395"/>
      <c r="L1025" s="676" t="s">
        <v>411</v>
      </c>
      <c r="M1025" s="202" t="s">
        <v>417</v>
      </c>
      <c r="W1025" s="71"/>
      <c r="X1025" s="664" t="s">
        <v>411</v>
      </c>
    </row>
    <row r="1026" spans="1:24" ht="11.25" customHeight="1">
      <c r="A1026" s="611">
        <v>36</v>
      </c>
      <c r="B1026" s="110" t="s">
        <v>1216</v>
      </c>
      <c r="C1026" s="128"/>
      <c r="D1026" s="50" t="s">
        <v>497</v>
      </c>
      <c r="E1026" s="49"/>
      <c r="F1026" s="49"/>
      <c r="G1026" s="49"/>
      <c r="H1026" s="49"/>
      <c r="I1026" s="49"/>
      <c r="J1026" s="114" t="str">
        <f>IF($M1026="","TBD",IF($M1026=1,"YES",IF($M1026=3,"NA","")))</f>
        <v>TBD</v>
      </c>
      <c r="K1026" s="343" t="str">
        <f>IF($M1026=2,"NO","")</f>
        <v/>
      </c>
      <c r="L1026" s="676" t="s">
        <v>411</v>
      </c>
      <c r="M1026" s="617"/>
      <c r="O1026" s="50" t="s">
        <v>497</v>
      </c>
      <c r="U1026" s="294"/>
      <c r="W1026" s="71"/>
      <c r="X1026" s="664" t="s">
        <v>411</v>
      </c>
    </row>
    <row r="1027" spans="1:24" ht="11.25" customHeight="1">
      <c r="A1027" s="611">
        <v>37</v>
      </c>
      <c r="B1027" s="110" t="s">
        <v>1217</v>
      </c>
      <c r="C1027" s="128"/>
      <c r="D1027" s="50" t="s">
        <v>499</v>
      </c>
      <c r="E1027" s="49"/>
      <c r="F1027" s="49"/>
      <c r="G1027" s="49"/>
      <c r="H1027" s="49" t="s">
        <v>500</v>
      </c>
      <c r="I1027" s="48" t="str">
        <f>IF($O$1027="","",$O$1027)</f>
        <v/>
      </c>
      <c r="J1027" s="114" t="str">
        <f>IF($M1027="","TBD",IF($M1027=1,"YES",IF($M1027=3,"NA","")))</f>
        <v>TBD</v>
      </c>
      <c r="K1027" s="343" t="str">
        <f>IF($M1027=2,"NO","")</f>
        <v/>
      </c>
      <c r="L1027" s="676" t="s">
        <v>411</v>
      </c>
      <c r="M1027" s="617"/>
      <c r="N1027" s="49" t="s">
        <v>500</v>
      </c>
      <c r="O1027" s="963"/>
      <c r="P1027" s="50" t="s">
        <v>499</v>
      </c>
      <c r="T1027" s="830" t="str">
        <f>IF(OR(AB185=0,AB185=""),"",AB185)</f>
        <v/>
      </c>
      <c r="U1027" s="722" t="s">
        <v>212</v>
      </c>
      <c r="W1027" s="71"/>
      <c r="X1027" s="664" t="s">
        <v>411</v>
      </c>
    </row>
    <row r="1028" spans="1:24" ht="11.25" customHeight="1">
      <c r="A1028" s="611">
        <v>38</v>
      </c>
      <c r="B1028" s="110" t="s">
        <v>1218</v>
      </c>
      <c r="C1028" s="128"/>
      <c r="D1028" s="50" t="s">
        <v>502</v>
      </c>
      <c r="J1028" s="114" t="str">
        <f>IF($M1028="","TBD",IF($M1028=1,"YES",IF($M1028=3,"NA","")))</f>
        <v>TBD</v>
      </c>
      <c r="K1028" s="343" t="str">
        <f>IF($M1028=2,"NO","")</f>
        <v/>
      </c>
      <c r="L1028" s="676" t="s">
        <v>411</v>
      </c>
      <c r="M1028" s="617"/>
      <c r="O1028" s="50" t="s">
        <v>502</v>
      </c>
      <c r="W1028" s="71"/>
      <c r="X1028" s="664" t="s">
        <v>411</v>
      </c>
    </row>
    <row r="1029" spans="1:24" ht="11.25" customHeight="1" thickBot="1">
      <c r="A1029" s="611">
        <v>39</v>
      </c>
      <c r="B1029" s="98"/>
      <c r="C1029" s="83"/>
      <c r="D1029" s="83"/>
      <c r="E1029" s="83"/>
      <c r="F1029" s="83"/>
      <c r="G1029" s="83"/>
      <c r="H1029" s="83"/>
      <c r="I1029" s="83"/>
      <c r="J1029" s="83"/>
      <c r="K1029" s="86"/>
      <c r="L1029" s="676" t="s">
        <v>411</v>
      </c>
      <c r="M1029" s="98"/>
      <c r="N1029" s="83"/>
      <c r="O1029" s="83"/>
      <c r="P1029" s="83"/>
      <c r="Q1029" s="83"/>
      <c r="R1029" s="83"/>
      <c r="S1029" s="83"/>
      <c r="T1029" s="83"/>
      <c r="U1029" s="83"/>
      <c r="V1029" s="83"/>
      <c r="W1029" s="86"/>
      <c r="X1029" s="664" t="s">
        <v>411</v>
      </c>
    </row>
    <row r="1030" spans="1:24" ht="11.25" customHeight="1" thickTop="1">
      <c r="A1030" s="611">
        <v>40</v>
      </c>
      <c r="L1030" s="676" t="s">
        <v>411</v>
      </c>
      <c r="X1030" s="664" t="s">
        <v>411</v>
      </c>
    </row>
    <row r="1031" spans="1:24" ht="11.25" customHeight="1">
      <c r="A1031" s="611">
        <v>41</v>
      </c>
      <c r="L1031" s="676" t="s">
        <v>411</v>
      </c>
      <c r="X1031" s="664" t="s">
        <v>411</v>
      </c>
    </row>
    <row r="1032" spans="1:24" ht="11.25" customHeight="1">
      <c r="A1032" s="611">
        <v>42</v>
      </c>
      <c r="L1032" s="676" t="s">
        <v>411</v>
      </c>
      <c r="X1032" s="664" t="s">
        <v>411</v>
      </c>
    </row>
    <row r="1033" spans="1:24" ht="11.25" customHeight="1">
      <c r="A1033" s="611">
        <v>43</v>
      </c>
      <c r="L1033" s="676" t="s">
        <v>411</v>
      </c>
      <c r="X1033" s="664" t="s">
        <v>411</v>
      </c>
    </row>
    <row r="1034" spans="1:24" ht="11.25" customHeight="1">
      <c r="A1034" s="611">
        <v>44</v>
      </c>
      <c r="L1034" s="676" t="s">
        <v>411</v>
      </c>
      <c r="X1034" s="664" t="s">
        <v>411</v>
      </c>
    </row>
    <row r="1035" spans="1:24" ht="11.25" customHeight="1">
      <c r="A1035" s="611">
        <v>45</v>
      </c>
      <c r="L1035" s="676" t="s">
        <v>411</v>
      </c>
      <c r="X1035" s="664" t="s">
        <v>411</v>
      </c>
    </row>
    <row r="1036" spans="1:24" ht="11.25" customHeight="1">
      <c r="A1036" s="611">
        <v>46</v>
      </c>
      <c r="L1036" s="676" t="s">
        <v>411</v>
      </c>
      <c r="X1036" s="664" t="s">
        <v>411</v>
      </c>
    </row>
    <row r="1037" spans="1:24" ht="11.25" customHeight="1">
      <c r="A1037" s="611">
        <v>47</v>
      </c>
      <c r="L1037" s="676" t="s">
        <v>411</v>
      </c>
      <c r="X1037" s="664" t="s">
        <v>411</v>
      </c>
    </row>
    <row r="1038" spans="1:24" ht="11.25" customHeight="1">
      <c r="A1038" s="611">
        <v>48</v>
      </c>
      <c r="L1038" s="676" t="s">
        <v>411</v>
      </c>
      <c r="X1038" s="664" t="s">
        <v>411</v>
      </c>
    </row>
    <row r="1039" spans="1:24" ht="11.25" customHeight="1">
      <c r="A1039" s="611">
        <v>49</v>
      </c>
      <c r="L1039" s="676" t="s">
        <v>411</v>
      </c>
      <c r="X1039" s="664" t="s">
        <v>411</v>
      </c>
    </row>
    <row r="1040" spans="1:24" ht="11.25" customHeight="1">
      <c r="A1040" s="611">
        <v>50</v>
      </c>
      <c r="L1040" s="676" t="s">
        <v>411</v>
      </c>
      <c r="X1040" s="664" t="s">
        <v>411</v>
      </c>
    </row>
    <row r="1041" spans="1:24" ht="11.25" customHeight="1">
      <c r="A1041" s="611">
        <v>51</v>
      </c>
      <c r="L1041" s="676" t="s">
        <v>411</v>
      </c>
      <c r="X1041" s="664" t="s">
        <v>411</v>
      </c>
    </row>
    <row r="1042" spans="1:24" ht="11.25" customHeight="1">
      <c r="A1042" s="611">
        <v>52</v>
      </c>
      <c r="L1042" s="676" t="s">
        <v>411</v>
      </c>
      <c r="X1042" s="664" t="s">
        <v>411</v>
      </c>
    </row>
    <row r="1043" spans="1:24" ht="11.25" customHeight="1">
      <c r="A1043" s="611">
        <v>53</v>
      </c>
      <c r="L1043" s="676" t="s">
        <v>411</v>
      </c>
      <c r="X1043" s="664" t="s">
        <v>411</v>
      </c>
    </row>
    <row r="1044" spans="1:24" ht="11.25" customHeight="1">
      <c r="A1044" s="611">
        <v>54</v>
      </c>
      <c r="L1044" s="676" t="s">
        <v>411</v>
      </c>
      <c r="X1044" s="664" t="s">
        <v>411</v>
      </c>
    </row>
    <row r="1045" spans="1:24" ht="11.25" customHeight="1">
      <c r="A1045" s="611">
        <v>55</v>
      </c>
      <c r="L1045" s="676" t="s">
        <v>411</v>
      </c>
      <c r="X1045" s="664" t="s">
        <v>411</v>
      </c>
    </row>
    <row r="1046" spans="1:24" ht="11.25" customHeight="1">
      <c r="A1046" s="611">
        <v>56</v>
      </c>
      <c r="L1046" s="676" t="s">
        <v>411</v>
      </c>
      <c r="X1046" s="664" t="s">
        <v>411</v>
      </c>
    </row>
    <row r="1047" spans="1:24" ht="11.25" customHeight="1">
      <c r="A1047" s="611">
        <v>57</v>
      </c>
      <c r="L1047" s="676" t="s">
        <v>411</v>
      </c>
      <c r="X1047" s="664" t="s">
        <v>411</v>
      </c>
    </row>
    <row r="1048" spans="1:24" ht="11.25" customHeight="1">
      <c r="A1048" s="611">
        <v>58</v>
      </c>
      <c r="L1048" s="676" t="s">
        <v>411</v>
      </c>
      <c r="X1048" s="664" t="s">
        <v>411</v>
      </c>
    </row>
    <row r="1049" spans="1:24" ht="11.25" customHeight="1">
      <c r="A1049" s="611">
        <v>59</v>
      </c>
      <c r="L1049" s="676" t="s">
        <v>411</v>
      </c>
      <c r="X1049" s="664" t="s">
        <v>411</v>
      </c>
    </row>
    <row r="1050" spans="1:24" ht="11.25" customHeight="1">
      <c r="A1050" s="611">
        <v>60</v>
      </c>
      <c r="L1050" s="676" t="s">
        <v>411</v>
      </c>
      <c r="X1050" s="664" t="s">
        <v>411</v>
      </c>
    </row>
    <row r="1051" spans="1:24" ht="11.25" customHeight="1">
      <c r="A1051" s="611">
        <v>61</v>
      </c>
      <c r="L1051" s="676" t="s">
        <v>411</v>
      </c>
      <c r="X1051" s="664" t="s">
        <v>411</v>
      </c>
    </row>
    <row r="1052" spans="1:24" ht="11.25" customHeight="1">
      <c r="A1052" s="611">
        <v>62</v>
      </c>
      <c r="L1052" s="676" t="s">
        <v>411</v>
      </c>
      <c r="X1052" s="664" t="s">
        <v>411</v>
      </c>
    </row>
    <row r="1053" spans="1:24" ht="11.25" customHeight="1">
      <c r="A1053" s="611">
        <v>63</v>
      </c>
      <c r="L1053" s="676" t="s">
        <v>411</v>
      </c>
      <c r="X1053" s="664" t="s">
        <v>411</v>
      </c>
    </row>
    <row r="1054" spans="1:24" ht="11.25" customHeight="1">
      <c r="A1054" s="611">
        <v>64</v>
      </c>
      <c r="C1054" s="1039"/>
      <c r="L1054" s="676" t="s">
        <v>411</v>
      </c>
      <c r="X1054" s="664" t="s">
        <v>411</v>
      </c>
    </row>
    <row r="1055" spans="1:24" ht="11.25" customHeight="1">
      <c r="A1055" s="611">
        <v>65</v>
      </c>
      <c r="B1055" s="52" t="str">
        <f t="array" ref="B1055:C1056">$B$65:$C$66</f>
        <v>Date:</v>
      </c>
      <c r="C1055" s="1133" t="str">
        <v/>
      </c>
      <c r="D1055" s="116"/>
      <c r="E1055" s="51"/>
      <c r="F1055" s="51"/>
      <c r="G1055" s="51"/>
      <c r="H1055" s="51"/>
      <c r="I1055" s="52" t="str">
        <f t="array" ref="I1055:J1056">$I$65:$J$66</f>
        <v>Inspector:</v>
      </c>
      <c r="J1055" s="421" t="str">
        <v>Eugene Mah</v>
      </c>
      <c r="L1055" s="676" t="s">
        <v>411</v>
      </c>
      <c r="X1055" s="664" t="s">
        <v>411</v>
      </c>
    </row>
    <row r="1056" spans="1:24" ht="11.25" customHeight="1">
      <c r="A1056" s="611">
        <v>66</v>
      </c>
      <c r="B1056" s="52" t="str">
        <v>Room Number:</v>
      </c>
      <c r="C1056" s="373" t="str">
        <v/>
      </c>
      <c r="E1056" s="51"/>
      <c r="F1056" s="51"/>
      <c r="G1056" s="51"/>
      <c r="H1056" s="51"/>
      <c r="I1056" s="52" t="str">
        <v>Survey ID:</v>
      </c>
      <c r="J1056" s="1045" t="str">
        <v/>
      </c>
      <c r="L1056" s="676" t="s">
        <v>411</v>
      </c>
      <c r="X1056" s="664" t="s">
        <v>411</v>
      </c>
    </row>
    <row r="1057" spans="1:24" ht="11.25" customHeight="1">
      <c r="A1057" s="611">
        <v>1</v>
      </c>
      <c r="B1057" s="1"/>
      <c r="C1057" s="1"/>
      <c r="D1057" s="1"/>
      <c r="E1057" s="1"/>
      <c r="H1057" s="1"/>
      <c r="I1057" s="1"/>
      <c r="J1057" s="1"/>
      <c r="K1057" s="131" t="str">
        <f>$F$2</f>
        <v>Medical University of South Carolina</v>
      </c>
      <c r="L1057" s="676" t="s">
        <v>411</v>
      </c>
      <c r="M1057" s="1"/>
      <c r="N1057" s="1"/>
      <c r="O1057" s="1"/>
      <c r="P1057" s="1"/>
      <c r="Q1057" s="1"/>
      <c r="S1057" s="1"/>
      <c r="T1057" s="1"/>
      <c r="U1057" s="1"/>
      <c r="V1057" s="1"/>
      <c r="W1057" s="131" t="str">
        <f>$F$2</f>
        <v>Medical University of South Carolina</v>
      </c>
      <c r="X1057" s="664" t="s">
        <v>411</v>
      </c>
    </row>
    <row r="1058" spans="1:24" ht="11.25" customHeight="1">
      <c r="A1058" s="611">
        <v>2</v>
      </c>
      <c r="F1058" s="82" t="str">
        <f>$F$464</f>
        <v>Measurement Data</v>
      </c>
      <c r="K1058" s="132" t="str">
        <f>$F$5</f>
        <v>Radiographic System Compliance Inspection</v>
      </c>
      <c r="L1058" s="676" t="s">
        <v>411</v>
      </c>
      <c r="Q1058" s="82" t="str">
        <f>$F$464</f>
        <v>Measurement Data</v>
      </c>
      <c r="W1058" s="132" t="str">
        <f>$F$5</f>
        <v>Radiographic System Compliance Inspection</v>
      </c>
      <c r="X1058" s="664" t="s">
        <v>411</v>
      </c>
    </row>
    <row r="1059" spans="1:24" ht="11.25" customHeight="1" thickBot="1">
      <c r="A1059" s="611">
        <v>3</v>
      </c>
      <c r="F1059" s="44"/>
      <c r="L1059" s="676" t="s">
        <v>411</v>
      </c>
      <c r="R1059" s="44"/>
      <c r="X1059" s="664" t="s">
        <v>411</v>
      </c>
    </row>
    <row r="1060" spans="1:24" ht="11.25" customHeight="1" thickTop="1">
      <c r="A1060" s="611">
        <v>4</v>
      </c>
      <c r="B1060" s="79"/>
      <c r="C1060" s="62"/>
      <c r="D1060" s="62"/>
      <c r="E1060" s="62"/>
      <c r="F1060" s="913" t="s">
        <v>213</v>
      </c>
      <c r="G1060" s="62"/>
      <c r="H1060" s="62"/>
      <c r="I1060" s="62"/>
      <c r="J1060" s="62"/>
      <c r="K1060" s="80"/>
      <c r="L1060" s="676" t="s">
        <v>411</v>
      </c>
      <c r="M1060" s="79"/>
      <c r="N1060" s="62"/>
      <c r="O1060" s="62"/>
      <c r="P1060" s="62"/>
      <c r="Q1060" s="913"/>
      <c r="R1060" s="913" t="s">
        <v>213</v>
      </c>
      <c r="S1060" s="62"/>
      <c r="T1060" s="62"/>
      <c r="U1060" s="62"/>
      <c r="V1060" s="62"/>
      <c r="W1060" s="80"/>
      <c r="X1060" s="664" t="s">
        <v>411</v>
      </c>
    </row>
    <row r="1061" spans="1:24" ht="11.25" customHeight="1">
      <c r="A1061" s="611">
        <v>5</v>
      </c>
      <c r="B1061" s="191" t="s">
        <v>214</v>
      </c>
      <c r="K1061" s="71"/>
      <c r="L1061" s="676" t="s">
        <v>411</v>
      </c>
      <c r="M1061" s="191" t="s">
        <v>214</v>
      </c>
      <c r="N1061" s="53"/>
      <c r="W1061" s="71"/>
      <c r="X1061" s="664" t="s">
        <v>411</v>
      </c>
    </row>
    <row r="1062" spans="1:24" ht="11.25" customHeight="1" thickBot="1">
      <c r="A1062" s="611">
        <v>6</v>
      </c>
      <c r="B1062" s="127"/>
      <c r="C1062" s="53"/>
      <c r="D1062" s="53"/>
      <c r="K1062" s="71"/>
      <c r="L1062" s="676" t="s">
        <v>411</v>
      </c>
      <c r="M1062" s="127"/>
      <c r="O1062" s="53"/>
      <c r="Q1062" s="901" t="s">
        <v>347</v>
      </c>
      <c r="R1062" s="901" t="s">
        <v>619</v>
      </c>
      <c r="V1062" s="712" t="s">
        <v>376</v>
      </c>
      <c r="W1062" s="745" t="str">
        <f>IF(OR(AB483=0,AB483=""),"",AB483)</f>
        <v/>
      </c>
      <c r="X1062" s="664" t="s">
        <v>411</v>
      </c>
    </row>
    <row r="1063" spans="1:24" ht="11.25" customHeight="1" thickBot="1">
      <c r="A1063" s="611">
        <v>7</v>
      </c>
      <c r="B1063" s="160" t="str">
        <f>IF(Q1063="","SID:______","SID:  "&amp;Q1063)</f>
        <v>SID:______</v>
      </c>
      <c r="C1063" s="3" t="str">
        <f>IF(Q1064="","Detector:________","Detector:  "&amp;Q1064)</f>
        <v>Detector:________</v>
      </c>
      <c r="D1063" s="1"/>
      <c r="E1063" s="3" t="str">
        <f>IF(Q1066="","Atten. Thick:________","Atten. Thick:  "&amp;ROUND(Q1066,2))</f>
        <v>Atten. Thick:  7.87</v>
      </c>
      <c r="F1063" s="3"/>
      <c r="G1063" s="293" t="str">
        <f>IF(Q1065="","kVp:_______","kVp:  "&amp;Q1065)</f>
        <v>kVp:_______</v>
      </c>
      <c r="H1063" s="3" t="str">
        <f>IF(OR(W1063="NA",W1063=""),"O.D.:_____","O.D.:  "&amp;ROUND(W1063,2))</f>
        <v>O.D.:_____</v>
      </c>
      <c r="I1063" s="140" t="str">
        <f>$V$1064</f>
        <v>Acceptable:</v>
      </c>
      <c r="J1063" s="141" t="str">
        <f>$W$1064</f>
        <v>NA</v>
      </c>
      <c r="K1063" s="71"/>
      <c r="L1063" s="676" t="s">
        <v>411</v>
      </c>
      <c r="M1063" s="213"/>
      <c r="O1063" s="37"/>
      <c r="P1063" s="37" t="s">
        <v>610</v>
      </c>
      <c r="Q1063" s="902" t="str">
        <f>IF(R1063&lt;&gt;"",R1063&amp;" "&amp;TBCM_IN,IF(OR(AB526=0,AB526=""),M1003,AB526))</f>
        <v/>
      </c>
      <c r="R1063" s="904"/>
      <c r="T1063" s="54" t="s">
        <v>609</v>
      </c>
      <c r="U1063" s="645"/>
      <c r="V1063" s="54" t="str">
        <f>IF(Meter_OD="","Blank",Meter_OD)</f>
        <v>Meter</v>
      </c>
      <c r="W1063" s="1081" t="s">
        <v>1143</v>
      </c>
      <c r="X1063" s="664" t="s">
        <v>411</v>
      </c>
    </row>
    <row r="1064" spans="1:24" ht="11.25" customHeight="1" thickBot="1">
      <c r="A1064" s="611">
        <v>8</v>
      </c>
      <c r="B1064" s="127"/>
      <c r="G1064" s="293" t="str">
        <f>IF(U1063="","mAs:_______","mAs:  "&amp;ROUND(U1063,1))</f>
        <v>mAs:_______</v>
      </c>
      <c r="K1064" s="71"/>
      <c r="L1064" s="676" t="s">
        <v>411</v>
      </c>
      <c r="M1064" s="127"/>
      <c r="N1064" s="977"/>
      <c r="P1064" s="37" t="s">
        <v>230</v>
      </c>
      <c r="Q1064" s="899" t="str">
        <f>IF(R1064&lt;&gt;"",R1064,IF(OR(AB527=0,AB527=""),N1003,AB527))</f>
        <v/>
      </c>
      <c r="R1064" s="907"/>
      <c r="V1064" s="1082" t="s">
        <v>569</v>
      </c>
      <c r="W1064" s="744" t="str">
        <f>IF($W$1063="NA","NA",IF($W$1063="","TBD",IF(AND($W$1063&gt;=1.9,$W$1063&lt;=2.1),"YES","NO")))</f>
        <v>NA</v>
      </c>
      <c r="X1064" s="664" t="s">
        <v>411</v>
      </c>
    </row>
    <row r="1065" spans="1:24" ht="11.25" customHeight="1">
      <c r="A1065" s="611">
        <v>9</v>
      </c>
      <c r="B1065" s="127"/>
      <c r="C1065" s="132" t="s">
        <v>570</v>
      </c>
      <c r="D1065" s="100" t="str">
        <f>U1065</f>
        <v>1.9&lt;=lgM&lt;=2.1</v>
      </c>
      <c r="K1065" s="71"/>
      <c r="L1065" s="676" t="s">
        <v>411</v>
      </c>
      <c r="M1065" s="127"/>
      <c r="P1065" s="37" t="s">
        <v>606</v>
      </c>
      <c r="Q1065" s="900" t="str">
        <f>IF(R1065&lt;&gt;"",R1065,IF(OR(AB528=0,AB528=""),M1008,AB528))</f>
        <v/>
      </c>
      <c r="R1065" s="905"/>
      <c r="T1065" s="132" t="s">
        <v>570</v>
      </c>
      <c r="U1065" s="100" t="s">
        <v>1046</v>
      </c>
      <c r="W1065" s="71"/>
      <c r="X1065" s="664" t="s">
        <v>411</v>
      </c>
    </row>
    <row r="1066" spans="1:24" ht="11.25" customHeight="1">
      <c r="A1066" s="611">
        <v>10</v>
      </c>
      <c r="B1066" s="127"/>
      <c r="K1066" s="71"/>
      <c r="L1066" s="676" t="s">
        <v>411</v>
      </c>
      <c r="M1066" s="127"/>
      <c r="N1066" s="3"/>
      <c r="O1066" s="3"/>
      <c r="P1066" s="37" t="s">
        <v>215</v>
      </c>
      <c r="Q1066" s="899">
        <f>IF(R1066&lt;&gt;"",R1066,IF(OR(AB529=0,AB529=""),N1008,AB529))</f>
        <v>7.8740157480314963</v>
      </c>
      <c r="R1066" s="903"/>
      <c r="W1066" s="39"/>
      <c r="X1066" s="664" t="s">
        <v>411</v>
      </c>
    </row>
    <row r="1067" spans="1:24" ht="11.25" customHeight="1">
      <c r="A1067" s="611">
        <v>11</v>
      </c>
      <c r="B1067" s="127"/>
      <c r="K1067" s="71"/>
      <c r="L1067" s="676" t="s">
        <v>411</v>
      </c>
      <c r="M1067" s="127"/>
      <c r="N1067" s="1"/>
      <c r="O1067" s="1"/>
      <c r="P1067" s="1"/>
      <c r="W1067" s="71"/>
      <c r="X1067" s="664" t="s">
        <v>411</v>
      </c>
    </row>
    <row r="1068" spans="1:24" ht="11.25" customHeight="1">
      <c r="A1068" s="611">
        <v>12</v>
      </c>
      <c r="B1068" s="191" t="s">
        <v>216</v>
      </c>
      <c r="C1068" s="109"/>
      <c r="D1068" s="109"/>
      <c r="E1068" s="37" t="s">
        <v>606</v>
      </c>
      <c r="F1068" s="35" t="str">
        <f>IF(R1068="","",R1068)</f>
        <v/>
      </c>
      <c r="G1068" s="1"/>
      <c r="H1068" s="37" t="s">
        <v>217</v>
      </c>
      <c r="I1068" s="2" t="str">
        <f>IF(U1068="","              in.",ROUND(U1068,2)&amp;" in.")</f>
        <v>7.87 in.</v>
      </c>
      <c r="K1068" s="71"/>
      <c r="L1068" s="676" t="s">
        <v>411</v>
      </c>
      <c r="M1068" s="191" t="s">
        <v>216</v>
      </c>
      <c r="N1068" s="1"/>
      <c r="O1068" s="1"/>
      <c r="P1068" s="1"/>
      <c r="Q1068" s="37" t="s">
        <v>606</v>
      </c>
      <c r="R1068" s="789" t="str">
        <f>IF(Q1065="","",Q1065)</f>
        <v/>
      </c>
      <c r="S1068" s="1"/>
      <c r="T1068" s="37" t="s">
        <v>217</v>
      </c>
      <c r="U1068" s="788">
        <f>IF(Q1066="","",Q1066)</f>
        <v>7.8740157480314963</v>
      </c>
      <c r="V1068" s="50" t="s">
        <v>207</v>
      </c>
      <c r="W1068" s="39"/>
      <c r="X1068" s="664" t="s">
        <v>411</v>
      </c>
    </row>
    <row r="1069" spans="1:24" ht="11.25" customHeight="1">
      <c r="A1069" s="611">
        <v>13</v>
      </c>
      <c r="B1069" s="127"/>
      <c r="C1069" s="1"/>
      <c r="D1069" s="1"/>
      <c r="E1069" s="37" t="s">
        <v>610</v>
      </c>
      <c r="F1069" s="2" t="str">
        <f>IF(R1069="","",R1069)</f>
        <v/>
      </c>
      <c r="G1069" s="1"/>
      <c r="H1069" s="37" t="s">
        <v>540</v>
      </c>
      <c r="I1069" s="11" t="str">
        <f>IF(U1069="","",U1069)</f>
        <v/>
      </c>
      <c r="K1069" s="71"/>
      <c r="L1069" s="676" t="s">
        <v>411</v>
      </c>
      <c r="M1069" s="127"/>
      <c r="Q1069" s="37" t="s">
        <v>610</v>
      </c>
      <c r="R1069" s="788" t="str">
        <f>IF(Q1063="","",Q1063)</f>
        <v/>
      </c>
      <c r="S1069" s="1"/>
      <c r="T1069" s="37" t="s">
        <v>540</v>
      </c>
      <c r="U1069" s="790" t="str">
        <f>IF($T$32="","",$T$32&amp;"/"&amp;$T$33)</f>
        <v/>
      </c>
      <c r="V1069" s="3"/>
      <c r="W1069" s="71"/>
      <c r="X1069" s="664" t="s">
        <v>411</v>
      </c>
    </row>
    <row r="1070" spans="1:24" ht="11.25" customHeight="1">
      <c r="A1070" s="611">
        <v>14</v>
      </c>
      <c r="B1070" s="213" t="s">
        <v>218</v>
      </c>
      <c r="C1070" s="109" t="s">
        <v>219</v>
      </c>
      <c r="D1070" s="109"/>
      <c r="E1070" s="109" t="s">
        <v>220</v>
      </c>
      <c r="F1070" s="109"/>
      <c r="G1070" s="109" t="s">
        <v>221</v>
      </c>
      <c r="H1070" s="109"/>
      <c r="I1070" s="1"/>
      <c r="J1070" s="1"/>
      <c r="K1070" s="71"/>
      <c r="L1070" s="676" t="s">
        <v>411</v>
      </c>
      <c r="M1070" s="213"/>
      <c r="N1070" s="49" t="s">
        <v>218</v>
      </c>
      <c r="O1070" s="109" t="s">
        <v>219</v>
      </c>
      <c r="P1070" s="109"/>
      <c r="Q1070" s="109" t="s">
        <v>220</v>
      </c>
      <c r="R1070" s="109"/>
      <c r="S1070" s="109" t="s">
        <v>221</v>
      </c>
      <c r="T1070" s="109"/>
      <c r="U1070" s="1"/>
      <c r="V1070" s="1"/>
      <c r="W1070" s="39"/>
      <c r="X1070" s="664" t="s">
        <v>411</v>
      </c>
    </row>
    <row r="1071" spans="1:24" ht="11.25" customHeight="1" thickBot="1">
      <c r="A1071" s="611">
        <v>15</v>
      </c>
      <c r="B1071" s="45"/>
      <c r="C1071" s="6" t="str">
        <f>Meter_OD</f>
        <v>Meter</v>
      </c>
      <c r="D1071" s="23" t="str">
        <f>Time_mAs</f>
        <v>mAs</v>
      </c>
      <c r="E1071" s="7" t="str">
        <f>Meter_OD</f>
        <v>Meter</v>
      </c>
      <c r="F1071" s="23" t="str">
        <f>Time_mAs</f>
        <v>mAs</v>
      </c>
      <c r="G1071" s="7" t="str">
        <f>Meter_OD</f>
        <v>Meter</v>
      </c>
      <c r="H1071" s="27" t="str">
        <f>Time_mAs</f>
        <v>mAs</v>
      </c>
      <c r="I1071" s="1"/>
      <c r="J1071" s="1"/>
      <c r="K1071" s="71"/>
      <c r="L1071" s="676" t="s">
        <v>411</v>
      </c>
      <c r="M1071" s="45"/>
      <c r="O1071" s="7" t="str">
        <f>IF(Meter_OD="","Blank",Meter_OD)</f>
        <v>Meter</v>
      </c>
      <c r="P1071" s="23" t="str">
        <f>IF(Time_mAs="","Blank",Time_mAs)</f>
        <v>mAs</v>
      </c>
      <c r="Q1071" s="7" t="str">
        <f>IF(Meter_OD="","Blank",Meter_OD)</f>
        <v>Meter</v>
      </c>
      <c r="R1071" s="23" t="str">
        <f>IF(Time_mAs="","Blank",Time_mAs)</f>
        <v>mAs</v>
      </c>
      <c r="S1071" s="7" t="str">
        <f>IF(Meter_OD="","Blank",Meter_OD)</f>
        <v>Meter</v>
      </c>
      <c r="T1071" s="23" t="str">
        <f>IF(Time_mAs="","Blank",Time_mAs)</f>
        <v>mAs</v>
      </c>
      <c r="U1071" s="1"/>
      <c r="V1071" s="1"/>
      <c r="W1071" s="39"/>
      <c r="X1071" s="664" t="s">
        <v>411</v>
      </c>
    </row>
    <row r="1072" spans="1:24" ht="11.25" customHeight="1">
      <c r="A1072" s="611">
        <v>16</v>
      </c>
      <c r="B1072" s="45"/>
      <c r="C1072" s="21" t="str">
        <f t="shared" ref="C1072:H1076" si="143">IF(O1072="","",O1072)</f>
        <v/>
      </c>
      <c r="D1072" s="8" t="str">
        <f t="shared" si="143"/>
        <v/>
      </c>
      <c r="E1072" s="24" t="str">
        <f t="shared" si="143"/>
        <v/>
      </c>
      <c r="F1072" s="8" t="str">
        <f t="shared" si="143"/>
        <v/>
      </c>
      <c r="G1072" s="24" t="str">
        <f t="shared" si="143"/>
        <v/>
      </c>
      <c r="H1072" s="21" t="str">
        <f t="shared" si="143"/>
        <v/>
      </c>
      <c r="I1072" s="1"/>
      <c r="J1072" s="1"/>
      <c r="K1072" s="71"/>
      <c r="L1072" s="676" t="s">
        <v>411</v>
      </c>
      <c r="M1072" s="45"/>
      <c r="O1072" s="635"/>
      <c r="P1072" s="962"/>
      <c r="Q1072" s="635" t="str">
        <f>IF(Q1007="","",Q1007)</f>
        <v/>
      </c>
      <c r="R1072" s="962" t="str">
        <f>IF(S1007="","",S1007)</f>
        <v/>
      </c>
      <c r="S1072" s="635"/>
      <c r="T1072" s="962"/>
      <c r="U1072" s="1"/>
      <c r="V1072" s="1"/>
      <c r="W1072" s="39"/>
      <c r="X1072" s="664" t="s">
        <v>411</v>
      </c>
    </row>
    <row r="1073" spans="1:24" ht="11.25" customHeight="1">
      <c r="A1073" s="611">
        <v>17</v>
      </c>
      <c r="B1073" s="45"/>
      <c r="C1073" s="21" t="str">
        <f t="shared" si="143"/>
        <v/>
      </c>
      <c r="D1073" s="8" t="str">
        <f t="shared" si="143"/>
        <v/>
      </c>
      <c r="E1073" s="24" t="str">
        <f t="shared" si="143"/>
        <v/>
      </c>
      <c r="F1073" s="8" t="str">
        <f t="shared" si="143"/>
        <v/>
      </c>
      <c r="G1073" s="24" t="str">
        <f t="shared" si="143"/>
        <v/>
      </c>
      <c r="H1073" s="21" t="str">
        <f t="shared" si="143"/>
        <v/>
      </c>
      <c r="I1073" s="1"/>
      <c r="J1073" s="1"/>
      <c r="K1073" s="71"/>
      <c r="L1073" s="676" t="s">
        <v>411</v>
      </c>
      <c r="M1073" s="45"/>
      <c r="O1073" s="635"/>
      <c r="P1073" s="962"/>
      <c r="Q1073" s="635"/>
      <c r="R1073" s="962"/>
      <c r="S1073" s="635"/>
      <c r="T1073" s="962"/>
      <c r="U1073" s="1"/>
      <c r="V1073" s="1"/>
      <c r="W1073" s="39"/>
      <c r="X1073" s="664" t="s">
        <v>411</v>
      </c>
    </row>
    <row r="1074" spans="1:24" ht="11.25" customHeight="1">
      <c r="A1074" s="611">
        <v>18</v>
      </c>
      <c r="B1074" s="45"/>
      <c r="C1074" s="21" t="str">
        <f t="shared" si="143"/>
        <v/>
      </c>
      <c r="D1074" s="8" t="str">
        <f t="shared" si="143"/>
        <v/>
      </c>
      <c r="E1074" s="24" t="str">
        <f t="shared" si="143"/>
        <v/>
      </c>
      <c r="F1074" s="8" t="str">
        <f t="shared" si="143"/>
        <v/>
      </c>
      <c r="G1074" s="24" t="str">
        <f t="shared" si="143"/>
        <v/>
      </c>
      <c r="H1074" s="21" t="str">
        <f t="shared" si="143"/>
        <v/>
      </c>
      <c r="I1074" s="1"/>
      <c r="J1074" s="1"/>
      <c r="K1074" s="71"/>
      <c r="L1074" s="676" t="s">
        <v>411</v>
      </c>
      <c r="M1074" s="45"/>
      <c r="O1074" s="635"/>
      <c r="P1074" s="962"/>
      <c r="Q1074" s="635"/>
      <c r="R1074" s="962"/>
      <c r="S1074" s="635"/>
      <c r="T1074" s="962"/>
      <c r="U1074" s="1"/>
      <c r="V1074" s="1"/>
      <c r="W1074" s="39"/>
      <c r="X1074" s="664" t="s">
        <v>411</v>
      </c>
    </row>
    <row r="1075" spans="1:24" ht="11.25" customHeight="1">
      <c r="A1075" s="611">
        <v>19</v>
      </c>
      <c r="B1075" s="45"/>
      <c r="C1075" s="21" t="str">
        <f t="shared" si="143"/>
        <v/>
      </c>
      <c r="D1075" s="8" t="str">
        <f t="shared" si="143"/>
        <v/>
      </c>
      <c r="E1075" s="24" t="str">
        <f t="shared" si="143"/>
        <v/>
      </c>
      <c r="F1075" s="8" t="str">
        <f t="shared" si="143"/>
        <v/>
      </c>
      <c r="G1075" s="24" t="str">
        <f t="shared" si="143"/>
        <v/>
      </c>
      <c r="H1075" s="21" t="str">
        <f t="shared" si="143"/>
        <v/>
      </c>
      <c r="I1075" s="1"/>
      <c r="J1075" s="1"/>
      <c r="K1075" s="71"/>
      <c r="L1075" s="676" t="s">
        <v>411</v>
      </c>
      <c r="M1075" s="45"/>
      <c r="O1075" s="635"/>
      <c r="P1075" s="962"/>
      <c r="Q1075" s="635"/>
      <c r="R1075" s="962"/>
      <c r="S1075" s="635"/>
      <c r="T1075" s="962"/>
      <c r="U1075" s="1"/>
      <c r="V1075" s="1"/>
      <c r="W1075" s="39"/>
      <c r="X1075" s="664" t="s">
        <v>411</v>
      </c>
    </row>
    <row r="1076" spans="1:24" ht="11.25" customHeight="1">
      <c r="A1076" s="611">
        <v>20</v>
      </c>
      <c r="B1076" s="45"/>
      <c r="C1076" s="21" t="str">
        <f t="shared" si="143"/>
        <v/>
      </c>
      <c r="D1076" s="8" t="str">
        <f t="shared" si="143"/>
        <v/>
      </c>
      <c r="E1076" s="24" t="str">
        <f t="shared" si="143"/>
        <v/>
      </c>
      <c r="F1076" s="8" t="str">
        <f t="shared" si="143"/>
        <v/>
      </c>
      <c r="G1076" s="24" t="str">
        <f t="shared" si="143"/>
        <v/>
      </c>
      <c r="H1076" s="21" t="str">
        <f t="shared" si="143"/>
        <v/>
      </c>
      <c r="I1076" s="1"/>
      <c r="J1076" s="1"/>
      <c r="K1076" s="71"/>
      <c r="L1076" s="676" t="s">
        <v>411</v>
      </c>
      <c r="M1076" s="45"/>
      <c r="O1076" s="635"/>
      <c r="P1076" s="962"/>
      <c r="Q1076" s="635"/>
      <c r="R1076" s="962"/>
      <c r="S1076" s="635"/>
      <c r="T1076" s="962"/>
      <c r="U1076" s="1"/>
      <c r="V1076" s="1"/>
      <c r="W1076" s="39"/>
      <c r="X1076" s="664" t="s">
        <v>411</v>
      </c>
    </row>
    <row r="1077" spans="1:24" ht="11.25" customHeight="1">
      <c r="A1077" s="611">
        <v>21</v>
      </c>
      <c r="B1077" s="127"/>
      <c r="K1077" s="71"/>
      <c r="L1077" s="676" t="s">
        <v>411</v>
      </c>
      <c r="M1077" s="127"/>
      <c r="W1077" s="71"/>
      <c r="X1077" s="664" t="s">
        <v>411</v>
      </c>
    </row>
    <row r="1078" spans="1:24" ht="11.25" customHeight="1">
      <c r="A1078" s="611">
        <v>22</v>
      </c>
      <c r="B1078" s="295" t="s">
        <v>83</v>
      </c>
      <c r="C1078" s="14" t="str">
        <f t="shared" ref="C1078:H1081" si="144">IF(O1078="","",O1078)</f>
        <v/>
      </c>
      <c r="D1078" s="291" t="str">
        <f t="shared" si="144"/>
        <v/>
      </c>
      <c r="E1078" s="46" t="str">
        <f t="shared" si="144"/>
        <v/>
      </c>
      <c r="F1078" s="291" t="str">
        <f t="shared" si="144"/>
        <v/>
      </c>
      <c r="G1078" s="46" t="str">
        <f t="shared" si="144"/>
        <v/>
      </c>
      <c r="H1078" s="14" t="str">
        <f t="shared" si="144"/>
        <v/>
      </c>
      <c r="J1078" s="1" t="s">
        <v>222</v>
      </c>
      <c r="K1078" s="71"/>
      <c r="L1078" s="676" t="s">
        <v>411</v>
      </c>
      <c r="M1078" s="45"/>
      <c r="N1078" s="419" t="s">
        <v>83</v>
      </c>
      <c r="O1078" s="14" t="str">
        <f t="shared" ref="O1078:T1078" si="145">IF(O1072="","",AVERAGE(O1072:O1076))</f>
        <v/>
      </c>
      <c r="P1078" s="291" t="str">
        <f t="shared" si="145"/>
        <v/>
      </c>
      <c r="Q1078" s="46" t="str">
        <f t="shared" si="145"/>
        <v/>
      </c>
      <c r="R1078" s="291" t="str">
        <f t="shared" si="145"/>
        <v/>
      </c>
      <c r="S1078" s="46" t="str">
        <f t="shared" si="145"/>
        <v/>
      </c>
      <c r="T1078" s="14" t="str">
        <f t="shared" si="145"/>
        <v/>
      </c>
      <c r="V1078" s="1" t="s">
        <v>222</v>
      </c>
      <c r="W1078" s="39"/>
      <c r="X1078" s="664" t="s">
        <v>411</v>
      </c>
    </row>
    <row r="1079" spans="1:24" ht="11.25" customHeight="1">
      <c r="A1079" s="611">
        <v>23</v>
      </c>
      <c r="B1079" s="213" t="s">
        <v>223</v>
      </c>
      <c r="C1079" s="21" t="str">
        <f t="shared" si="144"/>
        <v/>
      </c>
      <c r="D1079" s="8" t="str">
        <f t="shared" si="144"/>
        <v/>
      </c>
      <c r="E1079" s="24" t="str">
        <f t="shared" si="144"/>
        <v/>
      </c>
      <c r="F1079" s="8" t="str">
        <f t="shared" si="144"/>
        <v/>
      </c>
      <c r="G1079" s="24" t="str">
        <f t="shared" si="144"/>
        <v/>
      </c>
      <c r="H1079" s="21" t="str">
        <f t="shared" si="144"/>
        <v/>
      </c>
      <c r="J1079" s="21" t="s">
        <v>224</v>
      </c>
      <c r="K1079" s="71"/>
      <c r="L1079" s="676" t="s">
        <v>411</v>
      </c>
      <c r="M1079" s="45"/>
      <c r="N1079" s="420" t="s">
        <v>223</v>
      </c>
      <c r="O1079" s="21" t="str">
        <f t="shared" ref="O1079:T1079" si="146">IF(OR(O1072="",O1073=""),"",STDEV(O1072:O1076))</f>
        <v/>
      </c>
      <c r="P1079" s="8" t="str">
        <f t="shared" si="146"/>
        <v/>
      </c>
      <c r="Q1079" s="24" t="str">
        <f t="shared" si="146"/>
        <v/>
      </c>
      <c r="R1079" s="8" t="str">
        <f t="shared" si="146"/>
        <v/>
      </c>
      <c r="S1079" s="24" t="str">
        <f t="shared" si="146"/>
        <v/>
      </c>
      <c r="T1079" s="21" t="str">
        <f t="shared" si="146"/>
        <v/>
      </c>
      <c r="V1079" s="21" t="s">
        <v>224</v>
      </c>
      <c r="W1079" s="39"/>
      <c r="X1079" s="664" t="s">
        <v>411</v>
      </c>
    </row>
    <row r="1080" spans="1:24" ht="11.25" customHeight="1" thickBot="1">
      <c r="A1080" s="611">
        <v>24</v>
      </c>
      <c r="B1080" s="213" t="s">
        <v>225</v>
      </c>
      <c r="C1080" s="21" t="str">
        <f t="shared" si="144"/>
        <v/>
      </c>
      <c r="D1080" s="8" t="str">
        <f t="shared" si="144"/>
        <v/>
      </c>
      <c r="E1080" s="24" t="str">
        <f t="shared" si="144"/>
        <v/>
      </c>
      <c r="F1080" s="8" t="str">
        <f t="shared" si="144"/>
        <v/>
      </c>
      <c r="G1080" s="24" t="str">
        <f t="shared" si="144"/>
        <v/>
      </c>
      <c r="H1080" s="21" t="str">
        <f t="shared" si="144"/>
        <v/>
      </c>
      <c r="J1080" s="1181" t="str">
        <f>IF(V1080="","",V1080)</f>
        <v>TBD</v>
      </c>
      <c r="K1080" s="71"/>
      <c r="L1080" s="676" t="s">
        <v>411</v>
      </c>
      <c r="M1080" s="297"/>
      <c r="N1080" s="420" t="s">
        <v>225</v>
      </c>
      <c r="O1080" s="324" t="str">
        <f t="shared" ref="O1080:T1080" si="147">IF(OR(O1078="",O1078=0,O1079=""),"",O1079/O1078)</f>
        <v/>
      </c>
      <c r="P1080" s="26" t="str">
        <f t="shared" si="147"/>
        <v/>
      </c>
      <c r="Q1080" s="25" t="str">
        <f t="shared" si="147"/>
        <v/>
      </c>
      <c r="R1080" s="26" t="str">
        <f t="shared" si="147"/>
        <v/>
      </c>
      <c r="S1080" s="25" t="str">
        <f t="shared" si="147"/>
        <v/>
      </c>
      <c r="T1080" s="324" t="str">
        <f t="shared" si="147"/>
        <v/>
      </c>
      <c r="V1080" s="1142" t="str">
        <f>IF(AND(Q1078="",R1078=""),"TBD",IF(AND(O1078="",Q1078="",S1078=""),ROUND((MAX(P1078,R1078,T1078)-MIN(P1078,R1078,T1078))/AVERAGE(P1078,R1078,T1078),2),IF(Meter_OD="Film O.D.",ROUND(MAX(O1078,Q1078,S1078)-MIN(O1078,Q1078,S1078),2)&amp;" O.D.",ROUND((MAX(O1078,Q1078,S1078)-MIN(O1078,Q1078,S1078))/AVERAGE(O1078,Q1078,S1078),2))))</f>
        <v>TBD</v>
      </c>
      <c r="W1080" s="39"/>
      <c r="X1080" s="664" t="s">
        <v>411</v>
      </c>
    </row>
    <row r="1081" spans="1:24" ht="11.25" customHeight="1" thickBot="1">
      <c r="A1081" s="611">
        <v>25</v>
      </c>
      <c r="B1081" s="287" t="s">
        <v>569</v>
      </c>
      <c r="C1081" s="475" t="str">
        <f t="shared" si="144"/>
        <v>TBD</v>
      </c>
      <c r="D1081" s="476" t="str">
        <f t="shared" si="144"/>
        <v>TBD</v>
      </c>
      <c r="E1081" s="477" t="str">
        <f t="shared" si="144"/>
        <v>TBD</v>
      </c>
      <c r="F1081" s="476" t="str">
        <f t="shared" si="144"/>
        <v>TBD</v>
      </c>
      <c r="G1081" s="477" t="str">
        <f t="shared" si="144"/>
        <v>TBD</v>
      </c>
      <c r="H1081" s="475" t="str">
        <f t="shared" si="144"/>
        <v>TBD</v>
      </c>
      <c r="I1081" s="42" t="s">
        <v>569</v>
      </c>
      <c r="J1081" s="325" t="str">
        <f>IF(V1081="","",V1081)</f>
        <v>TBD</v>
      </c>
      <c r="K1081" s="69"/>
      <c r="L1081" s="676" t="s">
        <v>411</v>
      </c>
      <c r="M1081" s="45"/>
      <c r="N1081" s="780" t="s">
        <v>569</v>
      </c>
      <c r="O1081" s="738" t="str">
        <f>IF(AND(O1080="",P1080=""),"TBD",IF(O1080="","NA",IF(TRUNC(O1080,4)&gt;0.05,"NO","YES")))</f>
        <v>TBD</v>
      </c>
      <c r="P1081" s="739" t="str">
        <f>IF(AND(O1080="",P1080=""),"TBD",IF(P1080="","NA",IF(TRUNC(P1080,4)&gt;0.05,"NO","YES")))</f>
        <v>TBD</v>
      </c>
      <c r="Q1081" s="738" t="str">
        <f>IF(AND(Q1080="",R1080=""),"TBD",IF(Q1080="","NA",IF(TRUNC(Q1080,4)&gt;0.05,"NO","YES")))</f>
        <v>TBD</v>
      </c>
      <c r="R1081" s="739" t="str">
        <f>IF(AND(Q1080="",R1080=""),"TBD",IF(R1080="","NA",IF(TRUNC(R1080,4)&gt;0.05,"NO","YES")))</f>
        <v>TBD</v>
      </c>
      <c r="S1081" s="738" t="str">
        <f>IF(AND(S1080="",T1080=""),"TBD",IF(S1080="","NA",IF(TRUNC(S1080,4)&gt;0.05,"NO","YES")))</f>
        <v>TBD</v>
      </c>
      <c r="T1081" s="779" t="str">
        <f>IF(AND(S1080="",T1080=""),"TBD",IF(T1080="","NA",IF(TRUNC(T1080,4)&gt;0.05,"NO","YES")))</f>
        <v>TBD</v>
      </c>
      <c r="U1081" s="749" t="s">
        <v>569</v>
      </c>
      <c r="V1081" s="740" t="str">
        <f>IF(V1080="TBD","TBD",IF(AND(O1078="",Q1078="",S1078=""),IF(ROUND(100*(MAX(P1078,R1078,T1078)-MIN(P1078,R1078,T1078))/AVERAGE(P1078,R1078,T1078),2)&lt;=35,"YES","NO"),IF(Q1071="Film O.D.",IF(ROUND(MAX(O1078,Q1078,S1078)-MIN(O1078,Q1078,S1078),2)&lt;=0.4,"YES","NO"),IF(ROUND(100*(MAX(O1078,Q1078,S1078)-MIN(O1078,Q1078,S1078))/AVERAGE(O1078,Q1078,S1078),2)&lt;=35,"YES","NO"))))</f>
        <v>TBD</v>
      </c>
      <c r="W1081" s="39"/>
      <c r="X1081" s="664" t="s">
        <v>411</v>
      </c>
    </row>
    <row r="1082" spans="1:24" ht="11.25" customHeight="1">
      <c r="A1082" s="611">
        <v>26</v>
      </c>
      <c r="B1082" s="127"/>
      <c r="J1082" s="675" t="str">
        <f>IF(V1082="","",V1082)</f>
        <v>NOTE: Density step 1 produced a TBD % change</v>
      </c>
      <c r="K1082" s="71"/>
      <c r="L1082" s="676" t="s">
        <v>411</v>
      </c>
      <c r="M1082" s="127"/>
      <c r="V1082" s="886" t="str">
        <f>IF(AND(Meter_OD="Film O.D.",Q1072&lt;&gt;""),"Max. acceptable variation is 0.4 O.D. overall","NOTE: Density step 1 produced a "&amp;IF(OR(AND($R$1006="",$T$1006=""),AND(MIN(O1072:T1072)=0),AND(Q1078="",R1078&lt;&gt;"",$T$1006=""),AND(Q1078&lt;&gt;"",$R$1006="")),"TBD ",ROUND(100*IF(Q1078="",$T$1006,$R$1006),1))&amp;"% change")</f>
        <v>NOTE: Density step 1 produced a TBD % change</v>
      </c>
      <c r="W1082" s="71"/>
      <c r="X1082" s="664" t="s">
        <v>411</v>
      </c>
    </row>
    <row r="1083" spans="1:24" ht="11.25" customHeight="1">
      <c r="A1083" s="611">
        <v>27</v>
      </c>
      <c r="B1083" s="127"/>
      <c r="C1083" s="132"/>
      <c r="E1083" s="132" t="s">
        <v>226</v>
      </c>
      <c r="F1083" s="100" t="str">
        <f>R1083</f>
        <v>Film:  Maximum variation of 0.4 O.D.</v>
      </c>
      <c r="K1083" s="71"/>
      <c r="L1083" s="676" t="s">
        <v>411</v>
      </c>
      <c r="M1083" s="127"/>
      <c r="O1083" s="132"/>
      <c r="Q1083" s="132" t="s">
        <v>226</v>
      </c>
      <c r="R1083" s="100" t="s">
        <v>1031</v>
      </c>
      <c r="W1083" s="39"/>
      <c r="X1083" s="664" t="s">
        <v>411</v>
      </c>
    </row>
    <row r="1084" spans="1:24" ht="11.25" customHeight="1">
      <c r="A1084" s="611">
        <v>28</v>
      </c>
      <c r="B1084" s="127"/>
      <c r="F1084" s="100" t="str">
        <f>R1084</f>
        <v>Exposure &amp; AEC Meter:  Max. Variation 35%</v>
      </c>
      <c r="K1084" s="71"/>
      <c r="L1084" s="676" t="s">
        <v>411</v>
      </c>
      <c r="M1084" s="127"/>
      <c r="R1084" s="100" t="s">
        <v>1030</v>
      </c>
      <c r="W1084" s="39"/>
      <c r="X1084" s="664" t="s">
        <v>411</v>
      </c>
    </row>
    <row r="1085" spans="1:24" ht="11.25" customHeight="1">
      <c r="A1085" s="611">
        <v>29</v>
      </c>
      <c r="B1085" s="127"/>
      <c r="E1085" s="338" t="s">
        <v>227</v>
      </c>
      <c r="F1085" s="100" t="str">
        <f>R1085</f>
        <v>Coefficient of variation &lt;= 5% for each detector</v>
      </c>
      <c r="K1085" s="71"/>
      <c r="L1085" s="676" t="s">
        <v>411</v>
      </c>
      <c r="M1085" s="127"/>
      <c r="Q1085" s="338" t="s">
        <v>227</v>
      </c>
      <c r="R1085" s="100" t="s">
        <v>228</v>
      </c>
      <c r="W1085" s="39"/>
      <c r="X1085" s="664" t="s">
        <v>411</v>
      </c>
    </row>
    <row r="1086" spans="1:24" ht="11.25" customHeight="1">
      <c r="A1086" s="611">
        <v>30</v>
      </c>
      <c r="B1086" s="127"/>
      <c r="K1086" s="71"/>
      <c r="L1086" s="676" t="s">
        <v>411</v>
      </c>
      <c r="M1086" s="127"/>
      <c r="W1086" s="71"/>
      <c r="X1086" s="664" t="s">
        <v>411</v>
      </c>
    </row>
    <row r="1087" spans="1:24" ht="11.25" customHeight="1">
      <c r="A1087" s="611">
        <v>31</v>
      </c>
      <c r="B1087" s="191" t="s">
        <v>229</v>
      </c>
      <c r="C1087" s="1"/>
      <c r="D1087" s="1"/>
      <c r="E1087" s="1"/>
      <c r="F1087" s="1"/>
      <c r="G1087" s="1"/>
      <c r="H1087" s="1"/>
      <c r="I1087" s="1"/>
      <c r="J1087" s="1"/>
      <c r="K1087" s="71"/>
      <c r="L1087" s="676" t="s">
        <v>411</v>
      </c>
      <c r="M1087" s="127"/>
      <c r="W1087" s="71"/>
      <c r="X1087" s="664" t="s">
        <v>411</v>
      </c>
    </row>
    <row r="1088" spans="1:24" ht="11.25" customHeight="1">
      <c r="A1088" s="611">
        <v>32</v>
      </c>
      <c r="B1088" s="45"/>
      <c r="C1088" s="37" t="s">
        <v>610</v>
      </c>
      <c r="D1088" s="2" t="str">
        <f t="shared" ref="D1088:D1094" si="148">IF(P1089="","",P1089)</f>
        <v/>
      </c>
      <c r="E1088" s="1"/>
      <c r="F1088" s="37" t="s">
        <v>230</v>
      </c>
      <c r="G1088" s="2" t="str">
        <f>IF(S1089="","",S1089)</f>
        <v/>
      </c>
      <c r="H1088" s="1"/>
      <c r="I1088" s="37" t="s">
        <v>231</v>
      </c>
      <c r="J1088" s="2" t="str">
        <f t="shared" ref="J1088:J1094" si="149">IF(V1089="","",V1089)</f>
        <v/>
      </c>
      <c r="K1088" s="71"/>
      <c r="L1088" s="676" t="s">
        <v>411</v>
      </c>
      <c r="M1088" s="127"/>
      <c r="N1088" s="194" t="s">
        <v>229</v>
      </c>
      <c r="O1088" s="1"/>
      <c r="P1088" s="1"/>
      <c r="Q1088" s="1"/>
      <c r="R1088" s="376"/>
      <c r="S1088" s="1"/>
      <c r="T1088" s="1"/>
      <c r="U1088" s="1"/>
      <c r="V1088" s="1"/>
      <c r="W1088" s="39"/>
      <c r="X1088" s="664" t="s">
        <v>411</v>
      </c>
    </row>
    <row r="1089" spans="1:30" ht="11.25" customHeight="1">
      <c r="A1089" s="611">
        <v>33</v>
      </c>
      <c r="B1089" s="45" t="s">
        <v>232</v>
      </c>
      <c r="C1089" s="30" t="s">
        <v>233</v>
      </c>
      <c r="D1089" s="429">
        <f t="shared" si="148"/>
        <v>60</v>
      </c>
      <c r="E1089" s="30" t="s">
        <v>234</v>
      </c>
      <c r="F1089" s="429">
        <f t="shared" ref="F1089:F1094" si="150">IF(R1090="","",R1090)</f>
        <v>80</v>
      </c>
      <c r="G1089" s="30" t="s">
        <v>235</v>
      </c>
      <c r="H1089" s="429">
        <f t="shared" ref="H1089:H1094" si="151">IF(T1090="","",T1090)</f>
        <v>100</v>
      </c>
      <c r="I1089" s="30" t="s">
        <v>236</v>
      </c>
      <c r="J1089" s="430">
        <f t="shared" si="149"/>
        <v>120</v>
      </c>
      <c r="K1089" s="71"/>
      <c r="L1089" s="676" t="s">
        <v>411</v>
      </c>
      <c r="M1089" s="127"/>
      <c r="N1089" s="1"/>
      <c r="O1089" s="37" t="s">
        <v>610</v>
      </c>
      <c r="P1089" s="788" t="str">
        <f>IF(Q1063="","",Q1063)</f>
        <v/>
      </c>
      <c r="Q1089" s="1"/>
      <c r="R1089" s="37" t="s">
        <v>230</v>
      </c>
      <c r="S1089" s="788" t="str">
        <f>IF(Q1064="","",Q1064)</f>
        <v/>
      </c>
      <c r="T1089" s="1"/>
      <c r="U1089" s="37" t="s">
        <v>231</v>
      </c>
      <c r="V1089" s="789" t="str">
        <f>IF(O1027="","",O1027)</f>
        <v/>
      </c>
      <c r="W1089" s="39"/>
      <c r="X1089" s="664" t="s">
        <v>411</v>
      </c>
    </row>
    <row r="1090" spans="1:30" ht="11.25" customHeight="1" thickBot="1">
      <c r="A1090" s="611">
        <v>34</v>
      </c>
      <c r="B1090" s="7" t="s">
        <v>237</v>
      </c>
      <c r="C1090" s="7" t="str">
        <f>IF(O1091="","",O1091)</f>
        <v>Meter</v>
      </c>
      <c r="D1090" s="23" t="str">
        <f t="shared" si="148"/>
        <v>mAs</v>
      </c>
      <c r="E1090" s="7" t="str">
        <f>IF(Q1091="","",Q1091)</f>
        <v>Meter</v>
      </c>
      <c r="F1090" s="23" t="str">
        <f t="shared" si="150"/>
        <v>mAs</v>
      </c>
      <c r="G1090" s="7" t="str">
        <f>IF(S1091="","",S1091)</f>
        <v>Meter</v>
      </c>
      <c r="H1090" s="23" t="str">
        <f t="shared" si="151"/>
        <v>mAs</v>
      </c>
      <c r="I1090" s="7" t="str">
        <f>IF(U1091="","",U1091)</f>
        <v>Meter</v>
      </c>
      <c r="J1090" s="729" t="str">
        <f t="shared" si="149"/>
        <v>mAs</v>
      </c>
      <c r="K1090" s="71"/>
      <c r="L1090" s="676" t="s">
        <v>411</v>
      </c>
      <c r="M1090" s="127"/>
      <c r="N1090" s="4" t="s">
        <v>232</v>
      </c>
      <c r="O1090" s="30" t="s">
        <v>233</v>
      </c>
      <c r="P1090" s="791">
        <f>$Q$694</f>
        <v>60</v>
      </c>
      <c r="Q1090" s="728" t="s">
        <v>234</v>
      </c>
      <c r="R1090" s="791">
        <f>$Q$695</f>
        <v>80</v>
      </c>
      <c r="S1090" s="728" t="s">
        <v>235</v>
      </c>
      <c r="T1090" s="791">
        <f>$Q$696</f>
        <v>100</v>
      </c>
      <c r="U1090" s="728" t="s">
        <v>236</v>
      </c>
      <c r="V1090" s="791">
        <f>$Q$697</f>
        <v>120</v>
      </c>
      <c r="W1090" s="39"/>
      <c r="X1090" s="664" t="s">
        <v>411</v>
      </c>
    </row>
    <row r="1091" spans="1:30" ht="11.25" customHeight="1" thickBot="1">
      <c r="A1091" s="611">
        <v>35</v>
      </c>
      <c r="B1091" s="296">
        <f>N1092</f>
        <v>10</v>
      </c>
      <c r="C1091" s="24" t="e">
        <f>IF(OR(MAX($O1092,$Q1092,$S1092,$U1092)=0,O1092=""),NA(),O1092)</f>
        <v>#N/A</v>
      </c>
      <c r="D1091" s="17" t="str">
        <f t="shared" si="148"/>
        <v/>
      </c>
      <c r="E1091" s="24" t="e">
        <f>IF(OR(MAX($O1092,$Q1092,$S1092,$U1092)=0,Q1092=""),NA(),Q1092)</f>
        <v>#N/A</v>
      </c>
      <c r="F1091" s="17" t="str">
        <f t="shared" si="150"/>
        <v/>
      </c>
      <c r="G1091" s="24" t="e">
        <f>IF(OR(MAX($O1092,$Q1092,$S1092,$U1092)=0,S1092=""),NA(),S1092)</f>
        <v>#N/A</v>
      </c>
      <c r="H1091" s="17" t="str">
        <f t="shared" si="151"/>
        <v/>
      </c>
      <c r="I1091" s="24" t="e">
        <f>IF(OR(MAX($O1092,$Q1092,$S1092,$U1092)=0,U1092=""),NA(),U1092)</f>
        <v>#N/A</v>
      </c>
      <c r="J1091" s="17" t="str">
        <f t="shared" si="149"/>
        <v/>
      </c>
      <c r="K1091" s="71"/>
      <c r="L1091" s="676" t="s">
        <v>411</v>
      </c>
      <c r="M1091" s="127"/>
      <c r="N1091" s="6" t="s">
        <v>7</v>
      </c>
      <c r="O1091" s="7" t="str">
        <f>IF(Meter_OD="","",Meter_OD)</f>
        <v>Meter</v>
      </c>
      <c r="P1091" s="6" t="str">
        <f>IF(Time_mAs="","",Time_mAs)</f>
        <v>mAs</v>
      </c>
      <c r="Q1091" s="7" t="str">
        <f>IF(Meter_OD="","",Meter_OD)</f>
        <v>Meter</v>
      </c>
      <c r="R1091" s="6" t="str">
        <f>IF(Time_mAs="","",Time_mAs)</f>
        <v>mAs</v>
      </c>
      <c r="S1091" s="7" t="str">
        <f>IF(Meter_OD="","",Meter_OD)</f>
        <v>Meter</v>
      </c>
      <c r="T1091" s="6" t="str">
        <f>IF(Time_mAs="","",Time_mAs)</f>
        <v>mAs</v>
      </c>
      <c r="U1091" s="7" t="str">
        <f>IF(Meter_OD="","",Meter_OD)</f>
        <v>Meter</v>
      </c>
      <c r="V1091" s="6" t="str">
        <f>IF(Time_mAs="","",Time_mAs)</f>
        <v>mAs</v>
      </c>
      <c r="W1091" s="39"/>
      <c r="X1091" s="664" t="s">
        <v>411</v>
      </c>
    </row>
    <row r="1092" spans="1:30" ht="11.25" customHeight="1">
      <c r="A1092" s="611">
        <v>36</v>
      </c>
      <c r="B1092" s="296">
        <f>N1093</f>
        <v>15</v>
      </c>
      <c r="C1092" s="24" t="e">
        <f>IF(OR(MAX($O1093,$Q1093,$S1093,$U1093)=0,O1093=""),NA(),O1093)</f>
        <v>#N/A</v>
      </c>
      <c r="D1092" s="17" t="str">
        <f t="shared" si="148"/>
        <v/>
      </c>
      <c r="E1092" s="24" t="e">
        <f>IF(OR(MAX($O1093,$Q1093,$S1093,$U1093)=0,Q1093=""),NA(),Q1093)</f>
        <v>#N/A</v>
      </c>
      <c r="F1092" s="17" t="str">
        <f t="shared" si="150"/>
        <v/>
      </c>
      <c r="G1092" s="24" t="e">
        <f>IF(OR(MAX($O1093,$Q1093,$S1093,$U1093)=0,S1093=""),NA(),S1093)</f>
        <v>#N/A</v>
      </c>
      <c r="H1092" s="17" t="str">
        <f t="shared" si="151"/>
        <v/>
      </c>
      <c r="I1092" s="24" t="e">
        <f>IF(OR(MAX($O1093,$Q1093,$S1093,$U1093)=0,U1093=""),NA(),U1093)</f>
        <v>#N/A</v>
      </c>
      <c r="J1092" s="17" t="str">
        <f t="shared" si="149"/>
        <v/>
      </c>
      <c r="K1092" s="71"/>
      <c r="L1092" s="676" t="s">
        <v>411</v>
      </c>
      <c r="M1092" s="127"/>
      <c r="N1092" s="370">
        <v>10</v>
      </c>
      <c r="O1092" s="647"/>
      <c r="P1092" s="960"/>
      <c r="Q1092" s="647"/>
      <c r="R1092" s="960"/>
      <c r="S1092" s="647"/>
      <c r="T1092" s="960"/>
      <c r="U1092" s="965"/>
      <c r="V1092" s="961"/>
      <c r="W1092" s="71"/>
      <c r="X1092" s="664" t="s">
        <v>411</v>
      </c>
      <c r="AD1092" s="457"/>
    </row>
    <row r="1093" spans="1:30" ht="11.25" customHeight="1">
      <c r="A1093" s="611">
        <v>37</v>
      </c>
      <c r="B1093" s="296">
        <f>N1094</f>
        <v>20</v>
      </c>
      <c r="C1093" s="24" t="e">
        <f>IF(OR(MAX($O1094,$Q1094,$S1094,$U1094)=0,O1094=""),NA(),O1094)</f>
        <v>#N/A</v>
      </c>
      <c r="D1093" s="17" t="str">
        <f t="shared" si="148"/>
        <v/>
      </c>
      <c r="E1093" s="24" t="e">
        <f>IF(OR(MAX($O1094,$Q1094,$S1094,$U1094)=0,Q1094=""),NA(),Q1094)</f>
        <v>#N/A</v>
      </c>
      <c r="F1093" s="17" t="str">
        <f t="shared" si="150"/>
        <v/>
      </c>
      <c r="G1093" s="24" t="e">
        <f>IF(OR(MAX($O1094,$Q1094,$S1094,$U1094)=0,S1094=""),NA(),S1094)</f>
        <v>#N/A</v>
      </c>
      <c r="H1093" s="17" t="str">
        <f t="shared" si="151"/>
        <v/>
      </c>
      <c r="I1093" s="24" t="e">
        <f>IF(OR(MAX($O1094,$Q1094,$S1094,$U1094)=0,U1094=""),NA(),U1094)</f>
        <v>#N/A</v>
      </c>
      <c r="J1093" s="17" t="str">
        <f t="shared" si="149"/>
        <v/>
      </c>
      <c r="K1093" s="71"/>
      <c r="L1093" s="676" t="s">
        <v>411</v>
      </c>
      <c r="M1093" s="45"/>
      <c r="N1093" s="370">
        <v>15</v>
      </c>
      <c r="O1093" s="647"/>
      <c r="P1093" s="960"/>
      <c r="Q1093" s="647"/>
      <c r="R1093" s="960"/>
      <c r="S1093" s="647"/>
      <c r="T1093" s="960"/>
      <c r="U1093" s="647"/>
      <c r="V1093" s="960"/>
      <c r="W1093" s="39"/>
      <c r="X1093" s="664" t="s">
        <v>411</v>
      </c>
      <c r="AD1093" s="457"/>
    </row>
    <row r="1094" spans="1:30" ht="11.25" customHeight="1">
      <c r="A1094" s="611">
        <v>38</v>
      </c>
      <c r="B1094" s="296">
        <f>N1095</f>
        <v>25</v>
      </c>
      <c r="C1094" s="24" t="e">
        <f>IF(OR(MAX($O1095,$Q1095,$S1095,$U1095)=0,O1095=""),NA(),O1095)</f>
        <v>#N/A</v>
      </c>
      <c r="D1094" s="17" t="str">
        <f t="shared" si="148"/>
        <v/>
      </c>
      <c r="E1094" s="24" t="e">
        <f>IF(OR(MAX($O1095,$Q1095,$S1095,$U1095)=0,Q1095=""),NA(),Q1095)</f>
        <v>#N/A</v>
      </c>
      <c r="F1094" s="17" t="str">
        <f t="shared" si="150"/>
        <v/>
      </c>
      <c r="G1094" s="24" t="e">
        <f>IF(OR(MAX($O1095,$Q1095,$S1095,$U1095)=0,S1095=""),NA(),S1095)</f>
        <v>#N/A</v>
      </c>
      <c r="H1094" s="17" t="str">
        <f t="shared" si="151"/>
        <v/>
      </c>
      <c r="I1094" s="24" t="e">
        <f>IF(OR(MAX($O1095,$Q1095,$S1095,$U1095)=0,U1095=""),NA(),U1095)</f>
        <v>#N/A</v>
      </c>
      <c r="J1094" s="17" t="str">
        <f t="shared" si="149"/>
        <v/>
      </c>
      <c r="K1094" s="71"/>
      <c r="L1094" s="676" t="s">
        <v>411</v>
      </c>
      <c r="M1094" s="45"/>
      <c r="N1094" s="370">
        <v>20</v>
      </c>
      <c r="O1094" s="647"/>
      <c r="P1094" s="960"/>
      <c r="Q1094" s="647"/>
      <c r="R1094" s="960"/>
      <c r="S1094" s="647"/>
      <c r="T1094" s="960"/>
      <c r="U1094" s="647"/>
      <c r="V1094" s="960"/>
      <c r="W1094" s="39"/>
      <c r="X1094" s="664" t="s">
        <v>411</v>
      </c>
      <c r="AD1094" s="457"/>
    </row>
    <row r="1095" spans="1:30" ht="11.25" customHeight="1" thickBot="1">
      <c r="A1095" s="611">
        <v>39</v>
      </c>
      <c r="B1095" s="127"/>
      <c r="K1095" s="71"/>
      <c r="L1095" s="676" t="s">
        <v>411</v>
      </c>
      <c r="M1095" s="45"/>
      <c r="N1095" s="370">
        <v>25</v>
      </c>
      <c r="O1095" s="965"/>
      <c r="P1095" s="961"/>
      <c r="Q1095" s="647"/>
      <c r="R1095" s="960"/>
      <c r="S1095" s="647"/>
      <c r="T1095" s="960"/>
      <c r="U1095" s="647"/>
      <c r="V1095" s="960"/>
      <c r="W1095" s="39"/>
      <c r="X1095" s="664" t="s">
        <v>411</v>
      </c>
      <c r="AD1095" s="457"/>
    </row>
    <row r="1096" spans="1:30" ht="11.25" customHeight="1" thickBot="1">
      <c r="A1096" s="611">
        <v>40</v>
      </c>
      <c r="B1096" s="287" t="s">
        <v>238</v>
      </c>
      <c r="C1096" s="888" t="str">
        <f t="shared" ref="C1096:J1098" si="152">IF(O1097="","",O1097)</f>
        <v>@60 kVp:</v>
      </c>
      <c r="D1096" s="1086" t="str">
        <f t="shared" si="152"/>
        <v/>
      </c>
      <c r="E1096" s="888" t="str">
        <f t="shared" si="152"/>
        <v>@80 kVp:</v>
      </c>
      <c r="F1096" s="1086" t="str">
        <f t="shared" si="152"/>
        <v/>
      </c>
      <c r="G1096" s="888" t="str">
        <f t="shared" si="152"/>
        <v>@100 kVp:</v>
      </c>
      <c r="H1096" s="1086" t="str">
        <f t="shared" si="152"/>
        <v/>
      </c>
      <c r="I1096" s="888" t="str">
        <f t="shared" si="152"/>
        <v>@120 kVp:</v>
      </c>
      <c r="J1096" s="1087" t="str">
        <f t="shared" si="152"/>
        <v/>
      </c>
      <c r="K1096" s="71"/>
      <c r="L1096" s="676" t="s">
        <v>411</v>
      </c>
      <c r="M1096" s="45"/>
      <c r="N1096" s="1"/>
      <c r="O1096" s="1"/>
      <c r="P1096" s="1"/>
      <c r="Q1096" s="1"/>
      <c r="R1096" s="1"/>
      <c r="S1096" s="1"/>
      <c r="T1096" s="1"/>
      <c r="U1096" s="1"/>
      <c r="V1096" s="1"/>
      <c r="W1096" s="39"/>
      <c r="X1096" s="664" t="s">
        <v>411</v>
      </c>
    </row>
    <row r="1097" spans="1:30" ht="11.25" customHeight="1" thickBot="1">
      <c r="A1097" s="611">
        <v>41</v>
      </c>
      <c r="B1097" s="287" t="s">
        <v>569</v>
      </c>
      <c r="C1097" s="1262" t="str">
        <f>IF(O1098="","",O1098)</f>
        <v>NA</v>
      </c>
      <c r="D1097" s="1296"/>
      <c r="E1097" s="1262" t="str">
        <f>IF(Q1098="","",Q1098)</f>
        <v>NA</v>
      </c>
      <c r="F1097" s="1296"/>
      <c r="G1097" s="1262" t="str">
        <f>IF(S1098="","",S1098)</f>
        <v>NA</v>
      </c>
      <c r="H1097" s="1296"/>
      <c r="I1097" s="1262" t="str">
        <f>IF(U1098="","",U1098)</f>
        <v>NA</v>
      </c>
      <c r="J1097" s="1263"/>
      <c r="K1097" s="71"/>
      <c r="L1097" s="676" t="s">
        <v>411</v>
      </c>
      <c r="M1097" s="598" t="s">
        <v>239</v>
      </c>
      <c r="N1097" s="419" t="s">
        <v>238</v>
      </c>
      <c r="O1097" s="43" t="str">
        <f>"@"&amp;P1090&amp;" kVp:"</f>
        <v>@60 kVp:</v>
      </c>
      <c r="P1097" s="1047" t="str">
        <f>IF(MIN(O1092:O1095)=0,"",IF(O1091="Film O.D.",ROUND(O1110,2)&amp;" O.D.",IF(O1091="lgM",ROUND(O1110,2)&amp;" lgM",ROUND(O1110/AVERAGE(O1092:O1095),2))))</f>
        <v/>
      </c>
      <c r="Q1097" s="32" t="str">
        <f>"@"&amp;R1090&amp;" kVp:"</f>
        <v>@80 kVp:</v>
      </c>
      <c r="R1097" s="1047" t="str">
        <f>IF(MIN(Q1092:Q1095)=0,"",IF(Q1091="Film O.D.",ROUND(Q1110,2)&amp;" O.D.",IF(Q1091="lgM",ROUND(Q1110,2)&amp;" lgM",ROUND(Q1110/AVERAGE(Q1092:Q1095),2))))</f>
        <v/>
      </c>
      <c r="S1097" s="32" t="str">
        <f>"@"&amp;T1090&amp;" kVp:"</f>
        <v>@100 kVp:</v>
      </c>
      <c r="T1097" s="1047" t="str">
        <f>IF(MIN(S1092:S1095)=0,"",IF(S1091="Film O.D.",ROUND(S1110,2)&amp;" O.D.",IF(S1091="lgM",ROUND(S1110,2)&amp;" lgM",ROUND(S1110/AVERAGE(S1092:S1095),2))))</f>
        <v/>
      </c>
      <c r="U1097" s="32" t="str">
        <f>"@"&amp;V1090&amp;" kVp:"</f>
        <v>@120 kVp:</v>
      </c>
      <c r="V1097" s="1049" t="str">
        <f>IF(MIN(U1092:U1095)=0,"",IF(U1091="Film O.D.",ROUND(U1110,2)&amp;" O.D.",IF(U1091="lgM",ROUND(U1110,2)&amp;" lgM",ROUND(U1110/AVERAGE(U1092:U1095),2))))</f>
        <v/>
      </c>
      <c r="W1097" s="71"/>
      <c r="X1097" s="664" t="s">
        <v>411</v>
      </c>
    </row>
    <row r="1098" spans="1:30" ht="11.25" customHeight="1" thickBot="1">
      <c r="A1098" s="611">
        <v>42</v>
      </c>
      <c r="B1098" s="213" t="s">
        <v>240</v>
      </c>
      <c r="C1098" s="888" t="str">
        <f t="shared" si="152"/>
        <v>@ 10 cm.:</v>
      </c>
      <c r="D1098" s="1086" t="str">
        <f t="shared" si="152"/>
        <v/>
      </c>
      <c r="E1098" s="888" t="str">
        <f t="shared" si="152"/>
        <v>@ 15 cm.:</v>
      </c>
      <c r="F1098" s="1086" t="str">
        <f t="shared" si="152"/>
        <v/>
      </c>
      <c r="G1098" s="888" t="str">
        <f t="shared" si="152"/>
        <v>@ 20 cm.:</v>
      </c>
      <c r="H1098" s="1086" t="str">
        <f t="shared" si="152"/>
        <v/>
      </c>
      <c r="I1098" s="888" t="str">
        <f t="shared" si="152"/>
        <v>@ 25 cm.:</v>
      </c>
      <c r="J1098" s="1086" t="str">
        <f t="shared" si="152"/>
        <v/>
      </c>
      <c r="K1098" s="71"/>
      <c r="L1098" s="676" t="s">
        <v>411</v>
      </c>
      <c r="M1098" s="127"/>
      <c r="N1098" s="780" t="s">
        <v>569</v>
      </c>
      <c r="O1098" s="1264" t="str">
        <f>IF(P1097="","NA",IF(OR(AND(O1092=0,O1093=0),AND(O1093="",O1094=""),AND(O1092="",O1094="")),"",IF(O1091="Film O.D.",IF(O1110&gt;0.3,"NO","YES"),IF(O1091="lgM",IF(O1110&gt;0.2,"NO","YES"),IF(P1097&lt;=0.3,"YES","NO")))))</f>
        <v>NA</v>
      </c>
      <c r="P1098" s="1265"/>
      <c r="Q1098" s="1284" t="str">
        <f>IF(R1097="","NA",IF(OR(AND(Q1092=0,Q1093=0),AND(Q1093="",Q1094=""),AND(Q1092="",Q1094="")),"",IF(Q1091="Film O.D.",IF(Q1110&gt;0.3,"NO","YES"),IF(Q1091="lgM",IF(Q1110&gt;0.2,"NO","YES"),IF(R1097&lt;=0.3,"YES","NO")))))</f>
        <v>NA</v>
      </c>
      <c r="R1098" s="1265"/>
      <c r="S1098" s="1284" t="str">
        <f>IF(T1097="","NA",IF(OR(AND(S1092=0,S1093=0),AND(S1093="",S1094=""),AND(S1092="",S1094="")),"",IF(S1091="Film O.D.",IF(S1110&gt;0.3,"NO","YES"),IF(S1091="lgM",IF(S1110&gt;0.2,"NO","YES"),IF(T1097&lt;=0.3,"YES","NO")))))</f>
        <v>NA</v>
      </c>
      <c r="T1098" s="1265"/>
      <c r="U1098" s="1284" t="str">
        <f>IF(V1097="","NA",IF(OR(AND(U1092=0,U1093=0),AND(U1093="",U1094=""),AND(U1092="",U1094="")),"",IF(U1091="Film O.D.",IF(U1110&gt;0.3,"NO","YES"),IF(U1091="lgM",IF(U1110&gt;0.2,"NO","YES"),IF(V1097&lt;=0.3,"YES","NO")))))</f>
        <v>NA</v>
      </c>
      <c r="V1098" s="1265"/>
      <c r="W1098" s="39"/>
      <c r="X1098" s="664" t="s">
        <v>411</v>
      </c>
      <c r="Y1098" s="457" t="s">
        <v>1020</v>
      </c>
      <c r="Z1098" s="457">
        <f>MAX(O1092:O1094,Q1092:Q1095,S1092:S1095,U1093:U1095)</f>
        <v>0</v>
      </c>
    </row>
    <row r="1099" spans="1:30" ht="11.25" customHeight="1" thickBot="1">
      <c r="A1099" s="611">
        <v>43</v>
      </c>
      <c r="B1099" s="287" t="s">
        <v>569</v>
      </c>
      <c r="C1099" s="1262" t="str">
        <f>IF(O1100="","",O1100)</f>
        <v>NA</v>
      </c>
      <c r="D1099" s="1296"/>
      <c r="E1099" s="1262" t="str">
        <f>IF(Q1100="","",Q1100)</f>
        <v>NA</v>
      </c>
      <c r="F1099" s="1296"/>
      <c r="G1099" s="1262" t="str">
        <f>IF(S1100="","",S1100)</f>
        <v>NA</v>
      </c>
      <c r="H1099" s="1296"/>
      <c r="I1099" s="1262" t="str">
        <f>IF(U1100="","",U1100)</f>
        <v>NA</v>
      </c>
      <c r="J1099" s="1263"/>
      <c r="K1099" s="71"/>
      <c r="L1099" s="676" t="s">
        <v>411</v>
      </c>
      <c r="M1099" s="127"/>
      <c r="N1099" s="420" t="s">
        <v>240</v>
      </c>
      <c r="O1099" s="41" t="str">
        <f>"@ "&amp;N1092&amp;" cm.:"</f>
        <v>@ 10 cm.:</v>
      </c>
      <c r="P1099" s="1048" t="str">
        <f>IF(MIN($O1092,$Q1092,$S1092,$U1092)=0,"",IF(O1091="Film O.D.",ROUND(O1111,2)&amp;" O.D.",IF(O1091="lgM",ROUND(O1111,2)&amp;" lgM",ROUND(O1111/AVERAGE($O1092,$Q1092,$S1092,$U1092),2))))</f>
        <v/>
      </c>
      <c r="Q1099" s="40" t="str">
        <f>"@ "&amp;N1093&amp;" cm.:"</f>
        <v>@ 15 cm.:</v>
      </c>
      <c r="R1099" s="1048" t="str">
        <f>IF(MIN($O1093,$Q1093,$S1093,$U1093)=0,"",IF(Q1091="Film O.D.",ROUND(Q1111,2)&amp;" O.D.",IF(Q1091="lgM",ROUND(Q1111,2)&amp;" lgM",ROUND(Q1111/AVERAGE($O1093,$Q1093,$S1093,$U1093),2))))</f>
        <v/>
      </c>
      <c r="S1099" s="40" t="str">
        <f>"@ "&amp;N1094&amp;" cm.:"</f>
        <v>@ 20 cm.:</v>
      </c>
      <c r="T1099" s="1048" t="str">
        <f>IF(MIN($O1094,$Q1094,$S1094,$U1094)=0,"",IF(S1091="Film O.D.",ROUND(S1111,2)&amp;" O.D.",IF(S1091="lgM",ROUND(S1111,2)&amp;" lgM",ROUND(S1111/AVERAGE($O1094,$Q1094,$S1094,$U1094),2))))</f>
        <v/>
      </c>
      <c r="U1099" s="40" t="str">
        <f>"@ "&amp;N1095&amp;" cm.:"</f>
        <v>@ 25 cm.:</v>
      </c>
      <c r="V1099" s="1048" t="str">
        <f>IF(MIN($O1095,$Q1095,$S1095,$U1095)=0,"",IF(U1091="Film O.D.",ROUND(U1111,2)&amp;" O.D.",IF(U1091="lgM",ROUND(U1111,2)&amp;" lgM",ROUND(U1111/AVERAGE($O1095,$Q1095,$S1095,$U1095),2))))</f>
        <v/>
      </c>
      <c r="W1099" s="71"/>
      <c r="X1099" s="664" t="s">
        <v>411</v>
      </c>
      <c r="Y1099" s="457" t="s">
        <v>33</v>
      </c>
      <c r="Z1099" s="457">
        <f>MIN(O1092:O1094,Q1092:Q1095,S1092:S1095,U1093:U1095)</f>
        <v>0</v>
      </c>
    </row>
    <row r="1100" spans="1:30" ht="11.25" customHeight="1" thickBot="1">
      <c r="A1100" s="611">
        <v>44</v>
      </c>
      <c r="B1100" s="127"/>
      <c r="E1100" s="142"/>
      <c r="F1100" s="143" t="s">
        <v>241</v>
      </c>
      <c r="G1100" s="1088" t="str">
        <f>IF(S1101="","",S1101)</f>
        <v/>
      </c>
      <c r="H1100" s="140" t="s">
        <v>569</v>
      </c>
      <c r="I1100" s="141" t="str">
        <f>IF(U1101="","",U1101)</f>
        <v>NA</v>
      </c>
      <c r="K1100" s="69"/>
      <c r="L1100" s="676" t="s">
        <v>411</v>
      </c>
      <c r="M1100" s="127"/>
      <c r="N1100" s="780" t="s">
        <v>569</v>
      </c>
      <c r="O1100" s="1264" t="str">
        <f>IF(P1099="","NA",IF(OR(AND(O1092=0,Q1092=0),AND(Q1092="",S1092=""),AND(O1092="",S1092="")),"",IF(O1091="Film O.D.",IF(O1111&gt;0.3,"NO","YES"),IF(O1091="lgM",IF(O1111&gt;0.2,"NO","YES"),IF(P1099&lt;=0.3,"YES","NO")))))</f>
        <v>NA</v>
      </c>
      <c r="P1100" s="1265"/>
      <c r="Q1100" s="1284" t="str">
        <f>IF(R1099="","NA",IF(OR(AND(O1093=0,Q1093=0),AND(Q1093="",S1093=""),AND(O1093="",S1093="")),"",IF(Q1091="Film O.D.",IF(Q1111&gt;0.3,"NO","YES"),IF(Q1091="lgM",IF(Q1111&gt;0.2,"NO","YES"),IF(R1099&lt;=0.3,"YES","NO")))))</f>
        <v>NA</v>
      </c>
      <c r="R1100" s="1265"/>
      <c r="S1100" s="1284" t="str">
        <f>IF(T1099="","NA",IF(OR(AND(O1094=0,Q1094=0),AND(Q1094="",S1094=""),AND(O1094="",S1094="")),"",IF(S1091="Film O.D.",IF(S1111&gt;0.3,"NO","YES"),IF(S1091="lgM",IF(S1111&gt;0.2,"NO","YES"),IF(T1099&lt;=0.3,"YES","NO")))))</f>
        <v>NA</v>
      </c>
      <c r="T1100" s="1265"/>
      <c r="U1100" s="1284" t="str">
        <f>IF(V1099="","NA",IF(OR(AND(Q1095=0,S1095=0),AND(S1095="",U1095=""),AND(Q1095="",U1095="")),"",IF(U1091="Film O.D.",IF(U1111&gt;0.3,"NO","YES"),IF(U1091="lgM",IF(U1111&gt;0.2,"NO","YES"),IF(V1099&lt;=0.3,"YES","NO")))))</f>
        <v>NA</v>
      </c>
      <c r="V1100" s="1265"/>
      <c r="W1100" s="71"/>
      <c r="X1100" s="664" t="s">
        <v>411</v>
      </c>
    </row>
    <row r="1101" spans="1:30" ht="11.25" customHeight="1" thickBot="1">
      <c r="A1101" s="611">
        <v>45</v>
      </c>
      <c r="B1101" s="127"/>
      <c r="C1101" s="132" t="s">
        <v>570</v>
      </c>
      <c r="D1101" s="100" t="str">
        <f>P1103</f>
        <v>Film-Max difference 0.3 O.D. for individual kV or thickness; 0.4 O.D. overall</v>
      </c>
      <c r="K1101" s="71"/>
      <c r="L1101" s="676" t="s">
        <v>411</v>
      </c>
      <c r="M1101" s="127"/>
      <c r="Q1101" s="142"/>
      <c r="R1101" s="143" t="s">
        <v>241</v>
      </c>
      <c r="S1101" s="1049" t="str">
        <f>IF(AND(P1097="",R1097="",T1097="",V1097="",P1099="",R1099="",T1099="",V1099=""),"",IF(Q1091="Film O.D.",Q1112&amp;" O.D.",IF(Q1091="lgM",Q1112&amp;" lgM",ROUND(Q1112/AVERAGE(O1092:O1095,Q1092:Q1095,S1092:S1095,U1092:U1095),2))))</f>
        <v/>
      </c>
      <c r="T1101" s="749" t="s">
        <v>569</v>
      </c>
      <c r="U1101" s="740" t="str">
        <f>IF(AND(O1098="NA",Q1098="NA",S1098="NA",U1098="NA",O1100="NA",Q1100="NA",S1100="NA",U1100="NA"),"NA",IF(Q1091="Film O.D.",IF(Q1112&gt;0.4,"NO","YES"),IF(Q1091="lgM",IF(Q1112&gt;0.2,"NO","YES"),IF(ROUND(Q1112/AVERAGE(O1092:O1094,Q1092:Q1095,S1092:S1095,U1093:U1095),2)&lt;=0.35,"YES","NO"))))</f>
        <v>NA</v>
      </c>
      <c r="W1101" s="71"/>
      <c r="X1101" s="664" t="s">
        <v>411</v>
      </c>
    </row>
    <row r="1102" spans="1:30" ht="11.25" customHeight="1">
      <c r="A1102" s="611">
        <v>46</v>
      </c>
      <c r="B1102" s="127"/>
      <c r="D1102" s="342" t="str">
        <f>P1104</f>
        <v>Exposure &amp; AEC Meter-</v>
      </c>
      <c r="K1102" s="71"/>
      <c r="L1102" s="676" t="s">
        <v>411</v>
      </c>
      <c r="M1102" s="127"/>
      <c r="P1102" s="3"/>
      <c r="V1102" s="886" t="str">
        <f>$V$1082</f>
        <v>NOTE: Density step 1 produced a TBD % change</v>
      </c>
      <c r="W1102" s="71"/>
      <c r="X1102" s="664" t="s">
        <v>411</v>
      </c>
    </row>
    <row r="1103" spans="1:30" ht="11.25" customHeight="1">
      <c r="A1103" s="611">
        <v>47</v>
      </c>
      <c r="B1103" s="102" t="s">
        <v>552</v>
      </c>
      <c r="C1103" s="922" t="str">
        <f>IF(O1105="","",IF(LEN(O1105)&lt;=135,O1105,IF(LEN(O1105)&lt;=260,LEFT(O1105,SEARCH(" ",O1105,125)),LEFT(O1105,SEARCH(" ",O1105,130)))))</f>
        <v>Criteria: lgM - Max difference 0.2 lgM for individual kV or thickness; 0.2 lgM overall</v>
      </c>
      <c r="D1103" s="2"/>
      <c r="E1103" s="2"/>
      <c r="F1103" s="2"/>
      <c r="G1103" s="2"/>
      <c r="H1103" s="2"/>
      <c r="I1103" s="2"/>
      <c r="J1103" s="2"/>
      <c r="K1103" s="71"/>
      <c r="L1103" s="676" t="s">
        <v>411</v>
      </c>
      <c r="M1103" s="127"/>
      <c r="O1103" s="132" t="s">
        <v>570</v>
      </c>
      <c r="P1103" s="100" t="s">
        <v>139</v>
      </c>
      <c r="W1103" s="71"/>
      <c r="X1103" s="664" t="s">
        <v>411</v>
      </c>
    </row>
    <row r="1104" spans="1:30" ht="11.25" customHeight="1">
      <c r="A1104" s="611">
        <v>48</v>
      </c>
      <c r="B1104" s="45"/>
      <c r="C1104" s="923" t="str">
        <f>IF(LEN(O1105)&lt;=135,"",IF(LEN(O1105)&lt;=260,RIGHT(O1105,LEN(O1105)-SEARCH(" ",O1105,125)),MID(O1105,SEARCH(" ",O1105,130),IF(LEN(O1105)&lt;=265,LEN(O1105),SEARCH(" ",O1105,255)-SEARCH(" ",O1105,130)))))</f>
        <v/>
      </c>
      <c r="D1104" s="2"/>
      <c r="E1104" s="2"/>
      <c r="F1104" s="2"/>
      <c r="G1104" s="2"/>
      <c r="H1104" s="2"/>
      <c r="I1104" s="2"/>
      <c r="J1104" s="2"/>
      <c r="K1104" s="71"/>
      <c r="L1104" s="676" t="s">
        <v>411</v>
      </c>
      <c r="M1104" s="127"/>
      <c r="P1104" s="338" t="s">
        <v>1032</v>
      </c>
      <c r="Q1104" s="1031" t="s">
        <v>287</v>
      </c>
      <c r="W1104" s="71"/>
      <c r="X1104" s="664" t="s">
        <v>411</v>
      </c>
    </row>
    <row r="1105" spans="1:24" ht="11.25" customHeight="1">
      <c r="A1105" s="611">
        <v>49</v>
      </c>
      <c r="B1105" s="45"/>
      <c r="C1105" s="922" t="str">
        <f>IF(LEN(O1105)&lt;=265,"",RIGHT(O1105,LEN(O1105)-SEARCH(" ",O1105,255)))</f>
        <v/>
      </c>
      <c r="D1105" s="2"/>
      <c r="E1105" s="2"/>
      <c r="F1105" s="2"/>
      <c r="G1105" s="2"/>
      <c r="H1105" s="2"/>
      <c r="I1105" s="2"/>
      <c r="J1105" s="2"/>
      <c r="K1105" s="71"/>
      <c r="L1105" s="676" t="s">
        <v>411</v>
      </c>
      <c r="M1105" s="127"/>
      <c r="N1105" s="577" t="s">
        <v>552</v>
      </c>
      <c r="O1105" s="713" t="str">
        <f>IF(O1107&lt;&gt;"",O1107,IF(OR(AB450=0,AB450=""),"",AB450))</f>
        <v>Criteria: lgM - Max difference 0.2 lgM for individual kV or thickness; 0.2 lgM overall</v>
      </c>
      <c r="P1105" s="48"/>
      <c r="Q1105" s="2"/>
      <c r="R1105" s="2"/>
      <c r="S1105" s="2"/>
      <c r="T1105" s="2"/>
      <c r="U1105" s="2"/>
      <c r="V1105" s="2"/>
      <c r="W1105" s="31"/>
      <c r="X1105" s="664" t="s">
        <v>411</v>
      </c>
    </row>
    <row r="1106" spans="1:24" ht="11.25" customHeight="1">
      <c r="A1106" s="611">
        <v>50</v>
      </c>
      <c r="B1106" s="127"/>
      <c r="K1106" s="71"/>
      <c r="L1106" s="676" t="s">
        <v>411</v>
      </c>
      <c r="M1106" s="85"/>
      <c r="N1106" s="609" t="s">
        <v>282</v>
      </c>
      <c r="O1106" s="59"/>
      <c r="P1106" s="921">
        <f>LEN(O1105)</f>
        <v>86</v>
      </c>
      <c r="Q1106" s="11"/>
      <c r="R1106" s="11"/>
      <c r="S1106" s="11"/>
      <c r="T1106" s="11"/>
      <c r="U1106" s="11"/>
      <c r="V1106" s="11"/>
      <c r="W1106" s="214"/>
      <c r="X1106" s="664" t="s">
        <v>411</v>
      </c>
    </row>
    <row r="1107" spans="1:24" ht="11.25" customHeight="1">
      <c r="A1107" s="611">
        <v>51</v>
      </c>
      <c r="B1107" s="45"/>
      <c r="C1107" s="1"/>
      <c r="D1107" s="1"/>
      <c r="E1107" s="1"/>
      <c r="F1107" s="1"/>
      <c r="G1107" s="1"/>
      <c r="H1107" s="1"/>
      <c r="I1107" s="1"/>
      <c r="J1107" s="1"/>
      <c r="K1107" s="71"/>
      <c r="L1107" s="676" t="s">
        <v>411</v>
      </c>
      <c r="M1107" s="45"/>
      <c r="N1107" s="1024" t="s">
        <v>619</v>
      </c>
      <c r="O1107" s="1026" t="s">
        <v>1072</v>
      </c>
      <c r="P1107" s="2"/>
      <c r="Q1107" s="2"/>
      <c r="R1107" s="2"/>
      <c r="S1107" s="2"/>
      <c r="T1107" s="2"/>
      <c r="U1107" s="2"/>
      <c r="V1107" s="2"/>
      <c r="W1107" s="31"/>
      <c r="X1107" s="664" t="s">
        <v>411</v>
      </c>
    </row>
    <row r="1108" spans="1:24" ht="11.25" customHeight="1" thickBot="1">
      <c r="A1108" s="611">
        <v>52</v>
      </c>
      <c r="B1108" s="45"/>
      <c r="C1108" s="1"/>
      <c r="D1108" s="1"/>
      <c r="E1108" s="1"/>
      <c r="F1108" s="1"/>
      <c r="G1108" s="1"/>
      <c r="H1108" s="1"/>
      <c r="I1108" s="1"/>
      <c r="J1108" s="1"/>
      <c r="K1108" s="71"/>
      <c r="L1108" s="676" t="s">
        <v>411</v>
      </c>
      <c r="M1108" s="45"/>
      <c r="N1108" s="1"/>
      <c r="O1108" s="1"/>
      <c r="P1108" s="1"/>
      <c r="Q1108" s="1"/>
      <c r="R1108" s="1"/>
      <c r="S1108" s="1"/>
      <c r="T1108" s="1"/>
      <c r="U1108" s="1"/>
      <c r="V1108" s="1"/>
      <c r="W1108" s="39"/>
      <c r="X1108" s="664" t="s">
        <v>411</v>
      </c>
    </row>
    <row r="1109" spans="1:24" ht="11.25" customHeight="1">
      <c r="A1109" s="611">
        <v>53</v>
      </c>
      <c r="B1109" s="45"/>
      <c r="C1109" s="1"/>
      <c r="D1109" s="1"/>
      <c r="E1109" s="1"/>
      <c r="F1109" s="1"/>
      <c r="G1109" s="1"/>
      <c r="H1109" s="1"/>
      <c r="I1109" s="1"/>
      <c r="J1109" s="1"/>
      <c r="K1109" s="71"/>
      <c r="L1109" s="676" t="s">
        <v>411</v>
      </c>
      <c r="M1109" s="45"/>
      <c r="N1109" s="954" t="s">
        <v>20</v>
      </c>
      <c r="O1109" s="955"/>
      <c r="P1109" s="955"/>
      <c r="Q1109" s="955"/>
      <c r="R1109" s="955"/>
      <c r="S1109" s="955"/>
      <c r="T1109" s="955"/>
      <c r="U1109" s="956"/>
      <c r="V1109" s="1"/>
      <c r="W1109" s="39"/>
      <c r="X1109" s="664" t="s">
        <v>411</v>
      </c>
    </row>
    <row r="1110" spans="1:24" ht="11.25" customHeight="1">
      <c r="A1110" s="611">
        <v>54</v>
      </c>
      <c r="B1110" s="45"/>
      <c r="C1110" s="1"/>
      <c r="D1110" s="1"/>
      <c r="E1110" s="1"/>
      <c r="F1110" s="1"/>
      <c r="G1110" s="1"/>
      <c r="H1110" s="1"/>
      <c r="I1110" s="1"/>
      <c r="J1110" s="1"/>
      <c r="K1110" s="71"/>
      <c r="L1110" s="676" t="s">
        <v>411</v>
      </c>
      <c r="M1110" s="45"/>
      <c r="N1110" s="957">
        <f>P1090</f>
        <v>60</v>
      </c>
      <c r="O1110" s="1040">
        <f>MAX(O1092:O1095)-MIN(O1092:O1095)</f>
        <v>0</v>
      </c>
      <c r="P1110" s="958">
        <f>R1090</f>
        <v>80</v>
      </c>
      <c r="Q1110" s="1040">
        <f>MAX(Q1092:Q1095)-MIN(Q1092:Q1095)</f>
        <v>0</v>
      </c>
      <c r="R1110" s="958">
        <f>T1090</f>
        <v>100</v>
      </c>
      <c r="S1110" s="1040">
        <f>MAX(S1092:S1095)-MIN(S1092:S1095)</f>
        <v>0</v>
      </c>
      <c r="T1110" s="958">
        <f>V1090</f>
        <v>120</v>
      </c>
      <c r="U1110" s="1043">
        <f>MAX(U1092:U1095)-MIN(U1092:U1095)</f>
        <v>0</v>
      </c>
      <c r="V1110" s="1"/>
      <c r="W1110" s="39"/>
      <c r="X1110" s="664" t="s">
        <v>411</v>
      </c>
    </row>
    <row r="1111" spans="1:24" ht="11.25" customHeight="1">
      <c r="A1111" s="611">
        <v>55</v>
      </c>
      <c r="B1111" s="45"/>
      <c r="C1111" s="1"/>
      <c r="D1111" s="1"/>
      <c r="E1111" s="1"/>
      <c r="F1111" s="1"/>
      <c r="G1111" s="1"/>
      <c r="H1111" s="1"/>
      <c r="I1111" s="1"/>
      <c r="J1111" s="1"/>
      <c r="K1111" s="71"/>
      <c r="L1111" s="676" t="s">
        <v>411</v>
      </c>
      <c r="M1111" s="45"/>
      <c r="N1111" s="1036">
        <f>N1092</f>
        <v>10</v>
      </c>
      <c r="O1111" s="1041">
        <f>MAX(O1092,Q1092,S1092,U1092)-MIN(O1092,Q1092,S1092,U1092)</f>
        <v>0</v>
      </c>
      <c r="P1111" s="1037">
        <f>N1093</f>
        <v>15</v>
      </c>
      <c r="Q1111" s="1041">
        <f>MAX(O1093,Q1093,S1093,U1093)-MIN(O1093,Q1093,S1093,U1093)</f>
        <v>0</v>
      </c>
      <c r="R1111" s="1037">
        <f>N1094</f>
        <v>20</v>
      </c>
      <c r="S1111" s="1041">
        <f>MAX(O1094,Q1094,S1094,U1094)-MIN(O1094,Q1094,S1094,U1094)</f>
        <v>0</v>
      </c>
      <c r="T1111" s="1037">
        <f>N1095</f>
        <v>25</v>
      </c>
      <c r="U1111" s="1043">
        <f>MAX(O1095,Q1095,S1095,U1095)-MIN(O1095,Q1095,S1095,U1095)</f>
        <v>0</v>
      </c>
      <c r="V1111" s="1"/>
      <c r="W1111" s="39"/>
      <c r="X1111" s="664" t="s">
        <v>411</v>
      </c>
    </row>
    <row r="1112" spans="1:24" ht="11.25" customHeight="1" thickBot="1">
      <c r="A1112" s="611">
        <v>56</v>
      </c>
      <c r="B1112" s="45"/>
      <c r="C1112" s="1"/>
      <c r="D1112" s="1"/>
      <c r="E1112" s="1"/>
      <c r="F1112" s="1"/>
      <c r="G1112" s="1"/>
      <c r="H1112" s="1"/>
      <c r="I1112" s="1"/>
      <c r="J1112" s="1"/>
      <c r="K1112" s="71"/>
      <c r="L1112" s="676" t="s">
        <v>411</v>
      </c>
      <c r="M1112" s="45"/>
      <c r="N1112" s="206"/>
      <c r="O1112" s="5"/>
      <c r="P1112" s="959" t="s">
        <v>140</v>
      </c>
      <c r="Q1112" s="1042">
        <f>MAX(O1092:O1095,Q1092:Q1095,S1092:S1095,U1092:U1095)-MIN(O1092:O1095,Q1092:Q1095,S1092:S1095,U1092:U1095)</f>
        <v>0</v>
      </c>
      <c r="R1112" s="5"/>
      <c r="S1112" s="5"/>
      <c r="T1112" s="5"/>
      <c r="U1112" s="203"/>
      <c r="V1112" s="1"/>
      <c r="W1112" s="39"/>
      <c r="X1112" s="664" t="s">
        <v>411</v>
      </c>
    </row>
    <row r="1113" spans="1:24" ht="11.25" customHeight="1">
      <c r="A1113" s="611">
        <v>57</v>
      </c>
      <c r="B1113" s="127"/>
      <c r="K1113" s="71"/>
      <c r="L1113" s="676" t="s">
        <v>411</v>
      </c>
      <c r="M1113" s="127"/>
      <c r="W1113" s="71"/>
      <c r="X1113" s="664" t="s">
        <v>411</v>
      </c>
    </row>
    <row r="1114" spans="1:24" ht="11.25" customHeight="1">
      <c r="A1114" s="611">
        <v>58</v>
      </c>
      <c r="B1114" s="127"/>
      <c r="K1114" s="71"/>
      <c r="L1114" s="676" t="s">
        <v>411</v>
      </c>
      <c r="M1114" s="127"/>
      <c r="W1114" s="71"/>
      <c r="X1114" s="664" t="s">
        <v>411</v>
      </c>
    </row>
    <row r="1115" spans="1:24" ht="11.25" customHeight="1">
      <c r="A1115" s="611">
        <v>59</v>
      </c>
      <c r="B1115" s="127"/>
      <c r="K1115" s="71"/>
      <c r="L1115" s="676" t="s">
        <v>411</v>
      </c>
      <c r="M1115" s="127"/>
      <c r="W1115" s="71"/>
      <c r="X1115" s="664" t="s">
        <v>411</v>
      </c>
    </row>
    <row r="1116" spans="1:24" ht="11.25" customHeight="1">
      <c r="A1116" s="611">
        <v>60</v>
      </c>
      <c r="B1116" s="127"/>
      <c r="K1116" s="71"/>
      <c r="L1116" s="676" t="s">
        <v>411</v>
      </c>
      <c r="M1116" s="127"/>
      <c r="W1116" s="71"/>
      <c r="X1116" s="664" t="s">
        <v>411</v>
      </c>
    </row>
    <row r="1117" spans="1:24" ht="11.25" customHeight="1">
      <c r="A1117" s="611">
        <v>61</v>
      </c>
      <c r="B1117" s="127"/>
      <c r="K1117" s="71"/>
      <c r="L1117" s="676" t="s">
        <v>411</v>
      </c>
      <c r="M1117" s="127"/>
      <c r="W1117" s="71"/>
      <c r="X1117" s="664" t="s">
        <v>411</v>
      </c>
    </row>
    <row r="1118" spans="1:24" ht="11.25" customHeight="1">
      <c r="A1118" s="611">
        <v>62</v>
      </c>
      <c r="B1118" s="127"/>
      <c r="K1118" s="71"/>
      <c r="L1118" s="676" t="s">
        <v>411</v>
      </c>
      <c r="M1118" s="127"/>
      <c r="W1118" s="71"/>
      <c r="X1118" s="664" t="s">
        <v>411</v>
      </c>
    </row>
    <row r="1119" spans="1:24" ht="11.25" customHeight="1">
      <c r="A1119" s="611">
        <v>63</v>
      </c>
      <c r="B1119" s="127"/>
      <c r="K1119" s="71"/>
      <c r="L1119" s="676" t="s">
        <v>411</v>
      </c>
      <c r="M1119" s="127"/>
      <c r="W1119" s="71"/>
      <c r="X1119" s="664" t="s">
        <v>411</v>
      </c>
    </row>
    <row r="1120" spans="1:24" ht="11.25" customHeight="1" thickBot="1">
      <c r="A1120" s="611">
        <v>64</v>
      </c>
      <c r="B1120" s="98"/>
      <c r="C1120" s="83"/>
      <c r="D1120" s="83"/>
      <c r="E1120" s="83"/>
      <c r="F1120" s="83"/>
      <c r="G1120" s="83"/>
      <c r="H1120" s="83"/>
      <c r="I1120" s="83"/>
      <c r="J1120" s="83"/>
      <c r="K1120" s="86"/>
      <c r="L1120" s="676" t="s">
        <v>411</v>
      </c>
      <c r="M1120" s="98"/>
      <c r="N1120" s="83"/>
      <c r="O1120" s="83"/>
      <c r="P1120" s="83"/>
      <c r="Q1120" s="83"/>
      <c r="R1120" s="83"/>
      <c r="S1120" s="83"/>
      <c r="T1120" s="83"/>
      <c r="U1120" s="83"/>
      <c r="V1120" s="83"/>
      <c r="W1120" s="86"/>
      <c r="X1120" s="664" t="s">
        <v>411</v>
      </c>
    </row>
    <row r="1121" spans="1:24" ht="11.25" customHeight="1" thickTop="1">
      <c r="A1121" s="611">
        <v>65</v>
      </c>
      <c r="B1121" s="52" t="str">
        <f t="array" ref="B1121:C1122">$B$65:$C$66</f>
        <v>Date:</v>
      </c>
      <c r="C1121" s="1133" t="str">
        <v/>
      </c>
      <c r="D1121" s="116"/>
      <c r="E1121" s="51"/>
      <c r="F1121" s="51"/>
      <c r="G1121" s="51"/>
      <c r="H1121" s="51"/>
      <c r="I1121" s="52" t="str">
        <f t="array" ref="I1121:J1122">$I$65:$J$66</f>
        <v>Inspector:</v>
      </c>
      <c r="J1121" s="421" t="str">
        <v>Eugene Mah</v>
      </c>
      <c r="L1121" s="676" t="s">
        <v>411</v>
      </c>
      <c r="X1121" s="664" t="s">
        <v>411</v>
      </c>
    </row>
    <row r="1122" spans="1:24" ht="11.25" customHeight="1">
      <c r="A1122" s="611">
        <v>66</v>
      </c>
      <c r="B1122" s="52" t="str">
        <v>Room Number:</v>
      </c>
      <c r="C1122" s="373" t="str">
        <v/>
      </c>
      <c r="E1122" s="51"/>
      <c r="F1122" s="51"/>
      <c r="G1122" s="51"/>
      <c r="H1122" s="51"/>
      <c r="I1122" s="52" t="str">
        <v>Survey ID:</v>
      </c>
      <c r="J1122" s="1045" t="str">
        <v/>
      </c>
      <c r="L1122" s="676" t="s">
        <v>411</v>
      </c>
      <c r="X1122" s="664" t="s">
        <v>411</v>
      </c>
    </row>
    <row r="1123" spans="1:24" ht="11.25" customHeight="1">
      <c r="A1123" s="611">
        <v>1</v>
      </c>
      <c r="B1123" s="1"/>
      <c r="C1123" s="1"/>
      <c r="D1123" s="1"/>
      <c r="E1123" s="1"/>
      <c r="H1123" s="1"/>
      <c r="I1123" s="1"/>
      <c r="J1123" s="1"/>
      <c r="K1123" s="131" t="str">
        <f>$F$2</f>
        <v>Medical University of South Carolina</v>
      </c>
      <c r="L1123" s="676" t="s">
        <v>411</v>
      </c>
      <c r="M1123" s="1"/>
      <c r="N1123" s="1"/>
      <c r="O1123" s="1"/>
      <c r="P1123" s="1"/>
      <c r="Q1123" s="1"/>
      <c r="S1123" s="1"/>
      <c r="T1123" s="1"/>
      <c r="U1123" s="1"/>
      <c r="V1123" s="1"/>
      <c r="W1123" s="131" t="str">
        <f>$F$2</f>
        <v>Medical University of South Carolina</v>
      </c>
      <c r="X1123" s="664" t="s">
        <v>411</v>
      </c>
    </row>
    <row r="1124" spans="1:24" ht="11.25" customHeight="1" thickBot="1">
      <c r="A1124" s="611">
        <v>2</v>
      </c>
      <c r="F1124" s="82" t="str">
        <f>$F$464</f>
        <v>Measurement Data</v>
      </c>
      <c r="K1124" s="132" t="str">
        <f>$F$5</f>
        <v>Radiographic System Compliance Inspection</v>
      </c>
      <c r="L1124" s="676" t="s">
        <v>411</v>
      </c>
      <c r="Q1124" s="82" t="str">
        <f>$F$464</f>
        <v>Measurement Data</v>
      </c>
      <c r="W1124" s="132" t="str">
        <f>$F$5</f>
        <v>Radiographic System Compliance Inspection</v>
      </c>
      <c r="X1124" s="664" t="s">
        <v>411</v>
      </c>
    </row>
    <row r="1125" spans="1:24" ht="11.25" customHeight="1" thickTop="1">
      <c r="A1125" s="611">
        <v>3</v>
      </c>
      <c r="B1125" s="79"/>
      <c r="C1125" s="62"/>
      <c r="D1125" s="62"/>
      <c r="E1125" s="62"/>
      <c r="F1125" s="914"/>
      <c r="G1125" s="62"/>
      <c r="H1125" s="62"/>
      <c r="I1125" s="62"/>
      <c r="J1125" s="62"/>
      <c r="K1125" s="80"/>
      <c r="L1125" s="676" t="s">
        <v>411</v>
      </c>
      <c r="M1125" s="79"/>
      <c r="N1125" s="62"/>
      <c r="O1125" s="62"/>
      <c r="P1125" s="62"/>
      <c r="Q1125" s="913" t="s">
        <v>242</v>
      </c>
      <c r="R1125" s="914"/>
      <c r="S1125" s="62"/>
      <c r="T1125" s="62"/>
      <c r="U1125" s="62"/>
      <c r="V1125" s="62"/>
      <c r="W1125" s="80"/>
      <c r="X1125" s="664" t="s">
        <v>411</v>
      </c>
    </row>
    <row r="1126" spans="1:24" ht="11.25" customHeight="1">
      <c r="A1126" s="611">
        <v>4</v>
      </c>
      <c r="B1126" s="127"/>
      <c r="F1126" s="292" t="s">
        <v>242</v>
      </c>
      <c r="K1126" s="71"/>
      <c r="L1126" s="676" t="s">
        <v>411</v>
      </c>
      <c r="M1126" s="127"/>
      <c r="R1126" s="901" t="s">
        <v>347</v>
      </c>
      <c r="S1126" s="901" t="s">
        <v>619</v>
      </c>
      <c r="W1126" s="71"/>
      <c r="X1126" s="664" t="s">
        <v>411</v>
      </c>
    </row>
    <row r="1127" spans="1:24" ht="11.25" customHeight="1">
      <c r="A1127" s="611">
        <v>5</v>
      </c>
      <c r="B1127" s="191" t="s">
        <v>214</v>
      </c>
      <c r="C1127" s="53"/>
      <c r="K1127" s="71"/>
      <c r="L1127" s="676" t="s">
        <v>411</v>
      </c>
      <c r="M1127" s="191" t="s">
        <v>214</v>
      </c>
      <c r="Q1127" s="37" t="s">
        <v>610</v>
      </c>
      <c r="R1127" s="902" t="str">
        <f>IF(S1127&lt;&gt;"",S1127&amp;" "&amp;WBCM_IN,IF(OR(AB532=0,AB532=""),M1003,AB532))</f>
        <v/>
      </c>
      <c r="S1127" s="903"/>
      <c r="W1127" s="71"/>
      <c r="X1127" s="664" t="s">
        <v>411</v>
      </c>
    </row>
    <row r="1128" spans="1:24" ht="11.25" customHeight="1" thickBot="1">
      <c r="A1128" s="611">
        <v>6</v>
      </c>
      <c r="B1128" s="353" t="s">
        <v>338</v>
      </c>
      <c r="C1128" s="352" t="str">
        <f>IF(M1129=1,N1129&amp;IF(M1130=1,"/"&amp;N1130,""),IF(M1130=1,N1130,""))</f>
        <v/>
      </c>
      <c r="D1128" s="53"/>
      <c r="K1128" s="71"/>
      <c r="L1128" s="676" t="s">
        <v>411</v>
      </c>
      <c r="M1128" s="202" t="s">
        <v>417</v>
      </c>
      <c r="O1128" s="53"/>
      <c r="Q1128" s="37" t="s">
        <v>230</v>
      </c>
      <c r="R1128" s="906" t="str">
        <f>IF(S1128&lt;&gt;"",S1128,IF(OR(AB533=0,AB533=""),N1003,AB533))</f>
        <v/>
      </c>
      <c r="S1128" s="907"/>
      <c r="V1128" s="712" t="s">
        <v>376</v>
      </c>
      <c r="W1128" s="756" t="str">
        <f>IF(OR(AB484=0,AB484=""),"",AB484)</f>
        <v/>
      </c>
      <c r="X1128" s="664" t="s">
        <v>411</v>
      </c>
    </row>
    <row r="1129" spans="1:24" ht="11.25" customHeight="1" thickBot="1">
      <c r="A1129" s="611">
        <v>7</v>
      </c>
      <c r="B1129" s="160" t="str">
        <f>IF(R1127="","SID:______","SID:  "&amp;R1127)</f>
        <v>SID:______</v>
      </c>
      <c r="C1129" s="3" t="str">
        <f>IF(R1128="","Detector:________","Detector:  "&amp;R1128)</f>
        <v>Detector:________</v>
      </c>
      <c r="D1129" s="1"/>
      <c r="E1129" s="3" t="str">
        <f>IF(R1130="","Atten. Thick:________","Atten. Thick:  "&amp;ROUND(R1130,2))</f>
        <v>Atten. Thick:  7.87</v>
      </c>
      <c r="F1129" s="3"/>
      <c r="G1129" s="293" t="str">
        <f>IF(R1129="","kVp:_______","kVp:  "&amp;R1129)</f>
        <v>kVp:_______</v>
      </c>
      <c r="H1129" s="3" t="str">
        <f>IF(OR(W1129="NA",W1129=""),"O.D.:_____","O.D.:  "&amp;ROUND(W1129,2))</f>
        <v>O.D.:_____</v>
      </c>
      <c r="I1129" s="140" t="str">
        <f>$V$1130</f>
        <v>Acceptable:</v>
      </c>
      <c r="J1129" s="141" t="str">
        <f>$W$1130</f>
        <v>NA</v>
      </c>
      <c r="K1129" s="71"/>
      <c r="L1129" s="676" t="s">
        <v>411</v>
      </c>
      <c r="M1129" s="649"/>
      <c r="N1129" s="100" t="s">
        <v>339</v>
      </c>
      <c r="Q1129" s="37" t="s">
        <v>606</v>
      </c>
      <c r="R1129" s="900" t="str">
        <f>IF(S1129&lt;&gt;"",S1129,IF(OR(AB534=0,AB534=""),M1008,AB534))</f>
        <v/>
      </c>
      <c r="S1129" s="905"/>
      <c r="T1129" s="54" t="s">
        <v>609</v>
      </c>
      <c r="U1129" s="645"/>
      <c r="V1129" s="54" t="str">
        <f>IF(Meter_OD="","Blank",Meter_OD)</f>
        <v>Meter</v>
      </c>
      <c r="W1129" s="1081" t="s">
        <v>1143</v>
      </c>
      <c r="X1129" s="664" t="s">
        <v>411</v>
      </c>
    </row>
    <row r="1130" spans="1:24" ht="11.25" customHeight="1" thickBot="1">
      <c r="A1130" s="611">
        <v>8</v>
      </c>
      <c r="B1130" s="127"/>
      <c r="G1130" s="593" t="str">
        <f>IF(U1129="","mAs:_______","mAs:  "&amp;ROUND(U1129,1))</f>
        <v>mAs:_______</v>
      </c>
      <c r="K1130" s="71"/>
      <c r="L1130" s="676" t="s">
        <v>411</v>
      </c>
      <c r="M1130" s="649"/>
      <c r="N1130" s="100" t="s">
        <v>340</v>
      </c>
      <c r="Q1130" s="37" t="s">
        <v>215</v>
      </c>
      <c r="R1130" s="899">
        <f>IF(S1130&lt;&gt;"",S1130,IF(OR(AB535=0,AB535=""),N1008,AB535))</f>
        <v>7.8740157480314963</v>
      </c>
      <c r="S1130" s="903"/>
      <c r="T1130" s="1282" t="s">
        <v>342</v>
      </c>
      <c r="U1130" s="1283"/>
      <c r="V1130" s="749" t="s">
        <v>569</v>
      </c>
      <c r="W1130" s="744" t="str">
        <f>IF($W$1129="NA","NA",IF($W$1129="","TBD",IF(AND(M1129=1,M1130&lt;&gt;1),IF(AND($W$1129&gt;=1.9,$W$1129&lt;=2.1),"YES","NO"),IF(AND(M1129&lt;&gt;1,M1130=1),IF(AND($W$1129&gt;=1.9,$W$1129&lt;=2.1),"YES","NO"),IF(AND($W$1129&gt;=1.9,$W$1129&lt;=2.1),"YES","NO")))))</f>
        <v>NA</v>
      </c>
      <c r="X1130" s="664" t="s">
        <v>411</v>
      </c>
    </row>
    <row r="1131" spans="1:24" ht="11.25" customHeight="1">
      <c r="A1131" s="611">
        <v>9</v>
      </c>
      <c r="B1131" s="684"/>
      <c r="D1131" s="132" t="str">
        <f>"Criteria: "&amp;T1131</f>
        <v>Criteria: Radiographic:</v>
      </c>
      <c r="E1131" s="100" t="str">
        <f>U1131</f>
        <v>1.9&lt;=lgM&lt;=2.1</v>
      </c>
      <c r="K1131" s="71"/>
      <c r="L1131" s="676" t="s">
        <v>411</v>
      </c>
      <c r="M1131" s="127"/>
      <c r="T1131" s="132" t="s">
        <v>341</v>
      </c>
      <c r="U1131" s="100" t="s">
        <v>1046</v>
      </c>
      <c r="W1131" s="71"/>
      <c r="X1131" s="664" t="s">
        <v>411</v>
      </c>
    </row>
    <row r="1132" spans="1:24" ht="11.25" customHeight="1">
      <c r="A1132" s="611">
        <v>10</v>
      </c>
      <c r="B1132" s="127"/>
      <c r="D1132" s="132" t="str">
        <f>T1132</f>
        <v>Chest:</v>
      </c>
      <c r="E1132" s="100" t="str">
        <f>U1132</f>
        <v>1.9&lt;=lgM&lt;=2.1</v>
      </c>
      <c r="K1132" s="71"/>
      <c r="L1132" s="676" t="s">
        <v>411</v>
      </c>
      <c r="M1132" s="127"/>
      <c r="T1132" s="132" t="s">
        <v>311</v>
      </c>
      <c r="U1132" s="100" t="s">
        <v>1046</v>
      </c>
      <c r="W1132" s="71"/>
      <c r="X1132" s="664" t="s">
        <v>411</v>
      </c>
    </row>
    <row r="1133" spans="1:24" ht="11.25" customHeight="1">
      <c r="A1133" s="611">
        <v>11</v>
      </c>
      <c r="B1133" s="127"/>
      <c r="K1133" s="71"/>
      <c r="L1133" s="676" t="s">
        <v>411</v>
      </c>
      <c r="M1133" s="127"/>
      <c r="W1133" s="71"/>
      <c r="X1133" s="664" t="s">
        <v>411</v>
      </c>
    </row>
    <row r="1134" spans="1:24" ht="11.25" customHeight="1">
      <c r="A1134" s="611">
        <v>12</v>
      </c>
      <c r="B1134" s="191" t="s">
        <v>216</v>
      </c>
      <c r="C1134" s="109"/>
      <c r="D1134" s="109"/>
      <c r="E1134" s="37" t="s">
        <v>606</v>
      </c>
      <c r="F1134" s="35" t="str">
        <f>IF(R1134="","",R1134)</f>
        <v/>
      </c>
      <c r="G1134" s="1"/>
      <c r="H1134" s="37" t="s">
        <v>217</v>
      </c>
      <c r="I1134" s="2" t="str">
        <f>IF(U1134="","              in.",ROUND(U1134,2)&amp;" in.")</f>
        <v>7.87 in.</v>
      </c>
      <c r="K1134" s="71"/>
      <c r="L1134" s="676" t="s">
        <v>411</v>
      </c>
      <c r="M1134" s="191" t="s">
        <v>216</v>
      </c>
      <c r="N1134" s="3"/>
      <c r="O1134" s="3"/>
      <c r="P1134" s="294"/>
      <c r="Q1134" s="37" t="s">
        <v>606</v>
      </c>
      <c r="R1134" s="789" t="str">
        <f>IF(R1129="","",R1129)</f>
        <v/>
      </c>
      <c r="S1134" s="1"/>
      <c r="T1134" s="37" t="s">
        <v>217</v>
      </c>
      <c r="U1134" s="788">
        <f>IF(R1130="","",R1130)</f>
        <v>7.8740157480314963</v>
      </c>
      <c r="V1134" s="50" t="s">
        <v>207</v>
      </c>
      <c r="W1134" s="39"/>
      <c r="X1134" s="664" t="s">
        <v>411</v>
      </c>
    </row>
    <row r="1135" spans="1:24" ht="11.25" customHeight="1">
      <c r="A1135" s="611">
        <v>13</v>
      </c>
      <c r="B1135" s="127"/>
      <c r="C1135" s="1"/>
      <c r="D1135" s="1"/>
      <c r="E1135" s="37" t="s">
        <v>610</v>
      </c>
      <c r="F1135" s="2" t="str">
        <f>IF(R1135="","",R1135)</f>
        <v/>
      </c>
      <c r="G1135" s="1"/>
      <c r="H1135" s="37" t="s">
        <v>540</v>
      </c>
      <c r="I1135" s="11" t="str">
        <f>IF(U1135="","",U1135)</f>
        <v/>
      </c>
      <c r="K1135" s="71"/>
      <c r="L1135" s="676" t="s">
        <v>411</v>
      </c>
      <c r="M1135" s="127"/>
      <c r="N1135" s="1"/>
      <c r="O1135" s="1"/>
      <c r="P1135" s="1"/>
      <c r="Q1135" s="37" t="s">
        <v>610</v>
      </c>
      <c r="R1135" s="788" t="str">
        <f>IF(R1127="","",R1127)</f>
        <v/>
      </c>
      <c r="S1135" s="1"/>
      <c r="T1135" s="37" t="s">
        <v>540</v>
      </c>
      <c r="U1135" s="790" t="str">
        <f>IF($T$32="","",$T$32&amp;"/"&amp;$T$33)</f>
        <v/>
      </c>
      <c r="V1135" s="3"/>
      <c r="W1135" s="71"/>
      <c r="X1135" s="664" t="s">
        <v>411</v>
      </c>
    </row>
    <row r="1136" spans="1:24" ht="11.25" customHeight="1">
      <c r="A1136" s="611">
        <v>14</v>
      </c>
      <c r="B1136" s="213" t="s">
        <v>218</v>
      </c>
      <c r="C1136" s="109" t="s">
        <v>219</v>
      </c>
      <c r="D1136" s="109"/>
      <c r="E1136" s="109" t="s">
        <v>220</v>
      </c>
      <c r="F1136" s="109"/>
      <c r="G1136" s="109" t="s">
        <v>221</v>
      </c>
      <c r="H1136" s="109"/>
      <c r="I1136" s="1"/>
      <c r="J1136" s="1"/>
      <c r="K1136" s="71"/>
      <c r="L1136" s="676" t="s">
        <v>411</v>
      </c>
      <c r="M1136" s="127"/>
      <c r="N1136" s="37" t="s">
        <v>218</v>
      </c>
      <c r="O1136" s="109" t="s">
        <v>219</v>
      </c>
      <c r="P1136" s="109"/>
      <c r="Q1136" s="109" t="s">
        <v>220</v>
      </c>
      <c r="R1136" s="109"/>
      <c r="S1136" s="109" t="s">
        <v>221</v>
      </c>
      <c r="T1136" s="109"/>
      <c r="W1136" s="71"/>
      <c r="X1136" s="664" t="s">
        <v>411</v>
      </c>
    </row>
    <row r="1137" spans="1:25" ht="11.25" customHeight="1" thickBot="1">
      <c r="A1137" s="611">
        <v>15</v>
      </c>
      <c r="B1137" s="45"/>
      <c r="C1137" s="6" t="str">
        <f>Meter_OD</f>
        <v>Meter</v>
      </c>
      <c r="D1137" s="23" t="str">
        <f>Time_mAs</f>
        <v>mAs</v>
      </c>
      <c r="E1137" s="7" t="str">
        <f>Meter_OD</f>
        <v>Meter</v>
      </c>
      <c r="F1137" s="23" t="str">
        <f>Time_mAs</f>
        <v>mAs</v>
      </c>
      <c r="G1137" s="7" t="str">
        <f>Meter_OD</f>
        <v>Meter</v>
      </c>
      <c r="H1137" s="27" t="str">
        <f>Time_mAs</f>
        <v>mAs</v>
      </c>
      <c r="I1137" s="1"/>
      <c r="J1137" s="1"/>
      <c r="K1137" s="71"/>
      <c r="L1137" s="676" t="s">
        <v>411</v>
      </c>
      <c r="M1137" s="127"/>
      <c r="O1137" s="7" t="str">
        <f>IF(Meter_OD="","Blank",Meter_OD)</f>
        <v>Meter</v>
      </c>
      <c r="P1137" s="23" t="str">
        <f>IF(Time_mAs="","Blank",Time_mAs)</f>
        <v>mAs</v>
      </c>
      <c r="Q1137" s="7" t="str">
        <f>IF(Meter_OD="","Blank",Meter_OD)</f>
        <v>Meter</v>
      </c>
      <c r="R1137" s="23" t="str">
        <f>IF(Time_mAs="","Blank",Time_mAs)</f>
        <v>mAs</v>
      </c>
      <c r="S1137" s="7" t="str">
        <f>IF(Meter_OD="","Blank",Meter_OD)</f>
        <v>Meter</v>
      </c>
      <c r="T1137" s="23" t="str">
        <f>IF(Time_mAs="","Blank",Time_mAs)</f>
        <v>mAs</v>
      </c>
      <c r="W1137" s="71"/>
      <c r="X1137" s="664" t="s">
        <v>411</v>
      </c>
    </row>
    <row r="1138" spans="1:25" ht="11.25" customHeight="1">
      <c r="A1138" s="611">
        <v>16</v>
      </c>
      <c r="B1138" s="45"/>
      <c r="C1138" s="21" t="str">
        <f t="shared" ref="C1138:H1142" si="153">IF(O1138="","",O1138)</f>
        <v/>
      </c>
      <c r="D1138" s="8" t="str">
        <f t="shared" si="153"/>
        <v/>
      </c>
      <c r="E1138" s="24" t="str">
        <f t="shared" si="153"/>
        <v/>
      </c>
      <c r="F1138" s="8" t="str">
        <f t="shared" si="153"/>
        <v/>
      </c>
      <c r="G1138" s="24" t="str">
        <f t="shared" si="153"/>
        <v/>
      </c>
      <c r="H1138" s="21" t="str">
        <f t="shared" si="153"/>
        <v/>
      </c>
      <c r="I1138" s="1"/>
      <c r="J1138" s="1"/>
      <c r="K1138" s="71"/>
      <c r="L1138" s="676" t="s">
        <v>411</v>
      </c>
      <c r="M1138" s="45"/>
      <c r="N1138" s="1"/>
      <c r="O1138" s="635"/>
      <c r="P1138" s="646"/>
      <c r="Q1138" s="635"/>
      <c r="R1138" s="646"/>
      <c r="S1138" s="635"/>
      <c r="T1138" s="646"/>
      <c r="W1138" s="71"/>
      <c r="X1138" s="664" t="s">
        <v>411</v>
      </c>
    </row>
    <row r="1139" spans="1:25" ht="11.25" customHeight="1">
      <c r="A1139" s="611">
        <v>17</v>
      </c>
      <c r="B1139" s="45"/>
      <c r="C1139" s="21" t="str">
        <f t="shared" si="153"/>
        <v/>
      </c>
      <c r="D1139" s="8" t="str">
        <f t="shared" si="153"/>
        <v/>
      </c>
      <c r="E1139" s="24" t="str">
        <f t="shared" si="153"/>
        <v/>
      </c>
      <c r="F1139" s="8" t="str">
        <f t="shared" si="153"/>
        <v/>
      </c>
      <c r="G1139" s="24" t="str">
        <f t="shared" si="153"/>
        <v/>
      </c>
      <c r="H1139" s="21" t="str">
        <f t="shared" si="153"/>
        <v/>
      </c>
      <c r="I1139" s="1"/>
      <c r="J1139" s="1"/>
      <c r="K1139" s="71"/>
      <c r="L1139" s="676" t="s">
        <v>411</v>
      </c>
      <c r="M1139" s="213"/>
      <c r="O1139" s="635"/>
      <c r="P1139" s="646"/>
      <c r="Q1139" s="635"/>
      <c r="R1139" s="646"/>
      <c r="S1139" s="635"/>
      <c r="T1139" s="646"/>
      <c r="W1139" s="71"/>
      <c r="X1139" s="664"/>
    </row>
    <row r="1140" spans="1:25" ht="11.25" customHeight="1">
      <c r="A1140" s="611">
        <v>18</v>
      </c>
      <c r="B1140" s="45"/>
      <c r="C1140" s="21" t="str">
        <f t="shared" si="153"/>
        <v/>
      </c>
      <c r="D1140" s="8" t="str">
        <f t="shared" si="153"/>
        <v/>
      </c>
      <c r="E1140" s="24" t="str">
        <f t="shared" si="153"/>
        <v/>
      </c>
      <c r="F1140" s="8" t="str">
        <f t="shared" si="153"/>
        <v/>
      </c>
      <c r="G1140" s="24" t="str">
        <f t="shared" si="153"/>
        <v/>
      </c>
      <c r="H1140" s="21" t="str">
        <f t="shared" si="153"/>
        <v/>
      </c>
      <c r="I1140" s="1"/>
      <c r="J1140" s="1"/>
      <c r="K1140" s="71"/>
      <c r="L1140" s="676" t="s">
        <v>411</v>
      </c>
      <c r="M1140" s="45"/>
      <c r="O1140" s="635"/>
      <c r="P1140" s="646"/>
      <c r="Q1140" s="635"/>
      <c r="R1140" s="646"/>
      <c r="S1140" s="635"/>
      <c r="T1140" s="646"/>
      <c r="W1140" s="71"/>
      <c r="X1140" s="664" t="s">
        <v>411</v>
      </c>
    </row>
    <row r="1141" spans="1:25" ht="11.25" customHeight="1">
      <c r="A1141" s="611">
        <v>19</v>
      </c>
      <c r="B1141" s="45"/>
      <c r="C1141" s="21" t="str">
        <f t="shared" si="153"/>
        <v/>
      </c>
      <c r="D1141" s="8" t="str">
        <f t="shared" si="153"/>
        <v/>
      </c>
      <c r="E1141" s="24" t="str">
        <f t="shared" si="153"/>
        <v/>
      </c>
      <c r="F1141" s="8" t="str">
        <f t="shared" si="153"/>
        <v/>
      </c>
      <c r="G1141" s="24" t="str">
        <f t="shared" si="153"/>
        <v/>
      </c>
      <c r="H1141" s="21" t="str">
        <f t="shared" si="153"/>
        <v/>
      </c>
      <c r="I1141" s="1"/>
      <c r="J1141" s="1"/>
      <c r="K1141" s="71"/>
      <c r="L1141" s="676" t="s">
        <v>411</v>
      </c>
      <c r="M1141" s="45"/>
      <c r="O1141" s="635"/>
      <c r="P1141" s="646"/>
      <c r="Q1141" s="635"/>
      <c r="R1141" s="646"/>
      <c r="S1141" s="635"/>
      <c r="T1141" s="646"/>
      <c r="W1141" s="71"/>
      <c r="X1141" s="664" t="s">
        <v>411</v>
      </c>
    </row>
    <row r="1142" spans="1:25" ht="11.25" customHeight="1">
      <c r="A1142" s="611">
        <v>20</v>
      </c>
      <c r="B1142" s="45"/>
      <c r="C1142" s="21" t="str">
        <f t="shared" si="153"/>
        <v/>
      </c>
      <c r="D1142" s="8" t="str">
        <f t="shared" si="153"/>
        <v/>
      </c>
      <c r="E1142" s="24" t="str">
        <f t="shared" si="153"/>
        <v/>
      </c>
      <c r="F1142" s="8" t="str">
        <f t="shared" si="153"/>
        <v/>
      </c>
      <c r="G1142" s="24" t="str">
        <f t="shared" si="153"/>
        <v/>
      </c>
      <c r="H1142" s="21" t="str">
        <f t="shared" si="153"/>
        <v/>
      </c>
      <c r="I1142" s="1"/>
      <c r="J1142" s="1"/>
      <c r="K1142" s="71"/>
      <c r="L1142" s="676" t="s">
        <v>411</v>
      </c>
      <c r="M1142" s="45"/>
      <c r="O1142" s="635"/>
      <c r="P1142" s="646"/>
      <c r="Q1142" s="635"/>
      <c r="R1142" s="646"/>
      <c r="S1142" s="635"/>
      <c r="T1142" s="646"/>
      <c r="W1142" s="71"/>
      <c r="X1142" s="664" t="s">
        <v>411</v>
      </c>
    </row>
    <row r="1143" spans="1:25" ht="11.25" customHeight="1">
      <c r="A1143" s="611">
        <v>21</v>
      </c>
      <c r="B1143" s="127"/>
      <c r="K1143" s="71"/>
      <c r="L1143" s="676" t="s">
        <v>411</v>
      </c>
      <c r="M1143" s="45"/>
      <c r="T1143" s="1"/>
      <c r="W1143" s="71"/>
      <c r="X1143" s="664" t="s">
        <v>411</v>
      </c>
    </row>
    <row r="1144" spans="1:25" ht="11.25" customHeight="1">
      <c r="A1144" s="611">
        <v>22</v>
      </c>
      <c r="B1144" s="295" t="s">
        <v>83</v>
      </c>
      <c r="C1144" s="14" t="str">
        <f t="shared" ref="C1144:H1147" si="154">IF(O1144="","",O1144)</f>
        <v/>
      </c>
      <c r="D1144" s="291" t="str">
        <f t="shared" si="154"/>
        <v/>
      </c>
      <c r="E1144" s="46" t="str">
        <f t="shared" si="154"/>
        <v/>
      </c>
      <c r="F1144" s="291" t="str">
        <f t="shared" si="154"/>
        <v/>
      </c>
      <c r="G1144" s="46" t="str">
        <f t="shared" si="154"/>
        <v/>
      </c>
      <c r="H1144" s="14" t="str">
        <f t="shared" si="154"/>
        <v/>
      </c>
      <c r="J1144" s="1" t="s">
        <v>222</v>
      </c>
      <c r="K1144" s="71"/>
      <c r="L1144" s="676" t="s">
        <v>411</v>
      </c>
      <c r="M1144" s="45"/>
      <c r="N1144" s="419" t="s">
        <v>83</v>
      </c>
      <c r="O1144" s="14" t="str">
        <f t="shared" ref="O1144:T1144" si="155">IF(O1138="","",AVERAGE(O1138:O1142))</f>
        <v/>
      </c>
      <c r="P1144" s="291" t="str">
        <f t="shared" si="155"/>
        <v/>
      </c>
      <c r="Q1144" s="46" t="str">
        <f t="shared" si="155"/>
        <v/>
      </c>
      <c r="R1144" s="291" t="str">
        <f t="shared" si="155"/>
        <v/>
      </c>
      <c r="S1144" s="46" t="str">
        <f t="shared" si="155"/>
        <v/>
      </c>
      <c r="T1144" s="14" t="str">
        <f t="shared" si="155"/>
        <v/>
      </c>
      <c r="V1144" s="1" t="s">
        <v>222</v>
      </c>
      <c r="W1144" s="39"/>
      <c r="X1144" s="664" t="s">
        <v>411</v>
      </c>
    </row>
    <row r="1145" spans="1:25" ht="11.25" customHeight="1">
      <c r="A1145" s="611">
        <v>23</v>
      </c>
      <c r="B1145" s="213" t="s">
        <v>223</v>
      </c>
      <c r="C1145" s="21" t="str">
        <f t="shared" si="154"/>
        <v/>
      </c>
      <c r="D1145" s="8" t="str">
        <f t="shared" si="154"/>
        <v/>
      </c>
      <c r="E1145" s="24" t="str">
        <f t="shared" si="154"/>
        <v/>
      </c>
      <c r="F1145" s="8" t="str">
        <f t="shared" si="154"/>
        <v/>
      </c>
      <c r="G1145" s="24" t="str">
        <f t="shared" si="154"/>
        <v/>
      </c>
      <c r="H1145" s="21" t="str">
        <f t="shared" si="154"/>
        <v/>
      </c>
      <c r="J1145" s="21" t="s">
        <v>224</v>
      </c>
      <c r="K1145" s="71"/>
      <c r="L1145" s="676" t="s">
        <v>411</v>
      </c>
      <c r="M1145" s="45"/>
      <c r="N1145" s="420" t="s">
        <v>223</v>
      </c>
      <c r="O1145" s="21" t="str">
        <f t="shared" ref="O1145:T1145" si="156">IF(OR(O1138="",O1139=""),"",STDEV(O1138:O1142))</f>
        <v/>
      </c>
      <c r="P1145" s="8" t="str">
        <f t="shared" si="156"/>
        <v/>
      </c>
      <c r="Q1145" s="24" t="str">
        <f t="shared" si="156"/>
        <v/>
      </c>
      <c r="R1145" s="8" t="str">
        <f t="shared" si="156"/>
        <v/>
      </c>
      <c r="S1145" s="24" t="str">
        <f t="shared" si="156"/>
        <v/>
      </c>
      <c r="T1145" s="21" t="str">
        <f t="shared" si="156"/>
        <v/>
      </c>
      <c r="V1145" s="21" t="s">
        <v>224</v>
      </c>
      <c r="W1145" s="39"/>
      <c r="X1145" s="664" t="s">
        <v>411</v>
      </c>
    </row>
    <row r="1146" spans="1:25" ht="11.25" customHeight="1" thickBot="1">
      <c r="A1146" s="611">
        <v>24</v>
      </c>
      <c r="B1146" s="213" t="s">
        <v>225</v>
      </c>
      <c r="C1146" s="21" t="str">
        <f t="shared" si="154"/>
        <v/>
      </c>
      <c r="D1146" s="8" t="str">
        <f t="shared" si="154"/>
        <v/>
      </c>
      <c r="E1146" s="24" t="str">
        <f t="shared" si="154"/>
        <v/>
      </c>
      <c r="F1146" s="8" t="str">
        <f t="shared" si="154"/>
        <v/>
      </c>
      <c r="G1146" s="24" t="str">
        <f t="shared" si="154"/>
        <v/>
      </c>
      <c r="H1146" s="21" t="str">
        <f t="shared" si="154"/>
        <v/>
      </c>
      <c r="J1146" s="1181" t="str">
        <f>IF(V1146="","",V1146)</f>
        <v>TBD</v>
      </c>
      <c r="K1146" s="71"/>
      <c r="L1146" s="676" t="s">
        <v>411</v>
      </c>
      <c r="M1146" s="45"/>
      <c r="N1146" s="420" t="s">
        <v>225</v>
      </c>
      <c r="O1146" s="324" t="str">
        <f t="shared" ref="O1146:T1146" si="157">IF(OR(O1144="",O1144=0,O1145=""),"",O1145/O1144)</f>
        <v/>
      </c>
      <c r="P1146" s="26" t="str">
        <f t="shared" si="157"/>
        <v/>
      </c>
      <c r="Q1146" s="25" t="str">
        <f t="shared" si="157"/>
        <v/>
      </c>
      <c r="R1146" s="26" t="str">
        <f t="shared" si="157"/>
        <v/>
      </c>
      <c r="S1146" s="25" t="str">
        <f t="shared" si="157"/>
        <v/>
      </c>
      <c r="T1146" s="324" t="str">
        <f t="shared" si="157"/>
        <v/>
      </c>
      <c r="V1146" s="1142" t="str">
        <f>IF(AND(Q1144="",R1144=""),"TBD",IF(AND(O1144="",Q1144="",S1144=""),ROUND((MAX(P1144,R1144,T1144)-MIN(P1144,R1144,T1144))/AVERAGE(P1144,R1144,T1144),2),IF(Meter_OD="Film O.D.",ROUND(MAX(O1144,Q1144,S1144)-MIN(O1144,Q1144,S1144),2)&amp;" O.D.",ROUND((MAX(O1144,Q1144,S1144)-MIN(O1144,Q1144,S1144))/AVERAGE(O1144,Q1144,S1144),2))))</f>
        <v>TBD</v>
      </c>
      <c r="W1146" s="39"/>
      <c r="X1146" s="664" t="s">
        <v>411</v>
      </c>
      <c r="Y1146" s="887"/>
    </row>
    <row r="1147" spans="1:25" ht="11.25" customHeight="1" thickBot="1">
      <c r="A1147" s="611">
        <v>25</v>
      </c>
      <c r="B1147" s="287" t="s">
        <v>569</v>
      </c>
      <c r="C1147" s="475" t="str">
        <f t="shared" si="154"/>
        <v>TBD</v>
      </c>
      <c r="D1147" s="476" t="str">
        <f t="shared" si="154"/>
        <v>TBD</v>
      </c>
      <c r="E1147" s="477" t="str">
        <f t="shared" si="154"/>
        <v>TBD</v>
      </c>
      <c r="F1147" s="476" t="str">
        <f t="shared" si="154"/>
        <v>TBD</v>
      </c>
      <c r="G1147" s="477" t="str">
        <f t="shared" si="154"/>
        <v>TBD</v>
      </c>
      <c r="H1147" s="475" t="str">
        <f t="shared" si="154"/>
        <v>TBD</v>
      </c>
      <c r="I1147" s="42" t="s">
        <v>569</v>
      </c>
      <c r="J1147" s="325" t="str">
        <f>IF(V1147="","",V1147)</f>
        <v>TBD</v>
      </c>
      <c r="K1147" s="71"/>
      <c r="L1147" s="676" t="s">
        <v>411</v>
      </c>
      <c r="M1147" s="127"/>
      <c r="N1147" s="780" t="s">
        <v>569</v>
      </c>
      <c r="O1147" s="738" t="str">
        <f>IF(AND(O1146="",P1146=""),"TBD",IF(O1146="","NA",IF(TRUNC(O1146,4)&gt;0.05,"NO","YES")))</f>
        <v>TBD</v>
      </c>
      <c r="P1147" s="739" t="str">
        <f>IF(AND(O1146="",P1146=""),"TBD",IF(P1146="","NA",IF(TRUNC(P1146,4)&gt;0.05,"NO","YES")))</f>
        <v>TBD</v>
      </c>
      <c r="Q1147" s="738" t="str">
        <f>IF(AND(Q1146="",R1146=""),"TBD",IF(Q1146="","NA",IF(TRUNC(Q1146,4)&gt;0.05,"NO","YES")))</f>
        <v>TBD</v>
      </c>
      <c r="R1147" s="739" t="str">
        <f>IF(AND(Q1146="",R1146=""),"TBD",IF(R1146="","NA",IF(TRUNC(R1146,4)&gt;0.05,"NO","YES")))</f>
        <v>TBD</v>
      </c>
      <c r="S1147" s="738" t="str">
        <f>IF(AND(S1146="",T1146=""),"TBD",IF(S1146="","NA",IF(TRUNC(S1146,4)&gt;0.05,"NO","YES")))</f>
        <v>TBD</v>
      </c>
      <c r="T1147" s="779" t="str">
        <f>IF(AND(S1146="",T1146=""),"TBD",IF(T1146="","NA",IF(TRUNC(T1146,4)&gt;0.05,"NO","YES")))</f>
        <v>TBD</v>
      </c>
      <c r="U1147" s="749" t="s">
        <v>569</v>
      </c>
      <c r="V1147" s="740" t="str">
        <f>IF(V1146="TBD","TBD",IF(AND(O1144="",Q1144="",S1144=""),IF(ROUND(100*(MAX(P1144,R1144,T1144)-MIN(P1144,R1144,T1144))/AVERAGE(P1144,R1144,T1144),2)&lt;=35,"YES","NO"),IF(Q1137="Film O.D.",IF(ROUND(MAX(O1144,Q1144,S1144)-MIN(O1144,Q1144,S1144),2)&lt;=0.4,"YES","NO"),IF(ROUND(100*(MAX(O1144,Q1144,S1144)-MIN(O1144,Q1144,S1144))/AVERAGE(O1144,Q1144,S1144),2)&lt;=35,"YES","NO"))))</f>
        <v>TBD</v>
      </c>
      <c r="W1147" s="71"/>
      <c r="X1147" s="664" t="s">
        <v>411</v>
      </c>
    </row>
    <row r="1148" spans="1:25" ht="11.25" customHeight="1">
      <c r="A1148" s="611">
        <v>26</v>
      </c>
      <c r="B1148" s="463"/>
      <c r="C1148" s="457"/>
      <c r="D1148" s="457"/>
      <c r="E1148" s="457"/>
      <c r="F1148" s="457"/>
      <c r="G1148" s="457"/>
      <c r="H1148" s="457"/>
      <c r="I1148" s="457"/>
      <c r="J1148" s="675" t="str">
        <f>IF(V1148="","",V1148)</f>
        <v>NOTE: Density step 1 produced a TBD % change</v>
      </c>
      <c r="K1148" s="464"/>
      <c r="L1148" s="676" t="s">
        <v>411</v>
      </c>
      <c r="M1148" s="127"/>
      <c r="V1148" s="886" t="str">
        <f>IF(AND(Meter_OD="Film O.D.",Q1144&lt;&gt;""),"Max. acceptable variation is 0.3 O.D.","NOTE: Density step 1 produced a "&amp;IF(OR(AND($R$1006="",$T$1006=""),AND(MIN(O1138:T1138)=0),AND(Q1144="",R1144&lt;&gt;"",$T$1006=""),AND(Q1144&lt;&gt;"",$R$1006="")),"TBD ",ROUND(100*IF(Q1144="",$T$1006,$R$1006),1))&amp;"% change")</f>
        <v>NOTE: Density step 1 produced a TBD % change</v>
      </c>
      <c r="W1148" s="39"/>
      <c r="X1148" s="664" t="s">
        <v>411</v>
      </c>
    </row>
    <row r="1149" spans="1:25" ht="11.25" customHeight="1">
      <c r="A1149" s="611">
        <v>27</v>
      </c>
      <c r="B1149" s="127"/>
      <c r="E1149" s="132" t="s">
        <v>226</v>
      </c>
      <c r="F1149" s="100" t="str">
        <f>R1149</f>
        <v>Film:  Maximum variation of 0.4 O.D.</v>
      </c>
      <c r="K1149" s="464"/>
      <c r="L1149" s="676" t="s">
        <v>411</v>
      </c>
      <c r="M1149" s="127"/>
      <c r="Q1149" s="132" t="s">
        <v>226</v>
      </c>
      <c r="R1149" s="100" t="s">
        <v>1031</v>
      </c>
      <c r="W1149" s="39"/>
      <c r="X1149" s="664" t="s">
        <v>411</v>
      </c>
    </row>
    <row r="1150" spans="1:25" ht="11.25" customHeight="1">
      <c r="A1150" s="611">
        <v>28</v>
      </c>
      <c r="B1150" s="127"/>
      <c r="F1150" s="100" t="str">
        <f>R1150</f>
        <v>Exposure &amp; AEC Meter:  Max. Variation 35%</v>
      </c>
      <c r="K1150" s="464"/>
      <c r="L1150" s="676" t="s">
        <v>411</v>
      </c>
      <c r="M1150" s="127"/>
      <c r="R1150" s="100" t="s">
        <v>1030</v>
      </c>
      <c r="W1150" s="39"/>
      <c r="X1150" s="664" t="s">
        <v>411</v>
      </c>
    </row>
    <row r="1151" spans="1:25" ht="11.25" customHeight="1">
      <c r="A1151" s="611">
        <v>29</v>
      </c>
      <c r="B1151" s="127"/>
      <c r="E1151" s="338" t="s">
        <v>227</v>
      </c>
      <c r="F1151" s="100" t="str">
        <f>R1151</f>
        <v>Coefficient of variation &lt;= 5% for each detector</v>
      </c>
      <c r="K1151" s="464"/>
      <c r="L1151" s="676" t="s">
        <v>411</v>
      </c>
      <c r="M1151" s="127"/>
      <c r="Q1151" s="338" t="s">
        <v>227</v>
      </c>
      <c r="R1151" s="100" t="s">
        <v>228</v>
      </c>
      <c r="W1151" s="39"/>
      <c r="X1151" s="664" t="s">
        <v>411</v>
      </c>
    </row>
    <row r="1152" spans="1:25" ht="11.25" customHeight="1">
      <c r="A1152" s="611">
        <v>30</v>
      </c>
      <c r="B1152" s="127"/>
      <c r="K1152" s="71"/>
      <c r="L1152" s="676" t="s">
        <v>411</v>
      </c>
      <c r="M1152" s="127"/>
      <c r="W1152" s="71"/>
      <c r="X1152" s="664" t="s">
        <v>411</v>
      </c>
    </row>
    <row r="1153" spans="1:24" ht="11.25" customHeight="1">
      <c r="A1153" s="611">
        <v>31</v>
      </c>
      <c r="B1153" s="212" t="s">
        <v>229</v>
      </c>
      <c r="C1153" s="1"/>
      <c r="D1153" s="1"/>
      <c r="E1153" s="1"/>
      <c r="F1153" s="1"/>
      <c r="G1153" s="1"/>
      <c r="H1153" s="1"/>
      <c r="I1153" s="1"/>
      <c r="J1153" s="1"/>
      <c r="K1153" s="71"/>
      <c r="L1153" s="676" t="s">
        <v>411</v>
      </c>
      <c r="M1153" s="127"/>
      <c r="W1153" s="71"/>
      <c r="X1153" s="664" t="s">
        <v>411</v>
      </c>
    </row>
    <row r="1154" spans="1:24" ht="11.25" customHeight="1">
      <c r="A1154" s="611">
        <v>32</v>
      </c>
      <c r="B1154" s="45"/>
      <c r="C1154" s="37" t="s">
        <v>610</v>
      </c>
      <c r="D1154" s="2" t="str">
        <f>IF(P1155="","",P1155)</f>
        <v xml:space="preserve"> cm</v>
      </c>
      <c r="E1154" s="1"/>
      <c r="F1154" s="37" t="s">
        <v>230</v>
      </c>
      <c r="G1154" s="2" t="str">
        <f>IF(S1155="","",S1155)</f>
        <v/>
      </c>
      <c r="H1154" s="1"/>
      <c r="I1154" s="37" t="s">
        <v>231</v>
      </c>
      <c r="J1154" s="2" t="str">
        <f>IF(V1155="","",V1155)</f>
        <v/>
      </c>
      <c r="K1154" s="71"/>
      <c r="L1154" s="676" t="s">
        <v>411</v>
      </c>
      <c r="M1154" s="127"/>
      <c r="N1154" s="371" t="s">
        <v>229</v>
      </c>
      <c r="O1154" s="1"/>
      <c r="P1154" s="1"/>
      <c r="Q1154" s="1"/>
      <c r="R1154" s="376"/>
      <c r="S1154" s="1"/>
      <c r="T1154" s="1"/>
      <c r="U1154" s="1"/>
      <c r="V1154" s="1"/>
      <c r="W1154" s="39"/>
      <c r="X1154" s="664" t="s">
        <v>411</v>
      </c>
    </row>
    <row r="1155" spans="1:24" ht="11.25" customHeight="1">
      <c r="A1155" s="611">
        <v>33</v>
      </c>
      <c r="B1155" s="45" t="s">
        <v>232</v>
      </c>
      <c r="C1155" s="30" t="s">
        <v>233</v>
      </c>
      <c r="D1155" s="431">
        <f>IF(P1156="","",P1156)</f>
        <v>60</v>
      </c>
      <c r="E1155" s="30" t="s">
        <v>234</v>
      </c>
      <c r="F1155" s="431">
        <f>IF(R1156="","",R1156)</f>
        <v>80</v>
      </c>
      <c r="G1155" s="30" t="s">
        <v>235</v>
      </c>
      <c r="H1155" s="431">
        <f>IF(T1156="","",T1156)</f>
        <v>100</v>
      </c>
      <c r="I1155" s="30" t="s">
        <v>236</v>
      </c>
      <c r="J1155" s="432">
        <f>IF(V1156="","",V1156)</f>
        <v>120</v>
      </c>
      <c r="K1155" s="71"/>
      <c r="L1155" s="676" t="s">
        <v>411</v>
      </c>
      <c r="M1155" s="127"/>
      <c r="N1155" s="1"/>
      <c r="O1155" s="37" t="s">
        <v>610</v>
      </c>
      <c r="P1155" s="788" t="str">
        <f>IF($M$616="","",ROUND($M$616,1))&amp;" "&amp;WBCM_IN</f>
        <v xml:space="preserve"> cm</v>
      </c>
      <c r="Q1155" s="1"/>
      <c r="R1155" s="37" t="s">
        <v>230</v>
      </c>
      <c r="S1155" s="788" t="str">
        <f>IF($R$1128="","",$R$1128)</f>
        <v/>
      </c>
      <c r="T1155" s="1"/>
      <c r="U1155" s="37" t="s">
        <v>231</v>
      </c>
      <c r="V1155" s="789" t="str">
        <f>IF($O$1027="","",$O$1027)</f>
        <v/>
      </c>
      <c r="W1155" s="39"/>
      <c r="X1155" s="664" t="s">
        <v>411</v>
      </c>
    </row>
    <row r="1156" spans="1:24" ht="11.25" customHeight="1" thickBot="1">
      <c r="A1156" s="611">
        <v>34</v>
      </c>
      <c r="B1156" s="7" t="s">
        <v>237</v>
      </c>
      <c r="C1156" s="7" t="str">
        <f>Meter_OD</f>
        <v>Meter</v>
      </c>
      <c r="D1156" s="23" t="str">
        <f>Time_mAs</f>
        <v>mAs</v>
      </c>
      <c r="E1156" s="7" t="str">
        <f>Meter_OD</f>
        <v>Meter</v>
      </c>
      <c r="F1156" s="6" t="str">
        <f>Time_mAs</f>
        <v>mAs</v>
      </c>
      <c r="G1156" s="7" t="str">
        <f>Meter_OD</f>
        <v>Meter</v>
      </c>
      <c r="H1156" s="6" t="str">
        <f>Time_mAs</f>
        <v>mAs</v>
      </c>
      <c r="I1156" s="7" t="str">
        <f>Meter_OD</f>
        <v>Meter</v>
      </c>
      <c r="J1156" s="27" t="str">
        <f>Time_mAs</f>
        <v>mAs</v>
      </c>
      <c r="K1156" s="71"/>
      <c r="L1156" s="676" t="s">
        <v>411</v>
      </c>
      <c r="M1156" s="127"/>
      <c r="N1156" s="4" t="s">
        <v>232</v>
      </c>
      <c r="O1156" s="30" t="s">
        <v>233</v>
      </c>
      <c r="P1156" s="792">
        <f>$Q$694</f>
        <v>60</v>
      </c>
      <c r="Q1156" s="728" t="s">
        <v>234</v>
      </c>
      <c r="R1156" s="792">
        <f>$Q$695</f>
        <v>80</v>
      </c>
      <c r="S1156" s="728" t="s">
        <v>235</v>
      </c>
      <c r="T1156" s="792">
        <f>$Q$696</f>
        <v>100</v>
      </c>
      <c r="U1156" s="728" t="s">
        <v>236</v>
      </c>
      <c r="V1156" s="792">
        <f>$Q$697</f>
        <v>120</v>
      </c>
      <c r="W1156" s="39"/>
      <c r="X1156" s="664" t="s">
        <v>411</v>
      </c>
    </row>
    <row r="1157" spans="1:24" ht="11.25" customHeight="1" thickBot="1">
      <c r="A1157" s="611">
        <v>35</v>
      </c>
      <c r="B1157" s="296">
        <f>N1158</f>
        <v>10</v>
      </c>
      <c r="C1157" s="24" t="e">
        <f>IF(OR(MAX($O1158,$Q1158,$S1158,$U1158)=0,O1158=""),NA(),O1158)</f>
        <v>#N/A</v>
      </c>
      <c r="D1157" s="17" t="str">
        <f>IF(P1158="","",P1158)</f>
        <v/>
      </c>
      <c r="E1157" s="24" t="e">
        <f>IF(OR(MAX($O1158,$Q1158,$S1158,$U1158)=0,Q1158=""),NA(),Q1158)</f>
        <v>#N/A</v>
      </c>
      <c r="F1157" s="17" t="str">
        <f>IF(R1158="","",R1158)</f>
        <v/>
      </c>
      <c r="G1157" s="24" t="e">
        <f>IF(OR(MAX($O1158,$Q1158,$S1158,$U1158)=0,S1158=""),NA(),S1158)</f>
        <v>#N/A</v>
      </c>
      <c r="H1157" s="17" t="str">
        <f>IF(T1158="","",T1158)</f>
        <v/>
      </c>
      <c r="I1157" s="24" t="e">
        <f>IF(OR(MAX($O1158,$Q1158,$S1158,$U1158)=0,U1158=""),NA(),U1158)</f>
        <v>#N/A</v>
      </c>
      <c r="J1157" s="17" t="str">
        <f>IF(V1158="","",V1158)</f>
        <v/>
      </c>
      <c r="K1157" s="71"/>
      <c r="L1157" s="676" t="s">
        <v>411</v>
      </c>
      <c r="M1157" s="127"/>
      <c r="N1157" s="6" t="s">
        <v>7</v>
      </c>
      <c r="O1157" s="7" t="str">
        <f>Meter_OD</f>
        <v>Meter</v>
      </c>
      <c r="P1157" s="6" t="str">
        <f>Time_mAs</f>
        <v>mAs</v>
      </c>
      <c r="Q1157" s="7" t="str">
        <f>Meter_OD</f>
        <v>Meter</v>
      </c>
      <c r="R1157" s="6" t="str">
        <f>Time_mAs</f>
        <v>mAs</v>
      </c>
      <c r="S1157" s="7" t="str">
        <f>Meter_OD</f>
        <v>Meter</v>
      </c>
      <c r="T1157" s="6" t="str">
        <f>Time_mAs</f>
        <v>mAs</v>
      </c>
      <c r="U1157" s="7" t="str">
        <f>Meter_OD</f>
        <v>Meter</v>
      </c>
      <c r="V1157" s="27" t="str">
        <f>Time_mAs</f>
        <v>mAs</v>
      </c>
      <c r="W1157" s="39"/>
      <c r="X1157" s="664" t="s">
        <v>411</v>
      </c>
    </row>
    <row r="1158" spans="1:24" ht="11.25" customHeight="1">
      <c r="A1158" s="611">
        <v>36</v>
      </c>
      <c r="B1158" s="296">
        <f>N1159</f>
        <v>15</v>
      </c>
      <c r="C1158" s="24" t="e">
        <f>IF(OR(MAX($O1159,$Q1159,$S1159,$U1159)=0,O1159=""),NA(),O1159)</f>
        <v>#N/A</v>
      </c>
      <c r="D1158" s="17" t="str">
        <f>IF(P1159="","",P1159)</f>
        <v/>
      </c>
      <c r="E1158" s="24" t="e">
        <f>IF(OR(MAX($O1159,$Q1159,$S1159,$U1159)=0,Q1159=""),NA(),Q1159)</f>
        <v>#N/A</v>
      </c>
      <c r="F1158" s="17" t="str">
        <f>IF(R1159="","",R1159)</f>
        <v/>
      </c>
      <c r="G1158" s="24" t="e">
        <f>IF(OR(MAX($O1159,$Q1159,$S1159,$U1159)=0,S1159=""),NA(),S1159)</f>
        <v>#N/A</v>
      </c>
      <c r="H1158" s="17" t="str">
        <f>IF(T1159="","",T1159)</f>
        <v/>
      </c>
      <c r="I1158" s="24" t="e">
        <f>IF(OR(MAX($O1159,$Q1159,$S1159,$U1159)=0,U1159=""),NA(),U1159)</f>
        <v>#N/A</v>
      </c>
      <c r="J1158" s="17" t="str">
        <f>IF(V1159="","",V1159)</f>
        <v/>
      </c>
      <c r="K1158" s="71"/>
      <c r="L1158" s="676" t="s">
        <v>411</v>
      </c>
      <c r="M1158" s="127"/>
      <c r="N1158" s="370">
        <v>10</v>
      </c>
      <c r="O1158" s="647"/>
      <c r="P1158" s="648"/>
      <c r="Q1158" s="647"/>
      <c r="R1158" s="648"/>
      <c r="S1158" s="647"/>
      <c r="T1158" s="648"/>
      <c r="U1158" s="965"/>
      <c r="V1158" s="961"/>
      <c r="W1158" s="71"/>
      <c r="X1158" s="664" t="s">
        <v>411</v>
      </c>
    </row>
    <row r="1159" spans="1:24" ht="11.25" customHeight="1">
      <c r="A1159" s="611">
        <v>37</v>
      </c>
      <c r="B1159" s="296">
        <f>N1160</f>
        <v>20</v>
      </c>
      <c r="C1159" s="24" t="e">
        <f>IF(OR(MAX($O1160,$Q1160,$S1160,$U1160)=0,O1160=""),NA(),O1160)</f>
        <v>#N/A</v>
      </c>
      <c r="D1159" s="17" t="str">
        <f>IF(P1160="","",P1160)</f>
        <v/>
      </c>
      <c r="E1159" s="24" t="e">
        <f>IF(OR(MAX($O1160,$Q1160,$S1160,$U1160)=0,Q1160=""),NA(),Q1160)</f>
        <v>#N/A</v>
      </c>
      <c r="F1159" s="17" t="str">
        <f>IF(R1160="","",R1160)</f>
        <v/>
      </c>
      <c r="G1159" s="24" t="e">
        <f>IF(OR(MAX($O1160,$Q1160,$S1160,$U1160)=0,S1160=""),NA(),S1160)</f>
        <v>#N/A</v>
      </c>
      <c r="H1159" s="17" t="str">
        <f>IF(T1160="","",T1160)</f>
        <v/>
      </c>
      <c r="I1159" s="24" t="e">
        <f>IF(OR(MAX($O1160,$Q1160,$S1160,$U1160)=0,U1160=""),NA(),U1160)</f>
        <v>#N/A</v>
      </c>
      <c r="J1159" s="17" t="str">
        <f>IF(V1160="","",V1160)</f>
        <v/>
      </c>
      <c r="K1159" s="71"/>
      <c r="L1159" s="676" t="s">
        <v>411</v>
      </c>
      <c r="M1159" s="45"/>
      <c r="N1159" s="370">
        <v>15</v>
      </c>
      <c r="O1159" s="647"/>
      <c r="P1159" s="648"/>
      <c r="Q1159" s="647"/>
      <c r="R1159" s="648"/>
      <c r="S1159" s="647"/>
      <c r="T1159" s="648"/>
      <c r="U1159" s="647"/>
      <c r="V1159" s="648"/>
      <c r="W1159" s="39"/>
      <c r="X1159" s="664" t="s">
        <v>411</v>
      </c>
    </row>
    <row r="1160" spans="1:24" ht="11.25" customHeight="1">
      <c r="A1160" s="611">
        <v>38</v>
      </c>
      <c r="B1160" s="296">
        <f>N1161</f>
        <v>25</v>
      </c>
      <c r="C1160" s="24" t="e">
        <f>IF(OR(MAX($O1161,$Q1161,$S1161,$U1161)=0,O1161=""),NA(),O1161)</f>
        <v>#N/A</v>
      </c>
      <c r="D1160" s="17" t="str">
        <f>IF(P1161="","",P1161)</f>
        <v/>
      </c>
      <c r="E1160" s="24" t="e">
        <f>IF(OR(MAX($O1161,$Q1161,$S1161,$U1161)=0,Q1161=""),NA(),Q1161)</f>
        <v>#N/A</v>
      </c>
      <c r="F1160" s="17" t="str">
        <f>IF(R1161="","",R1161)</f>
        <v/>
      </c>
      <c r="G1160" s="24" t="e">
        <f>IF(OR(MAX($O1161,$Q1161,$S1161,$U1161)=0,S1161=""),NA(),S1161)</f>
        <v>#N/A</v>
      </c>
      <c r="H1160" s="17" t="str">
        <f>IF(T1161="","",T1161)</f>
        <v/>
      </c>
      <c r="I1160" s="24" t="e">
        <f>IF(OR(MAX($O1161,$Q1161,$S1161,$U1161)=0,U1161=""),NA(),U1161)</f>
        <v>#N/A</v>
      </c>
      <c r="J1160" s="17" t="str">
        <f>IF(V1161="","",V1161)</f>
        <v/>
      </c>
      <c r="K1160" s="71"/>
      <c r="L1160" s="676" t="s">
        <v>411</v>
      </c>
      <c r="M1160" s="45"/>
      <c r="N1160" s="370">
        <v>20</v>
      </c>
      <c r="O1160" s="647"/>
      <c r="P1160" s="648"/>
      <c r="Q1160" s="647"/>
      <c r="R1160" s="648"/>
      <c r="S1160" s="647"/>
      <c r="T1160" s="648"/>
      <c r="U1160" s="647"/>
      <c r="V1160" s="648"/>
      <c r="W1160" s="39"/>
      <c r="X1160" s="664" t="s">
        <v>411</v>
      </c>
    </row>
    <row r="1161" spans="1:24" ht="11.25" customHeight="1" thickBot="1">
      <c r="A1161" s="611">
        <v>39</v>
      </c>
      <c r="B1161" s="127"/>
      <c r="K1161" s="71"/>
      <c r="L1161" s="676" t="s">
        <v>411</v>
      </c>
      <c r="M1161" s="45"/>
      <c r="N1161" s="370">
        <v>25</v>
      </c>
      <c r="O1161" s="965"/>
      <c r="P1161" s="961"/>
      <c r="Q1161" s="647"/>
      <c r="R1161" s="648"/>
      <c r="S1161" s="647"/>
      <c r="T1161" s="648"/>
      <c r="U1161" s="647"/>
      <c r="V1161" s="648"/>
      <c r="W1161" s="39"/>
      <c r="X1161" s="664" t="s">
        <v>411</v>
      </c>
    </row>
    <row r="1162" spans="1:24" ht="11.25" customHeight="1" thickBot="1">
      <c r="A1162" s="611">
        <v>40</v>
      </c>
      <c r="B1162" s="287" t="s">
        <v>238</v>
      </c>
      <c r="C1162" s="888" t="str">
        <f t="shared" ref="C1162:J1162" si="158">IF(O1163="","",O1163)</f>
        <v>@60 kVp:</v>
      </c>
      <c r="D1162" s="1086" t="str">
        <f t="shared" si="158"/>
        <v/>
      </c>
      <c r="E1162" s="888" t="str">
        <f t="shared" si="158"/>
        <v>@80 kVp:</v>
      </c>
      <c r="F1162" s="1086" t="str">
        <f t="shared" si="158"/>
        <v/>
      </c>
      <c r="G1162" s="888" t="str">
        <f t="shared" si="158"/>
        <v>@100 kVp:</v>
      </c>
      <c r="H1162" s="1086" t="str">
        <f t="shared" si="158"/>
        <v/>
      </c>
      <c r="I1162" s="888" t="str">
        <f t="shared" si="158"/>
        <v>@120 kVp:</v>
      </c>
      <c r="J1162" s="1087" t="str">
        <f t="shared" si="158"/>
        <v/>
      </c>
      <c r="K1162" s="71"/>
      <c r="L1162" s="676" t="s">
        <v>411</v>
      </c>
      <c r="M1162" s="45"/>
      <c r="N1162" s="1"/>
      <c r="O1162" s="1"/>
      <c r="P1162" s="1"/>
      <c r="Q1162" s="1"/>
      <c r="R1162" s="1"/>
      <c r="S1162" s="1"/>
      <c r="T1162" s="1"/>
      <c r="U1162" s="1"/>
      <c r="V1162" s="1"/>
      <c r="W1162" s="39"/>
      <c r="X1162" s="664" t="s">
        <v>411</v>
      </c>
    </row>
    <row r="1163" spans="1:24" ht="11.25" customHeight="1" thickBot="1">
      <c r="A1163" s="611">
        <v>41</v>
      </c>
      <c r="B1163" s="287" t="s">
        <v>569</v>
      </c>
      <c r="C1163" s="1262" t="str">
        <f>IF(O1164="","",O1164)</f>
        <v>NA</v>
      </c>
      <c r="D1163" s="1296"/>
      <c r="E1163" s="1262" t="str">
        <f>IF(Q1164="","",Q1164)</f>
        <v>NA</v>
      </c>
      <c r="F1163" s="1296"/>
      <c r="G1163" s="1262" t="str">
        <f>IF(S1164="","",S1164)</f>
        <v>NA</v>
      </c>
      <c r="H1163" s="1296"/>
      <c r="I1163" s="1262" t="str">
        <f>IF(U1164="","",U1164)</f>
        <v>NA</v>
      </c>
      <c r="J1163" s="1263"/>
      <c r="K1163" s="71"/>
      <c r="L1163" s="676" t="s">
        <v>411</v>
      </c>
      <c r="M1163" s="598" t="s">
        <v>243</v>
      </c>
      <c r="N1163" s="419" t="s">
        <v>238</v>
      </c>
      <c r="O1163" s="43" t="str">
        <f>"@"&amp;P1156&amp;" kVp:"</f>
        <v>@60 kVp:</v>
      </c>
      <c r="P1163" s="1047" t="str">
        <f>IF(MIN(O1158:O1161)=0,"",IF(O1157="Film O.D.",ROUND(O1176,2)&amp;" O.D.",IF(O1157="lgM",ROUND(O1176,2)&amp;" lgM",ROUND(O1176/AVERAGE(O1158:O1161),2))))</f>
        <v/>
      </c>
      <c r="Q1163" s="32" t="str">
        <f>"@"&amp;R1156&amp;" kVp:"</f>
        <v>@80 kVp:</v>
      </c>
      <c r="R1163" s="1047" t="str">
        <f>IF(MIN(Q1158:Q1161)=0,"",IF(Q1157="Film O.D.",ROUND(Q1176,2)&amp;" O.D.",IF(Q1157="lgM",ROUND(Q1176,2)&amp;" lgM",ROUND(Q1176/AVERAGE(Q1158:Q1161),2))))</f>
        <v/>
      </c>
      <c r="S1163" s="32" t="str">
        <f>"@"&amp;T1156&amp;" kVp:"</f>
        <v>@100 kVp:</v>
      </c>
      <c r="T1163" s="1047" t="str">
        <f>IF(MIN(S1158:S1161)=0,"",IF(S1157="Film O.D.",ROUND(S1176,2)&amp;" O.D.",IF(S1157="lgM",ROUND(S1176,2)&amp;" lgM",ROUND(S1176/AVERAGE(S1158:S1161),2))))</f>
        <v/>
      </c>
      <c r="U1163" s="32" t="str">
        <f>"@"&amp;V1156&amp;" kVp:"</f>
        <v>@120 kVp:</v>
      </c>
      <c r="V1163" s="1049" t="str">
        <f>IF(MIN(U1158:U1161)=0,"",IF(U1157="Film O.D.",ROUND(U1176,2)&amp;" O.D.",IF(U1157="lgM",ROUND(U1176,2)&amp;" lgM",ROUND(U1176/AVERAGE(U1158:U1161),2))))</f>
        <v/>
      </c>
      <c r="W1163" s="71"/>
      <c r="X1163" s="664" t="s">
        <v>411</v>
      </c>
    </row>
    <row r="1164" spans="1:24" ht="11.25" customHeight="1" thickBot="1">
      <c r="A1164" s="611">
        <v>42</v>
      </c>
      <c r="B1164" s="213" t="s">
        <v>240</v>
      </c>
      <c r="C1164" s="888" t="str">
        <f t="shared" ref="C1164" si="159">IF(O1165="","",O1165)</f>
        <v>@ 10 cm.:</v>
      </c>
      <c r="D1164" s="1086" t="str">
        <f t="shared" ref="D1164" si="160">IF(P1165="","",P1165)</f>
        <v/>
      </c>
      <c r="E1164" s="888" t="str">
        <f t="shared" ref="E1164" si="161">IF(Q1165="","",Q1165)</f>
        <v>@ 15 cm.:</v>
      </c>
      <c r="F1164" s="1086" t="str">
        <f t="shared" ref="F1164" si="162">IF(R1165="","",R1165)</f>
        <v/>
      </c>
      <c r="G1164" s="888" t="str">
        <f t="shared" ref="G1164" si="163">IF(S1165="","",S1165)</f>
        <v>@ 20 cm.:</v>
      </c>
      <c r="H1164" s="1086" t="str">
        <f t="shared" ref="H1164" si="164">IF(T1165="","",T1165)</f>
        <v/>
      </c>
      <c r="I1164" s="888" t="str">
        <f t="shared" ref="I1164" si="165">IF(U1165="","",U1165)</f>
        <v>@ 25 cm.:</v>
      </c>
      <c r="J1164" s="1086" t="str">
        <f t="shared" ref="J1164" si="166">IF(V1165="","",V1165)</f>
        <v/>
      </c>
      <c r="K1164" s="71"/>
      <c r="L1164" s="676" t="s">
        <v>411</v>
      </c>
      <c r="M1164" s="127"/>
      <c r="N1164" s="780" t="s">
        <v>569</v>
      </c>
      <c r="O1164" s="1264" t="str">
        <f>IF(P1163="","NA",IF(OR(AND(O1158=0,O1159=0),AND(O1159="",O1160=""),AND(O1158="",O1160="")),"",IF(O1157="Film O.D.",IF(O1176&gt;0.3,"NO","YES"),IF(O1157="lgM",IF(O1176&gt;0.2,"NO","YES"),IF(P1163&lt;=0.3,"YES","NO")))))</f>
        <v>NA</v>
      </c>
      <c r="P1164" s="1265"/>
      <c r="Q1164" s="1284" t="str">
        <f>IF(R1163="","NA",IF(OR(AND(Q1158=0,Q1159=0),AND(Q1159="",Q1160=""),AND(Q1158="",Q1160="")),"",IF(Q1157="Film O.D.",IF(Q1176&gt;0.3,"NO","YES"),IF(Q1157="lgM",IF(Q1176&gt;0.2,"NO","YES"),IF(R1163&lt;=0.3,"YES","NO")))))</f>
        <v>NA</v>
      </c>
      <c r="R1164" s="1265"/>
      <c r="S1164" s="1284" t="str">
        <f>IF(T1163="","NA",IF(OR(AND(S1158=0,S1159=0),AND(S1159="",S1160=""),AND(S1158="",S1160="")),"",IF(S1157="Film O.D.",IF(S1176&gt;0.3,"NO","YES"),IF(S1157="lgM",IF(S1176&gt;0.2,"NO","YES"),IF(T1163&lt;=0.3,"YES","NO")))))</f>
        <v>NA</v>
      </c>
      <c r="T1164" s="1265"/>
      <c r="U1164" s="1284" t="str">
        <f>IF(V1163="","NA",IF(OR(AND(U1158=0,U1159=0),AND(U1159="",U1160=""),AND(U1158="",U1160="")),"",IF(U1157="Film O.D.",IF(U1176&gt;0.3,"NO","YES"),IF(U1157="lgM",IF(U1176&gt;0.2,"NO","YES"),IF(V1163&lt;=0.3,"YES","NO")))))</f>
        <v>NA</v>
      </c>
      <c r="V1164" s="1265"/>
      <c r="W1164" s="39"/>
      <c r="X1164" s="664" t="s">
        <v>411</v>
      </c>
    </row>
    <row r="1165" spans="1:24" ht="11.25" customHeight="1" thickBot="1">
      <c r="A1165" s="611">
        <v>43</v>
      </c>
      <c r="B1165" s="287" t="s">
        <v>569</v>
      </c>
      <c r="C1165" s="1262" t="str">
        <f>IF(O1166="","",O1166)</f>
        <v>NA</v>
      </c>
      <c r="D1165" s="1296"/>
      <c r="E1165" s="1262" t="str">
        <f>IF(Q1166="","",Q1166)</f>
        <v>NA</v>
      </c>
      <c r="F1165" s="1296"/>
      <c r="G1165" s="1262" t="str">
        <f>IF(S1166="","",S1166)</f>
        <v>NA</v>
      </c>
      <c r="H1165" s="1296"/>
      <c r="I1165" s="1262" t="str">
        <f>IF(U1166="","",U1166)</f>
        <v>NA</v>
      </c>
      <c r="J1165" s="1263"/>
      <c r="K1165" s="71"/>
      <c r="L1165" s="676" t="s">
        <v>411</v>
      </c>
      <c r="M1165" s="127"/>
      <c r="N1165" s="420" t="s">
        <v>240</v>
      </c>
      <c r="O1165" s="41" t="str">
        <f>"@ "&amp;N1158&amp;" cm.:"</f>
        <v>@ 10 cm.:</v>
      </c>
      <c r="P1165" s="1048" t="str">
        <f>IF(MIN($O1158,$Q1158,$S1158,$U1158)=0,"",IF(O1157="Film O.D.",ROUND(O1177,2)&amp;" O.D.",IF(O1157="lgM",ROUND(O1177,2)&amp;" lgM",ROUND(O1177/AVERAGE($O1158,$Q1158,$S1158,$U1158),2))))</f>
        <v/>
      </c>
      <c r="Q1165" s="40" t="str">
        <f>"@ "&amp;N1159&amp;" cm.:"</f>
        <v>@ 15 cm.:</v>
      </c>
      <c r="R1165" s="1048" t="str">
        <f>IF(MIN($O1159,$Q1159,$S1159,$U1159)=0,"",IF(Q1157="Film O.D.",ROUND(Q1177,2)&amp;" O.D.",IF(Q1157="lgM",ROUND(Q1177,2)&amp;" lgM",ROUND(Q1177/AVERAGE($O1159,$Q1159,$S1159,$U1159),2))))</f>
        <v/>
      </c>
      <c r="S1165" s="40" t="str">
        <f>"@ "&amp;N1160&amp;" cm.:"</f>
        <v>@ 20 cm.:</v>
      </c>
      <c r="T1165" s="1048" t="str">
        <f>IF(MIN($O1160,$Q1160,$S1160,$U1160)=0,"",IF(S1157="Film O.D.",ROUND(S1177,2)&amp;" O.D.",IF(S1157="lgM",ROUND(S1177,2)&amp;" lgM",ROUND(S1177/AVERAGE($O1160,$Q1160,$S1160,$U1160),2))))</f>
        <v/>
      </c>
      <c r="U1165" s="40" t="str">
        <f>"@ "&amp;N1161&amp;" cm.:"</f>
        <v>@ 25 cm.:</v>
      </c>
      <c r="V1165" s="1048" t="str">
        <f>IF(MIN($O1161,$Q1161,$S1161,$U1161)=0,"",IF(U1157="Film O.D.",ROUND(U1177,2)&amp;" O.D.",IF(U1157="lgM",ROUND(U1177,2)&amp;" lgM",ROUND(U1177/AVERAGE($O1161,$Q1161,$S1161,$U1161),2))))</f>
        <v/>
      </c>
      <c r="W1165" s="71"/>
      <c r="X1165" s="664" t="s">
        <v>411</v>
      </c>
    </row>
    <row r="1166" spans="1:24" ht="11.25" customHeight="1" thickBot="1">
      <c r="A1166" s="611">
        <v>44</v>
      </c>
      <c r="B1166" s="127"/>
      <c r="E1166" s="142"/>
      <c r="F1166" s="143" t="s">
        <v>241</v>
      </c>
      <c r="G1166" s="1088" t="str">
        <f>IF(S1167="","",S1167)</f>
        <v/>
      </c>
      <c r="H1166" s="140" t="s">
        <v>569</v>
      </c>
      <c r="I1166" s="141" t="str">
        <f>IF(U1167="","",U1167)</f>
        <v>NA</v>
      </c>
      <c r="K1166" s="71"/>
      <c r="L1166" s="676" t="s">
        <v>411</v>
      </c>
      <c r="M1166" s="127"/>
      <c r="N1166" s="780" t="s">
        <v>569</v>
      </c>
      <c r="O1166" s="1264" t="str">
        <f>IF(P1165="","NA",IF(OR(AND(O1158=0,Q1158=0),AND(Q1158="",S1158=""),AND(O1158="",S1158="")),"",IF(O1157="Film O.D.",IF(O1177&gt;0.3,"NO","YES"),IF(O1157="lgM",IF(O1177&gt;0.2,"NO","YES"),IF(P1165&lt;=0.3,"YES","NO")))))</f>
        <v>NA</v>
      </c>
      <c r="P1166" s="1265"/>
      <c r="Q1166" s="1284" t="str">
        <f>IF(R1165="","NA",IF(OR(AND(O1159=0,Q1159=0),AND(Q1159="",S1159=""),AND(O1159="",S1159="")),"",IF(Q1157="Film O.D.",IF(Q1177&gt;0.3,"NO","YES"),IF(Q1157="lgM",IF(Q1177&gt;0.2,"NO","YES"),IF(R1165&lt;=0.3,"YES","NO")))))</f>
        <v>NA</v>
      </c>
      <c r="R1166" s="1265"/>
      <c r="S1166" s="1284" t="str">
        <f>IF(T1165="","NA",IF(OR(AND(O1160=0,Q1160=0),AND(Q1160="",S1160=""),AND(O1160="",S1160="")),"",IF(S1157="Film O.D.",IF(S1177&gt;0.3,"NO","YES"),IF(S1157="lgM",IF(S1177&gt;0.2,"NO","YES"),IF(T1165&lt;=0.3,"YES","NO")))))</f>
        <v>NA</v>
      </c>
      <c r="T1166" s="1265"/>
      <c r="U1166" s="1284" t="str">
        <f>IF(V1165="","NA",IF(OR(AND(Q1161=0,S1161=0),AND(S1161="",U1161=""),AND(Q1161="",U1161="")),"",IF(U1157="Film O.D.",IF(U1177&gt;0.3,"NO","YES"),IF(U1157="lgM",IF(U1177&gt;0.2,"NO","YES"),IF(V1165&lt;=0.3,"YES","NO")))))</f>
        <v>NA</v>
      </c>
      <c r="V1166" s="1265"/>
      <c r="W1166" s="71"/>
      <c r="X1166" s="664" t="s">
        <v>411</v>
      </c>
    </row>
    <row r="1167" spans="1:24" ht="11.25" customHeight="1" thickBot="1">
      <c r="A1167" s="611">
        <v>45</v>
      </c>
      <c r="B1167" s="127"/>
      <c r="C1167" s="132" t="s">
        <v>570</v>
      </c>
      <c r="D1167" s="100" t="str">
        <f>P1169</f>
        <v>Film-Max difference 0.3 O.D. for individual kV or thickness; 0.4 O.D. overall</v>
      </c>
      <c r="K1167" s="71"/>
      <c r="L1167" s="676" t="s">
        <v>411</v>
      </c>
      <c r="M1167" s="127"/>
      <c r="Q1167" s="142"/>
      <c r="R1167" s="143" t="s">
        <v>241</v>
      </c>
      <c r="S1167" s="1049" t="str">
        <f>IF(AND(P1163="",R1163="",T1163="",V1163="",P1165="",R1165="",T1165="",V1165=""),"",IF(Q1157="Film O.D.",ROUND(Q1178,2)&amp;" O.D.",IF(Q1157="lgM",ROUND(Q1178,2)&amp;" lgM",ROUND(Q1178/AVERAGE(O1158:O1161,Q1158:Q1161,S1158:S1161,U1158:U1161),2))))</f>
        <v/>
      </c>
      <c r="T1167" s="749" t="s">
        <v>569</v>
      </c>
      <c r="U1167" s="740" t="str">
        <f>IF(AND(O1164="NA",Q1164="NA",S1164="NA",U1164="NA",O1166="NA",Q1166="NA",S1166="NA",U1166="NA"),"NA",IF(Q1157="Film O.D.",IF(Q1178&gt;0.4,"NO","YES"),IF(Q1157="lgM",IF(Q1178&gt;0.2,"NO","YES"),IF(ROUND(Q1178/AVERAGE(O1158:O1160,Q1158:Q1161,S1158:S1161,U1159:U1161),2)&lt;=0.35,"YES","NO"))))</f>
        <v>NA</v>
      </c>
      <c r="W1167" s="71"/>
      <c r="X1167" s="664" t="s">
        <v>411</v>
      </c>
    </row>
    <row r="1168" spans="1:24" ht="11.25" customHeight="1">
      <c r="A1168" s="611">
        <v>46</v>
      </c>
      <c r="B1168" s="127"/>
      <c r="D1168" s="342" t="str">
        <f>P1170</f>
        <v>Exposure &amp; AEC Meter-</v>
      </c>
      <c r="K1168" s="71"/>
      <c r="L1168" s="676" t="s">
        <v>411</v>
      </c>
      <c r="M1168" s="127"/>
      <c r="P1168" s="3"/>
      <c r="U1168" s="886" t="str">
        <f>$V$1148</f>
        <v>NOTE: Density step 1 produced a TBD % change</v>
      </c>
      <c r="W1168" s="71"/>
      <c r="X1168" s="664" t="s">
        <v>411</v>
      </c>
    </row>
    <row r="1169" spans="1:24" ht="11.25" customHeight="1">
      <c r="A1169" s="611">
        <v>47</v>
      </c>
      <c r="B1169" s="102" t="s">
        <v>552</v>
      </c>
      <c r="C1169" s="922" t="str">
        <f>IF(O1171="","",IF(LEN(O1171)&lt;=135,O1171,IF(LEN(O1171)&lt;=260,LEFT(O1171,SEARCH(" ",O1171,125)),LEFT(O1171,SEARCH(" ",O1171,130)))))</f>
        <v>Criteria: lgM - Max difference 0.2 lgM for individual kV or thickness; 0.2 lgM overall</v>
      </c>
      <c r="D1169" s="2"/>
      <c r="E1169" s="2"/>
      <c r="F1169" s="2"/>
      <c r="G1169" s="2"/>
      <c r="H1169" s="2"/>
      <c r="I1169" s="2"/>
      <c r="J1169" s="2"/>
      <c r="K1169" s="71"/>
      <c r="L1169" s="676" t="s">
        <v>411</v>
      </c>
      <c r="M1169" s="127"/>
      <c r="O1169" s="132" t="s">
        <v>570</v>
      </c>
      <c r="P1169" s="100" t="s">
        <v>139</v>
      </c>
      <c r="W1169" s="71"/>
      <c r="X1169" s="664" t="s">
        <v>411</v>
      </c>
    </row>
    <row r="1170" spans="1:24" ht="11.25" customHeight="1">
      <c r="A1170" s="611">
        <v>48</v>
      </c>
      <c r="B1170" s="45"/>
      <c r="C1170" s="923" t="str">
        <f>IF(LEN(O1171)&lt;=135,"",IF(LEN(O1171)&lt;=260,RIGHT(O1171,LEN(O1171)-SEARCH(" ",O1171,125)),MID(O1171,SEARCH(" ",O1171,130),IF(LEN(O1171)&lt;=265,LEN(O1171),SEARCH(" ",O1171,255)-SEARCH(" ",O1171,130)))))</f>
        <v/>
      </c>
      <c r="D1170" s="2"/>
      <c r="E1170" s="2"/>
      <c r="F1170" s="2"/>
      <c r="G1170" s="2"/>
      <c r="H1170" s="2"/>
      <c r="I1170" s="2"/>
      <c r="J1170" s="2"/>
      <c r="K1170" s="71"/>
      <c r="L1170" s="676" t="s">
        <v>411</v>
      </c>
      <c r="M1170" s="127"/>
      <c r="P1170" s="338" t="s">
        <v>1032</v>
      </c>
      <c r="Q1170" s="1031" t="s">
        <v>287</v>
      </c>
      <c r="W1170" s="71"/>
      <c r="X1170" s="664" t="s">
        <v>411</v>
      </c>
    </row>
    <row r="1171" spans="1:24" ht="11.25" customHeight="1">
      <c r="A1171" s="611">
        <v>49</v>
      </c>
      <c r="B1171" s="45"/>
      <c r="C1171" s="922" t="str">
        <f>IF(LEN(O1171)&lt;=265,"",RIGHT(O1171,LEN(O1171)-SEARCH(" ",O1171,255)))</f>
        <v/>
      </c>
      <c r="D1171" s="2"/>
      <c r="E1171" s="2"/>
      <c r="F1171" s="2"/>
      <c r="G1171" s="2"/>
      <c r="H1171" s="2"/>
      <c r="I1171" s="2"/>
      <c r="J1171" s="2"/>
      <c r="K1171" s="71"/>
      <c r="L1171" s="676" t="s">
        <v>411</v>
      </c>
      <c r="M1171" s="127"/>
      <c r="N1171" s="577" t="s">
        <v>552</v>
      </c>
      <c r="O1171" s="713" t="str">
        <f>IF(O1173&lt;&gt;"",O1173,IF(OR(AB451=0,AB451=""),"",AB451))</f>
        <v>Criteria: lgM - Max difference 0.2 lgM for individual kV or thickness; 0.2 lgM overall</v>
      </c>
      <c r="P1171" s="48"/>
      <c r="Q1171" s="2"/>
      <c r="R1171" s="2"/>
      <c r="S1171" s="2"/>
      <c r="T1171" s="2"/>
      <c r="U1171" s="2"/>
      <c r="V1171" s="2"/>
      <c r="W1171" s="31"/>
      <c r="X1171" s="664" t="s">
        <v>411</v>
      </c>
    </row>
    <row r="1172" spans="1:24" ht="11.25" customHeight="1">
      <c r="A1172" s="611">
        <v>50</v>
      </c>
      <c r="B1172" s="127"/>
      <c r="K1172" s="71"/>
      <c r="L1172" s="676" t="s">
        <v>411</v>
      </c>
      <c r="M1172" s="85"/>
      <c r="N1172" s="609" t="s">
        <v>282</v>
      </c>
      <c r="O1172" s="59"/>
      <c r="P1172" s="921">
        <f>LEN(O1171)</f>
        <v>86</v>
      </c>
      <c r="Q1172" s="11"/>
      <c r="R1172" s="11"/>
      <c r="S1172" s="11"/>
      <c r="T1172" s="11"/>
      <c r="U1172" s="11"/>
      <c r="V1172" s="11"/>
      <c r="W1172" s="214"/>
      <c r="X1172" s="664" t="s">
        <v>411</v>
      </c>
    </row>
    <row r="1173" spans="1:24" ht="11.25" customHeight="1">
      <c r="A1173" s="611">
        <v>51</v>
      </c>
      <c r="B1173" s="45"/>
      <c r="C1173" s="1"/>
      <c r="D1173" s="1"/>
      <c r="E1173" s="1"/>
      <c r="F1173" s="1"/>
      <c r="G1173" s="1"/>
      <c r="H1173" s="1"/>
      <c r="I1173" s="1"/>
      <c r="J1173" s="1"/>
      <c r="K1173" s="71"/>
      <c r="L1173" s="676" t="s">
        <v>411</v>
      </c>
      <c r="M1173" s="66"/>
      <c r="N1173" s="1024" t="s">
        <v>619</v>
      </c>
      <c r="O1173" s="1026" t="s">
        <v>1072</v>
      </c>
      <c r="P1173" s="59"/>
      <c r="Q1173" s="2"/>
      <c r="R1173" s="2"/>
      <c r="S1173" s="2"/>
      <c r="T1173" s="2"/>
      <c r="U1173" s="2"/>
      <c r="V1173" s="2"/>
      <c r="W1173" s="31"/>
      <c r="X1173" s="664" t="s">
        <v>411</v>
      </c>
    </row>
    <row r="1174" spans="1:24" ht="11.25" customHeight="1" thickBot="1">
      <c r="A1174" s="611">
        <v>52</v>
      </c>
      <c r="B1174" s="45"/>
      <c r="C1174" s="1"/>
      <c r="D1174" s="1"/>
      <c r="E1174" s="1"/>
      <c r="F1174" s="1"/>
      <c r="G1174" s="1"/>
      <c r="H1174" s="1"/>
      <c r="I1174" s="1"/>
      <c r="J1174" s="1"/>
      <c r="K1174" s="71"/>
      <c r="L1174" s="676" t="s">
        <v>411</v>
      </c>
      <c r="M1174" s="45"/>
      <c r="N1174" s="1"/>
      <c r="O1174" s="1"/>
      <c r="P1174" s="1"/>
      <c r="Q1174" s="1"/>
      <c r="R1174" s="1"/>
      <c r="S1174" s="1"/>
      <c r="T1174" s="1"/>
      <c r="U1174" s="1"/>
      <c r="V1174" s="1"/>
      <c r="W1174" s="39"/>
      <c r="X1174" s="664" t="s">
        <v>411</v>
      </c>
    </row>
    <row r="1175" spans="1:24" ht="11.25" customHeight="1">
      <c r="A1175" s="611">
        <v>53</v>
      </c>
      <c r="B1175" s="45"/>
      <c r="C1175" s="1"/>
      <c r="D1175" s="1"/>
      <c r="E1175" s="1"/>
      <c r="F1175" s="1"/>
      <c r="G1175" s="1"/>
      <c r="H1175" s="1"/>
      <c r="I1175" s="1"/>
      <c r="J1175" s="1"/>
      <c r="K1175" s="71"/>
      <c r="L1175" s="676" t="s">
        <v>411</v>
      </c>
      <c r="M1175" s="45"/>
      <c r="N1175" s="954" t="s">
        <v>20</v>
      </c>
      <c r="O1175" s="955"/>
      <c r="P1175" s="955"/>
      <c r="Q1175" s="955"/>
      <c r="R1175" s="955"/>
      <c r="S1175" s="955"/>
      <c r="T1175" s="955"/>
      <c r="U1175" s="956"/>
      <c r="V1175" s="1"/>
      <c r="W1175" s="39"/>
      <c r="X1175" s="664" t="s">
        <v>411</v>
      </c>
    </row>
    <row r="1176" spans="1:24" ht="11.25" customHeight="1">
      <c r="A1176" s="611">
        <v>54</v>
      </c>
      <c r="B1176" s="45"/>
      <c r="C1176" s="1"/>
      <c r="D1176" s="1"/>
      <c r="E1176" s="1"/>
      <c r="F1176" s="1"/>
      <c r="G1176" s="1"/>
      <c r="H1176" s="1"/>
      <c r="I1176" s="1"/>
      <c r="J1176" s="1"/>
      <c r="K1176" s="71"/>
      <c r="L1176" s="676" t="s">
        <v>411</v>
      </c>
      <c r="M1176" s="45"/>
      <c r="N1176" s="957">
        <f>P1156</f>
        <v>60</v>
      </c>
      <c r="O1176" s="1040">
        <f>MAX(O1158:O1161)-MIN(O1158:O1161)</f>
        <v>0</v>
      </c>
      <c r="P1176" s="958">
        <f>R1156</f>
        <v>80</v>
      </c>
      <c r="Q1176" s="1040">
        <f>MAX(Q1158:Q1161)-MIN(Q1158:Q1161)</f>
        <v>0</v>
      </c>
      <c r="R1176" s="958">
        <f>T1156</f>
        <v>100</v>
      </c>
      <c r="S1176" s="1040">
        <f>MAX(S1158:S1161)-MIN(S1158:S1161)</f>
        <v>0</v>
      </c>
      <c r="T1176" s="958">
        <f>V1156</f>
        <v>120</v>
      </c>
      <c r="U1176" s="1043">
        <f>MAX(U1158:U1161)-MIN(U1158:U1161)</f>
        <v>0</v>
      </c>
      <c r="V1176" s="1"/>
      <c r="W1176" s="39"/>
      <c r="X1176" s="664" t="s">
        <v>411</v>
      </c>
    </row>
    <row r="1177" spans="1:24" ht="11.25" customHeight="1">
      <c r="A1177" s="611">
        <v>55</v>
      </c>
      <c r="B1177" s="45"/>
      <c r="C1177" s="1"/>
      <c r="D1177" s="1"/>
      <c r="E1177" s="1"/>
      <c r="F1177" s="1"/>
      <c r="G1177" s="1"/>
      <c r="H1177" s="1"/>
      <c r="I1177" s="1"/>
      <c r="J1177" s="1"/>
      <c r="K1177" s="71"/>
      <c r="L1177" s="676" t="s">
        <v>411</v>
      </c>
      <c r="M1177" s="45"/>
      <c r="N1177" s="1036">
        <f>N1158</f>
        <v>10</v>
      </c>
      <c r="O1177" s="1041">
        <f>MAX(O1158,Q1158,S1158,U1158)-MIN(O1158,Q1158,S1158,U1158)</f>
        <v>0</v>
      </c>
      <c r="P1177" s="1037">
        <f>N1159</f>
        <v>15</v>
      </c>
      <c r="Q1177" s="1041">
        <f>MAX(O1159,Q1159,S1159,U1159)-MIN(O1159,Q1159,S1159,U1159)</f>
        <v>0</v>
      </c>
      <c r="R1177" s="1037">
        <f>N1160</f>
        <v>20</v>
      </c>
      <c r="S1177" s="1041">
        <f>MAX(O1160,Q1160,S1160,U1160)-MIN(O1160,Q1160,S1160,U1160)</f>
        <v>0</v>
      </c>
      <c r="T1177" s="1037">
        <f>N1161</f>
        <v>25</v>
      </c>
      <c r="U1177" s="1043">
        <f>MAX(O1161,Q1161,S1161,U1161)-MIN(O1161,Q1161,S1161,U1161)</f>
        <v>0</v>
      </c>
      <c r="V1177" s="1"/>
      <c r="W1177" s="39"/>
      <c r="X1177" s="664" t="s">
        <v>411</v>
      </c>
    </row>
    <row r="1178" spans="1:24" ht="11.25" customHeight="1" thickBot="1">
      <c r="A1178" s="611">
        <v>56</v>
      </c>
      <c r="B1178" s="45"/>
      <c r="C1178" s="1"/>
      <c r="D1178" s="1"/>
      <c r="E1178" s="1"/>
      <c r="F1178" s="1"/>
      <c r="G1178" s="1"/>
      <c r="H1178" s="1"/>
      <c r="I1178" s="1"/>
      <c r="J1178" s="1"/>
      <c r="K1178" s="71"/>
      <c r="L1178" s="676" t="s">
        <v>411</v>
      </c>
      <c r="M1178" s="45"/>
      <c r="N1178" s="206"/>
      <c r="O1178" s="5"/>
      <c r="P1178" s="959" t="s">
        <v>140</v>
      </c>
      <c r="Q1178" s="1042">
        <f>MAX(O1158:O1161,Q1158:Q1161,S1158:S1161,U1158:U1161)-MIN(O1158:O1161,Q1158:Q1161,S1158:S1161,U1158:U1161)</f>
        <v>0</v>
      </c>
      <c r="R1178" s="5"/>
      <c r="S1178" s="5"/>
      <c r="T1178" s="5"/>
      <c r="U1178" s="203"/>
      <c r="V1178" s="1"/>
      <c r="W1178" s="39"/>
      <c r="X1178" s="664" t="s">
        <v>411</v>
      </c>
    </row>
    <row r="1179" spans="1:24" ht="11.25" customHeight="1">
      <c r="A1179" s="611">
        <v>57</v>
      </c>
      <c r="B1179" s="127"/>
      <c r="K1179" s="71"/>
      <c r="L1179" s="676" t="s">
        <v>411</v>
      </c>
      <c r="M1179" s="127"/>
      <c r="W1179" s="71"/>
      <c r="X1179" s="664" t="s">
        <v>411</v>
      </c>
    </row>
    <row r="1180" spans="1:24" ht="11.25" customHeight="1">
      <c r="A1180" s="611">
        <v>58</v>
      </c>
      <c r="B1180" s="127"/>
      <c r="K1180" s="71"/>
      <c r="L1180" s="676" t="s">
        <v>411</v>
      </c>
      <c r="M1180" s="127"/>
      <c r="W1180" s="71"/>
      <c r="X1180" s="664" t="s">
        <v>411</v>
      </c>
    </row>
    <row r="1181" spans="1:24" ht="11.25" customHeight="1">
      <c r="A1181" s="611">
        <v>59</v>
      </c>
      <c r="B1181" s="127"/>
      <c r="K1181" s="71"/>
      <c r="L1181" s="676" t="s">
        <v>411</v>
      </c>
      <c r="M1181" s="127"/>
      <c r="W1181" s="71"/>
      <c r="X1181" s="664" t="s">
        <v>411</v>
      </c>
    </row>
    <row r="1182" spans="1:24" ht="11.25" customHeight="1">
      <c r="A1182" s="611">
        <v>60</v>
      </c>
      <c r="B1182" s="127"/>
      <c r="K1182" s="71"/>
      <c r="L1182" s="676" t="s">
        <v>411</v>
      </c>
      <c r="M1182" s="127"/>
      <c r="W1182" s="71"/>
      <c r="X1182" s="664" t="s">
        <v>411</v>
      </c>
    </row>
    <row r="1183" spans="1:24" ht="11.25" customHeight="1">
      <c r="A1183" s="611">
        <v>61</v>
      </c>
      <c r="B1183" s="127"/>
      <c r="K1183" s="71"/>
      <c r="L1183" s="676" t="s">
        <v>411</v>
      </c>
      <c r="M1183" s="127"/>
      <c r="P1183" s="1032"/>
      <c r="W1183" s="71"/>
      <c r="X1183" s="664" t="s">
        <v>411</v>
      </c>
    </row>
    <row r="1184" spans="1:24" ht="11.25" customHeight="1">
      <c r="A1184" s="611">
        <v>62</v>
      </c>
      <c r="B1184" s="127"/>
      <c r="K1184" s="71"/>
      <c r="L1184" s="676" t="s">
        <v>411</v>
      </c>
      <c r="M1184" s="127"/>
      <c r="W1184" s="71"/>
      <c r="X1184" s="664" t="s">
        <v>411</v>
      </c>
    </row>
    <row r="1185" spans="1:27" ht="11.25" customHeight="1">
      <c r="A1185" s="611">
        <v>63</v>
      </c>
      <c r="B1185" s="127"/>
      <c r="K1185" s="71"/>
      <c r="L1185" s="676" t="s">
        <v>411</v>
      </c>
      <c r="M1185" s="127"/>
      <c r="W1185" s="71"/>
      <c r="X1185" s="664" t="s">
        <v>411</v>
      </c>
    </row>
    <row r="1186" spans="1:27" ht="11.25" customHeight="1" thickBot="1">
      <c r="A1186" s="611">
        <v>64</v>
      </c>
      <c r="B1186" s="98"/>
      <c r="C1186" s="83"/>
      <c r="D1186" s="83"/>
      <c r="E1186" s="83"/>
      <c r="F1186" s="83"/>
      <c r="G1186" s="83"/>
      <c r="H1186" s="83"/>
      <c r="I1186" s="83"/>
      <c r="J1186" s="83"/>
      <c r="K1186" s="86"/>
      <c r="L1186" s="676" t="s">
        <v>411</v>
      </c>
      <c r="M1186" s="98"/>
      <c r="N1186" s="83"/>
      <c r="O1186" s="83"/>
      <c r="P1186" s="83"/>
      <c r="Q1186" s="83"/>
      <c r="R1186" s="83"/>
      <c r="S1186" s="83"/>
      <c r="T1186" s="83"/>
      <c r="U1186" s="83"/>
      <c r="V1186" s="83"/>
      <c r="W1186" s="86"/>
      <c r="X1186" s="664" t="s">
        <v>411</v>
      </c>
    </row>
    <row r="1187" spans="1:27" ht="11.25" customHeight="1" thickTop="1">
      <c r="A1187" s="611">
        <v>65</v>
      </c>
      <c r="B1187" s="52" t="str">
        <f t="array" ref="B1187:C1188">$B$65:$C$66</f>
        <v>Date:</v>
      </c>
      <c r="C1187" s="1133" t="str">
        <v/>
      </c>
      <c r="D1187" s="116"/>
      <c r="E1187" s="51"/>
      <c r="F1187" s="51"/>
      <c r="G1187" s="51"/>
      <c r="H1187" s="51"/>
      <c r="I1187" s="52" t="str">
        <f t="array" ref="I1187:J1188">$I$65:$J$66</f>
        <v>Inspector:</v>
      </c>
      <c r="J1187" s="421" t="str">
        <v>Eugene Mah</v>
      </c>
      <c r="L1187" s="676" t="s">
        <v>411</v>
      </c>
      <c r="X1187" s="664" t="s">
        <v>411</v>
      </c>
    </row>
    <row r="1188" spans="1:27" ht="11.25" customHeight="1">
      <c r="A1188" s="611">
        <v>66</v>
      </c>
      <c r="B1188" s="52" t="str">
        <v>Room Number:</v>
      </c>
      <c r="C1188" s="373" t="str">
        <v/>
      </c>
      <c r="E1188" s="51"/>
      <c r="F1188" s="51"/>
      <c r="G1188" s="51"/>
      <c r="H1188" s="51"/>
      <c r="I1188" s="52" t="str">
        <v>Survey ID:</v>
      </c>
      <c r="J1188" s="1045" t="str">
        <v/>
      </c>
      <c r="L1188" s="676" t="s">
        <v>411</v>
      </c>
      <c r="X1188" s="664" t="s">
        <v>411</v>
      </c>
    </row>
    <row r="1189" spans="1:27" ht="11.25" customHeight="1">
      <c r="A1189" s="611">
        <v>1</v>
      </c>
      <c r="B1189" s="1"/>
      <c r="C1189" s="1"/>
      <c r="D1189" s="1"/>
      <c r="E1189" s="1"/>
      <c r="H1189" s="1"/>
      <c r="I1189" s="1"/>
      <c r="J1189" s="1"/>
      <c r="K1189" s="131" t="str">
        <f>$F$2</f>
        <v>Medical University of South Carolina</v>
      </c>
      <c r="L1189" s="676" t="s">
        <v>411</v>
      </c>
      <c r="M1189" s="1"/>
      <c r="N1189" s="1"/>
      <c r="O1189" s="1"/>
      <c r="P1189" s="1"/>
      <c r="Q1189" s="1"/>
      <c r="S1189" s="1"/>
      <c r="T1189" s="1"/>
      <c r="U1189" s="1"/>
      <c r="V1189" s="1"/>
      <c r="W1189" s="131" t="str">
        <f>$F$2</f>
        <v>Medical University of South Carolina</v>
      </c>
      <c r="X1189" s="664" t="s">
        <v>411</v>
      </c>
    </row>
    <row r="1190" spans="1:27" ht="11.25" customHeight="1">
      <c r="A1190" s="611">
        <v>2</v>
      </c>
      <c r="F1190" s="82" t="str">
        <f>$F$464</f>
        <v>Measurement Data</v>
      </c>
      <c r="K1190" s="132" t="str">
        <f>$F$5</f>
        <v>Radiographic System Compliance Inspection</v>
      </c>
      <c r="L1190" s="676" t="s">
        <v>411</v>
      </c>
      <c r="Q1190" s="82" t="str">
        <f>$F$464</f>
        <v>Measurement Data</v>
      </c>
      <c r="W1190" s="132" t="str">
        <f>$F$5</f>
        <v>Radiographic System Compliance Inspection</v>
      </c>
      <c r="X1190" s="664" t="s">
        <v>411</v>
      </c>
    </row>
    <row r="1191" spans="1:27" ht="11.25" customHeight="1" thickBot="1">
      <c r="A1191" s="611">
        <v>3</v>
      </c>
      <c r="L1191" s="676" t="s">
        <v>411</v>
      </c>
      <c r="X1191" s="664" t="s">
        <v>411</v>
      </c>
    </row>
    <row r="1192" spans="1:27" ht="11.25" customHeight="1">
      <c r="A1192" s="611">
        <v>4</v>
      </c>
      <c r="B1192" s="344"/>
      <c r="C1192" s="345"/>
      <c r="D1192" s="345"/>
      <c r="E1192" s="345"/>
      <c r="F1192" s="345"/>
      <c r="G1192" s="345"/>
      <c r="H1192" s="345"/>
      <c r="I1192" s="345"/>
      <c r="J1192" s="345"/>
      <c r="K1192" s="346"/>
      <c r="L1192" s="676" t="s">
        <v>411</v>
      </c>
      <c r="M1192" s="344"/>
      <c r="N1192" s="345"/>
      <c r="O1192" s="345"/>
      <c r="P1192" s="345"/>
      <c r="Q1192" s="345"/>
      <c r="R1192" s="345"/>
      <c r="S1192" s="345"/>
      <c r="T1192" s="345"/>
      <c r="U1192" s="345"/>
      <c r="V1192" s="345"/>
      <c r="W1192" s="346"/>
      <c r="X1192" s="664" t="s">
        <v>411</v>
      </c>
    </row>
    <row r="1193" spans="1:27" ht="11.25" customHeight="1">
      <c r="A1193" s="611">
        <v>5</v>
      </c>
      <c r="B1193" s="347"/>
      <c r="F1193" s="82" t="str">
        <f>IF(R1193="","",R1193)</f>
        <v>Kerma Area Product/Air Kerma Accuracy</v>
      </c>
      <c r="K1193" s="348"/>
      <c r="L1193" s="676" t="s">
        <v>411</v>
      </c>
      <c r="M1193" s="347"/>
      <c r="R1193" s="82" t="s">
        <v>1092</v>
      </c>
      <c r="W1193" s="348"/>
      <c r="X1193" s="664" t="s">
        <v>411</v>
      </c>
    </row>
    <row r="1194" spans="1:27" ht="11.25" customHeight="1" thickBot="1">
      <c r="A1194" s="611">
        <v>6</v>
      </c>
      <c r="B1194" s="453"/>
      <c r="C1194" s="349"/>
      <c r="D1194" s="349"/>
      <c r="E1194" s="349"/>
      <c r="F1194" s="349"/>
      <c r="G1194" s="349"/>
      <c r="H1194" s="349"/>
      <c r="I1194" s="349"/>
      <c r="J1194" s="349"/>
      <c r="K1194" s="350"/>
      <c r="L1194" s="676" t="s">
        <v>411</v>
      </c>
      <c r="M1194" s="206"/>
      <c r="N1194" s="349"/>
      <c r="O1194" s="349"/>
      <c r="P1194" s="349"/>
      <c r="Q1194" s="349"/>
      <c r="R1194" s="349"/>
      <c r="S1194" s="349"/>
      <c r="T1194" s="349"/>
      <c r="U1194" s="349"/>
      <c r="V1194" s="349"/>
      <c r="W1194" s="350"/>
      <c r="X1194" s="664" t="s">
        <v>411</v>
      </c>
    </row>
    <row r="1195" spans="1:27" ht="11.25" customHeight="1" thickBot="1">
      <c r="A1195" s="611">
        <v>7</v>
      </c>
      <c r="L1195" s="676" t="s">
        <v>411</v>
      </c>
      <c r="Q1195" s="190"/>
      <c r="X1195" s="664" t="s">
        <v>411</v>
      </c>
    </row>
    <row r="1196" spans="1:27" ht="11.25" customHeight="1" thickTop="1">
      <c r="A1196" s="611">
        <v>8</v>
      </c>
      <c r="B1196" s="79"/>
      <c r="C1196" s="62"/>
      <c r="D1196" s="62"/>
      <c r="E1196" s="62"/>
      <c r="F1196" s="62"/>
      <c r="G1196" s="62"/>
      <c r="H1196" s="62"/>
      <c r="I1196" s="62"/>
      <c r="J1196" s="62"/>
      <c r="K1196" s="80"/>
      <c r="L1196"/>
      <c r="M1196" s="1117">
        <v>100</v>
      </c>
      <c r="N1196" s="447" t="s">
        <v>1093</v>
      </c>
      <c r="O1196" s="62"/>
      <c r="P1196" s="62"/>
      <c r="Q1196" s="1118"/>
      <c r="R1196" s="447" t="s">
        <v>1094</v>
      </c>
      <c r="S1196" s="62"/>
      <c r="T1196" s="1253"/>
      <c r="U1196" s="447" t="s">
        <v>1178</v>
      </c>
      <c r="V1196" s="62"/>
      <c r="W1196" s="80"/>
      <c r="X1196" s="664" t="s">
        <v>411</v>
      </c>
    </row>
    <row r="1197" spans="1:27" ht="11.25" customHeight="1">
      <c r="A1197" s="611">
        <v>9</v>
      </c>
      <c r="B1197" s="127"/>
      <c r="C1197" s="54" t="s">
        <v>1110</v>
      </c>
      <c r="D1197" s="1160" t="str">
        <f>IF(T1196="","",T1196)</f>
        <v/>
      </c>
      <c r="F1197" s="54" t="s">
        <v>1111</v>
      </c>
      <c r="G1197" s="1143" t="str">
        <f>IF(T1197="","",T1197)</f>
        <v/>
      </c>
      <c r="I1197" s="54" t="s">
        <v>1112</v>
      </c>
      <c r="J1197" s="1143" t="str">
        <f>IF(T1198="","",T1198)</f>
        <v/>
      </c>
      <c r="K1197" s="71"/>
      <c r="L1197"/>
      <c r="M1197" s="649"/>
      <c r="N1197" s="50" t="s">
        <v>1095</v>
      </c>
      <c r="Q1197" s="1115"/>
      <c r="R1197" s="50" t="s">
        <v>1096</v>
      </c>
      <c r="T1197" s="1254"/>
      <c r="U1197" s="50" t="s">
        <v>1179</v>
      </c>
      <c r="W1197" s="71"/>
      <c r="X1197" s="664" t="s">
        <v>411</v>
      </c>
    </row>
    <row r="1198" spans="1:27" ht="11.25" customHeight="1">
      <c r="A1198" s="611">
        <v>10</v>
      </c>
      <c r="B1198" s="127"/>
      <c r="K1198" s="71"/>
      <c r="L1198"/>
      <c r="M1198" s="1116" t="str">
        <f>IF(OR(M1196="",M1197=""),"",(M1196/M1197)^2)</f>
        <v/>
      </c>
      <c r="N1198" s="50" t="s">
        <v>1106</v>
      </c>
      <c r="Q1198" s="1115"/>
      <c r="R1198" s="50" t="s">
        <v>1097</v>
      </c>
      <c r="T1198" s="1254"/>
      <c r="U1198" s="50" t="s">
        <v>1180</v>
      </c>
      <c r="W1198" s="71"/>
      <c r="X1198" s="664" t="s">
        <v>411</v>
      </c>
    </row>
    <row r="1199" spans="1:27" ht="11.25" customHeight="1">
      <c r="A1199" s="611">
        <v>11</v>
      </c>
      <c r="B1199" s="127"/>
      <c r="E1199" s="1259" t="s">
        <v>1182</v>
      </c>
      <c r="F1199" s="1259"/>
      <c r="K1199" s="71"/>
      <c r="L1199"/>
      <c r="M1199" s="127"/>
      <c r="W1199" s="71"/>
      <c r="X1199" s="664" t="s">
        <v>411</v>
      </c>
    </row>
    <row r="1200" spans="1:27" ht="11.25" customHeight="1">
      <c r="A1200" s="611">
        <v>12</v>
      </c>
      <c r="B1200" s="127"/>
      <c r="C1200" s="1120"/>
      <c r="D1200" s="218"/>
      <c r="E1200" s="1231" t="s">
        <v>566</v>
      </c>
      <c r="F1200" s="1232" t="s">
        <v>567</v>
      </c>
      <c r="G1200" s="1236"/>
      <c r="K1200" s="71"/>
      <c r="L1200"/>
      <c r="M1200" s="127"/>
      <c r="O1200" s="49" t="s">
        <v>566</v>
      </c>
      <c r="P1200" s="50" t="s">
        <v>567</v>
      </c>
      <c r="W1200" s="71"/>
      <c r="X1200" s="664" t="s">
        <v>411</v>
      </c>
      <c r="Y1200" s="457"/>
      <c r="AA1200" s="457"/>
    </row>
    <row r="1201" spans="1:27" ht="11.25" customHeight="1" thickBot="1">
      <c r="A1201" s="611">
        <v>13</v>
      </c>
      <c r="B1201" s="127"/>
      <c r="C1201" s="1120" t="str">
        <f>M1202</f>
        <v>kV</v>
      </c>
      <c r="D1201" s="218" t="str">
        <f>N1202</f>
        <v>mA</v>
      </c>
      <c r="E1201" s="1257" t="str">
        <f>O1202</f>
        <v>µGy·m²</v>
      </c>
      <c r="F1201" s="1258"/>
      <c r="G1201" s="1230" t="s">
        <v>1176</v>
      </c>
      <c r="K1201" s="71"/>
      <c r="L1201"/>
      <c r="M1201" s="66"/>
      <c r="N1201" s="49"/>
      <c r="O1201" s="264" t="s">
        <v>1063</v>
      </c>
      <c r="P1201" s="50" t="s">
        <v>1063</v>
      </c>
      <c r="W1201" s="71"/>
      <c r="X1201" s="664" t="s">
        <v>411</v>
      </c>
      <c r="AA1201" s="457"/>
    </row>
    <row r="1202" spans="1:27" ht="11.25" customHeight="1">
      <c r="A1202" s="611">
        <v>14</v>
      </c>
      <c r="B1202" s="127"/>
      <c r="C1202" s="1127">
        <f t="shared" ref="C1202:G1205" si="167">IF(M1203="","",M1203)</f>
        <v>60</v>
      </c>
      <c r="D1202" s="1128">
        <f t="shared" si="167"/>
        <v>100</v>
      </c>
      <c r="E1202" s="1129" t="str">
        <f t="shared" si="167"/>
        <v/>
      </c>
      <c r="F1202" s="1130" t="str">
        <f t="shared" si="167"/>
        <v/>
      </c>
      <c r="G1202" s="1237" t="str">
        <f t="shared" si="167"/>
        <v/>
      </c>
      <c r="K1202" s="71"/>
      <c r="L1202"/>
      <c r="M1202" s="66" t="s">
        <v>64</v>
      </c>
      <c r="N1202" s="264" t="str">
        <f>LFMAS</f>
        <v>mA</v>
      </c>
      <c r="O1202" s="1279" t="s">
        <v>1100</v>
      </c>
      <c r="P1202" s="1279"/>
      <c r="Q1202" s="1238" t="s">
        <v>1176</v>
      </c>
      <c r="W1202" s="71"/>
      <c r="X1202" s="664" t="s">
        <v>411</v>
      </c>
      <c r="AA1202" s="457"/>
    </row>
    <row r="1203" spans="1:27" ht="11.25" customHeight="1">
      <c r="A1203" s="611">
        <v>15</v>
      </c>
      <c r="B1203" s="127"/>
      <c r="C1203" s="1121">
        <f t="shared" si="167"/>
        <v>80</v>
      </c>
      <c r="D1203" s="1119">
        <f t="shared" si="167"/>
        <v>50</v>
      </c>
      <c r="E1203" s="1113" t="str">
        <f t="shared" si="167"/>
        <v/>
      </c>
      <c r="F1203" s="119" t="str">
        <f t="shared" si="167"/>
        <v/>
      </c>
      <c r="G1203" s="1122" t="str">
        <f t="shared" si="167"/>
        <v/>
      </c>
      <c r="K1203" s="71"/>
      <c r="L1203"/>
      <c r="M1203" s="1240">
        <f>IF(Sheet1!R4="","",Sheet1!R4)</f>
        <v>60</v>
      </c>
      <c r="N1203" s="1235">
        <f>IF(Sheet1!S4="","",Sheet1!S4)</f>
        <v>100</v>
      </c>
      <c r="O1203" s="1235" t="str">
        <f>IF(Sheet1!X4="","",Sheet1!X4)</f>
        <v/>
      </c>
      <c r="P1203" s="1235" t="str">
        <f>IF(Sheet1!V4="","",Sheet1!V4)</f>
        <v/>
      </c>
      <c r="Q1203" s="1245" t="str">
        <f>IF(OR(O1203="",P1203=""),"",(P1203-O1203)/O1203)</f>
        <v/>
      </c>
      <c r="W1203" s="71"/>
      <c r="X1203" s="664" t="s">
        <v>411</v>
      </c>
      <c r="AA1203" s="457"/>
    </row>
    <row r="1204" spans="1:27" ht="11.25" customHeight="1">
      <c r="A1204" s="611">
        <v>16</v>
      </c>
      <c r="B1204" s="127"/>
      <c r="C1204" s="1121">
        <f t="shared" si="167"/>
        <v>100</v>
      </c>
      <c r="D1204" s="1119">
        <f t="shared" si="167"/>
        <v>50</v>
      </c>
      <c r="E1204" s="1113" t="str">
        <f t="shared" si="167"/>
        <v/>
      </c>
      <c r="F1204" s="119" t="str">
        <f t="shared" si="167"/>
        <v/>
      </c>
      <c r="G1204" s="1122" t="str">
        <f t="shared" si="167"/>
        <v/>
      </c>
      <c r="K1204" s="71"/>
      <c r="L1204"/>
      <c r="M1204" s="1240">
        <f>IF(Sheet1!R5="","",Sheet1!R5)</f>
        <v>80</v>
      </c>
      <c r="N1204" s="1235">
        <f>IF(Sheet1!S5="","",Sheet1!S5)</f>
        <v>50</v>
      </c>
      <c r="O1204" s="1235" t="str">
        <f>IF(Sheet1!X5="","",Sheet1!X5)</f>
        <v/>
      </c>
      <c r="P1204" s="1235" t="str">
        <f>IF(Sheet1!V5="","",Sheet1!V5)</f>
        <v/>
      </c>
      <c r="Q1204" s="1245" t="str">
        <f t="shared" ref="Q1204:Q1206" si="168">IF(OR(O1204="",P1204=""),"",(P1204-O1204)/O1204)</f>
        <v/>
      </c>
      <c r="W1204" s="71"/>
      <c r="X1204" s="664" t="s">
        <v>411</v>
      </c>
      <c r="AA1204" s="457"/>
    </row>
    <row r="1205" spans="1:27" ht="11.25" customHeight="1">
      <c r="A1205" s="611">
        <v>17</v>
      </c>
      <c r="B1205" s="127"/>
      <c r="C1205" s="1121">
        <f t="shared" si="167"/>
        <v>120</v>
      </c>
      <c r="D1205" s="1119">
        <f t="shared" si="167"/>
        <v>25</v>
      </c>
      <c r="E1205" s="1113" t="str">
        <f t="shared" si="167"/>
        <v/>
      </c>
      <c r="F1205" s="119" t="str">
        <f t="shared" si="167"/>
        <v/>
      </c>
      <c r="G1205" s="1122" t="str">
        <f t="shared" si="167"/>
        <v/>
      </c>
      <c r="K1205" s="71"/>
      <c r="L1205"/>
      <c r="M1205" s="1240">
        <f>IF(Sheet1!R6="","",Sheet1!R6)</f>
        <v>100</v>
      </c>
      <c r="N1205" s="1235">
        <f>IF(Sheet1!S6="","",Sheet1!S6)</f>
        <v>50</v>
      </c>
      <c r="O1205" s="1235" t="str">
        <f>IF(Sheet1!X6="","",Sheet1!X6)</f>
        <v/>
      </c>
      <c r="P1205" s="1235" t="str">
        <f>IF(Sheet1!V6="","",Sheet1!V6)</f>
        <v/>
      </c>
      <c r="Q1205" s="1245" t="str">
        <f t="shared" si="168"/>
        <v/>
      </c>
      <c r="W1205" s="71"/>
      <c r="X1205" s="664" t="s">
        <v>411</v>
      </c>
      <c r="AA1205" s="457"/>
    </row>
    <row r="1206" spans="1:27" ht="11.25" customHeight="1">
      <c r="A1206" s="611">
        <v>18</v>
      </c>
      <c r="B1206" s="127"/>
      <c r="C1206" s="1121" t="str">
        <f t="shared" ref="C1206:D1209" si="169">IF(M1207="","",M1207)</f>
        <v/>
      </c>
      <c r="D1206" s="1119" t="str">
        <f t="shared" si="169"/>
        <v/>
      </c>
      <c r="E1206" s="1113" t="str">
        <f t="shared" ref="E1206:G1209" si="170">IF(M1229="","",M1229)</f>
        <v/>
      </c>
      <c r="F1206" s="119" t="str">
        <f t="shared" si="170"/>
        <v/>
      </c>
      <c r="G1206" s="1122" t="str">
        <f t="shared" si="170"/>
        <v/>
      </c>
      <c r="K1206" s="71"/>
      <c r="L1206"/>
      <c r="M1206" s="1240">
        <f>IF(Sheet1!R7="","",Sheet1!R7)</f>
        <v>120</v>
      </c>
      <c r="N1206" s="1235">
        <f>IF(Sheet1!S7="","",Sheet1!S7)</f>
        <v>25</v>
      </c>
      <c r="O1206" s="1235" t="str">
        <f>IF(Sheet1!X7="","",Sheet1!X7)</f>
        <v/>
      </c>
      <c r="P1206" s="1235" t="str">
        <f>IF(Sheet1!V7="","",Sheet1!V7)</f>
        <v/>
      </c>
      <c r="Q1206" s="1245" t="str">
        <f t="shared" si="168"/>
        <v/>
      </c>
      <c r="W1206" s="71"/>
      <c r="X1206" s="664" t="s">
        <v>411</v>
      </c>
      <c r="AA1206" s="457"/>
    </row>
    <row r="1207" spans="1:27" ht="11.25" customHeight="1">
      <c r="A1207" s="611">
        <v>19</v>
      </c>
      <c r="B1207" s="127"/>
      <c r="C1207" s="1121" t="str">
        <f t="shared" si="169"/>
        <v/>
      </c>
      <c r="D1207" s="1119" t="str">
        <f t="shared" si="169"/>
        <v/>
      </c>
      <c r="E1207" s="1113" t="str">
        <f t="shared" si="170"/>
        <v/>
      </c>
      <c r="F1207" s="119" t="str">
        <f t="shared" si="170"/>
        <v/>
      </c>
      <c r="G1207" s="1122" t="str">
        <f t="shared" si="170"/>
        <v/>
      </c>
      <c r="K1207" s="71"/>
      <c r="L1207"/>
      <c r="M1207" s="1241"/>
      <c r="N1207" s="1242"/>
      <c r="O1207" s="1235"/>
      <c r="P1207" s="1235"/>
      <c r="Q1207" s="1245" t="str">
        <f>IF(OR(E1206="",F1206=""),"",(F1206-E1206)/E1206)</f>
        <v/>
      </c>
      <c r="W1207" s="71"/>
      <c r="X1207" s="664" t="s">
        <v>411</v>
      </c>
      <c r="AA1207" s="457"/>
    </row>
    <row r="1208" spans="1:27" ht="11.25" customHeight="1">
      <c r="A1208" s="611">
        <v>20</v>
      </c>
      <c r="B1208" s="127"/>
      <c r="C1208" s="1121" t="str">
        <f t="shared" si="169"/>
        <v/>
      </c>
      <c r="D1208" s="1119" t="str">
        <f t="shared" si="169"/>
        <v/>
      </c>
      <c r="E1208" s="1113" t="str">
        <f t="shared" si="170"/>
        <v/>
      </c>
      <c r="F1208" s="119" t="str">
        <f t="shared" si="170"/>
        <v/>
      </c>
      <c r="G1208" s="1122" t="str">
        <f t="shared" si="170"/>
        <v/>
      </c>
      <c r="K1208" s="71"/>
      <c r="L1208"/>
      <c r="M1208" s="1241"/>
      <c r="N1208" s="1242"/>
      <c r="O1208" s="1235"/>
      <c r="P1208" s="1235"/>
      <c r="Q1208" s="1245" t="str">
        <f>IF(OR(E1207="",F1207=""),"",(F1207-E1207)/E1207)</f>
        <v/>
      </c>
      <c r="W1208" s="71"/>
      <c r="X1208" s="664" t="s">
        <v>411</v>
      </c>
      <c r="Y1208" s="918"/>
      <c r="AA1208" s="457"/>
    </row>
    <row r="1209" spans="1:27" ht="11.25" customHeight="1" thickBot="1">
      <c r="A1209" s="611">
        <v>21</v>
      </c>
      <c r="B1209" s="127"/>
      <c r="C1209" s="1123" t="str">
        <f t="shared" si="169"/>
        <v/>
      </c>
      <c r="D1209" s="1124" t="str">
        <f t="shared" si="169"/>
        <v/>
      </c>
      <c r="E1209" s="178" t="str">
        <f t="shared" si="170"/>
        <v/>
      </c>
      <c r="F1209" s="238" t="str">
        <f t="shared" si="170"/>
        <v/>
      </c>
      <c r="G1209" s="1125" t="str">
        <f t="shared" si="170"/>
        <v/>
      </c>
      <c r="K1209" s="71"/>
      <c r="L1209"/>
      <c r="M1209" s="1241"/>
      <c r="N1209" s="1242"/>
      <c r="O1209" s="1235"/>
      <c r="P1209" s="1235"/>
      <c r="Q1209" s="1245" t="str">
        <f>IF(OR(E1208="",F1208=""),"",(F1208-E1208)/E1208)</f>
        <v/>
      </c>
      <c r="W1209" s="71"/>
      <c r="X1209" s="664" t="s">
        <v>411</v>
      </c>
      <c r="Y1209" s="918"/>
      <c r="AA1209" s="457"/>
    </row>
    <row r="1210" spans="1:27" ht="11.25" customHeight="1" thickBot="1">
      <c r="A1210" s="611">
        <v>22</v>
      </c>
      <c r="B1210" s="127"/>
      <c r="C1210" s="49"/>
      <c r="D1210" s="49"/>
      <c r="E1210" s="49"/>
      <c r="F1210" s="54" t="s">
        <v>569</v>
      </c>
      <c r="G1210" s="1126" t="str">
        <f>IF(Q1211="","",Q1211)</f>
        <v/>
      </c>
      <c r="K1210" s="71"/>
      <c r="L1210"/>
      <c r="M1210" s="1243"/>
      <c r="N1210" s="1244"/>
      <c r="O1210" s="1239"/>
      <c r="P1210" s="1239"/>
      <c r="Q1210" s="1246" t="str">
        <f>IF(OR(E1209="",F1209=""),"",(F1209-E1209)/E1209)</f>
        <v/>
      </c>
      <c r="W1210" s="71"/>
      <c r="X1210" s="664" t="s">
        <v>411</v>
      </c>
    </row>
    <row r="1211" spans="1:27" ht="11.25" customHeight="1" thickBot="1">
      <c r="A1211" s="611">
        <v>23</v>
      </c>
      <c r="B1211" s="127"/>
      <c r="C1211" s="132" t="s">
        <v>570</v>
      </c>
      <c r="D1211" s="326" t="str">
        <f>N1213</f>
        <v>Measured KAP should be within +/- 35% of the indicated value</v>
      </c>
      <c r="K1211" s="71"/>
      <c r="L1211"/>
      <c r="P1211" s="54" t="s">
        <v>569</v>
      </c>
      <c r="Q1211" s="1126" t="str">
        <f>IF(Q1203="","",IF(OR(MAX(Q1203:Q1210)&lt;=0.35,MIN(Q1203:Q1210)&gt;=-0.35),"Pass","Fail"))</f>
        <v/>
      </c>
      <c r="W1211" s="71"/>
      <c r="X1211" s="664" t="s">
        <v>411</v>
      </c>
    </row>
    <row r="1212" spans="1:27" ht="11.25" customHeight="1" thickBot="1">
      <c r="A1212" s="611">
        <v>24</v>
      </c>
      <c r="B1212" s="98"/>
      <c r="C1212" s="83"/>
      <c r="D1212" s="83"/>
      <c r="E1212" s="83"/>
      <c r="F1212" s="83"/>
      <c r="G1212" s="83"/>
      <c r="H1212" s="83"/>
      <c r="I1212" s="83"/>
      <c r="J1212" s="83"/>
      <c r="K1212" s="86"/>
      <c r="L1212"/>
      <c r="X1212" s="664" t="s">
        <v>411</v>
      </c>
    </row>
    <row r="1213" spans="1:27" ht="11.25" customHeight="1" thickTop="1">
      <c r="A1213" s="611">
        <v>25</v>
      </c>
      <c r="L1213"/>
      <c r="M1213" s="132" t="s">
        <v>570</v>
      </c>
      <c r="N1213" s="50" t="s">
        <v>1181</v>
      </c>
      <c r="X1213" s="664" t="s">
        <v>411</v>
      </c>
    </row>
    <row r="1214" spans="1:27" ht="11.25" customHeight="1">
      <c r="A1214" s="611">
        <v>26</v>
      </c>
      <c r="L1214"/>
      <c r="X1214" s="664" t="s">
        <v>411</v>
      </c>
    </row>
    <row r="1215" spans="1:27" ht="11.25" customHeight="1">
      <c r="A1215" s="611">
        <v>27</v>
      </c>
      <c r="L1215" s="676" t="s">
        <v>411</v>
      </c>
      <c r="X1215" s="664" t="s">
        <v>411</v>
      </c>
    </row>
    <row r="1216" spans="1:27" ht="11.25" customHeight="1">
      <c r="A1216" s="611">
        <v>28</v>
      </c>
      <c r="L1216" s="676" t="s">
        <v>411</v>
      </c>
      <c r="X1216" s="664" t="s">
        <v>411</v>
      </c>
    </row>
    <row r="1217" spans="1:24" ht="11.25" customHeight="1">
      <c r="A1217" s="611">
        <v>29</v>
      </c>
      <c r="L1217" s="676" t="s">
        <v>411</v>
      </c>
      <c r="X1217" s="664" t="s">
        <v>411</v>
      </c>
    </row>
    <row r="1218" spans="1:24" ht="11.25" customHeight="1">
      <c r="A1218" s="611">
        <v>30</v>
      </c>
      <c r="L1218" s="676" t="s">
        <v>411</v>
      </c>
      <c r="X1218" s="664" t="s">
        <v>411</v>
      </c>
    </row>
    <row r="1219" spans="1:24" ht="11.25" customHeight="1">
      <c r="A1219" s="611">
        <v>31</v>
      </c>
      <c r="L1219"/>
      <c r="X1219" s="664" t="s">
        <v>411</v>
      </c>
    </row>
    <row r="1220" spans="1:24" ht="11.25" customHeight="1">
      <c r="A1220" s="611">
        <v>32</v>
      </c>
      <c r="L1220"/>
      <c r="X1220" s="664" t="s">
        <v>411</v>
      </c>
    </row>
    <row r="1221" spans="1:24" ht="11.25" customHeight="1">
      <c r="A1221" s="611">
        <v>33</v>
      </c>
      <c r="L1221"/>
      <c r="X1221" s="664" t="s">
        <v>411</v>
      </c>
    </row>
    <row r="1222" spans="1:24" ht="11.25" customHeight="1">
      <c r="A1222" s="611">
        <v>34</v>
      </c>
      <c r="L1222"/>
      <c r="X1222" s="664" t="s">
        <v>411</v>
      </c>
    </row>
    <row r="1223" spans="1:24" ht="11.25" customHeight="1">
      <c r="A1223" s="611">
        <v>35</v>
      </c>
      <c r="L1223"/>
      <c r="X1223" s="664" t="s">
        <v>411</v>
      </c>
    </row>
    <row r="1224" spans="1:24" ht="11.25" customHeight="1">
      <c r="A1224" s="611">
        <v>36</v>
      </c>
      <c r="L1224"/>
      <c r="X1224" s="664" t="s">
        <v>411</v>
      </c>
    </row>
    <row r="1225" spans="1:24" ht="11.25" customHeight="1">
      <c r="A1225" s="611">
        <v>37</v>
      </c>
      <c r="L1225"/>
      <c r="X1225" s="664" t="s">
        <v>411</v>
      </c>
    </row>
    <row r="1226" spans="1:24" ht="11.25" customHeight="1">
      <c r="A1226" s="611">
        <v>38</v>
      </c>
      <c r="L1226"/>
      <c r="X1226" s="664" t="s">
        <v>411</v>
      </c>
    </row>
    <row r="1227" spans="1:24" ht="11.25" customHeight="1">
      <c r="A1227" s="611">
        <v>39</v>
      </c>
      <c r="L1227"/>
      <c r="X1227" s="664" t="s">
        <v>411</v>
      </c>
    </row>
    <row r="1228" spans="1:24" ht="11.25" customHeight="1">
      <c r="A1228" s="611">
        <v>40</v>
      </c>
      <c r="L1228" s="676" t="s">
        <v>411</v>
      </c>
      <c r="X1228" s="664" t="s">
        <v>411</v>
      </c>
    </row>
    <row r="1229" spans="1:24" ht="11.25" customHeight="1">
      <c r="A1229" s="611">
        <v>41</v>
      </c>
      <c r="L1229" s="676" t="s">
        <v>411</v>
      </c>
      <c r="X1229" s="664" t="s">
        <v>411</v>
      </c>
    </row>
    <row r="1230" spans="1:24" ht="11.25" customHeight="1">
      <c r="A1230" s="611">
        <v>42</v>
      </c>
      <c r="L1230" s="676" t="s">
        <v>411</v>
      </c>
      <c r="X1230" s="664" t="s">
        <v>411</v>
      </c>
    </row>
    <row r="1231" spans="1:24" ht="11.25" customHeight="1">
      <c r="A1231" s="611">
        <v>43</v>
      </c>
      <c r="L1231" s="676" t="s">
        <v>411</v>
      </c>
      <c r="X1231" s="664" t="s">
        <v>411</v>
      </c>
    </row>
    <row r="1232" spans="1:24" ht="11.25" customHeight="1">
      <c r="A1232" s="611">
        <v>44</v>
      </c>
      <c r="L1232" s="676" t="s">
        <v>411</v>
      </c>
      <c r="X1232" s="664" t="s">
        <v>411</v>
      </c>
    </row>
    <row r="1233" spans="1:24" ht="11.25" customHeight="1">
      <c r="A1233" s="611">
        <v>45</v>
      </c>
      <c r="L1233" s="676" t="s">
        <v>411</v>
      </c>
      <c r="X1233" s="664" t="s">
        <v>411</v>
      </c>
    </row>
    <row r="1234" spans="1:24" ht="11.25" customHeight="1">
      <c r="A1234" s="611">
        <v>46</v>
      </c>
      <c r="L1234" s="676" t="s">
        <v>411</v>
      </c>
      <c r="X1234" s="664" t="s">
        <v>411</v>
      </c>
    </row>
    <row r="1235" spans="1:24" ht="11.25" customHeight="1">
      <c r="A1235" s="611">
        <v>47</v>
      </c>
      <c r="L1235" s="676" t="s">
        <v>411</v>
      </c>
      <c r="X1235" s="664" t="s">
        <v>411</v>
      </c>
    </row>
    <row r="1236" spans="1:24" ht="11.25" customHeight="1">
      <c r="A1236" s="611">
        <v>48</v>
      </c>
      <c r="L1236" s="676" t="s">
        <v>411</v>
      </c>
      <c r="X1236" s="664" t="s">
        <v>411</v>
      </c>
    </row>
    <row r="1237" spans="1:24" ht="11.25" customHeight="1">
      <c r="A1237" s="611">
        <v>49</v>
      </c>
      <c r="L1237" s="676" t="s">
        <v>411</v>
      </c>
      <c r="X1237" s="664" t="s">
        <v>411</v>
      </c>
    </row>
    <row r="1238" spans="1:24" ht="11.25" customHeight="1">
      <c r="A1238" s="611">
        <v>50</v>
      </c>
      <c r="L1238" s="676" t="s">
        <v>411</v>
      </c>
      <c r="X1238" s="664" t="s">
        <v>411</v>
      </c>
    </row>
    <row r="1239" spans="1:24" ht="11.25" customHeight="1">
      <c r="A1239" s="611">
        <v>51</v>
      </c>
      <c r="L1239" s="676" t="s">
        <v>411</v>
      </c>
      <c r="X1239" s="664" t="s">
        <v>411</v>
      </c>
    </row>
    <row r="1240" spans="1:24" ht="11.25" customHeight="1">
      <c r="A1240" s="611">
        <v>52</v>
      </c>
      <c r="L1240" s="676" t="s">
        <v>411</v>
      </c>
      <c r="X1240" s="664" t="s">
        <v>411</v>
      </c>
    </row>
    <row r="1241" spans="1:24" ht="11.25" customHeight="1">
      <c r="A1241" s="611">
        <v>53</v>
      </c>
      <c r="L1241" s="676" t="s">
        <v>411</v>
      </c>
      <c r="X1241" s="664" t="s">
        <v>411</v>
      </c>
    </row>
    <row r="1242" spans="1:24" ht="11.25" customHeight="1">
      <c r="A1242" s="611">
        <v>54</v>
      </c>
      <c r="L1242" s="676" t="s">
        <v>411</v>
      </c>
      <c r="X1242" s="664" t="s">
        <v>411</v>
      </c>
    </row>
    <row r="1243" spans="1:24" ht="11.25" customHeight="1">
      <c r="A1243" s="611">
        <v>55</v>
      </c>
      <c r="L1243" s="676" t="s">
        <v>411</v>
      </c>
      <c r="X1243" s="664" t="s">
        <v>411</v>
      </c>
    </row>
    <row r="1244" spans="1:24" ht="11.25" customHeight="1">
      <c r="A1244" s="611">
        <v>56</v>
      </c>
      <c r="L1244" s="676" t="s">
        <v>411</v>
      </c>
      <c r="X1244" s="664" t="s">
        <v>411</v>
      </c>
    </row>
    <row r="1245" spans="1:24" ht="11.25" customHeight="1">
      <c r="A1245" s="611">
        <v>57</v>
      </c>
      <c r="L1245" s="676" t="s">
        <v>411</v>
      </c>
      <c r="X1245" s="664" t="s">
        <v>411</v>
      </c>
    </row>
    <row r="1246" spans="1:24" ht="11.25" customHeight="1">
      <c r="A1246" s="611">
        <v>58</v>
      </c>
      <c r="L1246" s="676" t="s">
        <v>411</v>
      </c>
      <c r="X1246" s="664" t="s">
        <v>411</v>
      </c>
    </row>
    <row r="1247" spans="1:24" ht="11.25" customHeight="1">
      <c r="A1247" s="611">
        <v>59</v>
      </c>
      <c r="L1247" s="676" t="s">
        <v>411</v>
      </c>
      <c r="X1247" s="664" t="s">
        <v>411</v>
      </c>
    </row>
    <row r="1248" spans="1:24" ht="11.25" customHeight="1">
      <c r="A1248" s="611">
        <v>60</v>
      </c>
      <c r="L1248" s="676" t="s">
        <v>411</v>
      </c>
      <c r="X1248" s="664" t="s">
        <v>411</v>
      </c>
    </row>
    <row r="1249" spans="1:24" ht="11.25" customHeight="1">
      <c r="A1249" s="611">
        <v>61</v>
      </c>
      <c r="L1249" s="676" t="s">
        <v>411</v>
      </c>
      <c r="X1249" s="664" t="s">
        <v>411</v>
      </c>
    </row>
    <row r="1250" spans="1:24" ht="11.25" customHeight="1">
      <c r="A1250" s="611">
        <v>62</v>
      </c>
      <c r="L1250" s="676" t="s">
        <v>411</v>
      </c>
      <c r="X1250" s="664" t="s">
        <v>411</v>
      </c>
    </row>
    <row r="1251" spans="1:24" ht="11.25" customHeight="1">
      <c r="A1251" s="611">
        <v>63</v>
      </c>
      <c r="L1251" s="676" t="s">
        <v>411</v>
      </c>
      <c r="X1251" s="664" t="s">
        <v>411</v>
      </c>
    </row>
    <row r="1252" spans="1:24" ht="11.25" customHeight="1">
      <c r="A1252" s="611">
        <v>64</v>
      </c>
      <c r="L1252" s="676" t="s">
        <v>411</v>
      </c>
      <c r="X1252" s="664" t="s">
        <v>411</v>
      </c>
    </row>
    <row r="1253" spans="1:24" ht="11.25" customHeight="1">
      <c r="A1253" s="611">
        <v>65</v>
      </c>
      <c r="B1253" s="52" t="str">
        <f t="array" ref="B1253:C1254">$B$65:$C$66</f>
        <v>Date:</v>
      </c>
      <c r="C1253" s="1133" t="str">
        <v/>
      </c>
      <c r="D1253" s="116"/>
      <c r="E1253" s="51"/>
      <c r="F1253" s="51"/>
      <c r="G1253" s="51"/>
      <c r="H1253" s="51"/>
      <c r="I1253" s="52" t="str">
        <f t="array" ref="I1253:J1254">$I$65:$J$66</f>
        <v>Inspector:</v>
      </c>
      <c r="J1253" s="421" t="str">
        <v>Eugene Mah</v>
      </c>
      <c r="L1253" s="676" t="s">
        <v>411</v>
      </c>
      <c r="X1253" s="664" t="s">
        <v>411</v>
      </c>
    </row>
    <row r="1254" spans="1:24" ht="11.25" customHeight="1">
      <c r="A1254" s="611">
        <v>66</v>
      </c>
      <c r="B1254" s="52" t="str">
        <v>Room Number:</v>
      </c>
      <c r="C1254" s="373" t="str">
        <v/>
      </c>
      <c r="E1254" s="51"/>
      <c r="F1254" s="51"/>
      <c r="G1254" s="51"/>
      <c r="H1254" s="51"/>
      <c r="I1254" s="52" t="str">
        <v>Survey ID:</v>
      </c>
      <c r="J1254" s="1045" t="str">
        <v/>
      </c>
      <c r="L1254" s="676" t="s">
        <v>411</v>
      </c>
      <c r="X1254" s="664" t="s">
        <v>411</v>
      </c>
    </row>
    <row r="1255" spans="1:24" ht="11.25" customHeight="1">
      <c r="A1255" s="611">
        <v>1</v>
      </c>
      <c r="B1255" s="1"/>
      <c r="C1255" s="1"/>
      <c r="D1255" s="1"/>
      <c r="E1255" s="1"/>
      <c r="H1255" s="1"/>
      <c r="I1255" s="1"/>
      <c r="J1255" s="1"/>
      <c r="K1255" s="131" t="str">
        <f>$F$2</f>
        <v>Medical University of South Carolina</v>
      </c>
      <c r="L1255" s="676" t="s">
        <v>411</v>
      </c>
      <c r="X1255" s="664" t="s">
        <v>411</v>
      </c>
    </row>
    <row r="1256" spans="1:24" ht="11.25" customHeight="1">
      <c r="A1256" s="611">
        <v>2</v>
      </c>
      <c r="F1256" s="82" t="str">
        <f>$F$464</f>
        <v>Measurement Data</v>
      </c>
      <c r="K1256" s="132" t="str">
        <f>$F$5</f>
        <v>Radiographic System Compliance Inspection</v>
      </c>
      <c r="L1256" s="676" t="s">
        <v>411</v>
      </c>
      <c r="X1256" s="664" t="s">
        <v>411</v>
      </c>
    </row>
    <row r="1257" spans="1:24" ht="11.25" customHeight="1">
      <c r="A1257" s="611">
        <v>3</v>
      </c>
      <c r="F1257" s="44"/>
      <c r="L1257" s="676" t="s">
        <v>411</v>
      </c>
      <c r="X1257" s="664" t="s">
        <v>411</v>
      </c>
    </row>
    <row r="1258" spans="1:24" ht="11.25" customHeight="1">
      <c r="A1258" s="611">
        <v>4</v>
      </c>
      <c r="L1258" s="676" t="s">
        <v>411</v>
      </c>
      <c r="X1258" s="664" t="s">
        <v>411</v>
      </c>
    </row>
    <row r="1259" spans="1:24" ht="11.25" customHeight="1">
      <c r="A1259" s="611">
        <v>5</v>
      </c>
      <c r="L1259" s="676" t="s">
        <v>411</v>
      </c>
      <c r="X1259" s="664" t="s">
        <v>411</v>
      </c>
    </row>
    <row r="1260" spans="1:24" ht="11.25" customHeight="1">
      <c r="A1260" s="611">
        <v>6</v>
      </c>
      <c r="L1260" s="676" t="s">
        <v>411</v>
      </c>
      <c r="X1260" s="664" t="s">
        <v>411</v>
      </c>
    </row>
    <row r="1261" spans="1:24" ht="11.25" customHeight="1">
      <c r="A1261" s="611">
        <v>7</v>
      </c>
      <c r="L1261" s="676" t="s">
        <v>411</v>
      </c>
      <c r="X1261" s="664" t="s">
        <v>411</v>
      </c>
    </row>
    <row r="1262" spans="1:24" ht="11.25" customHeight="1">
      <c r="A1262" s="611">
        <v>8</v>
      </c>
      <c r="L1262" s="676" t="s">
        <v>411</v>
      </c>
      <c r="X1262" s="664" t="s">
        <v>411</v>
      </c>
    </row>
    <row r="1263" spans="1:24" ht="11.25" customHeight="1">
      <c r="A1263" s="611">
        <v>9</v>
      </c>
      <c r="L1263" s="676" t="s">
        <v>411</v>
      </c>
      <c r="X1263" s="664" t="s">
        <v>411</v>
      </c>
    </row>
    <row r="1264" spans="1:24" ht="11.25" customHeight="1">
      <c r="A1264" s="611">
        <v>10</v>
      </c>
      <c r="L1264" s="676" t="s">
        <v>411</v>
      </c>
      <c r="X1264" s="664" t="s">
        <v>411</v>
      </c>
    </row>
    <row r="1265" spans="1:24" ht="11.25" customHeight="1">
      <c r="A1265" s="611">
        <v>11</v>
      </c>
      <c r="L1265" s="676" t="s">
        <v>411</v>
      </c>
      <c r="X1265" s="664" t="s">
        <v>411</v>
      </c>
    </row>
    <row r="1266" spans="1:24" ht="11.25" customHeight="1">
      <c r="A1266" s="611">
        <v>12</v>
      </c>
      <c r="L1266" s="676" t="s">
        <v>411</v>
      </c>
      <c r="X1266" s="664" t="s">
        <v>411</v>
      </c>
    </row>
    <row r="1267" spans="1:24" ht="11.25" customHeight="1">
      <c r="A1267" s="611">
        <v>13</v>
      </c>
      <c r="L1267" s="676" t="s">
        <v>411</v>
      </c>
      <c r="X1267" s="664" t="s">
        <v>411</v>
      </c>
    </row>
    <row r="1268" spans="1:24" ht="11.25" customHeight="1">
      <c r="A1268" s="611">
        <v>14</v>
      </c>
      <c r="L1268" s="676" t="s">
        <v>411</v>
      </c>
      <c r="X1268" s="664" t="s">
        <v>411</v>
      </c>
    </row>
    <row r="1269" spans="1:24" ht="11.25" customHeight="1">
      <c r="A1269" s="611">
        <v>15</v>
      </c>
      <c r="L1269" s="676" t="s">
        <v>411</v>
      </c>
      <c r="X1269" s="664" t="s">
        <v>411</v>
      </c>
    </row>
    <row r="1270" spans="1:24" ht="11.25" customHeight="1">
      <c r="A1270" s="611">
        <v>16</v>
      </c>
      <c r="L1270" s="676" t="s">
        <v>411</v>
      </c>
      <c r="X1270" s="664" t="s">
        <v>411</v>
      </c>
    </row>
    <row r="1271" spans="1:24" ht="11.25" customHeight="1">
      <c r="A1271" s="611">
        <v>17</v>
      </c>
      <c r="L1271" s="676" t="s">
        <v>411</v>
      </c>
      <c r="X1271" s="664" t="s">
        <v>411</v>
      </c>
    </row>
    <row r="1272" spans="1:24" ht="11.25" customHeight="1">
      <c r="A1272" s="611">
        <v>18</v>
      </c>
      <c r="L1272" s="676" t="s">
        <v>411</v>
      </c>
      <c r="X1272" s="664" t="s">
        <v>411</v>
      </c>
    </row>
    <row r="1273" spans="1:24" ht="11.25" customHeight="1">
      <c r="A1273" s="611">
        <v>19</v>
      </c>
      <c r="L1273" s="676" t="s">
        <v>411</v>
      </c>
      <c r="X1273" s="664" t="s">
        <v>411</v>
      </c>
    </row>
    <row r="1274" spans="1:24" ht="11.25" customHeight="1">
      <c r="A1274" s="611">
        <v>20</v>
      </c>
      <c r="L1274" s="676" t="s">
        <v>411</v>
      </c>
      <c r="X1274" s="664" t="s">
        <v>411</v>
      </c>
    </row>
    <row r="1275" spans="1:24" ht="11.25" customHeight="1">
      <c r="A1275" s="611">
        <v>21</v>
      </c>
      <c r="L1275" s="676" t="s">
        <v>411</v>
      </c>
      <c r="X1275" s="664" t="s">
        <v>411</v>
      </c>
    </row>
    <row r="1276" spans="1:24" ht="11.25" customHeight="1">
      <c r="A1276" s="611">
        <v>22</v>
      </c>
      <c r="L1276" s="676" t="s">
        <v>411</v>
      </c>
      <c r="X1276" s="664" t="s">
        <v>411</v>
      </c>
    </row>
    <row r="1277" spans="1:24" ht="11.25" customHeight="1">
      <c r="A1277" s="611">
        <v>23</v>
      </c>
      <c r="L1277" s="676" t="s">
        <v>411</v>
      </c>
      <c r="X1277" s="664" t="s">
        <v>411</v>
      </c>
    </row>
    <row r="1278" spans="1:24" ht="11.25" customHeight="1">
      <c r="A1278" s="611">
        <v>24</v>
      </c>
      <c r="L1278" s="676" t="s">
        <v>411</v>
      </c>
      <c r="X1278" s="664" t="s">
        <v>411</v>
      </c>
    </row>
    <row r="1279" spans="1:24" ht="11.25" customHeight="1">
      <c r="A1279" s="611">
        <v>25</v>
      </c>
      <c r="L1279" s="676" t="s">
        <v>411</v>
      </c>
      <c r="X1279" s="664" t="s">
        <v>411</v>
      </c>
    </row>
    <row r="1280" spans="1:24" ht="11.25" customHeight="1">
      <c r="A1280" s="611">
        <v>26</v>
      </c>
      <c r="L1280" s="676" t="s">
        <v>411</v>
      </c>
      <c r="X1280" s="664" t="s">
        <v>411</v>
      </c>
    </row>
    <row r="1281" spans="1:31" ht="11.25" customHeight="1">
      <c r="A1281" s="611">
        <v>27</v>
      </c>
      <c r="L1281" s="676" t="s">
        <v>411</v>
      </c>
      <c r="X1281" s="664" t="s">
        <v>411</v>
      </c>
    </row>
    <row r="1282" spans="1:31" ht="11.25" customHeight="1">
      <c r="A1282" s="611">
        <v>28</v>
      </c>
      <c r="L1282" s="676" t="s">
        <v>411</v>
      </c>
      <c r="X1282" s="664" t="s">
        <v>411</v>
      </c>
    </row>
    <row r="1283" spans="1:31" ht="11.25" customHeight="1">
      <c r="A1283" s="611">
        <v>29</v>
      </c>
      <c r="L1283" s="676" t="s">
        <v>411</v>
      </c>
      <c r="X1283" s="664" t="s">
        <v>411</v>
      </c>
    </row>
    <row r="1284" spans="1:31" ht="11.25" customHeight="1">
      <c r="A1284" s="611">
        <v>30</v>
      </c>
      <c r="L1284" s="676" t="s">
        <v>411</v>
      </c>
      <c r="X1284" s="664" t="s">
        <v>411</v>
      </c>
    </row>
    <row r="1285" spans="1:31" ht="11.25" customHeight="1">
      <c r="A1285" s="611">
        <v>31</v>
      </c>
      <c r="L1285" s="676" t="s">
        <v>411</v>
      </c>
      <c r="X1285" s="664" t="s">
        <v>411</v>
      </c>
      <c r="AE1285"/>
    </row>
    <row r="1286" spans="1:31" ht="11.25" customHeight="1">
      <c r="A1286" s="611">
        <v>32</v>
      </c>
      <c r="L1286" s="676" t="s">
        <v>411</v>
      </c>
      <c r="X1286" s="664" t="s">
        <v>411</v>
      </c>
      <c r="AE1286"/>
    </row>
    <row r="1287" spans="1:31" ht="11.25" customHeight="1">
      <c r="A1287" s="611">
        <v>33</v>
      </c>
      <c r="L1287" s="676" t="s">
        <v>411</v>
      </c>
      <c r="X1287" s="664" t="s">
        <v>411</v>
      </c>
      <c r="AE1287"/>
    </row>
    <row r="1288" spans="1:31" ht="11.25" customHeight="1">
      <c r="A1288" s="611">
        <v>34</v>
      </c>
      <c r="L1288" s="676" t="s">
        <v>411</v>
      </c>
      <c r="X1288" s="664" t="s">
        <v>411</v>
      </c>
      <c r="AE1288"/>
    </row>
    <row r="1289" spans="1:31" ht="11.25" customHeight="1">
      <c r="A1289" s="611">
        <v>35</v>
      </c>
      <c r="L1289" s="676" t="s">
        <v>411</v>
      </c>
      <c r="X1289" s="664" t="s">
        <v>411</v>
      </c>
      <c r="AE1289"/>
    </row>
    <row r="1290" spans="1:31" ht="11.25" customHeight="1">
      <c r="A1290" s="611">
        <v>36</v>
      </c>
      <c r="L1290" s="676" t="s">
        <v>411</v>
      </c>
      <c r="X1290" s="664" t="s">
        <v>411</v>
      </c>
      <c r="AE1290"/>
    </row>
    <row r="1291" spans="1:31" ht="11.25" customHeight="1">
      <c r="A1291" s="611">
        <v>37</v>
      </c>
      <c r="L1291" s="676" t="s">
        <v>411</v>
      </c>
      <c r="X1291" s="664" t="s">
        <v>411</v>
      </c>
      <c r="AE1291"/>
    </row>
    <row r="1292" spans="1:31" ht="11.25" customHeight="1">
      <c r="A1292" s="611">
        <v>38</v>
      </c>
      <c r="L1292" s="676" t="s">
        <v>411</v>
      </c>
      <c r="X1292" s="664" t="s">
        <v>411</v>
      </c>
      <c r="AE1292"/>
    </row>
    <row r="1293" spans="1:31" ht="11.25" customHeight="1">
      <c r="A1293" s="611">
        <v>39</v>
      </c>
      <c r="L1293" s="676" t="s">
        <v>411</v>
      </c>
      <c r="X1293" s="664" t="s">
        <v>411</v>
      </c>
      <c r="AE1293"/>
    </row>
    <row r="1294" spans="1:31" ht="11.25" customHeight="1">
      <c r="A1294" s="611">
        <v>40</v>
      </c>
      <c r="L1294" s="676" t="s">
        <v>411</v>
      </c>
      <c r="X1294" s="664" t="s">
        <v>411</v>
      </c>
      <c r="AE1294"/>
    </row>
    <row r="1295" spans="1:31" ht="11.25" customHeight="1">
      <c r="A1295" s="611">
        <v>41</v>
      </c>
      <c r="L1295" s="676" t="s">
        <v>411</v>
      </c>
      <c r="X1295" s="664" t="s">
        <v>411</v>
      </c>
      <c r="AE1295"/>
    </row>
    <row r="1296" spans="1:31" ht="11.25" customHeight="1">
      <c r="A1296" s="611">
        <v>42</v>
      </c>
      <c r="L1296" s="676" t="s">
        <v>411</v>
      </c>
      <c r="X1296" s="664" t="s">
        <v>411</v>
      </c>
      <c r="AE1296"/>
    </row>
    <row r="1297" spans="1:24" ht="11.25" customHeight="1">
      <c r="A1297" s="611">
        <v>43</v>
      </c>
      <c r="L1297" s="676" t="s">
        <v>411</v>
      </c>
      <c r="X1297" s="664" t="s">
        <v>411</v>
      </c>
    </row>
    <row r="1298" spans="1:24" ht="11.25" customHeight="1">
      <c r="A1298" s="611">
        <v>44</v>
      </c>
      <c r="L1298" s="676" t="s">
        <v>411</v>
      </c>
      <c r="X1298" s="664" t="s">
        <v>411</v>
      </c>
    </row>
    <row r="1299" spans="1:24" ht="11.25" customHeight="1">
      <c r="A1299" s="611">
        <v>45</v>
      </c>
      <c r="L1299" s="676" t="s">
        <v>411</v>
      </c>
      <c r="X1299" s="664" t="s">
        <v>411</v>
      </c>
    </row>
    <row r="1300" spans="1:24" ht="11.25" customHeight="1">
      <c r="A1300" s="611">
        <v>46</v>
      </c>
      <c r="L1300" s="676" t="s">
        <v>411</v>
      </c>
      <c r="X1300" s="664" t="s">
        <v>411</v>
      </c>
    </row>
    <row r="1301" spans="1:24" ht="11.25" customHeight="1">
      <c r="A1301" s="611">
        <v>47</v>
      </c>
      <c r="L1301" s="676" t="s">
        <v>411</v>
      </c>
      <c r="X1301" s="664" t="s">
        <v>411</v>
      </c>
    </row>
    <row r="1302" spans="1:24" ht="11.25" customHeight="1">
      <c r="A1302" s="611">
        <v>48</v>
      </c>
      <c r="L1302" s="676" t="s">
        <v>411</v>
      </c>
      <c r="X1302" s="664" t="s">
        <v>411</v>
      </c>
    </row>
    <row r="1303" spans="1:24" ht="11.25" customHeight="1">
      <c r="A1303" s="611">
        <v>49</v>
      </c>
      <c r="L1303" s="676" t="s">
        <v>411</v>
      </c>
      <c r="X1303" s="664" t="s">
        <v>411</v>
      </c>
    </row>
    <row r="1304" spans="1:24" ht="11.25" customHeight="1">
      <c r="A1304" s="611">
        <v>50</v>
      </c>
      <c r="L1304" s="676" t="s">
        <v>411</v>
      </c>
      <c r="X1304" s="664" t="s">
        <v>411</v>
      </c>
    </row>
    <row r="1305" spans="1:24" ht="11.25" customHeight="1">
      <c r="A1305" s="611">
        <v>51</v>
      </c>
      <c r="L1305" s="676" t="s">
        <v>411</v>
      </c>
      <c r="X1305" s="664" t="s">
        <v>411</v>
      </c>
    </row>
    <row r="1306" spans="1:24" ht="11.25" customHeight="1">
      <c r="A1306" s="611">
        <v>52</v>
      </c>
      <c r="L1306" s="676" t="s">
        <v>411</v>
      </c>
      <c r="X1306" s="664" t="s">
        <v>411</v>
      </c>
    </row>
    <row r="1307" spans="1:24" ht="11.25" customHeight="1">
      <c r="A1307" s="611">
        <v>53</v>
      </c>
      <c r="L1307" s="676" t="s">
        <v>411</v>
      </c>
      <c r="X1307" s="664" t="s">
        <v>411</v>
      </c>
    </row>
    <row r="1308" spans="1:24" ht="11.25" customHeight="1">
      <c r="A1308" s="611">
        <v>54</v>
      </c>
      <c r="L1308" s="676" t="s">
        <v>411</v>
      </c>
      <c r="X1308" s="664" t="s">
        <v>411</v>
      </c>
    </row>
    <row r="1309" spans="1:24" ht="11.25" customHeight="1">
      <c r="A1309" s="611">
        <v>55</v>
      </c>
      <c r="L1309" s="676" t="s">
        <v>411</v>
      </c>
      <c r="X1309" s="664" t="s">
        <v>411</v>
      </c>
    </row>
    <row r="1310" spans="1:24" ht="11.25" customHeight="1">
      <c r="A1310" s="611">
        <v>56</v>
      </c>
      <c r="L1310" s="676" t="s">
        <v>411</v>
      </c>
      <c r="X1310" s="664" t="s">
        <v>411</v>
      </c>
    </row>
    <row r="1311" spans="1:24" ht="11.25" customHeight="1">
      <c r="A1311" s="611">
        <v>57</v>
      </c>
      <c r="L1311" s="676" t="s">
        <v>411</v>
      </c>
      <c r="X1311" s="664" t="s">
        <v>411</v>
      </c>
    </row>
    <row r="1312" spans="1:24" ht="11.25" customHeight="1">
      <c r="A1312" s="611">
        <v>58</v>
      </c>
      <c r="L1312" s="676" t="s">
        <v>411</v>
      </c>
      <c r="X1312" s="664" t="s">
        <v>411</v>
      </c>
    </row>
    <row r="1313" spans="1:24" ht="11.25" customHeight="1">
      <c r="A1313" s="611">
        <v>59</v>
      </c>
      <c r="L1313" s="676" t="s">
        <v>411</v>
      </c>
      <c r="X1313" s="664" t="s">
        <v>411</v>
      </c>
    </row>
    <row r="1314" spans="1:24" ht="11.25" customHeight="1">
      <c r="A1314" s="611">
        <v>60</v>
      </c>
      <c r="L1314" s="676" t="s">
        <v>411</v>
      </c>
      <c r="X1314" s="664" t="s">
        <v>411</v>
      </c>
    </row>
    <row r="1315" spans="1:24" ht="11.25" customHeight="1">
      <c r="A1315" s="611">
        <v>61</v>
      </c>
      <c r="L1315" s="676" t="s">
        <v>411</v>
      </c>
      <c r="X1315" s="664" t="s">
        <v>411</v>
      </c>
    </row>
    <row r="1316" spans="1:24" ht="11.25" customHeight="1">
      <c r="A1316" s="611">
        <v>62</v>
      </c>
      <c r="L1316" s="676" t="s">
        <v>411</v>
      </c>
      <c r="X1316" s="664" t="s">
        <v>411</v>
      </c>
    </row>
    <row r="1317" spans="1:24" ht="11.25" customHeight="1">
      <c r="A1317" s="611">
        <v>63</v>
      </c>
      <c r="L1317" s="676" t="s">
        <v>411</v>
      </c>
      <c r="X1317" s="664" t="s">
        <v>411</v>
      </c>
    </row>
    <row r="1318" spans="1:24" ht="11.25" customHeight="1">
      <c r="A1318" s="611">
        <v>64</v>
      </c>
      <c r="L1318" s="676" t="s">
        <v>411</v>
      </c>
      <c r="X1318" s="664" t="s">
        <v>411</v>
      </c>
    </row>
    <row r="1319" spans="1:24" ht="11.25" customHeight="1">
      <c r="A1319" s="611">
        <v>65</v>
      </c>
      <c r="B1319" s="52" t="str">
        <f t="array" ref="B1319:C1320">$B$65:$C$66</f>
        <v>Date:</v>
      </c>
      <c r="C1319" s="1133" t="str">
        <v/>
      </c>
      <c r="D1319" s="116"/>
      <c r="E1319" s="51"/>
      <c r="F1319" s="51"/>
      <c r="G1319" s="51"/>
      <c r="H1319" s="51"/>
      <c r="I1319" s="52" t="str">
        <f t="array" ref="I1319:J1320">$I$65:$J$66</f>
        <v>Inspector:</v>
      </c>
      <c r="J1319" s="421" t="str">
        <v>Eugene Mah</v>
      </c>
      <c r="L1319" s="676" t="s">
        <v>411</v>
      </c>
      <c r="X1319" s="664" t="s">
        <v>411</v>
      </c>
    </row>
    <row r="1320" spans="1:24" ht="11.25" customHeight="1">
      <c r="A1320" s="611">
        <v>66</v>
      </c>
      <c r="B1320" s="52" t="str">
        <v>Room Number:</v>
      </c>
      <c r="C1320" s="373" t="str">
        <v/>
      </c>
      <c r="E1320" s="51"/>
      <c r="F1320" s="51"/>
      <c r="G1320" s="51"/>
      <c r="H1320" s="51"/>
      <c r="I1320" s="52" t="str">
        <v>Survey ID:</v>
      </c>
      <c r="J1320" s="1045" t="str">
        <v/>
      </c>
      <c r="L1320" s="676" t="s">
        <v>411</v>
      </c>
      <c r="X1320" s="664" t="s">
        <v>411</v>
      </c>
    </row>
    <row r="1321" spans="1:24" ht="11.25" customHeight="1">
      <c r="A1321" s="611">
        <v>1</v>
      </c>
      <c r="B1321" s="1"/>
      <c r="C1321" s="1"/>
      <c r="D1321" s="1"/>
      <c r="E1321" s="1"/>
      <c r="H1321" s="1"/>
      <c r="I1321" s="1"/>
      <c r="J1321" s="1"/>
      <c r="K1321" s="131" t="str">
        <f>$F$2</f>
        <v>Medical University of South Carolina</v>
      </c>
      <c r="L1321" s="676" t="s">
        <v>411</v>
      </c>
      <c r="X1321" s="664" t="s">
        <v>411</v>
      </c>
    </row>
    <row r="1322" spans="1:24" ht="11.25" customHeight="1">
      <c r="A1322" s="611">
        <v>2</v>
      </c>
      <c r="F1322" s="82" t="str">
        <f>$F$464</f>
        <v>Measurement Data</v>
      </c>
      <c r="K1322" s="132" t="str">
        <f>$F$5</f>
        <v>Radiographic System Compliance Inspection</v>
      </c>
      <c r="L1322" s="676" t="s">
        <v>411</v>
      </c>
      <c r="X1322" s="664" t="s">
        <v>411</v>
      </c>
    </row>
    <row r="1323" spans="1:24" ht="11.25" customHeight="1">
      <c r="A1323" s="611">
        <v>3</v>
      </c>
      <c r="F1323" s="44"/>
      <c r="L1323" s="676" t="s">
        <v>411</v>
      </c>
      <c r="X1323" s="664" t="s">
        <v>411</v>
      </c>
    </row>
    <row r="1324" spans="1:24" ht="11.25" customHeight="1">
      <c r="A1324" s="611">
        <v>4</v>
      </c>
      <c r="L1324" s="676" t="s">
        <v>411</v>
      </c>
      <c r="X1324" s="664" t="s">
        <v>411</v>
      </c>
    </row>
    <row r="1325" spans="1:24" ht="11.25" customHeight="1">
      <c r="A1325" s="611">
        <v>5</v>
      </c>
      <c r="L1325" s="676" t="s">
        <v>411</v>
      </c>
      <c r="X1325" s="664" t="s">
        <v>411</v>
      </c>
    </row>
    <row r="1326" spans="1:24" ht="11.25" customHeight="1">
      <c r="A1326" s="611">
        <v>6</v>
      </c>
      <c r="L1326" s="676" t="s">
        <v>411</v>
      </c>
      <c r="X1326" s="664" t="s">
        <v>411</v>
      </c>
    </row>
    <row r="1327" spans="1:24" ht="11.25" customHeight="1">
      <c r="A1327" s="611">
        <v>7</v>
      </c>
      <c r="L1327" s="676" t="s">
        <v>411</v>
      </c>
      <c r="X1327" s="664" t="s">
        <v>411</v>
      </c>
    </row>
    <row r="1328" spans="1:24" ht="11.25" customHeight="1">
      <c r="A1328" s="611">
        <v>8</v>
      </c>
      <c r="L1328" s="676" t="s">
        <v>411</v>
      </c>
      <c r="X1328" s="664" t="s">
        <v>411</v>
      </c>
    </row>
    <row r="1329" spans="1:24" ht="11.25" customHeight="1">
      <c r="A1329" s="611">
        <v>9</v>
      </c>
      <c r="L1329" s="676" t="s">
        <v>411</v>
      </c>
      <c r="X1329" s="664" t="s">
        <v>411</v>
      </c>
    </row>
    <row r="1330" spans="1:24" ht="11.25" customHeight="1">
      <c r="A1330" s="611">
        <v>10</v>
      </c>
      <c r="L1330" s="676" t="s">
        <v>411</v>
      </c>
      <c r="X1330" s="664" t="s">
        <v>411</v>
      </c>
    </row>
    <row r="1331" spans="1:24" ht="11.25" customHeight="1">
      <c r="A1331" s="611">
        <v>11</v>
      </c>
      <c r="L1331" s="676" t="s">
        <v>411</v>
      </c>
      <c r="X1331" s="664" t="s">
        <v>411</v>
      </c>
    </row>
    <row r="1332" spans="1:24" ht="11.25" customHeight="1">
      <c r="A1332" s="611">
        <v>12</v>
      </c>
      <c r="L1332" s="676" t="s">
        <v>411</v>
      </c>
      <c r="X1332" s="664" t="s">
        <v>411</v>
      </c>
    </row>
    <row r="1333" spans="1:24" ht="11.25" customHeight="1">
      <c r="A1333" s="611">
        <v>13</v>
      </c>
      <c r="L1333" s="676" t="s">
        <v>411</v>
      </c>
      <c r="X1333" s="664" t="s">
        <v>411</v>
      </c>
    </row>
    <row r="1334" spans="1:24" ht="11.25" customHeight="1">
      <c r="A1334" s="611">
        <v>14</v>
      </c>
      <c r="L1334" s="676" t="s">
        <v>411</v>
      </c>
      <c r="X1334" s="664" t="s">
        <v>411</v>
      </c>
    </row>
    <row r="1335" spans="1:24" ht="11.25" customHeight="1">
      <c r="A1335" s="611">
        <v>15</v>
      </c>
      <c r="L1335" s="676" t="s">
        <v>411</v>
      </c>
      <c r="X1335" s="664" t="s">
        <v>411</v>
      </c>
    </row>
    <row r="1336" spans="1:24" ht="11.25" customHeight="1">
      <c r="A1336" s="611">
        <v>16</v>
      </c>
      <c r="L1336" s="676" t="s">
        <v>411</v>
      </c>
      <c r="X1336" s="664" t="s">
        <v>411</v>
      </c>
    </row>
    <row r="1337" spans="1:24" ht="11.25" customHeight="1">
      <c r="A1337" s="611">
        <v>17</v>
      </c>
      <c r="L1337" s="676" t="s">
        <v>411</v>
      </c>
      <c r="X1337" s="664" t="s">
        <v>411</v>
      </c>
    </row>
    <row r="1338" spans="1:24" ht="11.25" customHeight="1">
      <c r="A1338" s="611">
        <v>18</v>
      </c>
      <c r="L1338" s="676" t="s">
        <v>411</v>
      </c>
      <c r="X1338" s="664" t="s">
        <v>411</v>
      </c>
    </row>
    <row r="1339" spans="1:24" ht="11.25" customHeight="1">
      <c r="A1339" s="611">
        <v>19</v>
      </c>
      <c r="L1339" s="676" t="s">
        <v>411</v>
      </c>
      <c r="X1339" s="664" t="s">
        <v>411</v>
      </c>
    </row>
    <row r="1340" spans="1:24" ht="11.25" customHeight="1">
      <c r="A1340" s="611">
        <v>20</v>
      </c>
      <c r="L1340" s="676" t="s">
        <v>411</v>
      </c>
      <c r="X1340" s="664" t="s">
        <v>411</v>
      </c>
    </row>
    <row r="1341" spans="1:24" ht="11.25" customHeight="1">
      <c r="A1341" s="611">
        <v>21</v>
      </c>
      <c r="L1341" s="676" t="s">
        <v>411</v>
      </c>
      <c r="X1341" s="664" t="s">
        <v>411</v>
      </c>
    </row>
    <row r="1342" spans="1:24" ht="11.25" customHeight="1">
      <c r="A1342" s="611">
        <v>22</v>
      </c>
      <c r="L1342" s="676" t="s">
        <v>411</v>
      </c>
      <c r="X1342" s="664" t="s">
        <v>411</v>
      </c>
    </row>
    <row r="1343" spans="1:24" ht="11.25" customHeight="1">
      <c r="A1343" s="611">
        <v>23</v>
      </c>
      <c r="L1343" s="676" t="s">
        <v>411</v>
      </c>
      <c r="X1343" s="664" t="s">
        <v>411</v>
      </c>
    </row>
    <row r="1344" spans="1:24" ht="11.25" customHeight="1">
      <c r="A1344" s="611">
        <v>24</v>
      </c>
      <c r="L1344" s="676" t="s">
        <v>411</v>
      </c>
      <c r="X1344" s="664" t="s">
        <v>411</v>
      </c>
    </row>
    <row r="1345" spans="1:24" ht="11.25" customHeight="1">
      <c r="A1345" s="611">
        <v>25</v>
      </c>
      <c r="L1345" s="676" t="s">
        <v>411</v>
      </c>
      <c r="X1345" s="664" t="s">
        <v>411</v>
      </c>
    </row>
    <row r="1346" spans="1:24" ht="11.25" customHeight="1">
      <c r="A1346" s="611">
        <v>26</v>
      </c>
      <c r="L1346" s="676" t="s">
        <v>411</v>
      </c>
      <c r="X1346" s="664" t="s">
        <v>411</v>
      </c>
    </row>
    <row r="1347" spans="1:24" ht="11.25" customHeight="1">
      <c r="A1347" s="611">
        <v>27</v>
      </c>
      <c r="L1347" s="676" t="s">
        <v>411</v>
      </c>
      <c r="X1347" s="664" t="s">
        <v>411</v>
      </c>
    </row>
    <row r="1348" spans="1:24" ht="11.25" customHeight="1">
      <c r="A1348" s="611">
        <v>28</v>
      </c>
      <c r="L1348" s="676" t="s">
        <v>411</v>
      </c>
      <c r="X1348" s="664" t="s">
        <v>411</v>
      </c>
    </row>
    <row r="1349" spans="1:24" ht="11.25" customHeight="1">
      <c r="A1349" s="611">
        <v>29</v>
      </c>
      <c r="L1349" s="676" t="s">
        <v>411</v>
      </c>
      <c r="X1349" s="664" t="s">
        <v>411</v>
      </c>
    </row>
    <row r="1350" spans="1:24" ht="11.25" customHeight="1">
      <c r="A1350" s="611">
        <v>30</v>
      </c>
      <c r="L1350" s="676" t="s">
        <v>411</v>
      </c>
      <c r="X1350" s="664" t="s">
        <v>411</v>
      </c>
    </row>
    <row r="1351" spans="1:24" ht="11.25" customHeight="1">
      <c r="A1351" s="611">
        <v>31</v>
      </c>
      <c r="L1351" s="676" t="s">
        <v>411</v>
      </c>
      <c r="X1351" s="664" t="s">
        <v>411</v>
      </c>
    </row>
    <row r="1352" spans="1:24" ht="11.25" customHeight="1">
      <c r="A1352" s="611">
        <v>32</v>
      </c>
      <c r="L1352" s="676" t="s">
        <v>411</v>
      </c>
      <c r="X1352" s="664" t="s">
        <v>411</v>
      </c>
    </row>
    <row r="1353" spans="1:24" ht="11.25" customHeight="1">
      <c r="A1353" s="611">
        <v>33</v>
      </c>
      <c r="L1353" s="676" t="s">
        <v>411</v>
      </c>
      <c r="X1353" s="664" t="s">
        <v>411</v>
      </c>
    </row>
    <row r="1354" spans="1:24" ht="11.25" customHeight="1">
      <c r="A1354" s="611">
        <v>34</v>
      </c>
      <c r="L1354" s="676" t="s">
        <v>411</v>
      </c>
      <c r="X1354" s="664" t="s">
        <v>411</v>
      </c>
    </row>
    <row r="1355" spans="1:24" ht="11.25" customHeight="1">
      <c r="A1355" s="611">
        <v>35</v>
      </c>
      <c r="L1355" s="676" t="s">
        <v>411</v>
      </c>
      <c r="X1355" s="664" t="s">
        <v>411</v>
      </c>
    </row>
    <row r="1356" spans="1:24" ht="11.25" customHeight="1">
      <c r="A1356" s="611">
        <v>36</v>
      </c>
      <c r="L1356" s="676" t="s">
        <v>411</v>
      </c>
      <c r="X1356" s="664" t="s">
        <v>411</v>
      </c>
    </row>
    <row r="1357" spans="1:24" ht="11.25" customHeight="1">
      <c r="A1357" s="611">
        <v>37</v>
      </c>
      <c r="L1357" s="676" t="s">
        <v>411</v>
      </c>
      <c r="X1357" s="664" t="s">
        <v>411</v>
      </c>
    </row>
    <row r="1358" spans="1:24" ht="11.25" customHeight="1">
      <c r="A1358" s="611">
        <v>38</v>
      </c>
      <c r="L1358" s="676" t="s">
        <v>411</v>
      </c>
      <c r="X1358" s="664" t="s">
        <v>411</v>
      </c>
    </row>
    <row r="1359" spans="1:24" ht="11.25" customHeight="1">
      <c r="A1359" s="611">
        <v>39</v>
      </c>
      <c r="L1359" s="676" t="s">
        <v>411</v>
      </c>
      <c r="X1359" s="664" t="s">
        <v>411</v>
      </c>
    </row>
    <row r="1360" spans="1:24" ht="11.25" customHeight="1">
      <c r="A1360" s="611">
        <v>40</v>
      </c>
      <c r="L1360" s="676" t="s">
        <v>411</v>
      </c>
      <c r="X1360" s="664" t="s">
        <v>411</v>
      </c>
    </row>
    <row r="1361" spans="1:24" ht="11.25" customHeight="1">
      <c r="A1361" s="611">
        <v>41</v>
      </c>
      <c r="L1361" s="676" t="s">
        <v>411</v>
      </c>
      <c r="X1361" s="664" t="s">
        <v>411</v>
      </c>
    </row>
    <row r="1362" spans="1:24" ht="11.25" customHeight="1">
      <c r="A1362" s="611">
        <v>42</v>
      </c>
      <c r="L1362" s="676" t="s">
        <v>411</v>
      </c>
      <c r="X1362" s="664" t="s">
        <v>411</v>
      </c>
    </row>
    <row r="1363" spans="1:24" ht="11.25" customHeight="1">
      <c r="A1363" s="611">
        <v>43</v>
      </c>
      <c r="L1363" s="676" t="s">
        <v>411</v>
      </c>
      <c r="X1363" s="664" t="s">
        <v>411</v>
      </c>
    </row>
    <row r="1364" spans="1:24" ht="11.25" customHeight="1">
      <c r="A1364" s="611">
        <v>44</v>
      </c>
      <c r="L1364" s="676" t="s">
        <v>411</v>
      </c>
      <c r="X1364" s="664" t="s">
        <v>411</v>
      </c>
    </row>
    <row r="1365" spans="1:24" ht="11.25" customHeight="1">
      <c r="A1365" s="611">
        <v>45</v>
      </c>
      <c r="L1365" s="676" t="s">
        <v>411</v>
      </c>
      <c r="X1365" s="664" t="s">
        <v>411</v>
      </c>
    </row>
    <row r="1366" spans="1:24" ht="11.25" customHeight="1">
      <c r="A1366" s="611">
        <v>46</v>
      </c>
      <c r="L1366" s="676" t="s">
        <v>411</v>
      </c>
      <c r="X1366" s="664" t="s">
        <v>411</v>
      </c>
    </row>
    <row r="1367" spans="1:24" ht="11.25" customHeight="1">
      <c r="A1367" s="611">
        <v>47</v>
      </c>
      <c r="L1367" s="676" t="s">
        <v>411</v>
      </c>
      <c r="X1367" s="664" t="s">
        <v>411</v>
      </c>
    </row>
    <row r="1368" spans="1:24" ht="11.25" customHeight="1">
      <c r="A1368" s="611">
        <v>48</v>
      </c>
      <c r="L1368" s="676" t="s">
        <v>411</v>
      </c>
      <c r="X1368" s="664" t="s">
        <v>411</v>
      </c>
    </row>
    <row r="1369" spans="1:24" ht="11.25" customHeight="1">
      <c r="A1369" s="611">
        <v>49</v>
      </c>
      <c r="L1369" s="676" t="s">
        <v>411</v>
      </c>
      <c r="X1369" s="664" t="s">
        <v>411</v>
      </c>
    </row>
    <row r="1370" spans="1:24" ht="11.25" customHeight="1">
      <c r="A1370" s="611">
        <v>50</v>
      </c>
      <c r="L1370" s="676" t="s">
        <v>411</v>
      </c>
      <c r="X1370" s="664" t="s">
        <v>411</v>
      </c>
    </row>
    <row r="1371" spans="1:24" ht="11.25" customHeight="1">
      <c r="A1371" s="611">
        <v>51</v>
      </c>
      <c r="L1371" s="676" t="s">
        <v>411</v>
      </c>
      <c r="X1371" s="664" t="s">
        <v>411</v>
      </c>
    </row>
    <row r="1372" spans="1:24" ht="11.25" customHeight="1">
      <c r="A1372" s="611">
        <v>52</v>
      </c>
      <c r="L1372" s="676" t="s">
        <v>411</v>
      </c>
      <c r="X1372" s="664" t="s">
        <v>411</v>
      </c>
    </row>
    <row r="1373" spans="1:24" ht="11.25" customHeight="1">
      <c r="A1373" s="611">
        <v>53</v>
      </c>
      <c r="L1373" s="676" t="s">
        <v>411</v>
      </c>
      <c r="X1373" s="664" t="s">
        <v>411</v>
      </c>
    </row>
    <row r="1374" spans="1:24" ht="11.25" customHeight="1">
      <c r="A1374" s="611">
        <v>54</v>
      </c>
      <c r="L1374" s="676" t="s">
        <v>411</v>
      </c>
      <c r="X1374" s="664" t="s">
        <v>411</v>
      </c>
    </row>
    <row r="1375" spans="1:24" ht="11.25" customHeight="1">
      <c r="A1375" s="611">
        <v>55</v>
      </c>
      <c r="L1375" s="676" t="s">
        <v>411</v>
      </c>
      <c r="X1375" s="664" t="s">
        <v>411</v>
      </c>
    </row>
    <row r="1376" spans="1:24" ht="11.25" customHeight="1">
      <c r="A1376" s="611">
        <v>56</v>
      </c>
      <c r="L1376" s="676" t="s">
        <v>411</v>
      </c>
      <c r="X1376" s="664" t="s">
        <v>411</v>
      </c>
    </row>
    <row r="1377" spans="1:35" ht="11.25" customHeight="1">
      <c r="A1377" s="611">
        <v>57</v>
      </c>
      <c r="L1377" s="676" t="s">
        <v>411</v>
      </c>
      <c r="X1377" s="664" t="s">
        <v>411</v>
      </c>
    </row>
    <row r="1378" spans="1:35" ht="11.25" customHeight="1">
      <c r="A1378" s="611">
        <v>58</v>
      </c>
      <c r="L1378" s="676" t="s">
        <v>411</v>
      </c>
      <c r="X1378" s="664" t="s">
        <v>411</v>
      </c>
    </row>
    <row r="1379" spans="1:35" ht="11.25" customHeight="1">
      <c r="A1379" s="611">
        <v>59</v>
      </c>
      <c r="L1379" s="676" t="s">
        <v>411</v>
      </c>
      <c r="X1379" s="664" t="s">
        <v>411</v>
      </c>
    </row>
    <row r="1380" spans="1:35" ht="11.25" customHeight="1">
      <c r="A1380" s="611">
        <v>60</v>
      </c>
      <c r="L1380" s="676" t="s">
        <v>411</v>
      </c>
      <c r="X1380" s="664" t="s">
        <v>411</v>
      </c>
    </row>
    <row r="1381" spans="1:35" ht="11.25" customHeight="1">
      <c r="A1381" s="611">
        <v>61</v>
      </c>
      <c r="L1381" s="676" t="s">
        <v>411</v>
      </c>
      <c r="X1381" s="664" t="s">
        <v>411</v>
      </c>
    </row>
    <row r="1382" spans="1:35" ht="11.25" customHeight="1">
      <c r="A1382" s="611">
        <v>62</v>
      </c>
      <c r="L1382" s="676" t="s">
        <v>411</v>
      </c>
      <c r="X1382" s="664" t="s">
        <v>411</v>
      </c>
    </row>
    <row r="1383" spans="1:35" ht="11.25" customHeight="1">
      <c r="A1383" s="611">
        <v>63</v>
      </c>
      <c r="L1383" s="676" t="s">
        <v>411</v>
      </c>
      <c r="X1383" s="664" t="s">
        <v>411</v>
      </c>
    </row>
    <row r="1384" spans="1:35" ht="11.25" customHeight="1">
      <c r="A1384" s="611">
        <v>64</v>
      </c>
      <c r="L1384" s="676" t="s">
        <v>411</v>
      </c>
      <c r="X1384" s="664" t="s">
        <v>411</v>
      </c>
    </row>
    <row r="1385" spans="1:35" ht="11.25" customHeight="1">
      <c r="A1385" s="611">
        <v>65</v>
      </c>
      <c r="B1385" s="52" t="str">
        <f t="array" ref="B1385:C1386">$B$65:$C$66</f>
        <v>Date:</v>
      </c>
      <c r="C1385" s="1133" t="str">
        <v/>
      </c>
      <c r="D1385" s="116"/>
      <c r="E1385" s="51"/>
      <c r="F1385" s="51"/>
      <c r="G1385" s="51"/>
      <c r="H1385" s="51"/>
      <c r="I1385" s="52" t="str">
        <f t="array" ref="I1385:J1386">$I$65:$J$66</f>
        <v>Inspector:</v>
      </c>
      <c r="J1385" s="421" t="str">
        <v>Eugene Mah</v>
      </c>
      <c r="L1385" s="676" t="s">
        <v>411</v>
      </c>
      <c r="X1385" s="664" t="s">
        <v>411</v>
      </c>
    </row>
    <row r="1386" spans="1:35" ht="11.25" customHeight="1">
      <c r="A1386" s="611">
        <v>66</v>
      </c>
      <c r="B1386" s="52" t="str">
        <v>Room Number:</v>
      </c>
      <c r="C1386" s="373" t="str">
        <v/>
      </c>
      <c r="E1386" s="51"/>
      <c r="F1386" s="51"/>
      <c r="G1386" s="51"/>
      <c r="H1386" s="51"/>
      <c r="I1386" s="52" t="str">
        <v>Survey ID:</v>
      </c>
      <c r="J1386" s="1045" t="str">
        <v/>
      </c>
      <c r="L1386" s="676" t="s">
        <v>411</v>
      </c>
      <c r="X1386" s="664" t="s">
        <v>411</v>
      </c>
    </row>
    <row r="1387" spans="1:35" ht="11.25" customHeight="1">
      <c r="A1387" s="611">
        <v>1</v>
      </c>
      <c r="B1387" s="1"/>
      <c r="C1387" s="1"/>
      <c r="D1387" s="1"/>
      <c r="E1387" s="1"/>
      <c r="F1387" s="1"/>
      <c r="G1387" s="1"/>
      <c r="H1387" s="1"/>
      <c r="I1387" s="1"/>
      <c r="J1387" s="1"/>
      <c r="K1387" s="131" t="str">
        <f>$F$2</f>
        <v>Medical University of South Carolina</v>
      </c>
      <c r="L1387" s="676" t="s">
        <v>411</v>
      </c>
      <c r="M1387" s="1"/>
      <c r="N1387" s="1"/>
      <c r="O1387" s="1"/>
      <c r="P1387" s="1"/>
      <c r="Q1387" s="1"/>
      <c r="R1387" s="1"/>
      <c r="S1387" s="1"/>
      <c r="T1387" s="1"/>
      <c r="U1387" s="1"/>
      <c r="V1387" s="1"/>
      <c r="W1387" s="131" t="str">
        <f>$F$2</f>
        <v>Medical University of South Carolina</v>
      </c>
      <c r="X1387" s="664" t="s">
        <v>411</v>
      </c>
    </row>
    <row r="1388" spans="1:35" ht="11.25" customHeight="1" thickBot="1">
      <c r="A1388" s="611">
        <v>2</v>
      </c>
      <c r="B1388" s="1"/>
      <c r="C1388" s="1"/>
      <c r="D1388" s="1"/>
      <c r="E1388" s="1"/>
      <c r="F1388" s="82" t="str">
        <f>$F$464</f>
        <v>Measurement Data</v>
      </c>
      <c r="G1388" s="1"/>
      <c r="H1388" s="1"/>
      <c r="I1388" s="1"/>
      <c r="J1388" s="1"/>
      <c r="K1388" s="132" t="str">
        <f>$F$5</f>
        <v>Radiographic System Compliance Inspection</v>
      </c>
      <c r="L1388" s="676" t="s">
        <v>411</v>
      </c>
      <c r="M1388" s="1"/>
      <c r="N1388" s="1"/>
      <c r="O1388" s="1"/>
      <c r="P1388" s="1"/>
      <c r="Q1388" s="82" t="str">
        <f>$F$464</f>
        <v>Measurement Data</v>
      </c>
      <c r="R1388" s="1"/>
      <c r="S1388" s="1"/>
      <c r="T1388" s="1"/>
      <c r="U1388" s="1"/>
      <c r="V1388" s="1"/>
      <c r="W1388" s="132" t="str">
        <f>$F$5</f>
        <v>Radiographic System Compliance Inspection</v>
      </c>
      <c r="X1388" s="664" t="s">
        <v>411</v>
      </c>
    </row>
    <row r="1389" spans="1:35" ht="11.25" customHeight="1" thickTop="1" thickBot="1">
      <c r="A1389" s="611">
        <v>3</v>
      </c>
      <c r="B1389" s="982" t="s">
        <v>244</v>
      </c>
      <c r="C1389" s="62"/>
      <c r="D1389" s="298"/>
      <c r="E1389" s="298" t="s">
        <v>247</v>
      </c>
      <c r="F1389" s="298" t="s">
        <v>670</v>
      </c>
      <c r="G1389" s="298"/>
      <c r="H1389" s="298"/>
      <c r="I1389" s="62"/>
      <c r="J1389" s="62"/>
      <c r="K1389" s="80"/>
      <c r="L1389" s="676" t="s">
        <v>411</v>
      </c>
      <c r="M1389" s="1"/>
      <c r="N1389" s="1"/>
      <c r="O1389" s="1"/>
      <c r="P1389" s="1"/>
      <c r="Q1389" s="1"/>
      <c r="R1389" s="1"/>
      <c r="S1389" s="1"/>
      <c r="T1389" s="1"/>
      <c r="U1389" s="1"/>
      <c r="V1389" s="1"/>
      <c r="W1389" s="1"/>
      <c r="X1389" s="664" t="s">
        <v>411</v>
      </c>
    </row>
    <row r="1390" spans="1:35" ht="11.25" customHeight="1" thickTop="1">
      <c r="A1390" s="611">
        <v>4</v>
      </c>
      <c r="B1390" s="127"/>
      <c r="D1390" s="1"/>
      <c r="E1390" s="13" t="s">
        <v>1054</v>
      </c>
      <c r="F1390" s="1" t="s">
        <v>1054</v>
      </c>
      <c r="G1390" s="1"/>
      <c r="H1390" s="1"/>
      <c r="I1390" s="37"/>
      <c r="J1390" s="1"/>
      <c r="K1390" s="71"/>
      <c r="L1390" s="676" t="s">
        <v>411</v>
      </c>
      <c r="M1390" s="79"/>
      <c r="N1390" s="62"/>
      <c r="O1390" s="62"/>
      <c r="P1390" s="62"/>
      <c r="Q1390" s="62"/>
      <c r="R1390" s="62"/>
      <c r="S1390" s="62"/>
      <c r="T1390" s="62"/>
      <c r="U1390" s="62"/>
      <c r="V1390" s="62"/>
      <c r="W1390" s="80"/>
      <c r="X1390" s="664" t="s">
        <v>411</v>
      </c>
    </row>
    <row r="1391" spans="1:35" ht="11.25" customHeight="1">
      <c r="A1391" s="611">
        <v>5</v>
      </c>
      <c r="B1391" s="127"/>
      <c r="D1391" s="4" t="s">
        <v>247</v>
      </c>
      <c r="E1391" s="301" t="s">
        <v>251</v>
      </c>
      <c r="F1391" s="306" t="s">
        <v>251</v>
      </c>
      <c r="G1391" s="1"/>
      <c r="H1391" s="12"/>
      <c r="K1391" s="71"/>
      <c r="L1391" s="676" t="s">
        <v>411</v>
      </c>
      <c r="M1391" s="191" t="s">
        <v>244</v>
      </c>
      <c r="N1391" s="109"/>
      <c r="O1391" s="109"/>
      <c r="Q1391" s="51"/>
      <c r="S1391" s="51" t="s">
        <v>245</v>
      </c>
      <c r="U1391" s="51" t="s">
        <v>246</v>
      </c>
      <c r="W1391" s="310"/>
      <c r="X1391" s="664" t="s">
        <v>411</v>
      </c>
      <c r="Y1391" s="802" t="s">
        <v>310</v>
      </c>
      <c r="AI1391" s="802" t="s">
        <v>310</v>
      </c>
    </row>
    <row r="1392" spans="1:35" ht="11.25" customHeight="1">
      <c r="A1392" s="611">
        <v>6</v>
      </c>
      <c r="B1392" s="127"/>
      <c r="D1392" s="4" t="s">
        <v>254</v>
      </c>
      <c r="E1392" s="13" t="s">
        <v>465</v>
      </c>
      <c r="F1392" s="1" t="s">
        <v>465</v>
      </c>
      <c r="G1392" s="1" t="s">
        <v>564</v>
      </c>
      <c r="H1392" s="12"/>
      <c r="K1392" s="71"/>
      <c r="L1392" s="676" t="s">
        <v>411</v>
      </c>
      <c r="M1392" s="127"/>
      <c r="R1392" s="1" t="s">
        <v>247</v>
      </c>
      <c r="S1392" s="303" t="s">
        <v>670</v>
      </c>
      <c r="U1392" s="303" t="s">
        <v>670</v>
      </c>
      <c r="V1392" s="303" t="s">
        <v>246</v>
      </c>
      <c r="W1392" s="311" t="s">
        <v>246</v>
      </c>
      <c r="X1392" s="664" t="s">
        <v>411</v>
      </c>
      <c r="Y1392" s="303" t="s">
        <v>247</v>
      </c>
      <c r="AH1392" s="311" t="s">
        <v>246</v>
      </c>
      <c r="AI1392" s="303" t="s">
        <v>247</v>
      </c>
    </row>
    <row r="1393" spans="1:35" ht="11.25" customHeight="1" thickBot="1">
      <c r="A1393" s="611">
        <v>7</v>
      </c>
      <c r="B1393" s="127"/>
      <c r="D1393" s="27" t="s">
        <v>465</v>
      </c>
      <c r="E1393" s="33" t="s">
        <v>258</v>
      </c>
      <c r="F1393" s="33" t="s">
        <v>258</v>
      </c>
      <c r="G1393" s="5" t="s">
        <v>259</v>
      </c>
      <c r="H1393" s="27" t="s">
        <v>631</v>
      </c>
      <c r="K1393" s="71"/>
      <c r="L1393" s="676" t="s">
        <v>411</v>
      </c>
      <c r="M1393" s="110" t="s">
        <v>248</v>
      </c>
      <c r="N1393" s="128"/>
      <c r="O1393" s="309"/>
      <c r="P1393" s="165" t="s">
        <v>249</v>
      </c>
      <c r="Q1393" s="128"/>
      <c r="R1393" s="13" t="s">
        <v>1054</v>
      </c>
      <c r="S1393" s="303" t="s">
        <v>1054</v>
      </c>
      <c r="U1393" s="303" t="s">
        <v>1054</v>
      </c>
      <c r="V1393" s="303" t="s">
        <v>250</v>
      </c>
      <c r="W1393" s="311" t="s">
        <v>247</v>
      </c>
      <c r="X1393" s="664" t="s">
        <v>411</v>
      </c>
      <c r="Y1393" s="303" t="s">
        <v>1054</v>
      </c>
      <c r="AH1393" s="311" t="s">
        <v>247</v>
      </c>
      <c r="AI1393" s="303" t="s">
        <v>1054</v>
      </c>
    </row>
    <row r="1394" spans="1:35" ht="11.25" customHeight="1">
      <c r="A1394" s="611">
        <v>8</v>
      </c>
      <c r="B1394" s="127"/>
      <c r="D1394" s="217" t="str">
        <f>IF(P1397="","",P1397)</f>
        <v/>
      </c>
      <c r="E1394" s="1098" t="str">
        <f>IF(R1397="","",R1397)</f>
        <v/>
      </c>
      <c r="F1394" s="1098" t="str">
        <f t="shared" ref="F1394:F1401" si="171">IF(OR(D1394="",S1397=""),"",S1397)</f>
        <v/>
      </c>
      <c r="G1394" s="177" t="str">
        <f t="shared" ref="G1394:G1401" si="172">IF(OR(E1394="",F1394=""),"",(E1394-F1394)/F1394)</f>
        <v/>
      </c>
      <c r="H1394" s="118" t="str">
        <f>IF(OR(E1394="",F1394=""),"",IF(ABS(G1394)&gt;0.25,"NO","YES"))</f>
        <v/>
      </c>
      <c r="K1394" s="71"/>
      <c r="L1394" s="676" t="s">
        <v>411</v>
      </c>
      <c r="M1394" s="213" t="s">
        <v>252</v>
      </c>
      <c r="N1394" s="807" t="str">
        <f>IF(OR(AB188=0,AB188=""),"",AB188)</f>
        <v/>
      </c>
      <c r="O1394" s="307"/>
      <c r="P1394" s="54" t="str">
        <f>"SDD ("&amp;LFSDD&amp;"):"</f>
        <v>SDD (cm):</v>
      </c>
      <c r="Q1394" s="355">
        <f>IF($N$694="","",$N$694)</f>
        <v>100</v>
      </c>
      <c r="R1394" s="301" t="s">
        <v>251</v>
      </c>
      <c r="S1394" s="304" t="s">
        <v>251</v>
      </c>
      <c r="U1394" s="303" t="s">
        <v>253</v>
      </c>
      <c r="V1394" s="303" t="s">
        <v>670</v>
      </c>
      <c r="W1394" s="311" t="s">
        <v>567</v>
      </c>
      <c r="X1394" s="664" t="s">
        <v>411</v>
      </c>
      <c r="Y1394" s="303" t="s">
        <v>251</v>
      </c>
      <c r="AH1394" s="311" t="s">
        <v>567</v>
      </c>
      <c r="AI1394" s="303" t="s">
        <v>251</v>
      </c>
    </row>
    <row r="1395" spans="1:35" ht="11.25" customHeight="1">
      <c r="A1395" s="611">
        <v>9</v>
      </c>
      <c r="B1395" s="127"/>
      <c r="D1395" s="217" t="str">
        <f t="shared" ref="D1395:D1401" si="173">IF(OR(P1398="",P1398=P1397),"",P1398)</f>
        <v/>
      </c>
      <c r="E1395" s="1098" t="str">
        <f t="shared" ref="E1395:E1401" si="174">IF(R1398=R1397,"",R1398)</f>
        <v/>
      </c>
      <c r="F1395" s="1098" t="str">
        <f t="shared" si="171"/>
        <v/>
      </c>
      <c r="G1395" s="177" t="str">
        <f t="shared" si="172"/>
        <v/>
      </c>
      <c r="H1395" s="118" t="str">
        <f t="shared" ref="H1395:H1401" si="175">IF(H1394="TBD","TBD",IF(OR(E1395="",F1395=""),"",IF(ABS(G1395)&gt;0.25,"NO","YES")))</f>
        <v/>
      </c>
      <c r="K1395" s="71"/>
      <c r="L1395" s="676" t="s">
        <v>411</v>
      </c>
      <c r="M1395" s="127"/>
      <c r="N1395" s="1" t="s">
        <v>1054</v>
      </c>
      <c r="O1395" s="307" t="s">
        <v>1054</v>
      </c>
      <c r="P1395" s="29"/>
      <c r="Q1395" s="12" t="s">
        <v>1054</v>
      </c>
      <c r="R1395" s="13" t="s">
        <v>465</v>
      </c>
      <c r="S1395" s="303" t="s">
        <v>255</v>
      </c>
      <c r="U1395" s="303" t="s">
        <v>256</v>
      </c>
      <c r="V1395" s="303" t="s">
        <v>257</v>
      </c>
      <c r="W1395" s="311" t="s">
        <v>257</v>
      </c>
      <c r="X1395" s="664" t="s">
        <v>411</v>
      </c>
      <c r="Y1395" s="303" t="s">
        <v>465</v>
      </c>
      <c r="AH1395" s="311" t="s">
        <v>257</v>
      </c>
      <c r="AI1395" s="303" t="s">
        <v>465</v>
      </c>
    </row>
    <row r="1396" spans="1:35" ht="11.25" customHeight="1" thickBot="1">
      <c r="A1396" s="611">
        <v>10</v>
      </c>
      <c r="B1396" s="127"/>
      <c r="D1396" s="217" t="str">
        <f t="shared" si="173"/>
        <v/>
      </c>
      <c r="E1396" s="1098" t="str">
        <f t="shared" si="174"/>
        <v/>
      </c>
      <c r="F1396" s="1098" t="str">
        <f t="shared" si="171"/>
        <v/>
      </c>
      <c r="G1396" s="177" t="str">
        <f t="shared" si="172"/>
        <v/>
      </c>
      <c r="H1396" s="118" t="str">
        <f t="shared" si="175"/>
        <v/>
      </c>
      <c r="K1396" s="71"/>
      <c r="L1396" s="676" t="s">
        <v>411</v>
      </c>
      <c r="M1396" s="162" t="s">
        <v>465</v>
      </c>
      <c r="N1396" s="33" t="s">
        <v>260</v>
      </c>
      <c r="O1396" s="308" t="s">
        <v>258</v>
      </c>
      <c r="P1396" s="206" t="s">
        <v>67</v>
      </c>
      <c r="Q1396" s="33" t="s">
        <v>260</v>
      </c>
      <c r="R1396" s="33" t="s">
        <v>258</v>
      </c>
      <c r="S1396" s="305" t="s">
        <v>258</v>
      </c>
      <c r="U1396" s="250" t="s">
        <v>1055</v>
      </c>
      <c r="V1396" s="250" t="s">
        <v>261</v>
      </c>
      <c r="W1396" s="253" t="s">
        <v>261</v>
      </c>
      <c r="X1396" s="664" t="s">
        <v>411</v>
      </c>
      <c r="Y1396" s="250" t="s">
        <v>258</v>
      </c>
      <c r="AH1396" s="311" t="s">
        <v>261</v>
      </c>
      <c r="AI1396" s="303" t="s">
        <v>258</v>
      </c>
    </row>
    <row r="1397" spans="1:35" ht="11.25" customHeight="1">
      <c r="A1397" s="611">
        <v>11</v>
      </c>
      <c r="B1397" s="127"/>
      <c r="D1397" s="217" t="str">
        <f t="shared" si="173"/>
        <v/>
      </c>
      <c r="E1397" s="1098" t="str">
        <f t="shared" si="174"/>
        <v/>
      </c>
      <c r="F1397" s="1098" t="str">
        <f t="shared" si="171"/>
        <v/>
      </c>
      <c r="G1397" s="177" t="str">
        <f t="shared" si="172"/>
        <v/>
      </c>
      <c r="H1397" s="118" t="str">
        <f t="shared" si="175"/>
        <v/>
      </c>
      <c r="K1397" s="71"/>
      <c r="L1397" s="676" t="s">
        <v>411</v>
      </c>
      <c r="M1397" s="831" t="str">
        <f t="shared" ref="M1397:M1404" si="176">IF(OR(AB190=0,AB190=""),"",AB190)</f>
        <v/>
      </c>
      <c r="N1397" s="1099" t="str">
        <f t="shared" ref="N1397:N1404" si="177">IF(OR(AB199=0,AB199=""),"",AB199)</f>
        <v/>
      </c>
      <c r="O1397" s="1100" t="str">
        <f>IF(OR(M1397=0,M1397="",N1397=0,N1397="",$N$1394=0,$N$1394=""),"",N1397*($N$1394/40)^2)</f>
        <v/>
      </c>
      <c r="P1397" s="793" t="str">
        <f>IF(U694="","",U694)</f>
        <v/>
      </c>
      <c r="Q1397" s="794" t="str">
        <f>IF(OR(AND(LFMAS="",SFMAS=""),R694="",R694=0,W694=""),"",IF(LFMAS="mAs",W694/R694,IF(OR(S694="",S694=0),"",W694/(R694*S694))))</f>
        <v/>
      </c>
      <c r="R1397" s="795" t="str">
        <f>IF(Q1397="","",IF(LFSDD="in.",Q1397*($Q$1394/40)^2,Q1397*(($Q$1394/2.54)/40)^2))</f>
        <v/>
      </c>
      <c r="S1397" s="796" t="str">
        <f t="array" ref="S1397:S1404">IF(OR(M1397="",M1398="",N1397="",N1398="",P1397="",P1398="",$N$1394=""),"",EXP(TREND(U1397:U1404,V1397:V1404,W1397:W1404)))</f>
        <v/>
      </c>
      <c r="T1397" s="49"/>
      <c r="U1397" s="798" t="str">
        <f>IF(O1397="","",LN(O1397))</f>
        <v/>
      </c>
      <c r="V1397" s="799" t="str">
        <f>IF(M1397="","",LN(M1397))</f>
        <v/>
      </c>
      <c r="W1397" s="800" t="str">
        <f>IF(P1397="","",LN(P1397))</f>
        <v/>
      </c>
      <c r="X1397" s="664" t="s">
        <v>411</v>
      </c>
      <c r="Y1397" s="798" t="str">
        <f t="shared" ref="Y1397:Y1404" si="178">IF(R1397="","",LN(R1397))</f>
        <v/>
      </c>
      <c r="AH1397" s="660" t="str">
        <f>W1397</f>
        <v/>
      </c>
      <c r="AI1397" s="660" t="str">
        <f>Y1397</f>
        <v/>
      </c>
    </row>
    <row r="1398" spans="1:35" ht="11.25" customHeight="1">
      <c r="A1398" s="611">
        <v>12</v>
      </c>
      <c r="B1398" s="127"/>
      <c r="D1398" s="217" t="str">
        <f t="shared" si="173"/>
        <v/>
      </c>
      <c r="E1398" s="1098" t="str">
        <f t="shared" si="174"/>
        <v/>
      </c>
      <c r="F1398" s="1098" t="str">
        <f t="shared" si="171"/>
        <v/>
      </c>
      <c r="G1398" s="177" t="str">
        <f t="shared" si="172"/>
        <v/>
      </c>
      <c r="H1398" s="118" t="str">
        <f t="shared" si="175"/>
        <v/>
      </c>
      <c r="K1398" s="71"/>
      <c r="L1398" s="676" t="s">
        <v>411</v>
      </c>
      <c r="M1398" s="831" t="str">
        <f t="shared" si="176"/>
        <v/>
      </c>
      <c r="N1398" s="1099" t="str">
        <f t="shared" si="177"/>
        <v/>
      </c>
      <c r="O1398" s="1101" t="str">
        <f>IF(OR(M1398=0,M1398="",N1398=0,N1398="",$N$1394=0,$N$1394=""),O1397,N1398*($N$1394/40)^2)</f>
        <v/>
      </c>
      <c r="P1398" s="797" t="str">
        <f>IF(U695="",P1397,U695)</f>
        <v/>
      </c>
      <c r="Q1398" s="794" t="str">
        <f>IF(OR(AND(LFMAS="",SFMAS=""),R695="",R695=0,W695=""),Q1397,IF(LFMAS="mAs",W695/R695,IF(OR(S695="",S695=0),"",W695/(R695*S695))))</f>
        <v/>
      </c>
      <c r="R1398" s="795" t="str">
        <f t="shared" ref="R1398:R1404" si="179">IF(Q1398="","",IF(LFSDD="in.",Q1398*($Q$1394/40)^2,Q1398*(($Q$1394/2.54)/40)^2))</f>
        <v/>
      </c>
      <c r="S1398" s="796" t="str">
        <v/>
      </c>
      <c r="T1398" s="49"/>
      <c r="U1398" s="798" t="str">
        <f t="shared" ref="U1398:U1404" si="180">IF(O1398="",U1397,LN(O1398))</f>
        <v/>
      </c>
      <c r="V1398" s="799" t="str">
        <f t="shared" ref="V1398:V1404" si="181">IF(M1398="",V1397,LN(M1398))</f>
        <v/>
      </c>
      <c r="W1398" s="800" t="str">
        <f t="shared" ref="W1398:W1404" si="182">IF(P1398="",W1397,LN(P1398))</f>
        <v/>
      </c>
      <c r="X1398" s="664" t="s">
        <v>411</v>
      </c>
      <c r="Y1398" s="798" t="str">
        <f t="shared" si="178"/>
        <v/>
      </c>
      <c r="AH1398" s="660" t="str">
        <f t="shared" ref="AH1398:AH1404" si="183">W1398</f>
        <v/>
      </c>
      <c r="AI1398" s="660" t="str">
        <f t="shared" ref="AI1398:AI1404" si="184">Y1398</f>
        <v/>
      </c>
    </row>
    <row r="1399" spans="1:35" ht="11.25" customHeight="1">
      <c r="A1399" s="611">
        <v>13</v>
      </c>
      <c r="B1399" s="127"/>
      <c r="D1399" s="217" t="str">
        <f t="shared" si="173"/>
        <v/>
      </c>
      <c r="E1399" s="1098" t="str">
        <f t="shared" si="174"/>
        <v/>
      </c>
      <c r="F1399" s="1098" t="str">
        <f t="shared" si="171"/>
        <v/>
      </c>
      <c r="G1399" s="177" t="str">
        <f t="shared" si="172"/>
        <v/>
      </c>
      <c r="H1399" s="118" t="str">
        <f t="shared" si="175"/>
        <v/>
      </c>
      <c r="K1399" s="71"/>
      <c r="L1399" s="676" t="s">
        <v>411</v>
      </c>
      <c r="M1399" s="831" t="str">
        <f t="shared" si="176"/>
        <v/>
      </c>
      <c r="N1399" s="1099" t="str">
        <f t="shared" si="177"/>
        <v/>
      </c>
      <c r="O1399" s="1101" t="str">
        <f t="shared" ref="O1399:O1404" si="185">IF(OR(M1399=0,M1399="",N1399=0,N1399="",$N$1394=0,$N$1394=""),O1398,N1399*($N$1394/40)^2)</f>
        <v/>
      </c>
      <c r="P1399" s="797" t="str">
        <f t="shared" ref="P1399:P1404" si="186">IF(U696="",P1398,U696)</f>
        <v/>
      </c>
      <c r="Q1399" s="794" t="str">
        <f t="shared" ref="Q1399:Q1404" si="187">IF(OR(AND(LFMAS="",SFMAS=""),R696="",R696=0,W696=""),Q1398,IF(LFMAS="mAs",W696/R696,IF(OR(S696="",S696=0),"",W696/(R696*S696))))</f>
        <v/>
      </c>
      <c r="R1399" s="795" t="str">
        <f t="shared" si="179"/>
        <v/>
      </c>
      <c r="S1399" s="796" t="str">
        <v/>
      </c>
      <c r="T1399" s="49"/>
      <c r="U1399" s="798" t="str">
        <f t="shared" si="180"/>
        <v/>
      </c>
      <c r="V1399" s="799" t="str">
        <f t="shared" si="181"/>
        <v/>
      </c>
      <c r="W1399" s="800" t="str">
        <f t="shared" si="182"/>
        <v/>
      </c>
      <c r="X1399" s="664" t="s">
        <v>411</v>
      </c>
      <c r="Y1399" s="798" t="str">
        <f t="shared" si="178"/>
        <v/>
      </c>
      <c r="AH1399" s="660" t="str">
        <f t="shared" si="183"/>
        <v/>
      </c>
      <c r="AI1399" s="660" t="str">
        <f t="shared" si="184"/>
        <v/>
      </c>
    </row>
    <row r="1400" spans="1:35" ht="11.25" customHeight="1" thickBot="1">
      <c r="A1400" s="611">
        <v>14</v>
      </c>
      <c r="B1400" s="127"/>
      <c r="D1400" s="217" t="str">
        <f t="shared" si="173"/>
        <v/>
      </c>
      <c r="E1400" s="1098" t="str">
        <f t="shared" si="174"/>
        <v/>
      </c>
      <c r="F1400" s="1098" t="str">
        <f t="shared" si="171"/>
        <v/>
      </c>
      <c r="G1400" s="177" t="str">
        <f t="shared" si="172"/>
        <v/>
      </c>
      <c r="H1400" s="118" t="str">
        <f t="shared" si="175"/>
        <v/>
      </c>
      <c r="K1400" s="71"/>
      <c r="L1400" s="676" t="s">
        <v>411</v>
      </c>
      <c r="M1400" s="831" t="str">
        <f t="shared" si="176"/>
        <v/>
      </c>
      <c r="N1400" s="1099" t="str">
        <f t="shared" si="177"/>
        <v/>
      </c>
      <c r="O1400" s="1101" t="str">
        <f t="shared" si="185"/>
        <v/>
      </c>
      <c r="P1400" s="797" t="str">
        <f t="shared" si="186"/>
        <v/>
      </c>
      <c r="Q1400" s="794" t="str">
        <f t="shared" si="187"/>
        <v/>
      </c>
      <c r="R1400" s="795" t="str">
        <f t="shared" si="179"/>
        <v/>
      </c>
      <c r="S1400" s="796" t="str">
        <v/>
      </c>
      <c r="T1400" s="49"/>
      <c r="U1400" s="798" t="str">
        <f t="shared" si="180"/>
        <v/>
      </c>
      <c r="V1400" s="799" t="str">
        <f t="shared" si="181"/>
        <v/>
      </c>
      <c r="W1400" s="800" t="str">
        <f t="shared" si="182"/>
        <v/>
      </c>
      <c r="X1400" s="664" t="s">
        <v>411</v>
      </c>
      <c r="Y1400" s="798" t="str">
        <f t="shared" si="178"/>
        <v/>
      </c>
      <c r="AH1400" s="660" t="str">
        <f t="shared" si="183"/>
        <v/>
      </c>
      <c r="AI1400" s="660" t="str">
        <f t="shared" si="184"/>
        <v/>
      </c>
    </row>
    <row r="1401" spans="1:35" ht="11.25" customHeight="1" thickBot="1">
      <c r="A1401" s="611">
        <v>15</v>
      </c>
      <c r="B1401" s="127"/>
      <c r="D1401" s="217" t="str">
        <f t="shared" si="173"/>
        <v/>
      </c>
      <c r="E1401" s="1098" t="str">
        <f t="shared" si="174"/>
        <v/>
      </c>
      <c r="F1401" s="1098" t="str">
        <f t="shared" si="171"/>
        <v/>
      </c>
      <c r="G1401" s="177" t="str">
        <f t="shared" si="172"/>
        <v/>
      </c>
      <c r="H1401" s="118" t="str">
        <f t="shared" si="175"/>
        <v/>
      </c>
      <c r="I1401" s="258" t="s">
        <v>569</v>
      </c>
      <c r="J1401" s="141" t="str">
        <f>V1406</f>
        <v>NA</v>
      </c>
      <c r="K1401" s="71"/>
      <c r="L1401" s="676" t="s">
        <v>411</v>
      </c>
      <c r="M1401" s="831" t="str">
        <f t="shared" si="176"/>
        <v/>
      </c>
      <c r="N1401" s="1099" t="str">
        <f t="shared" si="177"/>
        <v/>
      </c>
      <c r="O1401" s="1101" t="str">
        <f t="shared" si="185"/>
        <v/>
      </c>
      <c r="P1401" s="797" t="str">
        <f t="shared" si="186"/>
        <v/>
      </c>
      <c r="Q1401" s="794" t="str">
        <f t="shared" si="187"/>
        <v/>
      </c>
      <c r="R1401" s="795" t="str">
        <f t="shared" si="179"/>
        <v/>
      </c>
      <c r="S1401" s="796" t="str">
        <v/>
      </c>
      <c r="T1401" s="49"/>
      <c r="U1401" s="798" t="str">
        <f t="shared" si="180"/>
        <v/>
      </c>
      <c r="V1401" s="799" t="str">
        <f t="shared" si="181"/>
        <v/>
      </c>
      <c r="W1401" s="800" t="str">
        <f t="shared" si="182"/>
        <v/>
      </c>
      <c r="X1401" s="664" t="s">
        <v>411</v>
      </c>
      <c r="Y1401" s="798" t="str">
        <f t="shared" si="178"/>
        <v/>
      </c>
      <c r="AH1401" s="660" t="str">
        <f t="shared" si="183"/>
        <v/>
      </c>
      <c r="AI1401" s="660" t="str">
        <f t="shared" si="184"/>
        <v/>
      </c>
    </row>
    <row r="1402" spans="1:35" ht="11.25" customHeight="1">
      <c r="A1402" s="611">
        <v>16</v>
      </c>
      <c r="B1402" s="191" t="s">
        <v>263</v>
      </c>
      <c r="E1402" s="1" t="s">
        <v>247</v>
      </c>
      <c r="F1402" s="1" t="s">
        <v>670</v>
      </c>
      <c r="I1402" s="1"/>
      <c r="K1402" s="71"/>
      <c r="L1402" s="676" t="s">
        <v>411</v>
      </c>
      <c r="M1402" s="831" t="str">
        <f t="shared" si="176"/>
        <v/>
      </c>
      <c r="N1402" s="1099" t="str">
        <f t="shared" si="177"/>
        <v/>
      </c>
      <c r="O1402" s="1101" t="str">
        <f t="shared" si="185"/>
        <v/>
      </c>
      <c r="P1402" s="797" t="str">
        <f t="shared" si="186"/>
        <v/>
      </c>
      <c r="Q1402" s="794" t="str">
        <f t="shared" si="187"/>
        <v/>
      </c>
      <c r="R1402" s="795" t="str">
        <f t="shared" si="179"/>
        <v/>
      </c>
      <c r="S1402" s="796" t="str">
        <v/>
      </c>
      <c r="T1402" s="49"/>
      <c r="U1402" s="798" t="str">
        <f t="shared" si="180"/>
        <v/>
      </c>
      <c r="V1402" s="799" t="str">
        <f t="shared" si="181"/>
        <v/>
      </c>
      <c r="W1402" s="800" t="str">
        <f t="shared" si="182"/>
        <v/>
      </c>
      <c r="X1402" s="664" t="s">
        <v>411</v>
      </c>
      <c r="Y1402" s="798" t="str">
        <f t="shared" si="178"/>
        <v/>
      </c>
      <c r="AH1402" s="660" t="str">
        <f t="shared" si="183"/>
        <v/>
      </c>
      <c r="AI1402" s="660" t="str">
        <f t="shared" si="184"/>
        <v/>
      </c>
    </row>
    <row r="1403" spans="1:35" ht="11.25" customHeight="1">
      <c r="A1403" s="611">
        <v>17</v>
      </c>
      <c r="B1403" s="127"/>
      <c r="E1403" s="13" t="s">
        <v>1054</v>
      </c>
      <c r="F1403" s="1" t="s">
        <v>1054</v>
      </c>
      <c r="K1403" s="71"/>
      <c r="L1403" s="676" t="s">
        <v>411</v>
      </c>
      <c r="M1403" s="831" t="str">
        <f t="shared" si="176"/>
        <v/>
      </c>
      <c r="N1403" s="1099" t="str">
        <f t="shared" si="177"/>
        <v/>
      </c>
      <c r="O1403" s="1101" t="str">
        <f t="shared" si="185"/>
        <v/>
      </c>
      <c r="P1403" s="797" t="str">
        <f t="shared" si="186"/>
        <v/>
      </c>
      <c r="Q1403" s="794" t="str">
        <f t="shared" si="187"/>
        <v/>
      </c>
      <c r="R1403" s="795" t="str">
        <f t="shared" si="179"/>
        <v/>
      </c>
      <c r="S1403" s="796" t="str">
        <v/>
      </c>
      <c r="T1403" s="49"/>
      <c r="U1403" s="798" t="str">
        <f t="shared" si="180"/>
        <v/>
      </c>
      <c r="V1403" s="799" t="str">
        <f t="shared" si="181"/>
        <v/>
      </c>
      <c r="W1403" s="800" t="str">
        <f t="shared" si="182"/>
        <v/>
      </c>
      <c r="X1403" s="664" t="s">
        <v>411</v>
      </c>
      <c r="Y1403" s="798" t="str">
        <f t="shared" si="178"/>
        <v/>
      </c>
      <c r="AH1403" s="660" t="str">
        <f t="shared" si="183"/>
        <v/>
      </c>
      <c r="AI1403" s="660" t="str">
        <f t="shared" si="184"/>
        <v/>
      </c>
    </row>
    <row r="1404" spans="1:35" ht="11.25" customHeight="1" thickBot="1">
      <c r="A1404" s="611">
        <v>18</v>
      </c>
      <c r="B1404" s="127"/>
      <c r="D1404" s="4" t="s">
        <v>247</v>
      </c>
      <c r="E1404" s="301" t="s">
        <v>251</v>
      </c>
      <c r="F1404" s="306" t="s">
        <v>251</v>
      </c>
      <c r="H1404" s="12"/>
      <c r="K1404" s="71"/>
      <c r="L1404" s="676" t="s">
        <v>411</v>
      </c>
      <c r="M1404" s="1010" t="str">
        <f t="shared" si="176"/>
        <v/>
      </c>
      <c r="N1404" s="1102" t="str">
        <f t="shared" si="177"/>
        <v/>
      </c>
      <c r="O1404" s="1103" t="str">
        <f t="shared" si="185"/>
        <v/>
      </c>
      <c r="P1404" s="1011" t="str">
        <f t="shared" si="186"/>
        <v/>
      </c>
      <c r="Q1404" s="1012" t="str">
        <f t="shared" si="187"/>
        <v/>
      </c>
      <c r="R1404" s="1012" t="str">
        <f t="shared" si="179"/>
        <v/>
      </c>
      <c r="S1404" s="1013" t="str">
        <v/>
      </c>
      <c r="T1404" s="49"/>
      <c r="U1404" s="798" t="str">
        <f t="shared" si="180"/>
        <v/>
      </c>
      <c r="V1404" s="799" t="str">
        <f t="shared" si="181"/>
        <v/>
      </c>
      <c r="W1404" s="800" t="str">
        <f t="shared" si="182"/>
        <v/>
      </c>
      <c r="X1404" s="664" t="s">
        <v>411</v>
      </c>
      <c r="Y1404" s="798" t="str">
        <f t="shared" si="178"/>
        <v/>
      </c>
      <c r="AH1404" s="660" t="str">
        <f t="shared" si="183"/>
        <v/>
      </c>
      <c r="AI1404" s="660" t="str">
        <f t="shared" si="184"/>
        <v/>
      </c>
    </row>
    <row r="1405" spans="1:35" ht="11.25" customHeight="1" thickBot="1">
      <c r="A1405" s="611">
        <v>19</v>
      </c>
      <c r="B1405" s="127"/>
      <c r="D1405" s="4" t="s">
        <v>254</v>
      </c>
      <c r="E1405" s="13" t="s">
        <v>465</v>
      </c>
      <c r="F1405" s="1" t="s">
        <v>465</v>
      </c>
      <c r="G1405" s="1" t="s">
        <v>564</v>
      </c>
      <c r="H1405" s="12"/>
      <c r="K1405" s="71"/>
      <c r="L1405" s="676" t="s">
        <v>411</v>
      </c>
      <c r="M1405" s="160" t="s">
        <v>262</v>
      </c>
      <c r="N1405" s="1"/>
      <c r="P1405" s="955"/>
      <c r="Q1405" s="1021" t="s">
        <v>1020</v>
      </c>
      <c r="R1405" s="1022" t="s">
        <v>1021</v>
      </c>
      <c r="S1405" s="1023" t="s">
        <v>1022</v>
      </c>
      <c r="W1405" s="71"/>
      <c r="X1405" s="664" t="s">
        <v>411</v>
      </c>
      <c r="AH1405" s="660" t="str">
        <f>W1414</f>
        <v/>
      </c>
      <c r="AI1405" s="660" t="str">
        <f>Y1414</f>
        <v/>
      </c>
    </row>
    <row r="1406" spans="1:35" ht="11.25" customHeight="1" thickBot="1">
      <c r="A1406" s="611">
        <v>20</v>
      </c>
      <c r="B1406" s="127"/>
      <c r="D1406" s="27" t="s">
        <v>465</v>
      </c>
      <c r="E1406" s="33" t="s">
        <v>258</v>
      </c>
      <c r="F1406" s="33" t="s">
        <v>258</v>
      </c>
      <c r="G1406" s="5" t="s">
        <v>259</v>
      </c>
      <c r="H1406" s="27" t="s">
        <v>631</v>
      </c>
      <c r="K1406" s="71"/>
      <c r="L1406" s="676" t="s">
        <v>411</v>
      </c>
      <c r="M1406" s="127"/>
      <c r="Q1406" s="1016" t="str">
        <f>IF(MAX(G1394:G1401)=0,"NA",MAX(G1394:G1401))</f>
        <v>NA</v>
      </c>
      <c r="R1406" s="1017" t="str">
        <f>IF(MAX(G1394:G1401)=0,"NA",MEDIAN(G1394:G1401))</f>
        <v>NA</v>
      </c>
      <c r="S1406" s="1019" t="str">
        <f>IF(MAX(G1394:G1401)=0,"NA",MIN(G1394:G1401))</f>
        <v>NA</v>
      </c>
      <c r="U1406" s="1005" t="s">
        <v>569</v>
      </c>
      <c r="V1406" s="740" t="str">
        <f>IF(MIN(N1397:N1404)=0,"NA",IF(H1394="TBD","TBD",IF(OR(H1394="NO",H1395="NO",H1396="NO",H1397="NO",H1398="NO",H1399="NO",H1400="NO",H1401="NO"),"NO","YES")))</f>
        <v>NA</v>
      </c>
      <c r="W1406" s="71"/>
      <c r="X1406" s="664" t="s">
        <v>411</v>
      </c>
      <c r="AH1406" s="660" t="str">
        <f t="shared" ref="AH1406:AH1410" si="188">W1415</f>
        <v/>
      </c>
      <c r="AI1406" s="660" t="str">
        <f t="shared" ref="AI1406:AI1410" si="189">Y1415</f>
        <v/>
      </c>
    </row>
    <row r="1407" spans="1:35" ht="11.25" customHeight="1" thickBot="1">
      <c r="A1407" s="611">
        <v>21</v>
      </c>
      <c r="B1407" s="127"/>
      <c r="D1407" s="217" t="str">
        <f>IF(P1414="","",P1414)</f>
        <v/>
      </c>
      <c r="E1407" s="1098" t="str">
        <f>IF(R1414="","",R1414)</f>
        <v/>
      </c>
      <c r="F1407" s="1098" t="str">
        <f t="shared" ref="F1407:F1412" si="190">IF(OR(D1407="",S1414=""),"",S1414)</f>
        <v/>
      </c>
      <c r="G1407" s="177" t="str">
        <f t="shared" ref="G1407:G1412" si="191">IF(OR(E1407="",F1407=""),"",(E1407-F1407)/F1407)</f>
        <v/>
      </c>
      <c r="H1407" s="118" t="str">
        <f>IF(OR(E1407="",F1407=""),"",IF(ABS(G1407)&gt;0.25,"NO","YES"))</f>
        <v/>
      </c>
      <c r="I1407" s="49"/>
      <c r="J1407" s="49"/>
      <c r="K1407" s="71"/>
      <c r="L1407" s="676" t="s">
        <v>411</v>
      </c>
      <c r="M1407" s="127"/>
      <c r="O1407" s="302"/>
      <c r="P1407" s="1014" t="s">
        <v>376</v>
      </c>
      <c r="Q1407" s="1015" t="str">
        <f>IF(AB225="","",AB225)</f>
        <v/>
      </c>
      <c r="R1407" s="1018" t="str">
        <f>IF(AB226="","",AB226)</f>
        <v/>
      </c>
      <c r="S1407" s="1020" t="str">
        <f>IF(AB227="","",AB227)</f>
        <v/>
      </c>
      <c r="U1407" s="300"/>
      <c r="W1407" s="71"/>
      <c r="X1407" s="664" t="s">
        <v>411</v>
      </c>
      <c r="AH1407" s="660" t="str">
        <f t="shared" si="188"/>
        <v/>
      </c>
      <c r="AI1407" s="660" t="str">
        <f t="shared" si="189"/>
        <v/>
      </c>
    </row>
    <row r="1408" spans="1:35" ht="11.25" customHeight="1">
      <c r="A1408" s="611">
        <v>22</v>
      </c>
      <c r="B1408" s="127"/>
      <c r="D1408" s="217" t="str">
        <f>IF(OR(P1415="",P1415=P1414),"",P1415)</f>
        <v/>
      </c>
      <c r="E1408" s="1098" t="str">
        <f>IF(R1415=R1414,"",R1415)</f>
        <v/>
      </c>
      <c r="F1408" s="1098" t="str">
        <f t="shared" si="190"/>
        <v/>
      </c>
      <c r="G1408" s="177" t="str">
        <f t="shared" si="191"/>
        <v/>
      </c>
      <c r="H1408" s="118" t="str">
        <f>IF(H1407="TBD","TBD",IF(OR(E1408="",F1408=""),"",IF(ABS(G1408)&gt;0.25,"NO","YES")))</f>
        <v/>
      </c>
      <c r="I1408" s="49"/>
      <c r="J1408" s="49"/>
      <c r="K1408" s="71"/>
      <c r="L1408" s="676" t="s">
        <v>411</v>
      </c>
      <c r="M1408" s="191" t="s">
        <v>263</v>
      </c>
      <c r="N1408" s="109"/>
      <c r="O1408" s="109"/>
      <c r="P1408" s="49"/>
      <c r="S1408" s="51" t="s">
        <v>245</v>
      </c>
      <c r="T1408" s="49"/>
      <c r="U1408" s="51" t="s">
        <v>246</v>
      </c>
      <c r="W1408" s="310"/>
      <c r="X1408" s="664" t="s">
        <v>411</v>
      </c>
      <c r="Y1408" s="802" t="s">
        <v>310</v>
      </c>
      <c r="AH1408" s="660" t="str">
        <f t="shared" si="188"/>
        <v/>
      </c>
      <c r="AI1408" s="660" t="str">
        <f t="shared" si="189"/>
        <v/>
      </c>
    </row>
    <row r="1409" spans="1:35" ht="11.25" customHeight="1">
      <c r="A1409" s="611">
        <v>23</v>
      </c>
      <c r="B1409" s="127"/>
      <c r="D1409" s="217" t="str">
        <f>IF(OR(P1416="",P1416=P1415),"",P1416)</f>
        <v/>
      </c>
      <c r="E1409" s="1098" t="str">
        <f>IF(R1416=R1415,"",R1416)</f>
        <v/>
      </c>
      <c r="F1409" s="1098" t="str">
        <f t="shared" si="190"/>
        <v/>
      </c>
      <c r="G1409" s="177" t="str">
        <f t="shared" si="191"/>
        <v/>
      </c>
      <c r="H1409" s="118" t="str">
        <f>IF(H1408="TBD","TBD",IF(OR(E1409="",F1409=""),"",IF(ABS(G1409)&gt;0.25,"NO","YES")))</f>
        <v/>
      </c>
      <c r="I1409" s="49"/>
      <c r="J1409" s="49"/>
      <c r="K1409" s="71"/>
      <c r="L1409" s="676" t="s">
        <v>411</v>
      </c>
      <c r="M1409" s="127"/>
      <c r="R1409" s="1" t="s">
        <v>247</v>
      </c>
      <c r="S1409" s="303" t="s">
        <v>670</v>
      </c>
      <c r="T1409" s="49"/>
      <c r="U1409" s="303" t="s">
        <v>670</v>
      </c>
      <c r="V1409" s="303" t="s">
        <v>246</v>
      </c>
      <c r="W1409" s="311" t="s">
        <v>246</v>
      </c>
      <c r="X1409" s="664" t="s">
        <v>411</v>
      </c>
      <c r="Y1409" s="303" t="s">
        <v>247</v>
      </c>
      <c r="AH1409" s="660" t="str">
        <f t="shared" si="188"/>
        <v/>
      </c>
      <c r="AI1409" s="660" t="str">
        <f t="shared" si="189"/>
        <v/>
      </c>
    </row>
    <row r="1410" spans="1:35" ht="11.25" customHeight="1">
      <c r="A1410" s="611">
        <v>24</v>
      </c>
      <c r="B1410" s="127"/>
      <c r="D1410" s="217" t="str">
        <f>IF(OR(P1417="",P1417=P1416),"",P1417)</f>
        <v/>
      </c>
      <c r="E1410" s="1098" t="str">
        <f>IF(R1417=R1416,"",R1417)</f>
        <v/>
      </c>
      <c r="F1410" s="1098" t="str">
        <f t="shared" si="190"/>
        <v/>
      </c>
      <c r="G1410" s="177" t="str">
        <f t="shared" si="191"/>
        <v/>
      </c>
      <c r="H1410" s="118" t="str">
        <f>IF(H1409="TBD","TBD",IF(OR(E1410="",F1410=""),"",IF(ABS(G1410)&gt;0.25,"NO","YES")))</f>
        <v/>
      </c>
      <c r="I1410" s="49"/>
      <c r="J1410" s="49"/>
      <c r="K1410" s="71"/>
      <c r="L1410" s="676" t="s">
        <v>411</v>
      </c>
      <c r="M1410" s="110" t="s">
        <v>248</v>
      </c>
      <c r="N1410" s="128"/>
      <c r="O1410" s="53"/>
      <c r="P1410" s="165" t="s">
        <v>249</v>
      </c>
      <c r="Q1410" s="128"/>
      <c r="R1410" s="13" t="s">
        <v>1054</v>
      </c>
      <c r="S1410" s="303" t="s">
        <v>1054</v>
      </c>
      <c r="T1410" s="49"/>
      <c r="U1410" s="303" t="s">
        <v>1054</v>
      </c>
      <c r="V1410" s="303" t="s">
        <v>250</v>
      </c>
      <c r="W1410" s="311" t="s">
        <v>247</v>
      </c>
      <c r="X1410" s="664" t="s">
        <v>411</v>
      </c>
      <c r="Y1410" s="303" t="s">
        <v>1054</v>
      </c>
      <c r="AH1410" s="660" t="str">
        <f t="shared" si="188"/>
        <v/>
      </c>
      <c r="AI1410" s="660" t="str">
        <f t="shared" si="189"/>
        <v/>
      </c>
    </row>
    <row r="1411" spans="1:35" ht="11.25" customHeight="1" thickBot="1">
      <c r="A1411" s="611">
        <v>25</v>
      </c>
      <c r="B1411" s="127"/>
      <c r="D1411" s="217" t="str">
        <f>IF(OR(P1418="",P1418=P1417),"",P1418)</f>
        <v/>
      </c>
      <c r="E1411" s="1098" t="str">
        <f>IF(R1418=R1417,"",R1418)</f>
        <v/>
      </c>
      <c r="F1411" s="1098" t="str">
        <f t="shared" si="190"/>
        <v/>
      </c>
      <c r="G1411" s="177" t="str">
        <f t="shared" si="191"/>
        <v/>
      </c>
      <c r="H1411" s="118" t="str">
        <f>IF(H1410="TBD","TBD",IF(OR(E1411="",F1411=""),"",IF(ABS(G1411)&gt;0.25,"NO","YES")))</f>
        <v/>
      </c>
      <c r="I1411" s="49"/>
      <c r="J1411" s="49"/>
      <c r="K1411" s="71"/>
      <c r="L1411" s="676" t="s">
        <v>411</v>
      </c>
      <c r="M1411" s="213" t="s">
        <v>252</v>
      </c>
      <c r="N1411" s="807" t="str">
        <f>IF(OR(AB209=0,AB209=""),"",AB209)</f>
        <v/>
      </c>
      <c r="O1411" s="1"/>
      <c r="P1411" s="269" t="str">
        <f>"SDD ("&amp;SFSDD&amp;"):"</f>
        <v>SDD (cm):</v>
      </c>
      <c r="Q1411" s="355">
        <f>IF($N$712="","",$N$712)</f>
        <v>100</v>
      </c>
      <c r="R1411" s="301" t="s">
        <v>251</v>
      </c>
      <c r="S1411" s="304" t="s">
        <v>251</v>
      </c>
      <c r="T1411" s="49"/>
      <c r="U1411" s="303" t="s">
        <v>253</v>
      </c>
      <c r="V1411" s="303" t="s">
        <v>670</v>
      </c>
      <c r="W1411" s="311" t="s">
        <v>567</v>
      </c>
      <c r="X1411" s="664" t="s">
        <v>411</v>
      </c>
      <c r="Y1411" s="303" t="s">
        <v>251</v>
      </c>
    </row>
    <row r="1412" spans="1:35" ht="11.25" customHeight="1" thickBot="1">
      <c r="A1412" s="611">
        <v>26</v>
      </c>
      <c r="B1412" s="127"/>
      <c r="D1412" s="217" t="str">
        <f>IF(OR(P1419="",P1419=P1418),"",P1419)</f>
        <v/>
      </c>
      <c r="E1412" s="1098" t="str">
        <f>IF(R1419=R1418,"",R1419)</f>
        <v/>
      </c>
      <c r="F1412" s="1098" t="str">
        <f t="shared" si="190"/>
        <v/>
      </c>
      <c r="G1412" s="177" t="str">
        <f t="shared" si="191"/>
        <v/>
      </c>
      <c r="H1412" s="118" t="str">
        <f>IF(H1411="TBD","TBD",IF(OR(E1412="",F1412=""),"",IF(ABS(G1412)&gt;0.25,"NO","YES")))</f>
        <v/>
      </c>
      <c r="I1412" s="258" t="s">
        <v>569</v>
      </c>
      <c r="J1412" s="141" t="str">
        <f>V1421</f>
        <v>NA</v>
      </c>
      <c r="K1412" s="71"/>
      <c r="L1412" s="676" t="s">
        <v>411</v>
      </c>
      <c r="M1412" s="127"/>
      <c r="N1412" s="1" t="s">
        <v>1054</v>
      </c>
      <c r="O1412" s="1" t="s">
        <v>1054</v>
      </c>
      <c r="P1412" s="29"/>
      <c r="Q1412" s="12" t="s">
        <v>1054</v>
      </c>
      <c r="R1412" s="13" t="s">
        <v>465</v>
      </c>
      <c r="S1412" s="303" t="s">
        <v>255</v>
      </c>
      <c r="T1412" s="49"/>
      <c r="U1412" s="303" t="s">
        <v>256</v>
      </c>
      <c r="V1412" s="303" t="s">
        <v>257</v>
      </c>
      <c r="W1412" s="311" t="s">
        <v>257</v>
      </c>
      <c r="X1412" s="664" t="s">
        <v>411</v>
      </c>
      <c r="Y1412" s="303" t="s">
        <v>465</v>
      </c>
    </row>
    <row r="1413" spans="1:35" ht="11.25" customHeight="1" thickBot="1">
      <c r="A1413" s="611">
        <v>27</v>
      </c>
      <c r="B1413" s="127"/>
      <c r="K1413" s="71"/>
      <c r="L1413" s="676" t="s">
        <v>411</v>
      </c>
      <c r="M1413" s="162" t="s">
        <v>465</v>
      </c>
      <c r="N1413" s="33" t="s">
        <v>260</v>
      </c>
      <c r="O1413" s="361" t="s">
        <v>258</v>
      </c>
      <c r="P1413" s="206" t="s">
        <v>67</v>
      </c>
      <c r="Q1413" s="33" t="s">
        <v>260</v>
      </c>
      <c r="R1413" s="33" t="s">
        <v>258</v>
      </c>
      <c r="S1413" s="305" t="s">
        <v>258</v>
      </c>
      <c r="T1413" s="49"/>
      <c r="U1413" s="250" t="s">
        <v>1055</v>
      </c>
      <c r="V1413" s="250" t="s">
        <v>261</v>
      </c>
      <c r="W1413" s="253" t="s">
        <v>261</v>
      </c>
      <c r="X1413" s="664" t="s">
        <v>411</v>
      </c>
      <c r="Y1413" s="250" t="s">
        <v>258</v>
      </c>
    </row>
    <row r="1414" spans="1:35" ht="11.25" customHeight="1">
      <c r="A1414" s="611">
        <v>28</v>
      </c>
      <c r="B1414" s="127"/>
      <c r="C1414" s="132" t="s">
        <v>570</v>
      </c>
      <c r="D1414" s="100" t="s">
        <v>494</v>
      </c>
      <c r="K1414" s="69"/>
      <c r="L1414" s="676" t="s">
        <v>411</v>
      </c>
      <c r="M1414" s="831" t="str">
        <f t="shared" ref="M1414:M1419" si="192">IF(OR(AB211=0,AB211=""),"",AB211)</f>
        <v/>
      </c>
      <c r="N1414" s="1099" t="str">
        <f t="shared" ref="N1414:N1419" si="193">IF(OR(AB218=0,AB218=""),"",AB218)</f>
        <v/>
      </c>
      <c r="O1414" s="1104" t="str">
        <f>IF(OR(M1414=0,M1414="",N1414=0,N1414="",$N$1411=0,$N$1411=""),"",N1414*($N$1411/40)^2)</f>
        <v/>
      </c>
      <c r="P1414" s="1105" t="str">
        <f>IF(U712="","",U712)</f>
        <v/>
      </c>
      <c r="Q1414" s="794" t="str">
        <f>IF(OR(AND(LFMAS="",SFMAS=""),R712="",R712=0,W712=""),"",IF(SFMAS="mAs",W712/R712,IF(OR(S712="",S712=0),"",W712/(R712*S712))))</f>
        <v/>
      </c>
      <c r="R1414" s="795" t="str">
        <f>IF(Q1414="","",IF(SFSDD="in.",Q1414*($Q$1411/40)^2,Q1414*(($Q$1411/2.54)/40)^2))</f>
        <v/>
      </c>
      <c r="S1414" s="798" t="str">
        <f t="array" ref="S1414:S1419">IF(OR(M1414="",M1415="",N1414="",N1415="",P1414="",P1415="",$N$1411=""),"",EXP(TREND(U1414:U1419,V1414:V1419,W1414:W1419)))</f>
        <v/>
      </c>
      <c r="T1414" s="49"/>
      <c r="U1414" s="798" t="str">
        <f>IF(O1414="","",LN(O1414))</f>
        <v/>
      </c>
      <c r="V1414" s="799" t="str">
        <f>IF(M1414="","",LN(M1414))</f>
        <v/>
      </c>
      <c r="W1414" s="801" t="str">
        <f>IF(P1414="","",LN(P1414))</f>
        <v/>
      </c>
      <c r="X1414" s="664" t="s">
        <v>411</v>
      </c>
      <c r="Y1414" s="798" t="str">
        <f t="shared" ref="Y1414:Y1419" si="194">IF(R1414="","",LN(R1414))</f>
        <v/>
      </c>
    </row>
    <row r="1415" spans="1:35" ht="11.25" customHeight="1">
      <c r="A1415" s="611">
        <v>29</v>
      </c>
      <c r="B1415" s="102" t="s">
        <v>552</v>
      </c>
      <c r="C1415" s="922" t="str">
        <f>IF(O1422="","",IF(LEN(O1422)&lt;=135,O1422,IF(LEN(O1422)&lt;=260,LEFT(O1422,SEARCH(" ",O1422,125)),LEFT(O1422,SEARCH(" ",O1422,130)))))</f>
        <v/>
      </c>
      <c r="D1415" s="2"/>
      <c r="E1415" s="2"/>
      <c r="F1415" s="2"/>
      <c r="G1415" s="2"/>
      <c r="H1415" s="2"/>
      <c r="I1415" s="2"/>
      <c r="J1415" s="2"/>
      <c r="K1415" s="69"/>
      <c r="L1415" s="676" t="s">
        <v>411</v>
      </c>
      <c r="M1415" s="831" t="str">
        <f t="shared" si="192"/>
        <v/>
      </c>
      <c r="N1415" s="1099" t="str">
        <f t="shared" si="193"/>
        <v/>
      </c>
      <c r="O1415" s="1101" t="str">
        <f>IF(OR(M1415=0,M1415="",N1415=0,N1415="",$N$1411=0,$N$1411=""),O1414,N1415*($N$1411/40)^2)</f>
        <v/>
      </c>
      <c r="P1415" s="1106" t="str">
        <f>IF(U713="",P1414,U713)</f>
        <v/>
      </c>
      <c r="Q1415" s="794" t="str">
        <f>IF(OR(AND(LFMAS="",SFMAS=""),R713="",R713=0,W713=""),Q1414,IF(SFMAS="mAs",W713/R713,IF(OR(S713="",S713=0),"",W713/(R713*S713))))</f>
        <v/>
      </c>
      <c r="R1415" s="795" t="str">
        <f>IF(Q1415="",R1414,IF(SFSDD="in.",Q1415*($Q$1411/40)^2,Q1415*(($Q$1411/2.54)/40)^2))</f>
        <v/>
      </c>
      <c r="S1415" s="798" t="str">
        <v/>
      </c>
      <c r="T1415" s="49"/>
      <c r="U1415" s="798" t="str">
        <f>IF(O1415="",U1414,LN(O1415))</f>
        <v/>
      </c>
      <c r="V1415" s="799" t="str">
        <f>IF(M1415="",V1414,LN(M1415))</f>
        <v/>
      </c>
      <c r="W1415" s="801" t="str">
        <f>IF(P1415="",W1414,LN(P1415))</f>
        <v/>
      </c>
      <c r="X1415" s="664" t="s">
        <v>411</v>
      </c>
      <c r="Y1415" s="798" t="str">
        <f t="shared" si="194"/>
        <v/>
      </c>
    </row>
    <row r="1416" spans="1:35" ht="11.25" customHeight="1">
      <c r="A1416" s="611">
        <v>30</v>
      </c>
      <c r="B1416" s="45"/>
      <c r="C1416" s="923" t="str">
        <f>IF(LEN(O1422)&lt;=135,"",IF(LEN(O1422)&lt;=260,RIGHT(O1422,LEN(O1422)-SEARCH(" ",O1422,125)),MID(O1422,SEARCH(" ",O1422,130),IF(LEN(O1422)&lt;=265,LEN(O1422),SEARCH(" ",O1422,255)-SEARCH(" ",O1422,130)))))</f>
        <v/>
      </c>
      <c r="D1416" s="2"/>
      <c r="E1416" s="2"/>
      <c r="F1416" s="2"/>
      <c r="G1416" s="2"/>
      <c r="H1416" s="2"/>
      <c r="I1416" s="2"/>
      <c r="J1416" s="2"/>
      <c r="K1416" s="69"/>
      <c r="L1416" s="676" t="s">
        <v>411</v>
      </c>
      <c r="M1416" s="831" t="str">
        <f t="shared" si="192"/>
        <v/>
      </c>
      <c r="N1416" s="1099" t="str">
        <f t="shared" si="193"/>
        <v/>
      </c>
      <c r="O1416" s="1101" t="str">
        <f>IF(OR(M1416=0,M1416="",N1416=0,N1416="",$N$1411=0,$N$1411=""),O1415,N1416*($N$1411/40)^2)</f>
        <v/>
      </c>
      <c r="P1416" s="1106" t="str">
        <f t="shared" ref="P1416:P1419" si="195">IF(U714="",P1415,U714)</f>
        <v/>
      </c>
      <c r="Q1416" s="794" t="str">
        <f>IF(OR(AND(LFMAS="",SFMAS=""),R714="",R714=0,W714=""),Q1415,IF(SFMAS="mAs",W714/R714,IF(OR(S714="",S714=0),"",W714/(R714*S714))))</f>
        <v/>
      </c>
      <c r="R1416" s="795" t="str">
        <f>IF(Q1416="",R1415,IF(SFSDD="in.",Q1416*($Q$1411/40)^2,Q1416*(($Q$1411/2.54)/40)^2))</f>
        <v/>
      </c>
      <c r="S1416" s="798" t="str">
        <v/>
      </c>
      <c r="T1416" s="49"/>
      <c r="U1416" s="798" t="str">
        <f>IF(O1416="",U1415,LN(O1416))</f>
        <v/>
      </c>
      <c r="V1416" s="799" t="str">
        <f>IF(M1416="",V1415,LN(M1416))</f>
        <v/>
      </c>
      <c r="W1416" s="801" t="str">
        <f>IF(P1416="",W1415,LN(P1416))</f>
        <v/>
      </c>
      <c r="X1416" s="664" t="s">
        <v>411</v>
      </c>
      <c r="Y1416" s="798" t="str">
        <f t="shared" si="194"/>
        <v/>
      </c>
    </row>
    <row r="1417" spans="1:35" ht="11.25" customHeight="1">
      <c r="A1417" s="611">
        <v>31</v>
      </c>
      <c r="B1417" s="45"/>
      <c r="C1417" s="922" t="str">
        <f>IF(LEN(O1422)&lt;=265,"",RIGHT(O1422,LEN(O1422)-SEARCH(" ",O1422,255)))</f>
        <v/>
      </c>
      <c r="D1417" s="2"/>
      <c r="E1417" s="2"/>
      <c r="F1417" s="2"/>
      <c r="G1417" s="2"/>
      <c r="H1417" s="2"/>
      <c r="I1417" s="2"/>
      <c r="J1417" s="2"/>
      <c r="K1417" s="69"/>
      <c r="L1417" s="676" t="s">
        <v>411</v>
      </c>
      <c r="M1417" s="831" t="str">
        <f t="shared" si="192"/>
        <v/>
      </c>
      <c r="N1417" s="1099" t="str">
        <f t="shared" si="193"/>
        <v/>
      </c>
      <c r="O1417" s="1101" t="str">
        <f>IF(OR(M1417=0,M1417="",N1417=0,N1417="",$N$1411=0,$N$1411=""),O1416,N1417*($N$1411/40)^2)</f>
        <v/>
      </c>
      <c r="P1417" s="1106" t="str">
        <f t="shared" si="195"/>
        <v/>
      </c>
      <c r="Q1417" s="794" t="str">
        <f>IF(OR(AND(LFMAS="",SFMAS=""),R715="",R715=0,W715=""),Q1416,IF(SFMAS="mAs",W715/R715,IF(OR(S715="",S715=0),"",W715/(R715*S715))))</f>
        <v/>
      </c>
      <c r="R1417" s="795" t="str">
        <f>IF(Q1417="",R1416,IF(SFSDD="in.",Q1417*($Q$1411/40)^2,Q1417*(($Q$1411/2.54)/40)^2))</f>
        <v/>
      </c>
      <c r="S1417" s="798" t="str">
        <v/>
      </c>
      <c r="T1417" s="49"/>
      <c r="U1417" s="798" t="str">
        <f>IF(O1417="",U1416,LN(O1417))</f>
        <v/>
      </c>
      <c r="V1417" s="799" t="str">
        <f>IF(M1417="",V1416,LN(M1417))</f>
        <v/>
      </c>
      <c r="W1417" s="801" t="str">
        <f>IF(P1417="",W1416,LN(P1417))</f>
        <v/>
      </c>
      <c r="X1417" s="664" t="s">
        <v>411</v>
      </c>
      <c r="Y1417" s="798" t="str">
        <f t="shared" si="194"/>
        <v/>
      </c>
    </row>
    <row r="1418" spans="1:35" ht="11.25" customHeight="1">
      <c r="A1418" s="611">
        <v>32</v>
      </c>
      <c r="B1418" s="127"/>
      <c r="K1418" s="69"/>
      <c r="L1418" s="676" t="s">
        <v>411</v>
      </c>
      <c r="M1418" s="831" t="str">
        <f t="shared" si="192"/>
        <v/>
      </c>
      <c r="N1418" s="1099" t="str">
        <f t="shared" si="193"/>
        <v/>
      </c>
      <c r="O1418" s="1101" t="str">
        <f>IF(OR(M1418=0,M1418="",N1418=0,N1418="",$N$1411=0,$N$1411=""),O1417,N1418*($N$1411/40)^2)</f>
        <v/>
      </c>
      <c r="P1418" s="1106" t="str">
        <f t="shared" si="195"/>
        <v/>
      </c>
      <c r="Q1418" s="794" t="str">
        <f>IF(OR(AND(LFMAS="",SFMAS=""),R716="",R716=0,W716=""),Q1417,IF(SFMAS="mAs",W716/R716,IF(OR(S716="",S716=0),"",W716/(R716*S716))))</f>
        <v/>
      </c>
      <c r="R1418" s="795" t="str">
        <f>IF(Q1418="",R1417,IF(SFSDD="in.",Q1418*($Q$1411/40)^2,Q1418*(($Q$1411/2.54)/40)^2))</f>
        <v/>
      </c>
      <c r="S1418" s="798" t="str">
        <v/>
      </c>
      <c r="T1418" s="49"/>
      <c r="U1418" s="798" t="str">
        <f>IF(O1418="",U1417,LN(O1418))</f>
        <v/>
      </c>
      <c r="V1418" s="799" t="str">
        <f>IF(M1418="",V1417,LN(M1418))</f>
        <v/>
      </c>
      <c r="W1418" s="801" t="str">
        <f>IF(P1418="",W1417,LN(P1418))</f>
        <v/>
      </c>
      <c r="X1418" s="664" t="s">
        <v>411</v>
      </c>
      <c r="Y1418" s="798" t="str">
        <f t="shared" si="194"/>
        <v/>
      </c>
    </row>
    <row r="1419" spans="1:35" ht="11.25" customHeight="1" thickBot="1">
      <c r="A1419" s="611">
        <v>33</v>
      </c>
      <c r="B1419" s="127"/>
      <c r="C1419" s="1"/>
      <c r="D1419" s="13" t="s">
        <v>266</v>
      </c>
      <c r="H1419" s="1"/>
      <c r="I1419" s="13" t="s">
        <v>267</v>
      </c>
      <c r="K1419" s="69"/>
      <c r="L1419" s="676" t="s">
        <v>411</v>
      </c>
      <c r="M1419" s="831" t="str">
        <f t="shared" si="192"/>
        <v/>
      </c>
      <c r="N1419" s="1099" t="str">
        <f t="shared" si="193"/>
        <v/>
      </c>
      <c r="O1419" s="1101" t="str">
        <f>IF(OR(M1419=0,M1419="",N1419=0,N1419="",$N$1411=0,$N$1411=""),O1418,N1419*($N$1411/40)^2)</f>
        <v/>
      </c>
      <c r="P1419" s="1107" t="str">
        <f t="shared" si="195"/>
        <v/>
      </c>
      <c r="Q1419" s="1006" t="str">
        <f>IF(OR(AND(LFMAS="",SFMAS=""),R717="",R717=0,W717=""),Q1418,IF(SFMAS="mAs",W717/R717,IF(OR(S717="",S717=0),"",W717/(R717*S717))))</f>
        <v/>
      </c>
      <c r="R1419" s="1007" t="str">
        <f>IF(Q1419="",R1418,IF(SFSDD="in.",Q1419*($Q$1411/40)^2,Q1419*(($Q$1411/2.54)/40)^2))</f>
        <v/>
      </c>
      <c r="S1419" s="1009" t="str">
        <v/>
      </c>
      <c r="T1419" s="49"/>
      <c r="U1419" s="798" t="str">
        <f>IF(O1419="",U1418,LN(O1419))</f>
        <v/>
      </c>
      <c r="V1419" s="799" t="str">
        <f>IF(M1419="",V1418,LN(M1419))</f>
        <v/>
      </c>
      <c r="W1419" s="801" t="str">
        <f>IF(P1419="",W1418,LN(P1419))</f>
        <v/>
      </c>
      <c r="X1419" s="664" t="s">
        <v>411</v>
      </c>
      <c r="Y1419" s="798" t="str">
        <f t="shared" si="194"/>
        <v/>
      </c>
    </row>
    <row r="1420" spans="1:35" ht="11.25" customHeight="1" thickBot="1">
      <c r="A1420" s="611">
        <v>34</v>
      </c>
      <c r="B1420" s="127"/>
      <c r="C1420" s="1"/>
      <c r="D1420" s="4" t="s">
        <v>247</v>
      </c>
      <c r="H1420" s="1"/>
      <c r="I1420" s="13" t="s">
        <v>247</v>
      </c>
      <c r="J1420" s="49"/>
      <c r="K1420" s="71"/>
      <c r="L1420" s="676" t="s">
        <v>411</v>
      </c>
      <c r="M1420" s="160" t="s">
        <v>262</v>
      </c>
      <c r="P1420" s="955"/>
      <c r="Q1420" s="1021" t="s">
        <v>1020</v>
      </c>
      <c r="R1420" s="1022" t="s">
        <v>1021</v>
      </c>
      <c r="S1420" s="1023" t="s">
        <v>1022</v>
      </c>
      <c r="W1420" s="69"/>
      <c r="X1420" s="664" t="s">
        <v>411</v>
      </c>
    </row>
    <row r="1421" spans="1:35" ht="11.25" customHeight="1" thickBot="1">
      <c r="A1421" s="611">
        <v>35</v>
      </c>
      <c r="B1421" s="127"/>
      <c r="C1421" s="1"/>
      <c r="D1421" s="13" t="s">
        <v>1054</v>
      </c>
      <c r="H1421" s="1"/>
      <c r="I1421" s="13" t="s">
        <v>1054</v>
      </c>
      <c r="K1421" s="71"/>
      <c r="L1421" s="676" t="s">
        <v>411</v>
      </c>
      <c r="M1421" s="127"/>
      <c r="Q1421" s="1016" t="str">
        <f>IF(MAX(G1407:G1412)=0,"NA",MAX(G1407:G1412))</f>
        <v>NA</v>
      </c>
      <c r="R1421" s="1017" t="str">
        <f>IF(MAX(G1407:G1412)=0,"NA",MEDIAN(G1407:G1412))</f>
        <v>NA</v>
      </c>
      <c r="S1421" s="1019" t="str">
        <f>IF(MAX(G1407:G1412)=0,"NA",MIN(G1407:G1412))</f>
        <v>NA</v>
      </c>
      <c r="U1421" s="1005" t="s">
        <v>569</v>
      </c>
      <c r="V1421" s="740" t="str">
        <f>IF(MIN(N1414:N1419)=0,"NA",IF(H1407="TBD","TBD",IF(OR(H1407="NO",H1408="NO",H1409="NO",H1410="NO",H1411="NO",H1412="NO"),"NO","YES")))</f>
        <v>NA</v>
      </c>
      <c r="W1421" s="71"/>
      <c r="X1421" s="664" t="s">
        <v>411</v>
      </c>
    </row>
    <row r="1422" spans="1:35" ht="11.25" customHeight="1" thickBot="1">
      <c r="A1422" s="611">
        <v>36</v>
      </c>
      <c r="B1422" s="127"/>
      <c r="C1422" s="27" t="s">
        <v>465</v>
      </c>
      <c r="D1422" s="33" t="s">
        <v>258</v>
      </c>
      <c r="H1422" s="27" t="s">
        <v>465</v>
      </c>
      <c r="I1422" s="33" t="s">
        <v>258</v>
      </c>
      <c r="K1422" s="39"/>
      <c r="L1422" s="676" t="s">
        <v>411</v>
      </c>
      <c r="M1422" s="127"/>
      <c r="N1422" s="54"/>
      <c r="O1422" s="1008" t="str">
        <f>IF(AND(O703="",O719=""),"",IF(AND(O703&lt;&gt;"",O719=""),"Lg. F:  "&amp;O703,IF(AND(O703="",O719&lt;&gt;""),"Sm. F:  "&amp;O719,"Lg. F:  "&amp;O703&amp;";  Sm. F:  "&amp;O719)))</f>
        <v/>
      </c>
      <c r="P1422" s="1014" t="s">
        <v>376</v>
      </c>
      <c r="Q1422" s="1015" t="str">
        <f>IF(AB228="","",AB228)</f>
        <v/>
      </c>
      <c r="R1422" s="1018" t="str">
        <f>IF(AB229="","",AB229)</f>
        <v/>
      </c>
      <c r="S1422" s="1020" t="str">
        <f>IF(AB230="","",AB230)</f>
        <v/>
      </c>
      <c r="T1422" s="1"/>
      <c r="U1422" s="1"/>
      <c r="V1422" s="1"/>
      <c r="W1422" s="39"/>
      <c r="X1422" s="664" t="s">
        <v>411</v>
      </c>
    </row>
    <row r="1423" spans="1:35" ht="11.25" customHeight="1">
      <c r="A1423" s="611">
        <v>37</v>
      </c>
      <c r="B1423" s="127"/>
      <c r="C1423" s="216">
        <f>IF(AND($R$694="",T694=""),50,10*(TRUNC((MIN($Q$694:$Q$701)-10)/10,0))+5)</f>
        <v>55</v>
      </c>
      <c r="D1423" s="1098" t="str">
        <f t="array" ref="D1423:D1432">IF(OR(P1397="",Q1397="",P1398="",Q1398=""),"",EXP(TREND(LN(R1397:R1404),LN(P1397:P1404),LN(C1423:C1432))))</f>
        <v/>
      </c>
      <c r="H1423" s="216">
        <f>IF(AND($R$712="",T712=""),55,10*(TRUNC((MIN($Q$712:$Q$717)-10)/10,0))+5)</f>
        <v>45</v>
      </c>
      <c r="I1423" s="1098" t="str">
        <f t="array" ref="I1423:I1432">IF(OR(P1414="",Q1414="",P1415="",Q1415=""),"",EXP(TREND(LN(R1414:R1419),LN(P1414:P1419),LN(H1423:H1432))))</f>
        <v/>
      </c>
      <c r="K1423" s="71"/>
      <c r="L1423" s="676" t="s">
        <v>411</v>
      </c>
      <c r="M1423" s="85"/>
      <c r="N1423" s="3"/>
      <c r="O1423" s="3"/>
      <c r="P1423" s="3"/>
      <c r="S1423" s="3"/>
      <c r="T1423" s="3"/>
      <c r="U1423" s="3"/>
      <c r="V1423" s="3"/>
      <c r="W1423" s="360"/>
      <c r="X1423" s="664" t="s">
        <v>411</v>
      </c>
    </row>
    <row r="1424" spans="1:35" ht="11.25" customHeight="1">
      <c r="A1424" s="611">
        <v>38</v>
      </c>
      <c r="B1424" s="127"/>
      <c r="C1424" s="216">
        <f>IF(AND($R$694="",T694=""),60,IF(MAX($Q$694:$Q$701)+5&lt;C1423+5,C1423,10*TRUNC((C1423+10)/10,0)))</f>
        <v>60</v>
      </c>
      <c r="D1424" s="1098" t="str">
        <v/>
      </c>
      <c r="H1424" s="216">
        <f>IF(AND($R$712="",T713=""),65,IF(MAX($Q$712:$Q$717)+5&lt;H1423+10,H1423,H1423+10))</f>
        <v>55</v>
      </c>
      <c r="I1424" s="1098" t="str">
        <v/>
      </c>
      <c r="K1424" s="71"/>
      <c r="L1424" s="676" t="s">
        <v>411</v>
      </c>
      <c r="M1424" s="202" t="s">
        <v>417</v>
      </c>
      <c r="W1424" s="71"/>
      <c r="X1424" s="664" t="s">
        <v>411</v>
      </c>
    </row>
    <row r="1425" spans="1:24" ht="11.25" customHeight="1">
      <c r="A1425" s="611">
        <v>39</v>
      </c>
      <c r="B1425" s="127"/>
      <c r="C1425" s="216">
        <f>IF(AND($R$694="",T695=""),70,IF(MAX($Q$694:$Q$701)+5&lt;C1424+5,C1424,10*TRUNC((C1424+10)/10,0)))</f>
        <v>70</v>
      </c>
      <c r="D1425" s="1098" t="str">
        <v/>
      </c>
      <c r="H1425" s="216">
        <f>IF(AND($R$712="",T714=""),75,IF(MAX($Q$712:$Q$717)+5&lt;H1424+10,H1424,H1424+10))</f>
        <v>65</v>
      </c>
      <c r="I1425" s="1098" t="str">
        <v/>
      </c>
      <c r="K1425" s="71"/>
      <c r="L1425" s="676" t="s">
        <v>411</v>
      </c>
      <c r="M1425" s="66"/>
      <c r="Q1425" s="99" t="s">
        <v>475</v>
      </c>
      <c r="W1425" s="71"/>
      <c r="X1425" s="664" t="s">
        <v>411</v>
      </c>
    </row>
    <row r="1426" spans="1:24" ht="11.25" customHeight="1">
      <c r="A1426" s="611">
        <v>40</v>
      </c>
      <c r="B1426" s="127"/>
      <c r="C1426" s="216">
        <f>IF(AND($R$694="",T696=""),80,IF(MAX($Q$694:$Q$701)+5&lt;C1425+5,C1425,10*TRUNC((C1425+10)/10,0)))</f>
        <v>80</v>
      </c>
      <c r="D1426" s="1098" t="str">
        <v/>
      </c>
      <c r="H1426" s="216">
        <f>IF(AND($R$712="",T715=""),85,IF(MAX($Q$712:$Q$717)+5&lt;H1425+10,H1425,H1425+10))</f>
        <v>75</v>
      </c>
      <c r="I1426" s="1098" t="str">
        <v/>
      </c>
      <c r="K1426" s="71"/>
      <c r="L1426" s="676" t="s">
        <v>411</v>
      </c>
      <c r="M1426" s="617"/>
      <c r="N1426" s="50"/>
      <c r="O1426" s="50" t="s">
        <v>264</v>
      </c>
      <c r="P1426" s="50"/>
      <c r="Q1426" s="50"/>
      <c r="R1426" s="50"/>
      <c r="S1426" s="50"/>
      <c r="T1426" s="50"/>
      <c r="U1426" s="49"/>
      <c r="V1426" s="49"/>
      <c r="W1426" s="71"/>
      <c r="X1426" s="664" t="s">
        <v>411</v>
      </c>
    </row>
    <row r="1427" spans="1:24" ht="11.25" customHeight="1">
      <c r="A1427" s="611">
        <v>41</v>
      </c>
      <c r="B1427" s="127"/>
      <c r="C1427" s="216">
        <f>IF(AND($R$694="",T697=""),90,IF(MAX($Q$694:$Q$701)+5&lt;C1426+5,C1426,10*TRUNC((C1426+10)/10,0)))</f>
        <v>90</v>
      </c>
      <c r="D1427" s="1098" t="str">
        <v/>
      </c>
      <c r="H1427" s="216">
        <f>IF(AND($R$712="",T716=""),95,IF(MAX($Q$712:$Q$717)+5&lt;H1426+10,H1426,H1426+10))</f>
        <v>85</v>
      </c>
      <c r="I1427" s="1098" t="str">
        <v/>
      </c>
      <c r="K1427" s="71"/>
      <c r="L1427" s="676" t="s">
        <v>411</v>
      </c>
      <c r="M1427" s="617">
        <v>3</v>
      </c>
      <c r="O1427" s="50" t="s">
        <v>1033</v>
      </c>
      <c r="W1427" s="71"/>
      <c r="X1427" s="664" t="s">
        <v>411</v>
      </c>
    </row>
    <row r="1428" spans="1:24" ht="11.25" customHeight="1">
      <c r="A1428" s="611">
        <v>42</v>
      </c>
      <c r="B1428" s="127"/>
      <c r="C1428" s="216">
        <f>IF(AND($R$694="",T698=""),100,IF(MAX($Q$694:$Q$701)+5&lt;C1427+5,C1427,10*TRUNC((C1427+10)/10,0)))</f>
        <v>100</v>
      </c>
      <c r="D1428" s="1098" t="str">
        <v/>
      </c>
      <c r="H1428" s="216">
        <f>IF(AND($R$712="",T717=""),105,IF(MAX($Q$712:$Q$717)+5&lt;H1427+10,H1427,H1427+10))</f>
        <v>95</v>
      </c>
      <c r="I1428" s="1098" t="str">
        <v/>
      </c>
      <c r="K1428" s="71"/>
      <c r="L1428" s="676" t="s">
        <v>411</v>
      </c>
      <c r="M1428" s="617">
        <v>3</v>
      </c>
      <c r="O1428" s="50" t="s">
        <v>1034</v>
      </c>
      <c r="W1428" s="71"/>
      <c r="X1428" s="664" t="s">
        <v>411</v>
      </c>
    </row>
    <row r="1429" spans="1:24" ht="11.25" customHeight="1">
      <c r="A1429" s="611">
        <v>43</v>
      </c>
      <c r="B1429" s="127"/>
      <c r="C1429" s="216">
        <f>IF(AND($R$694="",T699=""),110,IF(MAX($Q$694:$Q$701)+5&lt;C1428+5,C1428,10*TRUNC((C1428+10)/10,0)))</f>
        <v>110</v>
      </c>
      <c r="D1429" s="1098" t="str">
        <v/>
      </c>
      <c r="H1429" s="216">
        <f>IF(AND($R$712="",T718=""),115,IF(MAX($Q$712:$Q$717)+5&lt;H1428+10,H1428,H1428+10))</f>
        <v>105</v>
      </c>
      <c r="I1429" s="1098" t="str">
        <v/>
      </c>
      <c r="K1429" s="71"/>
      <c r="L1429" s="676" t="s">
        <v>411</v>
      </c>
      <c r="M1429" s="617">
        <v>3</v>
      </c>
      <c r="O1429" s="50" t="s">
        <v>1035</v>
      </c>
      <c r="W1429" s="71"/>
      <c r="X1429" s="664" t="s">
        <v>411</v>
      </c>
    </row>
    <row r="1430" spans="1:24" ht="11.25" customHeight="1" thickBot="1">
      <c r="A1430" s="611">
        <v>44</v>
      </c>
      <c r="B1430" s="127"/>
      <c r="C1430" s="216">
        <f>IF(AND($R$694="",T700=""),120,IF(MAX($Q$694:$Q$701)+5&lt;C1429+5,C1429,10*TRUNC((C1429+10)/10,0)))</f>
        <v>120</v>
      </c>
      <c r="D1430" s="1098" t="str">
        <v/>
      </c>
      <c r="H1430" s="216">
        <f>IF(AND($R$712="",T719=""),125,IF(MAX($Q$712:$Q$717)+5&lt;H1429+10,H1429,H1429+10))</f>
        <v>115</v>
      </c>
      <c r="I1430" s="1098" t="str">
        <v/>
      </c>
      <c r="K1430" s="71"/>
      <c r="L1430" s="676" t="s">
        <v>411</v>
      </c>
      <c r="M1430" s="617"/>
      <c r="N1430" s="50"/>
      <c r="O1430" s="50" t="s">
        <v>479</v>
      </c>
      <c r="P1430" s="49"/>
      <c r="Q1430" s="49"/>
      <c r="R1430" s="49"/>
      <c r="S1430" s="49"/>
      <c r="T1430" s="49"/>
      <c r="U1430" s="49"/>
      <c r="V1430" s="731" t="s">
        <v>309</v>
      </c>
      <c r="W1430" s="71"/>
      <c r="X1430" s="664" t="s">
        <v>411</v>
      </c>
    </row>
    <row r="1431" spans="1:24" ht="11.25" customHeight="1">
      <c r="A1431" s="611">
        <v>45</v>
      </c>
      <c r="B1431" s="127"/>
      <c r="C1431" s="216">
        <f>IF(AND($R$694="",T701=""),130,IF(MAX($Q$694:$Q$701)+5&lt;C1430+5,C1430,10*TRUNC((C1430+10)/10,0)))</f>
        <v>130</v>
      </c>
      <c r="D1431" s="1098" t="str">
        <v/>
      </c>
      <c r="H1431" s="216">
        <f>IF(AND($R$712="",T720=""),135,IF(MAX($Q$712:$Q$717)+5&lt;H1430+10,H1430,H1430+10))</f>
        <v>125</v>
      </c>
      <c r="I1431" s="1098" t="str">
        <v/>
      </c>
      <c r="K1431" s="71"/>
      <c r="L1431" s="676" t="s">
        <v>411</v>
      </c>
      <c r="M1431" s="617"/>
      <c r="O1431" s="50" t="s">
        <v>265</v>
      </c>
      <c r="V1431" s="730"/>
      <c r="W1431" s="70" t="str">
        <f>IF(Q52=1,"","Half")</f>
        <v>Half</v>
      </c>
      <c r="X1431" s="664" t="s">
        <v>411</v>
      </c>
    </row>
    <row r="1432" spans="1:24" ht="11.25" customHeight="1">
      <c r="A1432" s="611">
        <v>46</v>
      </c>
      <c r="B1432" s="127"/>
      <c r="C1432" s="216">
        <f>IF(AND($R$694="",T702=""),140,IF(MAX($Q$694:$Q$701)+5&lt;C1431+5,C1431,10*TRUNC((C1431+10)/10,0)))</f>
        <v>140</v>
      </c>
      <c r="D1432" s="1098" t="str">
        <v/>
      </c>
      <c r="H1432" s="216">
        <f>IF(AND($R$712="",T721=""),145,IF(MAX($Q$712:$Q$717)+5&lt;H1431+10,H1431,H1431+10))</f>
        <v>135</v>
      </c>
      <c r="I1432" s="1098" t="str">
        <v/>
      </c>
      <c r="K1432" s="71"/>
      <c r="L1432" s="676" t="s">
        <v>411</v>
      </c>
      <c r="M1432" s="617"/>
      <c r="O1432" s="50" t="str">
        <f>IF(M53=1,"","Lead apron available")</f>
        <v>Lead apron available</v>
      </c>
      <c r="Q1432" s="54" t="str">
        <f>IF(M53=1,"","Number:")</f>
        <v>Number:</v>
      </c>
      <c r="R1432" s="821">
        <f>IF(V1431&lt;&gt;"",V1431,AB486)</f>
        <v>0</v>
      </c>
      <c r="S1432" s="50" t="str">
        <f>IF(M53=1,"","Half")</f>
        <v>Half</v>
      </c>
      <c r="T1432" s="821">
        <f>IF(V1432&lt;&gt;"",V1432,AB487)</f>
        <v>0</v>
      </c>
      <c r="U1432" s="50" t="str">
        <f>IF(M53=1,"","Full     ")</f>
        <v xml:space="preserve">Full     </v>
      </c>
      <c r="V1432" s="705"/>
      <c r="W1432" s="70" t="str">
        <f>IF(O53=1,"","Full     ")</f>
        <v xml:space="preserve">Full     </v>
      </c>
      <c r="X1432" s="664" t="s">
        <v>411</v>
      </c>
    </row>
    <row r="1433" spans="1:24" ht="11.25" customHeight="1">
      <c r="A1433" s="611">
        <v>47</v>
      </c>
      <c r="B1433" s="127"/>
      <c r="I1433" s="306"/>
      <c r="K1433" s="71"/>
      <c r="L1433" s="676" t="s">
        <v>411</v>
      </c>
      <c r="M1433" s="617"/>
      <c r="O1433" s="50" t="str">
        <f>IF(M53=1,"","Lead gloves available.")</f>
        <v>Lead gloves available.</v>
      </c>
      <c r="Q1433" s="54" t="str">
        <f>IF(M53=1,"","Number:")</f>
        <v>Number:</v>
      </c>
      <c r="R1433" s="821">
        <f>IF(V1433&lt;&gt;"",V1433,AB488)</f>
        <v>0</v>
      </c>
      <c r="S1433" s="50" t="str">
        <f>IF(M53=1,"","(Left + Right)")</f>
        <v>(Left + Right)</v>
      </c>
      <c r="U1433" s="50"/>
      <c r="V1433" s="705"/>
      <c r="W1433" s="70" t="str">
        <f>IF(Q53=1,"","(Left + Right)")</f>
        <v>(Left + Right)</v>
      </c>
      <c r="X1433" s="664" t="s">
        <v>411</v>
      </c>
    </row>
    <row r="1434" spans="1:24" ht="11.25" customHeight="1">
      <c r="A1434" s="611">
        <v>48</v>
      </c>
      <c r="B1434" s="127"/>
      <c r="I1434" s="49"/>
      <c r="K1434" s="71"/>
      <c r="L1434" s="676" t="s">
        <v>411</v>
      </c>
      <c r="M1434" s="617"/>
      <c r="N1434" s="49"/>
      <c r="O1434" s="50" t="str">
        <f>IF(M53=1,"","A properly designed and installed apron rack is present.")</f>
        <v>A properly designed and installed apron rack is present.</v>
      </c>
      <c r="P1434" s="49"/>
      <c r="Q1434" s="49"/>
      <c r="R1434" s="49"/>
      <c r="S1434" s="49"/>
      <c r="T1434" s="49"/>
      <c r="U1434" s="49"/>
      <c r="V1434" s="49"/>
      <c r="W1434" s="69"/>
      <c r="X1434" s="664" t="s">
        <v>411</v>
      </c>
    </row>
    <row r="1435" spans="1:24" ht="11.25" customHeight="1">
      <c r="A1435" s="611">
        <v>49</v>
      </c>
      <c r="B1435" s="127"/>
      <c r="I1435" s="49"/>
      <c r="K1435" s="71"/>
      <c r="L1435" s="676" t="s">
        <v>411</v>
      </c>
      <c r="M1435" s="617"/>
      <c r="O1435" s="50" t="str">
        <f>IF(M53=1,"","Documentation of annual protective apparel integrity inspection is available.")</f>
        <v>Documentation of annual protective apparel integrity inspection is available.</v>
      </c>
      <c r="W1435" s="71"/>
      <c r="X1435" s="664" t="s">
        <v>411</v>
      </c>
    </row>
    <row r="1436" spans="1:24" ht="11.25" customHeight="1">
      <c r="A1436" s="611">
        <v>50</v>
      </c>
      <c r="B1436" s="127"/>
      <c r="I1436" s="49"/>
      <c r="K1436" s="71"/>
      <c r="L1436" s="676" t="s">
        <v>411</v>
      </c>
      <c r="M1436" s="617"/>
      <c r="O1436" s="50" t="str">
        <f>IF(M53=1,"","Patient restraint devices available.")</f>
        <v>Patient restraint devices available.</v>
      </c>
      <c r="Q1436" s="49"/>
      <c r="R1436" s="54"/>
      <c r="S1436" s="49"/>
      <c r="V1436" s="49"/>
      <c r="W1436" s="69"/>
      <c r="X1436" s="664" t="s">
        <v>411</v>
      </c>
    </row>
    <row r="1437" spans="1:24" ht="11.25" customHeight="1">
      <c r="A1437" s="611">
        <v>51</v>
      </c>
      <c r="B1437" s="127"/>
      <c r="I1437" s="49"/>
      <c r="K1437" s="71"/>
      <c r="L1437" s="676" t="s">
        <v>411</v>
      </c>
      <c r="M1437" s="617"/>
      <c r="N1437" s="50"/>
      <c r="O1437" s="50" t="str">
        <f>IF(M53=1,"","Gonadal shielding is present and functional.")</f>
        <v>Gonadal shielding is present and functional.</v>
      </c>
      <c r="P1437" s="49"/>
      <c r="Q1437" s="49"/>
      <c r="R1437" s="49"/>
      <c r="S1437" s="49"/>
      <c r="T1437" s="49"/>
      <c r="U1437" s="49"/>
      <c r="V1437" s="49"/>
      <c r="W1437" s="69"/>
      <c r="X1437" s="664" t="s">
        <v>411</v>
      </c>
    </row>
    <row r="1438" spans="1:24" ht="11.25" customHeight="1">
      <c r="A1438" s="611">
        <v>52</v>
      </c>
      <c r="B1438" s="127"/>
      <c r="I1438" s="49"/>
      <c r="K1438" s="71"/>
      <c r="L1438" s="676" t="s">
        <v>411</v>
      </c>
      <c r="M1438" s="617"/>
      <c r="N1438" s="50"/>
      <c r="O1438" s="50" t="s">
        <v>491</v>
      </c>
      <c r="P1438" s="49"/>
      <c r="Q1438" s="49"/>
      <c r="R1438" s="49"/>
      <c r="S1438" s="49"/>
      <c r="T1438" s="49"/>
      <c r="U1438" s="49"/>
      <c r="V1438" s="49"/>
      <c r="W1438" s="69"/>
      <c r="X1438" s="664" t="s">
        <v>411</v>
      </c>
    </row>
    <row r="1439" spans="1:24" ht="11.25" customHeight="1">
      <c r="A1439" s="611">
        <v>53</v>
      </c>
      <c r="B1439" s="127"/>
      <c r="I1439" s="49"/>
      <c r="K1439" s="71"/>
      <c r="L1439" s="676" t="s">
        <v>411</v>
      </c>
      <c r="M1439" s="210"/>
      <c r="W1439" s="71"/>
      <c r="X1439" s="664" t="s">
        <v>411</v>
      </c>
    </row>
    <row r="1440" spans="1:24" ht="11.25" customHeight="1">
      <c r="A1440" s="611">
        <v>54</v>
      </c>
      <c r="B1440" s="127"/>
      <c r="I1440" s="49"/>
      <c r="K1440" s="71"/>
      <c r="L1440" s="676" t="s">
        <v>411</v>
      </c>
      <c r="M1440" s="210"/>
      <c r="Q1440" s="99" t="s">
        <v>511</v>
      </c>
      <c r="T1440" s="49"/>
      <c r="U1440" s="49"/>
      <c r="V1440" s="49"/>
      <c r="W1440" s="69"/>
      <c r="X1440" s="664" t="s">
        <v>411</v>
      </c>
    </row>
    <row r="1441" spans="1:24" ht="11.25" customHeight="1">
      <c r="A1441" s="611">
        <v>55</v>
      </c>
      <c r="B1441" s="127"/>
      <c r="I1441" s="49"/>
      <c r="K1441" s="71"/>
      <c r="L1441" s="676" t="s">
        <v>411</v>
      </c>
      <c r="M1441" s="617"/>
      <c r="N1441" s="50"/>
      <c r="O1441" s="50" t="s">
        <v>513</v>
      </c>
      <c r="P1441" s="49"/>
      <c r="Q1441" s="49"/>
      <c r="R1441" s="49"/>
      <c r="S1441" s="49"/>
      <c r="T1441" s="49"/>
      <c r="U1441" s="49"/>
      <c r="V1441" s="49"/>
      <c r="W1441" s="69"/>
      <c r="X1441" s="664" t="s">
        <v>411</v>
      </c>
    </row>
    <row r="1442" spans="1:24" ht="11.25" customHeight="1">
      <c r="A1442" s="611">
        <v>56</v>
      </c>
      <c r="B1442" s="127"/>
      <c r="I1442" s="49"/>
      <c r="K1442" s="71"/>
      <c r="L1442" s="676" t="s">
        <v>411</v>
      </c>
      <c r="M1442" s="617"/>
      <c r="N1442" s="50"/>
      <c r="O1442" s="50" t="s">
        <v>515</v>
      </c>
      <c r="P1442" s="49"/>
      <c r="Q1442" s="49"/>
      <c r="R1442" s="49"/>
      <c r="S1442" s="49"/>
      <c r="T1442" s="49"/>
      <c r="U1442" s="49"/>
      <c r="V1442" s="49"/>
      <c r="W1442" s="69"/>
      <c r="X1442" s="664" t="s">
        <v>411</v>
      </c>
    </row>
    <row r="1443" spans="1:24" ht="11.25" customHeight="1">
      <c r="A1443" s="611">
        <v>57</v>
      </c>
      <c r="B1443" s="127"/>
      <c r="I1443" s="49"/>
      <c r="K1443" s="71"/>
      <c r="L1443" s="676" t="s">
        <v>411</v>
      </c>
      <c r="M1443" s="617"/>
      <c r="N1443" s="50"/>
      <c r="O1443" s="50" t="s">
        <v>516</v>
      </c>
      <c r="P1443" s="49"/>
      <c r="Q1443" s="49"/>
      <c r="R1443" s="49"/>
      <c r="S1443" s="49"/>
      <c r="T1443" s="50"/>
      <c r="U1443" s="50"/>
      <c r="V1443" s="50"/>
      <c r="W1443" s="70"/>
      <c r="X1443" s="664" t="s">
        <v>411</v>
      </c>
    </row>
    <row r="1444" spans="1:24" ht="11.25" customHeight="1">
      <c r="A1444" s="611">
        <v>58</v>
      </c>
      <c r="B1444" s="127"/>
      <c r="C1444" s="49"/>
      <c r="D1444" s="49"/>
      <c r="G1444" s="49"/>
      <c r="H1444" s="49"/>
      <c r="I1444" s="49"/>
      <c r="K1444" s="71"/>
      <c r="L1444" s="676" t="s">
        <v>411</v>
      </c>
      <c r="M1444" s="617"/>
      <c r="N1444" s="50"/>
      <c r="O1444" s="50" t="s">
        <v>518</v>
      </c>
      <c r="P1444" s="50"/>
      <c r="Q1444" s="50"/>
      <c r="R1444" s="50"/>
      <c r="S1444" s="50"/>
      <c r="T1444" s="50"/>
      <c r="U1444" s="50"/>
      <c r="V1444" s="50"/>
      <c r="W1444" s="70"/>
      <c r="X1444" s="664" t="s">
        <v>411</v>
      </c>
    </row>
    <row r="1445" spans="1:24" ht="11.25" customHeight="1">
      <c r="A1445" s="611">
        <v>59</v>
      </c>
      <c r="B1445" s="127"/>
      <c r="K1445" s="71"/>
      <c r="L1445" s="676" t="s">
        <v>411</v>
      </c>
      <c r="M1445" s="617"/>
      <c r="N1445" s="50"/>
      <c r="O1445" s="50" t="s">
        <v>520</v>
      </c>
      <c r="P1445" s="50"/>
      <c r="Q1445" s="50"/>
      <c r="R1445" s="50"/>
      <c r="S1445" s="50"/>
      <c r="T1445" s="50"/>
      <c r="U1445" s="50"/>
      <c r="V1445" s="50"/>
      <c r="W1445" s="70"/>
      <c r="X1445" s="664" t="s">
        <v>411</v>
      </c>
    </row>
    <row r="1446" spans="1:24" ht="11.25" customHeight="1">
      <c r="A1446" s="611">
        <v>60</v>
      </c>
      <c r="B1446" s="127"/>
      <c r="K1446" s="71"/>
      <c r="L1446" s="676" t="s">
        <v>411</v>
      </c>
      <c r="M1446" s="617"/>
      <c r="N1446" s="50"/>
      <c r="O1446" s="50" t="s">
        <v>521</v>
      </c>
      <c r="P1446" s="50"/>
      <c r="Q1446" s="50"/>
      <c r="R1446" s="50"/>
      <c r="S1446" s="50"/>
      <c r="T1446" s="50"/>
      <c r="U1446" s="50"/>
      <c r="V1446" s="50"/>
      <c r="W1446" s="70"/>
      <c r="X1446" s="664" t="s">
        <v>411</v>
      </c>
    </row>
    <row r="1447" spans="1:24" ht="11.25" customHeight="1">
      <c r="A1447" s="611">
        <v>61</v>
      </c>
      <c r="B1447" s="127"/>
      <c r="K1447" s="71"/>
      <c r="L1447" s="676" t="s">
        <v>411</v>
      </c>
      <c r="M1447" s="617"/>
      <c r="N1447" s="50"/>
      <c r="O1447" s="50" t="s">
        <v>523</v>
      </c>
      <c r="P1447" s="50"/>
      <c r="Q1447" s="50"/>
      <c r="R1447" s="50"/>
      <c r="S1447" s="50"/>
      <c r="T1447" s="50"/>
      <c r="U1447" s="50"/>
      <c r="V1447" s="50"/>
      <c r="W1447" s="70"/>
      <c r="X1447" s="664" t="s">
        <v>411</v>
      </c>
    </row>
    <row r="1448" spans="1:24" ht="11.25" customHeight="1">
      <c r="A1448" s="611">
        <v>62</v>
      </c>
      <c r="B1448" s="127"/>
      <c r="K1448" s="71"/>
      <c r="L1448" s="676" t="s">
        <v>411</v>
      </c>
      <c r="M1448" s="617"/>
      <c r="N1448" s="50"/>
      <c r="O1448" s="50" t="s">
        <v>524</v>
      </c>
      <c r="P1448" s="50"/>
      <c r="Q1448" s="50"/>
      <c r="R1448" s="50"/>
      <c r="S1448" s="50"/>
      <c r="T1448" s="49"/>
      <c r="U1448" s="49"/>
      <c r="V1448" s="49"/>
      <c r="W1448" s="69"/>
      <c r="X1448" s="664" t="s">
        <v>411</v>
      </c>
    </row>
    <row r="1449" spans="1:24" ht="11.25" customHeight="1">
      <c r="A1449" s="611">
        <v>63</v>
      </c>
      <c r="B1449" s="127"/>
      <c r="K1449" s="71"/>
      <c r="L1449" s="676" t="s">
        <v>411</v>
      </c>
      <c r="M1449" s="617"/>
      <c r="N1449" s="50"/>
      <c r="O1449" s="50" t="s">
        <v>525</v>
      </c>
      <c r="P1449" s="49"/>
      <c r="Q1449" s="49"/>
      <c r="R1449" s="49"/>
      <c r="S1449" s="49"/>
      <c r="W1449" s="71"/>
      <c r="X1449" s="664" t="s">
        <v>411</v>
      </c>
    </row>
    <row r="1450" spans="1:24" ht="11.25" customHeight="1" thickBot="1">
      <c r="A1450" s="611">
        <v>64</v>
      </c>
      <c r="B1450" s="34"/>
      <c r="C1450" s="289"/>
      <c r="D1450" s="289"/>
      <c r="E1450" s="289"/>
      <c r="F1450" s="289"/>
      <c r="G1450" s="289"/>
      <c r="H1450" s="289"/>
      <c r="I1450" s="289"/>
      <c r="J1450" s="289"/>
      <c r="K1450" s="86"/>
      <c r="L1450" s="676" t="s">
        <v>411</v>
      </c>
      <c r="M1450" s="1159"/>
      <c r="N1450" s="289"/>
      <c r="O1450" s="145" t="str">
        <f>IF(OR(M52="",M52=1),"Unit installed as shown on shielding plan","")</f>
        <v/>
      </c>
      <c r="P1450" s="289"/>
      <c r="Q1450" s="289"/>
      <c r="R1450" s="289"/>
      <c r="S1450" s="289"/>
      <c r="T1450" s="289"/>
      <c r="U1450" s="289"/>
      <c r="V1450" s="289"/>
      <c r="W1450" s="290"/>
      <c r="X1450" s="664" t="s">
        <v>411</v>
      </c>
    </row>
    <row r="1451" spans="1:24" ht="11.25" customHeight="1" thickTop="1">
      <c r="A1451" s="611">
        <v>65</v>
      </c>
      <c r="B1451" s="52" t="str">
        <f t="array" ref="B1451:C1452">$B$65:$C$66</f>
        <v>Date:</v>
      </c>
      <c r="C1451" s="1133" t="str">
        <v/>
      </c>
      <c r="E1451" s="51"/>
      <c r="F1451" s="51"/>
      <c r="G1451" s="51"/>
      <c r="H1451" s="51"/>
      <c r="I1451" s="52" t="str">
        <f t="array" ref="I1451:J1452">$I$65:$J$66</f>
        <v>Inspector:</v>
      </c>
      <c r="J1451" s="421" t="str">
        <v>Eugene Mah</v>
      </c>
      <c r="L1451" s="676" t="s">
        <v>411</v>
      </c>
      <c r="M1451" s="1"/>
      <c r="N1451" s="1"/>
      <c r="O1451" s="1"/>
      <c r="P1451" s="1"/>
      <c r="Q1451" s="1"/>
      <c r="R1451" s="1"/>
      <c r="S1451" s="1"/>
      <c r="T1451" s="1"/>
      <c r="U1451" s="1"/>
      <c r="V1451" s="1"/>
      <c r="W1451" s="1"/>
      <c r="X1451" s="664" t="s">
        <v>411</v>
      </c>
    </row>
    <row r="1452" spans="1:24" ht="11.25" customHeight="1">
      <c r="A1452" s="611">
        <v>66</v>
      </c>
      <c r="B1452" s="52" t="str">
        <v>Room Number:</v>
      </c>
      <c r="C1452" s="373" t="str">
        <v/>
      </c>
      <c r="E1452" s="51"/>
      <c r="F1452" s="51"/>
      <c r="G1452" s="51"/>
      <c r="H1452" s="51"/>
      <c r="I1452" s="52" t="str">
        <v>Survey ID:</v>
      </c>
      <c r="J1452" s="1045" t="str">
        <v/>
      </c>
      <c r="L1452" s="676" t="s">
        <v>411</v>
      </c>
      <c r="M1452" s="1"/>
      <c r="N1452" s="1"/>
      <c r="O1452" s="1"/>
      <c r="P1452" s="1"/>
      <c r="Q1452" s="1"/>
      <c r="R1452" s="1"/>
      <c r="S1452" s="1"/>
      <c r="T1452" s="1"/>
      <c r="U1452" s="1"/>
      <c r="V1452" s="1"/>
      <c r="W1452" s="1"/>
      <c r="X1452" s="664" t="s">
        <v>411</v>
      </c>
    </row>
    <row r="1453" spans="1:24" ht="11.25" customHeight="1">
      <c r="A1453" s="611">
        <v>1</v>
      </c>
      <c r="K1453" s="131" t="str">
        <f>$F$2</f>
        <v>Medical University of South Carolina</v>
      </c>
      <c r="L1453" s="676" t="s">
        <v>411</v>
      </c>
      <c r="X1453" s="664" t="s">
        <v>411</v>
      </c>
    </row>
    <row r="1454" spans="1:24" ht="11.25" customHeight="1">
      <c r="A1454" s="611">
        <v>2</v>
      </c>
      <c r="K1454" s="132" t="str">
        <f>$F$5</f>
        <v>Radiographic System Compliance Inspection</v>
      </c>
      <c r="L1454" s="676" t="s">
        <v>411</v>
      </c>
      <c r="X1454" s="664" t="s">
        <v>411</v>
      </c>
    </row>
    <row r="1455" spans="1:24" ht="11.25" customHeight="1">
      <c r="A1455" s="611">
        <v>3</v>
      </c>
      <c r="B1455" s="49"/>
      <c r="C1455" s="49"/>
      <c r="D1455" s="49"/>
      <c r="E1455" s="49"/>
      <c r="F1455" s="49"/>
      <c r="G1455" s="49"/>
      <c r="H1455" s="49"/>
      <c r="I1455" s="49"/>
      <c r="J1455" s="49"/>
      <c r="K1455" s="49"/>
      <c r="L1455" s="676" t="s">
        <v>411</v>
      </c>
      <c r="X1455" s="664" t="s">
        <v>411</v>
      </c>
    </row>
    <row r="1456" spans="1:24" ht="11.25" customHeight="1">
      <c r="A1456" s="611">
        <v>4</v>
      </c>
      <c r="B1456" s="49"/>
      <c r="C1456" s="49"/>
      <c r="D1456" s="49"/>
      <c r="E1456" s="49"/>
      <c r="F1456" s="82" t="str">
        <f>$F$464</f>
        <v>Measurement Data</v>
      </c>
      <c r="G1456" s="49"/>
      <c r="H1456" s="49"/>
      <c r="I1456" s="49"/>
      <c r="J1456" s="49"/>
      <c r="K1456" s="49"/>
      <c r="L1456" s="676" t="s">
        <v>411</v>
      </c>
      <c r="X1456" s="664" t="s">
        <v>411</v>
      </c>
    </row>
    <row r="1457" spans="1:33" ht="11.25" customHeight="1" thickBot="1">
      <c r="A1457" s="611">
        <v>5</v>
      </c>
      <c r="L1457" s="676" t="s">
        <v>411</v>
      </c>
      <c r="X1457" s="664" t="s">
        <v>411</v>
      </c>
    </row>
    <row r="1458" spans="1:33" ht="11.25" customHeight="1" thickTop="1">
      <c r="A1458" s="611">
        <v>6</v>
      </c>
      <c r="B1458" s="79"/>
      <c r="C1458" s="62"/>
      <c r="D1458" s="62"/>
      <c r="E1458" s="62"/>
      <c r="F1458" s="62"/>
      <c r="G1458" s="62"/>
      <c r="H1458" s="62"/>
      <c r="I1458" s="62"/>
      <c r="J1458" s="62"/>
      <c r="K1458" s="80"/>
      <c r="L1458" s="676" t="s">
        <v>411</v>
      </c>
      <c r="X1458" s="664" t="s">
        <v>411</v>
      </c>
    </row>
    <row r="1459" spans="1:33" ht="11.25" customHeight="1">
      <c r="A1459" s="611">
        <v>7</v>
      </c>
      <c r="B1459" s="127"/>
      <c r="F1459" s="1" t="str">
        <f t="array" ref="F1459:J1499">IF($AX$686:$BB$729="","",$AX$686:$BB$729)</f>
        <v/>
      </c>
      <c r="G1459" s="1" t="str">
        <v/>
      </c>
      <c r="H1459" s="1" t="str">
        <v/>
      </c>
      <c r="I1459" s="457" t="str">
        <v/>
      </c>
      <c r="J1459" s="1" t="str">
        <v/>
      </c>
      <c r="K1459" s="39"/>
      <c r="L1459" s="676" t="s">
        <v>411</v>
      </c>
      <c r="X1459" s="664" t="s">
        <v>411</v>
      </c>
    </row>
    <row r="1460" spans="1:33" ht="11.25" customHeight="1" thickBot="1">
      <c r="A1460" s="611">
        <v>8</v>
      </c>
      <c r="B1460" s="492">
        <f t="array" ref="B1460:B1499">$AA$687:$AA$729</f>
        <v>0</v>
      </c>
      <c r="C1460" s="487">
        <f>IF(MAX($AD$688:$AD$729)=0,$AB$687,$AD$687)</f>
        <v>0</v>
      </c>
      <c r="D1460" s="487" t="str">
        <f t="array" ref="D1460:D1499">IF(MAX($AC$688:$AC$729)=0,"",$AC$687:$AC$729)</f>
        <v/>
      </c>
      <c r="E1460" s="487">
        <f t="array" ref="E1460:E1499">$AO$687:$AO$729</f>
        <v>0</v>
      </c>
      <c r="F1460" s="487" t="str">
        <v/>
      </c>
      <c r="G1460" s="487" t="str">
        <v/>
      </c>
      <c r="H1460" s="487" t="str">
        <v/>
      </c>
      <c r="I1460" s="487" t="str">
        <v/>
      </c>
      <c r="J1460" s="487" t="str">
        <v/>
      </c>
      <c r="K1460" s="518" t="str">
        <f t="array" ref="K1460:K1499">IF(AW687:AW729="","",AW687:AW729)</f>
        <v/>
      </c>
      <c r="L1460" s="676" t="s">
        <v>411</v>
      </c>
      <c r="X1460" s="664" t="s">
        <v>411</v>
      </c>
    </row>
    <row r="1461" spans="1:33" ht="11.25" customHeight="1">
      <c r="A1461" s="611">
        <v>9</v>
      </c>
      <c r="B1461" s="494">
        <v>0</v>
      </c>
      <c r="C1461" s="495">
        <f t="array" ref="C1461:C1499">IF(MAX($AD$688:$AD$729)=0,$AB$688:$AB$729,$AD$688:$AD$729)</f>
        <v>0</v>
      </c>
      <c r="D1461" s="496" t="str">
        <v/>
      </c>
      <c r="E1461" s="457">
        <v>0</v>
      </c>
      <c r="F1461" s="462" t="str">
        <v/>
      </c>
      <c r="G1461" s="462" t="str">
        <v/>
      </c>
      <c r="H1461" s="462" t="str">
        <v/>
      </c>
      <c r="I1461" s="488" t="str">
        <v/>
      </c>
      <c r="J1461" s="489" t="str">
        <v/>
      </c>
      <c r="K1461" s="39" t="str">
        <v/>
      </c>
      <c r="L1461" s="676" t="s">
        <v>411</v>
      </c>
      <c r="X1461" s="664" t="s">
        <v>411</v>
      </c>
    </row>
    <row r="1462" spans="1:33" ht="11.25" customHeight="1">
      <c r="A1462" s="611">
        <v>10</v>
      </c>
      <c r="B1462" s="494">
        <v>0</v>
      </c>
      <c r="C1462" s="495">
        <v>0</v>
      </c>
      <c r="D1462" s="496" t="str">
        <v/>
      </c>
      <c r="E1462" s="457">
        <v>0</v>
      </c>
      <c r="F1462" s="462" t="str">
        <v/>
      </c>
      <c r="G1462" s="462" t="str">
        <v/>
      </c>
      <c r="H1462" s="462" t="str">
        <v/>
      </c>
      <c r="I1462" s="488" t="str">
        <v/>
      </c>
      <c r="J1462" s="489" t="str">
        <v/>
      </c>
      <c r="K1462" s="39" t="str">
        <v/>
      </c>
      <c r="L1462" s="676" t="s">
        <v>411</v>
      </c>
      <c r="X1462" s="664" t="s">
        <v>411</v>
      </c>
    </row>
    <row r="1463" spans="1:33" ht="11.25" customHeight="1">
      <c r="A1463" s="611">
        <v>11</v>
      </c>
      <c r="B1463" s="494">
        <v>0</v>
      </c>
      <c r="C1463" s="495">
        <v>0</v>
      </c>
      <c r="D1463" s="496" t="str">
        <v/>
      </c>
      <c r="E1463" s="457">
        <v>0</v>
      </c>
      <c r="F1463" s="462" t="str">
        <v/>
      </c>
      <c r="G1463" s="462" t="str">
        <v/>
      </c>
      <c r="H1463" s="462" t="str">
        <v/>
      </c>
      <c r="I1463" s="488" t="str">
        <v/>
      </c>
      <c r="J1463" s="489" t="str">
        <v/>
      </c>
      <c r="K1463" s="39" t="str">
        <v/>
      </c>
      <c r="L1463" s="676" t="s">
        <v>411</v>
      </c>
      <c r="X1463" s="664" t="s">
        <v>411</v>
      </c>
    </row>
    <row r="1464" spans="1:33" ht="11.25" customHeight="1">
      <c r="A1464" s="611">
        <v>12</v>
      </c>
      <c r="B1464" s="494">
        <v>0</v>
      </c>
      <c r="C1464" s="495">
        <v>0</v>
      </c>
      <c r="D1464" s="496" t="str">
        <v/>
      </c>
      <c r="E1464" s="457">
        <v>0</v>
      </c>
      <c r="F1464" s="462" t="str">
        <v/>
      </c>
      <c r="G1464" s="462" t="str">
        <v/>
      </c>
      <c r="H1464" s="462" t="str">
        <v/>
      </c>
      <c r="I1464" s="488" t="str">
        <v/>
      </c>
      <c r="J1464" s="489" t="str">
        <v/>
      </c>
      <c r="K1464" s="39" t="str">
        <v/>
      </c>
      <c r="L1464" s="676" t="s">
        <v>411</v>
      </c>
      <c r="X1464" s="664" t="s">
        <v>411</v>
      </c>
      <c r="AG1464" s="1093"/>
    </row>
    <row r="1465" spans="1:33" ht="11.25" customHeight="1">
      <c r="A1465" s="611">
        <v>13</v>
      </c>
      <c r="B1465" s="494">
        <v>0</v>
      </c>
      <c r="C1465" s="495">
        <v>0</v>
      </c>
      <c r="D1465" s="496" t="str">
        <v/>
      </c>
      <c r="E1465" s="457">
        <v>0</v>
      </c>
      <c r="F1465" s="462" t="str">
        <v/>
      </c>
      <c r="G1465" s="462" t="str">
        <v/>
      </c>
      <c r="H1465" s="462" t="str">
        <v/>
      </c>
      <c r="I1465" s="488" t="str">
        <v/>
      </c>
      <c r="J1465" s="489" t="str">
        <v/>
      </c>
      <c r="K1465" s="39" t="str">
        <v/>
      </c>
      <c r="L1465" s="676" t="s">
        <v>411</v>
      </c>
      <c r="X1465" s="664" t="s">
        <v>411</v>
      </c>
      <c r="AG1465" s="1093"/>
    </row>
    <row r="1466" spans="1:33" ht="11.25" customHeight="1">
      <c r="A1466" s="611">
        <v>14</v>
      </c>
      <c r="B1466" s="494">
        <v>0</v>
      </c>
      <c r="C1466" s="495">
        <v>0</v>
      </c>
      <c r="D1466" s="496" t="str">
        <v/>
      </c>
      <c r="E1466" s="457">
        <v>0</v>
      </c>
      <c r="F1466" s="462" t="str">
        <v/>
      </c>
      <c r="G1466" s="462" t="str">
        <v/>
      </c>
      <c r="H1466" s="462" t="str">
        <v/>
      </c>
      <c r="I1466" s="488" t="str">
        <v/>
      </c>
      <c r="J1466" s="489" t="str">
        <v/>
      </c>
      <c r="K1466" s="39" t="str">
        <v/>
      </c>
      <c r="L1466" s="676" t="s">
        <v>411</v>
      </c>
      <c r="X1466" s="664" t="s">
        <v>411</v>
      </c>
      <c r="AG1466" s="1093"/>
    </row>
    <row r="1467" spans="1:33" ht="11.25" customHeight="1">
      <c r="A1467" s="611">
        <v>15</v>
      </c>
      <c r="B1467" s="494">
        <v>0</v>
      </c>
      <c r="C1467" s="495">
        <v>0</v>
      </c>
      <c r="D1467" s="496" t="str">
        <v/>
      </c>
      <c r="E1467" s="457">
        <v>0</v>
      </c>
      <c r="F1467" s="462" t="str">
        <v/>
      </c>
      <c r="G1467" s="462" t="str">
        <v/>
      </c>
      <c r="H1467" s="462" t="str">
        <v/>
      </c>
      <c r="I1467" s="488" t="str">
        <v/>
      </c>
      <c r="J1467" s="489" t="str">
        <v/>
      </c>
      <c r="K1467" s="39" t="str">
        <v/>
      </c>
      <c r="L1467" s="676" t="s">
        <v>411</v>
      </c>
      <c r="X1467" s="664" t="s">
        <v>411</v>
      </c>
      <c r="AG1467" s="1093"/>
    </row>
    <row r="1468" spans="1:33" ht="11.25" customHeight="1">
      <c r="A1468" s="611">
        <v>16</v>
      </c>
      <c r="B1468" s="494">
        <v>0</v>
      </c>
      <c r="C1468" s="495">
        <v>0</v>
      </c>
      <c r="D1468" s="496" t="str">
        <v/>
      </c>
      <c r="E1468" s="457">
        <v>0</v>
      </c>
      <c r="F1468" s="462" t="str">
        <v/>
      </c>
      <c r="G1468" s="462" t="str">
        <v/>
      </c>
      <c r="H1468" s="462" t="str">
        <v/>
      </c>
      <c r="I1468" s="488" t="str">
        <v/>
      </c>
      <c r="J1468" s="489" t="str">
        <v/>
      </c>
      <c r="K1468" s="39" t="str">
        <v/>
      </c>
      <c r="L1468" s="676" t="s">
        <v>411</v>
      </c>
      <c r="X1468" s="664" t="s">
        <v>411</v>
      </c>
      <c r="AG1468" s="1093"/>
    </row>
    <row r="1469" spans="1:33" ht="11.25" customHeight="1">
      <c r="A1469" s="611">
        <v>17</v>
      </c>
      <c r="B1469" s="494">
        <v>0</v>
      </c>
      <c r="C1469" s="495">
        <v>0</v>
      </c>
      <c r="D1469" s="496" t="str">
        <v/>
      </c>
      <c r="E1469" s="457">
        <v>0</v>
      </c>
      <c r="F1469" s="462" t="str">
        <v/>
      </c>
      <c r="G1469" s="462" t="str">
        <v/>
      </c>
      <c r="H1469" s="462" t="str">
        <v/>
      </c>
      <c r="I1469" s="488" t="str">
        <v/>
      </c>
      <c r="J1469" s="489" t="str">
        <v/>
      </c>
      <c r="K1469" s="39" t="str">
        <v/>
      </c>
      <c r="L1469" s="676" t="s">
        <v>411</v>
      </c>
      <c r="X1469" s="664" t="s">
        <v>411</v>
      </c>
      <c r="AG1469" s="1093"/>
    </row>
    <row r="1470" spans="1:33" ht="11.25" customHeight="1">
      <c r="A1470" s="611">
        <v>18</v>
      </c>
      <c r="B1470" s="494">
        <v>0</v>
      </c>
      <c r="C1470" s="495">
        <v>0</v>
      </c>
      <c r="D1470" s="496" t="str">
        <v/>
      </c>
      <c r="E1470" s="457">
        <v>0</v>
      </c>
      <c r="F1470" s="462" t="str">
        <v/>
      </c>
      <c r="G1470" s="462" t="str">
        <v/>
      </c>
      <c r="H1470" s="462" t="str">
        <v/>
      </c>
      <c r="I1470" s="488" t="str">
        <v/>
      </c>
      <c r="J1470" s="489" t="str">
        <v/>
      </c>
      <c r="K1470" s="39" t="str">
        <v/>
      </c>
      <c r="L1470" s="676" t="s">
        <v>411</v>
      </c>
      <c r="X1470" s="664" t="s">
        <v>411</v>
      </c>
      <c r="AG1470" s="1093"/>
    </row>
    <row r="1471" spans="1:33" ht="11.25" customHeight="1">
      <c r="A1471" s="611">
        <v>19</v>
      </c>
      <c r="B1471" s="494">
        <v>0</v>
      </c>
      <c r="C1471" s="495">
        <v>0</v>
      </c>
      <c r="D1471" s="496" t="str">
        <v/>
      </c>
      <c r="E1471" s="457">
        <v>0</v>
      </c>
      <c r="F1471" s="462" t="str">
        <v/>
      </c>
      <c r="G1471" s="462" t="str">
        <v/>
      </c>
      <c r="H1471" s="462" t="str">
        <v/>
      </c>
      <c r="I1471" s="488" t="str">
        <v/>
      </c>
      <c r="J1471" s="489" t="str">
        <v/>
      </c>
      <c r="K1471" s="39" t="str">
        <v/>
      </c>
      <c r="L1471" s="676" t="s">
        <v>411</v>
      </c>
      <c r="X1471" s="664" t="s">
        <v>411</v>
      </c>
      <c r="AG1471" s="1093"/>
    </row>
    <row r="1472" spans="1:33" ht="11.25" customHeight="1">
      <c r="A1472" s="611">
        <v>20</v>
      </c>
      <c r="B1472" s="494">
        <v>0</v>
      </c>
      <c r="C1472" s="495">
        <v>0</v>
      </c>
      <c r="D1472" s="496" t="str">
        <v/>
      </c>
      <c r="E1472" s="457">
        <v>0</v>
      </c>
      <c r="F1472" s="462" t="str">
        <v/>
      </c>
      <c r="G1472" s="462" t="str">
        <v/>
      </c>
      <c r="H1472" s="462" t="str">
        <v/>
      </c>
      <c r="I1472" s="488" t="str">
        <v/>
      </c>
      <c r="J1472" s="489" t="str">
        <v/>
      </c>
      <c r="K1472" s="39" t="str">
        <v/>
      </c>
      <c r="L1472" s="676" t="s">
        <v>411</v>
      </c>
      <c r="X1472" s="664" t="s">
        <v>411</v>
      </c>
      <c r="AG1472" s="1093"/>
    </row>
    <row r="1473" spans="1:33" ht="11.25" customHeight="1">
      <c r="A1473" s="611">
        <v>21</v>
      </c>
      <c r="B1473" s="494">
        <v>0</v>
      </c>
      <c r="C1473" s="495">
        <v>0</v>
      </c>
      <c r="D1473" s="496" t="str">
        <v/>
      </c>
      <c r="E1473" s="457">
        <v>0</v>
      </c>
      <c r="F1473" s="462" t="str">
        <v/>
      </c>
      <c r="G1473" s="462" t="str">
        <v/>
      </c>
      <c r="H1473" s="462" t="str">
        <v/>
      </c>
      <c r="I1473" s="488" t="str">
        <v/>
      </c>
      <c r="J1473" s="489" t="str">
        <v/>
      </c>
      <c r="K1473" s="39" t="str">
        <v/>
      </c>
      <c r="L1473" s="676" t="s">
        <v>411</v>
      </c>
      <c r="X1473" s="664" t="s">
        <v>411</v>
      </c>
      <c r="AG1473" s="1093"/>
    </row>
    <row r="1474" spans="1:33" ht="11.25" customHeight="1">
      <c r="A1474" s="611">
        <v>22</v>
      </c>
      <c r="B1474" s="494">
        <v>0</v>
      </c>
      <c r="C1474" s="495">
        <v>0</v>
      </c>
      <c r="D1474" s="496" t="str">
        <v/>
      </c>
      <c r="E1474" s="457">
        <v>0</v>
      </c>
      <c r="F1474" s="462" t="str">
        <v/>
      </c>
      <c r="G1474" s="462" t="str">
        <v/>
      </c>
      <c r="H1474" s="462" t="str">
        <v/>
      </c>
      <c r="I1474" s="488" t="str">
        <v/>
      </c>
      <c r="J1474" s="489" t="str">
        <v/>
      </c>
      <c r="K1474" s="39" t="str">
        <v/>
      </c>
      <c r="L1474" s="676" t="s">
        <v>411</v>
      </c>
      <c r="X1474" s="664" t="s">
        <v>411</v>
      </c>
    </row>
    <row r="1475" spans="1:33" ht="11.25" customHeight="1">
      <c r="A1475" s="611">
        <v>23</v>
      </c>
      <c r="B1475" s="494">
        <v>0</v>
      </c>
      <c r="C1475" s="495">
        <v>0</v>
      </c>
      <c r="D1475" s="496" t="str">
        <v/>
      </c>
      <c r="E1475" s="457">
        <v>0</v>
      </c>
      <c r="F1475" s="462" t="str">
        <v/>
      </c>
      <c r="G1475" s="462" t="str">
        <v/>
      </c>
      <c r="H1475" s="462" t="str">
        <v/>
      </c>
      <c r="I1475" s="488" t="str">
        <v/>
      </c>
      <c r="J1475" s="489" t="str">
        <v/>
      </c>
      <c r="K1475" s="39" t="str">
        <v/>
      </c>
      <c r="L1475" s="676" t="s">
        <v>411</v>
      </c>
      <c r="X1475" s="664" t="s">
        <v>411</v>
      </c>
    </row>
    <row r="1476" spans="1:33" ht="11.25" customHeight="1">
      <c r="A1476" s="611">
        <v>24</v>
      </c>
      <c r="B1476" s="494">
        <v>0</v>
      </c>
      <c r="C1476" s="495">
        <v>0</v>
      </c>
      <c r="D1476" s="496" t="str">
        <v/>
      </c>
      <c r="E1476" s="457">
        <v>0</v>
      </c>
      <c r="F1476" s="462" t="str">
        <v/>
      </c>
      <c r="G1476" s="462" t="str">
        <v/>
      </c>
      <c r="H1476" s="462" t="str">
        <v/>
      </c>
      <c r="I1476" s="488" t="str">
        <v/>
      </c>
      <c r="J1476" s="489" t="str">
        <v/>
      </c>
      <c r="K1476" s="39" t="str">
        <v/>
      </c>
      <c r="L1476" s="676" t="s">
        <v>411</v>
      </c>
      <c r="X1476" s="664" t="s">
        <v>411</v>
      </c>
      <c r="AB1476" s="457"/>
    </row>
    <row r="1477" spans="1:33" ht="11.25" customHeight="1">
      <c r="A1477" s="611">
        <v>25</v>
      </c>
      <c r="B1477" s="494">
        <v>0</v>
      </c>
      <c r="C1477" s="495">
        <v>0</v>
      </c>
      <c r="D1477" s="496" t="str">
        <v/>
      </c>
      <c r="E1477" s="457">
        <v>0</v>
      </c>
      <c r="F1477" s="462" t="str">
        <v/>
      </c>
      <c r="G1477" s="462" t="str">
        <v/>
      </c>
      <c r="H1477" s="462" t="str">
        <v/>
      </c>
      <c r="I1477" s="488" t="str">
        <v/>
      </c>
      <c r="J1477" s="489" t="str">
        <v/>
      </c>
      <c r="K1477" s="39" t="str">
        <v/>
      </c>
      <c r="L1477" s="676" t="s">
        <v>411</v>
      </c>
      <c r="X1477" s="664" t="s">
        <v>411</v>
      </c>
      <c r="AB1477" s="457"/>
    </row>
    <row r="1478" spans="1:33" ht="11.25" customHeight="1">
      <c r="A1478" s="611">
        <v>26</v>
      </c>
      <c r="B1478" s="494">
        <v>0</v>
      </c>
      <c r="C1478" s="495">
        <v>0</v>
      </c>
      <c r="D1478" s="496" t="str">
        <v/>
      </c>
      <c r="E1478" s="457">
        <v>0</v>
      </c>
      <c r="F1478" s="462" t="str">
        <v/>
      </c>
      <c r="G1478" s="462" t="str">
        <v/>
      </c>
      <c r="H1478" s="462" t="str">
        <v/>
      </c>
      <c r="I1478" s="488" t="str">
        <v/>
      </c>
      <c r="J1478" s="489" t="str">
        <v/>
      </c>
      <c r="K1478" s="39" t="str">
        <v/>
      </c>
      <c r="L1478" s="676" t="s">
        <v>411</v>
      </c>
      <c r="X1478" s="664" t="s">
        <v>411</v>
      </c>
      <c r="AB1478" s="457"/>
    </row>
    <row r="1479" spans="1:33" ht="11.25" customHeight="1">
      <c r="A1479" s="611">
        <v>27</v>
      </c>
      <c r="B1479" s="494">
        <v>0</v>
      </c>
      <c r="C1479" s="495">
        <v>0</v>
      </c>
      <c r="D1479" s="496" t="str">
        <v/>
      </c>
      <c r="E1479" s="49">
        <v>0</v>
      </c>
      <c r="F1479" s="462" t="str">
        <v/>
      </c>
      <c r="G1479" s="462" t="str">
        <v/>
      </c>
      <c r="H1479" s="462" t="str">
        <v/>
      </c>
      <c r="I1479" s="488" t="str">
        <v/>
      </c>
      <c r="J1479" s="489" t="str">
        <v/>
      </c>
      <c r="K1479" s="39" t="str">
        <v/>
      </c>
      <c r="L1479" s="676" t="s">
        <v>411</v>
      </c>
      <c r="X1479" s="664" t="s">
        <v>411</v>
      </c>
      <c r="AB1479" s="457"/>
    </row>
    <row r="1480" spans="1:33" ht="11.25" customHeight="1">
      <c r="A1480" s="611">
        <v>28</v>
      </c>
      <c r="B1480" s="494">
        <v>0</v>
      </c>
      <c r="C1480" s="495">
        <v>0</v>
      </c>
      <c r="D1480" s="496" t="str">
        <v/>
      </c>
      <c r="E1480" s="99">
        <v>0</v>
      </c>
      <c r="F1480" s="462" t="str">
        <v/>
      </c>
      <c r="G1480" s="462" t="str">
        <v/>
      </c>
      <c r="H1480" s="462" t="str">
        <v/>
      </c>
      <c r="I1480" s="488" t="str">
        <v/>
      </c>
      <c r="J1480" s="489" t="str">
        <v/>
      </c>
      <c r="K1480" s="39" t="str">
        <v/>
      </c>
      <c r="L1480" s="676" t="s">
        <v>411</v>
      </c>
      <c r="X1480" s="664" t="s">
        <v>411</v>
      </c>
      <c r="AB1480" s="457"/>
    </row>
    <row r="1481" spans="1:33" ht="11.25" customHeight="1">
      <c r="A1481" s="611">
        <v>29</v>
      </c>
      <c r="B1481" s="494">
        <v>0</v>
      </c>
      <c r="C1481" s="495">
        <v>0</v>
      </c>
      <c r="D1481" s="496" t="str">
        <v/>
      </c>
      <c r="E1481" s="99">
        <v>0</v>
      </c>
      <c r="F1481" s="462" t="str">
        <v/>
      </c>
      <c r="G1481" s="462" t="str">
        <v/>
      </c>
      <c r="H1481" s="462" t="str">
        <v/>
      </c>
      <c r="I1481" s="488" t="str">
        <v/>
      </c>
      <c r="J1481" s="489" t="str">
        <v/>
      </c>
      <c r="K1481" s="39" t="str">
        <v/>
      </c>
      <c r="L1481" s="676" t="s">
        <v>411</v>
      </c>
      <c r="X1481" s="664" t="s">
        <v>411</v>
      </c>
      <c r="AB1481" s="457"/>
    </row>
    <row r="1482" spans="1:33" ht="11.25" customHeight="1">
      <c r="A1482" s="611">
        <v>30</v>
      </c>
      <c r="B1482" s="494">
        <v>0</v>
      </c>
      <c r="C1482" s="495">
        <v>0</v>
      </c>
      <c r="D1482" s="496" t="str">
        <v/>
      </c>
      <c r="E1482" s="99">
        <v>0</v>
      </c>
      <c r="F1482" s="462" t="str">
        <v/>
      </c>
      <c r="G1482" s="462" t="str">
        <v/>
      </c>
      <c r="H1482" s="462" t="str">
        <v/>
      </c>
      <c r="I1482" s="488" t="str">
        <v/>
      </c>
      <c r="J1482" s="489" t="str">
        <v/>
      </c>
      <c r="K1482" s="39" t="str">
        <v/>
      </c>
      <c r="L1482" s="676" t="s">
        <v>411</v>
      </c>
      <c r="X1482" s="664" t="s">
        <v>411</v>
      </c>
      <c r="AB1482" s="457"/>
    </row>
    <row r="1483" spans="1:33" ht="11.25" customHeight="1">
      <c r="A1483" s="611">
        <v>31</v>
      </c>
      <c r="B1483" s="494">
        <v>0</v>
      </c>
      <c r="C1483" s="495">
        <v>0</v>
      </c>
      <c r="D1483" s="496" t="str">
        <v/>
      </c>
      <c r="E1483" s="99">
        <v>0</v>
      </c>
      <c r="F1483" s="462" t="str">
        <v/>
      </c>
      <c r="G1483" s="462" t="str">
        <v/>
      </c>
      <c r="H1483" s="462" t="str">
        <v/>
      </c>
      <c r="I1483" s="488" t="str">
        <v/>
      </c>
      <c r="J1483" s="489" t="str">
        <v/>
      </c>
      <c r="K1483" s="39" t="str">
        <v/>
      </c>
      <c r="L1483" s="676" t="s">
        <v>411</v>
      </c>
      <c r="X1483" s="664" t="s">
        <v>411</v>
      </c>
    </row>
    <row r="1484" spans="1:33" ht="11.25" customHeight="1">
      <c r="A1484" s="611">
        <v>32</v>
      </c>
      <c r="B1484" s="494">
        <v>0</v>
      </c>
      <c r="C1484" s="495">
        <v>0</v>
      </c>
      <c r="D1484" s="496" t="str">
        <v/>
      </c>
      <c r="E1484" s="99">
        <v>0</v>
      </c>
      <c r="F1484" s="462" t="str">
        <v/>
      </c>
      <c r="G1484" s="462" t="str">
        <v/>
      </c>
      <c r="H1484" s="462" t="str">
        <v/>
      </c>
      <c r="I1484" s="488" t="str">
        <v/>
      </c>
      <c r="J1484" s="489" t="str">
        <v/>
      </c>
      <c r="K1484" s="39" t="str">
        <v/>
      </c>
      <c r="L1484" s="676" t="s">
        <v>411</v>
      </c>
      <c r="X1484" s="664" t="s">
        <v>411</v>
      </c>
    </row>
    <row r="1485" spans="1:33" ht="11.25" customHeight="1">
      <c r="A1485" s="611">
        <v>33</v>
      </c>
      <c r="B1485" s="494">
        <v>0</v>
      </c>
      <c r="C1485" s="495">
        <v>0</v>
      </c>
      <c r="D1485" s="496" t="str">
        <v/>
      </c>
      <c r="E1485" s="99">
        <v>0</v>
      </c>
      <c r="F1485" s="462" t="str">
        <v/>
      </c>
      <c r="G1485" s="462" t="str">
        <v/>
      </c>
      <c r="H1485" s="462" t="str">
        <v/>
      </c>
      <c r="I1485" s="488" t="str">
        <v/>
      </c>
      <c r="J1485" s="489" t="str">
        <v/>
      </c>
      <c r="K1485" s="39" t="str">
        <v/>
      </c>
      <c r="L1485" s="676" t="s">
        <v>411</v>
      </c>
      <c r="X1485" s="664" t="s">
        <v>411</v>
      </c>
    </row>
    <row r="1486" spans="1:33" ht="11.25" customHeight="1">
      <c r="A1486" s="611">
        <v>34</v>
      </c>
      <c r="B1486" s="494">
        <v>0</v>
      </c>
      <c r="C1486" s="495">
        <v>0</v>
      </c>
      <c r="D1486" s="496" t="str">
        <v/>
      </c>
      <c r="E1486" s="99">
        <v>0</v>
      </c>
      <c r="F1486" s="462" t="str">
        <v/>
      </c>
      <c r="G1486" s="462" t="str">
        <v/>
      </c>
      <c r="H1486" s="462" t="str">
        <v/>
      </c>
      <c r="I1486" s="488" t="str">
        <v/>
      </c>
      <c r="J1486" s="489" t="str">
        <v/>
      </c>
      <c r="K1486" s="39" t="str">
        <v/>
      </c>
      <c r="L1486" s="676" t="s">
        <v>411</v>
      </c>
      <c r="X1486" s="664" t="s">
        <v>411</v>
      </c>
    </row>
    <row r="1487" spans="1:33" ht="11.25" customHeight="1">
      <c r="A1487" s="611">
        <v>35</v>
      </c>
      <c r="B1487" s="494">
        <v>0</v>
      </c>
      <c r="C1487" s="495">
        <v>0</v>
      </c>
      <c r="D1487" s="496" t="str">
        <v/>
      </c>
      <c r="E1487" s="99">
        <v>0</v>
      </c>
      <c r="F1487" s="462" t="str">
        <v/>
      </c>
      <c r="G1487" s="462" t="str">
        <v/>
      </c>
      <c r="H1487" s="462" t="str">
        <v/>
      </c>
      <c r="I1487" s="488" t="str">
        <v/>
      </c>
      <c r="J1487" s="489" t="str">
        <v/>
      </c>
      <c r="K1487" s="39" t="str">
        <v/>
      </c>
      <c r="L1487" s="676" t="s">
        <v>411</v>
      </c>
      <c r="X1487" s="664" t="s">
        <v>411</v>
      </c>
    </row>
    <row r="1488" spans="1:33" ht="11.25" customHeight="1">
      <c r="A1488" s="611">
        <v>36</v>
      </c>
      <c r="B1488" s="494">
        <v>0</v>
      </c>
      <c r="C1488" s="495">
        <v>0</v>
      </c>
      <c r="D1488" s="496" t="str">
        <v/>
      </c>
      <c r="E1488" s="99">
        <v>0</v>
      </c>
      <c r="F1488" s="462" t="str">
        <v/>
      </c>
      <c r="G1488" s="462" t="str">
        <v/>
      </c>
      <c r="H1488" s="462" t="str">
        <v/>
      </c>
      <c r="I1488" s="488" t="str">
        <v/>
      </c>
      <c r="J1488" s="489" t="str">
        <v/>
      </c>
      <c r="K1488" s="39" t="str">
        <v/>
      </c>
      <c r="L1488" s="676" t="s">
        <v>411</v>
      </c>
      <c r="X1488" s="664" t="s">
        <v>411</v>
      </c>
    </row>
    <row r="1489" spans="1:34" ht="11.25" customHeight="1">
      <c r="A1489" s="611">
        <v>37</v>
      </c>
      <c r="B1489" s="494">
        <v>0</v>
      </c>
      <c r="C1489" s="495">
        <v>0</v>
      </c>
      <c r="D1489" s="496" t="str">
        <v/>
      </c>
      <c r="E1489" s="99">
        <v>0</v>
      </c>
      <c r="F1489" s="462" t="str">
        <v/>
      </c>
      <c r="G1489" s="462" t="str">
        <v/>
      </c>
      <c r="H1489" s="462" t="str">
        <v/>
      </c>
      <c r="I1489" s="488" t="str">
        <v/>
      </c>
      <c r="J1489" s="489" t="str">
        <v/>
      </c>
      <c r="K1489" s="39" t="str">
        <v/>
      </c>
      <c r="L1489" s="676" t="s">
        <v>411</v>
      </c>
      <c r="X1489" s="664" t="s">
        <v>411</v>
      </c>
    </row>
    <row r="1490" spans="1:34" ht="11.25" customHeight="1">
      <c r="A1490" s="611">
        <v>38</v>
      </c>
      <c r="B1490" s="494">
        <v>0</v>
      </c>
      <c r="C1490" s="495">
        <v>0</v>
      </c>
      <c r="D1490" s="496" t="str">
        <v/>
      </c>
      <c r="E1490" s="99">
        <v>0</v>
      </c>
      <c r="F1490" s="462" t="str">
        <v/>
      </c>
      <c r="G1490" s="462" t="str">
        <v/>
      </c>
      <c r="H1490" s="462" t="str">
        <v/>
      </c>
      <c r="I1490" s="488" t="str">
        <v/>
      </c>
      <c r="J1490" s="489" t="str">
        <v/>
      </c>
      <c r="K1490" s="39" t="str">
        <v/>
      </c>
      <c r="L1490" s="676" t="s">
        <v>411</v>
      </c>
      <c r="X1490" s="664" t="s">
        <v>411</v>
      </c>
    </row>
    <row r="1491" spans="1:34" ht="11.25" customHeight="1">
      <c r="A1491" s="611">
        <v>39</v>
      </c>
      <c r="B1491" s="494">
        <v>0</v>
      </c>
      <c r="C1491" s="495">
        <v>0</v>
      </c>
      <c r="D1491" s="496" t="str">
        <v/>
      </c>
      <c r="E1491" s="99">
        <v>0</v>
      </c>
      <c r="F1491" s="462" t="str">
        <v/>
      </c>
      <c r="G1491" s="462" t="str">
        <v/>
      </c>
      <c r="H1491" s="462" t="str">
        <v/>
      </c>
      <c r="I1491" s="488" t="str">
        <v/>
      </c>
      <c r="J1491" s="489" t="str">
        <v/>
      </c>
      <c r="K1491" s="39" t="str">
        <v/>
      </c>
      <c r="L1491" s="676" t="s">
        <v>411</v>
      </c>
      <c r="X1491" s="664" t="s">
        <v>411</v>
      </c>
    </row>
    <row r="1492" spans="1:34" ht="11.25" customHeight="1">
      <c r="A1492" s="611">
        <v>40</v>
      </c>
      <c r="B1492" s="494">
        <v>0</v>
      </c>
      <c r="C1492" s="495">
        <v>0</v>
      </c>
      <c r="D1492" s="496" t="str">
        <v/>
      </c>
      <c r="E1492" s="99">
        <v>0</v>
      </c>
      <c r="F1492" s="462" t="str">
        <v/>
      </c>
      <c r="G1492" s="462" t="str">
        <v/>
      </c>
      <c r="H1492" s="462" t="str">
        <v/>
      </c>
      <c r="I1492" s="488" t="str">
        <v/>
      </c>
      <c r="J1492" s="489" t="str">
        <v/>
      </c>
      <c r="K1492" s="39" t="str">
        <v/>
      </c>
      <c r="L1492" s="676" t="s">
        <v>411</v>
      </c>
      <c r="X1492" s="664" t="s">
        <v>411</v>
      </c>
    </row>
    <row r="1493" spans="1:34" ht="11.25" customHeight="1">
      <c r="A1493" s="611">
        <v>41</v>
      </c>
      <c r="B1493" s="494">
        <v>0</v>
      </c>
      <c r="C1493" s="495">
        <v>0</v>
      </c>
      <c r="D1493" s="496" t="str">
        <v/>
      </c>
      <c r="E1493" s="99">
        <v>0</v>
      </c>
      <c r="F1493" s="462" t="str">
        <v/>
      </c>
      <c r="G1493" s="462" t="str">
        <v/>
      </c>
      <c r="H1493" s="462" t="str">
        <v/>
      </c>
      <c r="I1493" s="488" t="str">
        <v/>
      </c>
      <c r="J1493" s="489" t="str">
        <v/>
      </c>
      <c r="K1493" s="39" t="str">
        <v/>
      </c>
      <c r="L1493" s="676" t="s">
        <v>411</v>
      </c>
      <c r="X1493" s="664" t="s">
        <v>411</v>
      </c>
    </row>
    <row r="1494" spans="1:34" ht="11.25" customHeight="1">
      <c r="A1494" s="611">
        <v>42</v>
      </c>
      <c r="B1494" s="494">
        <v>0</v>
      </c>
      <c r="C1494" s="495">
        <v>0</v>
      </c>
      <c r="D1494" s="496" t="str">
        <v/>
      </c>
      <c r="E1494" s="457">
        <v>0</v>
      </c>
      <c r="F1494" s="462" t="str">
        <v/>
      </c>
      <c r="G1494" s="462" t="str">
        <v/>
      </c>
      <c r="H1494" s="462" t="str">
        <v/>
      </c>
      <c r="I1494" s="488" t="str">
        <v/>
      </c>
      <c r="J1494" s="489" t="str">
        <v/>
      </c>
      <c r="K1494" s="39" t="str">
        <v/>
      </c>
      <c r="L1494" s="676" t="s">
        <v>411</v>
      </c>
      <c r="X1494" s="664" t="s">
        <v>411</v>
      </c>
    </row>
    <row r="1495" spans="1:34" ht="11.25" customHeight="1">
      <c r="A1495" s="611">
        <v>43</v>
      </c>
      <c r="B1495" s="494">
        <v>0</v>
      </c>
      <c r="C1495" s="495">
        <v>0</v>
      </c>
      <c r="D1495" s="496" t="str">
        <v/>
      </c>
      <c r="E1495" s="457">
        <v>0</v>
      </c>
      <c r="F1495" s="462" t="str">
        <v/>
      </c>
      <c r="G1495" s="462" t="str">
        <v/>
      </c>
      <c r="H1495" s="462" t="str">
        <v/>
      </c>
      <c r="I1495" s="488" t="str">
        <v/>
      </c>
      <c r="J1495" s="489" t="str">
        <v/>
      </c>
      <c r="K1495" s="39" t="str">
        <v/>
      </c>
      <c r="L1495" s="676" t="s">
        <v>411</v>
      </c>
      <c r="X1495" s="664" t="s">
        <v>411</v>
      </c>
    </row>
    <row r="1496" spans="1:34" ht="11.25" customHeight="1">
      <c r="A1496" s="611">
        <v>44</v>
      </c>
      <c r="B1496" s="494">
        <v>0</v>
      </c>
      <c r="C1496" s="495">
        <v>0</v>
      </c>
      <c r="D1496" s="496" t="str">
        <v/>
      </c>
      <c r="E1496" s="457">
        <v>0</v>
      </c>
      <c r="F1496" s="462" t="str">
        <v/>
      </c>
      <c r="G1496" s="462" t="str">
        <v/>
      </c>
      <c r="H1496" s="462" t="str">
        <v/>
      </c>
      <c r="I1496" s="488" t="str">
        <v/>
      </c>
      <c r="J1496" s="489" t="str">
        <v/>
      </c>
      <c r="K1496" s="39" t="str">
        <v/>
      </c>
      <c r="L1496" s="676" t="s">
        <v>411</v>
      </c>
      <c r="X1496" s="664" t="s">
        <v>411</v>
      </c>
    </row>
    <row r="1497" spans="1:34" ht="11.25" customHeight="1">
      <c r="A1497" s="611">
        <v>45</v>
      </c>
      <c r="B1497" s="494">
        <v>0</v>
      </c>
      <c r="C1497" s="495">
        <v>0</v>
      </c>
      <c r="D1497" s="496" t="str">
        <v/>
      </c>
      <c r="E1497" s="457">
        <v>0</v>
      </c>
      <c r="F1497" s="462" t="str">
        <v/>
      </c>
      <c r="G1497" s="462" t="str">
        <v/>
      </c>
      <c r="H1497" s="462" t="str">
        <v/>
      </c>
      <c r="I1497" s="488" t="str">
        <v/>
      </c>
      <c r="J1497" s="489" t="str">
        <v/>
      </c>
      <c r="K1497" s="39" t="str">
        <v/>
      </c>
      <c r="L1497" s="676" t="s">
        <v>411</v>
      </c>
      <c r="X1497" s="664" t="s">
        <v>411</v>
      </c>
    </row>
    <row r="1498" spans="1:34" ht="11.25" customHeight="1">
      <c r="A1498" s="611">
        <v>46</v>
      </c>
      <c r="B1498" s="494">
        <v>0</v>
      </c>
      <c r="C1498" s="495">
        <v>0</v>
      </c>
      <c r="D1498" s="496" t="str">
        <v/>
      </c>
      <c r="E1498" s="457">
        <v>0</v>
      </c>
      <c r="F1498" s="462" t="str">
        <v/>
      </c>
      <c r="G1498" s="462" t="str">
        <v/>
      </c>
      <c r="H1498" s="462" t="str">
        <v/>
      </c>
      <c r="I1498" s="488" t="str">
        <v/>
      </c>
      <c r="J1498" s="489" t="str">
        <v/>
      </c>
      <c r="K1498" s="39" t="str">
        <v/>
      </c>
      <c r="L1498" s="676" t="s">
        <v>411</v>
      </c>
      <c r="X1498" s="664" t="s">
        <v>411</v>
      </c>
    </row>
    <row r="1499" spans="1:34" ht="11.25" customHeight="1">
      <c r="A1499" s="611">
        <v>47</v>
      </c>
      <c r="B1499" s="494">
        <v>0</v>
      </c>
      <c r="C1499" s="495">
        <v>0</v>
      </c>
      <c r="D1499" s="496" t="str">
        <v/>
      </c>
      <c r="E1499" s="457">
        <v>0</v>
      </c>
      <c r="F1499" s="462" t="str">
        <v/>
      </c>
      <c r="G1499" s="462" t="str">
        <v/>
      </c>
      <c r="H1499" s="462" t="str">
        <v/>
      </c>
      <c r="I1499" s="488" t="str">
        <v/>
      </c>
      <c r="J1499" s="489" t="str">
        <v/>
      </c>
      <c r="K1499" s="39" t="str">
        <v/>
      </c>
      <c r="L1499" s="676" t="s">
        <v>411</v>
      </c>
      <c r="X1499" s="664" t="s">
        <v>411</v>
      </c>
    </row>
    <row r="1500" spans="1:34" ht="11.25" customHeight="1">
      <c r="A1500" s="611">
        <v>48</v>
      </c>
      <c r="B1500" s="127"/>
      <c r="K1500" s="39"/>
      <c r="L1500" s="676" t="s">
        <v>411</v>
      </c>
    </row>
    <row r="1501" spans="1:34" ht="11.25" customHeight="1" thickBot="1">
      <c r="A1501" s="611">
        <v>49</v>
      </c>
      <c r="B1501" s="98"/>
      <c r="C1501" s="83"/>
      <c r="D1501" s="83"/>
      <c r="E1501" s="83"/>
      <c r="F1501" s="83"/>
      <c r="G1501" s="83"/>
      <c r="H1501" s="83"/>
      <c r="I1501" s="83"/>
      <c r="J1501" s="83"/>
      <c r="K1501" s="86"/>
      <c r="L1501" s="676" t="s">
        <v>411</v>
      </c>
    </row>
    <row r="1502" spans="1:34" ht="11.25" customHeight="1" thickTop="1">
      <c r="A1502" s="611">
        <v>50</v>
      </c>
      <c r="L1502" s="676" t="s">
        <v>411</v>
      </c>
    </row>
    <row r="1503" spans="1:34" ht="11.25" customHeight="1">
      <c r="A1503" s="611">
        <v>51</v>
      </c>
      <c r="L1503" s="676" t="s">
        <v>411</v>
      </c>
      <c r="AH1503" s="952"/>
    </row>
    <row r="1504" spans="1:34" ht="11.25" customHeight="1">
      <c r="A1504" s="611">
        <v>52</v>
      </c>
      <c r="L1504" s="676" t="s">
        <v>411</v>
      </c>
    </row>
    <row r="1505" spans="1:24" ht="11.25" customHeight="1">
      <c r="A1505" s="611">
        <v>53</v>
      </c>
      <c r="L1505" s="676" t="s">
        <v>411</v>
      </c>
    </row>
    <row r="1506" spans="1:24" ht="11.25" customHeight="1">
      <c r="A1506" s="611">
        <v>54</v>
      </c>
      <c r="L1506" s="676" t="s">
        <v>411</v>
      </c>
    </row>
    <row r="1507" spans="1:24" ht="11.25" customHeight="1">
      <c r="A1507" s="611">
        <v>55</v>
      </c>
      <c r="L1507" s="676" t="s">
        <v>411</v>
      </c>
    </row>
    <row r="1508" spans="1:24" ht="11.25" customHeight="1">
      <c r="A1508" s="611">
        <v>56</v>
      </c>
      <c r="L1508" s="676" t="s">
        <v>411</v>
      </c>
    </row>
    <row r="1509" spans="1:24" ht="11.25" customHeight="1">
      <c r="A1509" s="611">
        <v>57</v>
      </c>
      <c r="L1509" s="676" t="s">
        <v>411</v>
      </c>
    </row>
    <row r="1510" spans="1:24" ht="11.25" customHeight="1">
      <c r="A1510" s="611">
        <v>58</v>
      </c>
      <c r="L1510" s="676" t="s">
        <v>411</v>
      </c>
    </row>
    <row r="1511" spans="1:24" ht="11.25" customHeight="1">
      <c r="A1511" s="611">
        <v>59</v>
      </c>
      <c r="L1511" s="676" t="s">
        <v>411</v>
      </c>
    </row>
    <row r="1512" spans="1:24" ht="11.25" customHeight="1">
      <c r="A1512" s="611">
        <v>60</v>
      </c>
      <c r="L1512" s="676" t="s">
        <v>411</v>
      </c>
      <c r="X1512" s="664" t="s">
        <v>411</v>
      </c>
    </row>
    <row r="1513" spans="1:24" ht="11.25" customHeight="1">
      <c r="A1513" s="611">
        <v>61</v>
      </c>
      <c r="L1513" s="676" t="s">
        <v>411</v>
      </c>
      <c r="X1513" s="664" t="s">
        <v>411</v>
      </c>
    </row>
    <row r="1514" spans="1:24" ht="11.25" customHeight="1">
      <c r="A1514" s="611">
        <v>62</v>
      </c>
      <c r="L1514" s="676" t="s">
        <v>411</v>
      </c>
      <c r="X1514" s="664" t="s">
        <v>411</v>
      </c>
    </row>
    <row r="1515" spans="1:24" ht="11.25" customHeight="1">
      <c r="A1515" s="611">
        <v>63</v>
      </c>
      <c r="L1515" s="676" t="s">
        <v>411</v>
      </c>
      <c r="X1515" s="664" t="s">
        <v>411</v>
      </c>
    </row>
    <row r="1516" spans="1:24" ht="11.25" customHeight="1">
      <c r="A1516" s="611">
        <v>64</v>
      </c>
      <c r="L1516" s="676" t="s">
        <v>411</v>
      </c>
      <c r="X1516" s="664" t="s">
        <v>411</v>
      </c>
    </row>
    <row r="1517" spans="1:24" ht="11.25" customHeight="1">
      <c r="A1517" s="611">
        <v>65</v>
      </c>
      <c r="B1517" s="52" t="str">
        <f t="array" ref="B1517:C1518">$B$65:$C$66</f>
        <v>Date:</v>
      </c>
      <c r="C1517" s="1133" t="str">
        <v/>
      </c>
      <c r="E1517" s="51"/>
      <c r="F1517" s="51"/>
      <c r="G1517" s="51"/>
      <c r="H1517" s="51"/>
      <c r="I1517" s="52" t="str">
        <f t="array" ref="I1517:J1518">$I$65:$J$66</f>
        <v>Inspector:</v>
      </c>
      <c r="J1517" s="421" t="str">
        <v>Eugene Mah</v>
      </c>
      <c r="L1517" s="676" t="s">
        <v>411</v>
      </c>
      <c r="X1517" s="664" t="s">
        <v>411</v>
      </c>
    </row>
    <row r="1518" spans="1:24" ht="11.25" customHeight="1">
      <c r="A1518" s="611">
        <v>66</v>
      </c>
      <c r="B1518" s="52" t="str">
        <v>Room Number:</v>
      </c>
      <c r="C1518" s="373" t="str">
        <v/>
      </c>
      <c r="E1518" s="51"/>
      <c r="F1518" s="51"/>
      <c r="G1518" s="51"/>
      <c r="H1518" s="51"/>
      <c r="I1518" s="52" t="str">
        <v>Survey ID:</v>
      </c>
      <c r="J1518" s="1045" t="str">
        <v/>
      </c>
      <c r="L1518" s="676" t="s">
        <v>411</v>
      </c>
      <c r="X1518" s="664" t="s">
        <v>411</v>
      </c>
    </row>
    <row r="1519" spans="1:24" ht="11.25" customHeight="1">
      <c r="A1519" s="611">
        <v>1</v>
      </c>
      <c r="K1519" s="131" t="str">
        <f>$F$2</f>
        <v>Medical University of South Carolina</v>
      </c>
      <c r="L1519" s="676" t="s">
        <v>411</v>
      </c>
      <c r="X1519" s="664" t="s">
        <v>411</v>
      </c>
    </row>
    <row r="1520" spans="1:24" ht="11.25" customHeight="1">
      <c r="A1520" s="611">
        <v>2</v>
      </c>
      <c r="K1520" s="132" t="str">
        <f>$F$5</f>
        <v>Radiographic System Compliance Inspection</v>
      </c>
      <c r="L1520" s="676" t="s">
        <v>411</v>
      </c>
      <c r="X1520" s="664" t="s">
        <v>411</v>
      </c>
    </row>
    <row r="1521" spans="1:33" ht="11.25" customHeight="1">
      <c r="A1521" s="611">
        <v>3</v>
      </c>
      <c r="B1521" s="49"/>
      <c r="C1521" s="49"/>
      <c r="D1521" s="49"/>
      <c r="E1521" s="49"/>
      <c r="F1521" s="49"/>
      <c r="G1521" s="49"/>
      <c r="H1521" s="49"/>
      <c r="I1521" s="49"/>
      <c r="J1521" s="49"/>
      <c r="K1521" s="49"/>
      <c r="L1521" s="676" t="s">
        <v>411</v>
      </c>
      <c r="X1521" s="664" t="s">
        <v>411</v>
      </c>
    </row>
    <row r="1522" spans="1:33" ht="11.25" customHeight="1">
      <c r="A1522" s="611">
        <v>4</v>
      </c>
      <c r="B1522" s="49"/>
      <c r="C1522" s="49"/>
      <c r="D1522" s="49"/>
      <c r="E1522" s="49"/>
      <c r="F1522" s="82" t="str">
        <f>$F$464</f>
        <v>Measurement Data</v>
      </c>
      <c r="G1522" s="49"/>
      <c r="H1522" s="49"/>
      <c r="I1522" s="49"/>
      <c r="J1522" s="49"/>
      <c r="K1522" s="49"/>
      <c r="L1522" s="676" t="s">
        <v>411</v>
      </c>
      <c r="X1522" s="664" t="s">
        <v>411</v>
      </c>
    </row>
    <row r="1523" spans="1:33" ht="11.25" customHeight="1">
      <c r="A1523" s="611">
        <v>5</v>
      </c>
      <c r="L1523" s="676" t="s">
        <v>411</v>
      </c>
      <c r="X1523" s="664" t="s">
        <v>411</v>
      </c>
    </row>
    <row r="1524" spans="1:33" ht="11.25" customHeight="1" thickBot="1">
      <c r="A1524" s="611">
        <v>6</v>
      </c>
      <c r="L1524" s="676" t="s">
        <v>411</v>
      </c>
      <c r="X1524" s="664" t="s">
        <v>411</v>
      </c>
    </row>
    <row r="1525" spans="1:33" ht="11.25" customHeight="1" thickTop="1">
      <c r="A1525" s="611">
        <v>7</v>
      </c>
      <c r="B1525" s="79"/>
      <c r="C1525" s="62"/>
      <c r="D1525" s="62"/>
      <c r="E1525" s="62"/>
      <c r="F1525" s="62"/>
      <c r="G1525" s="62"/>
      <c r="H1525" s="62"/>
      <c r="I1525" s="62"/>
      <c r="J1525" s="62"/>
      <c r="K1525" s="80"/>
      <c r="L1525" s="676" t="s">
        <v>411</v>
      </c>
      <c r="M1525" s="79"/>
      <c r="N1525" s="62"/>
      <c r="O1525" s="62"/>
      <c r="P1525" s="62"/>
      <c r="Q1525" s="62"/>
      <c r="R1525" s="62"/>
      <c r="S1525" s="591"/>
      <c r="T1525" s="591"/>
      <c r="U1525" s="591"/>
      <c r="V1525" s="591"/>
      <c r="W1525" s="591"/>
      <c r="X1525" s="62"/>
      <c r="Y1525" s="62"/>
      <c r="Z1525" s="62"/>
      <c r="AA1525" s="62"/>
      <c r="AB1525" s="62"/>
      <c r="AC1525" s="62"/>
      <c r="AD1525" s="62"/>
      <c r="AE1525" s="62"/>
      <c r="AF1525" s="62"/>
      <c r="AG1525" s="80"/>
    </row>
    <row r="1526" spans="1:33" ht="11.25" customHeight="1" thickBot="1">
      <c r="A1526" s="611">
        <v>8</v>
      </c>
      <c r="B1526" s="492">
        <f t="array" ref="B1526:B1565">$AA$687:$AA$729</f>
        <v>0</v>
      </c>
      <c r="C1526" s="487">
        <f>IF(MAX($AD$688:$AD$729)=0,$AB$687,$AD$687)</f>
        <v>0</v>
      </c>
      <c r="D1526" s="487" t="str">
        <f t="array" ref="D1526:D1565">IF(MAX($AC$688:$AC$729)=0,"",$AC$687:$AC$729)</f>
        <v/>
      </c>
      <c r="E1526" s="487">
        <f t="array" ref="E1526:E1565">$AO$687:$AO$729</f>
        <v>0</v>
      </c>
      <c r="F1526" s="487">
        <f t="array" ref="F1526:K1565">$AE$687:$AJ$729</f>
        <v>0</v>
      </c>
      <c r="G1526" s="487">
        <v>0</v>
      </c>
      <c r="H1526" s="487">
        <v>0</v>
      </c>
      <c r="I1526" s="487">
        <v>0</v>
      </c>
      <c r="J1526" s="487">
        <v>0</v>
      </c>
      <c r="K1526" s="493">
        <v>0</v>
      </c>
      <c r="L1526" s="676" t="s">
        <v>411</v>
      </c>
      <c r="M1526" s="127"/>
      <c r="N1526" s="685" t="s">
        <v>1018</v>
      </c>
      <c r="Q1526" s="611"/>
      <c r="T1526" s="555"/>
      <c r="U1526" s="555"/>
      <c r="V1526" s="555"/>
      <c r="W1526" s="555"/>
      <c r="X1526" s="555"/>
      <c r="AE1526"/>
      <c r="AF1526"/>
      <c r="AG1526" s="71"/>
    </row>
    <row r="1527" spans="1:33" ht="11.25" customHeight="1">
      <c r="A1527" s="611">
        <v>9</v>
      </c>
      <c r="B1527" s="494">
        <v>0</v>
      </c>
      <c r="C1527" s="495">
        <f t="array" ref="C1527:C1565">IF(MAX($AD$688:$AD$729)=0,$AB$688:$AB$729,$AD$688:$AD$729)</f>
        <v>0</v>
      </c>
      <c r="D1527" s="496" t="str">
        <v/>
      </c>
      <c r="E1527" s="457">
        <v>0</v>
      </c>
      <c r="F1527" s="457">
        <v>0</v>
      </c>
      <c r="G1527" s="457">
        <v>0</v>
      </c>
      <c r="H1527" s="457">
        <v>0</v>
      </c>
      <c r="I1527" s="457">
        <v>0</v>
      </c>
      <c r="J1527" s="457">
        <v>0</v>
      </c>
      <c r="K1527" s="464">
        <v>0</v>
      </c>
      <c r="L1527" s="676" t="s">
        <v>411</v>
      </c>
      <c r="M1527" s="127"/>
      <c r="N1527" s="457"/>
      <c r="O1527" s="457"/>
      <c r="P1527" s="457"/>
      <c r="Q1527" s="457"/>
      <c r="R1527" s="927" t="s">
        <v>130</v>
      </c>
      <c r="S1527" s="928"/>
      <c r="T1527" s="946" t="str">
        <f>"Note: Maximum should be "&amp;ROUND(3*R1533,0)&amp;" for the parameters specified."</f>
        <v>Note: Maximum should be 407 for the parameters specified.</v>
      </c>
      <c r="U1527" s="457"/>
      <c r="V1527" s="457"/>
      <c r="W1527" s="457"/>
      <c r="X1527" s="555"/>
      <c r="AE1527"/>
      <c r="AF1527"/>
      <c r="AG1527" s="71"/>
    </row>
    <row r="1528" spans="1:33" ht="11.25" customHeight="1" thickBot="1">
      <c r="A1528" s="611">
        <v>10</v>
      </c>
      <c r="B1528" s="494">
        <v>0</v>
      </c>
      <c r="C1528" s="495">
        <v>0</v>
      </c>
      <c r="D1528" s="496" t="str">
        <v/>
      </c>
      <c r="E1528" s="457">
        <v>0</v>
      </c>
      <c r="F1528" s="457">
        <v>0</v>
      </c>
      <c r="G1528" s="457">
        <v>0</v>
      </c>
      <c r="H1528" s="457">
        <v>0</v>
      </c>
      <c r="I1528" s="457">
        <v>0</v>
      </c>
      <c r="J1528" s="457">
        <v>0</v>
      </c>
      <c r="K1528" s="464">
        <v>0</v>
      </c>
      <c r="L1528" s="676" t="s">
        <v>411</v>
      </c>
      <c r="M1528" s="127"/>
      <c r="N1528" s="457"/>
      <c r="O1528" s="457"/>
      <c r="P1528" s="457"/>
      <c r="Q1528" s="457"/>
      <c r="R1528" s="929" t="s">
        <v>127</v>
      </c>
      <c r="S1528" s="930" t="s">
        <v>128</v>
      </c>
      <c r="T1528" s="457"/>
      <c r="U1528" s="924" t="s">
        <v>1019</v>
      </c>
      <c r="V1528" s="457"/>
      <c r="W1528" s="457"/>
      <c r="X1528" s="555"/>
      <c r="AE1528"/>
      <c r="AF1528"/>
      <c r="AG1528" s="953" t="s">
        <v>411</v>
      </c>
    </row>
    <row r="1529" spans="1:33" ht="11.25" customHeight="1">
      <c r="A1529" s="611">
        <v>11</v>
      </c>
      <c r="B1529" s="494">
        <v>0</v>
      </c>
      <c r="C1529" s="495">
        <v>0</v>
      </c>
      <c r="D1529" s="496" t="str">
        <v/>
      </c>
      <c r="E1529" s="457">
        <v>0</v>
      </c>
      <c r="F1529" s="457">
        <v>0</v>
      </c>
      <c r="G1529" s="457">
        <v>0</v>
      </c>
      <c r="H1529" s="457">
        <v>0</v>
      </c>
      <c r="I1529" s="457">
        <v>0</v>
      </c>
      <c r="J1529" s="457">
        <v>0</v>
      </c>
      <c r="K1529" s="464">
        <v>0</v>
      </c>
      <c r="L1529" s="676" t="s">
        <v>411</v>
      </c>
      <c r="M1529" s="127"/>
      <c r="N1529" s="931"/>
      <c r="O1529" s="932"/>
      <c r="P1529" s="932"/>
      <c r="Q1529" s="925" t="s">
        <v>137</v>
      </c>
      <c r="R1529" s="944">
        <v>6</v>
      </c>
      <c r="S1529" s="933"/>
      <c r="T1529" s="457"/>
      <c r="U1529" s="947" t="s">
        <v>136</v>
      </c>
      <c r="V1529" s="951">
        <f>LEN(U1528)</f>
        <v>409</v>
      </c>
      <c r="W1529" s="457"/>
      <c r="X1529" s="555"/>
      <c r="AE1529"/>
      <c r="AF1529"/>
      <c r="AG1529" s="71"/>
    </row>
    <row r="1530" spans="1:33" ht="11.25" customHeight="1">
      <c r="A1530" s="611">
        <v>12</v>
      </c>
      <c r="B1530" s="494">
        <v>0</v>
      </c>
      <c r="C1530" s="495">
        <v>0</v>
      </c>
      <c r="D1530" s="496" t="str">
        <v/>
      </c>
      <c r="E1530" s="457">
        <v>0</v>
      </c>
      <c r="F1530" s="457">
        <v>0</v>
      </c>
      <c r="G1530" s="457">
        <v>0</v>
      </c>
      <c r="H1530" s="457">
        <v>0</v>
      </c>
      <c r="I1530" s="457">
        <v>0</v>
      </c>
      <c r="J1530" s="457">
        <v>0</v>
      </c>
      <c r="K1530" s="464">
        <v>0</v>
      </c>
      <c r="L1530" s="676" t="s">
        <v>411</v>
      </c>
      <c r="M1530" s="127"/>
      <c r="N1530" s="934"/>
      <c r="O1530" s="457"/>
      <c r="P1530" s="457"/>
      <c r="Q1530" s="462" t="s">
        <v>138</v>
      </c>
      <c r="R1530" s="945">
        <v>137</v>
      </c>
      <c r="S1530" s="943">
        <v>1505</v>
      </c>
      <c r="T1530" s="948">
        <f>LEN(U1530)</f>
        <v>135</v>
      </c>
      <c r="U1530" s="937" t="str">
        <f>IF(U1528="","",IF(LEN(U1528)&lt;=$R$1530,U1528,IF(LEN($U$1528)&lt;=$R$1531,LEFT(U1528,SEARCH(" ",U1528,$R$1532)),LEFT(U1528,SEARCH(" ",U1528,$R$1533)))))</f>
        <v xml:space="preserve">I wanted every body to know that now is the time for all good women to come to the aid of their country, and if you don't belive that, </v>
      </c>
      <c r="V1530" s="938"/>
      <c r="W1530" s="938"/>
      <c r="X1530" s="939"/>
      <c r="Y1530" s="940"/>
      <c r="Z1530" s="940"/>
      <c r="AA1530" s="940"/>
      <c r="AB1530" s="940"/>
      <c r="AC1530" s="940"/>
      <c r="AD1530" s="940"/>
      <c r="AE1530" s="940"/>
      <c r="AF1530" s="940"/>
      <c r="AG1530" s="71"/>
    </row>
    <row r="1531" spans="1:33" ht="11.25" customHeight="1">
      <c r="A1531" s="611">
        <v>13</v>
      </c>
      <c r="B1531" s="494">
        <v>0</v>
      </c>
      <c r="C1531" s="495">
        <v>0</v>
      </c>
      <c r="D1531" s="496" t="str">
        <v/>
      </c>
      <c r="E1531" s="457">
        <v>0</v>
      </c>
      <c r="F1531" s="496">
        <v>0</v>
      </c>
      <c r="G1531" s="457">
        <v>0</v>
      </c>
      <c r="H1531" s="457">
        <v>0</v>
      </c>
      <c r="I1531" s="457">
        <v>0</v>
      </c>
      <c r="J1531" s="457">
        <v>0</v>
      </c>
      <c r="K1531" s="464">
        <v>0</v>
      </c>
      <c r="L1531" s="676" t="s">
        <v>411</v>
      </c>
      <c r="M1531" s="127"/>
      <c r="N1531" s="934"/>
      <c r="O1531" s="457"/>
      <c r="P1531" s="457"/>
      <c r="Q1531" s="462" t="s">
        <v>131</v>
      </c>
      <c r="R1531" s="941">
        <f>2*R1530-R1529</f>
        <v>268</v>
      </c>
      <c r="S1531" s="935">
        <v>1506</v>
      </c>
      <c r="T1531" s="948">
        <f>LEN(U1531)</f>
        <v>133</v>
      </c>
      <c r="U1531" s="937" t="str">
        <f>IF(LEN(U1528)&lt;=$R$1530,"",IF(LEN(U1528)&lt;=$R$1531,RIGHT(U1528,LEN(U1528)-SEARCH(" ",U1528,$R$1532)),MID(U1528,SEARCH(" ",U1528,$R$1533),IF(LEN(U1528)&lt;=$R$1534,LEN(U1528),SEARCH(" ",U1528,$R$1535)-SEARCH(" ",U1528,$R$1533)))))</f>
        <v xml:space="preserve"> then know that the sly brown fox jumped quickly over the lazy dog. I wanted every body to know that now is the time for all good men</v>
      </c>
      <c r="V1531" s="938"/>
      <c r="W1531" s="938"/>
      <c r="X1531" s="939"/>
      <c r="Y1531" s="940"/>
      <c r="Z1531" s="940"/>
      <c r="AA1531" s="940"/>
      <c r="AB1531" s="940"/>
      <c r="AC1531" s="940"/>
      <c r="AD1531" s="940"/>
      <c r="AE1531" s="940"/>
      <c r="AF1531" s="940"/>
      <c r="AG1531" s="71"/>
    </row>
    <row r="1532" spans="1:33" ht="11.25" customHeight="1" thickBot="1">
      <c r="A1532" s="611">
        <v>14</v>
      </c>
      <c r="B1532" s="494">
        <v>0</v>
      </c>
      <c r="C1532" s="495">
        <v>0</v>
      </c>
      <c r="D1532" s="496" t="str">
        <v/>
      </c>
      <c r="E1532" s="457">
        <v>0</v>
      </c>
      <c r="F1532" s="496">
        <v>0</v>
      </c>
      <c r="G1532" s="457">
        <v>0</v>
      </c>
      <c r="H1532" s="457">
        <v>0</v>
      </c>
      <c r="I1532" s="457">
        <v>0</v>
      </c>
      <c r="J1532" s="457">
        <v>0</v>
      </c>
      <c r="K1532" s="464">
        <v>0</v>
      </c>
      <c r="L1532" s="676" t="s">
        <v>411</v>
      </c>
      <c r="M1532" s="127"/>
      <c r="N1532" s="934"/>
      <c r="O1532" s="457"/>
      <c r="P1532" s="457"/>
      <c r="Q1532" s="462" t="s">
        <v>132</v>
      </c>
      <c r="R1532" s="941">
        <f>R1530-R1529/2</f>
        <v>134</v>
      </c>
      <c r="S1532" s="943">
        <v>1507</v>
      </c>
      <c r="T1532" s="949">
        <f>LEN(U1532)</f>
        <v>141</v>
      </c>
      <c r="U1532" s="937" t="str">
        <f>IF(LEN(U1528)&lt;=$R$1534,"",RIGHT(U1528,LEN(U1528)-SEARCH(" ",U1528,$R$1535)))</f>
        <v>to come to the aid of their country, and if you don't belive that, the know that the sly brown fox jumped quickly over the lazy dog. The end.</v>
      </c>
      <c r="V1532" s="938"/>
      <c r="W1532" s="938"/>
      <c r="X1532" s="939"/>
      <c r="Y1532" s="940"/>
      <c r="Z1532" s="940"/>
      <c r="AA1532" s="940"/>
      <c r="AB1532" s="940"/>
      <c r="AC1532" s="940"/>
      <c r="AD1532" s="940"/>
      <c r="AE1532" s="940"/>
      <c r="AF1532" s="940"/>
      <c r="AG1532" s="71"/>
    </row>
    <row r="1533" spans="1:33" ht="11.25" customHeight="1">
      <c r="A1533" s="611">
        <v>15</v>
      </c>
      <c r="B1533" s="494">
        <v>0</v>
      </c>
      <c r="C1533" s="495">
        <v>0</v>
      </c>
      <c r="D1533" s="496" t="str">
        <v/>
      </c>
      <c r="E1533" s="457">
        <v>0</v>
      </c>
      <c r="F1533" s="496">
        <v>0</v>
      </c>
      <c r="G1533" s="457">
        <v>0</v>
      </c>
      <c r="H1533" s="457">
        <v>0</v>
      </c>
      <c r="I1533" s="457">
        <v>0</v>
      </c>
      <c r="J1533" s="457">
        <v>0</v>
      </c>
      <c r="K1533" s="464">
        <v>0</v>
      </c>
      <c r="L1533" s="676" t="s">
        <v>411</v>
      </c>
      <c r="M1533" s="127"/>
      <c r="N1533" s="934"/>
      <c r="O1533" s="457"/>
      <c r="P1533" s="457"/>
      <c r="Q1533" s="462" t="s">
        <v>133</v>
      </c>
      <c r="R1533" s="941">
        <f>R1530-R1529/4</f>
        <v>135.5</v>
      </c>
      <c r="S1533" s="935">
        <v>1508</v>
      </c>
      <c r="T1533" s="950">
        <f>SUM(T1530:T1532)</f>
        <v>409</v>
      </c>
      <c r="U1533" s="457"/>
      <c r="V1533" s="457"/>
      <c r="W1533" s="457"/>
      <c r="X1533" s="555"/>
      <c r="AE1533"/>
      <c r="AF1533"/>
      <c r="AG1533" s="71"/>
    </row>
    <row r="1534" spans="1:33" ht="11.25" customHeight="1">
      <c r="A1534" s="611">
        <v>16</v>
      </c>
      <c r="B1534" s="494">
        <v>0</v>
      </c>
      <c r="C1534" s="495">
        <v>0</v>
      </c>
      <c r="D1534" s="496" t="str">
        <v/>
      </c>
      <c r="E1534" s="457">
        <v>0</v>
      </c>
      <c r="F1534" s="496">
        <v>0</v>
      </c>
      <c r="G1534" s="457">
        <v>0</v>
      </c>
      <c r="H1534" s="457">
        <v>0</v>
      </c>
      <c r="I1534" s="457">
        <v>0</v>
      </c>
      <c r="J1534" s="457">
        <v>0</v>
      </c>
      <c r="K1534" s="464">
        <v>0</v>
      </c>
      <c r="L1534" s="676" t="s">
        <v>411</v>
      </c>
      <c r="M1534" s="127"/>
      <c r="N1534" s="934"/>
      <c r="O1534" s="457"/>
      <c r="P1534" s="457"/>
      <c r="Q1534" s="462" t="s">
        <v>134</v>
      </c>
      <c r="R1534" s="941">
        <f>2*R1530-R1529/4</f>
        <v>272.5</v>
      </c>
      <c r="S1534" s="943">
        <v>1509</v>
      </c>
      <c r="T1534" s="457"/>
      <c r="U1534" s="457"/>
      <c r="V1534" s="457"/>
      <c r="W1534" s="457"/>
      <c r="X1534" s="555"/>
      <c r="AE1534"/>
      <c r="AF1534"/>
      <c r="AG1534" s="71"/>
    </row>
    <row r="1535" spans="1:33" ht="11.25" customHeight="1" thickBot="1">
      <c r="A1535" s="611">
        <v>17</v>
      </c>
      <c r="B1535" s="494">
        <v>0</v>
      </c>
      <c r="C1535" s="495">
        <v>0</v>
      </c>
      <c r="D1535" s="496" t="str">
        <v/>
      </c>
      <c r="E1535" s="457">
        <v>0</v>
      </c>
      <c r="F1535" s="496">
        <v>0</v>
      </c>
      <c r="G1535" s="457">
        <v>0</v>
      </c>
      <c r="H1535" s="457">
        <v>0</v>
      </c>
      <c r="I1535" s="457">
        <v>0</v>
      </c>
      <c r="J1535" s="457">
        <v>0</v>
      </c>
      <c r="K1535" s="464">
        <v>0</v>
      </c>
      <c r="L1535" s="676" t="s">
        <v>411</v>
      </c>
      <c r="M1535" s="127"/>
      <c r="N1535" s="520"/>
      <c r="O1535" s="487"/>
      <c r="P1535" s="487"/>
      <c r="Q1535" s="926" t="s">
        <v>135</v>
      </c>
      <c r="R1535" s="942">
        <f>R1534-R1529</f>
        <v>266.5</v>
      </c>
      <c r="S1535" s="936">
        <v>1510</v>
      </c>
      <c r="T1535" s="457"/>
      <c r="U1535" s="457"/>
      <c r="V1535" s="457"/>
      <c r="W1535" s="457"/>
      <c r="X1535" s="555"/>
      <c r="AE1535"/>
      <c r="AF1535"/>
      <c r="AG1535" s="71"/>
    </row>
    <row r="1536" spans="1:33" ht="11.25" customHeight="1" thickBot="1">
      <c r="A1536" s="611">
        <v>18</v>
      </c>
      <c r="B1536" s="494">
        <v>0</v>
      </c>
      <c r="C1536" s="495">
        <v>0</v>
      </c>
      <c r="D1536" s="496" t="str">
        <v/>
      </c>
      <c r="E1536" s="457">
        <v>0</v>
      </c>
      <c r="F1536" s="496">
        <v>0</v>
      </c>
      <c r="G1536" s="457">
        <v>0</v>
      </c>
      <c r="H1536" s="457">
        <v>0</v>
      </c>
      <c r="I1536" s="457">
        <v>0</v>
      </c>
      <c r="J1536" s="457">
        <v>0</v>
      </c>
      <c r="K1536" s="464">
        <v>0</v>
      </c>
      <c r="L1536" s="676" t="s">
        <v>411</v>
      </c>
      <c r="M1536" s="98"/>
      <c r="N1536" s="83"/>
      <c r="O1536" s="83"/>
      <c r="P1536" s="83"/>
      <c r="Q1536" s="83"/>
      <c r="R1536" s="83"/>
      <c r="S1536" s="592"/>
      <c r="T1536" s="592"/>
      <c r="U1536" s="592"/>
      <c r="V1536" s="592"/>
      <c r="W1536" s="592"/>
      <c r="X1536" s="83"/>
      <c r="Y1536" s="83"/>
      <c r="Z1536" s="83"/>
      <c r="AA1536" s="83"/>
      <c r="AB1536" s="83"/>
      <c r="AC1536" s="83"/>
      <c r="AD1536" s="83"/>
      <c r="AE1536" s="83"/>
      <c r="AF1536" s="83"/>
      <c r="AG1536" s="86"/>
    </row>
    <row r="1537" spans="1:24" ht="11.25" customHeight="1" thickTop="1">
      <c r="A1537" s="611">
        <v>19</v>
      </c>
      <c r="B1537" s="494">
        <v>0</v>
      </c>
      <c r="C1537" s="495">
        <v>0</v>
      </c>
      <c r="D1537" s="496" t="str">
        <v/>
      </c>
      <c r="E1537" s="457">
        <v>0</v>
      </c>
      <c r="F1537" s="496">
        <v>0</v>
      </c>
      <c r="G1537" s="457">
        <v>0</v>
      </c>
      <c r="H1537" s="457">
        <v>0</v>
      </c>
      <c r="I1537" s="457">
        <v>0</v>
      </c>
      <c r="J1537" s="457">
        <v>0</v>
      </c>
      <c r="K1537" s="464">
        <v>0</v>
      </c>
      <c r="L1537" s="676" t="s">
        <v>411</v>
      </c>
      <c r="X1537" s="664" t="s">
        <v>411</v>
      </c>
    </row>
    <row r="1538" spans="1:24" ht="11.25" customHeight="1">
      <c r="A1538" s="611">
        <v>20</v>
      </c>
      <c r="B1538" s="494">
        <v>0</v>
      </c>
      <c r="C1538" s="495">
        <v>0</v>
      </c>
      <c r="D1538" s="496" t="str">
        <v/>
      </c>
      <c r="E1538" s="457">
        <v>0</v>
      </c>
      <c r="F1538" s="496">
        <v>0</v>
      </c>
      <c r="G1538" s="457">
        <v>0</v>
      </c>
      <c r="H1538" s="457">
        <v>0</v>
      </c>
      <c r="I1538" s="457">
        <v>0</v>
      </c>
      <c r="J1538" s="457">
        <v>0</v>
      </c>
      <c r="K1538" s="464">
        <v>0</v>
      </c>
      <c r="L1538" s="676" t="s">
        <v>411</v>
      </c>
      <c r="X1538" s="664" t="s">
        <v>411</v>
      </c>
    </row>
    <row r="1539" spans="1:24" ht="11.25" customHeight="1">
      <c r="A1539" s="611">
        <v>21</v>
      </c>
      <c r="B1539" s="494">
        <v>0</v>
      </c>
      <c r="C1539" s="495">
        <v>0</v>
      </c>
      <c r="D1539" s="496" t="str">
        <v/>
      </c>
      <c r="E1539" s="457">
        <v>0</v>
      </c>
      <c r="F1539" s="457">
        <v>0</v>
      </c>
      <c r="G1539" s="457">
        <v>0</v>
      </c>
      <c r="H1539" s="457">
        <v>0</v>
      </c>
      <c r="I1539" s="457">
        <v>0</v>
      </c>
      <c r="J1539" s="457">
        <v>0</v>
      </c>
      <c r="K1539" s="464">
        <v>0</v>
      </c>
      <c r="L1539" s="676" t="s">
        <v>411</v>
      </c>
      <c r="X1539" s="664" t="s">
        <v>411</v>
      </c>
    </row>
    <row r="1540" spans="1:24" ht="11.25" customHeight="1">
      <c r="A1540" s="611">
        <v>22</v>
      </c>
      <c r="B1540" s="494">
        <v>0</v>
      </c>
      <c r="C1540" s="495">
        <v>0</v>
      </c>
      <c r="D1540" s="496" t="str">
        <v/>
      </c>
      <c r="E1540" s="457">
        <v>0</v>
      </c>
      <c r="F1540" s="457">
        <v>0</v>
      </c>
      <c r="G1540" s="457">
        <v>0</v>
      </c>
      <c r="H1540" s="457">
        <v>0</v>
      </c>
      <c r="I1540" s="457">
        <v>0</v>
      </c>
      <c r="J1540" s="457">
        <v>0</v>
      </c>
      <c r="K1540" s="464">
        <v>0</v>
      </c>
      <c r="L1540" s="676" t="s">
        <v>411</v>
      </c>
      <c r="X1540" s="664" t="s">
        <v>411</v>
      </c>
    </row>
    <row r="1541" spans="1:24" ht="11.25" customHeight="1">
      <c r="A1541" s="611">
        <v>23</v>
      </c>
      <c r="B1541" s="494">
        <v>0</v>
      </c>
      <c r="C1541" s="495">
        <v>0</v>
      </c>
      <c r="D1541" s="496" t="str">
        <v/>
      </c>
      <c r="E1541" s="457">
        <v>0</v>
      </c>
      <c r="F1541" s="457">
        <v>0</v>
      </c>
      <c r="G1541" s="457">
        <v>0</v>
      </c>
      <c r="H1541" s="457">
        <v>0</v>
      </c>
      <c r="I1541" s="457">
        <v>0</v>
      </c>
      <c r="J1541" s="457">
        <v>0</v>
      </c>
      <c r="K1541" s="464">
        <v>0</v>
      </c>
      <c r="L1541" s="676" t="s">
        <v>411</v>
      </c>
      <c r="X1541" s="664" t="s">
        <v>411</v>
      </c>
    </row>
    <row r="1542" spans="1:24" ht="11.25" customHeight="1">
      <c r="A1542" s="611">
        <v>24</v>
      </c>
      <c r="B1542" s="494">
        <v>0</v>
      </c>
      <c r="C1542" s="495">
        <v>0</v>
      </c>
      <c r="D1542" s="496" t="str">
        <v/>
      </c>
      <c r="E1542" s="457">
        <v>0</v>
      </c>
      <c r="F1542" s="457">
        <v>0</v>
      </c>
      <c r="G1542" s="457">
        <v>0</v>
      </c>
      <c r="H1542" s="457">
        <v>0</v>
      </c>
      <c r="I1542" s="457">
        <v>0</v>
      </c>
      <c r="J1542" s="457">
        <v>0</v>
      </c>
      <c r="K1542" s="464">
        <v>0</v>
      </c>
      <c r="L1542" s="676" t="s">
        <v>411</v>
      </c>
      <c r="X1542" s="664" t="s">
        <v>411</v>
      </c>
    </row>
    <row r="1543" spans="1:24" ht="11.25" customHeight="1">
      <c r="A1543" s="611">
        <v>25</v>
      </c>
      <c r="B1543" s="494">
        <v>0</v>
      </c>
      <c r="C1543" s="495">
        <v>0</v>
      </c>
      <c r="D1543" s="496" t="str">
        <v/>
      </c>
      <c r="E1543" s="457">
        <v>0</v>
      </c>
      <c r="F1543" s="457">
        <v>0</v>
      </c>
      <c r="G1543" s="457">
        <v>0</v>
      </c>
      <c r="H1543" s="457">
        <v>0</v>
      </c>
      <c r="I1543" s="457">
        <v>0</v>
      </c>
      <c r="J1543" s="457">
        <v>0</v>
      </c>
      <c r="K1543" s="464">
        <v>0</v>
      </c>
      <c r="L1543" s="676" t="s">
        <v>411</v>
      </c>
      <c r="X1543" s="664" t="s">
        <v>411</v>
      </c>
    </row>
    <row r="1544" spans="1:24" ht="11.25" customHeight="1">
      <c r="A1544" s="611">
        <v>26</v>
      </c>
      <c r="B1544" s="494">
        <v>0</v>
      </c>
      <c r="C1544" s="495">
        <v>0</v>
      </c>
      <c r="D1544" s="496" t="str">
        <v/>
      </c>
      <c r="E1544" s="457">
        <v>0</v>
      </c>
      <c r="F1544" s="457">
        <v>0</v>
      </c>
      <c r="G1544" s="457">
        <v>0</v>
      </c>
      <c r="H1544" s="457">
        <v>0</v>
      </c>
      <c r="I1544" s="457">
        <v>0</v>
      </c>
      <c r="J1544" s="457">
        <v>0</v>
      </c>
      <c r="K1544" s="464">
        <v>0</v>
      </c>
      <c r="L1544" s="676" t="s">
        <v>411</v>
      </c>
      <c r="X1544" s="664" t="s">
        <v>411</v>
      </c>
    </row>
    <row r="1545" spans="1:24" ht="11.25" customHeight="1">
      <c r="A1545" s="611">
        <v>27</v>
      </c>
      <c r="B1545" s="494">
        <v>0</v>
      </c>
      <c r="C1545" s="495">
        <v>0</v>
      </c>
      <c r="D1545" s="496" t="str">
        <v/>
      </c>
      <c r="E1545" s="49">
        <v>0</v>
      </c>
      <c r="F1545" s="457">
        <v>0</v>
      </c>
      <c r="G1545" s="457">
        <v>0</v>
      </c>
      <c r="H1545" s="457">
        <v>0</v>
      </c>
      <c r="I1545" s="457">
        <v>0</v>
      </c>
      <c r="J1545" s="457">
        <v>0</v>
      </c>
      <c r="K1545" s="464">
        <v>0</v>
      </c>
      <c r="L1545" s="676" t="s">
        <v>411</v>
      </c>
      <c r="X1545" s="664" t="s">
        <v>411</v>
      </c>
    </row>
    <row r="1546" spans="1:24" ht="11.25" customHeight="1">
      <c r="A1546" s="611">
        <v>28</v>
      </c>
      <c r="B1546" s="494">
        <v>0</v>
      </c>
      <c r="C1546" s="495">
        <v>0</v>
      </c>
      <c r="D1546" s="496" t="str">
        <v/>
      </c>
      <c r="E1546" s="99">
        <v>0</v>
      </c>
      <c r="F1546" s="457">
        <v>0</v>
      </c>
      <c r="G1546" s="457">
        <v>0</v>
      </c>
      <c r="H1546" s="457">
        <v>0</v>
      </c>
      <c r="I1546" s="457">
        <v>0</v>
      </c>
      <c r="J1546" s="457">
        <v>0</v>
      </c>
      <c r="K1546" s="464">
        <v>0</v>
      </c>
      <c r="L1546" s="676" t="s">
        <v>411</v>
      </c>
      <c r="X1546" s="664" t="s">
        <v>411</v>
      </c>
    </row>
    <row r="1547" spans="1:24" ht="11.25" customHeight="1">
      <c r="A1547" s="611">
        <v>29</v>
      </c>
      <c r="B1547" s="494">
        <v>0</v>
      </c>
      <c r="C1547" s="495">
        <v>0</v>
      </c>
      <c r="D1547" s="496" t="str">
        <v/>
      </c>
      <c r="E1547" s="99">
        <v>0</v>
      </c>
      <c r="F1547" s="457">
        <v>0</v>
      </c>
      <c r="G1547" s="457">
        <v>0</v>
      </c>
      <c r="H1547" s="457">
        <v>0</v>
      </c>
      <c r="I1547" s="457">
        <v>0</v>
      </c>
      <c r="J1547" s="457">
        <v>0</v>
      </c>
      <c r="K1547" s="464">
        <v>0</v>
      </c>
      <c r="L1547" s="676" t="s">
        <v>411</v>
      </c>
      <c r="X1547" s="664" t="s">
        <v>411</v>
      </c>
    </row>
    <row r="1548" spans="1:24" ht="11.25" customHeight="1">
      <c r="A1548" s="611">
        <v>30</v>
      </c>
      <c r="B1548" s="494">
        <v>0</v>
      </c>
      <c r="C1548" s="495">
        <v>0</v>
      </c>
      <c r="D1548" s="496" t="str">
        <v/>
      </c>
      <c r="E1548" s="99">
        <v>0</v>
      </c>
      <c r="F1548" s="457">
        <v>0</v>
      </c>
      <c r="G1548" s="457">
        <v>0</v>
      </c>
      <c r="H1548" s="457">
        <v>0</v>
      </c>
      <c r="I1548" s="457">
        <v>0</v>
      </c>
      <c r="J1548" s="457">
        <v>0</v>
      </c>
      <c r="K1548" s="464">
        <v>0</v>
      </c>
      <c r="L1548" s="676" t="s">
        <v>411</v>
      </c>
      <c r="X1548" s="664" t="s">
        <v>411</v>
      </c>
    </row>
    <row r="1549" spans="1:24" ht="11.25" customHeight="1">
      <c r="A1549" s="611">
        <v>31</v>
      </c>
      <c r="B1549" s="494">
        <v>0</v>
      </c>
      <c r="C1549" s="495">
        <v>0</v>
      </c>
      <c r="D1549" s="496" t="str">
        <v/>
      </c>
      <c r="E1549" s="99">
        <v>0</v>
      </c>
      <c r="F1549" s="496">
        <v>0</v>
      </c>
      <c r="G1549" s="457">
        <v>0</v>
      </c>
      <c r="H1549" s="457">
        <v>0</v>
      </c>
      <c r="I1549" s="457">
        <v>0</v>
      </c>
      <c r="J1549" s="457">
        <v>0</v>
      </c>
      <c r="K1549" s="464">
        <v>0</v>
      </c>
      <c r="L1549" s="676" t="s">
        <v>411</v>
      </c>
      <c r="X1549" s="664" t="s">
        <v>411</v>
      </c>
    </row>
    <row r="1550" spans="1:24" ht="11.25" customHeight="1">
      <c r="A1550" s="611">
        <v>32</v>
      </c>
      <c r="B1550" s="494">
        <v>0</v>
      </c>
      <c r="C1550" s="495">
        <v>0</v>
      </c>
      <c r="D1550" s="496" t="str">
        <v/>
      </c>
      <c r="E1550" s="99">
        <v>0</v>
      </c>
      <c r="F1550" s="496">
        <v>0</v>
      </c>
      <c r="G1550" s="457">
        <v>0</v>
      </c>
      <c r="H1550" s="457">
        <v>0</v>
      </c>
      <c r="I1550" s="457">
        <v>0</v>
      </c>
      <c r="J1550" s="457">
        <v>0</v>
      </c>
      <c r="K1550" s="464">
        <v>0</v>
      </c>
      <c r="L1550" s="676" t="s">
        <v>411</v>
      </c>
      <c r="X1550" s="664" t="s">
        <v>411</v>
      </c>
    </row>
    <row r="1551" spans="1:24" ht="11.25" customHeight="1">
      <c r="A1551" s="611">
        <v>33</v>
      </c>
      <c r="B1551" s="494">
        <v>0</v>
      </c>
      <c r="C1551" s="495">
        <v>0</v>
      </c>
      <c r="D1551" s="496" t="str">
        <v/>
      </c>
      <c r="E1551" s="99">
        <v>0</v>
      </c>
      <c r="F1551" s="496">
        <v>0</v>
      </c>
      <c r="G1551" s="457">
        <v>0</v>
      </c>
      <c r="H1551" s="457">
        <v>0</v>
      </c>
      <c r="I1551" s="457">
        <v>0</v>
      </c>
      <c r="J1551" s="457">
        <v>0</v>
      </c>
      <c r="K1551" s="464">
        <v>0</v>
      </c>
      <c r="L1551" s="676" t="s">
        <v>411</v>
      </c>
      <c r="X1551" s="664" t="s">
        <v>411</v>
      </c>
    </row>
    <row r="1552" spans="1:24" ht="11.25" customHeight="1">
      <c r="A1552" s="611">
        <v>34</v>
      </c>
      <c r="B1552" s="494">
        <v>0</v>
      </c>
      <c r="C1552" s="495">
        <v>0</v>
      </c>
      <c r="D1552" s="496" t="str">
        <v/>
      </c>
      <c r="E1552" s="99">
        <v>0</v>
      </c>
      <c r="F1552" s="496">
        <v>0</v>
      </c>
      <c r="G1552" s="457">
        <v>0</v>
      </c>
      <c r="H1552" s="457">
        <v>0</v>
      </c>
      <c r="I1552" s="457">
        <v>0</v>
      </c>
      <c r="J1552" s="457">
        <v>0</v>
      </c>
      <c r="K1552" s="464">
        <v>0</v>
      </c>
      <c r="L1552" s="676" t="s">
        <v>411</v>
      </c>
      <c r="X1552" s="664" t="s">
        <v>411</v>
      </c>
    </row>
    <row r="1553" spans="1:24" ht="11.25" customHeight="1">
      <c r="A1553" s="611">
        <v>35</v>
      </c>
      <c r="B1553" s="494">
        <v>0</v>
      </c>
      <c r="C1553" s="495">
        <v>0</v>
      </c>
      <c r="D1553" s="496" t="str">
        <v/>
      </c>
      <c r="E1553" s="99">
        <v>0</v>
      </c>
      <c r="F1553" s="496">
        <v>0</v>
      </c>
      <c r="G1553" s="457">
        <v>0</v>
      </c>
      <c r="H1553" s="457">
        <v>0</v>
      </c>
      <c r="I1553" s="457">
        <v>0</v>
      </c>
      <c r="J1553" s="457">
        <v>0</v>
      </c>
      <c r="K1553" s="464">
        <v>0</v>
      </c>
      <c r="L1553" s="676" t="s">
        <v>411</v>
      </c>
      <c r="X1553" s="664" t="s">
        <v>411</v>
      </c>
    </row>
    <row r="1554" spans="1:24" ht="11.25" customHeight="1">
      <c r="A1554" s="611">
        <v>36</v>
      </c>
      <c r="B1554" s="494">
        <v>0</v>
      </c>
      <c r="C1554" s="495">
        <v>0</v>
      </c>
      <c r="D1554" s="496" t="str">
        <v/>
      </c>
      <c r="E1554" s="99">
        <v>0</v>
      </c>
      <c r="F1554" s="496">
        <v>0</v>
      </c>
      <c r="G1554" s="457">
        <v>0</v>
      </c>
      <c r="H1554" s="457">
        <v>0</v>
      </c>
      <c r="I1554" s="457">
        <v>0</v>
      </c>
      <c r="J1554" s="457">
        <v>0</v>
      </c>
      <c r="K1554" s="464">
        <v>0</v>
      </c>
      <c r="L1554" s="676" t="s">
        <v>411</v>
      </c>
      <c r="X1554" s="664" t="s">
        <v>411</v>
      </c>
    </row>
    <row r="1555" spans="1:24" ht="11.25" customHeight="1">
      <c r="A1555" s="611">
        <v>37</v>
      </c>
      <c r="B1555" s="494">
        <v>0</v>
      </c>
      <c r="C1555" s="495">
        <v>0</v>
      </c>
      <c r="D1555" s="496" t="str">
        <v/>
      </c>
      <c r="E1555" s="99">
        <v>0</v>
      </c>
      <c r="F1555" s="496">
        <v>0</v>
      </c>
      <c r="G1555" s="457">
        <v>0</v>
      </c>
      <c r="H1555" s="457">
        <v>0</v>
      </c>
      <c r="I1555" s="457">
        <v>0</v>
      </c>
      <c r="J1555" s="457">
        <v>0</v>
      </c>
      <c r="K1555" s="464">
        <v>0</v>
      </c>
      <c r="L1555" s="676" t="s">
        <v>411</v>
      </c>
      <c r="X1555" s="664" t="s">
        <v>411</v>
      </c>
    </row>
    <row r="1556" spans="1:24" ht="11.25" customHeight="1">
      <c r="A1556" s="611">
        <v>38</v>
      </c>
      <c r="B1556" s="494">
        <v>0</v>
      </c>
      <c r="C1556" s="495">
        <v>0</v>
      </c>
      <c r="D1556" s="496" t="str">
        <v/>
      </c>
      <c r="E1556" s="99">
        <v>0</v>
      </c>
      <c r="F1556" s="496">
        <v>0</v>
      </c>
      <c r="G1556" s="457">
        <v>0</v>
      </c>
      <c r="H1556" s="457">
        <v>0</v>
      </c>
      <c r="I1556" s="457">
        <v>0</v>
      </c>
      <c r="J1556" s="457">
        <v>0</v>
      </c>
      <c r="K1556" s="464">
        <v>0</v>
      </c>
      <c r="L1556" s="676" t="s">
        <v>411</v>
      </c>
      <c r="X1556" s="664" t="s">
        <v>411</v>
      </c>
    </row>
    <row r="1557" spans="1:24" ht="11.25" customHeight="1">
      <c r="A1557" s="611">
        <v>39</v>
      </c>
      <c r="B1557" s="494">
        <v>0</v>
      </c>
      <c r="C1557" s="495">
        <v>0</v>
      </c>
      <c r="D1557" s="496" t="str">
        <v/>
      </c>
      <c r="E1557" s="99">
        <v>0</v>
      </c>
      <c r="F1557" s="457">
        <v>0</v>
      </c>
      <c r="G1557" s="457">
        <v>0</v>
      </c>
      <c r="H1557" s="457">
        <v>0</v>
      </c>
      <c r="I1557" s="457">
        <v>0</v>
      </c>
      <c r="J1557" s="457">
        <v>0</v>
      </c>
      <c r="K1557" s="464">
        <v>0</v>
      </c>
      <c r="L1557" s="676" t="s">
        <v>411</v>
      </c>
      <c r="X1557" s="664" t="s">
        <v>411</v>
      </c>
    </row>
    <row r="1558" spans="1:24" ht="11.25" customHeight="1">
      <c r="A1558" s="611">
        <v>40</v>
      </c>
      <c r="B1558" s="494">
        <v>0</v>
      </c>
      <c r="C1558" s="495">
        <v>0</v>
      </c>
      <c r="D1558" s="496" t="str">
        <v/>
      </c>
      <c r="E1558" s="99">
        <v>0</v>
      </c>
      <c r="F1558" s="457">
        <v>0</v>
      </c>
      <c r="G1558" s="457">
        <v>0</v>
      </c>
      <c r="H1558" s="457">
        <v>0</v>
      </c>
      <c r="I1558" s="457">
        <v>0</v>
      </c>
      <c r="J1558" s="457">
        <v>0</v>
      </c>
      <c r="K1558" s="464">
        <v>0</v>
      </c>
      <c r="L1558" s="676" t="s">
        <v>411</v>
      </c>
      <c r="X1558" s="664" t="s">
        <v>411</v>
      </c>
    </row>
    <row r="1559" spans="1:24" ht="11.25" customHeight="1">
      <c r="A1559" s="611">
        <v>41</v>
      </c>
      <c r="B1559" s="494">
        <v>0</v>
      </c>
      <c r="C1559" s="495">
        <v>0</v>
      </c>
      <c r="D1559" s="496" t="str">
        <v/>
      </c>
      <c r="E1559" s="99">
        <v>0</v>
      </c>
      <c r="F1559" s="457">
        <v>0</v>
      </c>
      <c r="G1559" s="457">
        <v>0</v>
      </c>
      <c r="H1559" s="457">
        <v>0</v>
      </c>
      <c r="I1559" s="457">
        <v>0</v>
      </c>
      <c r="J1559" s="457">
        <v>0</v>
      </c>
      <c r="K1559" s="464">
        <v>0</v>
      </c>
      <c r="L1559" s="676" t="s">
        <v>411</v>
      </c>
      <c r="X1559" s="664" t="s">
        <v>411</v>
      </c>
    </row>
    <row r="1560" spans="1:24" ht="11.25" customHeight="1">
      <c r="A1560" s="611">
        <v>42</v>
      </c>
      <c r="B1560" s="494">
        <v>0</v>
      </c>
      <c r="C1560" s="495">
        <v>0</v>
      </c>
      <c r="D1560" s="496" t="str">
        <v/>
      </c>
      <c r="E1560" s="457">
        <v>0</v>
      </c>
      <c r="F1560" s="457">
        <v>0</v>
      </c>
      <c r="G1560" s="457">
        <v>0</v>
      </c>
      <c r="H1560" s="457">
        <v>0</v>
      </c>
      <c r="I1560" s="457">
        <v>0</v>
      </c>
      <c r="J1560" s="457">
        <v>0</v>
      </c>
      <c r="K1560" s="464">
        <v>0</v>
      </c>
      <c r="L1560" s="676" t="s">
        <v>411</v>
      </c>
      <c r="X1560" s="664" t="s">
        <v>411</v>
      </c>
    </row>
    <row r="1561" spans="1:24" ht="11.25" customHeight="1">
      <c r="A1561" s="611">
        <v>43</v>
      </c>
      <c r="B1561" s="494">
        <v>0</v>
      </c>
      <c r="C1561" s="495">
        <v>0</v>
      </c>
      <c r="D1561" s="496" t="str">
        <v/>
      </c>
      <c r="E1561" s="457">
        <v>0</v>
      </c>
      <c r="F1561" s="457">
        <v>0</v>
      </c>
      <c r="G1561" s="457">
        <v>0</v>
      </c>
      <c r="H1561" s="457">
        <v>0</v>
      </c>
      <c r="I1561" s="457">
        <v>0</v>
      </c>
      <c r="J1561" s="457">
        <v>0</v>
      </c>
      <c r="K1561" s="464">
        <v>0</v>
      </c>
      <c r="L1561" s="676" t="s">
        <v>411</v>
      </c>
      <c r="X1561" s="664" t="s">
        <v>411</v>
      </c>
    </row>
    <row r="1562" spans="1:24" ht="11.25" customHeight="1">
      <c r="A1562" s="611">
        <v>44</v>
      </c>
      <c r="B1562" s="494">
        <v>0</v>
      </c>
      <c r="C1562" s="495">
        <v>0</v>
      </c>
      <c r="D1562" s="496" t="str">
        <v/>
      </c>
      <c r="E1562" s="457">
        <v>0</v>
      </c>
      <c r="F1562" s="457">
        <v>0</v>
      </c>
      <c r="G1562" s="457">
        <v>0</v>
      </c>
      <c r="H1562" s="457">
        <v>0</v>
      </c>
      <c r="I1562" s="457">
        <v>0</v>
      </c>
      <c r="J1562" s="457">
        <v>0</v>
      </c>
      <c r="K1562" s="464">
        <v>0</v>
      </c>
      <c r="L1562" s="676" t="s">
        <v>411</v>
      </c>
      <c r="X1562" s="664" t="s">
        <v>411</v>
      </c>
    </row>
    <row r="1563" spans="1:24" ht="11.25" customHeight="1">
      <c r="A1563" s="611">
        <v>45</v>
      </c>
      <c r="B1563" s="494">
        <v>0</v>
      </c>
      <c r="C1563" s="495">
        <v>0</v>
      </c>
      <c r="D1563" s="496" t="str">
        <v/>
      </c>
      <c r="E1563" s="457">
        <v>0</v>
      </c>
      <c r="F1563" s="457">
        <v>0</v>
      </c>
      <c r="G1563" s="457">
        <v>0</v>
      </c>
      <c r="H1563" s="457">
        <v>0</v>
      </c>
      <c r="I1563" s="457">
        <v>0</v>
      </c>
      <c r="J1563" s="457">
        <v>0</v>
      </c>
      <c r="K1563" s="464">
        <v>0</v>
      </c>
      <c r="L1563" s="676" t="s">
        <v>411</v>
      </c>
      <c r="X1563" s="664" t="s">
        <v>411</v>
      </c>
    </row>
    <row r="1564" spans="1:24" ht="11.25" customHeight="1">
      <c r="A1564" s="611">
        <v>46</v>
      </c>
      <c r="B1564" s="494">
        <v>0</v>
      </c>
      <c r="C1564" s="495">
        <v>0</v>
      </c>
      <c r="D1564" s="496" t="str">
        <v/>
      </c>
      <c r="E1564" s="457">
        <v>0</v>
      </c>
      <c r="F1564" s="457">
        <v>0</v>
      </c>
      <c r="G1564" s="457">
        <v>0</v>
      </c>
      <c r="H1564" s="457">
        <v>0</v>
      </c>
      <c r="I1564" s="457">
        <v>0</v>
      </c>
      <c r="J1564" s="457">
        <v>0</v>
      </c>
      <c r="K1564" s="464">
        <v>0</v>
      </c>
      <c r="L1564" s="676" t="s">
        <v>411</v>
      </c>
      <c r="X1564" s="664" t="s">
        <v>411</v>
      </c>
    </row>
    <row r="1565" spans="1:24" ht="11.25" customHeight="1">
      <c r="A1565" s="611">
        <v>47</v>
      </c>
      <c r="B1565" s="494">
        <v>0</v>
      </c>
      <c r="C1565" s="495">
        <v>0</v>
      </c>
      <c r="D1565" s="496" t="str">
        <v/>
      </c>
      <c r="E1565" s="457">
        <v>0</v>
      </c>
      <c r="F1565" s="457">
        <v>0</v>
      </c>
      <c r="G1565" s="457">
        <v>0</v>
      </c>
      <c r="H1565" s="457">
        <v>0</v>
      </c>
      <c r="I1565" s="457">
        <v>0</v>
      </c>
      <c r="J1565" s="457">
        <v>0</v>
      </c>
      <c r="K1565" s="464">
        <v>0</v>
      </c>
      <c r="L1565" s="676" t="s">
        <v>411</v>
      </c>
      <c r="X1565" s="664" t="s">
        <v>411</v>
      </c>
    </row>
    <row r="1566" spans="1:24" ht="11.25" customHeight="1">
      <c r="A1566" s="611">
        <v>48</v>
      </c>
      <c r="B1566" s="127"/>
      <c r="K1566" s="71"/>
      <c r="L1566" s="676" t="s">
        <v>411</v>
      </c>
      <c r="X1566" s="664" t="s">
        <v>411</v>
      </c>
    </row>
    <row r="1567" spans="1:24" ht="11.25" customHeight="1" thickBot="1">
      <c r="A1567" s="611">
        <v>49</v>
      </c>
      <c r="B1567" s="98"/>
      <c r="C1567" s="83"/>
      <c r="D1567" s="83"/>
      <c r="E1567" s="83"/>
      <c r="F1567" s="83"/>
      <c r="G1567" s="83"/>
      <c r="H1567" s="83"/>
      <c r="I1567" s="83"/>
      <c r="J1567" s="83"/>
      <c r="K1567" s="86"/>
      <c r="L1567" s="676" t="s">
        <v>411</v>
      </c>
      <c r="X1567" s="664" t="s">
        <v>411</v>
      </c>
    </row>
    <row r="1568" spans="1:24" ht="11.25" customHeight="1" thickTop="1">
      <c r="A1568" s="611">
        <v>50</v>
      </c>
      <c r="L1568" s="676" t="s">
        <v>411</v>
      </c>
      <c r="X1568" s="664" t="s">
        <v>411</v>
      </c>
    </row>
    <row r="1569" spans="1:24" ht="11.25" customHeight="1">
      <c r="A1569" s="611">
        <v>51</v>
      </c>
      <c r="L1569" s="676" t="s">
        <v>411</v>
      </c>
      <c r="X1569" s="664" t="s">
        <v>411</v>
      </c>
    </row>
    <row r="1570" spans="1:24" ht="11.25" customHeight="1">
      <c r="A1570" s="611">
        <v>52</v>
      </c>
      <c r="L1570" s="676" t="s">
        <v>411</v>
      </c>
      <c r="X1570" s="664" t="s">
        <v>411</v>
      </c>
    </row>
    <row r="1571" spans="1:24" ht="11.25" customHeight="1">
      <c r="A1571" s="611">
        <v>53</v>
      </c>
      <c r="L1571" s="676" t="s">
        <v>411</v>
      </c>
      <c r="X1571" s="664" t="s">
        <v>411</v>
      </c>
    </row>
    <row r="1572" spans="1:24" ht="11.25" customHeight="1">
      <c r="A1572" s="611">
        <v>54</v>
      </c>
      <c r="L1572" s="676" t="s">
        <v>411</v>
      </c>
      <c r="X1572" s="664" t="s">
        <v>411</v>
      </c>
    </row>
    <row r="1573" spans="1:24" ht="11.25" customHeight="1">
      <c r="A1573" s="611">
        <v>55</v>
      </c>
      <c r="L1573" s="676" t="s">
        <v>411</v>
      </c>
      <c r="X1573" s="664" t="s">
        <v>411</v>
      </c>
    </row>
    <row r="1574" spans="1:24" ht="11.25" customHeight="1">
      <c r="A1574" s="611">
        <v>56</v>
      </c>
      <c r="L1574" s="676" t="s">
        <v>411</v>
      </c>
      <c r="X1574" s="664" t="s">
        <v>411</v>
      </c>
    </row>
    <row r="1575" spans="1:24" ht="11.25" customHeight="1">
      <c r="A1575" s="611">
        <v>57</v>
      </c>
      <c r="L1575" s="676" t="s">
        <v>411</v>
      </c>
      <c r="X1575" s="664" t="s">
        <v>411</v>
      </c>
    </row>
    <row r="1576" spans="1:24" ht="11.25" customHeight="1">
      <c r="A1576" s="611">
        <v>58</v>
      </c>
      <c r="L1576" s="676" t="s">
        <v>411</v>
      </c>
      <c r="X1576" s="664" t="s">
        <v>411</v>
      </c>
    </row>
    <row r="1577" spans="1:24" ht="11.25" customHeight="1">
      <c r="A1577" s="611">
        <v>59</v>
      </c>
      <c r="L1577" s="676" t="s">
        <v>411</v>
      </c>
      <c r="X1577" s="664" t="s">
        <v>411</v>
      </c>
    </row>
    <row r="1578" spans="1:24" ht="11.25" customHeight="1">
      <c r="A1578" s="611">
        <v>60</v>
      </c>
      <c r="L1578" s="676" t="s">
        <v>411</v>
      </c>
      <c r="X1578" s="664" t="s">
        <v>411</v>
      </c>
    </row>
    <row r="1579" spans="1:24" ht="11.25" customHeight="1">
      <c r="A1579" s="611">
        <v>61</v>
      </c>
      <c r="L1579" s="676" t="s">
        <v>411</v>
      </c>
      <c r="X1579" s="664" t="s">
        <v>411</v>
      </c>
    </row>
    <row r="1580" spans="1:24" ht="11.25" customHeight="1">
      <c r="A1580" s="611">
        <v>62</v>
      </c>
      <c r="L1580" s="676" t="s">
        <v>411</v>
      </c>
      <c r="X1580" s="664" t="s">
        <v>411</v>
      </c>
    </row>
    <row r="1581" spans="1:24" ht="11.25" customHeight="1">
      <c r="A1581" s="611">
        <v>63</v>
      </c>
      <c r="L1581" s="676" t="s">
        <v>411</v>
      </c>
      <c r="X1581" s="664" t="s">
        <v>411</v>
      </c>
    </row>
    <row r="1582" spans="1:24" ht="11.25" customHeight="1">
      <c r="A1582" s="611">
        <v>64</v>
      </c>
      <c r="L1582" s="676" t="s">
        <v>411</v>
      </c>
      <c r="X1582" s="664" t="s">
        <v>411</v>
      </c>
    </row>
    <row r="1583" spans="1:24" ht="11.25" customHeight="1">
      <c r="A1583" s="611">
        <v>65</v>
      </c>
      <c r="B1583" s="52" t="str">
        <f t="array" ref="B1583:C1584">$B$65:$C$66</f>
        <v>Date:</v>
      </c>
      <c r="C1583" s="1133" t="str">
        <v/>
      </c>
      <c r="E1583" s="51"/>
      <c r="F1583" s="51"/>
      <c r="G1583" s="51"/>
      <c r="H1583" s="51"/>
      <c r="I1583" s="52" t="str">
        <f t="array" ref="I1583:J1584">$I$65:$J$66</f>
        <v>Inspector:</v>
      </c>
      <c r="J1583" s="421" t="str">
        <v>Eugene Mah</v>
      </c>
      <c r="L1583" s="676" t="s">
        <v>411</v>
      </c>
      <c r="X1583" s="664" t="s">
        <v>411</v>
      </c>
    </row>
    <row r="1584" spans="1:24" ht="11.25" customHeight="1">
      <c r="A1584" s="611">
        <v>66</v>
      </c>
      <c r="B1584" s="52" t="str">
        <v>Room Number:</v>
      </c>
      <c r="C1584" s="373" t="str">
        <v/>
      </c>
      <c r="E1584" s="51"/>
      <c r="F1584" s="51"/>
      <c r="G1584" s="51"/>
      <c r="H1584" s="51"/>
      <c r="I1584" s="52" t="str">
        <v>Survey ID:</v>
      </c>
      <c r="J1584" s="1045" t="str">
        <v/>
      </c>
      <c r="L1584" s="676" t="s">
        <v>411</v>
      </c>
      <c r="X1584" s="664" t="s">
        <v>411</v>
      </c>
    </row>
    <row r="1585" spans="1:24" ht="11.25" customHeight="1">
      <c r="A1585" s="611">
        <v>1</v>
      </c>
      <c r="K1585" s="131" t="str">
        <f>$F$2</f>
        <v>Medical University of South Carolina</v>
      </c>
      <c r="L1585" s="676" t="s">
        <v>411</v>
      </c>
      <c r="X1585" s="664" t="s">
        <v>411</v>
      </c>
    </row>
    <row r="1586" spans="1:24" ht="11.25" customHeight="1">
      <c r="A1586" s="611">
        <v>2</v>
      </c>
      <c r="K1586" s="132" t="str">
        <f>$F$5</f>
        <v>Radiographic System Compliance Inspection</v>
      </c>
      <c r="L1586" s="676" t="s">
        <v>411</v>
      </c>
      <c r="X1586" s="664" t="s">
        <v>411</v>
      </c>
    </row>
    <row r="1587" spans="1:24" ht="11.25" customHeight="1">
      <c r="A1587" s="611">
        <v>3</v>
      </c>
      <c r="B1587" s="49"/>
      <c r="C1587" s="49"/>
      <c r="D1587" s="49"/>
      <c r="E1587" s="49"/>
      <c r="F1587" s="49"/>
      <c r="G1587" s="49"/>
      <c r="H1587" s="49"/>
      <c r="I1587" s="49"/>
      <c r="J1587" s="49"/>
      <c r="K1587" s="49"/>
      <c r="L1587" s="676" t="s">
        <v>411</v>
      </c>
      <c r="X1587" s="664" t="s">
        <v>411</v>
      </c>
    </row>
    <row r="1588" spans="1:24" ht="11.25" customHeight="1">
      <c r="A1588" s="611">
        <v>4</v>
      </c>
      <c r="B1588" s="49"/>
      <c r="C1588" s="49"/>
      <c r="D1588" s="49"/>
      <c r="E1588" s="49"/>
      <c r="F1588" s="82" t="str">
        <f>$F$464</f>
        <v>Measurement Data</v>
      </c>
      <c r="G1588" s="49"/>
      <c r="H1588" s="49"/>
      <c r="I1588" s="49"/>
      <c r="J1588" s="49"/>
      <c r="K1588" s="49"/>
      <c r="L1588" s="676" t="s">
        <v>411</v>
      </c>
      <c r="X1588" s="664" t="s">
        <v>411</v>
      </c>
    </row>
    <row r="1589" spans="1:24" ht="11.25" customHeight="1" thickBot="1">
      <c r="A1589" s="611">
        <v>5</v>
      </c>
      <c r="L1589" s="676" t="s">
        <v>411</v>
      </c>
      <c r="X1589" s="664" t="s">
        <v>411</v>
      </c>
    </row>
    <row r="1590" spans="1:24" ht="11.25" customHeight="1" thickTop="1">
      <c r="A1590" s="611">
        <v>6</v>
      </c>
      <c r="B1590" s="79"/>
      <c r="C1590" s="62"/>
      <c r="D1590" s="62"/>
      <c r="E1590" s="62"/>
      <c r="F1590" s="62"/>
      <c r="G1590" s="62"/>
      <c r="H1590" s="62"/>
      <c r="I1590" s="62"/>
      <c r="J1590" s="62"/>
      <c r="K1590" s="80"/>
      <c r="L1590" s="676" t="s">
        <v>411</v>
      </c>
      <c r="X1590" s="664" t="s">
        <v>411</v>
      </c>
    </row>
    <row r="1591" spans="1:24" ht="11.25" customHeight="1">
      <c r="A1591" s="611">
        <v>7</v>
      </c>
      <c r="B1591" s="127"/>
      <c r="G1591" s="457" t="s">
        <v>278</v>
      </c>
      <c r="J1591" s="457" t="s">
        <v>279</v>
      </c>
      <c r="K1591" s="71"/>
      <c r="L1591" s="676" t="s">
        <v>411</v>
      </c>
      <c r="X1591" s="664" t="s">
        <v>411</v>
      </c>
    </row>
    <row r="1592" spans="1:24" ht="11.25" customHeight="1" thickBot="1">
      <c r="A1592" s="611">
        <v>8</v>
      </c>
      <c r="B1592" s="492">
        <f t="array" ref="B1592:B1631">$AA$687:$AA$729</f>
        <v>0</v>
      </c>
      <c r="C1592" s="487">
        <f>IF(MAX($AD$688:$AD$729)=0,$AB$687,$AD$687)</f>
        <v>0</v>
      </c>
      <c r="D1592" s="487" t="str">
        <f t="array" ref="D1592:D1631">IF(MAX($AC$688:$AC$729)=0,"",$AC$687:$AC$729)</f>
        <v/>
      </c>
      <c r="E1592" s="487">
        <f t="array" ref="E1592:E1631">$AO$687:$AO$729</f>
        <v>0</v>
      </c>
      <c r="F1592" s="487">
        <f>$AK$687</f>
        <v>0</v>
      </c>
      <c r="G1592" s="487" t="s">
        <v>105</v>
      </c>
      <c r="H1592" s="487">
        <f>$AM$687</f>
        <v>0</v>
      </c>
      <c r="I1592" s="487" t="str">
        <f t="array" ref="I1592:I1631">IF($AN$687:$AN$729=0,"",IF($AN$687:$AN$729=1,"X",$AN$687:$AN$729))</f>
        <v/>
      </c>
      <c r="J1592" s="487" t="s">
        <v>280</v>
      </c>
      <c r="K1592" s="493" t="str">
        <f t="array" ref="K1592:K1631">IF($AV$687:$AV$729="","",$AV$687:$AV$729)</f>
        <v/>
      </c>
      <c r="L1592" s="676" t="s">
        <v>411</v>
      </c>
      <c r="X1592" s="664" t="s">
        <v>411</v>
      </c>
    </row>
    <row r="1593" spans="1:24" ht="11.25" customHeight="1">
      <c r="A1593" s="611">
        <v>9</v>
      </c>
      <c r="B1593" s="494">
        <v>0</v>
      </c>
      <c r="C1593" s="495">
        <f t="array" ref="C1593:C1631">IF(MAX($AD$688:$AD$729)=0,$AB$688:$AB$729,$AD$688:$AD$729)</f>
        <v>0</v>
      </c>
      <c r="D1593" s="496" t="str">
        <v/>
      </c>
      <c r="E1593" s="457">
        <v>0</v>
      </c>
      <c r="F1593" s="457">
        <f t="array" ref="F1593:H1631">$AK$688:$AM$729</f>
        <v>0</v>
      </c>
      <c r="G1593" s="457">
        <v>0</v>
      </c>
      <c r="H1593" s="497">
        <v>0</v>
      </c>
      <c r="I1593" s="498" t="str">
        <v/>
      </c>
      <c r="J1593" s="457" t="str">
        <f t="array" ref="J1593:J1631">IF($AP$688:$AP$729="","",$AP$688:$AP$729)</f>
        <v/>
      </c>
      <c r="K1593" s="499" t="str">
        <v/>
      </c>
      <c r="L1593" s="676" t="s">
        <v>411</v>
      </c>
      <c r="X1593" s="664" t="s">
        <v>411</v>
      </c>
    </row>
    <row r="1594" spans="1:24" ht="11.25" customHeight="1">
      <c r="A1594" s="611">
        <v>10</v>
      </c>
      <c r="B1594" s="494">
        <v>0</v>
      </c>
      <c r="C1594" s="495">
        <v>0</v>
      </c>
      <c r="D1594" s="496" t="str">
        <v/>
      </c>
      <c r="E1594" s="457">
        <v>0</v>
      </c>
      <c r="F1594" s="457">
        <v>0</v>
      </c>
      <c r="G1594" s="457">
        <v>0</v>
      </c>
      <c r="H1594" s="497">
        <v>0</v>
      </c>
      <c r="I1594" s="498" t="str">
        <v/>
      </c>
      <c r="J1594" s="457" t="str">
        <v/>
      </c>
      <c r="K1594" s="499" t="str">
        <v/>
      </c>
      <c r="L1594" s="676" t="s">
        <v>411</v>
      </c>
      <c r="X1594" s="664" t="s">
        <v>411</v>
      </c>
    </row>
    <row r="1595" spans="1:24" ht="11.25" customHeight="1">
      <c r="A1595" s="611">
        <v>11</v>
      </c>
      <c r="B1595" s="494">
        <v>0</v>
      </c>
      <c r="C1595" s="495">
        <v>0</v>
      </c>
      <c r="D1595" s="496" t="str">
        <v/>
      </c>
      <c r="E1595" s="457">
        <v>0</v>
      </c>
      <c r="F1595" s="457">
        <v>0</v>
      </c>
      <c r="G1595" s="457">
        <v>0</v>
      </c>
      <c r="H1595" s="497">
        <v>0</v>
      </c>
      <c r="I1595" s="498" t="str">
        <v/>
      </c>
      <c r="J1595" s="457" t="str">
        <v/>
      </c>
      <c r="K1595" s="499" t="str">
        <v/>
      </c>
      <c r="L1595" s="676" t="s">
        <v>411</v>
      </c>
      <c r="X1595" s="664" t="s">
        <v>411</v>
      </c>
    </row>
    <row r="1596" spans="1:24" ht="11.25" customHeight="1">
      <c r="A1596" s="611">
        <v>12</v>
      </c>
      <c r="B1596" s="494">
        <v>0</v>
      </c>
      <c r="C1596" s="495">
        <v>0</v>
      </c>
      <c r="D1596" s="496" t="str">
        <v/>
      </c>
      <c r="E1596" s="457">
        <v>0</v>
      </c>
      <c r="F1596" s="457">
        <v>0</v>
      </c>
      <c r="G1596" s="457">
        <v>0</v>
      </c>
      <c r="H1596" s="497">
        <v>0</v>
      </c>
      <c r="I1596" s="498" t="str">
        <v/>
      </c>
      <c r="J1596" s="457" t="str">
        <v/>
      </c>
      <c r="K1596" s="499" t="str">
        <v/>
      </c>
      <c r="L1596" s="676" t="s">
        <v>411</v>
      </c>
      <c r="X1596" s="664" t="s">
        <v>411</v>
      </c>
    </row>
    <row r="1597" spans="1:24" ht="11.25" customHeight="1">
      <c r="A1597" s="611">
        <v>13</v>
      </c>
      <c r="B1597" s="494">
        <v>0</v>
      </c>
      <c r="C1597" s="495">
        <v>0</v>
      </c>
      <c r="D1597" s="496" t="str">
        <v/>
      </c>
      <c r="E1597" s="457">
        <v>0</v>
      </c>
      <c r="F1597" s="457">
        <v>0</v>
      </c>
      <c r="G1597" s="457">
        <v>0</v>
      </c>
      <c r="H1597" s="497">
        <v>0</v>
      </c>
      <c r="I1597" s="498" t="str">
        <v/>
      </c>
      <c r="J1597" s="457" t="str">
        <v/>
      </c>
      <c r="K1597" s="499" t="str">
        <v/>
      </c>
      <c r="L1597" s="676" t="s">
        <v>411</v>
      </c>
      <c r="X1597" s="664" t="s">
        <v>411</v>
      </c>
    </row>
    <row r="1598" spans="1:24" ht="11.25" customHeight="1">
      <c r="A1598" s="611">
        <v>14</v>
      </c>
      <c r="B1598" s="494">
        <v>0</v>
      </c>
      <c r="C1598" s="495">
        <v>0</v>
      </c>
      <c r="D1598" s="496" t="str">
        <v/>
      </c>
      <c r="E1598" s="457">
        <v>0</v>
      </c>
      <c r="F1598" s="457">
        <v>0</v>
      </c>
      <c r="G1598" s="457">
        <v>0</v>
      </c>
      <c r="H1598" s="497">
        <v>0</v>
      </c>
      <c r="I1598" s="498" t="str">
        <v/>
      </c>
      <c r="J1598" s="457" t="str">
        <v/>
      </c>
      <c r="K1598" s="499" t="str">
        <v/>
      </c>
      <c r="L1598" s="676" t="s">
        <v>411</v>
      </c>
      <c r="X1598" s="664" t="s">
        <v>411</v>
      </c>
    </row>
    <row r="1599" spans="1:24" ht="11.25" customHeight="1">
      <c r="A1599" s="611">
        <v>15</v>
      </c>
      <c r="B1599" s="494">
        <v>0</v>
      </c>
      <c r="C1599" s="495">
        <v>0</v>
      </c>
      <c r="D1599" s="496" t="str">
        <v/>
      </c>
      <c r="E1599" s="457">
        <v>0</v>
      </c>
      <c r="F1599" s="457">
        <v>0</v>
      </c>
      <c r="G1599" s="457">
        <v>0</v>
      </c>
      <c r="H1599" s="497">
        <v>0</v>
      </c>
      <c r="I1599" s="498" t="str">
        <v/>
      </c>
      <c r="J1599" s="457" t="str">
        <v/>
      </c>
      <c r="K1599" s="499" t="str">
        <v/>
      </c>
      <c r="L1599" s="676" t="s">
        <v>411</v>
      </c>
      <c r="X1599" s="664" t="s">
        <v>411</v>
      </c>
    </row>
    <row r="1600" spans="1:24" ht="11.25" customHeight="1">
      <c r="A1600" s="611">
        <v>16</v>
      </c>
      <c r="B1600" s="494">
        <v>0</v>
      </c>
      <c r="C1600" s="495">
        <v>0</v>
      </c>
      <c r="D1600" s="496" t="str">
        <v/>
      </c>
      <c r="E1600" s="457">
        <v>0</v>
      </c>
      <c r="F1600" s="457">
        <v>0</v>
      </c>
      <c r="G1600" s="457">
        <v>0</v>
      </c>
      <c r="H1600" s="497">
        <v>0</v>
      </c>
      <c r="I1600" s="498" t="str">
        <v/>
      </c>
      <c r="J1600" s="457" t="str">
        <v/>
      </c>
      <c r="K1600" s="499" t="str">
        <v/>
      </c>
      <c r="L1600" s="676" t="s">
        <v>411</v>
      </c>
      <c r="X1600" s="664" t="s">
        <v>411</v>
      </c>
    </row>
    <row r="1601" spans="1:24" ht="11.25" customHeight="1">
      <c r="A1601" s="611">
        <v>17</v>
      </c>
      <c r="B1601" s="494">
        <v>0</v>
      </c>
      <c r="C1601" s="495">
        <v>0</v>
      </c>
      <c r="D1601" s="496" t="str">
        <v/>
      </c>
      <c r="E1601" s="457">
        <v>0</v>
      </c>
      <c r="F1601" s="457">
        <v>0</v>
      </c>
      <c r="G1601" s="457">
        <v>0</v>
      </c>
      <c r="H1601" s="497">
        <v>0</v>
      </c>
      <c r="I1601" s="498" t="str">
        <v/>
      </c>
      <c r="J1601" s="457" t="str">
        <v/>
      </c>
      <c r="K1601" s="499" t="str">
        <v/>
      </c>
      <c r="L1601" s="676" t="s">
        <v>411</v>
      </c>
      <c r="X1601" s="664" t="s">
        <v>411</v>
      </c>
    </row>
    <row r="1602" spans="1:24" ht="11.25" customHeight="1">
      <c r="A1602" s="611">
        <v>18</v>
      </c>
      <c r="B1602" s="494">
        <v>0</v>
      </c>
      <c r="C1602" s="495">
        <v>0</v>
      </c>
      <c r="D1602" s="496" t="str">
        <v/>
      </c>
      <c r="E1602" s="457">
        <v>0</v>
      </c>
      <c r="F1602" s="457">
        <v>0</v>
      </c>
      <c r="G1602" s="457">
        <v>0</v>
      </c>
      <c r="H1602" s="497">
        <v>0</v>
      </c>
      <c r="I1602" s="498" t="str">
        <v/>
      </c>
      <c r="J1602" s="457" t="str">
        <v/>
      </c>
      <c r="K1602" s="499" t="str">
        <v/>
      </c>
      <c r="L1602" s="676" t="s">
        <v>411</v>
      </c>
      <c r="X1602" s="664" t="s">
        <v>411</v>
      </c>
    </row>
    <row r="1603" spans="1:24" ht="11.25" customHeight="1">
      <c r="A1603" s="611">
        <v>19</v>
      </c>
      <c r="B1603" s="494">
        <v>0</v>
      </c>
      <c r="C1603" s="495">
        <v>0</v>
      </c>
      <c r="D1603" s="496" t="str">
        <v/>
      </c>
      <c r="E1603" s="457">
        <v>0</v>
      </c>
      <c r="F1603" s="457">
        <v>0</v>
      </c>
      <c r="G1603" s="457">
        <v>0</v>
      </c>
      <c r="H1603" s="497">
        <v>0</v>
      </c>
      <c r="I1603" s="498" t="str">
        <v/>
      </c>
      <c r="J1603" s="457" t="str">
        <v/>
      </c>
      <c r="K1603" s="499" t="str">
        <v/>
      </c>
      <c r="L1603" s="676" t="s">
        <v>411</v>
      </c>
      <c r="X1603" s="664" t="s">
        <v>411</v>
      </c>
    </row>
    <row r="1604" spans="1:24" ht="11.25" customHeight="1">
      <c r="A1604" s="611">
        <v>20</v>
      </c>
      <c r="B1604" s="494">
        <v>0</v>
      </c>
      <c r="C1604" s="495">
        <v>0</v>
      </c>
      <c r="D1604" s="496" t="str">
        <v/>
      </c>
      <c r="E1604" s="457">
        <v>0</v>
      </c>
      <c r="F1604" s="457">
        <v>0</v>
      </c>
      <c r="G1604" s="457">
        <v>0</v>
      </c>
      <c r="H1604" s="497">
        <v>0</v>
      </c>
      <c r="I1604" s="498" t="str">
        <v/>
      </c>
      <c r="J1604" s="457" t="str">
        <v/>
      </c>
      <c r="K1604" s="499" t="str">
        <v/>
      </c>
      <c r="L1604" s="676" t="s">
        <v>411</v>
      </c>
      <c r="X1604" s="664" t="s">
        <v>411</v>
      </c>
    </row>
    <row r="1605" spans="1:24" ht="11.25" customHeight="1">
      <c r="A1605" s="611">
        <v>21</v>
      </c>
      <c r="B1605" s="494">
        <v>0</v>
      </c>
      <c r="C1605" s="495">
        <v>0</v>
      </c>
      <c r="D1605" s="496" t="str">
        <v/>
      </c>
      <c r="E1605" s="457">
        <v>0</v>
      </c>
      <c r="F1605" s="457">
        <v>0</v>
      </c>
      <c r="G1605" s="457">
        <v>0</v>
      </c>
      <c r="H1605" s="497">
        <v>0</v>
      </c>
      <c r="I1605" s="498" t="str">
        <v/>
      </c>
      <c r="J1605" s="457" t="str">
        <v/>
      </c>
      <c r="K1605" s="499" t="str">
        <v/>
      </c>
      <c r="L1605" s="676" t="s">
        <v>411</v>
      </c>
      <c r="X1605" s="664" t="s">
        <v>411</v>
      </c>
    </row>
    <row r="1606" spans="1:24" ht="11.25" customHeight="1">
      <c r="A1606" s="611">
        <v>22</v>
      </c>
      <c r="B1606" s="494">
        <v>0</v>
      </c>
      <c r="C1606" s="495">
        <v>0</v>
      </c>
      <c r="D1606" s="496" t="str">
        <v/>
      </c>
      <c r="E1606" s="457">
        <v>0</v>
      </c>
      <c r="F1606" s="457">
        <v>0</v>
      </c>
      <c r="G1606" s="457">
        <v>0</v>
      </c>
      <c r="H1606" s="497">
        <v>0</v>
      </c>
      <c r="I1606" s="498" t="str">
        <v/>
      </c>
      <c r="J1606" s="457" t="str">
        <v/>
      </c>
      <c r="K1606" s="499" t="str">
        <v/>
      </c>
      <c r="L1606" s="676" t="s">
        <v>411</v>
      </c>
      <c r="X1606" s="664" t="s">
        <v>411</v>
      </c>
    </row>
    <row r="1607" spans="1:24" ht="11.25" customHeight="1">
      <c r="A1607" s="611">
        <v>23</v>
      </c>
      <c r="B1607" s="494">
        <v>0</v>
      </c>
      <c r="C1607" s="495">
        <v>0</v>
      </c>
      <c r="D1607" s="496" t="str">
        <v/>
      </c>
      <c r="E1607" s="457">
        <v>0</v>
      </c>
      <c r="F1607" s="457">
        <v>0</v>
      </c>
      <c r="G1607" s="457">
        <v>0</v>
      </c>
      <c r="H1607" s="497">
        <v>0</v>
      </c>
      <c r="I1607" s="498" t="str">
        <v/>
      </c>
      <c r="J1607" s="457" t="str">
        <v/>
      </c>
      <c r="K1607" s="499" t="str">
        <v/>
      </c>
      <c r="L1607" s="676" t="s">
        <v>411</v>
      </c>
      <c r="X1607" s="664" t="s">
        <v>411</v>
      </c>
    </row>
    <row r="1608" spans="1:24" ht="11.25" customHeight="1">
      <c r="A1608" s="611">
        <v>24</v>
      </c>
      <c r="B1608" s="494">
        <v>0</v>
      </c>
      <c r="C1608" s="495">
        <v>0</v>
      </c>
      <c r="D1608" s="496" t="str">
        <v/>
      </c>
      <c r="E1608" s="457">
        <v>0</v>
      </c>
      <c r="F1608" s="457">
        <v>0</v>
      </c>
      <c r="G1608" s="457">
        <v>0</v>
      </c>
      <c r="H1608" s="497">
        <v>0</v>
      </c>
      <c r="I1608" s="498" t="str">
        <v/>
      </c>
      <c r="J1608" s="457" t="str">
        <v/>
      </c>
      <c r="K1608" s="499" t="str">
        <v/>
      </c>
      <c r="L1608" s="676" t="s">
        <v>411</v>
      </c>
      <c r="X1608" s="664" t="s">
        <v>411</v>
      </c>
    </row>
    <row r="1609" spans="1:24" ht="11.25" customHeight="1">
      <c r="A1609" s="611">
        <v>25</v>
      </c>
      <c r="B1609" s="494">
        <v>0</v>
      </c>
      <c r="C1609" s="495">
        <v>0</v>
      </c>
      <c r="D1609" s="496" t="str">
        <v/>
      </c>
      <c r="E1609" s="457">
        <v>0</v>
      </c>
      <c r="F1609" s="457">
        <v>0</v>
      </c>
      <c r="G1609" s="457">
        <v>0</v>
      </c>
      <c r="H1609" s="497">
        <v>0</v>
      </c>
      <c r="I1609" s="498" t="str">
        <v/>
      </c>
      <c r="J1609" s="457" t="str">
        <v/>
      </c>
      <c r="K1609" s="499" t="str">
        <v/>
      </c>
      <c r="L1609" s="676" t="s">
        <v>411</v>
      </c>
      <c r="X1609" s="664" t="s">
        <v>411</v>
      </c>
    </row>
    <row r="1610" spans="1:24" ht="11.25" customHeight="1">
      <c r="A1610" s="611">
        <v>26</v>
      </c>
      <c r="B1610" s="494">
        <v>0</v>
      </c>
      <c r="C1610" s="495">
        <v>0</v>
      </c>
      <c r="D1610" s="496" t="str">
        <v/>
      </c>
      <c r="E1610" s="457">
        <v>0</v>
      </c>
      <c r="F1610" s="457">
        <v>0</v>
      </c>
      <c r="G1610" s="457">
        <v>0</v>
      </c>
      <c r="H1610" s="497">
        <v>0</v>
      </c>
      <c r="I1610" s="498" t="str">
        <v/>
      </c>
      <c r="J1610" s="457" t="str">
        <v/>
      </c>
      <c r="K1610" s="499" t="str">
        <v/>
      </c>
      <c r="L1610" s="676" t="s">
        <v>411</v>
      </c>
      <c r="X1610" s="664" t="s">
        <v>411</v>
      </c>
    </row>
    <row r="1611" spans="1:24" ht="11.25" customHeight="1">
      <c r="A1611" s="611">
        <v>27</v>
      </c>
      <c r="B1611" s="494">
        <v>0</v>
      </c>
      <c r="C1611" s="495">
        <v>0</v>
      </c>
      <c r="D1611" s="496" t="str">
        <v/>
      </c>
      <c r="E1611" s="49">
        <v>0</v>
      </c>
      <c r="F1611" s="457">
        <v>0</v>
      </c>
      <c r="G1611" s="457">
        <v>0</v>
      </c>
      <c r="H1611" s="497">
        <v>0</v>
      </c>
      <c r="I1611" s="498" t="str">
        <v/>
      </c>
      <c r="J1611" s="500" t="str">
        <v/>
      </c>
      <c r="K1611" s="499" t="str">
        <v/>
      </c>
      <c r="L1611" s="676" t="s">
        <v>411</v>
      </c>
      <c r="X1611" s="664" t="s">
        <v>411</v>
      </c>
    </row>
    <row r="1612" spans="1:24" ht="11.25" customHeight="1">
      <c r="A1612" s="611">
        <v>28</v>
      </c>
      <c r="B1612" s="494">
        <v>0</v>
      </c>
      <c r="C1612" s="495">
        <v>0</v>
      </c>
      <c r="D1612" s="496" t="str">
        <v/>
      </c>
      <c r="E1612" s="99">
        <v>0</v>
      </c>
      <c r="F1612" s="457">
        <v>0</v>
      </c>
      <c r="G1612" s="457">
        <v>0</v>
      </c>
      <c r="H1612" s="497">
        <v>0</v>
      </c>
      <c r="I1612" s="498" t="str">
        <v/>
      </c>
      <c r="J1612" s="500" t="str">
        <v/>
      </c>
      <c r="K1612" s="499" t="str">
        <v/>
      </c>
      <c r="L1612" s="676" t="s">
        <v>411</v>
      </c>
      <c r="X1612" s="664" t="s">
        <v>411</v>
      </c>
    </row>
    <row r="1613" spans="1:24" ht="11.25" customHeight="1">
      <c r="A1613" s="611">
        <v>29</v>
      </c>
      <c r="B1613" s="494">
        <v>0</v>
      </c>
      <c r="C1613" s="495">
        <v>0</v>
      </c>
      <c r="D1613" s="496" t="str">
        <v/>
      </c>
      <c r="E1613" s="99">
        <v>0</v>
      </c>
      <c r="F1613" s="457">
        <v>0</v>
      </c>
      <c r="G1613" s="457">
        <v>0</v>
      </c>
      <c r="H1613" s="497">
        <v>0</v>
      </c>
      <c r="I1613" s="498" t="str">
        <v/>
      </c>
      <c r="J1613" s="500" t="str">
        <v/>
      </c>
      <c r="K1613" s="499" t="str">
        <v/>
      </c>
      <c r="L1613" s="676" t="s">
        <v>411</v>
      </c>
      <c r="X1613" s="664" t="s">
        <v>411</v>
      </c>
    </row>
    <row r="1614" spans="1:24" ht="11.25" customHeight="1">
      <c r="A1614" s="611">
        <v>30</v>
      </c>
      <c r="B1614" s="494">
        <v>0</v>
      </c>
      <c r="C1614" s="495">
        <v>0</v>
      </c>
      <c r="D1614" s="496" t="str">
        <v/>
      </c>
      <c r="E1614" s="99">
        <v>0</v>
      </c>
      <c r="F1614" s="457">
        <v>0</v>
      </c>
      <c r="G1614" s="457">
        <v>0</v>
      </c>
      <c r="H1614" s="497">
        <v>0</v>
      </c>
      <c r="I1614" s="498" t="str">
        <v/>
      </c>
      <c r="J1614" s="500" t="str">
        <v/>
      </c>
      <c r="K1614" s="499" t="str">
        <v/>
      </c>
      <c r="L1614" s="676" t="s">
        <v>411</v>
      </c>
      <c r="X1614" s="664" t="s">
        <v>411</v>
      </c>
    </row>
    <row r="1615" spans="1:24" ht="11.25" customHeight="1">
      <c r="A1615" s="611">
        <v>31</v>
      </c>
      <c r="B1615" s="494">
        <v>0</v>
      </c>
      <c r="C1615" s="495">
        <v>0</v>
      </c>
      <c r="D1615" s="496" t="str">
        <v/>
      </c>
      <c r="E1615" s="99">
        <v>0</v>
      </c>
      <c r="F1615" s="457">
        <v>0</v>
      </c>
      <c r="G1615" s="457">
        <v>0</v>
      </c>
      <c r="H1615" s="497">
        <v>0</v>
      </c>
      <c r="I1615" s="498" t="str">
        <v/>
      </c>
      <c r="J1615" s="500" t="str">
        <v/>
      </c>
      <c r="K1615" s="499" t="str">
        <v/>
      </c>
      <c r="L1615" s="676" t="s">
        <v>411</v>
      </c>
      <c r="X1615" s="664" t="s">
        <v>411</v>
      </c>
    </row>
    <row r="1616" spans="1:24" ht="11.25" customHeight="1">
      <c r="A1616" s="611">
        <v>32</v>
      </c>
      <c r="B1616" s="494">
        <v>0</v>
      </c>
      <c r="C1616" s="495">
        <v>0</v>
      </c>
      <c r="D1616" s="496" t="str">
        <v/>
      </c>
      <c r="E1616" s="99">
        <v>0</v>
      </c>
      <c r="F1616" s="457">
        <v>0</v>
      </c>
      <c r="G1616" s="457">
        <v>0</v>
      </c>
      <c r="H1616" s="497">
        <v>0</v>
      </c>
      <c r="I1616" s="498" t="str">
        <v/>
      </c>
      <c r="J1616" s="500" t="str">
        <v/>
      </c>
      <c r="K1616" s="499" t="str">
        <v/>
      </c>
      <c r="L1616" s="676" t="s">
        <v>411</v>
      </c>
      <c r="X1616" s="664" t="s">
        <v>411</v>
      </c>
    </row>
    <row r="1617" spans="1:24" ht="11.25" customHeight="1">
      <c r="A1617" s="611">
        <v>33</v>
      </c>
      <c r="B1617" s="494">
        <v>0</v>
      </c>
      <c r="C1617" s="495">
        <v>0</v>
      </c>
      <c r="D1617" s="496" t="str">
        <v/>
      </c>
      <c r="E1617" s="99">
        <v>0</v>
      </c>
      <c r="F1617" s="457">
        <v>0</v>
      </c>
      <c r="G1617" s="457">
        <v>0</v>
      </c>
      <c r="H1617" s="497">
        <v>0</v>
      </c>
      <c r="I1617" s="498" t="str">
        <v/>
      </c>
      <c r="J1617" s="500" t="str">
        <v/>
      </c>
      <c r="K1617" s="499" t="str">
        <v/>
      </c>
      <c r="L1617" s="676" t="s">
        <v>411</v>
      </c>
      <c r="X1617" s="664" t="s">
        <v>411</v>
      </c>
    </row>
    <row r="1618" spans="1:24" ht="11.25" customHeight="1">
      <c r="A1618" s="611">
        <v>34</v>
      </c>
      <c r="B1618" s="494">
        <v>0</v>
      </c>
      <c r="C1618" s="495">
        <v>0</v>
      </c>
      <c r="D1618" s="496" t="str">
        <v/>
      </c>
      <c r="E1618" s="99">
        <v>0</v>
      </c>
      <c r="F1618" s="457">
        <v>0</v>
      </c>
      <c r="G1618" s="457">
        <v>0</v>
      </c>
      <c r="H1618" s="497">
        <v>0</v>
      </c>
      <c r="I1618" s="498" t="str">
        <v/>
      </c>
      <c r="J1618" s="500" t="str">
        <v/>
      </c>
      <c r="K1618" s="499" t="str">
        <v/>
      </c>
      <c r="L1618" s="676" t="s">
        <v>411</v>
      </c>
      <c r="X1618" s="664" t="s">
        <v>411</v>
      </c>
    </row>
    <row r="1619" spans="1:24" ht="11.25" customHeight="1">
      <c r="A1619" s="611">
        <v>35</v>
      </c>
      <c r="B1619" s="494">
        <v>0</v>
      </c>
      <c r="C1619" s="495">
        <v>0</v>
      </c>
      <c r="D1619" s="496" t="str">
        <v/>
      </c>
      <c r="E1619" s="99">
        <v>0</v>
      </c>
      <c r="F1619" s="457">
        <v>0</v>
      </c>
      <c r="G1619" s="457">
        <v>0</v>
      </c>
      <c r="H1619" s="497">
        <v>0</v>
      </c>
      <c r="I1619" s="498" t="str">
        <v/>
      </c>
      <c r="J1619" s="500" t="str">
        <v/>
      </c>
      <c r="K1619" s="499" t="str">
        <v/>
      </c>
      <c r="L1619" s="676" t="s">
        <v>411</v>
      </c>
      <c r="X1619" s="664" t="s">
        <v>411</v>
      </c>
    </row>
    <row r="1620" spans="1:24" ht="11.25" customHeight="1">
      <c r="A1620" s="611">
        <v>36</v>
      </c>
      <c r="B1620" s="494">
        <v>0</v>
      </c>
      <c r="C1620" s="495">
        <v>0</v>
      </c>
      <c r="D1620" s="496" t="str">
        <v/>
      </c>
      <c r="E1620" s="99">
        <v>0</v>
      </c>
      <c r="F1620" s="457">
        <v>0</v>
      </c>
      <c r="G1620" s="457">
        <v>0</v>
      </c>
      <c r="H1620" s="497">
        <v>0</v>
      </c>
      <c r="I1620" s="498" t="str">
        <v/>
      </c>
      <c r="J1620" s="500" t="str">
        <v/>
      </c>
      <c r="K1620" s="499" t="str">
        <v/>
      </c>
      <c r="L1620" s="676" t="s">
        <v>411</v>
      </c>
      <c r="X1620" s="664" t="s">
        <v>411</v>
      </c>
    </row>
    <row r="1621" spans="1:24" ht="11.25" customHeight="1">
      <c r="A1621" s="611">
        <v>37</v>
      </c>
      <c r="B1621" s="494">
        <v>0</v>
      </c>
      <c r="C1621" s="495">
        <v>0</v>
      </c>
      <c r="D1621" s="496" t="str">
        <v/>
      </c>
      <c r="E1621" s="99">
        <v>0</v>
      </c>
      <c r="F1621" s="457">
        <v>0</v>
      </c>
      <c r="G1621" s="457">
        <v>0</v>
      </c>
      <c r="H1621" s="497">
        <v>0</v>
      </c>
      <c r="I1621" s="498" t="str">
        <v/>
      </c>
      <c r="J1621" s="500" t="str">
        <v/>
      </c>
      <c r="K1621" s="499" t="str">
        <v/>
      </c>
      <c r="L1621" s="676" t="s">
        <v>411</v>
      </c>
      <c r="X1621" s="664" t="s">
        <v>411</v>
      </c>
    </row>
    <row r="1622" spans="1:24" ht="11.25" customHeight="1">
      <c r="A1622" s="611">
        <v>38</v>
      </c>
      <c r="B1622" s="494">
        <v>0</v>
      </c>
      <c r="C1622" s="495">
        <v>0</v>
      </c>
      <c r="D1622" s="496" t="str">
        <v/>
      </c>
      <c r="E1622" s="99">
        <v>0</v>
      </c>
      <c r="F1622" s="457">
        <v>0</v>
      </c>
      <c r="G1622" s="457">
        <v>0</v>
      </c>
      <c r="H1622" s="497">
        <v>0</v>
      </c>
      <c r="I1622" s="498" t="str">
        <v/>
      </c>
      <c r="J1622" s="500" t="str">
        <v/>
      </c>
      <c r="K1622" s="499" t="str">
        <v/>
      </c>
      <c r="L1622" s="676" t="s">
        <v>411</v>
      </c>
      <c r="X1622" s="664" t="s">
        <v>411</v>
      </c>
    </row>
    <row r="1623" spans="1:24" ht="11.25" customHeight="1">
      <c r="A1623" s="611">
        <v>39</v>
      </c>
      <c r="B1623" s="494">
        <v>0</v>
      </c>
      <c r="C1623" s="495">
        <v>0</v>
      </c>
      <c r="D1623" s="496" t="str">
        <v/>
      </c>
      <c r="E1623" s="99">
        <v>0</v>
      </c>
      <c r="F1623" s="457">
        <v>0</v>
      </c>
      <c r="G1623" s="457">
        <v>0</v>
      </c>
      <c r="H1623" s="497">
        <v>0</v>
      </c>
      <c r="I1623" s="498" t="str">
        <v/>
      </c>
      <c r="J1623" s="500" t="str">
        <v/>
      </c>
      <c r="K1623" s="499" t="str">
        <v/>
      </c>
      <c r="L1623" s="676" t="s">
        <v>411</v>
      </c>
      <c r="X1623" s="664" t="s">
        <v>411</v>
      </c>
    </row>
    <row r="1624" spans="1:24" ht="11.25" customHeight="1">
      <c r="A1624" s="611">
        <v>40</v>
      </c>
      <c r="B1624" s="494">
        <v>0</v>
      </c>
      <c r="C1624" s="495">
        <v>0</v>
      </c>
      <c r="D1624" s="496" t="str">
        <v/>
      </c>
      <c r="E1624" s="99">
        <v>0</v>
      </c>
      <c r="F1624" s="457">
        <v>0</v>
      </c>
      <c r="G1624" s="457">
        <v>0</v>
      </c>
      <c r="H1624" s="497">
        <v>0</v>
      </c>
      <c r="I1624" s="498" t="str">
        <v/>
      </c>
      <c r="J1624" s="457" t="str">
        <v/>
      </c>
      <c r="K1624" s="499" t="str">
        <v/>
      </c>
      <c r="L1624" s="676" t="s">
        <v>411</v>
      </c>
      <c r="X1624" s="664" t="s">
        <v>411</v>
      </c>
    </row>
    <row r="1625" spans="1:24" ht="11.25" customHeight="1">
      <c r="A1625" s="611">
        <v>41</v>
      </c>
      <c r="B1625" s="494">
        <v>0</v>
      </c>
      <c r="C1625" s="495">
        <v>0</v>
      </c>
      <c r="D1625" s="496" t="str">
        <v/>
      </c>
      <c r="E1625" s="99">
        <v>0</v>
      </c>
      <c r="F1625" s="457">
        <v>0</v>
      </c>
      <c r="G1625" s="457">
        <v>0</v>
      </c>
      <c r="H1625" s="497">
        <v>0</v>
      </c>
      <c r="I1625" s="498" t="str">
        <v/>
      </c>
      <c r="J1625" s="457" t="str">
        <v/>
      </c>
      <c r="K1625" s="499" t="str">
        <v/>
      </c>
      <c r="L1625" s="676" t="s">
        <v>411</v>
      </c>
      <c r="X1625" s="664" t="s">
        <v>411</v>
      </c>
    </row>
    <row r="1626" spans="1:24" ht="11.25" customHeight="1">
      <c r="A1626" s="611">
        <v>42</v>
      </c>
      <c r="B1626" s="494">
        <v>0</v>
      </c>
      <c r="C1626" s="495">
        <v>0</v>
      </c>
      <c r="D1626" s="496" t="str">
        <v/>
      </c>
      <c r="E1626" s="457">
        <v>0</v>
      </c>
      <c r="F1626" s="457">
        <v>0</v>
      </c>
      <c r="G1626" s="457">
        <v>0</v>
      </c>
      <c r="H1626" s="497">
        <v>0</v>
      </c>
      <c r="I1626" s="498" t="str">
        <v/>
      </c>
      <c r="J1626" s="457" t="str">
        <v/>
      </c>
      <c r="K1626" s="499" t="str">
        <v/>
      </c>
      <c r="L1626" s="676" t="s">
        <v>411</v>
      </c>
      <c r="X1626" s="664" t="s">
        <v>411</v>
      </c>
    </row>
    <row r="1627" spans="1:24" ht="11.25" customHeight="1">
      <c r="A1627" s="611">
        <v>43</v>
      </c>
      <c r="B1627" s="494">
        <v>0</v>
      </c>
      <c r="C1627" s="495">
        <v>0</v>
      </c>
      <c r="D1627" s="496" t="str">
        <v/>
      </c>
      <c r="E1627" s="457">
        <v>0</v>
      </c>
      <c r="F1627" s="457">
        <v>0</v>
      </c>
      <c r="G1627" s="457">
        <v>0</v>
      </c>
      <c r="H1627" s="497">
        <v>0</v>
      </c>
      <c r="I1627" s="498" t="str">
        <v/>
      </c>
      <c r="J1627" s="457" t="str">
        <v/>
      </c>
      <c r="K1627" s="499" t="str">
        <v/>
      </c>
      <c r="L1627" s="676" t="s">
        <v>411</v>
      </c>
      <c r="X1627" s="664" t="s">
        <v>411</v>
      </c>
    </row>
    <row r="1628" spans="1:24" ht="11.25" customHeight="1">
      <c r="A1628" s="611">
        <v>44</v>
      </c>
      <c r="B1628" s="494">
        <v>0</v>
      </c>
      <c r="C1628" s="495">
        <v>0</v>
      </c>
      <c r="D1628" s="496" t="str">
        <v/>
      </c>
      <c r="E1628" s="457">
        <v>0</v>
      </c>
      <c r="F1628" s="457">
        <v>0</v>
      </c>
      <c r="G1628" s="457">
        <v>0</v>
      </c>
      <c r="H1628" s="497">
        <v>0</v>
      </c>
      <c r="I1628" s="498" t="str">
        <v/>
      </c>
      <c r="J1628" s="457" t="str">
        <v/>
      </c>
      <c r="K1628" s="499" t="str">
        <v/>
      </c>
      <c r="L1628" s="676" t="s">
        <v>411</v>
      </c>
      <c r="X1628" s="664" t="s">
        <v>411</v>
      </c>
    </row>
    <row r="1629" spans="1:24" ht="11.25" customHeight="1">
      <c r="A1629" s="611">
        <v>45</v>
      </c>
      <c r="B1629" s="494">
        <v>0</v>
      </c>
      <c r="C1629" s="495">
        <v>0</v>
      </c>
      <c r="D1629" s="496" t="str">
        <v/>
      </c>
      <c r="E1629" s="457">
        <v>0</v>
      </c>
      <c r="F1629" s="457">
        <v>0</v>
      </c>
      <c r="G1629" s="457">
        <v>0</v>
      </c>
      <c r="H1629" s="497">
        <v>0</v>
      </c>
      <c r="I1629" s="498" t="str">
        <v/>
      </c>
      <c r="J1629" s="457" t="str">
        <v/>
      </c>
      <c r="K1629" s="499" t="str">
        <v/>
      </c>
      <c r="L1629" s="676" t="s">
        <v>411</v>
      </c>
      <c r="X1629" s="664" t="s">
        <v>411</v>
      </c>
    </row>
    <row r="1630" spans="1:24" ht="11.25" customHeight="1">
      <c r="A1630" s="611">
        <v>46</v>
      </c>
      <c r="B1630" s="494">
        <v>0</v>
      </c>
      <c r="C1630" s="495">
        <v>0</v>
      </c>
      <c r="D1630" s="496" t="str">
        <v/>
      </c>
      <c r="E1630" s="457">
        <v>0</v>
      </c>
      <c r="F1630" s="457">
        <v>0</v>
      </c>
      <c r="G1630" s="457">
        <v>0</v>
      </c>
      <c r="H1630" s="497">
        <v>0</v>
      </c>
      <c r="I1630" s="498" t="str">
        <v/>
      </c>
      <c r="J1630" s="457" t="str">
        <v/>
      </c>
      <c r="K1630" s="499" t="str">
        <v/>
      </c>
      <c r="L1630" s="676" t="s">
        <v>411</v>
      </c>
      <c r="X1630" s="664" t="s">
        <v>411</v>
      </c>
    </row>
    <row r="1631" spans="1:24" ht="11.25" customHeight="1">
      <c r="A1631" s="611">
        <v>47</v>
      </c>
      <c r="B1631" s="494">
        <v>0</v>
      </c>
      <c r="C1631" s="495">
        <v>0</v>
      </c>
      <c r="D1631" s="496" t="str">
        <v/>
      </c>
      <c r="E1631" s="457">
        <v>0</v>
      </c>
      <c r="F1631" s="457">
        <v>0</v>
      </c>
      <c r="G1631" s="457">
        <v>0</v>
      </c>
      <c r="H1631" s="497">
        <v>0</v>
      </c>
      <c r="I1631" s="498" t="str">
        <v/>
      </c>
      <c r="J1631" s="457" t="str">
        <v/>
      </c>
      <c r="K1631" s="499" t="str">
        <v/>
      </c>
      <c r="L1631" s="676" t="s">
        <v>411</v>
      </c>
      <c r="X1631" s="664" t="s">
        <v>411</v>
      </c>
    </row>
    <row r="1632" spans="1:24" ht="11.25" customHeight="1">
      <c r="A1632" s="611">
        <v>48</v>
      </c>
      <c r="B1632" s="127"/>
      <c r="K1632" s="71"/>
      <c r="L1632" s="676" t="s">
        <v>411</v>
      </c>
      <c r="X1632" s="664" t="s">
        <v>411</v>
      </c>
    </row>
    <row r="1633" spans="1:24" ht="11.25" customHeight="1" thickBot="1">
      <c r="A1633" s="611">
        <v>49</v>
      </c>
      <c r="B1633" s="98"/>
      <c r="C1633" s="83"/>
      <c r="D1633" s="83"/>
      <c r="E1633" s="83"/>
      <c r="F1633" s="83"/>
      <c r="G1633" s="83"/>
      <c r="H1633" s="83"/>
      <c r="I1633" s="83"/>
      <c r="J1633" s="83"/>
      <c r="K1633" s="86"/>
      <c r="L1633" s="676" t="s">
        <v>411</v>
      </c>
      <c r="X1633" s="664" t="s">
        <v>411</v>
      </c>
    </row>
    <row r="1634" spans="1:24" ht="11.25" customHeight="1" thickTop="1">
      <c r="A1634" s="611">
        <v>50</v>
      </c>
      <c r="L1634" s="676" t="s">
        <v>411</v>
      </c>
      <c r="X1634" s="664" t="s">
        <v>411</v>
      </c>
    </row>
    <row r="1635" spans="1:24" ht="11.25" customHeight="1">
      <c r="A1635" s="611">
        <v>51</v>
      </c>
      <c r="L1635" s="676" t="s">
        <v>411</v>
      </c>
      <c r="X1635" s="664" t="s">
        <v>411</v>
      </c>
    </row>
    <row r="1636" spans="1:24" ht="11.25" customHeight="1">
      <c r="A1636" s="611">
        <v>52</v>
      </c>
      <c r="L1636" s="676" t="s">
        <v>411</v>
      </c>
      <c r="X1636" s="664" t="s">
        <v>411</v>
      </c>
    </row>
    <row r="1637" spans="1:24" ht="11.25" customHeight="1">
      <c r="A1637" s="611">
        <v>53</v>
      </c>
      <c r="L1637" s="676" t="s">
        <v>411</v>
      </c>
      <c r="X1637" s="664" t="s">
        <v>411</v>
      </c>
    </row>
    <row r="1638" spans="1:24" ht="11.25" customHeight="1">
      <c r="A1638" s="611">
        <v>54</v>
      </c>
      <c r="L1638" s="676" t="s">
        <v>411</v>
      </c>
      <c r="X1638" s="664" t="s">
        <v>411</v>
      </c>
    </row>
    <row r="1639" spans="1:24" ht="11.25" customHeight="1">
      <c r="A1639" s="611">
        <v>55</v>
      </c>
      <c r="L1639" s="676" t="s">
        <v>411</v>
      </c>
      <c r="X1639" s="664" t="s">
        <v>411</v>
      </c>
    </row>
    <row r="1640" spans="1:24" ht="11.25" customHeight="1">
      <c r="A1640" s="611">
        <v>56</v>
      </c>
      <c r="L1640" s="676" t="s">
        <v>411</v>
      </c>
      <c r="X1640" s="664" t="s">
        <v>411</v>
      </c>
    </row>
    <row r="1641" spans="1:24" ht="11.25" customHeight="1">
      <c r="A1641" s="611">
        <v>57</v>
      </c>
      <c r="L1641" s="676" t="s">
        <v>411</v>
      </c>
      <c r="X1641" s="664" t="s">
        <v>411</v>
      </c>
    </row>
    <row r="1642" spans="1:24" ht="11.25" customHeight="1">
      <c r="A1642" s="611">
        <v>58</v>
      </c>
      <c r="L1642" s="676" t="s">
        <v>411</v>
      </c>
      <c r="X1642" s="664" t="s">
        <v>411</v>
      </c>
    </row>
    <row r="1643" spans="1:24" ht="11.25" customHeight="1">
      <c r="A1643" s="611">
        <v>59</v>
      </c>
      <c r="L1643" s="676" t="s">
        <v>411</v>
      </c>
      <c r="X1643" s="664" t="s">
        <v>411</v>
      </c>
    </row>
    <row r="1644" spans="1:24" ht="11.25" customHeight="1">
      <c r="A1644" s="611">
        <v>60</v>
      </c>
      <c r="L1644" s="676" t="s">
        <v>411</v>
      </c>
      <c r="X1644" s="664" t="s">
        <v>411</v>
      </c>
    </row>
    <row r="1645" spans="1:24" ht="11.25" customHeight="1">
      <c r="A1645" s="611">
        <v>61</v>
      </c>
      <c r="L1645" s="676" t="s">
        <v>411</v>
      </c>
      <c r="X1645" s="664" t="s">
        <v>411</v>
      </c>
    </row>
    <row r="1646" spans="1:24" ht="11.25" customHeight="1">
      <c r="A1646" s="611">
        <v>62</v>
      </c>
      <c r="L1646" s="676" t="s">
        <v>411</v>
      </c>
      <c r="X1646" s="664" t="s">
        <v>411</v>
      </c>
    </row>
    <row r="1647" spans="1:24" ht="11.25" customHeight="1">
      <c r="A1647" s="611">
        <v>63</v>
      </c>
      <c r="L1647" s="676" t="s">
        <v>411</v>
      </c>
      <c r="X1647" s="664" t="s">
        <v>411</v>
      </c>
    </row>
    <row r="1648" spans="1:24" ht="11.25" customHeight="1">
      <c r="A1648" s="611">
        <v>64</v>
      </c>
      <c r="L1648" s="676" t="s">
        <v>411</v>
      </c>
      <c r="X1648" s="664" t="s">
        <v>411</v>
      </c>
    </row>
    <row r="1649" spans="1:24" ht="11.25" customHeight="1">
      <c r="A1649" s="611">
        <v>65</v>
      </c>
      <c r="B1649" s="52" t="str">
        <f t="array" ref="B1649:C1650">$B$65:$C$66</f>
        <v>Date:</v>
      </c>
      <c r="C1649" s="1133" t="str">
        <v/>
      </c>
      <c r="E1649" s="51"/>
      <c r="F1649" s="51"/>
      <c r="G1649" s="51"/>
      <c r="H1649" s="51"/>
      <c r="I1649" s="52" t="str">
        <f t="array" ref="I1649:J1650">$I$65:$J$66</f>
        <v>Inspector:</v>
      </c>
      <c r="J1649" s="421" t="str">
        <v>Eugene Mah</v>
      </c>
      <c r="L1649" s="676" t="s">
        <v>411</v>
      </c>
      <c r="X1649" s="664" t="s">
        <v>411</v>
      </c>
    </row>
    <row r="1650" spans="1:24" ht="11.25" customHeight="1">
      <c r="A1650" s="611">
        <v>66</v>
      </c>
      <c r="B1650" s="52" t="str">
        <v>Room Number:</v>
      </c>
      <c r="C1650" s="373" t="str">
        <v/>
      </c>
      <c r="E1650" s="51"/>
      <c r="F1650" s="51"/>
      <c r="G1650" s="51"/>
      <c r="H1650" s="51"/>
      <c r="I1650" s="52" t="str">
        <v>Survey ID:</v>
      </c>
      <c r="J1650" s="1045" t="str">
        <v/>
      </c>
      <c r="L1650" s="676" t="s">
        <v>411</v>
      </c>
      <c r="X1650" s="664" t="s">
        <v>411</v>
      </c>
    </row>
    <row r="1651" spans="1:24" ht="11.25" customHeight="1">
      <c r="A1651" s="611">
        <v>1</v>
      </c>
      <c r="K1651" s="131" t="str">
        <f>$F$2</f>
        <v>Medical University of South Carolina</v>
      </c>
      <c r="L1651" s="676" t="s">
        <v>411</v>
      </c>
      <c r="X1651" s="664" t="s">
        <v>411</v>
      </c>
    </row>
    <row r="1652" spans="1:24" ht="11.25" customHeight="1">
      <c r="A1652" s="611">
        <v>2</v>
      </c>
      <c r="K1652" s="132" t="str">
        <f>$F$5</f>
        <v>Radiographic System Compliance Inspection</v>
      </c>
      <c r="L1652" s="676" t="s">
        <v>411</v>
      </c>
      <c r="X1652" s="664" t="s">
        <v>411</v>
      </c>
    </row>
    <row r="1653" spans="1:24" ht="11.25" customHeight="1">
      <c r="A1653" s="611">
        <v>3</v>
      </c>
      <c r="B1653" s="49"/>
      <c r="C1653" s="49"/>
      <c r="D1653" s="49"/>
      <c r="E1653" s="49"/>
      <c r="F1653" s="49"/>
      <c r="G1653" s="49"/>
      <c r="H1653" s="49"/>
      <c r="I1653" s="49"/>
      <c r="J1653" s="49"/>
      <c r="K1653" s="49"/>
      <c r="L1653" s="676" t="s">
        <v>411</v>
      </c>
      <c r="X1653" s="664" t="s">
        <v>411</v>
      </c>
    </row>
    <row r="1654" spans="1:24" ht="11.25" customHeight="1">
      <c r="A1654" s="611">
        <v>4</v>
      </c>
      <c r="B1654" s="49"/>
      <c r="C1654" s="49"/>
      <c r="D1654" s="49"/>
      <c r="E1654" s="49"/>
      <c r="F1654" s="82" t="str">
        <f>$F$464</f>
        <v>Measurement Data</v>
      </c>
      <c r="G1654" s="49"/>
      <c r="H1654" s="49"/>
      <c r="I1654" s="49"/>
      <c r="J1654" s="49"/>
      <c r="K1654" s="49"/>
      <c r="L1654" s="676" t="s">
        <v>411</v>
      </c>
      <c r="X1654" s="664" t="s">
        <v>411</v>
      </c>
    </row>
    <row r="1655" spans="1:24" ht="11.25" customHeight="1" thickBot="1">
      <c r="A1655" s="611">
        <v>5</v>
      </c>
      <c r="L1655" s="676" t="s">
        <v>411</v>
      </c>
      <c r="X1655" s="664" t="s">
        <v>411</v>
      </c>
    </row>
    <row r="1656" spans="1:24" ht="11.25" customHeight="1" thickTop="1">
      <c r="A1656" s="611">
        <v>6</v>
      </c>
      <c r="B1656" s="79"/>
      <c r="C1656" s="62"/>
      <c r="D1656" s="62"/>
      <c r="E1656" s="62"/>
      <c r="F1656" s="62"/>
      <c r="G1656" s="62"/>
      <c r="H1656" s="62"/>
      <c r="I1656" s="62"/>
      <c r="J1656" s="62"/>
      <c r="K1656" s="80"/>
      <c r="L1656" s="676" t="s">
        <v>411</v>
      </c>
      <c r="X1656" s="664" t="s">
        <v>411</v>
      </c>
    </row>
    <row r="1657" spans="1:24" ht="11.25" customHeight="1">
      <c r="A1657" s="611">
        <v>7</v>
      </c>
      <c r="B1657" s="127"/>
      <c r="J1657" s="457"/>
      <c r="K1657" s="71"/>
      <c r="L1657" s="676" t="s">
        <v>411</v>
      </c>
      <c r="X1657" s="664" t="s">
        <v>411</v>
      </c>
    </row>
    <row r="1658" spans="1:24" ht="11.25" customHeight="1" thickBot="1">
      <c r="A1658" s="611">
        <v>8</v>
      </c>
      <c r="B1658" s="492">
        <f t="array" ref="B1658:B1697">$AA$687:$AA$729</f>
        <v>0</v>
      </c>
      <c r="C1658" s="487">
        <f>IF(MAX($AD$688:$AD$729)=0,$AB$687,$AD$687)</f>
        <v>0</v>
      </c>
      <c r="D1658" s="487" t="str">
        <f t="array" ref="D1658:D1697">IF(MAX($AC$688:$AC$729)=0,"",$AC$687:$AC$729)</f>
        <v/>
      </c>
      <c r="E1658" s="487">
        <f t="array" ref="E1658:E1697">$AO$687:$AO$729</f>
        <v>0</v>
      </c>
      <c r="F1658" s="487" t="str">
        <f t="array" ref="F1658:J1697">IF($AQ$687:$AU$729=0,"",IF($AQ$687:$AU$729=1,"X",$AQ$687:$AU$729))</f>
        <v/>
      </c>
      <c r="G1658" s="487" t="str">
        <v/>
      </c>
      <c r="H1658" s="487" t="str">
        <v/>
      </c>
      <c r="I1658" s="487" t="str">
        <v/>
      </c>
      <c r="J1658" s="487" t="str">
        <v/>
      </c>
      <c r="K1658" s="493" t="str">
        <f t="array" ref="K1658:K1697">IF($AW$687:$AW$729="","",$AW$687:$AW$729)</f>
        <v/>
      </c>
      <c r="L1658" s="676" t="s">
        <v>411</v>
      </c>
      <c r="X1658" s="664" t="s">
        <v>411</v>
      </c>
    </row>
    <row r="1659" spans="1:24" ht="11.25" customHeight="1">
      <c r="A1659" s="611">
        <v>9</v>
      </c>
      <c r="B1659" s="494">
        <v>0</v>
      </c>
      <c r="C1659" s="495">
        <f t="array" ref="C1659:C1697">IF(MAX($AD$688:$AD$729)=0,$AB$688:$AB$729,$AD$688:$AD$729)</f>
        <v>0</v>
      </c>
      <c r="D1659" s="496" t="str">
        <v/>
      </c>
      <c r="E1659" s="457">
        <v>0</v>
      </c>
      <c r="F1659" s="501" t="str">
        <v/>
      </c>
      <c r="G1659" s="501" t="str">
        <v/>
      </c>
      <c r="H1659" s="501" t="str">
        <v/>
      </c>
      <c r="I1659" s="501" t="str">
        <v/>
      </c>
      <c r="J1659" s="501" t="str">
        <v/>
      </c>
      <c r="K1659" s="502" t="str">
        <v/>
      </c>
      <c r="L1659" s="676" t="s">
        <v>411</v>
      </c>
      <c r="X1659" s="664" t="s">
        <v>411</v>
      </c>
    </row>
    <row r="1660" spans="1:24" ht="11.25" customHeight="1">
      <c r="A1660" s="611">
        <v>10</v>
      </c>
      <c r="B1660" s="494">
        <v>0</v>
      </c>
      <c r="C1660" s="495">
        <v>0</v>
      </c>
      <c r="D1660" s="496" t="str">
        <v/>
      </c>
      <c r="E1660" s="457">
        <v>0</v>
      </c>
      <c r="F1660" s="501" t="str">
        <v/>
      </c>
      <c r="G1660" s="501" t="str">
        <v/>
      </c>
      <c r="H1660" s="501" t="str">
        <v/>
      </c>
      <c r="I1660" s="501" t="str">
        <v/>
      </c>
      <c r="J1660" s="501" t="str">
        <v/>
      </c>
      <c r="K1660" s="502" t="str">
        <v/>
      </c>
      <c r="L1660" s="676" t="s">
        <v>411</v>
      </c>
      <c r="X1660" s="664" t="s">
        <v>411</v>
      </c>
    </row>
    <row r="1661" spans="1:24" ht="11.25" customHeight="1">
      <c r="A1661" s="611">
        <v>11</v>
      </c>
      <c r="B1661" s="494">
        <v>0</v>
      </c>
      <c r="C1661" s="495">
        <v>0</v>
      </c>
      <c r="D1661" s="496" t="str">
        <v/>
      </c>
      <c r="E1661" s="457">
        <v>0</v>
      </c>
      <c r="F1661" s="501" t="str">
        <v/>
      </c>
      <c r="G1661" s="501" t="str">
        <v/>
      </c>
      <c r="H1661" s="501" t="str">
        <v/>
      </c>
      <c r="I1661" s="501" t="str">
        <v/>
      </c>
      <c r="J1661" s="501" t="str">
        <v/>
      </c>
      <c r="K1661" s="502" t="str">
        <v/>
      </c>
      <c r="L1661" s="676" t="s">
        <v>411</v>
      </c>
      <c r="X1661" s="664" t="s">
        <v>411</v>
      </c>
    </row>
    <row r="1662" spans="1:24" ht="11.25" customHeight="1">
      <c r="A1662" s="611">
        <v>12</v>
      </c>
      <c r="B1662" s="494">
        <v>0</v>
      </c>
      <c r="C1662" s="495">
        <v>0</v>
      </c>
      <c r="D1662" s="496" t="str">
        <v/>
      </c>
      <c r="E1662" s="457">
        <v>0</v>
      </c>
      <c r="F1662" s="501" t="str">
        <v/>
      </c>
      <c r="G1662" s="501" t="str">
        <v/>
      </c>
      <c r="H1662" s="501" t="str">
        <v/>
      </c>
      <c r="I1662" s="501" t="str">
        <v/>
      </c>
      <c r="J1662" s="501" t="str">
        <v/>
      </c>
      <c r="K1662" s="502" t="str">
        <v/>
      </c>
      <c r="L1662" s="676" t="s">
        <v>411</v>
      </c>
      <c r="X1662" s="664" t="s">
        <v>411</v>
      </c>
    </row>
    <row r="1663" spans="1:24" ht="11.25" customHeight="1">
      <c r="A1663" s="611">
        <v>13</v>
      </c>
      <c r="B1663" s="494">
        <v>0</v>
      </c>
      <c r="C1663" s="495">
        <v>0</v>
      </c>
      <c r="D1663" s="496" t="str">
        <v/>
      </c>
      <c r="E1663" s="457">
        <v>0</v>
      </c>
      <c r="F1663" s="501" t="str">
        <v/>
      </c>
      <c r="G1663" s="501" t="str">
        <v/>
      </c>
      <c r="H1663" s="501" t="str">
        <v/>
      </c>
      <c r="I1663" s="501" t="str">
        <v/>
      </c>
      <c r="J1663" s="501" t="str">
        <v/>
      </c>
      <c r="K1663" s="502" t="str">
        <v/>
      </c>
      <c r="L1663" s="676" t="s">
        <v>411</v>
      </c>
      <c r="X1663" s="664" t="s">
        <v>411</v>
      </c>
    </row>
    <row r="1664" spans="1:24" ht="11.25" customHeight="1">
      <c r="A1664" s="611">
        <v>14</v>
      </c>
      <c r="B1664" s="494">
        <v>0</v>
      </c>
      <c r="C1664" s="495">
        <v>0</v>
      </c>
      <c r="D1664" s="496" t="str">
        <v/>
      </c>
      <c r="E1664" s="457">
        <v>0</v>
      </c>
      <c r="F1664" s="501" t="str">
        <v/>
      </c>
      <c r="G1664" s="501" t="str">
        <v/>
      </c>
      <c r="H1664" s="501" t="str">
        <v/>
      </c>
      <c r="I1664" s="501" t="str">
        <v/>
      </c>
      <c r="J1664" s="501" t="str">
        <v/>
      </c>
      <c r="K1664" s="502" t="str">
        <v/>
      </c>
      <c r="L1664" s="676" t="s">
        <v>411</v>
      </c>
      <c r="X1664" s="664" t="s">
        <v>411</v>
      </c>
    </row>
    <row r="1665" spans="1:24" ht="11.25" customHeight="1">
      <c r="A1665" s="611">
        <v>15</v>
      </c>
      <c r="B1665" s="494">
        <v>0</v>
      </c>
      <c r="C1665" s="495">
        <v>0</v>
      </c>
      <c r="D1665" s="496" t="str">
        <v/>
      </c>
      <c r="E1665" s="457">
        <v>0</v>
      </c>
      <c r="F1665" s="501" t="str">
        <v/>
      </c>
      <c r="G1665" s="501" t="str">
        <v/>
      </c>
      <c r="H1665" s="501" t="str">
        <v/>
      </c>
      <c r="I1665" s="501" t="str">
        <v/>
      </c>
      <c r="J1665" s="501" t="str">
        <v/>
      </c>
      <c r="K1665" s="502" t="str">
        <v/>
      </c>
      <c r="L1665" s="676" t="s">
        <v>411</v>
      </c>
      <c r="X1665" s="664" t="s">
        <v>411</v>
      </c>
    </row>
    <row r="1666" spans="1:24" ht="11.25" customHeight="1">
      <c r="A1666" s="611">
        <v>16</v>
      </c>
      <c r="B1666" s="494">
        <v>0</v>
      </c>
      <c r="C1666" s="495">
        <v>0</v>
      </c>
      <c r="D1666" s="496" t="str">
        <v/>
      </c>
      <c r="E1666" s="457">
        <v>0</v>
      </c>
      <c r="F1666" s="501" t="str">
        <v/>
      </c>
      <c r="G1666" s="501" t="str">
        <v/>
      </c>
      <c r="H1666" s="501" t="str">
        <v/>
      </c>
      <c r="I1666" s="501" t="str">
        <v/>
      </c>
      <c r="J1666" s="501" t="str">
        <v/>
      </c>
      <c r="K1666" s="502" t="str">
        <v/>
      </c>
      <c r="L1666" s="676" t="s">
        <v>411</v>
      </c>
      <c r="X1666" s="664" t="s">
        <v>411</v>
      </c>
    </row>
    <row r="1667" spans="1:24" ht="11.25" customHeight="1">
      <c r="A1667" s="611">
        <v>17</v>
      </c>
      <c r="B1667" s="494">
        <v>0</v>
      </c>
      <c r="C1667" s="495">
        <v>0</v>
      </c>
      <c r="D1667" s="496" t="str">
        <v/>
      </c>
      <c r="E1667" s="457">
        <v>0</v>
      </c>
      <c r="F1667" s="501" t="str">
        <v/>
      </c>
      <c r="G1667" s="501" t="str">
        <v/>
      </c>
      <c r="H1667" s="501" t="str">
        <v/>
      </c>
      <c r="I1667" s="501" t="str">
        <v/>
      </c>
      <c r="J1667" s="501" t="str">
        <v/>
      </c>
      <c r="K1667" s="502" t="str">
        <v/>
      </c>
      <c r="L1667" s="676" t="s">
        <v>411</v>
      </c>
      <c r="X1667" s="664" t="s">
        <v>411</v>
      </c>
    </row>
    <row r="1668" spans="1:24" ht="11.25" customHeight="1">
      <c r="A1668" s="611">
        <v>18</v>
      </c>
      <c r="B1668" s="494">
        <v>0</v>
      </c>
      <c r="C1668" s="495">
        <v>0</v>
      </c>
      <c r="D1668" s="496" t="str">
        <v/>
      </c>
      <c r="E1668" s="457">
        <v>0</v>
      </c>
      <c r="F1668" s="501" t="str">
        <v/>
      </c>
      <c r="G1668" s="501" t="str">
        <v/>
      </c>
      <c r="H1668" s="501" t="str">
        <v/>
      </c>
      <c r="I1668" s="501" t="str">
        <v/>
      </c>
      <c r="J1668" s="501" t="str">
        <v/>
      </c>
      <c r="K1668" s="502" t="str">
        <v/>
      </c>
      <c r="L1668" s="676" t="s">
        <v>411</v>
      </c>
      <c r="X1668" s="664" t="s">
        <v>411</v>
      </c>
    </row>
    <row r="1669" spans="1:24" ht="11.25" customHeight="1">
      <c r="A1669" s="611">
        <v>19</v>
      </c>
      <c r="B1669" s="494">
        <v>0</v>
      </c>
      <c r="C1669" s="495">
        <v>0</v>
      </c>
      <c r="D1669" s="496" t="str">
        <v/>
      </c>
      <c r="E1669" s="457">
        <v>0</v>
      </c>
      <c r="F1669" s="501" t="str">
        <v/>
      </c>
      <c r="G1669" s="501" t="str">
        <v/>
      </c>
      <c r="H1669" s="501" t="str">
        <v/>
      </c>
      <c r="I1669" s="501" t="str">
        <v/>
      </c>
      <c r="J1669" s="501" t="str">
        <v/>
      </c>
      <c r="K1669" s="502" t="str">
        <v/>
      </c>
      <c r="L1669" s="676" t="s">
        <v>411</v>
      </c>
      <c r="X1669" s="664" t="s">
        <v>411</v>
      </c>
    </row>
    <row r="1670" spans="1:24" ht="11.25" customHeight="1">
      <c r="A1670" s="611">
        <v>20</v>
      </c>
      <c r="B1670" s="494">
        <v>0</v>
      </c>
      <c r="C1670" s="495">
        <v>0</v>
      </c>
      <c r="D1670" s="496" t="str">
        <v/>
      </c>
      <c r="E1670" s="457">
        <v>0</v>
      </c>
      <c r="F1670" s="501" t="str">
        <v/>
      </c>
      <c r="G1670" s="501" t="str">
        <v/>
      </c>
      <c r="H1670" s="501" t="str">
        <v/>
      </c>
      <c r="I1670" s="501" t="str">
        <v/>
      </c>
      <c r="J1670" s="501" t="str">
        <v/>
      </c>
      <c r="K1670" s="502" t="str">
        <v/>
      </c>
      <c r="L1670" s="676" t="s">
        <v>411</v>
      </c>
      <c r="X1670" s="664" t="s">
        <v>411</v>
      </c>
    </row>
    <row r="1671" spans="1:24" ht="11.25" customHeight="1">
      <c r="A1671" s="611">
        <v>21</v>
      </c>
      <c r="B1671" s="494">
        <v>0</v>
      </c>
      <c r="C1671" s="495">
        <v>0</v>
      </c>
      <c r="D1671" s="496" t="str">
        <v/>
      </c>
      <c r="E1671" s="457">
        <v>0</v>
      </c>
      <c r="F1671" s="501" t="str">
        <v/>
      </c>
      <c r="G1671" s="501" t="str">
        <v/>
      </c>
      <c r="H1671" s="501" t="str">
        <v/>
      </c>
      <c r="I1671" s="501" t="str">
        <v/>
      </c>
      <c r="J1671" s="501" t="str">
        <v/>
      </c>
      <c r="K1671" s="502" t="str">
        <v/>
      </c>
      <c r="L1671" s="676" t="s">
        <v>411</v>
      </c>
      <c r="X1671" s="664" t="s">
        <v>411</v>
      </c>
    </row>
    <row r="1672" spans="1:24" ht="11.25" customHeight="1">
      <c r="A1672" s="611">
        <v>22</v>
      </c>
      <c r="B1672" s="494">
        <v>0</v>
      </c>
      <c r="C1672" s="495">
        <v>0</v>
      </c>
      <c r="D1672" s="496" t="str">
        <v/>
      </c>
      <c r="E1672" s="457">
        <v>0</v>
      </c>
      <c r="F1672" s="501" t="str">
        <v/>
      </c>
      <c r="G1672" s="501" t="str">
        <v/>
      </c>
      <c r="H1672" s="501" t="str">
        <v/>
      </c>
      <c r="I1672" s="501" t="str">
        <v/>
      </c>
      <c r="J1672" s="501" t="str">
        <v/>
      </c>
      <c r="K1672" s="502" t="str">
        <v/>
      </c>
      <c r="L1672" s="676" t="s">
        <v>411</v>
      </c>
      <c r="X1672" s="664" t="s">
        <v>411</v>
      </c>
    </row>
    <row r="1673" spans="1:24" ht="11.25" customHeight="1">
      <c r="A1673" s="611">
        <v>23</v>
      </c>
      <c r="B1673" s="494">
        <v>0</v>
      </c>
      <c r="C1673" s="495">
        <v>0</v>
      </c>
      <c r="D1673" s="496" t="str">
        <v/>
      </c>
      <c r="E1673" s="457">
        <v>0</v>
      </c>
      <c r="F1673" s="501" t="str">
        <v/>
      </c>
      <c r="G1673" s="501" t="str">
        <v/>
      </c>
      <c r="H1673" s="501" t="str">
        <v/>
      </c>
      <c r="I1673" s="501" t="str">
        <v/>
      </c>
      <c r="J1673" s="501" t="str">
        <v/>
      </c>
      <c r="K1673" s="502" t="str">
        <v/>
      </c>
      <c r="L1673" s="676" t="s">
        <v>411</v>
      </c>
      <c r="X1673" s="664" t="s">
        <v>411</v>
      </c>
    </row>
    <row r="1674" spans="1:24" ht="11.25" customHeight="1">
      <c r="A1674" s="611">
        <v>24</v>
      </c>
      <c r="B1674" s="494">
        <v>0</v>
      </c>
      <c r="C1674" s="495">
        <v>0</v>
      </c>
      <c r="D1674" s="496" t="str">
        <v/>
      </c>
      <c r="E1674" s="457">
        <v>0</v>
      </c>
      <c r="F1674" s="501" t="str">
        <v/>
      </c>
      <c r="G1674" s="501" t="str">
        <v/>
      </c>
      <c r="H1674" s="501" t="str">
        <v/>
      </c>
      <c r="I1674" s="501" t="str">
        <v/>
      </c>
      <c r="J1674" s="501" t="str">
        <v/>
      </c>
      <c r="K1674" s="502" t="str">
        <v/>
      </c>
      <c r="L1674" s="676" t="s">
        <v>411</v>
      </c>
      <c r="X1674" s="664" t="s">
        <v>411</v>
      </c>
    </row>
    <row r="1675" spans="1:24" ht="11.25" customHeight="1">
      <c r="A1675" s="611">
        <v>25</v>
      </c>
      <c r="B1675" s="494">
        <v>0</v>
      </c>
      <c r="C1675" s="495">
        <v>0</v>
      </c>
      <c r="D1675" s="496" t="str">
        <v/>
      </c>
      <c r="E1675" s="457">
        <v>0</v>
      </c>
      <c r="F1675" s="501" t="str">
        <v/>
      </c>
      <c r="G1675" s="501" t="str">
        <v/>
      </c>
      <c r="H1675" s="501" t="str">
        <v/>
      </c>
      <c r="I1675" s="501" t="str">
        <v/>
      </c>
      <c r="J1675" s="501" t="str">
        <v/>
      </c>
      <c r="K1675" s="502" t="str">
        <v/>
      </c>
      <c r="L1675" s="676" t="s">
        <v>411</v>
      </c>
      <c r="X1675" s="664" t="s">
        <v>411</v>
      </c>
    </row>
    <row r="1676" spans="1:24" ht="11.25" customHeight="1">
      <c r="A1676" s="611">
        <v>26</v>
      </c>
      <c r="B1676" s="494">
        <v>0</v>
      </c>
      <c r="C1676" s="495">
        <v>0</v>
      </c>
      <c r="D1676" s="496" t="str">
        <v/>
      </c>
      <c r="E1676" s="457">
        <v>0</v>
      </c>
      <c r="F1676" s="501" t="str">
        <v/>
      </c>
      <c r="G1676" s="501" t="str">
        <v/>
      </c>
      <c r="H1676" s="501" t="str">
        <v/>
      </c>
      <c r="I1676" s="501" t="str">
        <v/>
      </c>
      <c r="J1676" s="501" t="str">
        <v/>
      </c>
      <c r="K1676" s="502" t="str">
        <v/>
      </c>
      <c r="L1676" s="676" t="s">
        <v>411</v>
      </c>
      <c r="X1676" s="664" t="s">
        <v>411</v>
      </c>
    </row>
    <row r="1677" spans="1:24" ht="11.25" customHeight="1">
      <c r="A1677" s="611">
        <v>27</v>
      </c>
      <c r="B1677" s="494">
        <v>0</v>
      </c>
      <c r="C1677" s="495">
        <v>0</v>
      </c>
      <c r="D1677" s="496" t="str">
        <v/>
      </c>
      <c r="E1677" s="49">
        <v>0</v>
      </c>
      <c r="F1677" s="501" t="str">
        <v/>
      </c>
      <c r="G1677" s="501" t="str">
        <v/>
      </c>
      <c r="H1677" s="501" t="str">
        <v/>
      </c>
      <c r="I1677" s="501" t="str">
        <v/>
      </c>
      <c r="J1677" s="503" t="str">
        <v/>
      </c>
      <c r="K1677" s="502" t="str">
        <v/>
      </c>
      <c r="L1677" s="676" t="s">
        <v>411</v>
      </c>
      <c r="X1677" s="664" t="s">
        <v>411</v>
      </c>
    </row>
    <row r="1678" spans="1:24" ht="11.25" customHeight="1">
      <c r="A1678" s="611">
        <v>28</v>
      </c>
      <c r="B1678" s="494">
        <v>0</v>
      </c>
      <c r="C1678" s="495">
        <v>0</v>
      </c>
      <c r="D1678" s="496" t="str">
        <v/>
      </c>
      <c r="E1678" s="99">
        <v>0</v>
      </c>
      <c r="F1678" s="501" t="str">
        <v/>
      </c>
      <c r="G1678" s="501" t="str">
        <v/>
      </c>
      <c r="H1678" s="501" t="str">
        <v/>
      </c>
      <c r="I1678" s="501" t="str">
        <v/>
      </c>
      <c r="J1678" s="503" t="str">
        <v/>
      </c>
      <c r="K1678" s="502" t="str">
        <v/>
      </c>
      <c r="L1678" s="676" t="s">
        <v>411</v>
      </c>
      <c r="X1678" s="664" t="s">
        <v>411</v>
      </c>
    </row>
    <row r="1679" spans="1:24" ht="11.25" customHeight="1">
      <c r="A1679" s="611">
        <v>29</v>
      </c>
      <c r="B1679" s="494">
        <v>0</v>
      </c>
      <c r="C1679" s="495">
        <v>0</v>
      </c>
      <c r="D1679" s="496" t="str">
        <v/>
      </c>
      <c r="E1679" s="99">
        <v>0</v>
      </c>
      <c r="F1679" s="501" t="str">
        <v/>
      </c>
      <c r="G1679" s="501" t="str">
        <v/>
      </c>
      <c r="H1679" s="501" t="str">
        <v/>
      </c>
      <c r="I1679" s="501" t="str">
        <v/>
      </c>
      <c r="J1679" s="503" t="str">
        <v/>
      </c>
      <c r="K1679" s="502" t="str">
        <v/>
      </c>
      <c r="L1679" s="676" t="s">
        <v>411</v>
      </c>
      <c r="X1679" s="664" t="s">
        <v>411</v>
      </c>
    </row>
    <row r="1680" spans="1:24" ht="11.25" customHeight="1">
      <c r="A1680" s="611">
        <v>30</v>
      </c>
      <c r="B1680" s="494">
        <v>0</v>
      </c>
      <c r="C1680" s="495">
        <v>0</v>
      </c>
      <c r="D1680" s="496" t="str">
        <v/>
      </c>
      <c r="E1680" s="99">
        <v>0</v>
      </c>
      <c r="F1680" s="501" t="str">
        <v/>
      </c>
      <c r="G1680" s="501" t="str">
        <v/>
      </c>
      <c r="H1680" s="501" t="str">
        <v/>
      </c>
      <c r="I1680" s="501" t="str">
        <v/>
      </c>
      <c r="J1680" s="503" t="str">
        <v/>
      </c>
      <c r="K1680" s="502" t="str">
        <v/>
      </c>
      <c r="L1680" s="676" t="s">
        <v>411</v>
      </c>
      <c r="X1680" s="664" t="s">
        <v>411</v>
      </c>
    </row>
    <row r="1681" spans="1:24" ht="11.25" customHeight="1">
      <c r="A1681" s="611">
        <v>31</v>
      </c>
      <c r="B1681" s="494">
        <v>0</v>
      </c>
      <c r="C1681" s="495">
        <v>0</v>
      </c>
      <c r="D1681" s="496" t="str">
        <v/>
      </c>
      <c r="E1681" s="99">
        <v>0</v>
      </c>
      <c r="F1681" s="501" t="str">
        <v/>
      </c>
      <c r="G1681" s="501" t="str">
        <v/>
      </c>
      <c r="H1681" s="501" t="str">
        <v/>
      </c>
      <c r="I1681" s="501" t="str">
        <v/>
      </c>
      <c r="J1681" s="503" t="str">
        <v/>
      </c>
      <c r="K1681" s="502" t="str">
        <v/>
      </c>
      <c r="L1681" s="676" t="s">
        <v>411</v>
      </c>
      <c r="X1681" s="664" t="s">
        <v>411</v>
      </c>
    </row>
    <row r="1682" spans="1:24" ht="11.25" customHeight="1">
      <c r="A1682" s="611">
        <v>32</v>
      </c>
      <c r="B1682" s="494">
        <v>0</v>
      </c>
      <c r="C1682" s="495">
        <v>0</v>
      </c>
      <c r="D1682" s="496" t="str">
        <v/>
      </c>
      <c r="E1682" s="99">
        <v>0</v>
      </c>
      <c r="F1682" s="501" t="str">
        <v/>
      </c>
      <c r="G1682" s="501" t="str">
        <v/>
      </c>
      <c r="H1682" s="501" t="str">
        <v/>
      </c>
      <c r="I1682" s="501" t="str">
        <v/>
      </c>
      <c r="J1682" s="503" t="str">
        <v/>
      </c>
      <c r="K1682" s="502" t="str">
        <v/>
      </c>
      <c r="L1682" s="676" t="s">
        <v>411</v>
      </c>
      <c r="X1682" s="664" t="s">
        <v>411</v>
      </c>
    </row>
    <row r="1683" spans="1:24" ht="11.25" customHeight="1">
      <c r="A1683" s="611">
        <v>33</v>
      </c>
      <c r="B1683" s="494">
        <v>0</v>
      </c>
      <c r="C1683" s="495">
        <v>0</v>
      </c>
      <c r="D1683" s="496" t="str">
        <v/>
      </c>
      <c r="E1683" s="99">
        <v>0</v>
      </c>
      <c r="F1683" s="501" t="str">
        <v/>
      </c>
      <c r="G1683" s="501" t="str">
        <v/>
      </c>
      <c r="H1683" s="501" t="str">
        <v/>
      </c>
      <c r="I1683" s="501" t="str">
        <v/>
      </c>
      <c r="J1683" s="503" t="str">
        <v/>
      </c>
      <c r="K1683" s="502" t="str">
        <v/>
      </c>
      <c r="L1683" s="676" t="s">
        <v>411</v>
      </c>
      <c r="X1683" s="664" t="s">
        <v>411</v>
      </c>
    </row>
    <row r="1684" spans="1:24" ht="11.25" customHeight="1">
      <c r="A1684" s="611">
        <v>34</v>
      </c>
      <c r="B1684" s="494">
        <v>0</v>
      </c>
      <c r="C1684" s="495">
        <v>0</v>
      </c>
      <c r="D1684" s="496" t="str">
        <v/>
      </c>
      <c r="E1684" s="99">
        <v>0</v>
      </c>
      <c r="F1684" s="501" t="str">
        <v/>
      </c>
      <c r="G1684" s="501" t="str">
        <v/>
      </c>
      <c r="H1684" s="501" t="str">
        <v/>
      </c>
      <c r="I1684" s="501" t="str">
        <v/>
      </c>
      <c r="J1684" s="503" t="str">
        <v/>
      </c>
      <c r="K1684" s="502" t="str">
        <v/>
      </c>
      <c r="L1684" s="676" t="s">
        <v>411</v>
      </c>
      <c r="X1684" s="664" t="s">
        <v>411</v>
      </c>
    </row>
    <row r="1685" spans="1:24" ht="11.25" customHeight="1">
      <c r="A1685" s="611">
        <v>35</v>
      </c>
      <c r="B1685" s="494">
        <v>0</v>
      </c>
      <c r="C1685" s="495">
        <v>0</v>
      </c>
      <c r="D1685" s="496" t="str">
        <v/>
      </c>
      <c r="E1685" s="99">
        <v>0</v>
      </c>
      <c r="F1685" s="501" t="str">
        <v/>
      </c>
      <c r="G1685" s="501" t="str">
        <v/>
      </c>
      <c r="H1685" s="501" t="str">
        <v/>
      </c>
      <c r="I1685" s="501" t="str">
        <v/>
      </c>
      <c r="J1685" s="503" t="str">
        <v/>
      </c>
      <c r="K1685" s="502" t="str">
        <v/>
      </c>
      <c r="L1685" s="676" t="s">
        <v>411</v>
      </c>
      <c r="X1685" s="664" t="s">
        <v>411</v>
      </c>
    </row>
    <row r="1686" spans="1:24" ht="11.25" customHeight="1">
      <c r="A1686" s="611">
        <v>36</v>
      </c>
      <c r="B1686" s="494">
        <v>0</v>
      </c>
      <c r="C1686" s="495">
        <v>0</v>
      </c>
      <c r="D1686" s="496" t="str">
        <v/>
      </c>
      <c r="E1686" s="99">
        <v>0</v>
      </c>
      <c r="F1686" s="501" t="str">
        <v/>
      </c>
      <c r="G1686" s="501" t="str">
        <v/>
      </c>
      <c r="H1686" s="501" t="str">
        <v/>
      </c>
      <c r="I1686" s="501" t="str">
        <v/>
      </c>
      <c r="J1686" s="503" t="str">
        <v/>
      </c>
      <c r="K1686" s="502" t="str">
        <v/>
      </c>
      <c r="L1686" s="676" t="s">
        <v>411</v>
      </c>
      <c r="X1686" s="664" t="s">
        <v>411</v>
      </c>
    </row>
    <row r="1687" spans="1:24" ht="11.25" customHeight="1">
      <c r="A1687" s="611">
        <v>37</v>
      </c>
      <c r="B1687" s="494">
        <v>0</v>
      </c>
      <c r="C1687" s="495">
        <v>0</v>
      </c>
      <c r="D1687" s="496" t="str">
        <v/>
      </c>
      <c r="E1687" s="99">
        <v>0</v>
      </c>
      <c r="F1687" s="501" t="str">
        <v/>
      </c>
      <c r="G1687" s="501" t="str">
        <v/>
      </c>
      <c r="H1687" s="501" t="str">
        <v/>
      </c>
      <c r="I1687" s="501" t="str">
        <v/>
      </c>
      <c r="J1687" s="503" t="str">
        <v/>
      </c>
      <c r="K1687" s="502" t="str">
        <v/>
      </c>
      <c r="L1687" s="676" t="s">
        <v>411</v>
      </c>
      <c r="X1687" s="664" t="s">
        <v>411</v>
      </c>
    </row>
    <row r="1688" spans="1:24" ht="11.25" customHeight="1">
      <c r="A1688" s="611">
        <v>38</v>
      </c>
      <c r="B1688" s="494">
        <v>0</v>
      </c>
      <c r="C1688" s="495">
        <v>0</v>
      </c>
      <c r="D1688" s="496" t="str">
        <v/>
      </c>
      <c r="E1688" s="99">
        <v>0</v>
      </c>
      <c r="F1688" s="501" t="str">
        <v/>
      </c>
      <c r="G1688" s="501" t="str">
        <v/>
      </c>
      <c r="H1688" s="501" t="str">
        <v/>
      </c>
      <c r="I1688" s="501" t="str">
        <v/>
      </c>
      <c r="J1688" s="503" t="str">
        <v/>
      </c>
      <c r="K1688" s="502" t="str">
        <v/>
      </c>
      <c r="L1688" s="676" t="s">
        <v>411</v>
      </c>
      <c r="X1688" s="664" t="s">
        <v>411</v>
      </c>
    </row>
    <row r="1689" spans="1:24" ht="11.25" customHeight="1">
      <c r="A1689" s="611">
        <v>39</v>
      </c>
      <c r="B1689" s="494">
        <v>0</v>
      </c>
      <c r="C1689" s="495">
        <v>0</v>
      </c>
      <c r="D1689" s="496" t="str">
        <v/>
      </c>
      <c r="E1689" s="99">
        <v>0</v>
      </c>
      <c r="F1689" s="501" t="str">
        <v/>
      </c>
      <c r="G1689" s="501" t="str">
        <v/>
      </c>
      <c r="H1689" s="501" t="str">
        <v/>
      </c>
      <c r="I1689" s="501" t="str">
        <v/>
      </c>
      <c r="J1689" s="503" t="str">
        <v/>
      </c>
      <c r="K1689" s="502" t="str">
        <v/>
      </c>
      <c r="L1689" s="676" t="s">
        <v>411</v>
      </c>
      <c r="X1689" s="664" t="s">
        <v>411</v>
      </c>
    </row>
    <row r="1690" spans="1:24" ht="11.25" customHeight="1">
      <c r="A1690" s="611">
        <v>40</v>
      </c>
      <c r="B1690" s="494">
        <v>0</v>
      </c>
      <c r="C1690" s="495">
        <v>0</v>
      </c>
      <c r="D1690" s="496" t="str">
        <v/>
      </c>
      <c r="E1690" s="99">
        <v>0</v>
      </c>
      <c r="F1690" s="501" t="str">
        <v/>
      </c>
      <c r="G1690" s="501" t="str">
        <v/>
      </c>
      <c r="H1690" s="501" t="str">
        <v/>
      </c>
      <c r="I1690" s="501" t="str">
        <v/>
      </c>
      <c r="J1690" s="501" t="str">
        <v/>
      </c>
      <c r="K1690" s="502" t="str">
        <v/>
      </c>
      <c r="L1690" s="676" t="s">
        <v>411</v>
      </c>
      <c r="X1690" s="664" t="s">
        <v>411</v>
      </c>
    </row>
    <row r="1691" spans="1:24" ht="11.25" customHeight="1">
      <c r="A1691" s="611">
        <v>41</v>
      </c>
      <c r="B1691" s="494">
        <v>0</v>
      </c>
      <c r="C1691" s="495">
        <v>0</v>
      </c>
      <c r="D1691" s="496" t="str">
        <v/>
      </c>
      <c r="E1691" s="99">
        <v>0</v>
      </c>
      <c r="F1691" s="501" t="str">
        <v/>
      </c>
      <c r="G1691" s="501" t="str">
        <v/>
      </c>
      <c r="H1691" s="501" t="str">
        <v/>
      </c>
      <c r="I1691" s="501" t="str">
        <v/>
      </c>
      <c r="J1691" s="501" t="str">
        <v/>
      </c>
      <c r="K1691" s="502" t="str">
        <v/>
      </c>
      <c r="L1691" s="676" t="s">
        <v>411</v>
      </c>
      <c r="X1691" s="664" t="s">
        <v>411</v>
      </c>
    </row>
    <row r="1692" spans="1:24" ht="11.25" customHeight="1">
      <c r="A1692" s="611">
        <v>42</v>
      </c>
      <c r="B1692" s="494">
        <v>0</v>
      </c>
      <c r="C1692" s="495">
        <v>0</v>
      </c>
      <c r="D1692" s="496" t="str">
        <v/>
      </c>
      <c r="E1692" s="457">
        <v>0</v>
      </c>
      <c r="F1692" s="501" t="str">
        <v/>
      </c>
      <c r="G1692" s="501" t="str">
        <v/>
      </c>
      <c r="H1692" s="501" t="str">
        <v/>
      </c>
      <c r="I1692" s="501" t="str">
        <v/>
      </c>
      <c r="J1692" s="501" t="str">
        <v/>
      </c>
      <c r="K1692" s="502" t="str">
        <v/>
      </c>
      <c r="L1692" s="676" t="s">
        <v>411</v>
      </c>
      <c r="X1692" s="664" t="s">
        <v>411</v>
      </c>
    </row>
    <row r="1693" spans="1:24" ht="11.25" customHeight="1">
      <c r="A1693" s="611">
        <v>43</v>
      </c>
      <c r="B1693" s="494">
        <v>0</v>
      </c>
      <c r="C1693" s="495">
        <v>0</v>
      </c>
      <c r="D1693" s="496" t="str">
        <v/>
      </c>
      <c r="E1693" s="457">
        <v>0</v>
      </c>
      <c r="F1693" s="501" t="str">
        <v/>
      </c>
      <c r="G1693" s="501" t="str">
        <v/>
      </c>
      <c r="H1693" s="501" t="str">
        <v/>
      </c>
      <c r="I1693" s="501" t="str">
        <v/>
      </c>
      <c r="J1693" s="501" t="str">
        <v/>
      </c>
      <c r="K1693" s="502" t="str">
        <v/>
      </c>
      <c r="L1693" s="676" t="s">
        <v>411</v>
      </c>
      <c r="X1693" s="664" t="s">
        <v>411</v>
      </c>
    </row>
    <row r="1694" spans="1:24" ht="11.25" customHeight="1">
      <c r="A1694" s="611">
        <v>44</v>
      </c>
      <c r="B1694" s="494">
        <v>0</v>
      </c>
      <c r="C1694" s="495">
        <v>0</v>
      </c>
      <c r="D1694" s="496" t="str">
        <v/>
      </c>
      <c r="E1694" s="457">
        <v>0</v>
      </c>
      <c r="F1694" s="501" t="str">
        <v/>
      </c>
      <c r="G1694" s="501" t="str">
        <v/>
      </c>
      <c r="H1694" s="501" t="str">
        <v/>
      </c>
      <c r="I1694" s="501" t="str">
        <v/>
      </c>
      <c r="J1694" s="501" t="str">
        <v/>
      </c>
      <c r="K1694" s="502" t="str">
        <v/>
      </c>
      <c r="L1694" s="676" t="s">
        <v>411</v>
      </c>
      <c r="X1694" s="664" t="s">
        <v>411</v>
      </c>
    </row>
    <row r="1695" spans="1:24" ht="11.25" customHeight="1">
      <c r="A1695" s="611">
        <v>45</v>
      </c>
      <c r="B1695" s="494">
        <v>0</v>
      </c>
      <c r="C1695" s="495">
        <v>0</v>
      </c>
      <c r="D1695" s="496" t="str">
        <v/>
      </c>
      <c r="E1695" s="457">
        <v>0</v>
      </c>
      <c r="F1695" s="501" t="str">
        <v/>
      </c>
      <c r="G1695" s="501" t="str">
        <v/>
      </c>
      <c r="H1695" s="501" t="str">
        <v/>
      </c>
      <c r="I1695" s="501" t="str">
        <v/>
      </c>
      <c r="J1695" s="501" t="str">
        <v/>
      </c>
      <c r="K1695" s="502" t="str">
        <v/>
      </c>
      <c r="L1695" s="676" t="s">
        <v>411</v>
      </c>
      <c r="X1695" s="664" t="s">
        <v>411</v>
      </c>
    </row>
    <row r="1696" spans="1:24" ht="11.25" customHeight="1">
      <c r="A1696" s="611">
        <v>46</v>
      </c>
      <c r="B1696" s="494">
        <v>0</v>
      </c>
      <c r="C1696" s="495">
        <v>0</v>
      </c>
      <c r="D1696" s="496" t="str">
        <v/>
      </c>
      <c r="E1696" s="457">
        <v>0</v>
      </c>
      <c r="F1696" s="501" t="str">
        <v/>
      </c>
      <c r="G1696" s="501" t="str">
        <v/>
      </c>
      <c r="H1696" s="501" t="str">
        <v/>
      </c>
      <c r="I1696" s="501" t="str">
        <v/>
      </c>
      <c r="J1696" s="501" t="str">
        <v/>
      </c>
      <c r="K1696" s="502" t="str">
        <v/>
      </c>
      <c r="L1696" s="676" t="s">
        <v>411</v>
      </c>
      <c r="X1696" s="664" t="s">
        <v>411</v>
      </c>
    </row>
    <row r="1697" spans="1:24" ht="11.25" customHeight="1">
      <c r="A1697" s="611">
        <v>47</v>
      </c>
      <c r="B1697" s="494">
        <v>0</v>
      </c>
      <c r="C1697" s="495">
        <v>0</v>
      </c>
      <c r="D1697" s="496" t="str">
        <v/>
      </c>
      <c r="E1697" s="457">
        <v>0</v>
      </c>
      <c r="F1697" s="501" t="str">
        <v/>
      </c>
      <c r="G1697" s="501" t="str">
        <v/>
      </c>
      <c r="H1697" s="501" t="str">
        <v/>
      </c>
      <c r="I1697" s="501" t="str">
        <v/>
      </c>
      <c r="J1697" s="501" t="str">
        <v/>
      </c>
      <c r="K1697" s="502" t="str">
        <v/>
      </c>
      <c r="L1697" s="676" t="s">
        <v>411</v>
      </c>
      <c r="X1697" s="664" t="s">
        <v>411</v>
      </c>
    </row>
    <row r="1698" spans="1:24" ht="11.25" customHeight="1">
      <c r="A1698" s="611">
        <v>48</v>
      </c>
      <c r="B1698" s="127"/>
      <c r="K1698" s="71"/>
      <c r="L1698" s="676" t="s">
        <v>411</v>
      </c>
      <c r="X1698" s="664" t="s">
        <v>411</v>
      </c>
    </row>
    <row r="1699" spans="1:24" ht="11.25" customHeight="1" thickBot="1">
      <c r="A1699" s="611">
        <v>49</v>
      </c>
      <c r="B1699" s="98"/>
      <c r="C1699" s="83"/>
      <c r="D1699" s="83"/>
      <c r="E1699" s="83"/>
      <c r="F1699" s="83"/>
      <c r="G1699" s="83"/>
      <c r="H1699" s="83"/>
      <c r="I1699" s="83"/>
      <c r="J1699" s="83"/>
      <c r="K1699" s="86"/>
      <c r="L1699" s="676" t="s">
        <v>411</v>
      </c>
      <c r="X1699" s="664" t="s">
        <v>411</v>
      </c>
    </row>
    <row r="1700" spans="1:24" ht="11.25" customHeight="1" thickTop="1">
      <c r="A1700" s="611">
        <v>50</v>
      </c>
      <c r="L1700" s="676" t="s">
        <v>411</v>
      </c>
      <c r="X1700" s="664" t="s">
        <v>411</v>
      </c>
    </row>
    <row r="1701" spans="1:24" ht="11.25" customHeight="1">
      <c r="A1701" s="611">
        <v>51</v>
      </c>
      <c r="L1701" s="676" t="s">
        <v>411</v>
      </c>
      <c r="X1701" s="664" t="s">
        <v>411</v>
      </c>
    </row>
    <row r="1702" spans="1:24" ht="11.25" customHeight="1">
      <c r="A1702" s="611">
        <v>52</v>
      </c>
      <c r="L1702" s="676" t="s">
        <v>411</v>
      </c>
      <c r="X1702" s="664" t="s">
        <v>411</v>
      </c>
    </row>
    <row r="1703" spans="1:24" ht="11.25" customHeight="1">
      <c r="A1703" s="611">
        <v>53</v>
      </c>
      <c r="L1703" s="676" t="s">
        <v>411</v>
      </c>
      <c r="X1703" s="664" t="s">
        <v>411</v>
      </c>
    </row>
    <row r="1704" spans="1:24" ht="11.25" customHeight="1">
      <c r="A1704" s="611">
        <v>54</v>
      </c>
      <c r="L1704" s="676" t="s">
        <v>411</v>
      </c>
      <c r="X1704" s="664" t="s">
        <v>411</v>
      </c>
    </row>
    <row r="1705" spans="1:24" ht="11.25" customHeight="1">
      <c r="A1705" s="611">
        <v>55</v>
      </c>
      <c r="L1705" s="676" t="s">
        <v>411</v>
      </c>
      <c r="X1705" s="664" t="s">
        <v>411</v>
      </c>
    </row>
    <row r="1706" spans="1:24" ht="11.25" customHeight="1">
      <c r="A1706" s="611">
        <v>56</v>
      </c>
      <c r="L1706" s="676" t="s">
        <v>411</v>
      </c>
      <c r="X1706" s="664" t="s">
        <v>411</v>
      </c>
    </row>
    <row r="1707" spans="1:24" ht="11.25" customHeight="1">
      <c r="A1707" s="611">
        <v>57</v>
      </c>
      <c r="L1707" s="676" t="s">
        <v>411</v>
      </c>
      <c r="X1707" s="664" t="s">
        <v>411</v>
      </c>
    </row>
    <row r="1708" spans="1:24" ht="11.25" customHeight="1">
      <c r="A1708" s="611">
        <v>58</v>
      </c>
      <c r="L1708" s="676" t="s">
        <v>411</v>
      </c>
      <c r="X1708" s="664" t="s">
        <v>411</v>
      </c>
    </row>
    <row r="1709" spans="1:24" ht="11.25" customHeight="1">
      <c r="A1709" s="611">
        <v>59</v>
      </c>
      <c r="L1709" s="676" t="s">
        <v>411</v>
      </c>
      <c r="X1709" s="664" t="s">
        <v>411</v>
      </c>
    </row>
    <row r="1710" spans="1:24" ht="11.25" customHeight="1">
      <c r="A1710" s="611">
        <v>60</v>
      </c>
      <c r="L1710" s="676" t="s">
        <v>411</v>
      </c>
      <c r="X1710" s="664" t="s">
        <v>411</v>
      </c>
    </row>
    <row r="1711" spans="1:24" ht="11.25" customHeight="1">
      <c r="A1711" s="611">
        <v>61</v>
      </c>
      <c r="L1711" s="676" t="s">
        <v>411</v>
      </c>
      <c r="X1711" s="664" t="s">
        <v>411</v>
      </c>
    </row>
    <row r="1712" spans="1:24" ht="11.25" customHeight="1">
      <c r="A1712" s="611">
        <v>62</v>
      </c>
      <c r="L1712" s="676" t="s">
        <v>411</v>
      </c>
      <c r="X1712" s="664" t="s">
        <v>411</v>
      </c>
    </row>
    <row r="1713" spans="1:24" ht="11.25" customHeight="1">
      <c r="A1713" s="611">
        <v>63</v>
      </c>
      <c r="L1713" s="676" t="s">
        <v>411</v>
      </c>
      <c r="X1713" s="664" t="s">
        <v>411</v>
      </c>
    </row>
    <row r="1714" spans="1:24" ht="11.25" customHeight="1">
      <c r="A1714" s="611">
        <v>64</v>
      </c>
      <c r="L1714" s="676" t="s">
        <v>411</v>
      </c>
      <c r="X1714" s="664" t="s">
        <v>411</v>
      </c>
    </row>
    <row r="1715" spans="1:24" ht="11.25" customHeight="1">
      <c r="A1715" s="611">
        <v>65</v>
      </c>
      <c r="B1715" s="52" t="str">
        <f t="array" ref="B1715:C1716">$B$65:$C$66</f>
        <v>Date:</v>
      </c>
      <c r="C1715" s="1133" t="str">
        <v/>
      </c>
      <c r="E1715" s="51"/>
      <c r="F1715" s="51"/>
      <c r="G1715" s="51"/>
      <c r="H1715" s="51"/>
      <c r="I1715" s="52" t="str">
        <f t="array" ref="I1715:J1716">$I$65:$J$66</f>
        <v>Inspector:</v>
      </c>
      <c r="J1715" s="421" t="str">
        <v>Eugene Mah</v>
      </c>
      <c r="L1715" s="676" t="s">
        <v>411</v>
      </c>
      <c r="X1715" s="664" t="s">
        <v>411</v>
      </c>
    </row>
    <row r="1716" spans="1:24" ht="11.25" customHeight="1">
      <c r="A1716" s="611">
        <v>66</v>
      </c>
      <c r="B1716" s="52" t="str">
        <v>Room Number:</v>
      </c>
      <c r="C1716" s="373" t="str">
        <v/>
      </c>
      <c r="E1716" s="51"/>
      <c r="F1716" s="51"/>
      <c r="G1716" s="51"/>
      <c r="H1716" s="51"/>
      <c r="I1716" s="52" t="str">
        <v>Survey ID:</v>
      </c>
      <c r="J1716" s="1045" t="str">
        <v/>
      </c>
      <c r="L1716" s="676" t="s">
        <v>411</v>
      </c>
      <c r="X1716" s="664" t="s">
        <v>411</v>
      </c>
    </row>
  </sheetData>
  <customSheetViews>
    <customSheetView guid="{E3496B94-97EB-4AAE-9FD7-F66109A2B11F}">
      <rowBreaks count="25" manualBreakCount="25">
        <brk id="66" max="16383" man="1"/>
        <brk id="132" max="65535" man="1"/>
        <brk id="198" max="16383" man="1"/>
        <brk id="264" max="16383" man="1"/>
        <brk id="330" max="16383" man="1"/>
        <brk id="396" max="65535" man="1"/>
        <brk id="462" max="65535" man="1"/>
        <brk id="528" max="65535" man="1"/>
        <brk id="594" max="16383" man="1"/>
        <brk id="660" max="65535" man="1"/>
        <brk id="726" max="65535" man="1"/>
        <brk id="792" max="65535" man="1"/>
        <brk id="858" max="65535" man="1"/>
        <brk id="924" max="65535" man="1"/>
        <brk id="990" max="65535" man="1"/>
        <brk id="1056" max="65535" man="1"/>
        <brk id="1122" max="65535" man="1"/>
        <brk id="1188" max="65535" man="1"/>
        <brk id="1254" max="65535" man="1"/>
        <brk id="1320" max="65535" man="1"/>
        <brk id="1386" max="65535" man="1"/>
        <brk id="1452" max="16383" man="1"/>
        <brk id="1518" max="16383" man="1"/>
        <brk id="1584" max="16383" man="1"/>
        <brk id="1650" max="16383" man="1"/>
      </rowBreaks>
      <colBreaks count="1" manualBreakCount="1">
        <brk id="12" max="1048575" man="1"/>
      </colBreaks>
      <pageMargins left="0.51181102362204722" right="0.51181102362204722" top="0.51181102362204722" bottom="0.51181102362204722" header="0.51181102362204722" footer="0.51181102362204722"/>
      <printOptions horizontalCentered="1"/>
      <pageSetup scale="95" orientation="portrait" r:id="rId1"/>
      <headerFooter alignWithMargins="0">
        <oddFooter>Page &amp;P</oddFooter>
      </headerFooter>
    </customSheetView>
  </customSheetViews>
  <mergeCells count="74">
    <mergeCell ref="C1163:D1163"/>
    <mergeCell ref="C1165:D1165"/>
    <mergeCell ref="E1165:F1165"/>
    <mergeCell ref="E1163:F1163"/>
    <mergeCell ref="G1163:H1163"/>
    <mergeCell ref="G1165:H1165"/>
    <mergeCell ref="C1099:D1099"/>
    <mergeCell ref="O1098:P1098"/>
    <mergeCell ref="O1100:P1100"/>
    <mergeCell ref="Q1098:R1098"/>
    <mergeCell ref="Q1100:R1100"/>
    <mergeCell ref="G1099:H1099"/>
    <mergeCell ref="E1099:F1099"/>
    <mergeCell ref="C1097:D1097"/>
    <mergeCell ref="E1097:F1097"/>
    <mergeCell ref="G1097:H1097"/>
    <mergeCell ref="I1097:J1097"/>
    <mergeCell ref="F573:H573"/>
    <mergeCell ref="J887:J889"/>
    <mergeCell ref="J885:J886"/>
    <mergeCell ref="J872:J874"/>
    <mergeCell ref="U67:V67"/>
    <mergeCell ref="U509:V509"/>
    <mergeCell ref="Q547:R547"/>
    <mergeCell ref="O537:P537"/>
    <mergeCell ref="U619:V619"/>
    <mergeCell ref="T607:U607"/>
    <mergeCell ref="U557:V557"/>
    <mergeCell ref="U573:W573"/>
    <mergeCell ref="R573:T573"/>
    <mergeCell ref="P124:Q124"/>
    <mergeCell ref="R124:S124"/>
    <mergeCell ref="P126:Q126"/>
    <mergeCell ref="R126:S126"/>
    <mergeCell ref="O1202:P1202"/>
    <mergeCell ref="I1165:J1165"/>
    <mergeCell ref="I1163:J1163"/>
    <mergeCell ref="V1012:W1012"/>
    <mergeCell ref="T1130:U1130"/>
    <mergeCell ref="S1098:T1098"/>
    <mergeCell ref="U1098:V1098"/>
    <mergeCell ref="U1100:V1100"/>
    <mergeCell ref="S1100:T1100"/>
    <mergeCell ref="Q1164:R1164"/>
    <mergeCell ref="Q1166:R1166"/>
    <mergeCell ref="S1166:T1166"/>
    <mergeCell ref="S1164:T1164"/>
    <mergeCell ref="U1164:V1164"/>
    <mergeCell ref="U1166:V1166"/>
    <mergeCell ref="M126:N126"/>
    <mergeCell ref="M137:N137"/>
    <mergeCell ref="M135:N135"/>
    <mergeCell ref="M136:N136"/>
    <mergeCell ref="M130:N130"/>
    <mergeCell ref="M131:N131"/>
    <mergeCell ref="M132:N132"/>
    <mergeCell ref="M133:N133"/>
    <mergeCell ref="M134:N134"/>
    <mergeCell ref="I504:J504"/>
    <mergeCell ref="E1201:F1201"/>
    <mergeCell ref="E1199:F1199"/>
    <mergeCell ref="Z657:AA657"/>
    <mergeCell ref="M127:N127"/>
    <mergeCell ref="M128:N128"/>
    <mergeCell ref="M129:N129"/>
    <mergeCell ref="I1099:J1099"/>
    <mergeCell ref="O1164:P1164"/>
    <mergeCell ref="O1166:P1166"/>
    <mergeCell ref="U637:W637"/>
    <mergeCell ref="I573:K573"/>
    <mergeCell ref="M976:N976"/>
    <mergeCell ref="Q608:R608"/>
    <mergeCell ref="R637:T637"/>
    <mergeCell ref="J870:J871"/>
  </mergeCells>
  <phoneticPr fontId="20" type="noConversion"/>
  <conditionalFormatting sqref="C1081:H1081 J1081 C1097:J1097 C1099:J1099 I1100">
    <cfRule type="cellIs" dxfId="89" priority="19" operator="equal">
      <formula>"NO"</formula>
    </cfRule>
  </conditionalFormatting>
  <conditionalFormatting sqref="D622:E623 G637:H638">
    <cfRule type="cellIs" dxfId="88" priority="31" operator="greaterThan">
      <formula>0.02</formula>
    </cfRule>
  </conditionalFormatting>
  <conditionalFormatting sqref="E716 J716">
    <cfRule type="cellIs" dxfId="87" priority="28" operator="equal">
      <formula>"NO"</formula>
    </cfRule>
  </conditionalFormatting>
  <conditionalFormatting sqref="E901">
    <cfRule type="cellIs" dxfId="86" priority="22" operator="greaterThan">
      <formula>0.1</formula>
    </cfRule>
  </conditionalFormatting>
  <conditionalFormatting sqref="E758:F758 I758:J758">
    <cfRule type="cellIs" dxfId="85" priority="26" operator="greaterThan">
      <formula>0.05</formula>
    </cfRule>
  </conditionalFormatting>
  <conditionalFormatting sqref="E760:F760 I760:J760">
    <cfRule type="cellIs" dxfId="84" priority="25" operator="equal">
      <formula>"NO"</formula>
    </cfRule>
  </conditionalFormatting>
  <conditionalFormatting sqref="F482:F484">
    <cfRule type="cellIs" dxfId="83" priority="38" operator="greaterThan">
      <formula>0.02</formula>
    </cfRule>
  </conditionalFormatting>
  <conditionalFormatting sqref="G482:G484 J494 J506">
    <cfRule type="cellIs" dxfId="82" priority="39" operator="equal">
      <formula>"NO"</formula>
    </cfRule>
  </conditionalFormatting>
  <conditionalFormatting sqref="G537">
    <cfRule type="cellIs" dxfId="81" priority="35" operator="greaterThan">
      <formula>2</formula>
    </cfRule>
  </conditionalFormatting>
  <conditionalFormatting sqref="G1210">
    <cfRule type="cellIs" dxfId="80" priority="3" operator="equal">
      <formula>"NO"</formula>
    </cfRule>
  </conditionalFormatting>
  <conditionalFormatting sqref="H575:H576">
    <cfRule type="cellIs" dxfId="79" priority="33" operator="greaterThan">
      <formula>0.03</formula>
    </cfRule>
  </conditionalFormatting>
  <conditionalFormatting sqref="H814:H823 H829 K829">
    <cfRule type="cellIs" dxfId="78" priority="24" operator="equal">
      <formula>"NO"</formula>
    </cfRule>
  </conditionalFormatting>
  <conditionalFormatting sqref="H1394:H1401 J1401 H1407:H1412 J1412">
    <cfRule type="cellIs" dxfId="77" priority="14" operator="equal">
      <formula>"NO"</formula>
    </cfRule>
  </conditionalFormatting>
  <conditionalFormatting sqref="H554:K555 F575:G576">
    <cfRule type="cellIs" dxfId="76" priority="34" operator="greaterThan">
      <formula>0.02</formula>
    </cfRule>
  </conditionalFormatting>
  <conditionalFormatting sqref="I504 J54:J63 J72:J79 J82:J88 J92:J97 J101:J113 J116:J129 J138:J139 J142:J145 J148:J151 J154:J157 J468:J474 F482:G484 J494 J506 J586:J588 J608 J649:J651 E716 J716 E758:F758 I758:J758 H814:H823 K827 K871 K874 K886 K889 J913:J920 I938:I939 K1012 J1026:J1028 J1063 J1080:J1081 C1081:H1081 J1129 J1146:J1147 C1147:H1147">
    <cfRule type="cellIs" dxfId="75" priority="41" operator="equal">
      <formula>"TBD"</formula>
    </cfRule>
  </conditionalFormatting>
  <conditionalFormatting sqref="I637:I638">
    <cfRule type="cellIs" dxfId="74" priority="30" operator="greaterThan">
      <formula>0.03</formula>
    </cfRule>
  </conditionalFormatting>
  <conditionalFormatting sqref="I939">
    <cfRule type="cellIs" dxfId="73" priority="21" operator="equal">
      <formula>"NO"</formula>
    </cfRule>
  </conditionalFormatting>
  <conditionalFormatting sqref="I504:J504">
    <cfRule type="cellIs" dxfId="72" priority="37" operator="lessThan">
      <formula>160</formula>
    </cfRule>
  </conditionalFormatting>
  <conditionalFormatting sqref="J160:J169">
    <cfRule type="cellIs" dxfId="71" priority="12" operator="equal">
      <formula>"TBD"</formula>
    </cfRule>
  </conditionalFormatting>
  <conditionalFormatting sqref="J537 H560:K561 I575:K576">
    <cfRule type="cellIs" dxfId="70" priority="36" operator="equal">
      <formula>"NO"</formula>
    </cfRule>
  </conditionalFormatting>
  <conditionalFormatting sqref="J608 H622:K623 J637:K638">
    <cfRule type="cellIs" dxfId="69" priority="32" operator="equal">
      <formula>"NO"</formula>
    </cfRule>
  </conditionalFormatting>
  <conditionalFormatting sqref="J679">
    <cfRule type="cellIs" dxfId="68" priority="29" operator="equal">
      <formula>"NO"</formula>
    </cfRule>
  </conditionalFormatting>
  <conditionalFormatting sqref="J707:J712 E707:E714">
    <cfRule type="cellIs" dxfId="67" priority="27" operator="greaterThan">
      <formula>0.05</formula>
    </cfRule>
  </conditionalFormatting>
  <conditionalFormatting sqref="J1080">
    <cfRule type="cellIs" dxfId="66" priority="18" operator="greaterThan">
      <formula>0.35</formula>
    </cfRule>
  </conditionalFormatting>
  <conditionalFormatting sqref="J1129 C1147:H1147 J1147 C1163:J1163 C1165:J1165 I1166">
    <cfRule type="cellIs" dxfId="65" priority="17" operator="equal">
      <formula>"NO"</formula>
    </cfRule>
  </conditionalFormatting>
  <conditionalFormatting sqref="J1146">
    <cfRule type="cellIs" dxfId="64" priority="16" operator="greaterThan">
      <formula>0.35</formula>
    </cfRule>
  </conditionalFormatting>
  <conditionalFormatting sqref="K54:K63 K72:K79 K82:K88 K92:K97 K101:K113 K116:K129 K138:K139 K142:K145 K148:K151 K154:K157 K468:K474 K586:K588 K649:K651 K913:K920 K1026:K1028">
    <cfRule type="cellIs" dxfId="63" priority="40" operator="equal">
      <formula>"NO"</formula>
    </cfRule>
  </conditionalFormatting>
  <conditionalFormatting sqref="K160:K169">
    <cfRule type="cellIs" dxfId="62" priority="11" operator="equal">
      <formula>"NO"</formula>
    </cfRule>
  </conditionalFormatting>
  <conditionalFormatting sqref="K871 K874 K886 K889 G901">
    <cfRule type="cellIs" dxfId="61" priority="23" operator="equal">
      <formula>"NO"</formula>
    </cfRule>
  </conditionalFormatting>
  <conditionalFormatting sqref="K1012">
    <cfRule type="cellIs" dxfId="60" priority="20" operator="equal">
      <formula>"NO"</formula>
    </cfRule>
  </conditionalFormatting>
  <conditionalFormatting sqref="M590">
    <cfRule type="expression" dxfId="59" priority="93" stopIfTrue="1">
      <formula>$M$589=1</formula>
    </cfRule>
  </conditionalFormatting>
  <conditionalFormatting sqref="M654">
    <cfRule type="expression" dxfId="58" priority="92" stopIfTrue="1">
      <formula>$M$653=1</formula>
    </cfRule>
  </conditionalFormatting>
  <conditionalFormatting sqref="N1081 N1147">
    <cfRule type="expression" dxfId="57" priority="67" stopIfTrue="1">
      <formula>OR(O1081="YES",P1081="YES",Q1081="YES",R1081="YES",S1081="YES",T1081="YES")</formula>
    </cfRule>
    <cfRule type="expression" dxfId="56" priority="66" stopIfTrue="1">
      <formula>OR(O1081="NO",P1081="NO",Q1081="NO",R1081="NO",S1081="NO",T1081="NO")</formula>
    </cfRule>
  </conditionalFormatting>
  <conditionalFormatting sqref="N1098 N1100 N1164 N1166">
    <cfRule type="expression" dxfId="55" priority="64" stopIfTrue="1">
      <formula>OR(O1098="NO",Q1098="NO",S1098="NO",U1098="NO")</formula>
    </cfRule>
    <cfRule type="expression" dxfId="54" priority="65" stopIfTrue="1">
      <formula>OR(O1098="YES",Q1098="YES",S1098="YES",U1098="YES")</formula>
    </cfRule>
  </conditionalFormatting>
  <conditionalFormatting sqref="Q1203:Q1210">
    <cfRule type="cellIs" dxfId="53" priority="2" operator="greaterThan">
      <formula>0.35</formula>
    </cfRule>
    <cfRule type="cellIs" dxfId="52" priority="1" operator="lessThan">
      <formula>-0.35</formula>
    </cfRule>
  </conditionalFormatting>
  <conditionalFormatting sqref="Q1211">
    <cfRule type="cellIs" dxfId="51" priority="4" operator="equal">
      <formula>"NO"</formula>
    </cfRule>
  </conditionalFormatting>
  <conditionalFormatting sqref="Q1406:S1406 Q1421:S1421">
    <cfRule type="expression" dxfId="50" priority="98" stopIfTrue="1">
      <formula>ABS(Q1406)&gt;0.25</formula>
    </cfRule>
    <cfRule type="expression" dxfId="49" priority="97" stopIfTrue="1">
      <formula>ABS(Q1406)&lt;=0.25</formula>
    </cfRule>
  </conditionalFormatting>
  <conditionalFormatting sqref="S482:S484">
    <cfRule type="cellIs" dxfId="48" priority="13" operator="greaterThan">
      <formula>0.02</formula>
    </cfRule>
  </conditionalFormatting>
  <conditionalFormatting sqref="T1">
    <cfRule type="expression" dxfId="47" priority="96" stopIfTrue="1">
      <formula>AND($T$1="",$T$2="",$T$3="",$T$4="",$T$5="",$T$6="")</formula>
    </cfRule>
  </conditionalFormatting>
  <conditionalFormatting sqref="T2:T5">
    <cfRule type="expression" dxfId="46" priority="94" stopIfTrue="1">
      <formula>AND($T$1="",$T$2="",$T$3="",$T$4="",$T$5="",$T$6="")</formula>
    </cfRule>
  </conditionalFormatting>
  <conditionalFormatting sqref="T6">
    <cfRule type="expression" dxfId="45" priority="95" stopIfTrue="1">
      <formula>AND($T$1="",$T$2="",$T$3="",$T$4="",$T$5="",$T$6="")</formula>
    </cfRule>
  </conditionalFormatting>
  <conditionalFormatting sqref="T481 V877 V879 V892 V894 V902">
    <cfRule type="expression" dxfId="44" priority="77" stopIfTrue="1">
      <formula>T482="NO"</formula>
    </cfRule>
    <cfRule type="expression" dxfId="43" priority="76" stopIfTrue="1">
      <formula>T482="YES"</formula>
    </cfRule>
  </conditionalFormatting>
  <conditionalFormatting sqref="T482:T484 V494 V506 U537 U547 T560:W561 U575:W576 U608 T622:W623 U639:W640 V704 V721 V878 V880 V893 V895 V903 S958:S959 W1064 V1081 U1100:U1101 W1130 V1147 U1166:U1167 V1406 V1421">
    <cfRule type="expression" dxfId="42" priority="83" stopIfTrue="1">
      <formula>S482="NO"</formula>
    </cfRule>
  </conditionalFormatting>
  <conditionalFormatting sqref="T482:T484 V494 V506 U537 U547 T560:W561 U575:W576 U608 T622:W623 U639:W640 V704 V721 V878 V880 V893 V895 V903 S958:S959 W1064 V1081 U1101 W1130 V1147 U1167 V1406 V1421">
    <cfRule type="expression" dxfId="41" priority="82" stopIfTrue="1">
      <formula>S482="YES"</formula>
    </cfRule>
  </conditionalFormatting>
  <conditionalFormatting sqref="T754">
    <cfRule type="expression" dxfId="40" priority="73" stopIfTrue="1">
      <formula>OR(AND(W754&lt;&gt;"NO",OR(AND(U754="YES",V754&lt;&gt;"NO"),AND(V754="YES",U754&lt;&gt;"NO"))),AND(W754="YES",U754&lt;&gt;"NO",V754&lt;&gt;"NO"))</formula>
    </cfRule>
    <cfRule type="expression" dxfId="39" priority="72" stopIfTrue="1">
      <formula>OR(U754="NO",V754="NO",W754="NO")</formula>
    </cfRule>
  </conditionalFormatting>
  <conditionalFormatting sqref="T557:V557 T619:V619">
    <cfRule type="expression" dxfId="38" priority="50" stopIfTrue="1">
      <formula>OR(T560="NO",U560="NO",V560="NO",W560="NO",T561="NO",U561="NO",V561="NO",W561="NO")</formula>
    </cfRule>
    <cfRule type="expression" dxfId="37" priority="51" stopIfTrue="1">
      <formula>OR(T560="YES",U560="YES",V560="YES",W560="YES",T561="YES",U561="YES",V561="YES",W561="YES")</formula>
    </cfRule>
  </conditionalFormatting>
  <conditionalFormatting sqref="U113:U123">
    <cfRule type="cellIs" dxfId="36" priority="7" operator="equal">
      <formula>"Pass"</formula>
    </cfRule>
    <cfRule type="cellIs" dxfId="35" priority="8" operator="equal">
      <formula>"Fail"</formula>
    </cfRule>
  </conditionalFormatting>
  <conditionalFormatting sqref="U494 U506 T537 T547 T608 U704 U721 R958:R959 V1064 U1081 T1101 V1130 U1147 T1167 U1406 U1421">
    <cfRule type="expression" dxfId="34" priority="46" stopIfTrue="1">
      <formula>S494="YES"</formula>
    </cfRule>
    <cfRule type="expression" dxfId="33" priority="47" stopIfTrue="1">
      <formula>S494="NO"</formula>
    </cfRule>
  </conditionalFormatting>
  <conditionalFormatting sqref="U573 U637">
    <cfRule type="expression" dxfId="32" priority="48" stopIfTrue="1">
      <formula>OR(U575="NO",V575="NO",U576="NO",V576="NO")</formula>
    </cfRule>
    <cfRule type="expression" dxfId="31" priority="49" stopIfTrue="1">
      <formula>OR(U575="YES",V575="YES",U576="YES",V576="YES")</formula>
    </cfRule>
  </conditionalFormatting>
  <conditionalFormatting sqref="U774">
    <cfRule type="expression" dxfId="30" priority="74" stopIfTrue="1">
      <formula>OR(V774="NO",W774="NO")</formula>
    </cfRule>
    <cfRule type="expression" dxfId="29" priority="75" stopIfTrue="1">
      <formula>OR(AND(V774="YES",W774&lt;&gt;"NO"),AND(W774="YES",V774&lt;&gt;"NO"))</formula>
    </cfRule>
  </conditionalFormatting>
  <conditionalFormatting sqref="U826">
    <cfRule type="expression" dxfId="28" priority="52" stopIfTrue="1">
      <formula>AND(OR($O$805=3,$O$805="HF",$O$805="CP"),OR(U828="NO",U829="NO",U830="NO",U831="NO",U832="NO",U833="NO",U834="NO",U835="NO",U836="NO",U837="NO"))</formula>
    </cfRule>
  </conditionalFormatting>
  <conditionalFormatting sqref="U827">
    <cfRule type="expression" dxfId="27" priority="53" stopIfTrue="1">
      <formula>AND(OR($O$805=3,$O$805="HF",$O$805="CP"),OR(U828="NO",U829="NO",U830="NO",U831="NO",U832="NO",U833="NO",U834="NO",U835="NO",U836="NO",U837="NO"))</formula>
    </cfRule>
  </conditionalFormatting>
  <conditionalFormatting sqref="U828:U837">
    <cfRule type="expression" dxfId="26" priority="87" stopIfTrue="1">
      <formula>AND(OR($O$805=3,$O$805="HF",$O$805="CP"),U828="YES")</formula>
    </cfRule>
    <cfRule type="expression" dxfId="25" priority="86" stopIfTrue="1">
      <formula>AND(OR($O$805=3,$O$805="HF",$O$805="CP"),U828="NO")</formula>
    </cfRule>
  </conditionalFormatting>
  <conditionalFormatting sqref="U753:W753 V773:W773">
    <cfRule type="expression" dxfId="24" priority="71" stopIfTrue="1">
      <formula>U754="YES"</formula>
    </cfRule>
    <cfRule type="expression" dxfId="23" priority="70" stopIfTrue="1">
      <formula>U754="NO"</formula>
    </cfRule>
  </conditionalFormatting>
  <conditionalFormatting sqref="U754:W754">
    <cfRule type="expression" dxfId="22" priority="5" stopIfTrue="1">
      <formula>U754="NO"</formula>
    </cfRule>
    <cfRule type="expression" dxfId="21" priority="6" stopIfTrue="1">
      <formula>U754="YES"</formula>
    </cfRule>
  </conditionalFormatting>
  <conditionalFormatting sqref="V826">
    <cfRule type="expression" dxfId="20" priority="54" stopIfTrue="1">
      <formula>AND($O$805=1,OR(V828="NO",V829="NO",V830="NO",V831="NO",V832="NO",V833="NO",V834="NO",V835="NO",V836="NO",V837="NO"))</formula>
    </cfRule>
  </conditionalFormatting>
  <conditionalFormatting sqref="V827">
    <cfRule type="expression" dxfId="19" priority="55" stopIfTrue="1">
      <formula>AND($O$805=1,OR(V828="NO",V829="NO",V830="NO",V831="NO",V832="NO",V833="NO",V834="NO",V835="NO",V836="NO",V837="NO"))</formula>
    </cfRule>
  </conditionalFormatting>
  <conditionalFormatting sqref="V828:V837">
    <cfRule type="expression" dxfId="18" priority="88" stopIfTrue="1">
      <formula>AND($O$805=1,V828="NO")</formula>
    </cfRule>
    <cfRule type="expression" dxfId="17" priority="89" stopIfTrue="1">
      <formula>AND($O$805=1,V828="YES")</formula>
    </cfRule>
  </conditionalFormatting>
  <conditionalFormatting sqref="V876 V891">
    <cfRule type="expression" dxfId="16" priority="78" stopIfTrue="1">
      <formula>OR(AND(V878="YES",V880&lt;&gt;"NO"),AND(V878&lt;&gt;"NO",V880="YES"))</formula>
    </cfRule>
    <cfRule type="expression" dxfId="15" priority="79" stopIfTrue="1">
      <formula>OR(V878="NO",V880="NO")</formula>
    </cfRule>
  </conditionalFormatting>
  <conditionalFormatting sqref="V901">
    <cfRule type="expression" dxfId="14" priority="81" stopIfTrue="1">
      <formula>V903="NO"</formula>
    </cfRule>
    <cfRule type="expression" dxfId="13" priority="80" stopIfTrue="1">
      <formula>V903="YES"</formula>
    </cfRule>
  </conditionalFormatting>
  <conditionalFormatting sqref="V1003:V1006 V1008:V1011">
    <cfRule type="cellIs" dxfId="12" priority="99" stopIfTrue="1" operator="notEqual">
      <formula>""</formula>
    </cfRule>
  </conditionalFormatting>
  <conditionalFormatting sqref="V1013:V1015">
    <cfRule type="expression" dxfId="11" priority="58" stopIfTrue="1">
      <formula>W1013="NO"</formula>
    </cfRule>
    <cfRule type="expression" dxfId="10" priority="59" stopIfTrue="1">
      <formula>W1013="YES"</formula>
    </cfRule>
  </conditionalFormatting>
  <conditionalFormatting sqref="V774:W774 W1013:W1015 O1081:T1081 O1098 Q1098 S1098 U1098 O1100 Q1100 S1100 O1147:T1147 O1164 Q1164 S1164 U1164 O1166 Q1166 S1166 U1100 U1166">
    <cfRule type="expression" dxfId="9" priority="85" stopIfTrue="1">
      <formula>O774="YES"</formula>
    </cfRule>
  </conditionalFormatting>
  <conditionalFormatting sqref="V774:W774 W1013:W1015 O1081:T1081 O1098 Q1098 S1098 U1098 O1100 Q1100 S1100 O1147:T1147 O1164 Q1164 S1164 U1164 O1166 Q1166 S1166">
    <cfRule type="expression" dxfId="8" priority="84" stopIfTrue="1">
      <formula>O774="NO"</formula>
    </cfRule>
  </conditionalFormatting>
  <conditionalFormatting sqref="V1012:W1012">
    <cfRule type="expression" dxfId="7" priority="61" stopIfTrue="1">
      <formula>AND(W1015&lt;&gt;"NO",OR(W1013="YES",W1014="YES"))</formula>
    </cfRule>
    <cfRule type="expression" dxfId="6" priority="60" stopIfTrue="1">
      <formula>OR(W1015="NO",AND(W1015&lt;&gt;"YES",OR(W1013="NO",W1014="NO")))</formula>
    </cfRule>
  </conditionalFormatting>
  <conditionalFormatting sqref="W557 W619">
    <cfRule type="expression" dxfId="5" priority="69" stopIfTrue="1">
      <formula>OR(T560="YES",U560="YES",V560="YES",W560="YES",T561="YES",U561="YES",V561="YES",W561="YES")</formula>
    </cfRule>
    <cfRule type="expression" dxfId="4" priority="68" stopIfTrue="1">
      <formula>OR(T560="NO",U560="NO",V560="NO",W560="NO",T561="NO",U561="NO",V561="NO",W561="NO")</formula>
    </cfRule>
  </conditionalFormatting>
  <conditionalFormatting sqref="W826">
    <cfRule type="expression" dxfId="3" priority="56" stopIfTrue="1">
      <formula>AND($O$805="Dent",OR(W828="NO",W829="NO",W830="NO",W831="NO",W832="NO",W833="NO",W834="NO",W835="NO",W836="NO",W837="NO"))</formula>
    </cfRule>
  </conditionalFormatting>
  <conditionalFormatting sqref="W827">
    <cfRule type="expression" dxfId="2" priority="57" stopIfTrue="1">
      <formula>AND($O$805="Dent",OR(W828="NO",W829="NO",W830="NO",W831="NO",W832="NO",W833="NO",W834="NO",W835="NO",W836="NO",W837="NO"))</formula>
    </cfRule>
  </conditionalFormatting>
  <conditionalFormatting sqref="W828:W837">
    <cfRule type="expression" dxfId="1" priority="90" stopIfTrue="1">
      <formula>AND($O$805="Dent",W828="NO")</formula>
    </cfRule>
    <cfRule type="expression" dxfId="0" priority="91" stopIfTrue="1">
      <formula>AND($O$805="Dent",W828="YES")</formula>
    </cfRule>
  </conditionalFormatting>
  <dataValidations count="2">
    <dataValidation type="list" allowBlank="1" showErrorMessage="1" sqref="T535" xr:uid="{00000000-0002-0000-0000-000001000000}">
      <formula1>$W$535:$W$536</formula1>
    </dataValidation>
    <dataValidation type="list" allowBlank="1" showErrorMessage="1" sqref="U669 U674" xr:uid="{00000000-0002-0000-0000-000002000000}">
      <formula1>$AA$658:$AA$678</formula1>
    </dataValidation>
  </dataValidations>
  <printOptions horizontalCentered="1"/>
  <pageMargins left="0.51181102362204722" right="0.51181102362204722" top="0.51181102362204722" bottom="0.51181102362204722" header="0.51181102362204722" footer="0.51181102362204722"/>
  <pageSetup scale="95" orientation="portrait" r:id="rId2"/>
  <headerFooter alignWithMargins="0">
    <oddFooter>Page &amp;P</oddFooter>
  </headerFooter>
  <rowBreaks count="25" manualBreakCount="25">
    <brk id="66" max="16383" man="1"/>
    <brk id="132" max="65535" man="1"/>
    <brk id="198" max="16383" man="1"/>
    <brk id="264" max="16383" man="1"/>
    <brk id="330" max="16383" man="1"/>
    <brk id="396" max="65535" man="1"/>
    <brk id="462" max="65535" man="1"/>
    <brk id="528" max="65535" man="1"/>
    <brk id="594" max="16383" man="1"/>
    <brk id="660" max="65535" man="1"/>
    <brk id="726" max="65535" man="1"/>
    <brk id="792" max="65535" man="1"/>
    <brk id="858" max="65535" man="1"/>
    <brk id="924" max="65535" man="1"/>
    <brk id="990" max="65535" man="1"/>
    <brk id="1056" max="65535" man="1"/>
    <brk id="1122" max="65535" man="1"/>
    <brk id="1188" max="65535" man="1"/>
    <brk id="1254" max="65535" man="1"/>
    <brk id="1320" max="65535" man="1"/>
    <brk id="1386" max="65535" man="1"/>
    <brk id="1452" max="16383" man="1"/>
    <brk id="1518" max="16383" man="1"/>
    <brk id="1584" max="16383" man="1"/>
    <brk id="1650" max="16383" man="1"/>
  </rowBreaks>
  <colBreaks count="1" manualBreakCount="1">
    <brk id="12" max="1048575" man="1"/>
  </colBreaks>
  <drawing r:id="rId3"/>
  <legacyDrawing r:id="rId4"/>
  <extLst>
    <ext xmlns:x14="http://schemas.microsoft.com/office/spreadsheetml/2009/9/main" uri="{CCE6A557-97BC-4b89-ADB6-D9C93CAAB3DF}">
      <x14:dataValidations xmlns:xm="http://schemas.microsoft.com/office/excel/2006/main" count="3">
        <x14:dataValidation type="list" allowBlank="1" showInputMessage="1" showErrorMessage="1" xr:uid="{4685D359-064F-4466-8750-20BB30FEC852}">
          <x14:formula1>
            <xm:f>Tables!$B$2:$B$3</xm:f>
          </x14:formula1>
          <xm:sqref>O688</xm:sqref>
        </x14:dataValidation>
        <x14:dataValidation type="list" allowBlank="1" showInputMessage="1" showErrorMessage="1" xr:uid="{00000000-0002-0000-0000-000000000000}">
          <x14:formula1>
            <xm:f>Tables!$A$11:$A$15</xm:f>
          </x14:formula1>
          <xm:sqref>O1202:P1202</xm:sqref>
        </x14:dataValidation>
        <x14:dataValidation type="list" allowBlank="1" showInputMessage="1" showErrorMessage="1" xr:uid="{A9CC2EB2-2A16-4378-951C-E2DD8713D8D5}">
          <x14:formula1>
            <xm:f>Tables!$B$6:$B$7</xm:f>
          </x14:formula1>
          <xm:sqref>T1196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14E9-FB5D-4BAB-91EC-98E41C885015}">
  <dimension ref="A1:B15"/>
  <sheetViews>
    <sheetView workbookViewId="0">
      <selection activeCell="B3" sqref="B3"/>
    </sheetView>
  </sheetViews>
  <sheetFormatPr defaultRowHeight="15.6"/>
  <cols>
    <col min="2" max="2" width="10.3984375" bestFit="1" customWidth="1"/>
  </cols>
  <sheetData>
    <row r="1" spans="1:2">
      <c r="A1" s="1233" t="s">
        <v>1158</v>
      </c>
    </row>
    <row r="2" spans="1:2">
      <c r="A2" s="1233" t="s">
        <v>1159</v>
      </c>
      <c r="B2" s="1233" t="s">
        <v>1160</v>
      </c>
    </row>
    <row r="3" spans="1:2">
      <c r="A3" s="1233" t="s">
        <v>1161</v>
      </c>
      <c r="B3" s="1233" t="s">
        <v>1162</v>
      </c>
    </row>
    <row r="5" spans="1:2">
      <c r="A5" s="1233" t="s">
        <v>1171</v>
      </c>
    </row>
    <row r="6" spans="1:2">
      <c r="A6" s="1233" t="s">
        <v>1172</v>
      </c>
      <c r="B6" s="1234" t="s">
        <v>1174</v>
      </c>
    </row>
    <row r="7" spans="1:2">
      <c r="A7" s="1233" t="s">
        <v>1173</v>
      </c>
      <c r="B7" s="1234" t="s">
        <v>1175</v>
      </c>
    </row>
    <row r="9" spans="1:2">
      <c r="A9" s="1260" t="s">
        <v>1101</v>
      </c>
      <c r="B9" s="1260"/>
    </row>
    <row r="10" spans="1:2">
      <c r="B10" t="s">
        <v>1100</v>
      </c>
    </row>
    <row r="11" spans="1:2">
      <c r="A11" t="s">
        <v>1103</v>
      </c>
      <c r="B11">
        <v>0.1</v>
      </c>
    </row>
    <row r="12" spans="1:2">
      <c r="A12" t="s">
        <v>1102</v>
      </c>
      <c r="B12">
        <v>1</v>
      </c>
    </row>
    <row r="13" spans="1:2">
      <c r="A13" t="s">
        <v>1108</v>
      </c>
      <c r="B13">
        <v>10</v>
      </c>
    </row>
    <row r="14" spans="1:2">
      <c r="A14" t="s">
        <v>1098</v>
      </c>
      <c r="B14">
        <v>100</v>
      </c>
    </row>
    <row r="15" spans="1:2">
      <c r="A15" t="s">
        <v>1100</v>
      </c>
      <c r="B15">
        <v>1</v>
      </c>
    </row>
  </sheetData>
  <mergeCells count="1">
    <mergeCell ref="A9:B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2"/>
  <sheetViews>
    <sheetView topLeftCell="A22" workbookViewId="0">
      <selection activeCell="A4" sqref="A4:A42"/>
    </sheetView>
  </sheetViews>
  <sheetFormatPr defaultRowHeight="15.6"/>
  <sheetData>
    <row r="1" spans="1:25">
      <c r="A1" s="190" t="s">
        <v>1145</v>
      </c>
      <c r="P1" s="190" t="s">
        <v>1145</v>
      </c>
      <c r="R1" s="190" t="s">
        <v>1145</v>
      </c>
    </row>
    <row r="3" spans="1:25">
      <c r="A3" s="1183" t="s">
        <v>1146</v>
      </c>
      <c r="B3" s="1183" t="s">
        <v>1147</v>
      </c>
      <c r="C3" s="1183" t="s">
        <v>1148</v>
      </c>
      <c r="D3" s="1183" t="s">
        <v>1163</v>
      </c>
      <c r="E3" s="1183" t="s">
        <v>1149</v>
      </c>
      <c r="F3" s="1183" t="s">
        <v>1150</v>
      </c>
      <c r="G3" s="1183" t="s">
        <v>1151</v>
      </c>
      <c r="H3" s="1183" t="s">
        <v>1164</v>
      </c>
      <c r="I3" s="1183" t="s">
        <v>1152</v>
      </c>
      <c r="J3" s="1183" t="s">
        <v>1153</v>
      </c>
      <c r="K3" s="1183" t="s">
        <v>1154</v>
      </c>
      <c r="L3" s="1183" t="s">
        <v>1155</v>
      </c>
      <c r="M3" s="1183" t="s">
        <v>1165</v>
      </c>
      <c r="N3" s="1183" t="s">
        <v>1166</v>
      </c>
      <c r="P3" s="1183" t="s">
        <v>1156</v>
      </c>
      <c r="R3" s="1183" t="s">
        <v>1146</v>
      </c>
      <c r="S3" s="1183" t="s">
        <v>1147</v>
      </c>
      <c r="T3" s="1183" t="s">
        <v>1163</v>
      </c>
      <c r="U3" s="1183" t="s">
        <v>1148</v>
      </c>
      <c r="V3" s="1183" t="s">
        <v>1168</v>
      </c>
      <c r="W3" s="1183" t="s">
        <v>1169</v>
      </c>
      <c r="X3" s="1183" t="s">
        <v>1099</v>
      </c>
      <c r="Y3" s="1183" t="s">
        <v>1170</v>
      </c>
    </row>
    <row r="4" spans="1:25">
      <c r="A4">
        <v>60</v>
      </c>
      <c r="B4">
        <v>400</v>
      </c>
      <c r="C4">
        <v>20</v>
      </c>
      <c r="D4">
        <v>0.05</v>
      </c>
      <c r="E4">
        <v>0</v>
      </c>
      <c r="F4" t="s">
        <v>51</v>
      </c>
      <c r="R4">
        <v>60</v>
      </c>
      <c r="S4">
        <v>100</v>
      </c>
      <c r="T4">
        <v>0.1</v>
      </c>
      <c r="U4">
        <v>10</v>
      </c>
    </row>
    <row r="5" spans="1:25">
      <c r="A5">
        <v>80</v>
      </c>
      <c r="B5">
        <v>400</v>
      </c>
      <c r="C5">
        <v>20</v>
      </c>
      <c r="D5">
        <v>0.05</v>
      </c>
      <c r="E5">
        <v>0</v>
      </c>
      <c r="F5" t="s">
        <v>51</v>
      </c>
      <c r="R5">
        <v>80</v>
      </c>
      <c r="S5">
        <v>50</v>
      </c>
      <c r="T5">
        <v>0.2</v>
      </c>
      <c r="U5">
        <v>10</v>
      </c>
    </row>
    <row r="6" spans="1:25">
      <c r="A6">
        <v>80</v>
      </c>
      <c r="B6">
        <v>400</v>
      </c>
      <c r="C6">
        <v>20</v>
      </c>
      <c r="D6">
        <v>0.05</v>
      </c>
      <c r="E6">
        <v>0</v>
      </c>
      <c r="F6" t="s">
        <v>51</v>
      </c>
      <c r="R6">
        <v>100</v>
      </c>
      <c r="S6">
        <v>50</v>
      </c>
      <c r="T6">
        <v>0.2</v>
      </c>
      <c r="U6">
        <v>10</v>
      </c>
    </row>
    <row r="7" spans="1:25">
      <c r="A7">
        <v>80</v>
      </c>
      <c r="B7">
        <v>400</v>
      </c>
      <c r="C7">
        <v>20</v>
      </c>
      <c r="D7">
        <v>0.05</v>
      </c>
      <c r="E7">
        <v>0</v>
      </c>
      <c r="F7" t="s">
        <v>51</v>
      </c>
      <c r="R7">
        <v>120</v>
      </c>
      <c r="S7">
        <v>25</v>
      </c>
      <c r="T7">
        <v>0.4</v>
      </c>
      <c r="U7">
        <v>10</v>
      </c>
    </row>
    <row r="8" spans="1:25">
      <c r="A8">
        <v>80</v>
      </c>
      <c r="B8">
        <v>400</v>
      </c>
      <c r="C8">
        <v>20</v>
      </c>
      <c r="D8">
        <v>0.05</v>
      </c>
      <c r="E8">
        <v>0</v>
      </c>
      <c r="F8" t="s">
        <v>51</v>
      </c>
    </row>
    <row r="9" spans="1:25">
      <c r="A9">
        <v>80</v>
      </c>
      <c r="B9">
        <v>400</v>
      </c>
      <c r="C9">
        <v>20</v>
      </c>
      <c r="D9">
        <v>0.05</v>
      </c>
      <c r="E9">
        <v>0</v>
      </c>
      <c r="F9" t="s">
        <v>51</v>
      </c>
    </row>
    <row r="10" spans="1:25">
      <c r="A10">
        <v>80</v>
      </c>
      <c r="B10">
        <v>400</v>
      </c>
      <c r="C10">
        <v>20</v>
      </c>
      <c r="D10">
        <v>0.05</v>
      </c>
      <c r="E10">
        <v>3</v>
      </c>
      <c r="F10" t="s">
        <v>51</v>
      </c>
    </row>
    <row r="11" spans="1:25">
      <c r="A11">
        <v>80</v>
      </c>
      <c r="B11">
        <v>400</v>
      </c>
      <c r="C11">
        <v>20</v>
      </c>
      <c r="D11">
        <v>0.05</v>
      </c>
      <c r="E11">
        <v>3</v>
      </c>
      <c r="F11" t="s">
        <v>51</v>
      </c>
    </row>
    <row r="12" spans="1:25">
      <c r="A12">
        <v>80</v>
      </c>
      <c r="B12">
        <v>400</v>
      </c>
      <c r="C12">
        <v>20</v>
      </c>
      <c r="D12">
        <v>0.05</v>
      </c>
      <c r="E12">
        <v>3.5</v>
      </c>
      <c r="F12" t="s">
        <v>51</v>
      </c>
    </row>
    <row r="13" spans="1:25">
      <c r="A13">
        <v>80</v>
      </c>
      <c r="B13">
        <v>400</v>
      </c>
      <c r="C13">
        <v>20</v>
      </c>
      <c r="D13">
        <v>0.05</v>
      </c>
      <c r="E13">
        <v>3.5</v>
      </c>
      <c r="F13" t="s">
        <v>51</v>
      </c>
    </row>
    <row r="14" spans="1:25">
      <c r="A14">
        <v>80</v>
      </c>
      <c r="B14">
        <v>400</v>
      </c>
      <c r="C14">
        <v>20</v>
      </c>
      <c r="D14">
        <v>0.05</v>
      </c>
      <c r="E14">
        <v>2.5</v>
      </c>
      <c r="F14" t="s">
        <v>51</v>
      </c>
    </row>
    <row r="15" spans="1:25">
      <c r="A15">
        <v>80</v>
      </c>
      <c r="B15">
        <v>400</v>
      </c>
      <c r="C15">
        <v>20</v>
      </c>
      <c r="D15">
        <v>0.05</v>
      </c>
      <c r="E15">
        <v>2.5</v>
      </c>
      <c r="F15" t="s">
        <v>51</v>
      </c>
    </row>
    <row r="16" spans="1:25">
      <c r="A16">
        <v>80</v>
      </c>
      <c r="B16">
        <v>500</v>
      </c>
      <c r="C16">
        <v>25</v>
      </c>
      <c r="D16">
        <v>0.05</v>
      </c>
      <c r="E16">
        <v>0</v>
      </c>
      <c r="F16" t="s">
        <v>51</v>
      </c>
    </row>
    <row r="17" spans="1:6">
      <c r="A17">
        <v>80</v>
      </c>
      <c r="B17">
        <v>50</v>
      </c>
      <c r="C17">
        <v>2.5</v>
      </c>
      <c r="D17">
        <v>0.05</v>
      </c>
      <c r="E17">
        <v>0</v>
      </c>
      <c r="F17" t="s">
        <v>51</v>
      </c>
    </row>
    <row r="18" spans="1:6">
      <c r="A18">
        <v>80</v>
      </c>
      <c r="B18">
        <v>800</v>
      </c>
      <c r="C18">
        <v>40</v>
      </c>
      <c r="D18">
        <v>0.05</v>
      </c>
      <c r="E18">
        <v>0</v>
      </c>
      <c r="F18" t="s">
        <v>51</v>
      </c>
    </row>
    <row r="19" spans="1:6">
      <c r="A19">
        <v>80</v>
      </c>
      <c r="B19">
        <v>250</v>
      </c>
      <c r="C19">
        <v>12.5</v>
      </c>
      <c r="D19">
        <v>0.05</v>
      </c>
      <c r="E19">
        <v>0</v>
      </c>
      <c r="F19" t="s">
        <v>51</v>
      </c>
    </row>
    <row r="20" spans="1:6">
      <c r="A20">
        <v>100</v>
      </c>
      <c r="B20">
        <v>400</v>
      </c>
      <c r="C20">
        <v>20</v>
      </c>
      <c r="D20">
        <v>0.05</v>
      </c>
      <c r="E20">
        <v>0</v>
      </c>
      <c r="F20" t="s">
        <v>51</v>
      </c>
    </row>
    <row r="21" spans="1:6">
      <c r="A21">
        <v>120</v>
      </c>
      <c r="B21">
        <v>400</v>
      </c>
      <c r="C21">
        <v>20</v>
      </c>
      <c r="D21">
        <v>0.05</v>
      </c>
      <c r="E21">
        <v>0</v>
      </c>
      <c r="F21" t="s">
        <v>51</v>
      </c>
    </row>
    <row r="22" spans="1:6">
      <c r="A22">
        <v>140</v>
      </c>
      <c r="B22">
        <v>400</v>
      </c>
      <c r="C22">
        <v>20</v>
      </c>
      <c r="D22">
        <v>0.05</v>
      </c>
      <c r="E22">
        <v>0</v>
      </c>
      <c r="F22" t="s">
        <v>51</v>
      </c>
    </row>
    <row r="23" spans="1:6">
      <c r="A23">
        <v>50</v>
      </c>
      <c r="B23">
        <v>100</v>
      </c>
      <c r="C23">
        <v>10</v>
      </c>
      <c r="D23">
        <v>0.1</v>
      </c>
      <c r="E23">
        <v>0</v>
      </c>
      <c r="F23" t="s">
        <v>77</v>
      </c>
    </row>
    <row r="24" spans="1:6">
      <c r="A24">
        <v>70</v>
      </c>
      <c r="B24">
        <v>100</v>
      </c>
      <c r="C24">
        <v>10</v>
      </c>
      <c r="D24">
        <v>0.1</v>
      </c>
      <c r="E24">
        <v>0</v>
      </c>
      <c r="F24" t="s">
        <v>77</v>
      </c>
    </row>
    <row r="25" spans="1:6">
      <c r="A25">
        <v>90</v>
      </c>
      <c r="B25">
        <v>100</v>
      </c>
      <c r="C25">
        <v>10</v>
      </c>
      <c r="D25">
        <v>0.1</v>
      </c>
      <c r="E25">
        <v>0</v>
      </c>
      <c r="F25" t="s">
        <v>77</v>
      </c>
    </row>
    <row r="26" spans="1:6">
      <c r="A26">
        <v>90</v>
      </c>
      <c r="B26">
        <v>100</v>
      </c>
      <c r="C26">
        <v>10</v>
      </c>
      <c r="D26">
        <v>0.1</v>
      </c>
      <c r="E26">
        <v>0</v>
      </c>
      <c r="F26" t="s">
        <v>77</v>
      </c>
    </row>
    <row r="27" spans="1:6">
      <c r="A27">
        <v>90</v>
      </c>
      <c r="B27">
        <v>100</v>
      </c>
      <c r="C27">
        <v>10</v>
      </c>
      <c r="D27">
        <v>0.1</v>
      </c>
      <c r="E27">
        <v>0</v>
      </c>
      <c r="F27" t="s">
        <v>77</v>
      </c>
    </row>
    <row r="28" spans="1:6">
      <c r="A28">
        <v>90</v>
      </c>
      <c r="B28">
        <v>100</v>
      </c>
      <c r="C28">
        <v>10</v>
      </c>
      <c r="D28">
        <v>0.1</v>
      </c>
      <c r="E28">
        <v>0</v>
      </c>
      <c r="F28" t="s">
        <v>77</v>
      </c>
    </row>
    <row r="29" spans="1:6">
      <c r="A29">
        <v>90</v>
      </c>
      <c r="B29">
        <v>100</v>
      </c>
      <c r="C29">
        <v>10</v>
      </c>
      <c r="D29">
        <v>0.1</v>
      </c>
      <c r="E29">
        <v>0</v>
      </c>
      <c r="F29" t="s">
        <v>77</v>
      </c>
    </row>
    <row r="30" spans="1:6">
      <c r="A30">
        <v>80</v>
      </c>
      <c r="B30">
        <v>100</v>
      </c>
      <c r="C30">
        <v>10</v>
      </c>
      <c r="D30">
        <v>0.1</v>
      </c>
      <c r="E30">
        <v>0</v>
      </c>
      <c r="F30" t="s">
        <v>77</v>
      </c>
    </row>
    <row r="31" spans="1:6">
      <c r="A31">
        <v>80</v>
      </c>
      <c r="B31">
        <v>110</v>
      </c>
      <c r="C31">
        <v>11</v>
      </c>
      <c r="D31">
        <v>0.1</v>
      </c>
      <c r="E31">
        <v>0</v>
      </c>
      <c r="F31" t="s">
        <v>77</v>
      </c>
    </row>
    <row r="32" spans="1:6">
      <c r="A32">
        <v>80</v>
      </c>
      <c r="B32">
        <v>250</v>
      </c>
      <c r="C32">
        <v>25</v>
      </c>
      <c r="D32">
        <v>0.1</v>
      </c>
      <c r="E32">
        <v>0</v>
      </c>
      <c r="F32" t="s">
        <v>77</v>
      </c>
    </row>
    <row r="33" spans="1:6">
      <c r="A33">
        <v>80</v>
      </c>
      <c r="B33">
        <v>50</v>
      </c>
      <c r="C33">
        <v>5</v>
      </c>
      <c r="D33">
        <v>0.1</v>
      </c>
      <c r="E33">
        <v>0</v>
      </c>
      <c r="F33" t="s">
        <v>77</v>
      </c>
    </row>
    <row r="34" spans="1:6">
      <c r="A34">
        <v>80</v>
      </c>
      <c r="B34">
        <v>160</v>
      </c>
      <c r="C34">
        <v>16</v>
      </c>
      <c r="D34">
        <v>0.1</v>
      </c>
      <c r="E34">
        <v>0</v>
      </c>
      <c r="F34" t="s">
        <v>77</v>
      </c>
    </row>
    <row r="35" spans="1:6">
      <c r="A35">
        <v>110</v>
      </c>
      <c r="B35">
        <v>100</v>
      </c>
      <c r="C35">
        <v>10</v>
      </c>
      <c r="D35">
        <v>0.1</v>
      </c>
      <c r="E35">
        <v>0</v>
      </c>
      <c r="F35" t="s">
        <v>77</v>
      </c>
    </row>
    <row r="36" spans="1:6">
      <c r="A36">
        <v>130</v>
      </c>
      <c r="B36">
        <v>100</v>
      </c>
      <c r="C36">
        <v>10</v>
      </c>
      <c r="D36">
        <v>0.1</v>
      </c>
      <c r="E36">
        <v>0</v>
      </c>
      <c r="F36" t="s">
        <v>77</v>
      </c>
    </row>
    <row r="37" spans="1:6">
      <c r="A37">
        <v>80</v>
      </c>
      <c r="B37">
        <v>200</v>
      </c>
      <c r="C37">
        <v>2</v>
      </c>
      <c r="D37">
        <v>0.01</v>
      </c>
      <c r="E37">
        <v>0</v>
      </c>
      <c r="F37" t="s">
        <v>51</v>
      </c>
    </row>
    <row r="38" spans="1:6">
      <c r="A38">
        <v>80</v>
      </c>
      <c r="B38">
        <v>200</v>
      </c>
      <c r="C38">
        <v>4</v>
      </c>
      <c r="D38">
        <v>0.02</v>
      </c>
      <c r="E38">
        <v>0</v>
      </c>
      <c r="F38" t="s">
        <v>51</v>
      </c>
    </row>
    <row r="39" spans="1:6">
      <c r="A39">
        <v>80</v>
      </c>
      <c r="B39">
        <v>200</v>
      </c>
      <c r="C39">
        <v>8</v>
      </c>
      <c r="D39">
        <v>0.04</v>
      </c>
      <c r="E39">
        <v>0</v>
      </c>
      <c r="F39" t="s">
        <v>51</v>
      </c>
    </row>
    <row r="40" spans="1:6">
      <c r="A40">
        <v>80</v>
      </c>
      <c r="B40">
        <v>200</v>
      </c>
      <c r="C40">
        <v>20</v>
      </c>
      <c r="D40">
        <v>0.1</v>
      </c>
      <c r="E40">
        <v>0</v>
      </c>
      <c r="F40" t="s">
        <v>51</v>
      </c>
    </row>
    <row r="41" spans="1:6">
      <c r="A41">
        <v>80</v>
      </c>
      <c r="B41">
        <v>200</v>
      </c>
      <c r="C41">
        <v>50</v>
      </c>
      <c r="D41">
        <v>0.25</v>
      </c>
      <c r="E41">
        <v>0</v>
      </c>
      <c r="F41" t="s">
        <v>51</v>
      </c>
    </row>
    <row r="42" spans="1:6">
      <c r="A42">
        <v>80</v>
      </c>
      <c r="B42">
        <v>200</v>
      </c>
      <c r="C42">
        <v>80</v>
      </c>
      <c r="D42">
        <v>0.4</v>
      </c>
      <c r="E42">
        <v>0</v>
      </c>
      <c r="F42" t="s">
        <v>51</v>
      </c>
    </row>
  </sheetData>
  <customSheetViews>
    <customSheetView guid="{E3496B94-97EB-4AAE-9FD7-F66109A2B11F}">
      <pageMargins left="0.7" right="0.7" top="0.75" bottom="0.75" header="0.3" footer="0.3"/>
    </customSheetView>
  </customSheetView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103"/>
  <sheetViews>
    <sheetView workbookViewId="0"/>
  </sheetViews>
  <sheetFormatPr defaultRowHeight="15.6"/>
  <sheetData>
    <row r="1" spans="1:7">
      <c r="A1" t="s">
        <v>1088</v>
      </c>
      <c r="B1" s="661" t="s">
        <v>1089</v>
      </c>
    </row>
    <row r="2" spans="1:7">
      <c r="A2" t="s">
        <v>1090</v>
      </c>
      <c r="B2" s="661" t="str">
        <f>Gen_form!E14</f>
        <v/>
      </c>
    </row>
    <row r="3" spans="1:7">
      <c r="A3" t="s">
        <v>512</v>
      </c>
      <c r="B3" s="661" t="str">
        <f>Gen_form!S484</f>
        <v/>
      </c>
    </row>
    <row r="4" spans="1:7">
      <c r="A4" t="s">
        <v>579</v>
      </c>
      <c r="B4" s="661" t="str">
        <f>Gen_form!U504</f>
        <v>TBD</v>
      </c>
    </row>
    <row r="5" spans="1:7">
      <c r="A5" t="s">
        <v>1074</v>
      </c>
      <c r="B5" s="661" t="str">
        <f>Gen_form!R537</f>
        <v>TBD</v>
      </c>
    </row>
    <row r="6" spans="1:7">
      <c r="A6" t="s">
        <v>1075</v>
      </c>
      <c r="B6" s="661">
        <f>Gen_form!Q547</f>
        <v>0</v>
      </c>
    </row>
    <row r="7" spans="1:7">
      <c r="A7" t="s">
        <v>1076</v>
      </c>
      <c r="B7" s="661">
        <f>Gen_form!Q608</f>
        <v>0</v>
      </c>
    </row>
    <row r="8" spans="1:7">
      <c r="A8" t="s">
        <v>1077</v>
      </c>
      <c r="B8" s="661">
        <f>Gen_form!U669</f>
        <v>0</v>
      </c>
    </row>
    <row r="9" spans="1:7">
      <c r="A9" t="s">
        <v>1078</v>
      </c>
      <c r="B9" s="661">
        <f>Gen_form!U674</f>
        <v>0</v>
      </c>
    </row>
    <row r="10" spans="1:7">
      <c r="A10" t="s">
        <v>1079</v>
      </c>
      <c r="B10" s="661" t="str">
        <f>Gen_form!K543</f>
        <v/>
      </c>
    </row>
    <row r="11" spans="1:7">
      <c r="A11" t="s">
        <v>1080</v>
      </c>
      <c r="B11" s="1114" t="str">
        <f>Gen_form!C615</f>
        <v/>
      </c>
    </row>
    <row r="12" spans="1:7">
      <c r="A12" t="s">
        <v>1081</v>
      </c>
      <c r="B12" s="661" t="str">
        <f>Gen_form!B554</f>
        <v/>
      </c>
      <c r="C12" s="661" t="str">
        <f>Gen_form!C554</f>
        <v/>
      </c>
      <c r="D12" s="661" t="str">
        <f>Gen_form!D554</f>
        <v/>
      </c>
      <c r="E12" s="661" t="str">
        <f>Gen_form!E554</f>
        <v/>
      </c>
      <c r="F12" s="661" t="str">
        <f>Gen_form!F554</f>
        <v/>
      </c>
      <c r="G12" s="661" t="str">
        <f>Gen_form!G554</f>
        <v/>
      </c>
    </row>
    <row r="13" spans="1:7">
      <c r="B13" s="661" t="str">
        <f>Gen_form!B555</f>
        <v/>
      </c>
      <c r="C13" s="661" t="str">
        <f>Gen_form!C555</f>
        <v/>
      </c>
      <c r="D13" s="661" t="str">
        <f>Gen_form!D555</f>
        <v/>
      </c>
      <c r="E13" s="661" t="str">
        <f>Gen_form!E555</f>
        <v/>
      </c>
      <c r="F13" s="661" t="str">
        <f>Gen_form!F555</f>
        <v/>
      </c>
      <c r="G13" s="661" t="str">
        <f>Gen_form!G555</f>
        <v/>
      </c>
    </row>
    <row r="14" spans="1:7">
      <c r="A14" t="s">
        <v>1082</v>
      </c>
      <c r="B14" s="661" t="str">
        <f>Gen_form!B575</f>
        <v>NA</v>
      </c>
      <c r="C14" s="661" t="str">
        <f>Gen_form!C575</f>
        <v>NA</v>
      </c>
      <c r="D14" s="661"/>
      <c r="E14" s="661"/>
    </row>
    <row r="15" spans="1:7">
      <c r="B15" s="1114" t="str">
        <f>Gen_form!B576</f>
        <v>NA</v>
      </c>
      <c r="C15" s="1114" t="str">
        <f>Gen_form!C576</f>
        <v>NA</v>
      </c>
      <c r="D15" s="1114"/>
      <c r="E15" s="1114"/>
    </row>
    <row r="16" spans="1:7">
      <c r="A16" t="s">
        <v>1083</v>
      </c>
      <c r="B16" s="661" t="str">
        <f>Gen_form!D615</f>
        <v/>
      </c>
      <c r="C16" s="661" t="str">
        <f>Gen_form!E615</f>
        <v/>
      </c>
      <c r="D16" s="661" t="str">
        <f>Gen_form!F615</f>
        <v/>
      </c>
      <c r="E16" s="661" t="str">
        <f>Gen_form!G615</f>
        <v/>
      </c>
      <c r="F16" s="661">
        <f>Gen_form!H615</f>
        <v>14</v>
      </c>
      <c r="G16" s="661">
        <f>Gen_form!I615</f>
        <v>18</v>
      </c>
    </row>
    <row r="17" spans="1:7">
      <c r="B17" s="661" t="str">
        <f>Gen_form!D616</f>
        <v/>
      </c>
      <c r="C17" s="661" t="str">
        <f>Gen_form!E616</f>
        <v/>
      </c>
      <c r="D17" s="661" t="str">
        <f>Gen_form!F616</f>
        <v/>
      </c>
      <c r="E17" s="661" t="str">
        <f>Gen_form!G616</f>
        <v/>
      </c>
      <c r="F17" s="661" t="str">
        <f>Gen_form!H616</f>
        <v/>
      </c>
      <c r="G17" s="661" t="str">
        <f>Gen_form!I616</f>
        <v/>
      </c>
    </row>
    <row r="18" spans="1:7">
      <c r="A18" t="s">
        <v>1084</v>
      </c>
      <c r="B18" s="661" t="str">
        <f>Gen_form!C637</f>
        <v>NA</v>
      </c>
      <c r="C18" s="661" t="str">
        <f>Gen_form!D637</f>
        <v>NA</v>
      </c>
      <c r="D18" s="661"/>
      <c r="E18" s="661"/>
    </row>
    <row r="19" spans="1:7">
      <c r="B19" s="661" t="str">
        <f>Gen_form!C638</f>
        <v>NA</v>
      </c>
      <c r="C19" s="661" t="str">
        <f>Gen_form!D638</f>
        <v>NA</v>
      </c>
      <c r="D19" s="661"/>
      <c r="E19" s="661"/>
    </row>
    <row r="20" spans="1:7">
      <c r="A20" t="s">
        <v>1085</v>
      </c>
      <c r="B20" s="661" t="str">
        <f>Gen_form!D1394</f>
        <v/>
      </c>
      <c r="C20" s="661" t="str">
        <f>Gen_form!E1394</f>
        <v/>
      </c>
    </row>
    <row r="21" spans="1:7">
      <c r="B21" s="661" t="str">
        <f>Gen_form!D1395</f>
        <v/>
      </c>
      <c r="C21" s="661" t="str">
        <f>Gen_form!E1395</f>
        <v/>
      </c>
    </row>
    <row r="22" spans="1:7">
      <c r="B22" s="661" t="str">
        <f>Gen_form!D1396</f>
        <v/>
      </c>
      <c r="C22" s="661" t="str">
        <f>Gen_form!E1396</f>
        <v/>
      </c>
    </row>
    <row r="23" spans="1:7">
      <c r="B23" s="661" t="str">
        <f>Gen_form!D1397</f>
        <v/>
      </c>
      <c r="C23" s="661" t="str">
        <f>Gen_form!E1397</f>
        <v/>
      </c>
    </row>
    <row r="24" spans="1:7">
      <c r="B24" s="661" t="str">
        <f>Gen_form!D1398</f>
        <v/>
      </c>
      <c r="C24" s="661" t="str">
        <f>Gen_form!E1398</f>
        <v/>
      </c>
    </row>
    <row r="25" spans="1:7">
      <c r="B25" s="661" t="str">
        <f>Gen_form!D1399</f>
        <v/>
      </c>
      <c r="C25" s="661" t="str">
        <f>Gen_form!E1399</f>
        <v/>
      </c>
    </row>
    <row r="26" spans="1:7">
      <c r="B26" s="661" t="str">
        <f>Gen_form!D1400</f>
        <v/>
      </c>
      <c r="C26" s="661" t="str">
        <f>Gen_form!E1400</f>
        <v/>
      </c>
    </row>
    <row r="27" spans="1:7">
      <c r="B27" s="661" t="str">
        <f>Gen_form!D1401</f>
        <v/>
      </c>
      <c r="C27" s="661" t="str">
        <f>Gen_form!E1401</f>
        <v/>
      </c>
    </row>
    <row r="28" spans="1:7">
      <c r="A28" t="s">
        <v>1086</v>
      </c>
      <c r="B28" s="661" t="str">
        <f>Gen_form!D1407</f>
        <v/>
      </c>
      <c r="C28" s="661" t="str">
        <f>Gen_form!E1407</f>
        <v/>
      </c>
    </row>
    <row r="29" spans="1:7">
      <c r="B29" s="661" t="str">
        <f>Gen_form!D1408</f>
        <v/>
      </c>
      <c r="C29" s="661" t="str">
        <f>Gen_form!E1408</f>
        <v/>
      </c>
    </row>
    <row r="30" spans="1:7">
      <c r="B30" s="661" t="str">
        <f>Gen_form!D1409</f>
        <v/>
      </c>
      <c r="C30" s="661" t="str">
        <f>Gen_form!E1409</f>
        <v/>
      </c>
    </row>
    <row r="31" spans="1:7">
      <c r="B31" s="661" t="str">
        <f>Gen_form!D1410</f>
        <v/>
      </c>
      <c r="C31" s="661" t="str">
        <f>Gen_form!E1410</f>
        <v/>
      </c>
    </row>
    <row r="32" spans="1:7">
      <c r="B32" s="661" t="str">
        <f>Gen_form!D1411</f>
        <v/>
      </c>
      <c r="C32" s="661" t="str">
        <f>Gen_form!E1411</f>
        <v/>
      </c>
    </row>
    <row r="33" spans="1:29">
      <c r="B33" s="1114" t="str">
        <f>Gen_form!D1412</f>
        <v/>
      </c>
      <c r="C33" s="1114" t="str">
        <f>Gen_form!E1412</f>
        <v/>
      </c>
    </row>
    <row r="34" spans="1:29">
      <c r="A34" t="s">
        <v>1087</v>
      </c>
      <c r="B34" s="661">
        <f>Gen_form!AA688</f>
        <v>0</v>
      </c>
      <c r="C34" s="661">
        <f>Gen_form!AB688</f>
        <v>0</v>
      </c>
      <c r="D34" s="661">
        <f>Gen_form!AC688</f>
        <v>0</v>
      </c>
      <c r="E34" s="661">
        <f>Gen_form!AD688</f>
        <v>0</v>
      </c>
      <c r="F34" s="661">
        <f>Gen_form!AE688</f>
        <v>0</v>
      </c>
      <c r="G34" s="661">
        <f>Gen_form!AF688</f>
        <v>0</v>
      </c>
      <c r="H34" s="661">
        <f>Gen_form!AG688</f>
        <v>0</v>
      </c>
      <c r="I34" s="661">
        <f>Gen_form!AH688</f>
        <v>0</v>
      </c>
      <c r="J34" s="661">
        <f>Gen_form!AI688</f>
        <v>0</v>
      </c>
      <c r="K34" s="661">
        <f>Gen_form!AJ688</f>
        <v>0</v>
      </c>
      <c r="L34" s="661">
        <f>Gen_form!AK688</f>
        <v>0</v>
      </c>
      <c r="M34" s="661">
        <f>Gen_form!AL688</f>
        <v>0</v>
      </c>
      <c r="N34" s="661">
        <f>Gen_form!AM688</f>
        <v>0</v>
      </c>
      <c r="O34" s="661">
        <f>Gen_form!AN688</f>
        <v>0</v>
      </c>
      <c r="P34" s="661">
        <f>Gen_form!AO688</f>
        <v>0</v>
      </c>
      <c r="Q34" s="661">
        <f>Gen_form!AP688</f>
        <v>0</v>
      </c>
      <c r="R34" s="661">
        <f>Gen_form!AQ688</f>
        <v>0</v>
      </c>
      <c r="S34" s="661">
        <f>Gen_form!AR688</f>
        <v>0</v>
      </c>
      <c r="T34" s="661">
        <f>Gen_form!AS688</f>
        <v>0</v>
      </c>
      <c r="U34" s="661">
        <f>Gen_form!AT688</f>
        <v>0</v>
      </c>
      <c r="V34" s="661">
        <f>Gen_form!AU688</f>
        <v>0</v>
      </c>
      <c r="W34" s="661">
        <f>Gen_form!AV688</f>
        <v>0</v>
      </c>
      <c r="X34" s="661">
        <f>Gen_form!AW688</f>
        <v>0</v>
      </c>
      <c r="Y34" s="661">
        <f>Gen_form!AX688</f>
        <v>0</v>
      </c>
      <c r="Z34" s="661">
        <f>Gen_form!AY688</f>
        <v>0</v>
      </c>
      <c r="AA34" s="661">
        <f>Gen_form!AZ688</f>
        <v>0</v>
      </c>
      <c r="AB34" s="661">
        <f>Gen_form!BA688</f>
        <v>0</v>
      </c>
      <c r="AC34" s="661">
        <f>Gen_form!BB688</f>
        <v>0</v>
      </c>
    </row>
    <row r="35" spans="1:29">
      <c r="B35" s="661">
        <f>Gen_form!AA689</f>
        <v>0</v>
      </c>
      <c r="C35" s="661">
        <f>Gen_form!AB689</f>
        <v>0</v>
      </c>
      <c r="D35" s="661">
        <f>Gen_form!AC689</f>
        <v>0</v>
      </c>
      <c r="E35" s="661">
        <f>Gen_form!AD689</f>
        <v>0</v>
      </c>
      <c r="F35" s="661">
        <f>Gen_form!AE689</f>
        <v>0</v>
      </c>
      <c r="G35" s="661">
        <f>Gen_form!AF689</f>
        <v>0</v>
      </c>
      <c r="H35" s="661">
        <f>Gen_form!AG689</f>
        <v>0</v>
      </c>
      <c r="I35" s="661">
        <f>Gen_form!AH689</f>
        <v>0</v>
      </c>
      <c r="J35" s="661">
        <f>Gen_form!AI689</f>
        <v>0</v>
      </c>
      <c r="K35" s="661">
        <f>Gen_form!AJ689</f>
        <v>0</v>
      </c>
      <c r="L35" s="661">
        <f>Gen_form!AK689</f>
        <v>0</v>
      </c>
      <c r="M35" s="661">
        <f>Gen_form!AL689</f>
        <v>0</v>
      </c>
      <c r="N35" s="661">
        <f>Gen_form!AM689</f>
        <v>0</v>
      </c>
      <c r="O35" s="661">
        <f>Gen_form!AN689</f>
        <v>0</v>
      </c>
      <c r="P35" s="661">
        <f>Gen_form!AO689</f>
        <v>0</v>
      </c>
      <c r="Q35" s="661">
        <f>Gen_form!AP689</f>
        <v>0</v>
      </c>
      <c r="R35" s="661">
        <f>Gen_form!AQ689</f>
        <v>0</v>
      </c>
      <c r="S35" s="661">
        <f>Gen_form!AR689</f>
        <v>0</v>
      </c>
      <c r="T35" s="661">
        <f>Gen_form!AS689</f>
        <v>0</v>
      </c>
      <c r="U35" s="661">
        <f>Gen_form!AT689</f>
        <v>0</v>
      </c>
      <c r="V35" s="661">
        <f>Gen_form!AU689</f>
        <v>0</v>
      </c>
      <c r="W35" s="661">
        <f>Gen_form!AV689</f>
        <v>0</v>
      </c>
      <c r="X35" s="661">
        <f>Gen_form!AW689</f>
        <v>0</v>
      </c>
      <c r="Y35" s="661">
        <f>Gen_form!AX689</f>
        <v>0</v>
      </c>
      <c r="Z35" s="661">
        <f>Gen_form!AY689</f>
        <v>0</v>
      </c>
      <c r="AA35" s="661">
        <f>Gen_form!AZ689</f>
        <v>0</v>
      </c>
      <c r="AB35" s="661">
        <f>Gen_form!BA689</f>
        <v>0</v>
      </c>
      <c r="AC35" s="661">
        <f>Gen_form!BB689</f>
        <v>0</v>
      </c>
    </row>
    <row r="36" spans="1:29">
      <c r="B36" s="661" t="e">
        <f>Gen_form!#REF!</f>
        <v>#REF!</v>
      </c>
      <c r="C36" s="661" t="e">
        <f>Gen_form!#REF!</f>
        <v>#REF!</v>
      </c>
      <c r="D36" s="661" t="e">
        <f>Gen_form!#REF!</f>
        <v>#REF!</v>
      </c>
      <c r="E36" s="661" t="e">
        <f>Gen_form!#REF!</f>
        <v>#REF!</v>
      </c>
      <c r="F36" s="661" t="e">
        <f>Gen_form!#REF!</f>
        <v>#REF!</v>
      </c>
      <c r="G36" s="661" t="e">
        <f>Gen_form!#REF!</f>
        <v>#REF!</v>
      </c>
      <c r="H36" s="661" t="e">
        <f>Gen_form!#REF!</f>
        <v>#REF!</v>
      </c>
      <c r="I36" s="661" t="e">
        <f>Gen_form!#REF!</f>
        <v>#REF!</v>
      </c>
      <c r="J36" s="661" t="e">
        <f>Gen_form!#REF!</f>
        <v>#REF!</v>
      </c>
      <c r="K36" s="661" t="e">
        <f>Gen_form!#REF!</f>
        <v>#REF!</v>
      </c>
      <c r="L36" s="661" t="e">
        <f>Gen_form!#REF!</f>
        <v>#REF!</v>
      </c>
      <c r="M36" s="661" t="e">
        <f>Gen_form!#REF!</f>
        <v>#REF!</v>
      </c>
      <c r="N36" s="661" t="e">
        <f>Gen_form!#REF!</f>
        <v>#REF!</v>
      </c>
      <c r="O36" s="661" t="e">
        <f>Gen_form!#REF!</f>
        <v>#REF!</v>
      </c>
      <c r="P36" s="661" t="e">
        <f>Gen_form!#REF!</f>
        <v>#REF!</v>
      </c>
      <c r="Q36" s="661" t="e">
        <f>Gen_form!#REF!</f>
        <v>#REF!</v>
      </c>
      <c r="R36" s="661" t="e">
        <f>Gen_form!#REF!</f>
        <v>#REF!</v>
      </c>
      <c r="S36" s="661" t="e">
        <f>Gen_form!#REF!</f>
        <v>#REF!</v>
      </c>
      <c r="T36" s="661" t="e">
        <f>Gen_form!#REF!</f>
        <v>#REF!</v>
      </c>
      <c r="U36" s="661" t="e">
        <f>Gen_form!#REF!</f>
        <v>#REF!</v>
      </c>
      <c r="V36" s="661" t="e">
        <f>Gen_form!#REF!</f>
        <v>#REF!</v>
      </c>
      <c r="W36" s="661" t="e">
        <f>Gen_form!#REF!</f>
        <v>#REF!</v>
      </c>
      <c r="X36" s="661" t="e">
        <f>Gen_form!#REF!</f>
        <v>#REF!</v>
      </c>
      <c r="Y36" s="661" t="e">
        <f>Gen_form!#REF!</f>
        <v>#REF!</v>
      </c>
      <c r="Z36" s="661" t="e">
        <f>Gen_form!#REF!</f>
        <v>#REF!</v>
      </c>
      <c r="AA36" s="661" t="e">
        <f>Gen_form!#REF!</f>
        <v>#REF!</v>
      </c>
      <c r="AB36" s="661" t="e">
        <f>Gen_form!#REF!</f>
        <v>#REF!</v>
      </c>
      <c r="AC36" s="661" t="e">
        <f>Gen_form!#REF!</f>
        <v>#REF!</v>
      </c>
    </row>
    <row r="37" spans="1:29">
      <c r="B37" s="661" t="e">
        <f>Gen_form!#REF!</f>
        <v>#REF!</v>
      </c>
      <c r="C37" s="661" t="e">
        <f>Gen_form!#REF!</f>
        <v>#REF!</v>
      </c>
      <c r="D37" s="661" t="e">
        <f>Gen_form!#REF!</f>
        <v>#REF!</v>
      </c>
      <c r="E37" s="661" t="e">
        <f>Gen_form!#REF!</f>
        <v>#REF!</v>
      </c>
      <c r="F37" s="661" t="e">
        <f>Gen_form!#REF!</f>
        <v>#REF!</v>
      </c>
      <c r="G37" s="661" t="e">
        <f>Gen_form!#REF!</f>
        <v>#REF!</v>
      </c>
      <c r="H37" s="661" t="e">
        <f>Gen_form!#REF!</f>
        <v>#REF!</v>
      </c>
      <c r="I37" s="661" t="e">
        <f>Gen_form!#REF!</f>
        <v>#REF!</v>
      </c>
      <c r="J37" s="661" t="e">
        <f>Gen_form!#REF!</f>
        <v>#REF!</v>
      </c>
      <c r="K37" s="661" t="e">
        <f>Gen_form!#REF!</f>
        <v>#REF!</v>
      </c>
      <c r="L37" s="661" t="e">
        <f>Gen_form!#REF!</f>
        <v>#REF!</v>
      </c>
      <c r="M37" s="661" t="e">
        <f>Gen_form!#REF!</f>
        <v>#REF!</v>
      </c>
      <c r="N37" s="661" t="e">
        <f>Gen_form!#REF!</f>
        <v>#REF!</v>
      </c>
      <c r="O37" s="661" t="e">
        <f>Gen_form!#REF!</f>
        <v>#REF!</v>
      </c>
      <c r="P37" s="661" t="e">
        <f>Gen_form!#REF!</f>
        <v>#REF!</v>
      </c>
      <c r="Q37" s="661" t="e">
        <f>Gen_form!#REF!</f>
        <v>#REF!</v>
      </c>
      <c r="R37" s="661" t="e">
        <f>Gen_form!#REF!</f>
        <v>#REF!</v>
      </c>
      <c r="S37" s="661" t="e">
        <f>Gen_form!#REF!</f>
        <v>#REF!</v>
      </c>
      <c r="T37" s="661" t="e">
        <f>Gen_form!#REF!</f>
        <v>#REF!</v>
      </c>
      <c r="U37" s="661" t="e">
        <f>Gen_form!#REF!</f>
        <v>#REF!</v>
      </c>
      <c r="V37" s="661" t="e">
        <f>Gen_form!#REF!</f>
        <v>#REF!</v>
      </c>
      <c r="W37" s="661" t="e">
        <f>Gen_form!#REF!</f>
        <v>#REF!</v>
      </c>
      <c r="X37" s="661" t="e">
        <f>Gen_form!#REF!</f>
        <v>#REF!</v>
      </c>
      <c r="Y37" s="661" t="e">
        <f>Gen_form!#REF!</f>
        <v>#REF!</v>
      </c>
      <c r="Z37" s="661" t="e">
        <f>Gen_form!#REF!</f>
        <v>#REF!</v>
      </c>
      <c r="AA37" s="661" t="e">
        <f>Gen_form!#REF!</f>
        <v>#REF!</v>
      </c>
      <c r="AB37" s="661" t="e">
        <f>Gen_form!#REF!</f>
        <v>#REF!</v>
      </c>
      <c r="AC37" s="661" t="e">
        <f>Gen_form!#REF!</f>
        <v>#REF!</v>
      </c>
    </row>
    <row r="38" spans="1:29">
      <c r="B38" s="661" t="e">
        <f>Gen_form!#REF!</f>
        <v>#REF!</v>
      </c>
      <c r="C38" s="661" t="e">
        <f>Gen_form!#REF!</f>
        <v>#REF!</v>
      </c>
      <c r="D38" s="661" t="e">
        <f>Gen_form!#REF!</f>
        <v>#REF!</v>
      </c>
      <c r="E38" s="661" t="e">
        <f>Gen_form!#REF!</f>
        <v>#REF!</v>
      </c>
      <c r="F38" s="661" t="e">
        <f>Gen_form!#REF!</f>
        <v>#REF!</v>
      </c>
      <c r="G38" s="661" t="e">
        <f>Gen_form!#REF!</f>
        <v>#REF!</v>
      </c>
      <c r="H38" s="661" t="e">
        <f>Gen_form!#REF!</f>
        <v>#REF!</v>
      </c>
      <c r="I38" s="661" t="e">
        <f>Gen_form!#REF!</f>
        <v>#REF!</v>
      </c>
      <c r="J38" s="661" t="e">
        <f>Gen_form!#REF!</f>
        <v>#REF!</v>
      </c>
      <c r="K38" s="661" t="e">
        <f>Gen_form!#REF!</f>
        <v>#REF!</v>
      </c>
      <c r="L38" s="661" t="e">
        <f>Gen_form!#REF!</f>
        <v>#REF!</v>
      </c>
      <c r="M38" s="661" t="e">
        <f>Gen_form!#REF!</f>
        <v>#REF!</v>
      </c>
      <c r="N38" s="661" t="e">
        <f>Gen_form!#REF!</f>
        <v>#REF!</v>
      </c>
      <c r="O38" s="661" t="e">
        <f>Gen_form!#REF!</f>
        <v>#REF!</v>
      </c>
      <c r="P38" s="661" t="e">
        <f>Gen_form!#REF!</f>
        <v>#REF!</v>
      </c>
      <c r="Q38" s="661" t="e">
        <f>Gen_form!#REF!</f>
        <v>#REF!</v>
      </c>
      <c r="R38" s="661" t="e">
        <f>Gen_form!#REF!</f>
        <v>#REF!</v>
      </c>
      <c r="S38" s="661" t="e">
        <f>Gen_form!#REF!</f>
        <v>#REF!</v>
      </c>
      <c r="T38" s="661" t="e">
        <f>Gen_form!#REF!</f>
        <v>#REF!</v>
      </c>
      <c r="U38" s="661" t="e">
        <f>Gen_form!#REF!</f>
        <v>#REF!</v>
      </c>
      <c r="V38" s="661" t="e">
        <f>Gen_form!#REF!</f>
        <v>#REF!</v>
      </c>
      <c r="W38" s="661" t="e">
        <f>Gen_form!#REF!</f>
        <v>#REF!</v>
      </c>
      <c r="X38" s="661" t="e">
        <f>Gen_form!#REF!</f>
        <v>#REF!</v>
      </c>
      <c r="Y38" s="661" t="e">
        <f>Gen_form!#REF!</f>
        <v>#REF!</v>
      </c>
      <c r="Z38" s="661" t="e">
        <f>Gen_form!#REF!</f>
        <v>#REF!</v>
      </c>
      <c r="AA38" s="661" t="e">
        <f>Gen_form!#REF!</f>
        <v>#REF!</v>
      </c>
      <c r="AB38" s="661" t="e">
        <f>Gen_form!#REF!</f>
        <v>#REF!</v>
      </c>
      <c r="AC38" s="661" t="e">
        <f>Gen_form!#REF!</f>
        <v>#REF!</v>
      </c>
    </row>
    <row r="39" spans="1:29">
      <c r="B39" s="661" t="e">
        <f>Gen_form!#REF!</f>
        <v>#REF!</v>
      </c>
      <c r="C39" s="661" t="e">
        <f>Gen_form!#REF!</f>
        <v>#REF!</v>
      </c>
      <c r="D39" s="661" t="e">
        <f>Gen_form!#REF!</f>
        <v>#REF!</v>
      </c>
      <c r="E39" s="661" t="e">
        <f>Gen_form!#REF!</f>
        <v>#REF!</v>
      </c>
      <c r="F39" s="661" t="e">
        <f>Gen_form!#REF!</f>
        <v>#REF!</v>
      </c>
      <c r="G39" s="661" t="e">
        <f>Gen_form!#REF!</f>
        <v>#REF!</v>
      </c>
      <c r="H39" s="661" t="e">
        <f>Gen_form!#REF!</f>
        <v>#REF!</v>
      </c>
      <c r="I39" s="661" t="e">
        <f>Gen_form!#REF!</f>
        <v>#REF!</v>
      </c>
      <c r="J39" s="661" t="e">
        <f>Gen_form!#REF!</f>
        <v>#REF!</v>
      </c>
      <c r="K39" s="661" t="e">
        <f>Gen_form!#REF!</f>
        <v>#REF!</v>
      </c>
      <c r="L39" s="661" t="e">
        <f>Gen_form!#REF!</f>
        <v>#REF!</v>
      </c>
      <c r="M39" s="661" t="e">
        <f>Gen_form!#REF!</f>
        <v>#REF!</v>
      </c>
      <c r="N39" s="661" t="e">
        <f>Gen_form!#REF!</f>
        <v>#REF!</v>
      </c>
      <c r="O39" s="661" t="e">
        <f>Gen_form!#REF!</f>
        <v>#REF!</v>
      </c>
      <c r="P39" s="661" t="e">
        <f>Gen_form!#REF!</f>
        <v>#REF!</v>
      </c>
      <c r="Q39" s="661" t="e">
        <f>Gen_form!#REF!</f>
        <v>#REF!</v>
      </c>
      <c r="R39" s="661" t="e">
        <f>Gen_form!#REF!</f>
        <v>#REF!</v>
      </c>
      <c r="S39" s="661" t="e">
        <f>Gen_form!#REF!</f>
        <v>#REF!</v>
      </c>
      <c r="T39" s="661" t="e">
        <f>Gen_form!#REF!</f>
        <v>#REF!</v>
      </c>
      <c r="U39" s="661" t="e">
        <f>Gen_form!#REF!</f>
        <v>#REF!</v>
      </c>
      <c r="V39" s="661" t="e">
        <f>Gen_form!#REF!</f>
        <v>#REF!</v>
      </c>
      <c r="W39" s="661" t="e">
        <f>Gen_form!#REF!</f>
        <v>#REF!</v>
      </c>
      <c r="X39" s="661" t="e">
        <f>Gen_form!#REF!</f>
        <v>#REF!</v>
      </c>
      <c r="Y39" s="661" t="e">
        <f>Gen_form!#REF!</f>
        <v>#REF!</v>
      </c>
      <c r="Z39" s="661" t="e">
        <f>Gen_form!#REF!</f>
        <v>#REF!</v>
      </c>
      <c r="AA39" s="661" t="e">
        <f>Gen_form!#REF!</f>
        <v>#REF!</v>
      </c>
      <c r="AB39" s="661" t="e">
        <f>Gen_form!#REF!</f>
        <v>#REF!</v>
      </c>
      <c r="AC39" s="661" t="e">
        <f>Gen_form!#REF!</f>
        <v>#REF!</v>
      </c>
    </row>
    <row r="40" spans="1:29">
      <c r="B40" s="661" t="e">
        <f>Gen_form!#REF!</f>
        <v>#REF!</v>
      </c>
      <c r="C40" s="661" t="e">
        <f>Gen_form!#REF!</f>
        <v>#REF!</v>
      </c>
      <c r="D40" s="661" t="e">
        <f>Gen_form!#REF!</f>
        <v>#REF!</v>
      </c>
      <c r="E40" s="661" t="e">
        <f>Gen_form!#REF!</f>
        <v>#REF!</v>
      </c>
      <c r="F40" s="661" t="e">
        <f>Gen_form!#REF!</f>
        <v>#REF!</v>
      </c>
      <c r="G40" s="661" t="e">
        <f>Gen_form!#REF!</f>
        <v>#REF!</v>
      </c>
      <c r="H40" s="661" t="e">
        <f>Gen_form!#REF!</f>
        <v>#REF!</v>
      </c>
      <c r="I40" s="661" t="e">
        <f>Gen_form!#REF!</f>
        <v>#REF!</v>
      </c>
      <c r="J40" s="661" t="e">
        <f>Gen_form!#REF!</f>
        <v>#REF!</v>
      </c>
      <c r="K40" s="661" t="e">
        <f>Gen_form!#REF!</f>
        <v>#REF!</v>
      </c>
      <c r="L40" s="661" t="e">
        <f>Gen_form!#REF!</f>
        <v>#REF!</v>
      </c>
      <c r="M40" s="661" t="e">
        <f>Gen_form!#REF!</f>
        <v>#REF!</v>
      </c>
      <c r="N40" s="661" t="e">
        <f>Gen_form!#REF!</f>
        <v>#REF!</v>
      </c>
      <c r="O40" s="661" t="e">
        <f>Gen_form!#REF!</f>
        <v>#REF!</v>
      </c>
      <c r="P40" s="661" t="e">
        <f>Gen_form!#REF!</f>
        <v>#REF!</v>
      </c>
      <c r="Q40" s="661" t="e">
        <f>Gen_form!#REF!</f>
        <v>#REF!</v>
      </c>
      <c r="R40" s="661" t="e">
        <f>Gen_form!#REF!</f>
        <v>#REF!</v>
      </c>
      <c r="S40" s="661" t="e">
        <f>Gen_form!#REF!</f>
        <v>#REF!</v>
      </c>
      <c r="T40" s="661" t="e">
        <f>Gen_form!#REF!</f>
        <v>#REF!</v>
      </c>
      <c r="U40" s="661" t="e">
        <f>Gen_form!#REF!</f>
        <v>#REF!</v>
      </c>
      <c r="V40" s="661" t="e">
        <f>Gen_form!#REF!</f>
        <v>#REF!</v>
      </c>
      <c r="W40" s="661" t="e">
        <f>Gen_form!#REF!</f>
        <v>#REF!</v>
      </c>
      <c r="X40" s="661" t="e">
        <f>Gen_form!#REF!</f>
        <v>#REF!</v>
      </c>
      <c r="Y40" s="661" t="e">
        <f>Gen_form!#REF!</f>
        <v>#REF!</v>
      </c>
      <c r="Z40" s="661" t="e">
        <f>Gen_form!#REF!</f>
        <v>#REF!</v>
      </c>
      <c r="AA40" s="661" t="e">
        <f>Gen_form!#REF!</f>
        <v>#REF!</v>
      </c>
      <c r="AB40" s="661" t="e">
        <f>Gen_form!#REF!</f>
        <v>#REF!</v>
      </c>
      <c r="AC40" s="661" t="e">
        <f>Gen_form!#REF!</f>
        <v>#REF!</v>
      </c>
    </row>
    <row r="41" spans="1:29">
      <c r="B41" s="661" t="e">
        <f>Gen_form!#REF!</f>
        <v>#REF!</v>
      </c>
      <c r="C41" s="661" t="e">
        <f>Gen_form!#REF!</f>
        <v>#REF!</v>
      </c>
      <c r="D41" s="661" t="e">
        <f>Gen_form!#REF!</f>
        <v>#REF!</v>
      </c>
      <c r="E41" s="661" t="e">
        <f>Gen_form!#REF!</f>
        <v>#REF!</v>
      </c>
      <c r="F41" s="661" t="e">
        <f>Gen_form!#REF!</f>
        <v>#REF!</v>
      </c>
      <c r="G41" s="661" t="e">
        <f>Gen_form!#REF!</f>
        <v>#REF!</v>
      </c>
      <c r="H41" s="661" t="e">
        <f>Gen_form!#REF!</f>
        <v>#REF!</v>
      </c>
      <c r="I41" s="661" t="e">
        <f>Gen_form!#REF!</f>
        <v>#REF!</v>
      </c>
      <c r="J41" s="661" t="e">
        <f>Gen_form!#REF!</f>
        <v>#REF!</v>
      </c>
      <c r="K41" s="661" t="e">
        <f>Gen_form!#REF!</f>
        <v>#REF!</v>
      </c>
      <c r="L41" s="661" t="e">
        <f>Gen_form!#REF!</f>
        <v>#REF!</v>
      </c>
      <c r="M41" s="661" t="e">
        <f>Gen_form!#REF!</f>
        <v>#REF!</v>
      </c>
      <c r="N41" s="661" t="e">
        <f>Gen_form!#REF!</f>
        <v>#REF!</v>
      </c>
      <c r="O41" s="661" t="e">
        <f>Gen_form!#REF!</f>
        <v>#REF!</v>
      </c>
      <c r="P41" s="661" t="e">
        <f>Gen_form!#REF!</f>
        <v>#REF!</v>
      </c>
      <c r="Q41" s="661" t="e">
        <f>Gen_form!#REF!</f>
        <v>#REF!</v>
      </c>
      <c r="R41" s="661" t="e">
        <f>Gen_form!#REF!</f>
        <v>#REF!</v>
      </c>
      <c r="S41" s="661" t="e">
        <f>Gen_form!#REF!</f>
        <v>#REF!</v>
      </c>
      <c r="T41" s="661" t="e">
        <f>Gen_form!#REF!</f>
        <v>#REF!</v>
      </c>
      <c r="U41" s="661" t="e">
        <f>Gen_form!#REF!</f>
        <v>#REF!</v>
      </c>
      <c r="V41" s="661" t="e">
        <f>Gen_form!#REF!</f>
        <v>#REF!</v>
      </c>
      <c r="W41" s="661" t="e">
        <f>Gen_form!#REF!</f>
        <v>#REF!</v>
      </c>
      <c r="X41" s="661" t="e">
        <f>Gen_form!#REF!</f>
        <v>#REF!</v>
      </c>
      <c r="Y41" s="661" t="e">
        <f>Gen_form!#REF!</f>
        <v>#REF!</v>
      </c>
      <c r="Z41" s="661" t="e">
        <f>Gen_form!#REF!</f>
        <v>#REF!</v>
      </c>
      <c r="AA41" s="661" t="e">
        <f>Gen_form!#REF!</f>
        <v>#REF!</v>
      </c>
      <c r="AB41" s="661" t="e">
        <f>Gen_form!#REF!</f>
        <v>#REF!</v>
      </c>
      <c r="AC41" s="661" t="e">
        <f>Gen_form!#REF!</f>
        <v>#REF!</v>
      </c>
    </row>
    <row r="42" spans="1:29">
      <c r="B42" s="661">
        <f>Gen_form!AA690</f>
        <v>0</v>
      </c>
      <c r="C42" s="661">
        <f>Gen_form!AB690</f>
        <v>0</v>
      </c>
      <c r="D42" s="661">
        <f>Gen_form!AC690</f>
        <v>0</v>
      </c>
      <c r="E42" s="661">
        <f>Gen_form!AD690</f>
        <v>0</v>
      </c>
      <c r="F42" s="661">
        <f>Gen_form!AE690</f>
        <v>0</v>
      </c>
      <c r="G42" s="661">
        <f>Gen_form!AF690</f>
        <v>0</v>
      </c>
      <c r="H42" s="661">
        <f>Gen_form!AG690</f>
        <v>0</v>
      </c>
      <c r="I42" s="661">
        <f>Gen_form!AH690</f>
        <v>0</v>
      </c>
      <c r="J42" s="661">
        <f>Gen_form!AI690</f>
        <v>0</v>
      </c>
      <c r="K42" s="661">
        <f>Gen_form!AJ690</f>
        <v>0</v>
      </c>
      <c r="L42" s="661">
        <f>Gen_form!AK690</f>
        <v>0</v>
      </c>
      <c r="M42" s="661">
        <f>Gen_form!AL690</f>
        <v>0</v>
      </c>
      <c r="N42" s="661">
        <f>Gen_form!AM690</f>
        <v>0</v>
      </c>
      <c r="O42" s="661">
        <f>Gen_form!AN690</f>
        <v>0</v>
      </c>
      <c r="P42" s="661">
        <f>Gen_form!AO690</f>
        <v>0</v>
      </c>
      <c r="Q42" s="661">
        <f>Gen_form!AP690</f>
        <v>0</v>
      </c>
      <c r="R42" s="661">
        <f>Gen_form!AQ690</f>
        <v>0</v>
      </c>
      <c r="S42" s="661">
        <f>Gen_form!AR690</f>
        <v>0</v>
      </c>
      <c r="T42" s="661">
        <f>Gen_form!AS690</f>
        <v>0</v>
      </c>
      <c r="U42" s="661">
        <f>Gen_form!AT690</f>
        <v>0</v>
      </c>
      <c r="V42" s="661">
        <f>Gen_form!AU690</f>
        <v>0</v>
      </c>
      <c r="W42" s="661">
        <f>Gen_form!AV690</f>
        <v>0</v>
      </c>
      <c r="X42" s="661">
        <f>Gen_form!AW690</f>
        <v>0</v>
      </c>
      <c r="Y42" s="661">
        <f>Gen_form!AX690</f>
        <v>0</v>
      </c>
      <c r="Z42" s="661">
        <f>Gen_form!AY690</f>
        <v>0</v>
      </c>
      <c r="AA42" s="661">
        <f>Gen_form!AZ690</f>
        <v>0</v>
      </c>
      <c r="AB42" s="661">
        <f>Gen_form!BA690</f>
        <v>0</v>
      </c>
      <c r="AC42" s="661">
        <f>Gen_form!BB690</f>
        <v>0</v>
      </c>
    </row>
    <row r="43" spans="1:29">
      <c r="B43" s="661">
        <f>Gen_form!AA691</f>
        <v>0</v>
      </c>
      <c r="C43" s="661">
        <f>Gen_form!AB691</f>
        <v>0</v>
      </c>
      <c r="D43" s="661">
        <f>Gen_form!AC691</f>
        <v>0</v>
      </c>
      <c r="E43" s="661">
        <f>Gen_form!AD691</f>
        <v>0</v>
      </c>
      <c r="F43" s="661">
        <f>Gen_form!AE691</f>
        <v>0</v>
      </c>
      <c r="G43" s="661">
        <f>Gen_form!AF691</f>
        <v>0</v>
      </c>
      <c r="H43" s="661">
        <f>Gen_form!AG691</f>
        <v>0</v>
      </c>
      <c r="I43" s="661">
        <f>Gen_form!AH691</f>
        <v>0</v>
      </c>
      <c r="J43" s="661">
        <f>Gen_form!AI691</f>
        <v>0</v>
      </c>
      <c r="K43" s="661">
        <f>Gen_form!AJ691</f>
        <v>0</v>
      </c>
      <c r="L43" s="661">
        <f>Gen_form!AK691</f>
        <v>0</v>
      </c>
      <c r="M43" s="661">
        <f>Gen_form!AL691</f>
        <v>0</v>
      </c>
      <c r="N43" s="661">
        <f>Gen_form!AM691</f>
        <v>0</v>
      </c>
      <c r="O43" s="661">
        <f>Gen_form!AN691</f>
        <v>0</v>
      </c>
      <c r="P43" s="661">
        <f>Gen_form!AO691</f>
        <v>0</v>
      </c>
      <c r="Q43" s="661">
        <f>Gen_form!AP691</f>
        <v>0</v>
      </c>
      <c r="R43" s="661">
        <f>Gen_form!AQ691</f>
        <v>0</v>
      </c>
      <c r="S43" s="661">
        <f>Gen_form!AR691</f>
        <v>0</v>
      </c>
      <c r="T43" s="661">
        <f>Gen_form!AS691</f>
        <v>0</v>
      </c>
      <c r="U43" s="661">
        <f>Gen_form!AT691</f>
        <v>0</v>
      </c>
      <c r="V43" s="661">
        <f>Gen_form!AU691</f>
        <v>0</v>
      </c>
      <c r="W43" s="661">
        <f>Gen_form!AV691</f>
        <v>0</v>
      </c>
      <c r="X43" s="661">
        <f>Gen_form!AW691</f>
        <v>0</v>
      </c>
      <c r="Y43" s="661">
        <f>Gen_form!AX691</f>
        <v>0</v>
      </c>
      <c r="Z43" s="661">
        <f>Gen_form!AY691</f>
        <v>0</v>
      </c>
      <c r="AA43" s="661">
        <f>Gen_form!AZ691</f>
        <v>0</v>
      </c>
      <c r="AB43" s="661">
        <f>Gen_form!BA691</f>
        <v>0</v>
      </c>
      <c r="AC43" s="661">
        <f>Gen_form!BB691</f>
        <v>0</v>
      </c>
    </row>
    <row r="44" spans="1:29">
      <c r="B44" s="661">
        <f>Gen_form!AA692</f>
        <v>0</v>
      </c>
      <c r="C44" s="661">
        <f>Gen_form!AB692</f>
        <v>0</v>
      </c>
      <c r="D44" s="661">
        <f>Gen_form!AC692</f>
        <v>0</v>
      </c>
      <c r="E44" s="661">
        <f>Gen_form!AD692</f>
        <v>0</v>
      </c>
      <c r="F44" s="661">
        <f>Gen_form!AE692</f>
        <v>0</v>
      </c>
      <c r="G44" s="661">
        <f>Gen_form!AF692</f>
        <v>0</v>
      </c>
      <c r="H44" s="661">
        <f>Gen_form!AG692</f>
        <v>0</v>
      </c>
      <c r="I44" s="661">
        <f>Gen_form!AH692</f>
        <v>0</v>
      </c>
      <c r="J44" s="661">
        <f>Gen_form!AI692</f>
        <v>0</v>
      </c>
      <c r="K44" s="661">
        <f>Gen_form!AJ692</f>
        <v>0</v>
      </c>
      <c r="L44" s="661">
        <f>Gen_form!AK692</f>
        <v>0</v>
      </c>
      <c r="M44" s="661">
        <f>Gen_form!AL692</f>
        <v>0</v>
      </c>
      <c r="N44" s="661">
        <f>Gen_form!AM692</f>
        <v>0</v>
      </c>
      <c r="O44" s="661">
        <f>Gen_form!AN692</f>
        <v>0</v>
      </c>
      <c r="P44" s="661">
        <f>Gen_form!AO692</f>
        <v>0</v>
      </c>
      <c r="Q44" s="661">
        <f>Gen_form!AP692</f>
        <v>0</v>
      </c>
      <c r="R44" s="661">
        <f>Gen_form!AQ692</f>
        <v>0</v>
      </c>
      <c r="S44" s="661">
        <f>Gen_form!AR692</f>
        <v>0</v>
      </c>
      <c r="T44" s="661">
        <f>Gen_form!AS692</f>
        <v>0</v>
      </c>
      <c r="U44" s="661">
        <f>Gen_form!AT692</f>
        <v>0</v>
      </c>
      <c r="V44" s="661">
        <f>Gen_form!AU692</f>
        <v>0</v>
      </c>
      <c r="W44" s="661">
        <f>Gen_form!AV692</f>
        <v>0</v>
      </c>
      <c r="X44" s="661">
        <f>Gen_form!AW692</f>
        <v>0</v>
      </c>
      <c r="Y44" s="661">
        <f>Gen_form!AX692</f>
        <v>0</v>
      </c>
      <c r="Z44" s="661">
        <f>Gen_form!AY692</f>
        <v>0</v>
      </c>
      <c r="AA44" s="661">
        <f>Gen_form!AZ692</f>
        <v>0</v>
      </c>
      <c r="AB44" s="661">
        <f>Gen_form!BA692</f>
        <v>0</v>
      </c>
      <c r="AC44" s="661">
        <f>Gen_form!BB692</f>
        <v>0</v>
      </c>
    </row>
    <row r="45" spans="1:29">
      <c r="B45" s="661">
        <f>Gen_form!AA693</f>
        <v>0</v>
      </c>
      <c r="C45" s="661">
        <f>Gen_form!AB693</f>
        <v>0</v>
      </c>
      <c r="D45" s="661">
        <f>Gen_form!AC693</f>
        <v>0</v>
      </c>
      <c r="E45" s="661">
        <f>Gen_form!AD693</f>
        <v>0</v>
      </c>
      <c r="F45" s="661">
        <f>Gen_form!AE693</f>
        <v>0</v>
      </c>
      <c r="G45" s="661">
        <f>Gen_form!AF693</f>
        <v>0</v>
      </c>
      <c r="H45" s="661">
        <f>Gen_form!AG693</f>
        <v>0</v>
      </c>
      <c r="I45" s="661">
        <f>Gen_form!AH693</f>
        <v>0</v>
      </c>
      <c r="J45" s="661">
        <f>Gen_form!AI693</f>
        <v>0</v>
      </c>
      <c r="K45" s="661">
        <f>Gen_form!AJ693</f>
        <v>0</v>
      </c>
      <c r="L45" s="661">
        <f>Gen_form!AK693</f>
        <v>0</v>
      </c>
      <c r="M45" s="661">
        <f>Gen_form!AL693</f>
        <v>0</v>
      </c>
      <c r="N45" s="661">
        <f>Gen_form!AM693</f>
        <v>0</v>
      </c>
      <c r="O45" s="661">
        <f>Gen_form!AN693</f>
        <v>0</v>
      </c>
      <c r="P45" s="661">
        <f>Gen_form!AO693</f>
        <v>0</v>
      </c>
      <c r="Q45" s="661">
        <f>Gen_form!AP693</f>
        <v>0</v>
      </c>
      <c r="R45" s="661">
        <f>Gen_form!AQ693</f>
        <v>0</v>
      </c>
      <c r="S45" s="661">
        <f>Gen_form!AR693</f>
        <v>0</v>
      </c>
      <c r="T45" s="661">
        <f>Gen_form!AS693</f>
        <v>0</v>
      </c>
      <c r="U45" s="661">
        <f>Gen_form!AT693</f>
        <v>0</v>
      </c>
      <c r="V45" s="661">
        <f>Gen_form!AU693</f>
        <v>0</v>
      </c>
      <c r="W45" s="661">
        <f>Gen_form!AV693</f>
        <v>0</v>
      </c>
      <c r="X45" s="661">
        <f>Gen_form!AW693</f>
        <v>0</v>
      </c>
      <c r="Y45" s="661">
        <f>Gen_form!AX693</f>
        <v>0</v>
      </c>
      <c r="Z45" s="661">
        <f>Gen_form!AY693</f>
        <v>0</v>
      </c>
      <c r="AA45" s="661">
        <f>Gen_form!AZ693</f>
        <v>0</v>
      </c>
      <c r="AB45" s="661">
        <f>Gen_form!BA693</f>
        <v>0</v>
      </c>
      <c r="AC45" s="661">
        <f>Gen_form!BB693</f>
        <v>0</v>
      </c>
    </row>
    <row r="46" spans="1:29">
      <c r="B46" s="661">
        <f>Gen_form!AA694</f>
        <v>0</v>
      </c>
      <c r="C46" s="661">
        <f>Gen_form!AB694</f>
        <v>0</v>
      </c>
      <c r="D46" s="661">
        <f>Gen_form!AC694</f>
        <v>0</v>
      </c>
      <c r="E46" s="661">
        <f>Gen_form!AD694</f>
        <v>0</v>
      </c>
      <c r="F46" s="661">
        <f>Gen_form!AE694</f>
        <v>0</v>
      </c>
      <c r="G46" s="661">
        <f>Gen_form!AF694</f>
        <v>0</v>
      </c>
      <c r="H46" s="661">
        <f>Gen_form!AG694</f>
        <v>0</v>
      </c>
      <c r="I46" s="661">
        <f>Gen_form!AH694</f>
        <v>0</v>
      </c>
      <c r="J46" s="661">
        <f>Gen_form!AI694</f>
        <v>0</v>
      </c>
      <c r="K46" s="661">
        <f>Gen_form!AJ694</f>
        <v>0</v>
      </c>
      <c r="L46" s="661">
        <f>Gen_form!AK694</f>
        <v>0</v>
      </c>
      <c r="M46" s="661">
        <f>Gen_form!AL694</f>
        <v>0</v>
      </c>
      <c r="N46" s="661">
        <f>Gen_form!AM694</f>
        <v>0</v>
      </c>
      <c r="O46" s="661">
        <f>Gen_form!AN694</f>
        <v>0</v>
      </c>
      <c r="P46" s="661">
        <f>Gen_form!AO694</f>
        <v>0</v>
      </c>
      <c r="Q46" s="661">
        <f>Gen_form!AP694</f>
        <v>0</v>
      </c>
      <c r="R46" s="661">
        <f>Gen_form!AQ694</f>
        <v>0</v>
      </c>
      <c r="S46" s="661">
        <f>Gen_form!AR694</f>
        <v>0</v>
      </c>
      <c r="T46" s="661">
        <f>Gen_form!AS694</f>
        <v>0</v>
      </c>
      <c r="U46" s="661">
        <f>Gen_form!AT694</f>
        <v>0</v>
      </c>
      <c r="V46" s="661">
        <f>Gen_form!AU694</f>
        <v>0</v>
      </c>
      <c r="W46" s="661">
        <f>Gen_form!AV694</f>
        <v>0</v>
      </c>
      <c r="X46" s="661">
        <f>Gen_form!AW694</f>
        <v>0</v>
      </c>
      <c r="Y46" s="661">
        <f>Gen_form!AX694</f>
        <v>0</v>
      </c>
      <c r="Z46" s="661">
        <f>Gen_form!AY694</f>
        <v>0</v>
      </c>
      <c r="AA46" s="661">
        <f>Gen_form!AZ694</f>
        <v>0</v>
      </c>
      <c r="AB46" s="661">
        <f>Gen_form!BA694</f>
        <v>0</v>
      </c>
      <c r="AC46" s="661">
        <f>Gen_form!BB694</f>
        <v>0</v>
      </c>
    </row>
    <row r="47" spans="1:29">
      <c r="B47" s="661">
        <f>Gen_form!AA695</f>
        <v>0</v>
      </c>
      <c r="C47" s="661">
        <f>Gen_form!AB695</f>
        <v>0</v>
      </c>
      <c r="D47" s="661">
        <f>Gen_form!AC695</f>
        <v>0</v>
      </c>
      <c r="E47" s="661">
        <f>Gen_form!AD695</f>
        <v>0</v>
      </c>
      <c r="F47" s="661">
        <f>Gen_form!AE695</f>
        <v>0</v>
      </c>
      <c r="G47" s="661">
        <f>Gen_form!AF695</f>
        <v>0</v>
      </c>
      <c r="H47" s="661">
        <f>Gen_form!AG695</f>
        <v>0</v>
      </c>
      <c r="I47" s="661">
        <f>Gen_form!AH695</f>
        <v>0</v>
      </c>
      <c r="J47" s="661">
        <f>Gen_form!AI695</f>
        <v>0</v>
      </c>
      <c r="K47" s="661">
        <f>Gen_form!AJ695</f>
        <v>0</v>
      </c>
      <c r="L47" s="661">
        <f>Gen_form!AK695</f>
        <v>0</v>
      </c>
      <c r="M47" s="661">
        <f>Gen_form!AL695</f>
        <v>0</v>
      </c>
      <c r="N47" s="661">
        <f>Gen_form!AM695</f>
        <v>0</v>
      </c>
      <c r="O47" s="661">
        <f>Gen_form!AN695</f>
        <v>0</v>
      </c>
      <c r="P47" s="661">
        <f>Gen_form!AO695</f>
        <v>0</v>
      </c>
      <c r="Q47" s="661">
        <f>Gen_form!AP695</f>
        <v>0</v>
      </c>
      <c r="R47" s="661">
        <f>Gen_form!AQ695</f>
        <v>0</v>
      </c>
      <c r="S47" s="661">
        <f>Gen_form!AR695</f>
        <v>0</v>
      </c>
      <c r="T47" s="661">
        <f>Gen_form!AS695</f>
        <v>0</v>
      </c>
      <c r="U47" s="661">
        <f>Gen_form!AT695</f>
        <v>0</v>
      </c>
      <c r="V47" s="661">
        <f>Gen_form!AU695</f>
        <v>0</v>
      </c>
      <c r="W47" s="661">
        <f>Gen_form!AV695</f>
        <v>0</v>
      </c>
      <c r="X47" s="661">
        <f>Gen_form!AW695</f>
        <v>0</v>
      </c>
      <c r="Y47" s="661">
        <f>Gen_form!AX695</f>
        <v>0</v>
      </c>
      <c r="Z47" s="661">
        <f>Gen_form!AY695</f>
        <v>0</v>
      </c>
      <c r="AA47" s="661">
        <f>Gen_form!AZ695</f>
        <v>0</v>
      </c>
      <c r="AB47" s="661">
        <f>Gen_form!BA695</f>
        <v>0</v>
      </c>
      <c r="AC47" s="661">
        <f>Gen_form!BB695</f>
        <v>0</v>
      </c>
    </row>
    <row r="48" spans="1:29">
      <c r="B48" s="661">
        <f>Gen_form!AA696</f>
        <v>0</v>
      </c>
      <c r="C48" s="661">
        <f>Gen_form!AB696</f>
        <v>0</v>
      </c>
      <c r="D48" s="661">
        <f>Gen_form!AC696</f>
        <v>0</v>
      </c>
      <c r="E48" s="661">
        <f>Gen_form!AD696</f>
        <v>0</v>
      </c>
      <c r="F48" s="661">
        <f>Gen_form!AE696</f>
        <v>0</v>
      </c>
      <c r="G48" s="661">
        <f>Gen_form!AF696</f>
        <v>0</v>
      </c>
      <c r="H48" s="661">
        <f>Gen_form!AG696</f>
        <v>0</v>
      </c>
      <c r="I48" s="661">
        <f>Gen_form!AH696</f>
        <v>0</v>
      </c>
      <c r="J48" s="661">
        <f>Gen_form!AI696</f>
        <v>0</v>
      </c>
      <c r="K48" s="661">
        <f>Gen_form!AJ696</f>
        <v>0</v>
      </c>
      <c r="L48" s="661">
        <f>Gen_form!AK696</f>
        <v>0</v>
      </c>
      <c r="M48" s="661">
        <f>Gen_form!AL696</f>
        <v>0</v>
      </c>
      <c r="N48" s="661">
        <f>Gen_form!AM696</f>
        <v>0</v>
      </c>
      <c r="O48" s="661">
        <f>Gen_form!AN696</f>
        <v>0</v>
      </c>
      <c r="P48" s="661">
        <f>Gen_form!AO696</f>
        <v>0</v>
      </c>
      <c r="Q48" s="661">
        <f>Gen_form!AP696</f>
        <v>0</v>
      </c>
      <c r="R48" s="661">
        <f>Gen_form!AQ696</f>
        <v>0</v>
      </c>
      <c r="S48" s="661">
        <f>Gen_form!AR696</f>
        <v>0</v>
      </c>
      <c r="T48" s="661">
        <f>Gen_form!AS696</f>
        <v>0</v>
      </c>
      <c r="U48" s="661">
        <f>Gen_form!AT696</f>
        <v>0</v>
      </c>
      <c r="V48" s="661">
        <f>Gen_form!AU696</f>
        <v>0</v>
      </c>
      <c r="W48" s="661">
        <f>Gen_form!AV696</f>
        <v>0</v>
      </c>
      <c r="X48" s="661">
        <f>Gen_form!AW696</f>
        <v>0</v>
      </c>
      <c r="Y48" s="661">
        <f>Gen_form!AX696</f>
        <v>0</v>
      </c>
      <c r="Z48" s="661">
        <f>Gen_form!AY696</f>
        <v>0</v>
      </c>
      <c r="AA48" s="661">
        <f>Gen_form!AZ696</f>
        <v>0</v>
      </c>
      <c r="AB48" s="661">
        <f>Gen_form!BA696</f>
        <v>0</v>
      </c>
      <c r="AC48" s="661">
        <f>Gen_form!BB696</f>
        <v>0</v>
      </c>
    </row>
    <row r="49" spans="2:29">
      <c r="B49" s="661">
        <f>Gen_form!AA697</f>
        <v>0</v>
      </c>
      <c r="C49" s="661">
        <f>Gen_form!AB697</f>
        <v>0</v>
      </c>
      <c r="D49" s="661">
        <f>Gen_form!AC697</f>
        <v>0</v>
      </c>
      <c r="E49" s="661">
        <f>Gen_form!AD697</f>
        <v>0</v>
      </c>
      <c r="F49" s="661">
        <f>Gen_form!AE697</f>
        <v>0</v>
      </c>
      <c r="G49" s="661">
        <f>Gen_form!AF697</f>
        <v>0</v>
      </c>
      <c r="H49" s="661">
        <f>Gen_form!AG697</f>
        <v>0</v>
      </c>
      <c r="I49" s="661">
        <f>Gen_form!AH697</f>
        <v>0</v>
      </c>
      <c r="J49" s="661">
        <f>Gen_form!AI697</f>
        <v>0</v>
      </c>
      <c r="K49" s="661">
        <f>Gen_form!AJ697</f>
        <v>0</v>
      </c>
      <c r="L49" s="661">
        <f>Gen_form!AK697</f>
        <v>0</v>
      </c>
      <c r="M49" s="661">
        <f>Gen_form!AL697</f>
        <v>0</v>
      </c>
      <c r="N49" s="661">
        <f>Gen_form!AM697</f>
        <v>0</v>
      </c>
      <c r="O49" s="661">
        <f>Gen_form!AN697</f>
        <v>0</v>
      </c>
      <c r="P49" s="661">
        <f>Gen_form!AO697</f>
        <v>0</v>
      </c>
      <c r="Q49" s="661">
        <f>Gen_form!AP697</f>
        <v>0</v>
      </c>
      <c r="R49" s="661">
        <f>Gen_form!AQ697</f>
        <v>0</v>
      </c>
      <c r="S49" s="661">
        <f>Gen_form!AR697</f>
        <v>0</v>
      </c>
      <c r="T49" s="661">
        <f>Gen_form!AS697</f>
        <v>0</v>
      </c>
      <c r="U49" s="661">
        <f>Gen_form!AT697</f>
        <v>0</v>
      </c>
      <c r="V49" s="661">
        <f>Gen_form!AU697</f>
        <v>0</v>
      </c>
      <c r="W49" s="661">
        <f>Gen_form!AV697</f>
        <v>0</v>
      </c>
      <c r="X49" s="661">
        <f>Gen_form!AW697</f>
        <v>0</v>
      </c>
      <c r="Y49" s="661">
        <f>Gen_form!AX697</f>
        <v>0</v>
      </c>
      <c r="Z49" s="661">
        <f>Gen_form!AY697</f>
        <v>0</v>
      </c>
      <c r="AA49" s="661">
        <f>Gen_form!AZ697</f>
        <v>0</v>
      </c>
      <c r="AB49" s="661">
        <f>Gen_form!BA697</f>
        <v>0</v>
      </c>
      <c r="AC49" s="661">
        <f>Gen_form!BB697</f>
        <v>0</v>
      </c>
    </row>
    <row r="50" spans="2:29">
      <c r="B50" s="661">
        <f>Gen_form!AA698</f>
        <v>0</v>
      </c>
      <c r="C50" s="661">
        <f>Gen_form!AB698</f>
        <v>0</v>
      </c>
      <c r="D50" s="661">
        <f>Gen_form!AC698</f>
        <v>0</v>
      </c>
      <c r="E50" s="661">
        <f>Gen_form!AD698</f>
        <v>0</v>
      </c>
      <c r="F50" s="661">
        <f>Gen_form!AE698</f>
        <v>0</v>
      </c>
      <c r="G50" s="661">
        <f>Gen_form!AF698</f>
        <v>0</v>
      </c>
      <c r="H50" s="661">
        <f>Gen_form!AG698</f>
        <v>0</v>
      </c>
      <c r="I50" s="661">
        <f>Gen_form!AH698</f>
        <v>0</v>
      </c>
      <c r="J50" s="661">
        <f>Gen_form!AI698</f>
        <v>0</v>
      </c>
      <c r="K50" s="661">
        <f>Gen_form!AJ698</f>
        <v>0</v>
      </c>
      <c r="L50" s="661">
        <f>Gen_form!AK698</f>
        <v>0</v>
      </c>
      <c r="M50" s="661">
        <f>Gen_form!AL698</f>
        <v>0</v>
      </c>
      <c r="N50" s="661">
        <f>Gen_form!AM698</f>
        <v>0</v>
      </c>
      <c r="O50" s="661">
        <f>Gen_form!AN698</f>
        <v>0</v>
      </c>
      <c r="P50" s="661">
        <f>Gen_form!AO698</f>
        <v>0</v>
      </c>
      <c r="Q50" s="661">
        <f>Gen_form!AP698</f>
        <v>0</v>
      </c>
      <c r="R50" s="661">
        <f>Gen_form!AQ698</f>
        <v>0</v>
      </c>
      <c r="S50" s="661">
        <f>Gen_form!AR698</f>
        <v>0</v>
      </c>
      <c r="T50" s="661">
        <f>Gen_form!AS698</f>
        <v>0</v>
      </c>
      <c r="U50" s="661">
        <f>Gen_form!AT698</f>
        <v>0</v>
      </c>
      <c r="V50" s="661">
        <f>Gen_form!AU698</f>
        <v>0</v>
      </c>
      <c r="W50" s="661">
        <f>Gen_form!AV698</f>
        <v>0</v>
      </c>
      <c r="X50" s="661">
        <f>Gen_form!AW698</f>
        <v>0</v>
      </c>
      <c r="Y50" s="661">
        <f>Gen_form!AX698</f>
        <v>0</v>
      </c>
      <c r="Z50" s="661">
        <f>Gen_form!AY698</f>
        <v>0</v>
      </c>
      <c r="AA50" s="661">
        <f>Gen_form!AZ698</f>
        <v>0</v>
      </c>
      <c r="AB50" s="661">
        <f>Gen_form!BA698</f>
        <v>0</v>
      </c>
      <c r="AC50" s="661">
        <f>Gen_form!BB698</f>
        <v>0</v>
      </c>
    </row>
    <row r="51" spans="2:29">
      <c r="B51" s="661">
        <f>Gen_form!AA699</f>
        <v>0</v>
      </c>
      <c r="C51" s="661">
        <f>Gen_form!AB699</f>
        <v>0</v>
      </c>
      <c r="D51" s="661">
        <f>Gen_form!AC699</f>
        <v>0</v>
      </c>
      <c r="E51" s="661">
        <f>Gen_form!AD699</f>
        <v>0</v>
      </c>
      <c r="F51" s="661">
        <f>Gen_form!AE699</f>
        <v>0</v>
      </c>
      <c r="G51" s="661">
        <f>Gen_form!AF699</f>
        <v>0</v>
      </c>
      <c r="H51" s="661">
        <f>Gen_form!AG699</f>
        <v>0</v>
      </c>
      <c r="I51" s="661">
        <f>Gen_form!AH699</f>
        <v>0</v>
      </c>
      <c r="J51" s="661">
        <f>Gen_form!AI699</f>
        <v>0</v>
      </c>
      <c r="K51" s="661">
        <f>Gen_form!AJ699</f>
        <v>0</v>
      </c>
      <c r="L51" s="661">
        <f>Gen_form!AK699</f>
        <v>0</v>
      </c>
      <c r="M51" s="661">
        <f>Gen_form!AL699</f>
        <v>0</v>
      </c>
      <c r="N51" s="661">
        <f>Gen_form!AM699</f>
        <v>0</v>
      </c>
      <c r="O51" s="661">
        <f>Gen_form!AN699</f>
        <v>0</v>
      </c>
      <c r="P51" s="661">
        <f>Gen_form!AO699</f>
        <v>0</v>
      </c>
      <c r="Q51" s="661">
        <f>Gen_form!AP699</f>
        <v>0</v>
      </c>
      <c r="R51" s="661">
        <f>Gen_form!AQ699</f>
        <v>0</v>
      </c>
      <c r="S51" s="661">
        <f>Gen_form!AR699</f>
        <v>0</v>
      </c>
      <c r="T51" s="661">
        <f>Gen_form!AS699</f>
        <v>0</v>
      </c>
      <c r="U51" s="661">
        <f>Gen_form!AT699</f>
        <v>0</v>
      </c>
      <c r="V51" s="661">
        <f>Gen_form!AU699</f>
        <v>0</v>
      </c>
      <c r="W51" s="661">
        <f>Gen_form!AV699</f>
        <v>0</v>
      </c>
      <c r="X51" s="661">
        <f>Gen_form!AW699</f>
        <v>0</v>
      </c>
      <c r="Y51" s="661">
        <f>Gen_form!AX699</f>
        <v>0</v>
      </c>
      <c r="Z51" s="661">
        <f>Gen_form!AY699</f>
        <v>0</v>
      </c>
      <c r="AA51" s="661">
        <f>Gen_form!AZ699</f>
        <v>0</v>
      </c>
      <c r="AB51" s="661">
        <f>Gen_form!BA699</f>
        <v>0</v>
      </c>
      <c r="AC51" s="661">
        <f>Gen_form!BB699</f>
        <v>0</v>
      </c>
    </row>
    <row r="52" spans="2:29">
      <c r="B52" s="661">
        <f>Gen_form!AA700</f>
        <v>0</v>
      </c>
      <c r="C52" s="661">
        <f>Gen_form!AB700</f>
        <v>0</v>
      </c>
      <c r="D52" s="661">
        <f>Gen_form!AC700</f>
        <v>0</v>
      </c>
      <c r="E52" s="661">
        <f>Gen_form!AD700</f>
        <v>0</v>
      </c>
      <c r="F52" s="661">
        <f>Gen_form!AE700</f>
        <v>0</v>
      </c>
      <c r="G52" s="661">
        <f>Gen_form!AF700</f>
        <v>0</v>
      </c>
      <c r="H52" s="661">
        <f>Gen_form!AG700</f>
        <v>0</v>
      </c>
      <c r="I52" s="661">
        <f>Gen_form!AH700</f>
        <v>0</v>
      </c>
      <c r="J52" s="661">
        <f>Gen_form!AI700</f>
        <v>0</v>
      </c>
      <c r="K52" s="661">
        <f>Gen_form!AJ700</f>
        <v>0</v>
      </c>
      <c r="L52" s="661">
        <f>Gen_form!AK700</f>
        <v>0</v>
      </c>
      <c r="M52" s="661">
        <f>Gen_form!AL700</f>
        <v>0</v>
      </c>
      <c r="N52" s="661">
        <f>Gen_form!AM700</f>
        <v>0</v>
      </c>
      <c r="O52" s="661">
        <f>Gen_form!AN700</f>
        <v>0</v>
      </c>
      <c r="P52" s="661">
        <f>Gen_form!AO700</f>
        <v>0</v>
      </c>
      <c r="Q52" s="661">
        <f>Gen_form!AP700</f>
        <v>0</v>
      </c>
      <c r="R52" s="661">
        <f>Gen_form!AQ700</f>
        <v>0</v>
      </c>
      <c r="S52" s="661">
        <f>Gen_form!AR700</f>
        <v>0</v>
      </c>
      <c r="T52" s="661">
        <f>Gen_form!AS700</f>
        <v>0</v>
      </c>
      <c r="U52" s="661">
        <f>Gen_form!AT700</f>
        <v>0</v>
      </c>
      <c r="V52" s="661">
        <f>Gen_form!AU700</f>
        <v>0</v>
      </c>
      <c r="W52" s="661">
        <f>Gen_form!AV700</f>
        <v>0</v>
      </c>
      <c r="X52" s="661">
        <f>Gen_form!AW700</f>
        <v>0</v>
      </c>
      <c r="Y52" s="661">
        <f>Gen_form!AX700</f>
        <v>0</v>
      </c>
      <c r="Z52" s="661">
        <f>Gen_form!AY700</f>
        <v>0</v>
      </c>
      <c r="AA52" s="661">
        <f>Gen_form!AZ700</f>
        <v>0</v>
      </c>
      <c r="AB52" s="661">
        <f>Gen_form!BA700</f>
        <v>0</v>
      </c>
      <c r="AC52" s="661">
        <f>Gen_form!BB700</f>
        <v>0</v>
      </c>
    </row>
    <row r="53" spans="2:29">
      <c r="B53" s="661">
        <f>Gen_form!AA701</f>
        <v>0</v>
      </c>
      <c r="C53" s="661">
        <f>Gen_form!AB701</f>
        <v>0</v>
      </c>
      <c r="D53" s="661">
        <f>Gen_form!AC701</f>
        <v>0</v>
      </c>
      <c r="E53" s="661">
        <f>Gen_form!AD701</f>
        <v>0</v>
      </c>
      <c r="F53" s="661">
        <f>Gen_form!AE701</f>
        <v>0</v>
      </c>
      <c r="G53" s="661">
        <f>Gen_form!AF701</f>
        <v>0</v>
      </c>
      <c r="H53" s="661">
        <f>Gen_form!AG701</f>
        <v>0</v>
      </c>
      <c r="I53" s="661">
        <f>Gen_form!AH701</f>
        <v>0</v>
      </c>
      <c r="J53" s="661">
        <f>Gen_form!AI701</f>
        <v>0</v>
      </c>
      <c r="K53" s="661">
        <f>Gen_form!AJ701</f>
        <v>0</v>
      </c>
      <c r="L53" s="661">
        <f>Gen_form!AK701</f>
        <v>0</v>
      </c>
      <c r="M53" s="661">
        <f>Gen_form!AL701</f>
        <v>0</v>
      </c>
      <c r="N53" s="661">
        <f>Gen_form!AM701</f>
        <v>0</v>
      </c>
      <c r="O53" s="661">
        <f>Gen_form!AN701</f>
        <v>0</v>
      </c>
      <c r="P53" s="661">
        <f>Gen_form!AO701</f>
        <v>0</v>
      </c>
      <c r="Q53" s="661">
        <f>Gen_form!AP701</f>
        <v>0</v>
      </c>
      <c r="R53" s="661">
        <f>Gen_form!AQ701</f>
        <v>0</v>
      </c>
      <c r="S53" s="661">
        <f>Gen_form!AR701</f>
        <v>0</v>
      </c>
      <c r="T53" s="661">
        <f>Gen_form!AS701</f>
        <v>0</v>
      </c>
      <c r="U53" s="661">
        <f>Gen_form!AT701</f>
        <v>0</v>
      </c>
      <c r="V53" s="661">
        <f>Gen_form!AU701</f>
        <v>0</v>
      </c>
      <c r="W53" s="661">
        <f>Gen_form!AV701</f>
        <v>0</v>
      </c>
      <c r="X53" s="661">
        <f>Gen_form!AW701</f>
        <v>0</v>
      </c>
      <c r="Y53" s="661">
        <f>Gen_form!AX701</f>
        <v>0</v>
      </c>
      <c r="Z53" s="661">
        <f>Gen_form!AY701</f>
        <v>0</v>
      </c>
      <c r="AA53" s="661">
        <f>Gen_form!AZ701</f>
        <v>0</v>
      </c>
      <c r="AB53" s="661">
        <f>Gen_form!BA701</f>
        <v>0</v>
      </c>
      <c r="AC53" s="661">
        <f>Gen_form!BB701</f>
        <v>0</v>
      </c>
    </row>
    <row r="54" spans="2:29">
      <c r="B54" s="661">
        <f>Gen_form!AA702</f>
        <v>0</v>
      </c>
      <c r="C54" s="661">
        <f>Gen_form!AB702</f>
        <v>0</v>
      </c>
      <c r="D54" s="661">
        <f>Gen_form!AC702</f>
        <v>0</v>
      </c>
      <c r="E54" s="661">
        <f>Gen_form!AD702</f>
        <v>0</v>
      </c>
      <c r="F54" s="661">
        <f>Gen_form!AE702</f>
        <v>0</v>
      </c>
      <c r="G54" s="661">
        <f>Gen_form!AF702</f>
        <v>0</v>
      </c>
      <c r="H54" s="661">
        <f>Gen_form!AG702</f>
        <v>0</v>
      </c>
      <c r="I54" s="661">
        <f>Gen_form!AH702</f>
        <v>0</v>
      </c>
      <c r="J54" s="661">
        <f>Gen_form!AI702</f>
        <v>0</v>
      </c>
      <c r="K54" s="661">
        <f>Gen_form!AJ702</f>
        <v>0</v>
      </c>
      <c r="L54" s="661">
        <f>Gen_form!AK702</f>
        <v>0</v>
      </c>
      <c r="M54" s="661">
        <f>Gen_form!AL702</f>
        <v>0</v>
      </c>
      <c r="N54" s="661">
        <f>Gen_form!AM702</f>
        <v>0</v>
      </c>
      <c r="O54" s="661">
        <f>Gen_form!AN702</f>
        <v>0</v>
      </c>
      <c r="P54" s="661">
        <f>Gen_form!AO702</f>
        <v>0</v>
      </c>
      <c r="Q54" s="661">
        <f>Gen_form!AP702</f>
        <v>0</v>
      </c>
      <c r="R54" s="661">
        <f>Gen_form!AQ702</f>
        <v>0</v>
      </c>
      <c r="S54" s="661">
        <f>Gen_form!AR702</f>
        <v>0</v>
      </c>
      <c r="T54" s="661">
        <f>Gen_form!AS702</f>
        <v>0</v>
      </c>
      <c r="U54" s="661">
        <f>Gen_form!AT702</f>
        <v>0</v>
      </c>
      <c r="V54" s="661">
        <f>Gen_form!AU702</f>
        <v>0</v>
      </c>
      <c r="W54" s="661">
        <f>Gen_form!AV702</f>
        <v>0</v>
      </c>
      <c r="X54" s="661">
        <f>Gen_form!AW702</f>
        <v>0</v>
      </c>
      <c r="Y54" s="661">
        <f>Gen_form!AX702</f>
        <v>0</v>
      </c>
      <c r="Z54" s="661">
        <f>Gen_form!AY702</f>
        <v>0</v>
      </c>
      <c r="AA54" s="661">
        <f>Gen_form!AZ702</f>
        <v>0</v>
      </c>
      <c r="AB54" s="661">
        <f>Gen_form!BA702</f>
        <v>0</v>
      </c>
      <c r="AC54" s="661">
        <f>Gen_form!BB702</f>
        <v>0</v>
      </c>
    </row>
    <row r="55" spans="2:29">
      <c r="B55" s="661">
        <f>Gen_form!AA703</f>
        <v>0</v>
      </c>
      <c r="C55" s="661">
        <f>Gen_form!AB703</f>
        <v>0</v>
      </c>
      <c r="D55" s="661">
        <f>Gen_form!AC703</f>
        <v>0</v>
      </c>
      <c r="E55" s="661">
        <f>Gen_form!AD703</f>
        <v>0</v>
      </c>
      <c r="F55" s="661">
        <f>Gen_form!AE703</f>
        <v>0</v>
      </c>
      <c r="G55" s="661">
        <f>Gen_form!AF703</f>
        <v>0</v>
      </c>
      <c r="H55" s="661">
        <f>Gen_form!AG703</f>
        <v>0</v>
      </c>
      <c r="I55" s="661">
        <f>Gen_form!AH703</f>
        <v>0</v>
      </c>
      <c r="J55" s="661">
        <f>Gen_form!AI703</f>
        <v>0</v>
      </c>
      <c r="K55" s="661">
        <f>Gen_form!AJ703</f>
        <v>0</v>
      </c>
      <c r="L55" s="661">
        <f>Gen_form!AK703</f>
        <v>0</v>
      </c>
      <c r="M55" s="661">
        <f>Gen_form!AL703</f>
        <v>0</v>
      </c>
      <c r="N55" s="661">
        <f>Gen_form!AM703</f>
        <v>0</v>
      </c>
      <c r="O55" s="661">
        <f>Gen_form!AN703</f>
        <v>0</v>
      </c>
      <c r="P55" s="661">
        <f>Gen_form!AO703</f>
        <v>0</v>
      </c>
      <c r="Q55" s="661">
        <f>Gen_form!AP703</f>
        <v>0</v>
      </c>
      <c r="R55" s="661">
        <f>Gen_form!AQ703</f>
        <v>0</v>
      </c>
      <c r="S55" s="661">
        <f>Gen_form!AR703</f>
        <v>0</v>
      </c>
      <c r="T55" s="661">
        <f>Gen_form!AS703</f>
        <v>0</v>
      </c>
      <c r="U55" s="661">
        <f>Gen_form!AT703</f>
        <v>0</v>
      </c>
      <c r="V55" s="661">
        <f>Gen_form!AU703</f>
        <v>0</v>
      </c>
      <c r="W55" s="661">
        <f>Gen_form!AV703</f>
        <v>0</v>
      </c>
      <c r="X55" s="661">
        <f>Gen_form!AW703</f>
        <v>0</v>
      </c>
      <c r="Y55" s="661">
        <f>Gen_form!AX703</f>
        <v>0</v>
      </c>
      <c r="Z55" s="661">
        <f>Gen_form!AY703</f>
        <v>0</v>
      </c>
      <c r="AA55" s="661">
        <f>Gen_form!AZ703</f>
        <v>0</v>
      </c>
      <c r="AB55" s="661">
        <f>Gen_form!BA703</f>
        <v>0</v>
      </c>
      <c r="AC55" s="661">
        <f>Gen_form!BB703</f>
        <v>0</v>
      </c>
    </row>
    <row r="56" spans="2:29">
      <c r="B56" s="661">
        <f>Gen_form!AA704</f>
        <v>0</v>
      </c>
      <c r="C56" s="661">
        <f>Gen_form!AB704</f>
        <v>0</v>
      </c>
      <c r="D56" s="661">
        <f>Gen_form!AC704</f>
        <v>0</v>
      </c>
      <c r="E56" s="661">
        <f>Gen_form!AD704</f>
        <v>0</v>
      </c>
      <c r="F56" s="661">
        <f>Gen_form!AE704</f>
        <v>0</v>
      </c>
      <c r="G56" s="661">
        <f>Gen_form!AF704</f>
        <v>0</v>
      </c>
      <c r="H56" s="661">
        <f>Gen_form!AG704</f>
        <v>0</v>
      </c>
      <c r="I56" s="661">
        <f>Gen_form!AH704</f>
        <v>0</v>
      </c>
      <c r="J56" s="661">
        <f>Gen_form!AI704</f>
        <v>0</v>
      </c>
      <c r="K56" s="661">
        <f>Gen_form!AJ704</f>
        <v>0</v>
      </c>
      <c r="L56" s="661">
        <f>Gen_form!AK704</f>
        <v>0</v>
      </c>
      <c r="M56" s="661">
        <f>Gen_form!AL704</f>
        <v>0</v>
      </c>
      <c r="N56" s="661">
        <f>Gen_form!AM704</f>
        <v>0</v>
      </c>
      <c r="O56" s="661">
        <f>Gen_form!AN704</f>
        <v>0</v>
      </c>
      <c r="P56" s="661">
        <f>Gen_form!AO704</f>
        <v>0</v>
      </c>
      <c r="Q56" s="661">
        <f>Gen_form!AP704</f>
        <v>0</v>
      </c>
      <c r="R56" s="661">
        <f>Gen_form!AQ704</f>
        <v>0</v>
      </c>
      <c r="S56" s="661">
        <f>Gen_form!AR704</f>
        <v>0</v>
      </c>
      <c r="T56" s="661">
        <f>Gen_form!AS704</f>
        <v>0</v>
      </c>
      <c r="U56" s="661">
        <f>Gen_form!AT704</f>
        <v>0</v>
      </c>
      <c r="V56" s="661">
        <f>Gen_form!AU704</f>
        <v>0</v>
      </c>
      <c r="W56" s="661">
        <f>Gen_form!AV704</f>
        <v>0</v>
      </c>
      <c r="X56" s="661">
        <f>Gen_form!AW704</f>
        <v>0</v>
      </c>
      <c r="Y56" s="661">
        <f>Gen_form!AX704</f>
        <v>0</v>
      </c>
      <c r="Z56" s="661">
        <f>Gen_form!AY704</f>
        <v>0</v>
      </c>
      <c r="AA56" s="661">
        <f>Gen_form!AZ704</f>
        <v>0</v>
      </c>
      <c r="AB56" s="661">
        <f>Gen_form!BA704</f>
        <v>0</v>
      </c>
      <c r="AC56" s="661">
        <f>Gen_form!BB704</f>
        <v>0</v>
      </c>
    </row>
    <row r="57" spans="2:29">
      <c r="B57" s="661">
        <f>Gen_form!AA705</f>
        <v>0</v>
      </c>
      <c r="C57" s="661">
        <f>Gen_form!AB705</f>
        <v>0</v>
      </c>
      <c r="D57" s="661">
        <f>Gen_form!AC705</f>
        <v>0</v>
      </c>
      <c r="E57" s="661">
        <f>Gen_form!AD705</f>
        <v>0</v>
      </c>
      <c r="F57" s="661">
        <f>Gen_form!AE705</f>
        <v>0</v>
      </c>
      <c r="G57" s="661">
        <f>Gen_form!AF705</f>
        <v>0</v>
      </c>
      <c r="H57" s="661">
        <f>Gen_form!AG705</f>
        <v>0</v>
      </c>
      <c r="I57" s="661">
        <f>Gen_form!AH705</f>
        <v>0</v>
      </c>
      <c r="J57" s="661">
        <f>Gen_form!AI705</f>
        <v>0</v>
      </c>
      <c r="K57" s="661">
        <f>Gen_form!AJ705</f>
        <v>0</v>
      </c>
      <c r="L57" s="661">
        <f>Gen_form!AK705</f>
        <v>0</v>
      </c>
      <c r="M57" s="661">
        <f>Gen_form!AL705</f>
        <v>0</v>
      </c>
      <c r="N57" s="661">
        <f>Gen_form!AM705</f>
        <v>0</v>
      </c>
      <c r="O57" s="661">
        <f>Gen_form!AN705</f>
        <v>0</v>
      </c>
      <c r="P57" s="661">
        <f>Gen_form!AO705</f>
        <v>0</v>
      </c>
      <c r="Q57" s="661">
        <f>Gen_form!AP705</f>
        <v>0</v>
      </c>
      <c r="R57" s="661">
        <f>Gen_form!AQ705</f>
        <v>0</v>
      </c>
      <c r="S57" s="661">
        <f>Gen_form!AR705</f>
        <v>0</v>
      </c>
      <c r="T57" s="661">
        <f>Gen_form!AS705</f>
        <v>0</v>
      </c>
      <c r="U57" s="661">
        <f>Gen_form!AT705</f>
        <v>0</v>
      </c>
      <c r="V57" s="661">
        <f>Gen_form!AU705</f>
        <v>0</v>
      </c>
      <c r="W57" s="661">
        <f>Gen_form!AV705</f>
        <v>0</v>
      </c>
      <c r="X57" s="661">
        <f>Gen_form!AW705</f>
        <v>0</v>
      </c>
      <c r="Y57" s="661">
        <f>Gen_form!AX705</f>
        <v>0</v>
      </c>
      <c r="Z57" s="661">
        <f>Gen_form!AY705</f>
        <v>0</v>
      </c>
      <c r="AA57" s="661">
        <f>Gen_form!AZ705</f>
        <v>0</v>
      </c>
      <c r="AB57" s="661">
        <f>Gen_form!BA705</f>
        <v>0</v>
      </c>
      <c r="AC57" s="661">
        <f>Gen_form!BB705</f>
        <v>0</v>
      </c>
    </row>
    <row r="58" spans="2:29">
      <c r="B58" s="661">
        <f>Gen_form!AA706</f>
        <v>0</v>
      </c>
      <c r="C58" s="661">
        <f>Gen_form!AB706</f>
        <v>0</v>
      </c>
      <c r="D58" s="661">
        <f>Gen_form!AC706</f>
        <v>0</v>
      </c>
      <c r="E58" s="661">
        <f>Gen_form!AD706</f>
        <v>0</v>
      </c>
      <c r="F58" s="661">
        <f>Gen_form!AE706</f>
        <v>0</v>
      </c>
      <c r="G58" s="661">
        <f>Gen_form!AF706</f>
        <v>0</v>
      </c>
      <c r="H58" s="661">
        <f>Gen_form!AG706</f>
        <v>0</v>
      </c>
      <c r="I58" s="661">
        <f>Gen_form!AH706</f>
        <v>0</v>
      </c>
      <c r="J58" s="661">
        <f>Gen_form!AI706</f>
        <v>0</v>
      </c>
      <c r="K58" s="661">
        <f>Gen_form!AJ706</f>
        <v>0</v>
      </c>
      <c r="L58" s="661">
        <f>Gen_form!AK706</f>
        <v>0</v>
      </c>
      <c r="M58" s="661">
        <f>Gen_form!AL706</f>
        <v>0</v>
      </c>
      <c r="N58" s="661">
        <f>Gen_form!AM706</f>
        <v>0</v>
      </c>
      <c r="O58" s="661">
        <f>Gen_form!AN706</f>
        <v>0</v>
      </c>
      <c r="P58" s="661">
        <f>Gen_form!AO706</f>
        <v>0</v>
      </c>
      <c r="Q58" s="661">
        <f>Gen_form!AP706</f>
        <v>0</v>
      </c>
      <c r="R58" s="661">
        <f>Gen_form!AQ706</f>
        <v>0</v>
      </c>
      <c r="S58" s="661">
        <f>Gen_form!AR706</f>
        <v>0</v>
      </c>
      <c r="T58" s="661">
        <f>Gen_form!AS706</f>
        <v>0</v>
      </c>
      <c r="U58" s="661">
        <f>Gen_form!AT706</f>
        <v>0</v>
      </c>
      <c r="V58" s="661">
        <f>Gen_form!AU706</f>
        <v>0</v>
      </c>
      <c r="W58" s="661">
        <f>Gen_form!AV706</f>
        <v>0</v>
      </c>
      <c r="X58" s="661">
        <f>Gen_form!AW706</f>
        <v>0</v>
      </c>
      <c r="Y58" s="661">
        <f>Gen_form!AX706</f>
        <v>0</v>
      </c>
      <c r="Z58" s="661">
        <f>Gen_form!AY706</f>
        <v>0</v>
      </c>
      <c r="AA58" s="661">
        <f>Gen_form!AZ706</f>
        <v>0</v>
      </c>
      <c r="AB58" s="661">
        <f>Gen_form!BA706</f>
        <v>0</v>
      </c>
      <c r="AC58" s="661">
        <f>Gen_form!BB706</f>
        <v>0</v>
      </c>
    </row>
    <row r="59" spans="2:29">
      <c r="B59" s="661" t="e">
        <f>Gen_form!#REF!</f>
        <v>#REF!</v>
      </c>
      <c r="C59" s="661" t="e">
        <f>Gen_form!#REF!</f>
        <v>#REF!</v>
      </c>
      <c r="D59" s="661" t="e">
        <f>Gen_form!#REF!</f>
        <v>#REF!</v>
      </c>
      <c r="E59" s="661" t="e">
        <f>Gen_form!#REF!</f>
        <v>#REF!</v>
      </c>
      <c r="F59" s="661" t="e">
        <f>Gen_form!#REF!</f>
        <v>#REF!</v>
      </c>
      <c r="G59" s="661" t="e">
        <f>Gen_form!#REF!</f>
        <v>#REF!</v>
      </c>
      <c r="H59" s="661" t="e">
        <f>Gen_form!#REF!</f>
        <v>#REF!</v>
      </c>
      <c r="I59" s="661" t="e">
        <f>Gen_form!#REF!</f>
        <v>#REF!</v>
      </c>
      <c r="J59" s="661" t="e">
        <f>Gen_form!#REF!</f>
        <v>#REF!</v>
      </c>
      <c r="K59" s="661" t="e">
        <f>Gen_form!#REF!</f>
        <v>#REF!</v>
      </c>
      <c r="L59" s="661" t="e">
        <f>Gen_form!#REF!</f>
        <v>#REF!</v>
      </c>
      <c r="M59" s="661" t="e">
        <f>Gen_form!#REF!</f>
        <v>#REF!</v>
      </c>
      <c r="N59" s="661" t="e">
        <f>Gen_form!#REF!</f>
        <v>#REF!</v>
      </c>
      <c r="O59" s="661" t="e">
        <f>Gen_form!#REF!</f>
        <v>#REF!</v>
      </c>
      <c r="P59" s="661" t="e">
        <f>Gen_form!#REF!</f>
        <v>#REF!</v>
      </c>
      <c r="Q59" s="661" t="e">
        <f>Gen_form!#REF!</f>
        <v>#REF!</v>
      </c>
      <c r="R59" s="661" t="e">
        <f>Gen_form!#REF!</f>
        <v>#REF!</v>
      </c>
      <c r="S59" s="661" t="e">
        <f>Gen_form!#REF!</f>
        <v>#REF!</v>
      </c>
      <c r="T59" s="661" t="e">
        <f>Gen_form!#REF!</f>
        <v>#REF!</v>
      </c>
      <c r="U59" s="661" t="e">
        <f>Gen_form!#REF!</f>
        <v>#REF!</v>
      </c>
      <c r="V59" s="661" t="e">
        <f>Gen_form!#REF!</f>
        <v>#REF!</v>
      </c>
      <c r="W59" s="661" t="e">
        <f>Gen_form!#REF!</f>
        <v>#REF!</v>
      </c>
      <c r="X59" s="661" t="e">
        <f>Gen_form!#REF!</f>
        <v>#REF!</v>
      </c>
      <c r="Y59" s="661" t="e">
        <f>Gen_form!#REF!</f>
        <v>#REF!</v>
      </c>
      <c r="Z59" s="661" t="e">
        <f>Gen_form!#REF!</f>
        <v>#REF!</v>
      </c>
      <c r="AA59" s="661" t="e">
        <f>Gen_form!#REF!</f>
        <v>#REF!</v>
      </c>
      <c r="AB59" s="661" t="e">
        <f>Gen_form!#REF!</f>
        <v>#REF!</v>
      </c>
      <c r="AC59" s="661" t="e">
        <f>Gen_form!#REF!</f>
        <v>#REF!</v>
      </c>
    </row>
    <row r="60" spans="2:29">
      <c r="B60" s="661" t="e">
        <f>Gen_form!#REF!</f>
        <v>#REF!</v>
      </c>
      <c r="C60" s="661" t="e">
        <f>Gen_form!#REF!</f>
        <v>#REF!</v>
      </c>
      <c r="D60" s="661" t="e">
        <f>Gen_form!#REF!</f>
        <v>#REF!</v>
      </c>
      <c r="E60" s="661" t="e">
        <f>Gen_form!#REF!</f>
        <v>#REF!</v>
      </c>
      <c r="F60" s="661" t="e">
        <f>Gen_form!#REF!</f>
        <v>#REF!</v>
      </c>
      <c r="G60" s="661" t="e">
        <f>Gen_form!#REF!</f>
        <v>#REF!</v>
      </c>
      <c r="H60" s="661" t="e">
        <f>Gen_form!#REF!</f>
        <v>#REF!</v>
      </c>
      <c r="I60" s="661" t="e">
        <f>Gen_form!#REF!</f>
        <v>#REF!</v>
      </c>
      <c r="J60" s="661" t="e">
        <f>Gen_form!#REF!</f>
        <v>#REF!</v>
      </c>
      <c r="K60" s="661" t="e">
        <f>Gen_form!#REF!</f>
        <v>#REF!</v>
      </c>
      <c r="L60" s="661" t="e">
        <f>Gen_form!#REF!</f>
        <v>#REF!</v>
      </c>
      <c r="M60" s="661" t="e">
        <f>Gen_form!#REF!</f>
        <v>#REF!</v>
      </c>
      <c r="N60" s="661" t="e">
        <f>Gen_form!#REF!</f>
        <v>#REF!</v>
      </c>
      <c r="O60" s="661" t="e">
        <f>Gen_form!#REF!</f>
        <v>#REF!</v>
      </c>
      <c r="P60" s="661" t="e">
        <f>Gen_form!#REF!</f>
        <v>#REF!</v>
      </c>
      <c r="Q60" s="661" t="e">
        <f>Gen_form!#REF!</f>
        <v>#REF!</v>
      </c>
      <c r="R60" s="661" t="e">
        <f>Gen_form!#REF!</f>
        <v>#REF!</v>
      </c>
      <c r="S60" s="661" t="e">
        <f>Gen_form!#REF!</f>
        <v>#REF!</v>
      </c>
      <c r="T60" s="661" t="e">
        <f>Gen_form!#REF!</f>
        <v>#REF!</v>
      </c>
      <c r="U60" s="661" t="e">
        <f>Gen_form!#REF!</f>
        <v>#REF!</v>
      </c>
      <c r="V60" s="661" t="e">
        <f>Gen_form!#REF!</f>
        <v>#REF!</v>
      </c>
      <c r="W60" s="661" t="e">
        <f>Gen_form!#REF!</f>
        <v>#REF!</v>
      </c>
      <c r="X60" s="661" t="e">
        <f>Gen_form!#REF!</f>
        <v>#REF!</v>
      </c>
      <c r="Y60" s="661" t="e">
        <f>Gen_form!#REF!</f>
        <v>#REF!</v>
      </c>
      <c r="Z60" s="661" t="e">
        <f>Gen_form!#REF!</f>
        <v>#REF!</v>
      </c>
      <c r="AA60" s="661" t="e">
        <f>Gen_form!#REF!</f>
        <v>#REF!</v>
      </c>
      <c r="AB60" s="661" t="e">
        <f>Gen_form!#REF!</f>
        <v>#REF!</v>
      </c>
      <c r="AC60" s="661" t="e">
        <f>Gen_form!#REF!</f>
        <v>#REF!</v>
      </c>
    </row>
    <row r="61" spans="2:29">
      <c r="B61" s="661" t="e">
        <f>Gen_form!#REF!</f>
        <v>#REF!</v>
      </c>
      <c r="C61" s="661" t="e">
        <f>Gen_form!#REF!</f>
        <v>#REF!</v>
      </c>
      <c r="D61" s="661" t="e">
        <f>Gen_form!#REF!</f>
        <v>#REF!</v>
      </c>
      <c r="E61" s="661" t="e">
        <f>Gen_form!#REF!</f>
        <v>#REF!</v>
      </c>
      <c r="F61" s="661" t="e">
        <f>Gen_form!#REF!</f>
        <v>#REF!</v>
      </c>
      <c r="G61" s="661" t="e">
        <f>Gen_form!#REF!</f>
        <v>#REF!</v>
      </c>
      <c r="H61" s="661" t="e">
        <f>Gen_form!#REF!</f>
        <v>#REF!</v>
      </c>
      <c r="I61" s="661" t="e">
        <f>Gen_form!#REF!</f>
        <v>#REF!</v>
      </c>
      <c r="J61" s="661" t="e">
        <f>Gen_form!#REF!</f>
        <v>#REF!</v>
      </c>
      <c r="K61" s="661" t="e">
        <f>Gen_form!#REF!</f>
        <v>#REF!</v>
      </c>
      <c r="L61" s="661" t="e">
        <f>Gen_form!#REF!</f>
        <v>#REF!</v>
      </c>
      <c r="M61" s="661" t="e">
        <f>Gen_form!#REF!</f>
        <v>#REF!</v>
      </c>
      <c r="N61" s="661" t="e">
        <f>Gen_form!#REF!</f>
        <v>#REF!</v>
      </c>
      <c r="O61" s="661" t="e">
        <f>Gen_form!#REF!</f>
        <v>#REF!</v>
      </c>
      <c r="P61" s="661" t="e">
        <f>Gen_form!#REF!</f>
        <v>#REF!</v>
      </c>
      <c r="Q61" s="661" t="e">
        <f>Gen_form!#REF!</f>
        <v>#REF!</v>
      </c>
      <c r="R61" s="661" t="e">
        <f>Gen_form!#REF!</f>
        <v>#REF!</v>
      </c>
      <c r="S61" s="661" t="e">
        <f>Gen_form!#REF!</f>
        <v>#REF!</v>
      </c>
      <c r="T61" s="661" t="e">
        <f>Gen_form!#REF!</f>
        <v>#REF!</v>
      </c>
      <c r="U61" s="661" t="e">
        <f>Gen_form!#REF!</f>
        <v>#REF!</v>
      </c>
      <c r="V61" s="661" t="e">
        <f>Gen_form!#REF!</f>
        <v>#REF!</v>
      </c>
      <c r="W61" s="661" t="e">
        <f>Gen_form!#REF!</f>
        <v>#REF!</v>
      </c>
      <c r="X61" s="661" t="e">
        <f>Gen_form!#REF!</f>
        <v>#REF!</v>
      </c>
      <c r="Y61" s="661" t="e">
        <f>Gen_form!#REF!</f>
        <v>#REF!</v>
      </c>
      <c r="Z61" s="661" t="e">
        <f>Gen_form!#REF!</f>
        <v>#REF!</v>
      </c>
      <c r="AA61" s="661" t="e">
        <f>Gen_form!#REF!</f>
        <v>#REF!</v>
      </c>
      <c r="AB61" s="661" t="e">
        <f>Gen_form!#REF!</f>
        <v>#REF!</v>
      </c>
      <c r="AC61" s="661" t="e">
        <f>Gen_form!#REF!</f>
        <v>#REF!</v>
      </c>
    </row>
    <row r="62" spans="2:29">
      <c r="B62" s="661" t="e">
        <f>Gen_form!#REF!</f>
        <v>#REF!</v>
      </c>
      <c r="C62" s="661" t="e">
        <f>Gen_form!#REF!</f>
        <v>#REF!</v>
      </c>
      <c r="D62" s="661" t="e">
        <f>Gen_form!#REF!</f>
        <v>#REF!</v>
      </c>
      <c r="E62" s="661" t="e">
        <f>Gen_form!#REF!</f>
        <v>#REF!</v>
      </c>
      <c r="F62" s="661" t="e">
        <f>Gen_form!#REF!</f>
        <v>#REF!</v>
      </c>
      <c r="G62" s="661" t="e">
        <f>Gen_form!#REF!</f>
        <v>#REF!</v>
      </c>
      <c r="H62" s="661" t="e">
        <f>Gen_form!#REF!</f>
        <v>#REF!</v>
      </c>
      <c r="I62" s="661" t="e">
        <f>Gen_form!#REF!</f>
        <v>#REF!</v>
      </c>
      <c r="J62" s="661" t="e">
        <f>Gen_form!#REF!</f>
        <v>#REF!</v>
      </c>
      <c r="K62" s="661" t="e">
        <f>Gen_form!#REF!</f>
        <v>#REF!</v>
      </c>
      <c r="L62" s="661" t="e">
        <f>Gen_form!#REF!</f>
        <v>#REF!</v>
      </c>
      <c r="M62" s="661" t="e">
        <f>Gen_form!#REF!</f>
        <v>#REF!</v>
      </c>
      <c r="N62" s="661" t="e">
        <f>Gen_form!#REF!</f>
        <v>#REF!</v>
      </c>
      <c r="O62" s="661" t="e">
        <f>Gen_form!#REF!</f>
        <v>#REF!</v>
      </c>
      <c r="P62" s="661" t="e">
        <f>Gen_form!#REF!</f>
        <v>#REF!</v>
      </c>
      <c r="Q62" s="661" t="e">
        <f>Gen_form!#REF!</f>
        <v>#REF!</v>
      </c>
      <c r="R62" s="661" t="e">
        <f>Gen_form!#REF!</f>
        <v>#REF!</v>
      </c>
      <c r="S62" s="661" t="e">
        <f>Gen_form!#REF!</f>
        <v>#REF!</v>
      </c>
      <c r="T62" s="661" t="e">
        <f>Gen_form!#REF!</f>
        <v>#REF!</v>
      </c>
      <c r="U62" s="661" t="e">
        <f>Gen_form!#REF!</f>
        <v>#REF!</v>
      </c>
      <c r="V62" s="661" t="e">
        <f>Gen_form!#REF!</f>
        <v>#REF!</v>
      </c>
      <c r="W62" s="661" t="e">
        <f>Gen_form!#REF!</f>
        <v>#REF!</v>
      </c>
      <c r="X62" s="661" t="e">
        <f>Gen_form!#REF!</f>
        <v>#REF!</v>
      </c>
      <c r="Y62" s="661" t="e">
        <f>Gen_form!#REF!</f>
        <v>#REF!</v>
      </c>
      <c r="Z62" s="661" t="e">
        <f>Gen_form!#REF!</f>
        <v>#REF!</v>
      </c>
      <c r="AA62" s="661" t="e">
        <f>Gen_form!#REF!</f>
        <v>#REF!</v>
      </c>
      <c r="AB62" s="661" t="e">
        <f>Gen_form!#REF!</f>
        <v>#REF!</v>
      </c>
      <c r="AC62" s="661" t="e">
        <f>Gen_form!#REF!</f>
        <v>#REF!</v>
      </c>
    </row>
    <row r="63" spans="2:29">
      <c r="B63" s="661" t="e">
        <f>Gen_form!#REF!</f>
        <v>#REF!</v>
      </c>
      <c r="C63" s="661" t="e">
        <f>Gen_form!#REF!</f>
        <v>#REF!</v>
      </c>
      <c r="D63" s="661" t="e">
        <f>Gen_form!#REF!</f>
        <v>#REF!</v>
      </c>
      <c r="E63" s="661" t="e">
        <f>Gen_form!#REF!</f>
        <v>#REF!</v>
      </c>
      <c r="F63" s="661" t="e">
        <f>Gen_form!#REF!</f>
        <v>#REF!</v>
      </c>
      <c r="G63" s="661" t="e">
        <f>Gen_form!#REF!</f>
        <v>#REF!</v>
      </c>
      <c r="H63" s="661" t="e">
        <f>Gen_form!#REF!</f>
        <v>#REF!</v>
      </c>
      <c r="I63" s="661" t="e">
        <f>Gen_form!#REF!</f>
        <v>#REF!</v>
      </c>
      <c r="J63" s="661" t="e">
        <f>Gen_form!#REF!</f>
        <v>#REF!</v>
      </c>
      <c r="K63" s="661" t="e">
        <f>Gen_form!#REF!</f>
        <v>#REF!</v>
      </c>
      <c r="L63" s="661" t="e">
        <f>Gen_form!#REF!</f>
        <v>#REF!</v>
      </c>
      <c r="M63" s="661" t="e">
        <f>Gen_form!#REF!</f>
        <v>#REF!</v>
      </c>
      <c r="N63" s="661" t="e">
        <f>Gen_form!#REF!</f>
        <v>#REF!</v>
      </c>
      <c r="O63" s="661" t="e">
        <f>Gen_form!#REF!</f>
        <v>#REF!</v>
      </c>
      <c r="P63" s="661" t="e">
        <f>Gen_form!#REF!</f>
        <v>#REF!</v>
      </c>
      <c r="Q63" s="661" t="e">
        <f>Gen_form!#REF!</f>
        <v>#REF!</v>
      </c>
      <c r="R63" s="661" t="e">
        <f>Gen_form!#REF!</f>
        <v>#REF!</v>
      </c>
      <c r="S63" s="661" t="e">
        <f>Gen_form!#REF!</f>
        <v>#REF!</v>
      </c>
      <c r="T63" s="661" t="e">
        <f>Gen_form!#REF!</f>
        <v>#REF!</v>
      </c>
      <c r="U63" s="661" t="e">
        <f>Gen_form!#REF!</f>
        <v>#REF!</v>
      </c>
      <c r="V63" s="661" t="e">
        <f>Gen_form!#REF!</f>
        <v>#REF!</v>
      </c>
      <c r="W63" s="661" t="e">
        <f>Gen_form!#REF!</f>
        <v>#REF!</v>
      </c>
      <c r="X63" s="661" t="e">
        <f>Gen_form!#REF!</f>
        <v>#REF!</v>
      </c>
      <c r="Y63" s="661" t="e">
        <f>Gen_form!#REF!</f>
        <v>#REF!</v>
      </c>
      <c r="Z63" s="661" t="e">
        <f>Gen_form!#REF!</f>
        <v>#REF!</v>
      </c>
      <c r="AA63" s="661" t="e">
        <f>Gen_form!#REF!</f>
        <v>#REF!</v>
      </c>
      <c r="AB63" s="661" t="e">
        <f>Gen_form!#REF!</f>
        <v>#REF!</v>
      </c>
      <c r="AC63" s="661" t="e">
        <f>Gen_form!#REF!</f>
        <v>#REF!</v>
      </c>
    </row>
    <row r="64" spans="2:29">
      <c r="B64" s="661" t="e">
        <f>Gen_form!#REF!</f>
        <v>#REF!</v>
      </c>
      <c r="C64" s="661" t="e">
        <f>Gen_form!#REF!</f>
        <v>#REF!</v>
      </c>
      <c r="D64" s="661" t="e">
        <f>Gen_form!#REF!</f>
        <v>#REF!</v>
      </c>
      <c r="E64" s="661" t="e">
        <f>Gen_form!#REF!</f>
        <v>#REF!</v>
      </c>
      <c r="F64" s="661" t="e">
        <f>Gen_form!#REF!</f>
        <v>#REF!</v>
      </c>
      <c r="G64" s="661" t="e">
        <f>Gen_form!#REF!</f>
        <v>#REF!</v>
      </c>
      <c r="H64" s="661" t="e">
        <f>Gen_form!#REF!</f>
        <v>#REF!</v>
      </c>
      <c r="I64" s="661" t="e">
        <f>Gen_form!#REF!</f>
        <v>#REF!</v>
      </c>
      <c r="J64" s="661" t="e">
        <f>Gen_form!#REF!</f>
        <v>#REF!</v>
      </c>
      <c r="K64" s="661" t="e">
        <f>Gen_form!#REF!</f>
        <v>#REF!</v>
      </c>
      <c r="L64" s="661" t="e">
        <f>Gen_form!#REF!</f>
        <v>#REF!</v>
      </c>
      <c r="M64" s="661" t="e">
        <f>Gen_form!#REF!</f>
        <v>#REF!</v>
      </c>
      <c r="N64" s="661" t="e">
        <f>Gen_form!#REF!</f>
        <v>#REF!</v>
      </c>
      <c r="O64" s="661" t="e">
        <f>Gen_form!#REF!</f>
        <v>#REF!</v>
      </c>
      <c r="P64" s="661" t="e">
        <f>Gen_form!#REF!</f>
        <v>#REF!</v>
      </c>
      <c r="Q64" s="661" t="e">
        <f>Gen_form!#REF!</f>
        <v>#REF!</v>
      </c>
      <c r="R64" s="661" t="e">
        <f>Gen_form!#REF!</f>
        <v>#REF!</v>
      </c>
      <c r="S64" s="661" t="e">
        <f>Gen_form!#REF!</f>
        <v>#REF!</v>
      </c>
      <c r="T64" s="661" t="e">
        <f>Gen_form!#REF!</f>
        <v>#REF!</v>
      </c>
      <c r="U64" s="661" t="e">
        <f>Gen_form!#REF!</f>
        <v>#REF!</v>
      </c>
      <c r="V64" s="661" t="e">
        <f>Gen_form!#REF!</f>
        <v>#REF!</v>
      </c>
      <c r="W64" s="661" t="e">
        <f>Gen_form!#REF!</f>
        <v>#REF!</v>
      </c>
      <c r="X64" s="661" t="e">
        <f>Gen_form!#REF!</f>
        <v>#REF!</v>
      </c>
      <c r="Y64" s="661" t="e">
        <f>Gen_form!#REF!</f>
        <v>#REF!</v>
      </c>
      <c r="Z64" s="661" t="e">
        <f>Gen_form!#REF!</f>
        <v>#REF!</v>
      </c>
      <c r="AA64" s="661" t="e">
        <f>Gen_form!#REF!</f>
        <v>#REF!</v>
      </c>
      <c r="AB64" s="661" t="e">
        <f>Gen_form!#REF!</f>
        <v>#REF!</v>
      </c>
      <c r="AC64" s="661" t="e">
        <f>Gen_form!#REF!</f>
        <v>#REF!</v>
      </c>
    </row>
    <row r="65" spans="2:29">
      <c r="B65" s="661">
        <f>Gen_form!AA707</f>
        <v>0</v>
      </c>
      <c r="C65" s="661">
        <f>Gen_form!AB707</f>
        <v>0</v>
      </c>
      <c r="D65" s="661">
        <f>Gen_form!AC707</f>
        <v>0</v>
      </c>
      <c r="E65" s="661">
        <f>Gen_form!AD707</f>
        <v>0</v>
      </c>
      <c r="F65" s="661">
        <f>Gen_form!AE707</f>
        <v>0</v>
      </c>
      <c r="G65" s="661">
        <f>Gen_form!AF707</f>
        <v>0</v>
      </c>
      <c r="H65" s="661">
        <f>Gen_form!AG707</f>
        <v>0</v>
      </c>
      <c r="I65" s="661">
        <f>Gen_form!AH707</f>
        <v>0</v>
      </c>
      <c r="J65" s="661">
        <f>Gen_form!AI707</f>
        <v>0</v>
      </c>
      <c r="K65" s="661">
        <f>Gen_form!AJ707</f>
        <v>0</v>
      </c>
      <c r="L65" s="661">
        <f>Gen_form!AK707</f>
        <v>0</v>
      </c>
      <c r="M65" s="661">
        <f>Gen_form!AL707</f>
        <v>0</v>
      </c>
      <c r="N65" s="661">
        <f>Gen_form!AM707</f>
        <v>0</v>
      </c>
      <c r="O65" s="661">
        <f>Gen_form!AN707</f>
        <v>0</v>
      </c>
      <c r="P65" s="661">
        <f>Gen_form!AO707</f>
        <v>0</v>
      </c>
      <c r="Q65" s="661">
        <f>Gen_form!AP707</f>
        <v>0</v>
      </c>
      <c r="R65" s="661">
        <f>Gen_form!AQ707</f>
        <v>0</v>
      </c>
      <c r="S65" s="661">
        <f>Gen_form!AR707</f>
        <v>0</v>
      </c>
      <c r="T65" s="661">
        <f>Gen_form!AS707</f>
        <v>0</v>
      </c>
      <c r="U65" s="661">
        <f>Gen_form!AT707</f>
        <v>0</v>
      </c>
      <c r="V65" s="661">
        <f>Gen_form!AU707</f>
        <v>0</v>
      </c>
      <c r="W65" s="661">
        <f>Gen_form!AV707</f>
        <v>0</v>
      </c>
      <c r="X65" s="661">
        <f>Gen_form!AW707</f>
        <v>0</v>
      </c>
      <c r="Y65" s="661">
        <f>Gen_form!AX707</f>
        <v>0</v>
      </c>
      <c r="Z65" s="661">
        <f>Gen_form!AY707</f>
        <v>0</v>
      </c>
      <c r="AA65" s="661">
        <f>Gen_form!AZ707</f>
        <v>0</v>
      </c>
      <c r="AB65" s="661">
        <f>Gen_form!BA707</f>
        <v>0</v>
      </c>
      <c r="AC65" s="661">
        <f>Gen_form!BB707</f>
        <v>0</v>
      </c>
    </row>
    <row r="66" spans="2:29">
      <c r="B66" s="661">
        <f>Gen_form!AA708</f>
        <v>0</v>
      </c>
      <c r="C66" s="661">
        <f>Gen_form!AB708</f>
        <v>0</v>
      </c>
      <c r="D66" s="661">
        <f>Gen_form!AC708</f>
        <v>0</v>
      </c>
      <c r="E66" s="661">
        <f>Gen_form!AD708</f>
        <v>0</v>
      </c>
      <c r="F66" s="661">
        <f>Gen_form!AE708</f>
        <v>0</v>
      </c>
      <c r="G66" s="661">
        <f>Gen_form!AF708</f>
        <v>0</v>
      </c>
      <c r="H66" s="661">
        <f>Gen_form!AG708</f>
        <v>0</v>
      </c>
      <c r="I66" s="661">
        <f>Gen_form!AH708</f>
        <v>0</v>
      </c>
      <c r="J66" s="661">
        <f>Gen_form!AI708</f>
        <v>0</v>
      </c>
      <c r="K66" s="661">
        <f>Gen_form!AJ708</f>
        <v>0</v>
      </c>
      <c r="L66" s="661">
        <f>Gen_form!AK708</f>
        <v>0</v>
      </c>
      <c r="M66" s="661">
        <f>Gen_form!AL708</f>
        <v>0</v>
      </c>
      <c r="N66" s="661">
        <f>Gen_form!AM708</f>
        <v>0</v>
      </c>
      <c r="O66" s="661">
        <f>Gen_form!AN708</f>
        <v>0</v>
      </c>
      <c r="P66" s="661">
        <f>Gen_form!AO708</f>
        <v>0</v>
      </c>
      <c r="Q66" s="661">
        <f>Gen_form!AP708</f>
        <v>0</v>
      </c>
      <c r="R66" s="661">
        <f>Gen_form!AQ708</f>
        <v>0</v>
      </c>
      <c r="S66" s="661">
        <f>Gen_form!AR708</f>
        <v>0</v>
      </c>
      <c r="T66" s="661">
        <f>Gen_form!AS708</f>
        <v>0</v>
      </c>
      <c r="U66" s="661">
        <f>Gen_form!AT708</f>
        <v>0</v>
      </c>
      <c r="V66" s="661">
        <f>Gen_form!AU708</f>
        <v>0</v>
      </c>
      <c r="W66" s="661">
        <f>Gen_form!AV708</f>
        <v>0</v>
      </c>
      <c r="X66" s="661">
        <f>Gen_form!AW708</f>
        <v>0</v>
      </c>
      <c r="Y66" s="661">
        <f>Gen_form!AX708</f>
        <v>0</v>
      </c>
      <c r="Z66" s="661">
        <f>Gen_form!AY708</f>
        <v>0</v>
      </c>
      <c r="AA66" s="661">
        <f>Gen_form!AZ708</f>
        <v>0</v>
      </c>
      <c r="AB66" s="661">
        <f>Gen_form!BA708</f>
        <v>0</v>
      </c>
      <c r="AC66" s="661">
        <f>Gen_form!BB708</f>
        <v>0</v>
      </c>
    </row>
    <row r="67" spans="2:29">
      <c r="B67" s="661" t="e">
        <f>Gen_form!#REF!</f>
        <v>#REF!</v>
      </c>
      <c r="C67" s="661" t="e">
        <f>Gen_form!#REF!</f>
        <v>#REF!</v>
      </c>
      <c r="D67" s="661" t="e">
        <f>Gen_form!#REF!</f>
        <v>#REF!</v>
      </c>
      <c r="E67" s="661" t="e">
        <f>Gen_form!#REF!</f>
        <v>#REF!</v>
      </c>
      <c r="F67" s="661" t="e">
        <f>Gen_form!#REF!</f>
        <v>#REF!</v>
      </c>
      <c r="G67" s="661" t="e">
        <f>Gen_form!#REF!</f>
        <v>#REF!</v>
      </c>
      <c r="H67" s="661" t="e">
        <f>Gen_form!#REF!</f>
        <v>#REF!</v>
      </c>
      <c r="I67" s="661" t="e">
        <f>Gen_form!#REF!</f>
        <v>#REF!</v>
      </c>
      <c r="J67" s="661" t="e">
        <f>Gen_form!#REF!</f>
        <v>#REF!</v>
      </c>
      <c r="K67" s="661" t="e">
        <f>Gen_form!#REF!</f>
        <v>#REF!</v>
      </c>
      <c r="L67" s="661" t="e">
        <f>Gen_form!#REF!</f>
        <v>#REF!</v>
      </c>
      <c r="M67" s="661" t="e">
        <f>Gen_form!#REF!</f>
        <v>#REF!</v>
      </c>
      <c r="N67" s="661" t="e">
        <f>Gen_form!#REF!</f>
        <v>#REF!</v>
      </c>
      <c r="O67" s="661" t="e">
        <f>Gen_form!#REF!</f>
        <v>#REF!</v>
      </c>
      <c r="P67" s="661" t="e">
        <f>Gen_form!#REF!</f>
        <v>#REF!</v>
      </c>
      <c r="Q67" s="661" t="e">
        <f>Gen_form!#REF!</f>
        <v>#REF!</v>
      </c>
      <c r="R67" s="661" t="e">
        <f>Gen_form!#REF!</f>
        <v>#REF!</v>
      </c>
      <c r="S67" s="661" t="e">
        <f>Gen_form!#REF!</f>
        <v>#REF!</v>
      </c>
      <c r="T67" s="661" t="e">
        <f>Gen_form!#REF!</f>
        <v>#REF!</v>
      </c>
      <c r="U67" s="661" t="e">
        <f>Gen_form!#REF!</f>
        <v>#REF!</v>
      </c>
      <c r="V67" s="661" t="e">
        <f>Gen_form!#REF!</f>
        <v>#REF!</v>
      </c>
      <c r="W67" s="661" t="e">
        <f>Gen_form!#REF!</f>
        <v>#REF!</v>
      </c>
      <c r="X67" s="661" t="e">
        <f>Gen_form!#REF!</f>
        <v>#REF!</v>
      </c>
      <c r="Y67" s="661" t="e">
        <f>Gen_form!#REF!</f>
        <v>#REF!</v>
      </c>
      <c r="Z67" s="661" t="e">
        <f>Gen_form!#REF!</f>
        <v>#REF!</v>
      </c>
      <c r="AA67" s="661" t="e">
        <f>Gen_form!#REF!</f>
        <v>#REF!</v>
      </c>
      <c r="AB67" s="661" t="e">
        <f>Gen_form!#REF!</f>
        <v>#REF!</v>
      </c>
      <c r="AC67" s="661" t="e">
        <f>Gen_form!#REF!</f>
        <v>#REF!</v>
      </c>
    </row>
    <row r="68" spans="2:29">
      <c r="B68" s="661" t="e">
        <f>Gen_form!#REF!</f>
        <v>#REF!</v>
      </c>
      <c r="C68" s="661" t="e">
        <f>Gen_form!#REF!</f>
        <v>#REF!</v>
      </c>
      <c r="D68" s="661" t="e">
        <f>Gen_form!#REF!</f>
        <v>#REF!</v>
      </c>
      <c r="E68" s="661" t="e">
        <f>Gen_form!#REF!</f>
        <v>#REF!</v>
      </c>
      <c r="F68" s="661" t="e">
        <f>Gen_form!#REF!</f>
        <v>#REF!</v>
      </c>
      <c r="G68" s="661" t="e">
        <f>Gen_form!#REF!</f>
        <v>#REF!</v>
      </c>
      <c r="H68" s="661" t="e">
        <f>Gen_form!#REF!</f>
        <v>#REF!</v>
      </c>
      <c r="I68" s="661" t="e">
        <f>Gen_form!#REF!</f>
        <v>#REF!</v>
      </c>
      <c r="J68" s="661" t="e">
        <f>Gen_form!#REF!</f>
        <v>#REF!</v>
      </c>
      <c r="K68" s="661" t="e">
        <f>Gen_form!#REF!</f>
        <v>#REF!</v>
      </c>
      <c r="L68" s="661" t="e">
        <f>Gen_form!#REF!</f>
        <v>#REF!</v>
      </c>
      <c r="M68" s="661" t="e">
        <f>Gen_form!#REF!</f>
        <v>#REF!</v>
      </c>
      <c r="N68" s="661" t="e">
        <f>Gen_form!#REF!</f>
        <v>#REF!</v>
      </c>
      <c r="O68" s="661" t="e">
        <f>Gen_form!#REF!</f>
        <v>#REF!</v>
      </c>
      <c r="P68" s="661" t="e">
        <f>Gen_form!#REF!</f>
        <v>#REF!</v>
      </c>
      <c r="Q68" s="661" t="e">
        <f>Gen_form!#REF!</f>
        <v>#REF!</v>
      </c>
      <c r="R68" s="661" t="e">
        <f>Gen_form!#REF!</f>
        <v>#REF!</v>
      </c>
      <c r="S68" s="661" t="e">
        <f>Gen_form!#REF!</f>
        <v>#REF!</v>
      </c>
      <c r="T68" s="661" t="e">
        <f>Gen_form!#REF!</f>
        <v>#REF!</v>
      </c>
      <c r="U68" s="661" t="e">
        <f>Gen_form!#REF!</f>
        <v>#REF!</v>
      </c>
      <c r="V68" s="661" t="e">
        <f>Gen_form!#REF!</f>
        <v>#REF!</v>
      </c>
      <c r="W68" s="661" t="e">
        <f>Gen_form!#REF!</f>
        <v>#REF!</v>
      </c>
      <c r="X68" s="661" t="e">
        <f>Gen_form!#REF!</f>
        <v>#REF!</v>
      </c>
      <c r="Y68" s="661" t="e">
        <f>Gen_form!#REF!</f>
        <v>#REF!</v>
      </c>
      <c r="Z68" s="661" t="e">
        <f>Gen_form!#REF!</f>
        <v>#REF!</v>
      </c>
      <c r="AA68" s="661" t="e">
        <f>Gen_form!#REF!</f>
        <v>#REF!</v>
      </c>
      <c r="AB68" s="661" t="e">
        <f>Gen_form!#REF!</f>
        <v>#REF!</v>
      </c>
      <c r="AC68" s="661" t="e">
        <f>Gen_form!#REF!</f>
        <v>#REF!</v>
      </c>
    </row>
    <row r="69" spans="2:29">
      <c r="B69" s="661" t="e">
        <f>Gen_form!#REF!</f>
        <v>#REF!</v>
      </c>
      <c r="C69" s="661" t="e">
        <f>Gen_form!#REF!</f>
        <v>#REF!</v>
      </c>
      <c r="D69" s="661" t="e">
        <f>Gen_form!#REF!</f>
        <v>#REF!</v>
      </c>
      <c r="E69" s="661" t="e">
        <f>Gen_form!#REF!</f>
        <v>#REF!</v>
      </c>
      <c r="F69" s="661" t="e">
        <f>Gen_form!#REF!</f>
        <v>#REF!</v>
      </c>
      <c r="G69" s="661" t="e">
        <f>Gen_form!#REF!</f>
        <v>#REF!</v>
      </c>
      <c r="H69" s="661" t="e">
        <f>Gen_form!#REF!</f>
        <v>#REF!</v>
      </c>
      <c r="I69" s="661" t="e">
        <f>Gen_form!#REF!</f>
        <v>#REF!</v>
      </c>
      <c r="J69" s="661" t="e">
        <f>Gen_form!#REF!</f>
        <v>#REF!</v>
      </c>
      <c r="K69" s="661" t="e">
        <f>Gen_form!#REF!</f>
        <v>#REF!</v>
      </c>
      <c r="L69" s="661" t="e">
        <f>Gen_form!#REF!</f>
        <v>#REF!</v>
      </c>
      <c r="M69" s="661" t="e">
        <f>Gen_form!#REF!</f>
        <v>#REF!</v>
      </c>
      <c r="N69" s="661" t="e">
        <f>Gen_form!#REF!</f>
        <v>#REF!</v>
      </c>
      <c r="O69" s="661" t="e">
        <f>Gen_form!#REF!</f>
        <v>#REF!</v>
      </c>
      <c r="P69" s="661" t="e">
        <f>Gen_form!#REF!</f>
        <v>#REF!</v>
      </c>
      <c r="Q69" s="661" t="e">
        <f>Gen_form!#REF!</f>
        <v>#REF!</v>
      </c>
      <c r="R69" s="661" t="e">
        <f>Gen_form!#REF!</f>
        <v>#REF!</v>
      </c>
      <c r="S69" s="661" t="e">
        <f>Gen_form!#REF!</f>
        <v>#REF!</v>
      </c>
      <c r="T69" s="661" t="e">
        <f>Gen_form!#REF!</f>
        <v>#REF!</v>
      </c>
      <c r="U69" s="661" t="e">
        <f>Gen_form!#REF!</f>
        <v>#REF!</v>
      </c>
      <c r="V69" s="661" t="e">
        <f>Gen_form!#REF!</f>
        <v>#REF!</v>
      </c>
      <c r="W69" s="661" t="e">
        <f>Gen_form!#REF!</f>
        <v>#REF!</v>
      </c>
      <c r="X69" s="661" t="e">
        <f>Gen_form!#REF!</f>
        <v>#REF!</v>
      </c>
      <c r="Y69" s="661" t="e">
        <f>Gen_form!#REF!</f>
        <v>#REF!</v>
      </c>
      <c r="Z69" s="661" t="e">
        <f>Gen_form!#REF!</f>
        <v>#REF!</v>
      </c>
      <c r="AA69" s="661" t="e">
        <f>Gen_form!#REF!</f>
        <v>#REF!</v>
      </c>
      <c r="AB69" s="661" t="e">
        <f>Gen_form!#REF!</f>
        <v>#REF!</v>
      </c>
      <c r="AC69" s="661" t="e">
        <f>Gen_form!#REF!</f>
        <v>#REF!</v>
      </c>
    </row>
    <row r="70" spans="2:29">
      <c r="B70" s="661" t="e">
        <f>Gen_form!#REF!</f>
        <v>#REF!</v>
      </c>
      <c r="C70" s="661" t="e">
        <f>Gen_form!#REF!</f>
        <v>#REF!</v>
      </c>
      <c r="D70" s="661" t="e">
        <f>Gen_form!#REF!</f>
        <v>#REF!</v>
      </c>
      <c r="E70" s="661" t="e">
        <f>Gen_form!#REF!</f>
        <v>#REF!</v>
      </c>
      <c r="F70" s="661" t="e">
        <f>Gen_form!#REF!</f>
        <v>#REF!</v>
      </c>
      <c r="G70" s="661" t="e">
        <f>Gen_form!#REF!</f>
        <v>#REF!</v>
      </c>
      <c r="H70" s="661" t="e">
        <f>Gen_form!#REF!</f>
        <v>#REF!</v>
      </c>
      <c r="I70" s="661" t="e">
        <f>Gen_form!#REF!</f>
        <v>#REF!</v>
      </c>
      <c r="J70" s="661" t="e">
        <f>Gen_form!#REF!</f>
        <v>#REF!</v>
      </c>
      <c r="K70" s="661" t="e">
        <f>Gen_form!#REF!</f>
        <v>#REF!</v>
      </c>
      <c r="L70" s="661" t="e">
        <f>Gen_form!#REF!</f>
        <v>#REF!</v>
      </c>
      <c r="M70" s="661" t="e">
        <f>Gen_form!#REF!</f>
        <v>#REF!</v>
      </c>
      <c r="N70" s="661" t="e">
        <f>Gen_form!#REF!</f>
        <v>#REF!</v>
      </c>
      <c r="O70" s="661" t="e">
        <f>Gen_form!#REF!</f>
        <v>#REF!</v>
      </c>
      <c r="P70" s="661" t="e">
        <f>Gen_form!#REF!</f>
        <v>#REF!</v>
      </c>
      <c r="Q70" s="661" t="e">
        <f>Gen_form!#REF!</f>
        <v>#REF!</v>
      </c>
      <c r="R70" s="661" t="e">
        <f>Gen_form!#REF!</f>
        <v>#REF!</v>
      </c>
      <c r="S70" s="661" t="e">
        <f>Gen_form!#REF!</f>
        <v>#REF!</v>
      </c>
      <c r="T70" s="661" t="e">
        <f>Gen_form!#REF!</f>
        <v>#REF!</v>
      </c>
      <c r="U70" s="661" t="e">
        <f>Gen_form!#REF!</f>
        <v>#REF!</v>
      </c>
      <c r="V70" s="661" t="e">
        <f>Gen_form!#REF!</f>
        <v>#REF!</v>
      </c>
      <c r="W70" s="661" t="e">
        <f>Gen_form!#REF!</f>
        <v>#REF!</v>
      </c>
      <c r="X70" s="661" t="e">
        <f>Gen_form!#REF!</f>
        <v>#REF!</v>
      </c>
      <c r="Y70" s="661" t="e">
        <f>Gen_form!#REF!</f>
        <v>#REF!</v>
      </c>
      <c r="Z70" s="661" t="e">
        <f>Gen_form!#REF!</f>
        <v>#REF!</v>
      </c>
      <c r="AA70" s="661" t="e">
        <f>Gen_form!#REF!</f>
        <v>#REF!</v>
      </c>
      <c r="AB70" s="661" t="e">
        <f>Gen_form!#REF!</f>
        <v>#REF!</v>
      </c>
      <c r="AC70" s="661" t="e">
        <f>Gen_form!#REF!</f>
        <v>#REF!</v>
      </c>
    </row>
    <row r="71" spans="2:29">
      <c r="B71" s="661" t="e">
        <f>Gen_form!#REF!</f>
        <v>#REF!</v>
      </c>
      <c r="C71" s="661" t="e">
        <f>Gen_form!#REF!</f>
        <v>#REF!</v>
      </c>
      <c r="D71" s="661" t="e">
        <f>Gen_form!#REF!</f>
        <v>#REF!</v>
      </c>
      <c r="E71" s="661" t="e">
        <f>Gen_form!#REF!</f>
        <v>#REF!</v>
      </c>
      <c r="F71" s="661" t="e">
        <f>Gen_form!#REF!</f>
        <v>#REF!</v>
      </c>
      <c r="G71" s="661" t="e">
        <f>Gen_form!#REF!</f>
        <v>#REF!</v>
      </c>
      <c r="H71" s="661" t="e">
        <f>Gen_form!#REF!</f>
        <v>#REF!</v>
      </c>
      <c r="I71" s="661" t="e">
        <f>Gen_form!#REF!</f>
        <v>#REF!</v>
      </c>
      <c r="J71" s="661" t="e">
        <f>Gen_form!#REF!</f>
        <v>#REF!</v>
      </c>
      <c r="K71" s="661" t="e">
        <f>Gen_form!#REF!</f>
        <v>#REF!</v>
      </c>
      <c r="L71" s="661" t="e">
        <f>Gen_form!#REF!</f>
        <v>#REF!</v>
      </c>
      <c r="M71" s="661" t="e">
        <f>Gen_form!#REF!</f>
        <v>#REF!</v>
      </c>
      <c r="N71" s="661" t="e">
        <f>Gen_form!#REF!</f>
        <v>#REF!</v>
      </c>
      <c r="O71" s="661" t="e">
        <f>Gen_form!#REF!</f>
        <v>#REF!</v>
      </c>
      <c r="P71" s="661" t="e">
        <f>Gen_form!#REF!</f>
        <v>#REF!</v>
      </c>
      <c r="Q71" s="661" t="e">
        <f>Gen_form!#REF!</f>
        <v>#REF!</v>
      </c>
      <c r="R71" s="661" t="e">
        <f>Gen_form!#REF!</f>
        <v>#REF!</v>
      </c>
      <c r="S71" s="661" t="e">
        <f>Gen_form!#REF!</f>
        <v>#REF!</v>
      </c>
      <c r="T71" s="661" t="e">
        <f>Gen_form!#REF!</f>
        <v>#REF!</v>
      </c>
      <c r="U71" s="661" t="e">
        <f>Gen_form!#REF!</f>
        <v>#REF!</v>
      </c>
      <c r="V71" s="661" t="e">
        <f>Gen_form!#REF!</f>
        <v>#REF!</v>
      </c>
      <c r="W71" s="661" t="e">
        <f>Gen_form!#REF!</f>
        <v>#REF!</v>
      </c>
      <c r="X71" s="661" t="e">
        <f>Gen_form!#REF!</f>
        <v>#REF!</v>
      </c>
      <c r="Y71" s="661" t="e">
        <f>Gen_form!#REF!</f>
        <v>#REF!</v>
      </c>
      <c r="Z71" s="661" t="e">
        <f>Gen_form!#REF!</f>
        <v>#REF!</v>
      </c>
      <c r="AA71" s="661" t="e">
        <f>Gen_form!#REF!</f>
        <v>#REF!</v>
      </c>
      <c r="AB71" s="661" t="e">
        <f>Gen_form!#REF!</f>
        <v>#REF!</v>
      </c>
      <c r="AC71" s="661" t="e">
        <f>Gen_form!#REF!</f>
        <v>#REF!</v>
      </c>
    </row>
    <row r="72" spans="2:29">
      <c r="B72" s="661" t="e">
        <f>Gen_form!#REF!</f>
        <v>#REF!</v>
      </c>
      <c r="C72" s="661" t="e">
        <f>Gen_form!#REF!</f>
        <v>#REF!</v>
      </c>
      <c r="D72" s="661" t="e">
        <f>Gen_form!#REF!</f>
        <v>#REF!</v>
      </c>
      <c r="E72" s="661" t="e">
        <f>Gen_form!#REF!</f>
        <v>#REF!</v>
      </c>
      <c r="F72" s="661" t="e">
        <f>Gen_form!#REF!</f>
        <v>#REF!</v>
      </c>
      <c r="G72" s="661" t="e">
        <f>Gen_form!#REF!</f>
        <v>#REF!</v>
      </c>
      <c r="H72" s="661" t="e">
        <f>Gen_form!#REF!</f>
        <v>#REF!</v>
      </c>
      <c r="I72" s="661" t="e">
        <f>Gen_form!#REF!</f>
        <v>#REF!</v>
      </c>
      <c r="J72" s="661" t="e">
        <f>Gen_form!#REF!</f>
        <v>#REF!</v>
      </c>
      <c r="K72" s="661" t="e">
        <f>Gen_form!#REF!</f>
        <v>#REF!</v>
      </c>
      <c r="L72" s="661" t="e">
        <f>Gen_form!#REF!</f>
        <v>#REF!</v>
      </c>
      <c r="M72" s="661" t="e">
        <f>Gen_form!#REF!</f>
        <v>#REF!</v>
      </c>
      <c r="N72" s="661" t="e">
        <f>Gen_form!#REF!</f>
        <v>#REF!</v>
      </c>
      <c r="O72" s="661" t="e">
        <f>Gen_form!#REF!</f>
        <v>#REF!</v>
      </c>
      <c r="P72" s="661" t="e">
        <f>Gen_form!#REF!</f>
        <v>#REF!</v>
      </c>
      <c r="Q72" s="661" t="e">
        <f>Gen_form!#REF!</f>
        <v>#REF!</v>
      </c>
      <c r="R72" s="661" t="e">
        <f>Gen_form!#REF!</f>
        <v>#REF!</v>
      </c>
      <c r="S72" s="661" t="e">
        <f>Gen_form!#REF!</f>
        <v>#REF!</v>
      </c>
      <c r="T72" s="661" t="e">
        <f>Gen_form!#REF!</f>
        <v>#REF!</v>
      </c>
      <c r="U72" s="661" t="e">
        <f>Gen_form!#REF!</f>
        <v>#REF!</v>
      </c>
      <c r="V72" s="661" t="e">
        <f>Gen_form!#REF!</f>
        <v>#REF!</v>
      </c>
      <c r="W72" s="661" t="e">
        <f>Gen_form!#REF!</f>
        <v>#REF!</v>
      </c>
      <c r="X72" s="661" t="e">
        <f>Gen_form!#REF!</f>
        <v>#REF!</v>
      </c>
      <c r="Y72" s="661" t="e">
        <f>Gen_form!#REF!</f>
        <v>#REF!</v>
      </c>
      <c r="Z72" s="661" t="e">
        <f>Gen_form!#REF!</f>
        <v>#REF!</v>
      </c>
      <c r="AA72" s="661" t="e">
        <f>Gen_form!#REF!</f>
        <v>#REF!</v>
      </c>
      <c r="AB72" s="661" t="e">
        <f>Gen_form!#REF!</f>
        <v>#REF!</v>
      </c>
      <c r="AC72" s="661" t="e">
        <f>Gen_form!#REF!</f>
        <v>#REF!</v>
      </c>
    </row>
    <row r="73" spans="2:29">
      <c r="B73" s="661">
        <f>Gen_form!AA709</f>
        <v>0</v>
      </c>
      <c r="C73" s="661">
        <f>Gen_form!AB709</f>
        <v>0</v>
      </c>
      <c r="D73" s="661">
        <f>Gen_form!AC709</f>
        <v>0</v>
      </c>
      <c r="E73" s="661">
        <f>Gen_form!AD709</f>
        <v>0</v>
      </c>
      <c r="F73" s="661">
        <f>Gen_form!AE709</f>
        <v>0</v>
      </c>
      <c r="G73" s="661">
        <f>Gen_form!AF709</f>
        <v>0</v>
      </c>
      <c r="H73" s="661">
        <f>Gen_form!AG709</f>
        <v>0</v>
      </c>
      <c r="I73" s="661">
        <f>Gen_form!AH709</f>
        <v>0</v>
      </c>
      <c r="J73" s="661">
        <f>Gen_form!AI709</f>
        <v>0</v>
      </c>
      <c r="K73" s="661">
        <f>Gen_form!AJ709</f>
        <v>0</v>
      </c>
      <c r="L73" s="661">
        <f>Gen_form!AK709</f>
        <v>0</v>
      </c>
      <c r="M73" s="661">
        <f>Gen_form!AL709</f>
        <v>0</v>
      </c>
      <c r="N73" s="661">
        <f>Gen_form!AM709</f>
        <v>0</v>
      </c>
      <c r="O73" s="661">
        <f>Gen_form!AN709</f>
        <v>0</v>
      </c>
      <c r="P73" s="661">
        <f>Gen_form!AO709</f>
        <v>0</v>
      </c>
      <c r="Q73" s="661">
        <f>Gen_form!AP709</f>
        <v>0</v>
      </c>
      <c r="R73" s="661">
        <f>Gen_form!AQ709</f>
        <v>0</v>
      </c>
      <c r="S73" s="661">
        <f>Gen_form!AR709</f>
        <v>0</v>
      </c>
      <c r="T73" s="661">
        <f>Gen_form!AS709</f>
        <v>0</v>
      </c>
      <c r="U73" s="661">
        <f>Gen_form!AT709</f>
        <v>0</v>
      </c>
      <c r="V73" s="661">
        <f>Gen_form!AU709</f>
        <v>0</v>
      </c>
      <c r="W73" s="661">
        <f>Gen_form!AV709</f>
        <v>0</v>
      </c>
      <c r="X73" s="661">
        <f>Gen_form!AW709</f>
        <v>0</v>
      </c>
      <c r="Y73" s="661">
        <f>Gen_form!AX709</f>
        <v>0</v>
      </c>
      <c r="Z73" s="661">
        <f>Gen_form!AY709</f>
        <v>0</v>
      </c>
      <c r="AA73" s="661">
        <f>Gen_form!AZ709</f>
        <v>0</v>
      </c>
      <c r="AB73" s="661">
        <f>Gen_form!BA709</f>
        <v>0</v>
      </c>
      <c r="AC73" s="661">
        <f>Gen_form!BB709</f>
        <v>0</v>
      </c>
    </row>
    <row r="74" spans="2:29">
      <c r="B74" s="661">
        <f>Gen_form!AA710</f>
        <v>0</v>
      </c>
      <c r="C74" s="661">
        <f>Gen_form!AB710</f>
        <v>0</v>
      </c>
      <c r="D74" s="661">
        <f>Gen_form!AC710</f>
        <v>0</v>
      </c>
      <c r="E74" s="661">
        <f>Gen_form!AD710</f>
        <v>0</v>
      </c>
      <c r="F74" s="661">
        <f>Gen_form!AE710</f>
        <v>0</v>
      </c>
      <c r="G74" s="661">
        <f>Gen_form!AF710</f>
        <v>0</v>
      </c>
      <c r="H74" s="661">
        <f>Gen_form!AG710</f>
        <v>0</v>
      </c>
      <c r="I74" s="661">
        <f>Gen_form!AH710</f>
        <v>0</v>
      </c>
      <c r="J74" s="661">
        <f>Gen_form!AI710</f>
        <v>0</v>
      </c>
      <c r="K74" s="661">
        <f>Gen_form!AJ710</f>
        <v>0</v>
      </c>
      <c r="L74" s="661">
        <f>Gen_form!AK710</f>
        <v>0</v>
      </c>
      <c r="M74" s="661">
        <f>Gen_form!AL710</f>
        <v>0</v>
      </c>
      <c r="N74" s="661">
        <f>Gen_form!AM710</f>
        <v>0</v>
      </c>
      <c r="O74" s="661">
        <f>Gen_form!AN710</f>
        <v>0</v>
      </c>
      <c r="P74" s="661">
        <f>Gen_form!AO710</f>
        <v>0</v>
      </c>
      <c r="Q74" s="661">
        <f>Gen_form!AP710</f>
        <v>0</v>
      </c>
      <c r="R74" s="661">
        <f>Gen_form!AQ710</f>
        <v>0</v>
      </c>
      <c r="S74" s="661">
        <f>Gen_form!AR710</f>
        <v>0</v>
      </c>
      <c r="T74" s="661">
        <f>Gen_form!AS710</f>
        <v>0</v>
      </c>
      <c r="U74" s="661">
        <f>Gen_form!AT710</f>
        <v>0</v>
      </c>
      <c r="V74" s="661">
        <f>Gen_form!AU710</f>
        <v>0</v>
      </c>
      <c r="W74" s="661">
        <f>Gen_form!AV710</f>
        <v>0</v>
      </c>
      <c r="X74" s="661">
        <f>Gen_form!AW710</f>
        <v>0</v>
      </c>
      <c r="Y74" s="661">
        <f>Gen_form!AX710</f>
        <v>0</v>
      </c>
      <c r="Z74" s="661">
        <f>Gen_form!AY710</f>
        <v>0</v>
      </c>
      <c r="AA74" s="661">
        <f>Gen_form!AZ710</f>
        <v>0</v>
      </c>
      <c r="AB74" s="661">
        <f>Gen_form!BA710</f>
        <v>0</v>
      </c>
      <c r="AC74" s="661">
        <f>Gen_form!BB710</f>
        <v>0</v>
      </c>
    </row>
    <row r="75" spans="2:29">
      <c r="B75" s="661">
        <f>Gen_form!AA711</f>
        <v>0</v>
      </c>
      <c r="C75" s="661">
        <f>Gen_form!AB711</f>
        <v>0</v>
      </c>
      <c r="D75" s="661">
        <f>Gen_form!AC711</f>
        <v>0</v>
      </c>
      <c r="E75" s="661">
        <f>Gen_form!AD711</f>
        <v>0</v>
      </c>
      <c r="F75" s="661">
        <f>Gen_form!AE711</f>
        <v>0</v>
      </c>
      <c r="G75" s="661">
        <f>Gen_form!AF711</f>
        <v>0</v>
      </c>
      <c r="H75" s="661">
        <f>Gen_form!AG711</f>
        <v>0</v>
      </c>
      <c r="I75" s="661">
        <f>Gen_form!AH711</f>
        <v>0</v>
      </c>
      <c r="J75" s="661">
        <f>Gen_form!AI711</f>
        <v>0</v>
      </c>
      <c r="K75" s="661">
        <f>Gen_form!AJ711</f>
        <v>0</v>
      </c>
      <c r="L75" s="661">
        <f>Gen_form!AK711</f>
        <v>0</v>
      </c>
      <c r="M75" s="661">
        <f>Gen_form!AL711</f>
        <v>0</v>
      </c>
      <c r="N75" s="661">
        <f>Gen_form!AM711</f>
        <v>0</v>
      </c>
      <c r="O75" s="661">
        <f>Gen_form!AN711</f>
        <v>0</v>
      </c>
      <c r="P75" s="661">
        <f>Gen_form!AO711</f>
        <v>0</v>
      </c>
      <c r="Q75" s="661">
        <f>Gen_form!AP711</f>
        <v>0</v>
      </c>
      <c r="R75" s="661">
        <f>Gen_form!AQ711</f>
        <v>0</v>
      </c>
      <c r="S75" s="661">
        <f>Gen_form!AR711</f>
        <v>0</v>
      </c>
      <c r="T75" s="661">
        <f>Gen_form!AS711</f>
        <v>0</v>
      </c>
      <c r="U75" s="661">
        <f>Gen_form!AT711</f>
        <v>0</v>
      </c>
      <c r="V75" s="661">
        <f>Gen_form!AU711</f>
        <v>0</v>
      </c>
      <c r="W75" s="661">
        <f>Gen_form!AV711</f>
        <v>0</v>
      </c>
      <c r="X75" s="661">
        <f>Gen_form!AW711</f>
        <v>0</v>
      </c>
      <c r="Y75" s="661">
        <f>Gen_form!AX711</f>
        <v>0</v>
      </c>
      <c r="Z75" s="661">
        <f>Gen_form!AY711</f>
        <v>0</v>
      </c>
      <c r="AA75" s="661">
        <f>Gen_form!AZ711</f>
        <v>0</v>
      </c>
      <c r="AB75" s="661">
        <f>Gen_form!BA711</f>
        <v>0</v>
      </c>
      <c r="AC75" s="661">
        <f>Gen_form!BB711</f>
        <v>0</v>
      </c>
    </row>
    <row r="76" spans="2:29">
      <c r="B76" s="661">
        <f>Gen_form!AA712</f>
        <v>0</v>
      </c>
      <c r="C76" s="661">
        <f>Gen_form!AB712</f>
        <v>0</v>
      </c>
      <c r="D76" s="661">
        <f>Gen_form!AC712</f>
        <v>0</v>
      </c>
      <c r="E76" s="661">
        <f>Gen_form!AD712</f>
        <v>0</v>
      </c>
      <c r="F76" s="661">
        <f>Gen_form!AE712</f>
        <v>0</v>
      </c>
      <c r="G76" s="661">
        <f>Gen_form!AF712</f>
        <v>0</v>
      </c>
      <c r="H76" s="661">
        <f>Gen_form!AG712</f>
        <v>0</v>
      </c>
      <c r="I76" s="661">
        <f>Gen_form!AH712</f>
        <v>0</v>
      </c>
      <c r="J76" s="661">
        <f>Gen_form!AI712</f>
        <v>0</v>
      </c>
      <c r="K76" s="661">
        <f>Gen_form!AJ712</f>
        <v>0</v>
      </c>
      <c r="L76" s="661">
        <f>Gen_form!AK712</f>
        <v>0</v>
      </c>
      <c r="M76" s="661">
        <f>Gen_form!AL712</f>
        <v>0</v>
      </c>
      <c r="N76" s="661">
        <f>Gen_form!AM712</f>
        <v>0</v>
      </c>
      <c r="O76" s="661">
        <f>Gen_form!AN712</f>
        <v>0</v>
      </c>
      <c r="P76" s="661">
        <f>Gen_form!AO712</f>
        <v>0</v>
      </c>
      <c r="Q76" s="661">
        <f>Gen_form!AP712</f>
        <v>0</v>
      </c>
      <c r="R76" s="661">
        <f>Gen_form!AQ712</f>
        <v>0</v>
      </c>
      <c r="S76" s="661">
        <f>Gen_form!AR712</f>
        <v>0</v>
      </c>
      <c r="T76" s="661">
        <f>Gen_form!AS712</f>
        <v>0</v>
      </c>
      <c r="U76" s="661">
        <f>Gen_form!AT712</f>
        <v>0</v>
      </c>
      <c r="V76" s="661">
        <f>Gen_form!AU712</f>
        <v>0</v>
      </c>
      <c r="W76" s="661">
        <f>Gen_form!AV712</f>
        <v>0</v>
      </c>
      <c r="X76" s="661">
        <f>Gen_form!AW712</f>
        <v>0</v>
      </c>
      <c r="Y76" s="661">
        <f>Gen_form!AX712</f>
        <v>0</v>
      </c>
      <c r="Z76" s="661">
        <f>Gen_form!AY712</f>
        <v>0</v>
      </c>
      <c r="AA76" s="661">
        <f>Gen_form!AZ712</f>
        <v>0</v>
      </c>
      <c r="AB76" s="661">
        <f>Gen_form!BA712</f>
        <v>0</v>
      </c>
      <c r="AC76" s="661">
        <f>Gen_form!BB712</f>
        <v>0</v>
      </c>
    </row>
    <row r="77" spans="2:29">
      <c r="B77" s="661">
        <f>Gen_form!AA713</f>
        <v>0</v>
      </c>
      <c r="C77" s="661">
        <f>Gen_form!AB713</f>
        <v>0</v>
      </c>
      <c r="D77" s="661">
        <f>Gen_form!AC713</f>
        <v>0</v>
      </c>
      <c r="E77" s="661">
        <f>Gen_form!AD713</f>
        <v>0</v>
      </c>
      <c r="F77" s="661">
        <f>Gen_form!AE713</f>
        <v>0</v>
      </c>
      <c r="G77" s="661">
        <f>Gen_form!AF713</f>
        <v>0</v>
      </c>
      <c r="H77" s="661">
        <f>Gen_form!AG713</f>
        <v>0</v>
      </c>
      <c r="I77" s="661">
        <f>Gen_form!AH713</f>
        <v>0</v>
      </c>
      <c r="J77" s="661">
        <f>Gen_form!AI713</f>
        <v>0</v>
      </c>
      <c r="K77" s="661">
        <f>Gen_form!AJ713</f>
        <v>0</v>
      </c>
      <c r="L77" s="661">
        <f>Gen_form!AK713</f>
        <v>0</v>
      </c>
      <c r="M77" s="661">
        <f>Gen_form!AL713</f>
        <v>0</v>
      </c>
      <c r="N77" s="661">
        <f>Gen_form!AM713</f>
        <v>0</v>
      </c>
      <c r="O77" s="661">
        <f>Gen_form!AN713</f>
        <v>0</v>
      </c>
      <c r="P77" s="661">
        <f>Gen_form!AO713</f>
        <v>0</v>
      </c>
      <c r="Q77" s="661">
        <f>Gen_form!AP713</f>
        <v>0</v>
      </c>
      <c r="R77" s="661">
        <f>Gen_form!AQ713</f>
        <v>0</v>
      </c>
      <c r="S77" s="661">
        <f>Gen_form!AR713</f>
        <v>0</v>
      </c>
      <c r="T77" s="661">
        <f>Gen_form!AS713</f>
        <v>0</v>
      </c>
      <c r="U77" s="661">
        <f>Gen_form!AT713</f>
        <v>0</v>
      </c>
      <c r="V77" s="661">
        <f>Gen_form!AU713</f>
        <v>0</v>
      </c>
      <c r="W77" s="661">
        <f>Gen_form!AV713</f>
        <v>0</v>
      </c>
      <c r="X77" s="661">
        <f>Gen_form!AW713</f>
        <v>0</v>
      </c>
      <c r="Y77" s="661">
        <f>Gen_form!AX713</f>
        <v>0</v>
      </c>
      <c r="Z77" s="661">
        <f>Gen_form!AY713</f>
        <v>0</v>
      </c>
      <c r="AA77" s="661">
        <f>Gen_form!AZ713</f>
        <v>0</v>
      </c>
      <c r="AB77" s="661">
        <f>Gen_form!BA713</f>
        <v>0</v>
      </c>
      <c r="AC77" s="661">
        <f>Gen_form!BB713</f>
        <v>0</v>
      </c>
    </row>
    <row r="78" spans="2:29">
      <c r="B78" s="661">
        <f>Gen_form!AA714</f>
        <v>0</v>
      </c>
      <c r="C78" s="661">
        <f>Gen_form!AB714</f>
        <v>0</v>
      </c>
      <c r="D78" s="661">
        <f>Gen_form!AC714</f>
        <v>0</v>
      </c>
      <c r="E78" s="661">
        <f>Gen_form!AD714</f>
        <v>0</v>
      </c>
      <c r="F78" s="661">
        <f>Gen_form!AE714</f>
        <v>0</v>
      </c>
      <c r="G78" s="661">
        <f>Gen_form!AF714</f>
        <v>0</v>
      </c>
      <c r="H78" s="661">
        <f>Gen_form!AG714</f>
        <v>0</v>
      </c>
      <c r="I78" s="661">
        <f>Gen_form!AH714</f>
        <v>0</v>
      </c>
      <c r="J78" s="661">
        <f>Gen_form!AI714</f>
        <v>0</v>
      </c>
      <c r="K78" s="661">
        <f>Gen_form!AJ714</f>
        <v>0</v>
      </c>
      <c r="L78" s="661">
        <f>Gen_form!AK714</f>
        <v>0</v>
      </c>
      <c r="M78" s="661">
        <f>Gen_form!AL714</f>
        <v>0</v>
      </c>
      <c r="N78" s="661">
        <f>Gen_form!AM714</f>
        <v>0</v>
      </c>
      <c r="O78" s="661">
        <f>Gen_form!AN714</f>
        <v>0</v>
      </c>
      <c r="P78" s="661">
        <f>Gen_form!AO714</f>
        <v>0</v>
      </c>
      <c r="Q78" s="661">
        <f>Gen_form!AP714</f>
        <v>0</v>
      </c>
      <c r="R78" s="661">
        <f>Gen_form!AQ714</f>
        <v>0</v>
      </c>
      <c r="S78" s="661">
        <f>Gen_form!AR714</f>
        <v>0</v>
      </c>
      <c r="T78" s="661">
        <f>Gen_form!AS714</f>
        <v>0</v>
      </c>
      <c r="U78" s="661">
        <f>Gen_form!AT714</f>
        <v>0</v>
      </c>
      <c r="V78" s="661">
        <f>Gen_form!AU714</f>
        <v>0</v>
      </c>
      <c r="W78" s="661">
        <f>Gen_form!AV714</f>
        <v>0</v>
      </c>
      <c r="X78" s="661">
        <f>Gen_form!AW714</f>
        <v>0</v>
      </c>
      <c r="Y78" s="661">
        <f>Gen_form!AX714</f>
        <v>0</v>
      </c>
      <c r="Z78" s="661">
        <f>Gen_form!AY714</f>
        <v>0</v>
      </c>
      <c r="AA78" s="661">
        <f>Gen_form!AZ714</f>
        <v>0</v>
      </c>
      <c r="AB78" s="661">
        <f>Gen_form!BA714</f>
        <v>0</v>
      </c>
      <c r="AC78" s="661">
        <f>Gen_form!BB714</f>
        <v>0</v>
      </c>
    </row>
    <row r="79" spans="2:29">
      <c r="B79" s="661">
        <f>Gen_form!AA715</f>
        <v>0</v>
      </c>
      <c r="C79" s="661">
        <f>Gen_form!AB715</f>
        <v>0</v>
      </c>
      <c r="D79" s="661">
        <f>Gen_form!AC715</f>
        <v>0</v>
      </c>
      <c r="E79" s="661">
        <f>Gen_form!AD715</f>
        <v>0</v>
      </c>
      <c r="F79" s="661">
        <f>Gen_form!AE715</f>
        <v>0</v>
      </c>
      <c r="G79" s="661">
        <f>Gen_form!AF715</f>
        <v>0</v>
      </c>
      <c r="H79" s="661">
        <f>Gen_form!AG715</f>
        <v>0</v>
      </c>
      <c r="I79" s="661">
        <f>Gen_form!AH715</f>
        <v>0</v>
      </c>
      <c r="J79" s="661">
        <f>Gen_form!AI715</f>
        <v>0</v>
      </c>
      <c r="K79" s="661">
        <f>Gen_form!AJ715</f>
        <v>0</v>
      </c>
      <c r="L79" s="661">
        <f>Gen_form!AK715</f>
        <v>0</v>
      </c>
      <c r="M79" s="661">
        <f>Gen_form!AL715</f>
        <v>0</v>
      </c>
      <c r="N79" s="661">
        <f>Gen_form!AM715</f>
        <v>0</v>
      </c>
      <c r="O79" s="661">
        <f>Gen_form!AN715</f>
        <v>0</v>
      </c>
      <c r="P79" s="661">
        <f>Gen_form!AO715</f>
        <v>0</v>
      </c>
      <c r="Q79" s="661">
        <f>Gen_form!AP715</f>
        <v>0</v>
      </c>
      <c r="R79" s="661">
        <f>Gen_form!AQ715</f>
        <v>0</v>
      </c>
      <c r="S79" s="661">
        <f>Gen_form!AR715</f>
        <v>0</v>
      </c>
      <c r="T79" s="661">
        <f>Gen_form!AS715</f>
        <v>0</v>
      </c>
      <c r="U79" s="661">
        <f>Gen_form!AT715</f>
        <v>0</v>
      </c>
      <c r="V79" s="661">
        <f>Gen_form!AU715</f>
        <v>0</v>
      </c>
      <c r="W79" s="661">
        <f>Gen_form!AV715</f>
        <v>0</v>
      </c>
      <c r="X79" s="661">
        <f>Gen_form!AW715</f>
        <v>0</v>
      </c>
      <c r="Y79" s="661">
        <f>Gen_form!AX715</f>
        <v>0</v>
      </c>
      <c r="Z79" s="661">
        <f>Gen_form!AY715</f>
        <v>0</v>
      </c>
      <c r="AA79" s="661">
        <f>Gen_form!AZ715</f>
        <v>0</v>
      </c>
      <c r="AB79" s="661">
        <f>Gen_form!BA715</f>
        <v>0</v>
      </c>
      <c r="AC79" s="661">
        <f>Gen_form!BB715</f>
        <v>0</v>
      </c>
    </row>
    <row r="80" spans="2:29">
      <c r="B80" s="661">
        <f>Gen_form!AA716</f>
        <v>0</v>
      </c>
      <c r="C80" s="661">
        <f>Gen_form!AB716</f>
        <v>0</v>
      </c>
      <c r="D80" s="661">
        <f>Gen_form!AC716</f>
        <v>0</v>
      </c>
      <c r="E80" s="661">
        <f>Gen_form!AD716</f>
        <v>0</v>
      </c>
      <c r="F80" s="661">
        <f>Gen_form!AE716</f>
        <v>0</v>
      </c>
      <c r="G80" s="661">
        <f>Gen_form!AF716</f>
        <v>0</v>
      </c>
      <c r="H80" s="661">
        <f>Gen_form!AG716</f>
        <v>0</v>
      </c>
      <c r="I80" s="661">
        <f>Gen_form!AH716</f>
        <v>0</v>
      </c>
      <c r="J80" s="661">
        <f>Gen_form!AI716</f>
        <v>0</v>
      </c>
      <c r="K80" s="661">
        <f>Gen_form!AJ716</f>
        <v>0</v>
      </c>
      <c r="L80" s="661">
        <f>Gen_form!AK716</f>
        <v>0</v>
      </c>
      <c r="M80" s="661">
        <f>Gen_form!AL716</f>
        <v>0</v>
      </c>
      <c r="N80" s="661">
        <f>Gen_form!AM716</f>
        <v>0</v>
      </c>
      <c r="O80" s="661">
        <f>Gen_form!AN716</f>
        <v>0</v>
      </c>
      <c r="P80" s="661">
        <f>Gen_form!AO716</f>
        <v>0</v>
      </c>
      <c r="Q80" s="661">
        <f>Gen_form!AP716</f>
        <v>0</v>
      </c>
      <c r="R80" s="661">
        <f>Gen_form!AQ716</f>
        <v>0</v>
      </c>
      <c r="S80" s="661">
        <f>Gen_form!AR716</f>
        <v>0</v>
      </c>
      <c r="T80" s="661">
        <f>Gen_form!AS716</f>
        <v>0</v>
      </c>
      <c r="U80" s="661">
        <f>Gen_form!AT716</f>
        <v>0</v>
      </c>
      <c r="V80" s="661">
        <f>Gen_form!AU716</f>
        <v>0</v>
      </c>
      <c r="W80" s="661">
        <f>Gen_form!AV716</f>
        <v>0</v>
      </c>
      <c r="X80" s="661">
        <f>Gen_form!AW716</f>
        <v>0</v>
      </c>
      <c r="Y80" s="661">
        <f>Gen_form!AX716</f>
        <v>0</v>
      </c>
      <c r="Z80" s="661">
        <f>Gen_form!AY716</f>
        <v>0</v>
      </c>
      <c r="AA80" s="661">
        <f>Gen_form!AZ716</f>
        <v>0</v>
      </c>
      <c r="AB80" s="661">
        <f>Gen_form!BA716</f>
        <v>0</v>
      </c>
      <c r="AC80" s="661">
        <f>Gen_form!BB716</f>
        <v>0</v>
      </c>
    </row>
    <row r="81" spans="1:29">
      <c r="B81" s="661">
        <f>Gen_form!AA717</f>
        <v>0</v>
      </c>
      <c r="C81" s="661">
        <f>Gen_form!AB717</f>
        <v>0</v>
      </c>
      <c r="D81" s="661">
        <f>Gen_form!AC717</f>
        <v>0</v>
      </c>
      <c r="E81" s="661">
        <f>Gen_form!AD717</f>
        <v>0</v>
      </c>
      <c r="F81" s="661">
        <f>Gen_form!AE717</f>
        <v>0</v>
      </c>
      <c r="G81" s="661">
        <f>Gen_form!AF717</f>
        <v>0</v>
      </c>
      <c r="H81" s="661">
        <f>Gen_form!AG717</f>
        <v>0</v>
      </c>
      <c r="I81" s="661">
        <f>Gen_form!AH717</f>
        <v>0</v>
      </c>
      <c r="J81" s="661">
        <f>Gen_form!AI717</f>
        <v>0</v>
      </c>
      <c r="K81" s="661">
        <f>Gen_form!AJ717</f>
        <v>0</v>
      </c>
      <c r="L81" s="661">
        <f>Gen_form!AK717</f>
        <v>0</v>
      </c>
      <c r="M81" s="661">
        <f>Gen_form!AL717</f>
        <v>0</v>
      </c>
      <c r="N81" s="661">
        <f>Gen_form!AM717</f>
        <v>0</v>
      </c>
      <c r="O81" s="661">
        <f>Gen_form!AN717</f>
        <v>0</v>
      </c>
      <c r="P81" s="661">
        <f>Gen_form!AO717</f>
        <v>0</v>
      </c>
      <c r="Q81" s="661">
        <f>Gen_form!AP717</f>
        <v>0</v>
      </c>
      <c r="R81" s="661">
        <f>Gen_form!AQ717</f>
        <v>0</v>
      </c>
      <c r="S81" s="661">
        <f>Gen_form!AR717</f>
        <v>0</v>
      </c>
      <c r="T81" s="661">
        <f>Gen_form!AS717</f>
        <v>0</v>
      </c>
      <c r="U81" s="661">
        <f>Gen_form!AT717</f>
        <v>0</v>
      </c>
      <c r="V81" s="661">
        <f>Gen_form!AU717</f>
        <v>0</v>
      </c>
      <c r="W81" s="661">
        <f>Gen_form!AV717</f>
        <v>0</v>
      </c>
      <c r="X81" s="661">
        <f>Gen_form!AW717</f>
        <v>0</v>
      </c>
      <c r="Y81" s="661">
        <f>Gen_form!AX717</f>
        <v>0</v>
      </c>
      <c r="Z81" s="661">
        <f>Gen_form!AY717</f>
        <v>0</v>
      </c>
      <c r="AA81" s="661">
        <f>Gen_form!AZ717</f>
        <v>0</v>
      </c>
      <c r="AB81" s="661">
        <f>Gen_form!BA717</f>
        <v>0</v>
      </c>
      <c r="AC81" s="661">
        <f>Gen_form!BB717</f>
        <v>0</v>
      </c>
    </row>
    <row r="82" spans="1:29">
      <c r="B82" s="661">
        <f>Gen_form!AA718</f>
        <v>0</v>
      </c>
      <c r="C82" s="661">
        <f>Gen_form!AB718</f>
        <v>0</v>
      </c>
      <c r="D82" s="661">
        <f>Gen_form!AC718</f>
        <v>0</v>
      </c>
      <c r="E82" s="661">
        <f>Gen_form!AD718</f>
        <v>0</v>
      </c>
      <c r="F82" s="661">
        <f>Gen_form!AE718</f>
        <v>0</v>
      </c>
      <c r="G82" s="661">
        <f>Gen_form!AF718</f>
        <v>0</v>
      </c>
      <c r="H82" s="661">
        <f>Gen_form!AG718</f>
        <v>0</v>
      </c>
      <c r="I82" s="661">
        <f>Gen_form!AH718</f>
        <v>0</v>
      </c>
      <c r="J82" s="661">
        <f>Gen_form!AI718</f>
        <v>0</v>
      </c>
      <c r="K82" s="661">
        <f>Gen_form!AJ718</f>
        <v>0</v>
      </c>
      <c r="L82" s="661">
        <f>Gen_form!AK718</f>
        <v>0</v>
      </c>
      <c r="M82" s="661">
        <f>Gen_form!AL718</f>
        <v>0</v>
      </c>
      <c r="N82" s="661">
        <f>Gen_form!AM718</f>
        <v>0</v>
      </c>
      <c r="O82" s="661">
        <f>Gen_form!AN718</f>
        <v>0</v>
      </c>
      <c r="P82" s="661">
        <f>Gen_form!AO718</f>
        <v>0</v>
      </c>
      <c r="Q82" s="661">
        <f>Gen_form!AP718</f>
        <v>0</v>
      </c>
      <c r="R82" s="661">
        <f>Gen_form!AQ718</f>
        <v>0</v>
      </c>
      <c r="S82" s="661">
        <f>Gen_form!AR718</f>
        <v>0</v>
      </c>
      <c r="T82" s="661">
        <f>Gen_form!AS718</f>
        <v>0</v>
      </c>
      <c r="U82" s="661">
        <f>Gen_form!AT718</f>
        <v>0</v>
      </c>
      <c r="V82" s="661">
        <f>Gen_form!AU718</f>
        <v>0</v>
      </c>
      <c r="W82" s="661">
        <f>Gen_form!AV718</f>
        <v>0</v>
      </c>
      <c r="X82" s="661">
        <f>Gen_form!AW718</f>
        <v>0</v>
      </c>
      <c r="Y82" s="661">
        <f>Gen_form!AX718</f>
        <v>0</v>
      </c>
      <c r="Z82" s="661">
        <f>Gen_form!AY718</f>
        <v>0</v>
      </c>
      <c r="AA82" s="661">
        <f>Gen_form!AZ718</f>
        <v>0</v>
      </c>
      <c r="AB82" s="661">
        <f>Gen_form!BA718</f>
        <v>0</v>
      </c>
      <c r="AC82" s="661">
        <f>Gen_form!BB718</f>
        <v>0</v>
      </c>
    </row>
    <row r="83" spans="1:29">
      <c r="B83" s="661">
        <f>Gen_form!AA719</f>
        <v>0</v>
      </c>
      <c r="C83" s="661">
        <f>Gen_form!AB719</f>
        <v>0</v>
      </c>
      <c r="D83" s="661">
        <f>Gen_form!AC719</f>
        <v>0</v>
      </c>
      <c r="E83" s="661">
        <f>Gen_form!AD719</f>
        <v>0</v>
      </c>
      <c r="F83" s="661">
        <f>Gen_form!AE719</f>
        <v>0</v>
      </c>
      <c r="G83" s="661">
        <f>Gen_form!AF719</f>
        <v>0</v>
      </c>
      <c r="H83" s="661">
        <f>Gen_form!AG719</f>
        <v>0</v>
      </c>
      <c r="I83" s="661">
        <f>Gen_form!AH719</f>
        <v>0</v>
      </c>
      <c r="J83" s="661">
        <f>Gen_form!AI719</f>
        <v>0</v>
      </c>
      <c r="K83" s="661">
        <f>Gen_form!AJ719</f>
        <v>0</v>
      </c>
      <c r="L83" s="661">
        <f>Gen_form!AK719</f>
        <v>0</v>
      </c>
      <c r="M83" s="661">
        <f>Gen_form!AL719</f>
        <v>0</v>
      </c>
      <c r="N83" s="661">
        <f>Gen_form!AM719</f>
        <v>0</v>
      </c>
      <c r="O83" s="661">
        <f>Gen_form!AN719</f>
        <v>0</v>
      </c>
      <c r="P83" s="661">
        <f>Gen_form!AO719</f>
        <v>0</v>
      </c>
      <c r="Q83" s="661">
        <f>Gen_form!AP719</f>
        <v>0</v>
      </c>
      <c r="R83" s="661">
        <f>Gen_form!AQ719</f>
        <v>0</v>
      </c>
      <c r="S83" s="661">
        <f>Gen_form!AR719</f>
        <v>0</v>
      </c>
      <c r="T83" s="661">
        <f>Gen_form!AS719</f>
        <v>0</v>
      </c>
      <c r="U83" s="661">
        <f>Gen_form!AT719</f>
        <v>0</v>
      </c>
      <c r="V83" s="661">
        <f>Gen_form!AU719</f>
        <v>0</v>
      </c>
      <c r="W83" s="661">
        <f>Gen_form!AV719</f>
        <v>0</v>
      </c>
      <c r="X83" s="661">
        <f>Gen_form!AW719</f>
        <v>0</v>
      </c>
      <c r="Y83" s="661">
        <f>Gen_form!AX719</f>
        <v>0</v>
      </c>
      <c r="Z83" s="661">
        <f>Gen_form!AY719</f>
        <v>0</v>
      </c>
      <c r="AA83" s="661">
        <f>Gen_form!AZ719</f>
        <v>0</v>
      </c>
      <c r="AB83" s="661">
        <f>Gen_form!BA719</f>
        <v>0</v>
      </c>
      <c r="AC83" s="661">
        <f>Gen_form!BB719</f>
        <v>0</v>
      </c>
    </row>
    <row r="84" spans="1:29">
      <c r="B84" s="661">
        <f>Gen_form!AA720</f>
        <v>0</v>
      </c>
      <c r="C84" s="661">
        <f>Gen_form!AB720</f>
        <v>0</v>
      </c>
      <c r="D84" s="661">
        <f>Gen_form!AC720</f>
        <v>0</v>
      </c>
      <c r="E84" s="661">
        <f>Gen_form!AD720</f>
        <v>0</v>
      </c>
      <c r="F84" s="661">
        <f>Gen_form!AE720</f>
        <v>0</v>
      </c>
      <c r="G84" s="661">
        <f>Gen_form!AF720</f>
        <v>0</v>
      </c>
      <c r="H84" s="661">
        <f>Gen_form!AG720</f>
        <v>0</v>
      </c>
      <c r="I84" s="661">
        <f>Gen_form!AH720</f>
        <v>0</v>
      </c>
      <c r="J84" s="661">
        <f>Gen_form!AI720</f>
        <v>0</v>
      </c>
      <c r="K84" s="661">
        <f>Gen_form!AJ720</f>
        <v>0</v>
      </c>
      <c r="L84" s="661">
        <f>Gen_form!AK720</f>
        <v>0</v>
      </c>
      <c r="M84" s="661">
        <f>Gen_form!AL720</f>
        <v>0</v>
      </c>
      <c r="N84" s="661">
        <f>Gen_form!AM720</f>
        <v>0</v>
      </c>
      <c r="O84" s="661">
        <f>Gen_form!AN720</f>
        <v>0</v>
      </c>
      <c r="P84" s="661">
        <f>Gen_form!AO720</f>
        <v>0</v>
      </c>
      <c r="Q84" s="661">
        <f>Gen_form!AP720</f>
        <v>0</v>
      </c>
      <c r="R84" s="661">
        <f>Gen_form!AQ720</f>
        <v>0</v>
      </c>
      <c r="S84" s="661">
        <f>Gen_form!AR720</f>
        <v>0</v>
      </c>
      <c r="T84" s="661">
        <f>Gen_form!AS720</f>
        <v>0</v>
      </c>
      <c r="U84" s="661">
        <f>Gen_form!AT720</f>
        <v>0</v>
      </c>
      <c r="V84" s="661">
        <f>Gen_form!AU720</f>
        <v>0</v>
      </c>
      <c r="W84" s="661">
        <f>Gen_form!AV720</f>
        <v>0</v>
      </c>
      <c r="X84" s="661">
        <f>Gen_form!AW720</f>
        <v>0</v>
      </c>
      <c r="Y84" s="661">
        <f>Gen_form!AX720</f>
        <v>0</v>
      </c>
      <c r="Z84" s="661">
        <f>Gen_form!AY720</f>
        <v>0</v>
      </c>
      <c r="AA84" s="661">
        <f>Gen_form!AZ720</f>
        <v>0</v>
      </c>
      <c r="AB84" s="661">
        <f>Gen_form!BA720</f>
        <v>0</v>
      </c>
      <c r="AC84" s="661">
        <f>Gen_form!BB720</f>
        <v>0</v>
      </c>
    </row>
    <row r="85" spans="1:29">
      <c r="B85" s="661">
        <f>Gen_form!AA721</f>
        <v>0</v>
      </c>
      <c r="C85" s="661">
        <f>Gen_form!AB721</f>
        <v>0</v>
      </c>
      <c r="D85" s="661">
        <f>Gen_form!AC721</f>
        <v>0</v>
      </c>
      <c r="E85" s="661">
        <f>Gen_form!AD721</f>
        <v>0</v>
      </c>
      <c r="F85" s="661">
        <f>Gen_form!AE721</f>
        <v>0</v>
      </c>
      <c r="G85" s="661">
        <f>Gen_form!AF721</f>
        <v>0</v>
      </c>
      <c r="H85" s="661">
        <f>Gen_form!AG721</f>
        <v>0</v>
      </c>
      <c r="I85" s="661">
        <f>Gen_form!AH721</f>
        <v>0</v>
      </c>
      <c r="J85" s="661">
        <f>Gen_form!AI721</f>
        <v>0</v>
      </c>
      <c r="K85" s="661">
        <f>Gen_form!AJ721</f>
        <v>0</v>
      </c>
      <c r="L85" s="661">
        <f>Gen_form!AK721</f>
        <v>0</v>
      </c>
      <c r="M85" s="661">
        <f>Gen_form!AL721</f>
        <v>0</v>
      </c>
      <c r="N85" s="661">
        <f>Gen_form!AM721</f>
        <v>0</v>
      </c>
      <c r="O85" s="661">
        <f>Gen_form!AN721</f>
        <v>0</v>
      </c>
      <c r="P85" s="661">
        <f>Gen_form!AO721</f>
        <v>0</v>
      </c>
      <c r="Q85" s="661">
        <f>Gen_form!AP721</f>
        <v>0</v>
      </c>
      <c r="R85" s="661">
        <f>Gen_form!AQ721</f>
        <v>0</v>
      </c>
      <c r="S85" s="661">
        <f>Gen_form!AR721</f>
        <v>0</v>
      </c>
      <c r="T85" s="661">
        <f>Gen_form!AS721</f>
        <v>0</v>
      </c>
      <c r="U85" s="661">
        <f>Gen_form!AT721</f>
        <v>0</v>
      </c>
      <c r="V85" s="661">
        <f>Gen_form!AU721</f>
        <v>0</v>
      </c>
      <c r="W85" s="661">
        <f>Gen_form!AV721</f>
        <v>0</v>
      </c>
      <c r="X85" s="661">
        <f>Gen_form!AW721</f>
        <v>0</v>
      </c>
      <c r="Y85" s="661">
        <f>Gen_form!AX721</f>
        <v>0</v>
      </c>
      <c r="Z85" s="661">
        <f>Gen_form!AY721</f>
        <v>0</v>
      </c>
      <c r="AA85" s="661">
        <f>Gen_form!AZ721</f>
        <v>0</v>
      </c>
      <c r="AB85" s="661">
        <f>Gen_form!BA721</f>
        <v>0</v>
      </c>
      <c r="AC85" s="661">
        <f>Gen_form!BB721</f>
        <v>0</v>
      </c>
    </row>
    <row r="86" spans="1:29">
      <c r="B86" s="661">
        <f>Gen_form!AA722</f>
        <v>0</v>
      </c>
      <c r="C86" s="661">
        <f>Gen_form!AB722</f>
        <v>0</v>
      </c>
      <c r="D86" s="661">
        <f>Gen_form!AC722</f>
        <v>0</v>
      </c>
      <c r="E86" s="661">
        <f>Gen_form!AD722</f>
        <v>0</v>
      </c>
      <c r="F86" s="661">
        <f>Gen_form!AE722</f>
        <v>0</v>
      </c>
      <c r="G86" s="661">
        <f>Gen_form!AF722</f>
        <v>0</v>
      </c>
      <c r="H86" s="661">
        <f>Gen_form!AG722</f>
        <v>0</v>
      </c>
      <c r="I86" s="661">
        <f>Gen_form!AH722</f>
        <v>0</v>
      </c>
      <c r="J86" s="661">
        <f>Gen_form!AI722</f>
        <v>0</v>
      </c>
      <c r="K86" s="661">
        <f>Gen_form!AJ722</f>
        <v>0</v>
      </c>
      <c r="L86" s="661">
        <f>Gen_form!AK722</f>
        <v>0</v>
      </c>
      <c r="M86" s="661">
        <f>Gen_form!AL722</f>
        <v>0</v>
      </c>
      <c r="N86" s="661">
        <f>Gen_form!AM722</f>
        <v>0</v>
      </c>
      <c r="O86" s="661">
        <f>Gen_form!AN722</f>
        <v>0</v>
      </c>
      <c r="P86" s="661">
        <f>Gen_form!AO722</f>
        <v>0</v>
      </c>
      <c r="Q86" s="661">
        <f>Gen_form!AP722</f>
        <v>0</v>
      </c>
      <c r="R86" s="661">
        <f>Gen_form!AQ722</f>
        <v>0</v>
      </c>
      <c r="S86" s="661">
        <f>Gen_form!AR722</f>
        <v>0</v>
      </c>
      <c r="T86" s="661">
        <f>Gen_form!AS722</f>
        <v>0</v>
      </c>
      <c r="U86" s="661">
        <f>Gen_form!AT722</f>
        <v>0</v>
      </c>
      <c r="V86" s="661">
        <f>Gen_form!AU722</f>
        <v>0</v>
      </c>
      <c r="W86" s="661">
        <f>Gen_form!AV722</f>
        <v>0</v>
      </c>
      <c r="X86" s="661">
        <f>Gen_form!AW722</f>
        <v>0</v>
      </c>
      <c r="Y86" s="661">
        <f>Gen_form!AX722</f>
        <v>0</v>
      </c>
      <c r="Z86" s="661">
        <f>Gen_form!AY722</f>
        <v>0</v>
      </c>
      <c r="AA86" s="661">
        <f>Gen_form!AZ722</f>
        <v>0</v>
      </c>
      <c r="AB86" s="661">
        <f>Gen_form!BA722</f>
        <v>0</v>
      </c>
      <c r="AC86" s="661">
        <f>Gen_form!BB722</f>
        <v>0</v>
      </c>
    </row>
    <row r="87" spans="1:29">
      <c r="B87" s="661">
        <f>Gen_form!AA723</f>
        <v>0</v>
      </c>
      <c r="C87" s="661">
        <f>Gen_form!AB723</f>
        <v>0</v>
      </c>
      <c r="D87" s="661">
        <f>Gen_form!AC723</f>
        <v>0</v>
      </c>
      <c r="E87" s="661">
        <f>Gen_form!AD723</f>
        <v>0</v>
      </c>
      <c r="F87" s="661">
        <f>Gen_form!AE723</f>
        <v>0</v>
      </c>
      <c r="G87" s="661">
        <f>Gen_form!AF723</f>
        <v>0</v>
      </c>
      <c r="H87" s="661">
        <f>Gen_form!AG723</f>
        <v>0</v>
      </c>
      <c r="I87" s="661">
        <f>Gen_form!AH723</f>
        <v>0</v>
      </c>
      <c r="J87" s="661">
        <f>Gen_form!AI723</f>
        <v>0</v>
      </c>
      <c r="K87" s="661">
        <f>Gen_form!AJ723</f>
        <v>0</v>
      </c>
      <c r="L87" s="661">
        <f>Gen_form!AK723</f>
        <v>0</v>
      </c>
      <c r="M87" s="661">
        <f>Gen_form!AL723</f>
        <v>0</v>
      </c>
      <c r="N87" s="661">
        <f>Gen_form!AM723</f>
        <v>0</v>
      </c>
      <c r="O87" s="661">
        <f>Gen_form!AN723</f>
        <v>0</v>
      </c>
      <c r="P87" s="661">
        <f>Gen_form!AO723</f>
        <v>0</v>
      </c>
      <c r="Q87" s="661">
        <f>Gen_form!AP723</f>
        <v>0</v>
      </c>
      <c r="R87" s="661">
        <f>Gen_form!AQ723</f>
        <v>0</v>
      </c>
      <c r="S87" s="661">
        <f>Gen_form!AR723</f>
        <v>0</v>
      </c>
      <c r="T87" s="661">
        <f>Gen_form!AS723</f>
        <v>0</v>
      </c>
      <c r="U87" s="661">
        <f>Gen_form!AT723</f>
        <v>0</v>
      </c>
      <c r="V87" s="661">
        <f>Gen_form!AU723</f>
        <v>0</v>
      </c>
      <c r="W87" s="661">
        <f>Gen_form!AV723</f>
        <v>0</v>
      </c>
      <c r="X87" s="661">
        <f>Gen_form!AW723</f>
        <v>0</v>
      </c>
      <c r="Y87" s="661">
        <f>Gen_form!AX723</f>
        <v>0</v>
      </c>
      <c r="Z87" s="661">
        <f>Gen_form!AY723</f>
        <v>0</v>
      </c>
      <c r="AA87" s="661">
        <f>Gen_form!AZ723</f>
        <v>0</v>
      </c>
      <c r="AB87" s="661">
        <f>Gen_form!BA723</f>
        <v>0</v>
      </c>
      <c r="AC87" s="661">
        <f>Gen_form!BB723</f>
        <v>0</v>
      </c>
    </row>
    <row r="88" spans="1:29">
      <c r="B88" s="661">
        <f>Gen_form!AA724</f>
        <v>0</v>
      </c>
      <c r="C88" s="661">
        <f>Gen_form!AB724</f>
        <v>0</v>
      </c>
      <c r="D88" s="661">
        <f>Gen_form!AC724</f>
        <v>0</v>
      </c>
      <c r="E88" s="661">
        <f>Gen_form!AD724</f>
        <v>0</v>
      </c>
      <c r="F88" s="661">
        <f>Gen_form!AE724</f>
        <v>0</v>
      </c>
      <c r="G88" s="661">
        <f>Gen_form!AF724</f>
        <v>0</v>
      </c>
      <c r="H88" s="661">
        <f>Gen_form!AG724</f>
        <v>0</v>
      </c>
      <c r="I88" s="661">
        <f>Gen_form!AH724</f>
        <v>0</v>
      </c>
      <c r="J88" s="661">
        <f>Gen_form!AI724</f>
        <v>0</v>
      </c>
      <c r="K88" s="661">
        <f>Gen_form!AJ724</f>
        <v>0</v>
      </c>
      <c r="L88" s="661">
        <f>Gen_form!AK724</f>
        <v>0</v>
      </c>
      <c r="M88" s="661">
        <f>Gen_form!AL724</f>
        <v>0</v>
      </c>
      <c r="N88" s="661">
        <f>Gen_form!AM724</f>
        <v>0</v>
      </c>
      <c r="O88" s="661">
        <f>Gen_form!AN724</f>
        <v>0</v>
      </c>
      <c r="P88" s="661">
        <f>Gen_form!AO724</f>
        <v>0</v>
      </c>
      <c r="Q88" s="661">
        <f>Gen_form!AP724</f>
        <v>0</v>
      </c>
      <c r="R88" s="661">
        <f>Gen_form!AQ724</f>
        <v>0</v>
      </c>
      <c r="S88" s="661">
        <f>Gen_form!AR724</f>
        <v>0</v>
      </c>
      <c r="T88" s="661">
        <f>Gen_form!AS724</f>
        <v>0</v>
      </c>
      <c r="U88" s="661">
        <f>Gen_form!AT724</f>
        <v>0</v>
      </c>
      <c r="V88" s="661">
        <f>Gen_form!AU724</f>
        <v>0</v>
      </c>
      <c r="W88" s="661">
        <f>Gen_form!AV724</f>
        <v>0</v>
      </c>
      <c r="X88" s="661">
        <f>Gen_form!AW724</f>
        <v>0</v>
      </c>
      <c r="Y88" s="661">
        <f>Gen_form!AX724</f>
        <v>0</v>
      </c>
      <c r="Z88" s="661">
        <f>Gen_form!AY724</f>
        <v>0</v>
      </c>
      <c r="AA88" s="661">
        <f>Gen_form!AZ724</f>
        <v>0</v>
      </c>
      <c r="AB88" s="661">
        <f>Gen_form!BA724</f>
        <v>0</v>
      </c>
      <c r="AC88" s="661">
        <f>Gen_form!BB724</f>
        <v>0</v>
      </c>
    </row>
    <row r="89" spans="1:29">
      <c r="B89" s="661">
        <f>Gen_form!AA725</f>
        <v>0</v>
      </c>
      <c r="C89" s="661">
        <f>Gen_form!AB725</f>
        <v>0</v>
      </c>
      <c r="D89" s="661">
        <f>Gen_form!AC725</f>
        <v>0</v>
      </c>
      <c r="E89" s="661">
        <f>Gen_form!AD725</f>
        <v>0</v>
      </c>
      <c r="F89" s="661">
        <f>Gen_form!AE725</f>
        <v>0</v>
      </c>
      <c r="G89" s="661">
        <f>Gen_form!AF725</f>
        <v>0</v>
      </c>
      <c r="H89" s="661">
        <f>Gen_form!AG725</f>
        <v>0</v>
      </c>
      <c r="I89" s="661">
        <f>Gen_form!AH725</f>
        <v>0</v>
      </c>
      <c r="J89" s="661">
        <f>Gen_form!AI725</f>
        <v>0</v>
      </c>
      <c r="K89" s="661">
        <f>Gen_form!AJ725</f>
        <v>0</v>
      </c>
      <c r="L89" s="661">
        <f>Gen_form!AK725</f>
        <v>0</v>
      </c>
      <c r="M89" s="661">
        <f>Gen_form!AL725</f>
        <v>0</v>
      </c>
      <c r="N89" s="661">
        <f>Gen_form!AM725</f>
        <v>0</v>
      </c>
      <c r="O89" s="661">
        <f>Gen_form!AN725</f>
        <v>0</v>
      </c>
      <c r="P89" s="661">
        <f>Gen_form!AO725</f>
        <v>0</v>
      </c>
      <c r="Q89" s="661">
        <f>Gen_form!AP725</f>
        <v>0</v>
      </c>
      <c r="R89" s="661">
        <f>Gen_form!AQ725</f>
        <v>0</v>
      </c>
      <c r="S89" s="661">
        <f>Gen_form!AR725</f>
        <v>0</v>
      </c>
      <c r="T89" s="661">
        <f>Gen_form!AS725</f>
        <v>0</v>
      </c>
      <c r="U89" s="661">
        <f>Gen_form!AT725</f>
        <v>0</v>
      </c>
      <c r="V89" s="661">
        <f>Gen_form!AU725</f>
        <v>0</v>
      </c>
      <c r="W89" s="661">
        <f>Gen_form!AV725</f>
        <v>0</v>
      </c>
      <c r="X89" s="661">
        <f>Gen_form!AW725</f>
        <v>0</v>
      </c>
      <c r="Y89" s="661">
        <f>Gen_form!AX725</f>
        <v>0</v>
      </c>
      <c r="Z89" s="661">
        <f>Gen_form!AY725</f>
        <v>0</v>
      </c>
      <c r="AA89" s="661">
        <f>Gen_form!AZ725</f>
        <v>0</v>
      </c>
      <c r="AB89" s="661">
        <f>Gen_form!BA725</f>
        <v>0</v>
      </c>
      <c r="AC89" s="661">
        <f>Gen_form!BB725</f>
        <v>0</v>
      </c>
    </row>
    <row r="90" spans="1:29">
      <c r="B90" s="661">
        <f>Gen_form!AA726</f>
        <v>0</v>
      </c>
      <c r="C90" s="661">
        <f>Gen_form!AB726</f>
        <v>0</v>
      </c>
      <c r="D90" s="661">
        <f>Gen_form!AC726</f>
        <v>0</v>
      </c>
      <c r="E90" s="661">
        <f>Gen_form!AD726</f>
        <v>0</v>
      </c>
      <c r="F90" s="661">
        <f>Gen_form!AE726</f>
        <v>0</v>
      </c>
      <c r="G90" s="661">
        <f>Gen_form!AF726</f>
        <v>0</v>
      </c>
      <c r="H90" s="661">
        <f>Gen_form!AG726</f>
        <v>0</v>
      </c>
      <c r="I90" s="661">
        <f>Gen_form!AH726</f>
        <v>0</v>
      </c>
      <c r="J90" s="661">
        <f>Gen_form!AI726</f>
        <v>0</v>
      </c>
      <c r="K90" s="661">
        <f>Gen_form!AJ726</f>
        <v>0</v>
      </c>
      <c r="L90" s="661">
        <f>Gen_form!AK726</f>
        <v>0</v>
      </c>
      <c r="M90" s="661">
        <f>Gen_form!AL726</f>
        <v>0</v>
      </c>
      <c r="N90" s="661">
        <f>Gen_form!AM726</f>
        <v>0</v>
      </c>
      <c r="O90" s="661">
        <f>Gen_form!AN726</f>
        <v>0</v>
      </c>
      <c r="P90" s="661">
        <f>Gen_form!AO726</f>
        <v>0</v>
      </c>
      <c r="Q90" s="661">
        <f>Gen_form!AP726</f>
        <v>0</v>
      </c>
      <c r="R90" s="661">
        <f>Gen_form!AQ726</f>
        <v>0</v>
      </c>
      <c r="S90" s="661">
        <f>Gen_form!AR726</f>
        <v>0</v>
      </c>
      <c r="T90" s="661">
        <f>Gen_form!AS726</f>
        <v>0</v>
      </c>
      <c r="U90" s="661">
        <f>Gen_form!AT726</f>
        <v>0</v>
      </c>
      <c r="V90" s="661">
        <f>Gen_form!AU726</f>
        <v>0</v>
      </c>
      <c r="W90" s="661">
        <f>Gen_form!AV726</f>
        <v>0</v>
      </c>
      <c r="X90" s="661">
        <f>Gen_form!AW726</f>
        <v>0</v>
      </c>
      <c r="Y90" s="661">
        <f>Gen_form!AX726</f>
        <v>0</v>
      </c>
      <c r="Z90" s="661">
        <f>Gen_form!AY726</f>
        <v>0</v>
      </c>
      <c r="AA90" s="661">
        <f>Gen_form!AZ726</f>
        <v>0</v>
      </c>
      <c r="AB90" s="661">
        <f>Gen_form!BA726</f>
        <v>0</v>
      </c>
      <c r="AC90" s="661">
        <f>Gen_form!BB726</f>
        <v>0</v>
      </c>
    </row>
    <row r="91" spans="1:29">
      <c r="B91" s="661">
        <f>Gen_form!AA727</f>
        <v>0</v>
      </c>
      <c r="C91" s="661">
        <f>Gen_form!AB727</f>
        <v>0</v>
      </c>
      <c r="D91" s="661">
        <f>Gen_form!AC727</f>
        <v>0</v>
      </c>
      <c r="E91" s="661">
        <f>Gen_form!AD727</f>
        <v>0</v>
      </c>
      <c r="F91" s="661">
        <f>Gen_form!AE727</f>
        <v>0</v>
      </c>
      <c r="G91" s="661">
        <f>Gen_form!AF727</f>
        <v>0</v>
      </c>
      <c r="H91" s="661">
        <f>Gen_form!AG727</f>
        <v>0</v>
      </c>
      <c r="I91" s="661">
        <f>Gen_form!AH727</f>
        <v>0</v>
      </c>
      <c r="J91" s="661">
        <f>Gen_form!AI727</f>
        <v>0</v>
      </c>
      <c r="K91" s="661">
        <f>Gen_form!AJ727</f>
        <v>0</v>
      </c>
      <c r="L91" s="661">
        <f>Gen_form!AK727</f>
        <v>0</v>
      </c>
      <c r="M91" s="661">
        <f>Gen_form!AL727</f>
        <v>0</v>
      </c>
      <c r="N91" s="661">
        <f>Gen_form!AM727</f>
        <v>0</v>
      </c>
      <c r="O91" s="661">
        <f>Gen_form!AN727</f>
        <v>0</v>
      </c>
      <c r="P91" s="661">
        <f>Gen_form!AO727</f>
        <v>0</v>
      </c>
      <c r="Q91" s="661">
        <f>Gen_form!AP727</f>
        <v>0</v>
      </c>
      <c r="R91" s="661">
        <f>Gen_form!AQ727</f>
        <v>0</v>
      </c>
      <c r="S91" s="661">
        <f>Gen_form!AR727</f>
        <v>0</v>
      </c>
      <c r="T91" s="661">
        <f>Gen_form!AS727</f>
        <v>0</v>
      </c>
      <c r="U91" s="661">
        <f>Gen_form!AT727</f>
        <v>0</v>
      </c>
      <c r="V91" s="661">
        <f>Gen_form!AU727</f>
        <v>0</v>
      </c>
      <c r="W91" s="661">
        <f>Gen_form!AV727</f>
        <v>0</v>
      </c>
      <c r="X91" s="661">
        <f>Gen_form!AW727</f>
        <v>0</v>
      </c>
      <c r="Y91" s="661">
        <f>Gen_form!AX727</f>
        <v>0</v>
      </c>
      <c r="Z91" s="661">
        <f>Gen_form!AY727</f>
        <v>0</v>
      </c>
      <c r="AA91" s="661">
        <f>Gen_form!AZ727</f>
        <v>0</v>
      </c>
      <c r="AB91" s="661">
        <f>Gen_form!BA727</f>
        <v>0</v>
      </c>
      <c r="AC91" s="661">
        <f>Gen_form!BB727</f>
        <v>0</v>
      </c>
    </row>
    <row r="92" spans="1:29">
      <c r="B92" s="661">
        <f>Gen_form!AA728</f>
        <v>0</v>
      </c>
      <c r="C92" s="661">
        <f>Gen_form!AB728</f>
        <v>0</v>
      </c>
      <c r="D92" s="661">
        <f>Gen_form!AC728</f>
        <v>0</v>
      </c>
      <c r="E92" s="661">
        <f>Gen_form!AD728</f>
        <v>0</v>
      </c>
      <c r="F92" s="661">
        <f>Gen_form!AE728</f>
        <v>0</v>
      </c>
      <c r="G92" s="661">
        <f>Gen_form!AF728</f>
        <v>0</v>
      </c>
      <c r="H92" s="661">
        <f>Gen_form!AG728</f>
        <v>0</v>
      </c>
      <c r="I92" s="661">
        <f>Gen_form!AH728</f>
        <v>0</v>
      </c>
      <c r="J92" s="661">
        <f>Gen_form!AI728</f>
        <v>0</v>
      </c>
      <c r="K92" s="661">
        <f>Gen_form!AJ728</f>
        <v>0</v>
      </c>
      <c r="L92" s="661">
        <f>Gen_form!AK728</f>
        <v>0</v>
      </c>
      <c r="M92" s="661">
        <f>Gen_form!AL728</f>
        <v>0</v>
      </c>
      <c r="N92" s="661">
        <f>Gen_form!AM728</f>
        <v>0</v>
      </c>
      <c r="O92" s="661">
        <f>Gen_form!AN728</f>
        <v>0</v>
      </c>
      <c r="P92" s="661">
        <f>Gen_form!AO728</f>
        <v>0</v>
      </c>
      <c r="Q92" s="661">
        <f>Gen_form!AP728</f>
        <v>0</v>
      </c>
      <c r="R92" s="661">
        <f>Gen_form!AQ728</f>
        <v>0</v>
      </c>
      <c r="S92" s="661">
        <f>Gen_form!AR728</f>
        <v>0</v>
      </c>
      <c r="T92" s="661">
        <f>Gen_form!AS728</f>
        <v>0</v>
      </c>
      <c r="U92" s="661">
        <f>Gen_form!AT728</f>
        <v>0</v>
      </c>
      <c r="V92" s="661">
        <f>Gen_form!AU728</f>
        <v>0</v>
      </c>
      <c r="W92" s="661">
        <f>Gen_form!AV728</f>
        <v>0</v>
      </c>
      <c r="X92" s="661">
        <f>Gen_form!AW728</f>
        <v>0</v>
      </c>
      <c r="Y92" s="661">
        <f>Gen_form!AX728</f>
        <v>0</v>
      </c>
      <c r="Z92" s="661">
        <f>Gen_form!AY728</f>
        <v>0</v>
      </c>
      <c r="AA92" s="661">
        <f>Gen_form!AZ728</f>
        <v>0</v>
      </c>
      <c r="AB92" s="661">
        <f>Gen_form!BA728</f>
        <v>0</v>
      </c>
      <c r="AC92" s="661">
        <f>Gen_form!BB728</f>
        <v>0</v>
      </c>
    </row>
    <row r="93" spans="1:29">
      <c r="B93" s="661">
        <f>Gen_form!AA729</f>
        <v>0</v>
      </c>
      <c r="C93" s="661">
        <f>Gen_form!AB729</f>
        <v>0</v>
      </c>
      <c r="D93" s="661">
        <f>Gen_form!AC729</f>
        <v>0</v>
      </c>
      <c r="E93" s="661">
        <f>Gen_form!AD729</f>
        <v>0</v>
      </c>
      <c r="F93" s="661">
        <f>Gen_form!AE729</f>
        <v>0</v>
      </c>
      <c r="G93" s="661">
        <f>Gen_form!AF729</f>
        <v>0</v>
      </c>
      <c r="H93" s="661">
        <f>Gen_form!AG729</f>
        <v>0</v>
      </c>
      <c r="I93" s="661">
        <f>Gen_form!AH729</f>
        <v>0</v>
      </c>
      <c r="J93" s="661">
        <f>Gen_form!AI729</f>
        <v>0</v>
      </c>
      <c r="K93" s="661">
        <f>Gen_form!AJ729</f>
        <v>0</v>
      </c>
      <c r="L93" s="661">
        <f>Gen_form!AK729</f>
        <v>0</v>
      </c>
      <c r="M93" s="661">
        <f>Gen_form!AL729</f>
        <v>0</v>
      </c>
      <c r="N93" s="661">
        <f>Gen_form!AM729</f>
        <v>0</v>
      </c>
      <c r="O93" s="661">
        <f>Gen_form!AN729</f>
        <v>0</v>
      </c>
      <c r="P93" s="661">
        <f>Gen_form!AO729</f>
        <v>0</v>
      </c>
      <c r="Q93" s="661">
        <f>Gen_form!AP729</f>
        <v>0</v>
      </c>
      <c r="R93" s="661">
        <f>Gen_form!AQ729</f>
        <v>0</v>
      </c>
      <c r="S93" s="661">
        <f>Gen_form!AR729</f>
        <v>0</v>
      </c>
      <c r="T93" s="661">
        <f>Gen_form!AS729</f>
        <v>0</v>
      </c>
      <c r="U93" s="661">
        <f>Gen_form!AT729</f>
        <v>0</v>
      </c>
      <c r="V93" s="661">
        <f>Gen_form!AU729</f>
        <v>0</v>
      </c>
      <c r="W93" s="661">
        <f>Gen_form!AV729</f>
        <v>0</v>
      </c>
      <c r="X93" s="661">
        <f>Gen_form!AW729</f>
        <v>0</v>
      </c>
      <c r="Y93" s="661">
        <f>Gen_form!AX729</f>
        <v>0</v>
      </c>
      <c r="Z93" s="661">
        <f>Gen_form!AY729</f>
        <v>0</v>
      </c>
      <c r="AA93" s="661">
        <f>Gen_form!AZ729</f>
        <v>0</v>
      </c>
      <c r="AB93" s="661">
        <f>Gen_form!BA729</f>
        <v>0</v>
      </c>
      <c r="AC93" s="661">
        <f>Gen_form!BB729</f>
        <v>0</v>
      </c>
    </row>
    <row r="94" spans="1:29">
      <c r="A94" t="s">
        <v>181</v>
      </c>
      <c r="B94" s="661">
        <f>Gen_form!Y969</f>
        <v>0</v>
      </c>
      <c r="C94" s="661">
        <f>Gen_form!Z969</f>
        <v>0</v>
      </c>
    </row>
    <row r="95" spans="1:29">
      <c r="B95" s="661">
        <f>Gen_form!Y970</f>
        <v>0</v>
      </c>
      <c r="C95" s="661">
        <f>Gen_form!Z970</f>
        <v>0</v>
      </c>
    </row>
    <row r="96" spans="1:29">
      <c r="B96" s="661">
        <f>Gen_form!Y971</f>
        <v>0</v>
      </c>
      <c r="C96" s="661">
        <f>Gen_form!Z971</f>
        <v>0</v>
      </c>
    </row>
    <row r="97" spans="2:3">
      <c r="B97" s="661">
        <f>Gen_form!Y972</f>
        <v>0</v>
      </c>
      <c r="C97" s="661">
        <f>Gen_form!Z972</f>
        <v>0</v>
      </c>
    </row>
    <row r="98" spans="2:3">
      <c r="B98" s="661">
        <f>Gen_form!Y973</f>
        <v>0</v>
      </c>
      <c r="C98" s="661">
        <f>Gen_form!Z973</f>
        <v>0</v>
      </c>
    </row>
    <row r="99" spans="2:3">
      <c r="B99" s="661">
        <f>Gen_form!Y974</f>
        <v>0</v>
      </c>
      <c r="C99" s="661">
        <f>Gen_form!Z974</f>
        <v>0</v>
      </c>
    </row>
    <row r="100" spans="2:3">
      <c r="B100" s="661">
        <f>Gen_form!Y975</f>
        <v>0</v>
      </c>
      <c r="C100" s="661">
        <f>Gen_form!Z975</f>
        <v>0</v>
      </c>
    </row>
    <row r="101" spans="2:3">
      <c r="B101" s="661">
        <f>Gen_form!Y976</f>
        <v>0</v>
      </c>
      <c r="C101" s="661">
        <f>Gen_form!Z976</f>
        <v>0</v>
      </c>
    </row>
    <row r="102" spans="2:3">
      <c r="B102" s="661">
        <f>Gen_form!Y977</f>
        <v>0</v>
      </c>
      <c r="C102" s="661">
        <f>Gen_form!Z977</f>
        <v>0</v>
      </c>
    </row>
    <row r="103" spans="2:3">
      <c r="B103" s="661">
        <f>Gen_form!Y978</f>
        <v>0</v>
      </c>
      <c r="C103" s="661">
        <f>Gen_form!Z978</f>
        <v>0</v>
      </c>
    </row>
  </sheetData>
  <customSheetViews>
    <customSheetView guid="{E3496B94-97EB-4AAE-9FD7-F66109A2B11F}">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67</vt:i4>
      </vt:variant>
    </vt:vector>
  </HeadingPairs>
  <TitlesOfParts>
    <vt:vector size="71" baseType="lpstr">
      <vt:lpstr>Gen_form</vt:lpstr>
      <vt:lpstr>Tables</vt:lpstr>
      <vt:lpstr>Sheet1</vt:lpstr>
      <vt:lpstr>DataPage</vt:lpstr>
      <vt:lpstr>_RCTL</vt:lpstr>
      <vt:lpstr>ALUM</vt:lpstr>
      <vt:lpstr>ALUM_0</vt:lpstr>
      <vt:lpstr>ALUM_1</vt:lpstr>
      <vt:lpstr>ALUM_2</vt:lpstr>
      <vt:lpstr>ALUM_3</vt:lpstr>
      <vt:lpstr>ALUM_4</vt:lpstr>
      <vt:lpstr>ALUM_5</vt:lpstr>
      <vt:lpstr>ALUMHIGH</vt:lpstr>
      <vt:lpstr>ALUMLOW</vt:lpstr>
      <vt:lpstr>avgkvp</vt:lpstr>
      <vt:lpstr>BeamLim</vt:lpstr>
      <vt:lpstr>BLD</vt:lpstr>
      <vt:lpstr>COMPG2</vt:lpstr>
      <vt:lpstr>COMPG3</vt:lpstr>
      <vt:lpstr>COMPG4</vt:lpstr>
      <vt:lpstr>DATA1</vt:lpstr>
      <vt:lpstr>DATA2</vt:lpstr>
      <vt:lpstr>DHALF</vt:lpstr>
      <vt:lpstr>EXP</vt:lpstr>
      <vt:lpstr>EXP_0</vt:lpstr>
      <vt:lpstr>EXP_1</vt:lpstr>
      <vt:lpstr>EXP_2</vt:lpstr>
      <vt:lpstr>EXP_3</vt:lpstr>
      <vt:lpstr>EXP_4</vt:lpstr>
      <vt:lpstr>EXP_5</vt:lpstr>
      <vt:lpstr>EXPHIGH</vt:lpstr>
      <vt:lpstr>EXPLOW</vt:lpstr>
      <vt:lpstr>FIRST</vt:lpstr>
      <vt:lpstr>FS_KV</vt:lpstr>
      <vt:lpstr>GENDATA</vt:lpstr>
      <vt:lpstr>GenReturn</vt:lpstr>
      <vt:lpstr>HALFVAL</vt:lpstr>
      <vt:lpstr>HVL</vt:lpstr>
      <vt:lpstr>KAP_AK</vt:lpstr>
      <vt:lpstr>LAST</vt:lpstr>
      <vt:lpstr>LASTYEAR</vt:lpstr>
      <vt:lpstr>LFMAS</vt:lpstr>
      <vt:lpstr>LFSDD</vt:lpstr>
      <vt:lpstr>LIN</vt:lpstr>
      <vt:lpstr>LN_EXP</vt:lpstr>
      <vt:lpstr>Gen_form!MASM</vt:lpstr>
      <vt:lpstr>Gen_form!MASP</vt:lpstr>
      <vt:lpstr>MAXAVG</vt:lpstr>
      <vt:lpstr>Meter_OD</vt:lpstr>
      <vt:lpstr>Gen_form!METM</vt:lpstr>
      <vt:lpstr>Gen_form!METP</vt:lpstr>
      <vt:lpstr>Gen_form!Print_Area</vt:lpstr>
      <vt:lpstr>PT_DEN</vt:lpstr>
      <vt:lpstr>PT_TB</vt:lpstr>
      <vt:lpstr>PT_TB_CR</vt:lpstr>
      <vt:lpstr>PT_WB</vt:lpstr>
      <vt:lpstr>PT_WB_CR</vt:lpstr>
      <vt:lpstr>Gen_form!Query_from_Compliance_Reports</vt:lpstr>
      <vt:lpstr>RadSafe</vt:lpstr>
      <vt:lpstr>REPRO</vt:lpstr>
      <vt:lpstr>SFMAS</vt:lpstr>
      <vt:lpstr>SFSDD</vt:lpstr>
      <vt:lpstr>startend</vt:lpstr>
      <vt:lpstr>TB</vt:lpstr>
      <vt:lpstr>TBCM_IN</vt:lpstr>
      <vt:lpstr>THISYEAR</vt:lpstr>
      <vt:lpstr>TIM</vt:lpstr>
      <vt:lpstr>Time_mAs</vt:lpstr>
      <vt:lpstr>TimeCorr</vt:lpstr>
      <vt:lpstr>WB</vt:lpstr>
      <vt:lpstr>WBCM_IN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Radiological Physics</dc:creator>
  <cp:lastModifiedBy>Mah, Eugene</cp:lastModifiedBy>
  <cp:lastPrinted>2018-08-17T17:47:18Z</cp:lastPrinted>
  <dcterms:created xsi:type="dcterms:W3CDTF">1999-01-06T22:11:36Z</dcterms:created>
  <dcterms:modified xsi:type="dcterms:W3CDTF">2026-05-26T13:28:38Z</dcterms:modified>
</cp:coreProperties>
</file>