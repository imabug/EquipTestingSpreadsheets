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E9C19225-81FA-45E9-ABB6-0E519F38CCAB}"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1206" i="1" l="1"/>
  <c r="Q1205" i="1"/>
  <c r="Q1204" i="1"/>
  <c r="Q1203" i="1"/>
  <c r="P1206" i="1"/>
  <c r="O1206" i="1"/>
  <c r="P1205" i="1"/>
  <c r="O1205" i="1"/>
  <c r="E1203" i="1" s="1"/>
  <c r="P1204" i="1"/>
  <c r="O1204" i="1"/>
  <c r="F1204" i="1"/>
  <c r="E1204" i="1"/>
  <c r="D1204" i="1"/>
  <c r="F1203" i="1"/>
  <c r="D1203" i="1"/>
  <c r="F1202" i="1"/>
  <c r="E1202" i="1"/>
  <c r="D1202" i="1"/>
  <c r="F1201" i="1"/>
  <c r="E1201" i="1"/>
  <c r="D1201" i="1"/>
  <c r="C1201" i="1"/>
  <c r="P1203"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2" i="1" l="1"/>
  <c r="G1203" i="1"/>
  <c r="G1204" i="1"/>
  <c r="Q1207" i="1"/>
  <c r="Q1208" i="1"/>
  <c r="Q1209" i="1"/>
  <c r="Q1210" i="1"/>
  <c r="G1201" i="1"/>
  <c r="E1200"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D1210" i="1" l="1"/>
  <c r="C1202" i="1"/>
  <c r="C1203" i="1"/>
  <c r="C1204" i="1"/>
  <c r="C1205" i="1"/>
  <c r="D1205" i="1"/>
  <c r="C1206" i="1"/>
  <c r="D1206" i="1"/>
  <c r="C1207" i="1"/>
  <c r="D1207" i="1"/>
  <c r="C1208" i="1"/>
  <c r="D1208" i="1"/>
  <c r="C1200" i="1"/>
  <c r="M1198" i="1"/>
  <c r="F1206" i="1"/>
  <c r="F1205" i="1"/>
  <c r="E1207" i="1"/>
  <c r="E1208" i="1"/>
  <c r="G1208" i="1" l="1"/>
  <c r="E1206" i="1"/>
  <c r="F1208" i="1"/>
  <c r="F1207" i="1"/>
  <c r="G1205" i="1"/>
  <c r="G1207" i="1"/>
  <c r="E1205"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6" i="1" l="1"/>
  <c r="G1209" i="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T640" i="1"/>
  <c r="W640" i="1" s="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G638" i="1" l="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S955" i="1" a="1"/>
  <c r="S955" i="1" s="1"/>
  <c r="F948" i="1" s="1"/>
  <c r="O1401" i="1"/>
  <c r="O939" i="1"/>
  <c r="F947" i="1"/>
  <c r="E947" i="1"/>
  <c r="S950" i="1"/>
  <c r="AD480" i="1" s="1"/>
  <c r="AC480" i="1" s="1"/>
  <c r="I937" i="1"/>
  <c r="M976" i="1" s="1"/>
  <c r="E949" i="1"/>
  <c r="F937" i="1"/>
  <c r="E948" i="1"/>
  <c r="F949"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0"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<sst xmlns="http://schemas.openxmlformats.org/spreadsheetml/2006/main" count="6271" uniqueCount="1225">
  <si>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</si>
  <si>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</si>
  <si>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</si>
  <si>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</si>
  <si>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</si>
  <si>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</si>
  <si>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</si>
  <si>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</si>
  <si>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</si>
  <si>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</si>
  <si>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</si>
  <si>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</si>
  <si>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</si>
  <si>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</si>
  <si>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</si>
  <si>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</si>
  <si>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</si>
  <si>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</si>
  <si>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</si>
  <si>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</si>
  <si>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</si>
  <si>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</si>
  <si>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</si>
  <si>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</si>
  <si>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</si>
  <si>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</si>
  <si>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</si>
  <si>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</si>
  <si>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</si>
  <si>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</si>
  <si>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</si>
  <si>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</si>
  <si>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</si>
  <si>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</si>
  <si>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</si>
  <si>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</si>
  <si>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</si>
  <si>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</si>
  <si>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</si>
  <si>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</si>
  <si>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</si>
  <si>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</si>
  <si>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</si>
  <si>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</si>
  <si>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</si>
  <si>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</si>
  <si>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</si>
  <si>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</si>
  <si>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</si>
  <si>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</si>
  <si>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</si>
  <si>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</si>
  <si>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</si>
  <si>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</si>
  <si>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</si>
  <si>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</si>
  <si>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</si>
  <si>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</si>
  <si>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</si>
  <si>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</si>
  <si>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</si>
  <si>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</si>
  <si>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</si>
  <si>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</si>
  <si>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</si>
  <si>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</si>
  <si>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</si>
  <si>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</si>
  <si>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</si>
  <si>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</si>
  <si>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</si>
  <si>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</si>
  <si>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</si>
  <si>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</si>
  <si>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</si>
  <si>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</si>
  <si>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</si>
  <si>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</si>
  <si>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</si>
  <si>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</si>
  <si>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</si>
  <si>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</si>
  <si>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</si>
  <si>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</si>
  <si>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</si>
  <si>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</si>
  <si>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</si>
  <si>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</si>
  <si>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</si>
  <si>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</si>
  <si>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</si>
  <si>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</si>
  <si>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</si>
  <si>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</si>
  <si>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</si>
  <si>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</si>
  <si>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</si>
  <si>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</si>
  <si>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</si>
  <si>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</si>
  <si>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</si>
  <si>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</si>
  <si>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</si>
  <si>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</si>
  <si>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</si>
  <si>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</si>
  <si>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</si>
  <si>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</si>
  <si>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</si>
  <si>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</si>
  <si>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</si>
  <si>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</si>
  <si>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</si>
  <si>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</si>
  <si>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</si>
  <si>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</si>
  <si>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</si>
  <si>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</si>
  <si>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</si>
  <si>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</si>
  <si>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</si>
  <si>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</si>
  <si>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</si>
  <si>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</si>
  <si>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</si>
  <si>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</si>
  <si>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</si>
  <si>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</si>
  <si>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</si>
  <si>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</si>
  <si>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</si>
  <si>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</si>
  <si>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</si>
  <si>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</si>
  <si>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</si>
  <si>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</si>
  <si>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</si>
  <si>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</si>
  <si>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</si>
  <si>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</si>
  <si>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</si>
  <si>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</si>
  <si>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</si>
  <si>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</si>
  <si>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</si>
  <si>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</si>
  <si>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</si>
  <si>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</si>
  <si>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</si>
  <si>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</si>
  <si>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</si>
  <si>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</si>
  <si>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</si>
  <si>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</si>
  <si>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</si>
  <si>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</si>
  <si>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</si>
  <si>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</si>
  <si>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</si>
  <si>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</si>
  <si>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</si>
  <si>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</si>
  <si>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</si>
  <si>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</si>
  <si>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</si>
  <si>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</si>
  <si>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</si>
  <si>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</si>
  <si>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</si>
  <si>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</si>
  <si>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</si>
  <si>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</si>
  <si>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</si>
  <si>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</si>
  <si>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</si>
  <si>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</si>
  <si>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</si>
  <si>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</si>
  <si>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</si>
  <si>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</si>
  <si>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</si>
  <si>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</si>
  <si>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</si>
  <si>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</si>
  <si>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</si>
  <si>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</si>
  <si>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</si>
  <si>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</si>
  <si>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</si>
  <si>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</si>
  <si>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</si>
  <si>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</si>
  <si>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</si>
  <si>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</si>
  <si>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</si>
  <si>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</si>
  <si>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</si>
  <si>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</si>
  <si>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</si>
  <si>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</si>
  <si>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</si>
  <si>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</si>
  <si>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</si>
  <si>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</si>
  <si>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</si>
  <si>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</si>
  <si>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</si>
  <si>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</si>
  <si>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</si>
  <si>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</si>
  <si>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</si>
  <si>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</si>
  <si>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</si>
  <si>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</si>
  <si>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</si>
  <si>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</si>
  <si>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</si>
  <si>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</si>
  <si>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</si>
  <si>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</si>
  <si>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</si>
  <si>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</si>
  <si>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</si>
  <si>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</si>
  <si>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</si>
  <si>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</si>
  <si>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</si>
  <si>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</si>
  <si>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</si>
  <si>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</si>
  <si>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</si>
  <si>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</si>
  <si>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</si>
  <si>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</si>
  <si>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</si>
  <si>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</si>
  <si>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</si>
  <si>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</si>
  <si>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</si>
  <si>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</si>
  <si>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</si>
  <si>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</si>
  <si>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</si>
  <si>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</si>
  <si>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</si>
  <si>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</si>
  <si>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</si>
  <si>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</si>
  <si>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</si>
  <si>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</si>
  <si>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</si>
  <si>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</si>
  <si>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</si>
  <si>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</si>
  <si>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</si>
  <si>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</si>
  <si>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</si>
  <si>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</si>
  <si>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</si>
  <si>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</si>
  <si>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</si>
  <si>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</si>
  <si>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</si>
  <si>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</si>
  <si>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</si>
  <si>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</si>
  <si>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</si>
  <si>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</si>
  <si>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</si>
  <si>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</si>
  <si>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</si>
  <si>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</si>
  <si>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</si>
  <si>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</si>
  <si>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</si>
  <si>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</si>
  <si>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</si>
  <si>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</si>
  <si>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</si>
  <si>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</si>
  <si>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</si>
  <si>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</si>
  <si>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</si>
  <si>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</si>
  <si>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</si>
  <si>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</si>
  <si>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</si>
  <si>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</si>
  <si>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</si>
  <si>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</si>
  <si>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</si>
  <si>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</si>
  <si>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</si>
  <si>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</si>
  <si>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</si>
  <si>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</si>
  <si>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</si>
  <si>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</si>
  <si>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</si>
  <si>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</si>
  <si>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</si>
  <si>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</si>
  <si>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</si>
  <si>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</si>
  <si>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</si>
  <si>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</si>
  <si>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</si>
  <si>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</si>
  <si>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</si>
  <si>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</si>
  <si>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</si>
  <si>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</si>
  <si>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</si>
  <si>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</si>
  <si>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</si>
  <si>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</si>
  <si>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</si>
  <si>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</si>
  <si>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</si>
  <si>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</si>
  <si>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</si>
  <si>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</si>
  <si>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</si>
  <si>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</si>
  <si>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</si>
  <si>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</si>
  <si>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</si>
  <si>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</si>
  <si>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</si>
  <si>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</si>
  <si>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</si>
  <si>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</si>
  <si>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</si>
  <si>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</si>
  <si>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</si>
  <si>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</si>
  <si>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</si>
  <si>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</si>
  <si>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</si>
  <si>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</si>
  <si>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</si>
  <si>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</si>
  <si>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</si>
  <si>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</si>
  <si>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</si>
  <si>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</si>
  <si>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</si>
  <si>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</si>
  <si>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</si>
  <si>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</si>
  <si>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</si>
  <si>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</si>
  <si>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</si>
  <si>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</si>
  <si>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</si>
  <si>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</si>
  <si>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</si>
  <si>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</si>
  <si>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</si>
  <si>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</si>
  <si>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</si>
  <si>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</si>
  <si>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</si>
  <si>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</si>
  <si>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</si>
  <si>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</si>
  <si>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</si>
  <si>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</si>
  <si>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</si>
  <si>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</si>
  <si>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</si>
  <si>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</si>
  <si>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</si>
  <si>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</si>
  <si>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</si>
  <si>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</si>
  <si>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</si>
  <si>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</si>
  <si>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</si>
  <si>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</si>
  <si>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</si>
  <si>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</si>
  <si>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</si>
  <si>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</si>
  <si>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</si>
  <si>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</si>
  <si>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</si>
  <si>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</si>
  <si>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</si>
  <si>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</si>
  <si>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</si>
  <si>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</si>
  <si>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</si>
  <si>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</si>
  <si>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</si>
  <si>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</si>
  <si>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</si>
  <si>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</si>
  <si>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</si>
  <si>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</si>
  <si>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</si>
  <si>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</si>
  <si>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</si>
  <si>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</si>
  <si>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</si>
  <si>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</si>
  <si>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</si>
  <si>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</si>
  <si>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</si>
  <si>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</si>
  <si>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</si>
  <si>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</si>
  <si>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</si>
  <si>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</si>
  <si>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</si>
  <si>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</si>
  <si>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</si>
  <si>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</si>
  <si>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</si>
  <si>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</si>
  <si>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</si>
  <si>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</si>
  <si>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</si>
  <si>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</si>
  <si>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</si>
  <si>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</si>
  <si>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</si>
  <si>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</si>
  <si>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</si>
  <si>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</si>
  <si>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</si>
  <si>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</si>
  <si>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</si>
  <si>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</si>
  <si>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</si>
  <si>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</si>
  <si>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</si>
  <si>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</si>
  <si>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</si>
  <si>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</si>
  <si>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</si>
  <si>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</si>
  <si>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</si>
  <si>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</si>
  <si>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</si>
  <si>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</si>
  <si>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</si>
  <si>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</si>
  <si>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</si>
  <si>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</si>
  <si>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</si>
  <si>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</si>
  <si>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</si>
  <si>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</si>
  <si>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</si>
  <si>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</si>
  <si>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</si>
  <si>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</si>
  <si>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</si>
  <si>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</si>
  <si>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</si>
  <si>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</si>
  <si>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</si>
  <si>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</si>
  <si>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</si>
  <si>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</si>
  <si>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</si>
  <si>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</si>
  <si>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</si>
  <si>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</si>
  <si>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</si>
  <si>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</si>
  <si>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</si>
  <si>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</si>
  <si>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</si>
  <si>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</si>
  <si>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</si>
  <si>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</si>
  <si>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</si>
  <si>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</si>
  <si>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</si>
  <si>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</si>
  <si>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</si>
  <si>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</si>
  <si>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</si>
  <si>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</si>
  <si>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</si>
  <si>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</si>
  <si>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</si>
  <si>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</si>
  <si>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</si>
  <si>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</si>
  <si>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</si>
  <si>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</si>
  <si>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</si>
  <si>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</si>
  <si>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</si>
  <si>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</si>
  <si>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</si>
  <si>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</si>
  <si>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</si>
  <si>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</si>
  <si>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</si>
  <si>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</si>
  <si>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</si>
  <si>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</si>
  <si>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</si>
  <si>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</si>
  <si>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</si>
  <si>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</si>
  <si>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</si>
  <si>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</si>
  <si>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</si>
  <si>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</si>
  <si>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</si>
  <si>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</si>
  <si>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</si>
  <si>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</si>
  <si>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</si>
  <si>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</si>
  <si>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</si>
  <si>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</si>
  <si>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</si>
  <si>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</si>
  <si>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</si>
  <si>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</si>
  <si>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</si>
  <si>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</si>
  <si>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</si>
  <si>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</si>
  <si>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</si>
  <si>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</si>
  <si>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</si>
  <si>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</si>
  <si>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</si>
  <si>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</si>
  <si>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</si>
  <si>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</si>
  <si>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</si>
  <si>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</si>
  <si>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</si>
  <si>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</si>
  <si>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</si>
  <si>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</si>
  <si>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</si>
  <si>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</si>
  <si>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</si>
  <si>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</si>
  <si>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</si>
  <si>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</si>
  <si>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</si>
  <si>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</si>
  <si>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</si>
  <si>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</si>
  <si>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</si>
  <si>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</si>
  <si>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</si>
  <si>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</si>
  <si>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</si>
  <si>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</si>
  <si>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</si>
  <si>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</si>
  <si>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</si>
  <si>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</si>
  <si>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</si>
  <si>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</si>
  <si>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</si>
  <si>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</si>
  <si>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</si>
  <si>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</si>
  <si>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</si>
  <si>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</si>
  <si>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</si>
  <si>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</si>
  <si>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</si>
  <si>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</si>
  <si>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</si>
  <si>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</si>
  <si>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</si>
  <si>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</si>
  <si>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</si>
  <si>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</si>
  <si>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</si>
  <si>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</si>
  <si>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</si>
  <si>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</si>
  <si>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</si>
  <si>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</si>
  <si>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</si>
  <si>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</si>
  <si>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</si>
  <si>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</si>
  <si>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</si>
  <si>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</si>
  <si>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</si>
  <si>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</si>
  <si>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</si>
  <si>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</si>
  <si>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</si>
  <si>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</si>
  <si>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</si>
  <si>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</si>
  <si>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</si>
  <si>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</si>
  <si>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</si>
  <si>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</si>
  <si>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</si>
  <si>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</si>
  <si>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</si>
  <si>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</si>
  <si>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</si>
  <si>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</si>
  <si>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</si>
  <si>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</si>
  <si>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</si>
  <si>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</si>
  <si>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</si>
  <si>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</si>
  <si>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</si>
  <si>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</si>
  <si>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</si>
  <si>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</si>
  <si>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</si>
  <si>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</si>
  <si>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</si>
  <si>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</si>
  <si>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</si>
  <si>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</si>
  <si>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</si>
  <si>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</si>
  <si>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</si>
  <si>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</si>
  <si>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</si>
  <si>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</si>
  <si>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</si>
  <si>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</si>
  <si>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</si>
  <si>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</si>
  <si>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</si>
  <si>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</si>
  <si>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</si>
  <si>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</si>
  <si>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</si>
  <si>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</si>
  <si>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</si>
  <si>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</si>
  <si>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</si>
  <si>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</si>
  <si>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</si>
  <si>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</si>
  <si>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</si>
  <si>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</si>
  <si>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</si>
  <si>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</si>
  <si>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</si>
  <si>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</si>
  <si>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</si>
  <si>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</si>
  <si>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</si>
  <si>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</si>
  <si>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</si>
  <si>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</si>
  <si>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</si>
  <si>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</si>
  <si>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</si>
  <si>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</si>
  <si>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</si>
  <si>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</si>
  <si>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</si>
  <si>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</si>
  <si>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</si>
  <si>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</si>
  <si>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</si>
  <si>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</si>
  <si>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</si>
  <si>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</si>
  <si>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</si>
  <si>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</si>
  <si>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</si>
  <si>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</si>
  <si>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</si>
  <si>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</si>
  <si>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</si>
  <si>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</si>
  <si>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</si>
  <si>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</si>
  <si>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</si>
  <si>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</si>
  <si>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</si>
  <si>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</si>
  <si>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</si>
  <si>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</si>
  <si>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</si>
  <si>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</si>
  <si>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</si>
  <si>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</si>
  <si>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</si>
  <si>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</si>
  <si>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</si>
  <si>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</si>
  <si>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</si>
  <si>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</si>
  <si>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</si>
  <si>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</si>
  <si>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</si>
  <si>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</si>
  <si>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</si>
  <si>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</si>
  <si>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</si>
  <si>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</si>
  <si>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</si>
  <si>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</si>
  <si>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</si>
  <si>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</si>
  <si>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</si>
  <si>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</si>
  <si>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</si>
  <si>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</si>
  <si>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</si>
  <si>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</si>
  <si>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</si>
  <si>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</si>
  <si>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</si>
  <si>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</si>
  <si>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</si>
  <si>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</si>
  <si>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</si>
  <si>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</si>
  <si>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</si>
  <si>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</si>
  <si>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</si>
  <si>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</si>
  <si>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</si>
  <si>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</si>
  <si>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</si>
  <si>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</si>
  <si>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</si>
  <si>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</si>
  <si>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</si>
  <si>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</si>
  <si>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</si>
  <si>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</si>
  <si>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</si>
  <si>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</si>
  <si>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</si>
  <si>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</si>
  <si>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</si>
  <si>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</si>
  <si>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</si>
  <si>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</si>
  <si>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</si>
  <si>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</si>
  <si>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</si>
  <si>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</si>
  <si>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</si>
  <si>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</si>
  <si>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</si>
  <si>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</si>
  <si>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</si>
  <si>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</si>
  <si>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</si>
  <si>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</si>
  <si>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</si>
  <si>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</si>
  <si>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</si>
  <si>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</si>
  <si>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</si>
  <si>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</si>
  <si>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</si>
  <si>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</si>
  <si>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</si>
  <si>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</si>
  <si>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</si>
  <si>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</si>
  <si>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</si>
  <si>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</si>
  <si>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</si>
  <si>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</si>
  <si>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</si>
  <si>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</si>
  <si>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</si>
  <si>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</si>
  <si>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</si>
  <si>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</si>
  <si>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</si>
  <si>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</si>
  <si>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</si>
  <si>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</si>
  <si>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</si>
  <si>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</si>
  <si>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</si>
  <si>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</si>
  <si>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</si>
  <si>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</si>
  <si>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</si>
  <si>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</si>
  <si>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</si>
  <si>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</si>
  <si>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</si>
  <si>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</si>
  <si>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</si>
  <si>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</si>
  <si>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</si>
  <si>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</si>
  <si>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</si>
  <si>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</si>
  <si>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</si>
  <si>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</si>
  <si>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</si>
  <si>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</si>
  <si>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</si>
  <si>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</si>
  <si>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</si>
  <si>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</si>
  <si>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</si>
  <si>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</si>
  <si>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</si>
  <si>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</si>
  <si>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</si>
  <si>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</si>
  <si>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</si>
  <si>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</si>
  <si>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</si>
  <si>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</si>
  <si>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</si>
  <si>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</si>
  <si>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</si>
  <si>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</si>
  <si>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</si>
  <si>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</si>
  <si>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</si>
  <si>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</si>
  <si>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</si>
  <si>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</si>
  <si>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</si>
  <si>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</si>
  <si>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</si>
  <si>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</si>
  <si>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</si>
  <si>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</si>
  <si>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</si>
  <si>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</si>
  <si>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</si>
  <si>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</si>
  <si>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</si>
  <si>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</si>
  <si>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</si>
  <si>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</si>
  <si>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</si>
  <si>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</si>
  <si>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</si>
  <si>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</si>
  <si>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</si>
  <si>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</si>
  <si>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</si>
  <si>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</si>
  <si>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</si>
  <si>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</si>
  <si>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</si>
  <si>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</si>
  <si>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</si>
  <si>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</si>
  <si>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</si>
  <si>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</si>
  <si>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</si>
  <si>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</si>
  <si>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</si>
  <si>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</si>
  <si>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</si>
  <si>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</si>
  <si>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</si>
  <si>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</si>
  <si>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</si>
  <si>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</si>
  <si>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</si>
  <si>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</si>
  <si>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</si>
  <si>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</si>
  <si>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</si>
  <si>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</si>
  <si>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</si>
  <si>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</si>
  <si>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</si>
  <si>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</si>
  <si>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</si>
  <si>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</si>
  <si>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</si>
  <si>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</si>
  <si>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</si>
  <si>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</si>
  <si>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</si>
  <si>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</si>
  <si>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</si>
  <si>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</si>
  <si>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</si>
  <si>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</si>
  <si>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</si>
  <si>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</si>
  <si>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</si>
  <si>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</si>
  <si>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</si>
  <si>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</si>
  <si>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</si>
  <si>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</si>
  <si>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</si>
  <si>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</si>
  <si>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</si>
  <si>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</si>
  <si>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</si>
  <si>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</si>
  <si>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</si>
  <si>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</si>
  <si>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</si>
  <si>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</si>
  <si>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</si>
  <si>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</si>
  <si>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</si>
  <si>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</si>
  <si>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</si>
  <si>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</si>
  <si>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</si>
  <si>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</si>
  <si>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</si>
  <si>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</si>
  <si>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</si>
  <si>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</si>
  <si>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</si>
  <si>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</si>
  <si>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</si>
  <si>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</si>
  <si>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</si>
  <si>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</si>
  <si>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</si>
  <si>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</si>
  <si>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</si>
  <si>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</si>
  <si>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</si>
  <si>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</si>
  <si>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</si>
  <si>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</si>
  <si>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</si>
  <si>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</si>
  <si>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</si>
  <si>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</si>
  <si>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</si>
  <si>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</si>
  <si>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</si>
  <si>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</si>
  <si>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</si>
  <si>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</si>
  <si>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</si>
  <si>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</si>
  <si>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</si>
  <si>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</si>
  <si>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</si>
  <si>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</si>
  <si>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</si>
  <si>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</si>
  <si>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</si>
  <si>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</si>
  <si>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</si>
  <si>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</si>
  <si>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</si>
  <si>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</si>
  <si>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</si>
  <si>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</si>
  <si>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</si>
  <si>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</si>
  <si>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</si>
  <si>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</si>
  <si>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</si>
  <si>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</si>
  <si>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</si>
  <si>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</si>
  <si>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</si>
  <si>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</si>
  <si>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</si>
  <si>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</si>
  <si>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</si>
  <si>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</si>
  <si>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</si>
  <si>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</si>
  <si>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</si>
  <si>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</si>
  <si>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</si>
  <si>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</si>
  <si>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</si>
  <si>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</si>
  <si>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</si>
  <si>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</si>
  <si>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</si>
  <si>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</si>
  <si>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</si>
  <si>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</si>
  <si>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</si>
  <si>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</si>
  <si>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</si>
  <si>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</si>
  <si>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</si>
  <si>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</si>
  <si>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</si>
  <si>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</si>
  <si>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</si>
  <si>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</si>
  <si>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</si>
  <si>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</si>
  <si>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</si>
  <si>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</si>
  <si>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</si>
  <si>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</si>
  <si>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</si>
  <si>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</si>
  <si>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</si>
  <si>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</si>
  <si>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</si>
  <si>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</si>
  <si>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</si>
  <si>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</si>
  <si>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</si>
  <si>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</si>
  <si>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</si>
  <si>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</si>
  <si>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</si>
  <si>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</si>
  <si>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</si>
  <si>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</si>
  <si>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</si>
  <si>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</si>
  <si>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</si>
  <si>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</si>
  <si>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</si>
  <si>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</si>
  <si>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</si>
  <si>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</si>
  <si>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</si>
  <si>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</si>
  <si>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</si>
  <si>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</si>
  <si>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</si>
  <si>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</si>
  <si>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</si>
  <si>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</si>
  <si>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</si>
  <si>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</si>
  <si>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</si>
  <si>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</si>
  <si>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</si>
  <si>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</si>
  <si>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</si>
  <si>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</si>
  <si>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</si>
  <si>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</si>
  <si>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</si>
  <si>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</si>
  <si>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</si>
  <si>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</si>
  <si>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</si>
  <si>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</si>
  <si>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</si>
  <si>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</si>
  <si>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</si>
  <si>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</si>
  <si>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</si>
  <si>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</si>
  <si>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</si>
  <si>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</si>
  <si>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</si>
  <si>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</si>
  <si>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</si>
  <si>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</si>
  <si>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</si>
  <si>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</si>
  <si>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</si>
  <si>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</si>
  <si>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</si>
  <si>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</si>
  <si>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</si>
  <si>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</si>
  <si>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</si>
  <si>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</si>
  <si>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</si>
  <si>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</si>
  <si>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</si>
  <si>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</si>
  <si>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</si>
  <si>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</si>
  <si>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</si>
  <si>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</si>
  <si>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</si>
  <si>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</si>
  <si>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</si>
  <si>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</si>
  <si>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</si>
  <si>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</si>
  <si>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</si>
  <si>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</si>
  <si>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</si>
  <si>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</si>
  <si>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</si>
  <si>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</si>
  <si>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</si>
  <si>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</si>
  <si>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</si>
  <si>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</si>
  <si>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</si>
  <si>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</si>
  <si>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</si>
  <si>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</si>
  <si>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</si>
  <si>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</si>
  <si>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</si>
  <si>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</si>
  <si>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</si>
  <si>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</si>
  <si>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</si>
  <si>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</si>
  <si>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</si>
  <si>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</si>
  <si>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</si>
  <si>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</si>
  <si>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</si>
  <si>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</si>
  <si>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</si>
  <si>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</si>
  <si>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</si>
  <si>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</si>
  <si>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</si>
  <si>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</si>
  <si>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</si>
  <si>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</si>
  <si>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</si>
  <si>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</si>
  <si>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</si>
  <si>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</si>
  <si>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</si>
  <si>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</si>
  <si>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</si>
  <si>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</si>
  <si>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</si>
  <si>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</si>
  <si>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</si>
  <si>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</si>
  <si>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</si>
  <si>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</si>
  <si>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</si>
  <si>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</si>
  <si>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</si>
  <si>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</si>
  <si>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</si>
  <si>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</si>
  <si>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</si>
  <si>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</si>
  <si>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</si>
  <si>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</si>
  <si>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</si>
  <si>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</si>
  <si>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</si>
  <si>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</si>
  <si>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</si>
  <si>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</si>
  <si>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</si>
  <si>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</si>
  <si>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</si>
  <si>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</si>
  <si>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</si>
  <si>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</si>
  <si>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</si>
  <si>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</si>
  <si>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</si>
  <si>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</si>
  <si>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</si>
  <si>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</si>
  <si>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</si>
  <si>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</si>
  <si>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</si>
  <si>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</si>
  <si>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</si>
  <si>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</si>
  <si>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</si>
  <si>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</si>
  <si>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</si>
  <si>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</si>
  <si>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</si>
  <si>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</si>
  <si>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</si>
  <si>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</si>
  <si>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</si>
  <si>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</si>
  <si>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</si>
  <si>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</si>
  <si>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</si>
  <si>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</si>
  <si>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</si>
  <si>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</si>
  <si>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</si>
  <si>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</si>
  <si>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</si>
  <si>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</si>
  <si>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</si>
  <si>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</si>
  <si>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</si>
  <si>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</si>
  <si>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</si>
  <si>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</si>
  <si>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</si>
  <si>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</si>
  <si>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</si>
  <si>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</si>
  <si>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</si>
  <si>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</si>
  <si>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</si>
  <si>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</si>
  <si>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</si>
  <si>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</si>
  <si>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</si>
  <si>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</si>
  <si>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</si>
  <si>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</si>
  <si>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</si>
  <si>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</si>
  <si>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Revision 101.4-20251001  (Has 39 data records)</t>
  </si>
  <si>
    <t>RAD / DENTAL UNITS (SCDES CRITERIA)</t>
  </si>
  <si>
    <t>DAP Chamber</t>
  </si>
  <si>
    <t>Calibration date</t>
  </si>
  <si>
    <t>Calibration due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</si>
</sst>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0">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2" fontId="0" fillId="0" borderId="0" xfId="0">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9" fillId="0" borderId="0" xfId="0" applyFont="1" applyAlignment="1">
      <alignment vertical="center"/>
    </xf>
    <xf numFmtId="2" fontId="3" fillId="0" borderId="82" xfId="0" applyFont="1" applyBorder="1">
      <alignment horizontal="center" vertical="center"/>
    </xf>
    <xf numFmtId="2" fontId="3" fillId="0" borderId="50"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10" fontId="9" fillId="0" borderId="153" xfId="0" applyNumberFormat="1" applyFont="1" applyBorder="1">
      <alignment horizontal="center" vertical="center"/>
    </xf>
    <xf numFmtId="10" fontId="9" fillId="0" borderId="57" xfId="0" applyNumberFormat="1" applyFont="1" applyBorder="1">
      <alignment horizontal="center" vertical="center"/>
    </xf>
    <xf numFmtId="10" fontId="9" fillId="0" borderId="161" xfId="0" applyNumberFormat="1" applyFont="1" applyBorder="1">
      <alignment horizontal="center"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3" fillId="15" borderId="82" xfId="0" applyFont="1" applyFill="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3" fillId="0" borderId="25"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 fontId="23" fillId="8" borderId="159" xfId="0" applyNumberFormat="1" applyFont="1" applyFill="1" applyBorder="1" applyAlignment="1" applyProtection="1">
      <alignment vertical="center"/>
      <protection locked="0"/>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87">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432</v>
      </c>
      <c r="M1" s="1089" t="s">
        <v>1220</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84" t="s">
        <v>311</v>
      </c>
      <c r="V67" s="1285"/>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71" t="s">
        <v>1166</v>
      </c>
      <c r="Q124" s="1271"/>
      <c r="R124" s="1271" t="s">
        <v>1166</v>
      </c>
      <c r="S124" s="1271"/>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71" t="s">
        <v>45</v>
      </c>
      <c r="N126" s="1271"/>
      <c r="O126" s="49" t="s">
        <v>571</v>
      </c>
      <c r="P126" s="1271" t="s">
        <v>1170</v>
      </c>
      <c r="Q126" s="1271"/>
      <c r="R126" s="1271" t="s">
        <v>1080</v>
      </c>
      <c r="S126" s="1271"/>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56" t="s">
        <v>1153</v>
      </c>
      <c r="N127" s="1256"/>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56" t="s">
        <v>1154</v>
      </c>
      <c r="N128" s="1256"/>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56" t="s">
        <v>1155</v>
      </c>
      <c r="N129" s="1256"/>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56" t="s">
        <v>1156</v>
      </c>
      <c r="N130" s="1256"/>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56" t="s">
        <v>1157</v>
      </c>
      <c r="N131" s="1256"/>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56" t="s">
        <v>1158</v>
      </c>
      <c r="N132" s="1256"/>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56" t="s">
        <v>1159</v>
      </c>
      <c r="N133" s="1256"/>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56" t="s">
        <v>1160</v>
      </c>
      <c r="N134" s="1256"/>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56" t="s">
        <v>1161</v>
      </c>
      <c r="N135" s="1256"/>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56" t="s">
        <v>1162</v>
      </c>
      <c r="N136" s="1256"/>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56" t="s">
        <v>1163</v>
      </c>
      <c r="N137" s="1256"/>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76" t="str">
        <f>IF(U504="","",U504)</f>
        <v>TBD</v>
      </c>
      <c r="J504" s="1277"/>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86" t="str">
        <f>IF(OR(AB473=0,AB473=""),"",AB473)</f>
        <v/>
      </c>
      <c r="V509" s="1287"/>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90"/>
      <c r="P537" s="1291"/>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88"/>
      <c r="R547" s="1289"/>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92" t="s">
        <v>652</v>
      </c>
      <c r="V557" s="1292"/>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96" t="s">
        <v>648</v>
      </c>
      <c r="G573" s="1297"/>
      <c r="H573" s="1298"/>
      <c r="I573" s="1264" t="s">
        <v>652</v>
      </c>
      <c r="J573" s="1265"/>
      <c r="K573" s="1266"/>
      <c r="L573" s="676" t="s">
        <v>432</v>
      </c>
      <c r="M573" s="127"/>
      <c r="N573" s="243" t="str">
        <f>"Cassette/Film Size ("&amp;TBCM_IN&amp;")"</f>
        <v>Cassette/Film Size (cm)</v>
      </c>
      <c r="O573" s="173"/>
      <c r="P573" s="244" t="str">
        <f>"Measured* Radiation ("&amp;TBCM_IN&amp;")"</f>
        <v>Measured* Radiation (cm)</v>
      </c>
      <c r="Q573" s="173"/>
      <c r="R573" s="1270" t="s">
        <v>648</v>
      </c>
      <c r="S573" s="1271"/>
      <c r="T573" s="1272"/>
      <c r="U573" s="1261" t="s">
        <v>652</v>
      </c>
      <c r="V573" s="1262"/>
      <c r="W573" s="1263"/>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93" t="s">
        <v>633</v>
      </c>
      <c r="U607" s="1294"/>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68"/>
      <c r="R608" s="1269"/>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92" t="s">
        <v>652</v>
      </c>
      <c r="V619" s="1292"/>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70" t="s">
        <v>648</v>
      </c>
      <c r="S637" s="1271"/>
      <c r="T637" s="1272"/>
      <c r="U637" s="1261" t="s">
        <v>652</v>
      </c>
      <c r="V637" s="1262"/>
      <c r="W637" s="1263"/>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53" t="s">
        <v>1095</v>
      </c>
      <c r="AA657" s="1253"/>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73"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74"/>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73"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75"/>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74"/>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73"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74"/>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73"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75"/>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74"/>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1</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7"/>
      <c r="Q934" s="10">
        <f>$Q$695</f>
        <v>80</v>
      </c>
      <c r="R934" s="428">
        <f>IF(R694="","",R694)</f>
        <v>400</v>
      </c>
      <c r="S934" s="9">
        <f>IF(S694="","",S694)</f>
        <v>0.05</v>
      </c>
      <c r="T934" s="1249"/>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432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432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432</v>
      </c>
      <c r="M944" s="635"/>
      <c r="N944" s="359" t="str">
        <f>IF(M944="","",$N$934)</f>
        <v/>
      </c>
      <c r="O944" s="8" t="str">
        <f t="shared" si="129"/>
        <v/>
      </c>
      <c r="P944" s="1247"/>
      <c r="Q944" s="10" t="str">
        <f>IF(M944="","",Q943)</f>
        <v/>
      </c>
      <c r="R944" s="428" t="str">
        <f>IF(M944="","",R943)</f>
        <v/>
      </c>
      <c r="S944" s="9" t="str">
        <f>IF(M944="","",S943)</f>
        <v/>
      </c>
      <c r="T944" s="1251"/>
      <c r="U944" s="636"/>
      <c r="V944" s="637"/>
      <c r="W944" s="638"/>
      <c r="X944" s="664" t="s">
        <v>432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432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432</v>
      </c>
    </row>
    <row r="946" spans="1:34" ht="11.25" customHeight="1">
      <c r="A946" s="611">
        <v>22</v>
      </c>
      <c r="B946" s="127"/>
      <c r="C946" s="405"/>
      <c r="D946" s="406" t="s">
        <v>206</v>
      </c>
      <c r="E946" s="406"/>
      <c r="F946" s="407"/>
      <c r="G946" s="322">
        <f t="shared" si="130"/>
        <v>80</v>
      </c>
      <c r="H946" s="351">
        <f t="shared" si="130"/>
        <v>2.9</v>
      </c>
      <c r="I946" s="317">
        <f t="shared" si="130"/>
        <v>2.9</v>
      </c>
      <c r="J946" s="416">
        <f t="shared" si="130"/>
        <v>3.3</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1221</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SC DES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54" si="131">IF($M$927=1,AE957,Z953)</f>
        <v>60</v>
      </c>
      <c r="U953" s="351">
        <f t="shared" si="131"/>
        <v>1.5</v>
      </c>
      <c r="V953" s="317">
        <f t="shared" si="131"/>
        <v>1.5</v>
      </c>
      <c r="W953" s="323">
        <f t="shared" si="131"/>
        <v>1.9</v>
      </c>
      <c r="X953" s="664" t="s">
        <v>432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432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432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432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432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432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432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432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432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432</v>
      </c>
      <c r="X961" s="664" t="s">
        <v>432</v>
      </c>
      <c r="AE961" s="566">
        <v>90</v>
      </c>
      <c r="AF961" s="567">
        <v>3.2</v>
      </c>
      <c r="AG961" s="567">
        <v>3.2</v>
      </c>
      <c r="AH961" s="568">
        <f t="shared" ref="AH961:AH967" si="139">AG961+0.4</f>
        <v>3.6</v>
      </c>
    </row>
    <row r="962" spans="1:34" ht="11.25" customHeight="1">
      <c r="A962" s="611">
        <v>38</v>
      </c>
      <c r="L962" s="676" t="s">
        <v>432</v>
      </c>
      <c r="R962" s="712" t="s">
        <v>397</v>
      </c>
      <c r="S962" s="713" t="str">
        <f>IF(OR(AB480=0,AB480=""),"",AB480)</f>
        <v/>
      </c>
      <c r="X962" s="664" t="s">
        <v>432</v>
      </c>
      <c r="AE962" s="566">
        <v>100</v>
      </c>
      <c r="AF962" s="567">
        <v>3.6</v>
      </c>
      <c r="AG962" s="567">
        <v>3.6</v>
      </c>
      <c r="AH962" s="568">
        <f t="shared" si="139"/>
        <v>4</v>
      </c>
    </row>
    <row r="963" spans="1:34" ht="11.25" customHeight="1">
      <c r="A963" s="611">
        <v>39</v>
      </c>
      <c r="L963" s="676" t="s">
        <v>432</v>
      </c>
      <c r="S963" s="727" t="str">
        <f>IF(OR(AB481=0,AB481=""),"",AB481)</f>
        <v/>
      </c>
      <c r="X963" s="664" t="s">
        <v>432</v>
      </c>
      <c r="AE963" s="566">
        <v>110</v>
      </c>
      <c r="AF963" s="567">
        <v>3.9</v>
      </c>
      <c r="AG963" s="567">
        <v>3.9</v>
      </c>
      <c r="AH963" s="568">
        <f t="shared" si="139"/>
        <v>4.3</v>
      </c>
    </row>
    <row r="964" spans="1:34" ht="11.25" customHeight="1">
      <c r="A964" s="611">
        <v>40</v>
      </c>
      <c r="L964" s="676" t="s">
        <v>432</v>
      </c>
      <c r="X964" s="664" t="s">
        <v>432</v>
      </c>
      <c r="AE964" s="566">
        <v>120</v>
      </c>
      <c r="AF964" s="572">
        <f>TREND(AF960:AF963,AE960:AE963,AE964)</f>
        <v>4.25</v>
      </c>
      <c r="AG964" s="567">
        <v>4.25</v>
      </c>
      <c r="AH964" s="568">
        <f t="shared" si="139"/>
        <v>4.6500000000000004</v>
      </c>
    </row>
    <row r="965" spans="1:34" ht="11.25" customHeight="1">
      <c r="A965" s="611">
        <v>41</v>
      </c>
      <c r="L965" s="676" t="s">
        <v>432</v>
      </c>
      <c r="X965" s="664" t="s">
        <v>432</v>
      </c>
      <c r="AE965" s="566">
        <v>130</v>
      </c>
      <c r="AF965" s="567">
        <v>4.7</v>
      </c>
      <c r="AG965" s="567">
        <v>4.7</v>
      </c>
      <c r="AH965" s="568">
        <f t="shared" si="139"/>
        <v>5.1000000000000005</v>
      </c>
    </row>
    <row r="966" spans="1:34" ht="11.25" customHeight="1">
      <c r="A966" s="611">
        <v>42</v>
      </c>
      <c r="L966" s="676" t="s">
        <v>432</v>
      </c>
      <c r="X966" s="664" t="s">
        <v>432</v>
      </c>
      <c r="AE966" s="566">
        <v>140</v>
      </c>
      <c r="AF966" s="572">
        <f>TREND(AF962:AF965,AE962:AE965,AE966)</f>
        <v>5.0249999999999995</v>
      </c>
      <c r="AG966" s="567">
        <v>5.0249999999999995</v>
      </c>
      <c r="AH966" s="568">
        <f t="shared" si="139"/>
        <v>5.4249999999999998</v>
      </c>
    </row>
    <row r="967" spans="1:34" ht="11.25" customHeight="1">
      <c r="A967" s="611">
        <v>43</v>
      </c>
      <c r="L967" s="676" t="s">
        <v>432</v>
      </c>
      <c r="X967" s="664" t="s">
        <v>432</v>
      </c>
      <c r="AE967" s="566">
        <v>150</v>
      </c>
      <c r="AF967" s="567">
        <v>5.4</v>
      </c>
      <c r="AG967" s="567">
        <v>5.4</v>
      </c>
      <c r="AH967" s="568">
        <f t="shared" si="139"/>
        <v>5.8000000000000007</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67" t="str">
        <f>ROUND(I937,1)&amp;" kV"</f>
        <v>80 kV</v>
      </c>
      <c r="N976" s="1267"/>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40">IF(HVL="TBD","TBD",IF(M979="",NA(),INDEX($N$951:$N$957,MATCH(M979,$M$951:$M$957,0))))</f>
        <v>#DIV/0!</v>
      </c>
      <c r="X979" s="664" t="s">
        <v>432</v>
      </c>
    </row>
    <row r="980" spans="1:26" ht="11.25" customHeight="1">
      <c r="A980" s="611">
        <v>56</v>
      </c>
      <c r="L980" s="676" t="s">
        <v>432</v>
      </c>
      <c r="M980" s="883" t="e">
        <f>IF(HVL="TBD","TBD",SMALL($M$951:$M$957,4))</f>
        <v>#DIV/0!</v>
      </c>
      <c r="N980" s="882" t="e">
        <f t="shared" si="140"/>
        <v>#DIV/0!</v>
      </c>
      <c r="X980" s="664" t="s">
        <v>432</v>
      </c>
    </row>
    <row r="981" spans="1:26" ht="11.25" customHeight="1">
      <c r="A981" s="611">
        <v>57</v>
      </c>
      <c r="L981" s="676" t="s">
        <v>432</v>
      </c>
      <c r="M981" s="883" t="e">
        <f>IF(HVL="TBD","TBD",IF(ALUM_3="",NA(),SMALL($M$951:$M$957,5)))</f>
        <v>#DIV/0!</v>
      </c>
      <c r="N981" s="882" t="e">
        <f t="shared" si="140"/>
        <v>#DIV/0!</v>
      </c>
      <c r="X981" s="664" t="s">
        <v>432</v>
      </c>
    </row>
    <row r="982" spans="1:26" ht="11.25" customHeight="1">
      <c r="A982" s="611">
        <v>58</v>
      </c>
      <c r="L982" s="676" t="s">
        <v>432</v>
      </c>
      <c r="M982" s="883" t="e">
        <f>IF(HVL="TBD","TBD",IF(ALUM_4="",NA(),SMALL($M$951:$M$957,6)))</f>
        <v>#DIV/0!</v>
      </c>
      <c r="N982" s="882" t="e">
        <f t="shared" si="140"/>
        <v>#DIV/0!</v>
      </c>
      <c r="X982" s="664" t="s">
        <v>432</v>
      </c>
    </row>
    <row r="983" spans="1:26" ht="11.25" customHeight="1" thickBot="1">
      <c r="A983" s="611">
        <v>59</v>
      </c>
      <c r="L983" s="676" t="s">
        <v>432</v>
      </c>
      <c r="M983" s="884" t="e">
        <f>IF(HVL="TBD","TBD",IF(ALUM_5="",NA(),SMALL($M$951:$M$957,7)))</f>
        <v>#DIV/0!</v>
      </c>
      <c r="N983" s="885" t="e">
        <f t="shared" si="140"/>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42"/>
        <v>2</v>
      </c>
      <c r="F1005" s="334" t="str">
        <f>IF(Q1005="","",Q1005)</f>
        <v/>
      </c>
      <c r="G1005" s="331" t="str">
        <f t="shared" si="141"/>
        <v/>
      </c>
      <c r="H1005" s="335" t="str">
        <f t="shared" si="141"/>
        <v/>
      </c>
      <c r="I1005" s="28" t="str">
        <f t="shared" si="141"/>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42"/>
        <v>1</v>
      </c>
      <c r="F1006" s="334" t="str">
        <f t="shared" si="141"/>
        <v/>
      </c>
      <c r="G1006" s="331" t="str">
        <f t="shared" si="141"/>
        <v/>
      </c>
      <c r="H1006" s="335" t="str">
        <f t="shared" si="141"/>
        <v/>
      </c>
      <c r="I1006" s="28" t="str">
        <f t="shared" si="141"/>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79" t="s">
        <v>652</v>
      </c>
      <c r="W1012" s="1280"/>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44">IF(O1078="","",O1078)</f>
        <v/>
      </c>
      <c r="D1078" s="291" t="str">
        <f t="shared" si="144"/>
        <v/>
      </c>
      <c r="E1078" s="46" t="str">
        <f t="shared" si="144"/>
        <v/>
      </c>
      <c r="F1078" s="291" t="str">
        <f t="shared" si="144"/>
        <v/>
      </c>
      <c r="G1078" s="46" t="str">
        <f t="shared" si="144"/>
        <v/>
      </c>
      <c r="H1078" s="14" t="str">
        <f t="shared" si="144"/>
        <v/>
      </c>
      <c r="J1078" s="1" t="s">
        <v>243</v>
      </c>
      <c r="K1078" s="71"/>
      <c r="L1078" s="676" t="s">
        <v>432</v>
      </c>
      <c r="M1078" s="45"/>
      <c r="N1078" s="419" t="s">
        <v>103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243</v>
      </c>
      <c r="W1078" s="39"/>
      <c r="X1078" s="664" t="s">
        <v>432</v>
      </c>
    </row>
    <row r="1079" spans="1:24" ht="11.25" customHeight="1">
      <c r="A1079" s="611">
        <v>23</v>
      </c>
      <c r="B1079" s="213" t="s">
        <v>244</v>
      </c>
      <c r="C1079" s="21" t="str">
        <f t="shared" si="144"/>
        <v/>
      </c>
      <c r="D1079" s="8" t="str">
        <f t="shared" si="144"/>
        <v/>
      </c>
      <c r="E1079" s="24" t="str">
        <f t="shared" si="144"/>
        <v/>
      </c>
      <c r="F1079" s="8" t="str">
        <f t="shared" si="144"/>
        <v/>
      </c>
      <c r="G1079" s="24" t="str">
        <f t="shared" si="144"/>
        <v/>
      </c>
      <c r="H1079" s="21" t="str">
        <f t="shared" si="144"/>
        <v/>
      </c>
      <c r="J1079" s="21" t="s">
        <v>245</v>
      </c>
      <c r="K1079" s="71"/>
      <c r="L1079" s="676" t="s">
        <v>432</v>
      </c>
      <c r="M1079" s="45"/>
      <c r="N1079" s="420" t="s">
        <v>244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245</v>
      </c>
      <c r="W1079" s="39"/>
      <c r="X1079" s="664" t="s">
        <v>432</v>
      </c>
    </row>
    <row r="1080" spans="1:24" ht="11.25" customHeight="1" thickBot="1">
      <c r="A1080" s="611">
        <v>24</v>
      </c>
      <c r="B1080" s="213" t="s">
        <v>246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432</v>
      </c>
      <c r="M1080" s="297"/>
      <c r="N1080" s="420" t="s">
        <v>246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8">IF(P1089="","",P1089)</f>
        <v/>
      </c>
      <c r="E1088" s="1"/>
      <c r="F1088" s="37" t="s">
        <v>251</v>
      </c>
      <c r="G1088" s="2" t="str">
        <f>IF(S1089="","",S1089)</f>
        <v>C</v>
      </c>
      <c r="H1088" s="1"/>
      <c r="I1088" s="37" t="s">
        <v>252</v>
      </c>
      <c r="J1088" s="2" t="str">
        <f t="shared" ref="J1088:J1094" si="149">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8"/>
        <v>60</v>
      </c>
      <c r="E1089" s="30" t="s">
        <v>255</v>
      </c>
      <c r="F1089" s="429">
        <f t="shared" ref="F1089:F1094" si="150">IF(R1090="","",R1090)</f>
        <v>80</v>
      </c>
      <c r="G1089" s="30" t="s">
        <v>256</v>
      </c>
      <c r="H1089" s="429">
        <f t="shared" ref="H1089:H1094" si="151">IF(T1090="","",T1090)</f>
        <v>100</v>
      </c>
      <c r="I1089" s="30" t="s">
        <v>257</v>
      </c>
      <c r="J1089" s="430">
        <f t="shared" si="149"/>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57" t="str">
        <f>IF(O1098="","",O1098)</f>
        <v>NA</v>
      </c>
      <c r="D1097" s="1295"/>
      <c r="E1097" s="1257" t="str">
        <f>IF(Q1098="","",Q1098)</f>
        <v>NA</v>
      </c>
      <c r="F1097" s="1295"/>
      <c r="G1097" s="1257" t="str">
        <f>IF(S1098="","",S1098)</f>
        <v>NA</v>
      </c>
      <c r="H1097" s="1295"/>
      <c r="I1097" s="1257" t="str">
        <f>IF(U1098="","",U1098)</f>
        <v>NA</v>
      </c>
      <c r="J1097" s="1258"/>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432</v>
      </c>
      <c r="M1098" s="127"/>
      <c r="N1098" s="780" t="s">
        <v>590</v>
      </c>
      <c r="O1098" s="1259" t="str">
        <f>IF(P1097="","NA",IF(OR(AND(O1092=0,O1093=0),AND(O1093="",O1094=""),AND(O1092="",O1094="")),"",IF(O1091="Film O.D.",IF(O1110&gt;0.3,"NO","YES"),IF(O1091="lgM",IF(O1110&gt;0.2,"NO","YES"),IF(P1097&lt;=0.3,"YES","NO")))))</f>
        <v>NA</v>
      </c>
      <c r="P1098" s="1260"/>
      <c r="Q1098" s="1283" t="str">
        <f>IF(R1097="","NA",IF(OR(AND(Q1092=0,Q1093=0),AND(Q1093="",Q1094=""),AND(Q1092="",Q1094="")),"",IF(Q1091="Film O.D.",IF(Q1110&gt;0.3,"NO","YES"),IF(Q1091="lgM",IF(Q1110&gt;0.2,"NO","YES"),IF(R1097&lt;=0.3,"YES","NO")))))</f>
        <v>NA</v>
      </c>
      <c r="R1098" s="1260"/>
      <c r="S1098" s="1283" t="str">
        <f>IF(T1097="","NA",IF(OR(AND(S1092=0,S1093=0),AND(S1093="",S1094=""),AND(S1092="",S1094="")),"",IF(S1091="Film O.D.",IF(S1110&gt;0.3,"NO","YES"),IF(S1091="lgM",IF(S1110&gt;0.2,"NO","YES"),IF(T1097&lt;=0.3,"YES","NO")))))</f>
        <v>NA</v>
      </c>
      <c r="T1098" s="1260"/>
      <c r="U1098" s="1283" t="str">
        <f>IF(V1097="","NA",IF(OR(AND(U1092=0,U1093=0),AND(U1093="",U1094=""),AND(U1092="",U1094="")),"",IF(U1091="Film O.D.",IF(U1110&gt;0.3,"NO","YES"),IF(U1091="lgM",IF(U1110&gt;0.2,"NO","YES"),IF(V1097&lt;=0.3,"YES","NO")))))</f>
        <v>NA</v>
      </c>
      <c r="V1098" s="1260"/>
      <c r="W1098" s="39"/>
      <c r="X1098" s="664" t="s">
        <v>432</v>
      </c>
      <c r="Y1098" s="457" t="s">
        <v>1041</v>
      </c>
      <c r="Z1098" s="457">
        <f>MAX(O1092:O1094,Q1092:Q1095,S1092:S1095,U1093:U1095)</f>
        <v>0</v>
      </c>
    </row>
    <row r="1099" spans="1:30" ht="11.25" customHeight="1" thickBot="1">
      <c r="A1099" s="611">
        <v>43</v>
      </c>
      <c r="B1099" s="287" t="s">
        <v>590</v>
      </c>
      <c r="C1099" s="1257" t="str">
        <f>IF(O1100="","",O1100)</f>
        <v>NA</v>
      </c>
      <c r="D1099" s="1295"/>
      <c r="E1099" s="1257" t="str">
        <f>IF(Q1100="","",Q1100)</f>
        <v>NA</v>
      </c>
      <c r="F1099" s="1295"/>
      <c r="G1099" s="1257" t="str">
        <f>IF(S1100="","",S1100)</f>
        <v>NA</v>
      </c>
      <c r="H1099" s="1295"/>
      <c r="I1099" s="1257" t="str">
        <f>IF(U1100="","",U1100)</f>
        <v>NA</v>
      </c>
      <c r="J1099" s="1258"/>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59" t="str">
        <f>IF(P1099="","NA",IF(OR(AND(O1092=0,Q1092=0),AND(Q1092="",S1092=""),AND(O1092="",S1092="")),"",IF(O1091="Film O.D.",IF(O1111&gt;0.3,"NO","YES"),IF(O1091="lgM",IF(O1111&gt;0.2,"NO","YES"),IF(P1099&lt;=0.3,"YES","NO")))))</f>
        <v>NA</v>
      </c>
      <c r="P1100" s="1260"/>
      <c r="Q1100" s="1283" t="str">
        <f>IF(R1099="","NA",IF(OR(AND(O1093=0,Q1093=0),AND(Q1093="",S1093=""),AND(O1093="",S1093="")),"",IF(Q1091="Film O.D.",IF(Q1111&gt;0.3,"NO","YES"),IF(Q1091="lgM",IF(Q1111&gt;0.2,"NO","YES"),IF(R1099&lt;=0.3,"YES","NO")))))</f>
        <v>NA</v>
      </c>
      <c r="R1100" s="1260"/>
      <c r="S1100" s="1283" t="str">
        <f>IF(T1099="","NA",IF(OR(AND(O1094=0,Q1094=0),AND(Q1094="",S1094=""),AND(O1094="",S1094="")),"",IF(S1091="Film O.D.",IF(S1111&gt;0.3,"NO","YES"),IF(S1091="lgM",IF(S1111&gt;0.2,"NO","YES"),IF(T1099&lt;=0.3,"YES","NO")))))</f>
        <v>NA</v>
      </c>
      <c r="T1100" s="1260"/>
      <c r="U1100" s="1283" t="str">
        <f>IF(V1099="","NA",IF(OR(AND(Q1095=0,S1095=0),AND(S1095="",U1095=""),AND(Q1095="",U1095="")),"",IF(U1091="Film O.D.",IF(U1111&gt;0.3,"NO","YES"),IF(U1091="lgM",IF(U1111&gt;0.2,"NO","YES"),IF(V1099&lt;=0.3,"YES","NO")))))</f>
        <v>NA</v>
      </c>
      <c r="V1100" s="1260"/>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1" t="s">
        <v>363</v>
      </c>
      <c r="U1130" s="1282"/>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54">IF(O1144="","",O1144)</f>
        <v/>
      </c>
      <c r="D1144" s="291" t="str">
        <f t="shared" si="154"/>
        <v/>
      </c>
      <c r="E1144" s="46" t="str">
        <f t="shared" si="154"/>
        <v/>
      </c>
      <c r="F1144" s="291" t="str">
        <f t="shared" si="154"/>
        <v/>
      </c>
      <c r="G1144" s="46" t="str">
        <f t="shared" si="154"/>
        <v/>
      </c>
      <c r="H1144" s="14" t="str">
        <f t="shared" si="154"/>
        <v/>
      </c>
      <c r="J1144" s="1" t="s">
        <v>243</v>
      </c>
      <c r="K1144" s="71"/>
      <c r="L1144" s="676" t="s">
        <v>432</v>
      </c>
      <c r="M1144" s="45"/>
      <c r="N1144" s="419" t="s">
        <v>103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243</v>
      </c>
      <c r="W1144" s="39"/>
      <c r="X1144" s="664" t="s">
        <v>432</v>
      </c>
    </row>
    <row r="1145" spans="1:25" ht="11.25" customHeight="1">
      <c r="A1145" s="611">
        <v>23</v>
      </c>
      <c r="B1145" s="213" t="s">
        <v>244</v>
      </c>
      <c r="C1145" s="21" t="str">
        <f t="shared" si="154"/>
        <v/>
      </c>
      <c r="D1145" s="8" t="str">
        <f t="shared" si="154"/>
        <v/>
      </c>
      <c r="E1145" s="24" t="str">
        <f t="shared" si="154"/>
        <v/>
      </c>
      <c r="F1145" s="8" t="str">
        <f t="shared" si="154"/>
        <v/>
      </c>
      <c r="G1145" s="24" t="str">
        <f t="shared" si="154"/>
        <v/>
      </c>
      <c r="H1145" s="21" t="str">
        <f t="shared" si="154"/>
        <v/>
      </c>
      <c r="J1145" s="21" t="s">
        <v>245</v>
      </c>
      <c r="K1145" s="71"/>
      <c r="L1145" s="676" t="s">
        <v>432</v>
      </c>
      <c r="M1145" s="45"/>
      <c r="N1145" s="420" t="s">
        <v>244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245</v>
      </c>
      <c r="W1145" s="39"/>
      <c r="X1145" s="664" t="s">
        <v>432</v>
      </c>
    </row>
    <row r="1146" spans="1:25" ht="11.25" customHeight="1" thickBot="1">
      <c r="A1146" s="611">
        <v>24</v>
      </c>
      <c r="B1146" s="213" t="s">
        <v>246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432</v>
      </c>
      <c r="M1146" s="45"/>
      <c r="N1146" s="420" t="s">
        <v>246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57" t="str">
        <f>IF(O1164="","",O1164)</f>
        <v>NA</v>
      </c>
      <c r="D1163" s="1295"/>
      <c r="E1163" s="1257" t="str">
        <f>IF(Q1164="","",Q1164)</f>
        <v>NA</v>
      </c>
      <c r="F1163" s="1295"/>
      <c r="G1163" s="1257" t="str">
        <f>IF(S1164="","",S1164)</f>
        <v>NA</v>
      </c>
      <c r="H1163" s="1295"/>
      <c r="I1163" s="1257" t="str">
        <f>IF(U1164="","",U1164)</f>
        <v>NA</v>
      </c>
      <c r="J1163" s="1258"/>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432</v>
      </c>
      <c r="M1164" s="127"/>
      <c r="N1164" s="780" t="s">
        <v>590</v>
      </c>
      <c r="O1164" s="1259" t="str">
        <f>IF(P1163="","NA",IF(OR(AND(O1158=0,O1159=0),AND(O1159="",O1160=""),AND(O1158="",O1160="")),"",IF(O1157="Film O.D.",IF(O1176&gt;0.3,"NO","YES"),IF(O1157="lgM",IF(O1176&gt;0.2,"NO","YES"),IF(P1163&lt;=0.3,"YES","NO")))))</f>
        <v>NA</v>
      </c>
      <c r="P1164" s="1260"/>
      <c r="Q1164" s="1283" t="str">
        <f>IF(R1163="","NA",IF(OR(AND(Q1158=0,Q1159=0),AND(Q1159="",Q1160=""),AND(Q1158="",Q1160="")),"",IF(Q1157="Film O.D.",IF(Q1176&gt;0.3,"NO","YES"),IF(Q1157="lgM",IF(Q1176&gt;0.2,"NO","YES"),IF(R1163&lt;=0.3,"YES","NO")))))</f>
        <v>NA</v>
      </c>
      <c r="R1164" s="1260"/>
      <c r="S1164" s="1283" t="str">
        <f>IF(T1163="","NA",IF(OR(AND(S1158=0,S1159=0),AND(S1159="",S1160=""),AND(S1158="",S1160="")),"",IF(S1157="Film O.D.",IF(S1176&gt;0.3,"NO","YES"),IF(S1157="lgM",IF(S1176&gt;0.2,"NO","YES"),IF(T1163&lt;=0.3,"YES","NO")))))</f>
        <v>NA</v>
      </c>
      <c r="T1164" s="1260"/>
      <c r="U1164" s="1283" t="str">
        <f>IF(V1163="","NA",IF(OR(AND(U1158=0,U1159=0),AND(U1159="",U1160=""),AND(U1158="",U1160="")),"",IF(U1157="Film O.D.",IF(U1176&gt;0.3,"NO","YES"),IF(U1157="lgM",IF(U1176&gt;0.2,"NO","YES"),IF(V1163&lt;=0.3,"YES","NO")))))</f>
        <v>NA</v>
      </c>
      <c r="V1164" s="1260"/>
      <c r="W1164" s="39"/>
      <c r="X1164" s="664" t="s">
        <v>432</v>
      </c>
    </row>
    <row r="1165" spans="1:24" ht="11.25" customHeight="1" thickBot="1">
      <c r="A1165" s="611">
        <v>43</v>
      </c>
      <c r="B1165" s="287" t="s">
        <v>590</v>
      </c>
      <c r="C1165" s="1257" t="str">
        <f>IF(O1166="","",O1166)</f>
        <v>NA</v>
      </c>
      <c r="D1165" s="1295"/>
      <c r="E1165" s="1257" t="str">
        <f>IF(Q1166="","",Q1166)</f>
        <v>NA</v>
      </c>
      <c r="F1165" s="1295"/>
      <c r="G1165" s="1257" t="str">
        <f>IF(S1166="","",S1166)</f>
        <v>NA</v>
      </c>
      <c r="H1165" s="1295"/>
      <c r="I1165" s="1257" t="str">
        <f>IF(U1166="","",U1166)</f>
        <v>NA</v>
      </c>
      <c r="J1165" s="1258"/>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59" t="str">
        <f>IF(P1165="","NA",IF(OR(AND(O1158=0,Q1158=0),AND(Q1158="",S1158=""),AND(O1158="",S1158="")),"",IF(O1157="Film O.D.",IF(O1177&gt;0.3,"NO","YES"),IF(O1157="lgM",IF(O1177&gt;0.2,"NO","YES"),IF(P1165&lt;=0.3,"YES","NO")))))</f>
        <v>NA</v>
      </c>
      <c r="P1166" s="1260"/>
      <c r="Q1166" s="1283" t="str">
        <f>IF(R1165="","NA",IF(OR(AND(O1159=0,Q1159=0),AND(Q1159="",S1159=""),AND(O1159="",S1159="")),"",IF(Q1157="Film O.D.",IF(Q1177&gt;0.3,"NO","YES"),IF(Q1157="lgM",IF(Q1177&gt;0.2,"NO","YES"),IF(R1165&lt;=0.3,"YES","NO")))))</f>
        <v>NA</v>
      </c>
      <c r="R1166" s="1260"/>
      <c r="S1166" s="1283" t="str">
        <f>IF(T1165="","NA",IF(OR(AND(O1160=0,Q1160=0),AND(Q1160="",S1160=""),AND(O1160="",S1160="")),"",IF(S1157="Film O.D.",IF(S1177&gt;0.3,"NO","YES"),IF(S1157="lgM",IF(S1177&gt;0.2,"NO","YES"),IF(T1165&lt;=0.3,"YES","NO")))))</f>
        <v>NA</v>
      </c>
      <c r="T1166" s="1260"/>
      <c r="U1166" s="1283" t="str">
        <f>IF(V1165="","NA",IF(OR(AND(Q1161=0,S1161=0),AND(S1161="",U1161=""),AND(Q1161="",U1161="")),"",IF(U1157="Film O.D.",IF(U1177&gt;0.3,"NO","YES"),IF(U1157="lgM",IF(U1177&gt;0.2,"NO","YES"),IF(V1165&lt;=0.3,"YES","NO")))))</f>
        <v>NA</v>
      </c>
      <c r="V1166" s="1260"/>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1299"/>
      <c r="U1196" s="447" t="s">
        <v>1222</v>
      </c>
      <c r="V1196" s="62"/>
      <c r="W1196" s="80"/>
      <c r="X1196" s="664" t="s">
        <v>432</v>
      </c>
    </row>
    <row r="1197" spans="1:27" ht="11.25" customHeight="1">
      <c r="A1197" s="611">
        <v>9</v>
      </c>
      <c r="B1197" s="127"/>
      <c r="C1197" s="54" t="s">
        <v>1139</v>
      </c>
      <c r="D1197" s="1160" t="str">
        <f>IF(T1196="","",T1196)</f>
        <v/>
      </c>
      <c r="F1197" s="54" t="s">
        <v>1140</v>
      </c>
      <c r="G1197" s="1143" t="str">
        <f>IF(T1197="","",T1197)</f>
        <v/>
      </c>
      <c r="I1197" s="54" t="s">
        <v>1141</v>
      </c>
      <c r="J1197" s="1143" t="str">
        <f>IF(T1198="","",T1198)</f>
        <v/>
      </c>
      <c r="K1197" s="71"/>
      <c r="L1197"/>
      <c r="M1197" s="649"/>
      <c r="N1197" s="50" t="s">
        <v>1124</v>
      </c>
      <c r="Q1197" s="1115"/>
      <c r="R1197" s="50" t="s">
        <v>1125</v>
      </c>
      <c r="T1197" s="1115"/>
      <c r="U1197" s="50" t="s">
        <v>1223</v>
      </c>
      <c r="W1197" s="71"/>
      <c r="X1197" s="664" t="s">
        <v>432</v>
      </c>
    </row>
    <row r="1198" spans="1:27" ht="11.25" customHeight="1">
      <c r="A1198" s="611">
        <v>10</v>
      </c>
      <c r="B1198" s="127"/>
      <c r="K1198" s="71"/>
      <c r="L1198"/>
      <c r="M1198" s="1116" t="str">
        <f>IF(OR(M1196="",M1197=""),"",(M1196/M1197)^2)</f>
        <v/>
      </c>
      <c r="N1198" s="50" t="s">
        <v>1135</v>
      </c>
      <c r="Q1198" s="1115"/>
      <c r="R1198" s="50" t="s">
        <v>1126</v>
      </c>
      <c r="T1198" s="1115"/>
      <c r="U1198" s="50" t="s">
        <v>1224</v>
      </c>
      <c r="W1198" s="71"/>
      <c r="X1198" s="664" t="s">
        <v>432</v>
      </c>
    </row>
    <row r="1199" spans="1:27" ht="11.25" customHeight="1">
      <c r="A1199" s="611">
        <v>11</v>
      </c>
      <c r="B1199" s="127"/>
      <c r="C1199" s="1120"/>
      <c r="D1199" s="218"/>
      <c r="E1199" s="1231" t="s">
        <v>587</v>
      </c>
      <c r="F1199" s="1232" t="s">
        <v>588</v>
      </c>
      <c r="G1199" s="1236"/>
      <c r="K1199" s="71"/>
      <c r="L1199"/>
      <c r="M1199" s="127"/>
      <c r="W1199" s="71"/>
      <c r="X1199" s="664" t="s">
        <v>432</v>
      </c>
    </row>
    <row r="1200" spans="1:27" ht="11.25" customHeight="1" thickBot="1">
      <c r="A1200" s="611">
        <v>12</v>
      </c>
      <c r="B1200" s="127"/>
      <c r="C1200" s="1120" t="str">
        <f>M1202</f>
        <v>kV</v>
      </c>
      <c r="D1200" s="218" t="str">
        <f>N1202</f>
        <v>mA</v>
      </c>
      <c r="E1200" s="1254" t="str">
        <f>O1202</f>
        <v>µGy·m²</v>
      </c>
      <c r="F1200" s="1255"/>
      <c r="G1200" s="1230" t="s">
        <v>1219</v>
      </c>
      <c r="K1200" s="71"/>
      <c r="L1200"/>
      <c r="M1200" s="127"/>
      <c r="O1200" s="49" t="s">
        <v>587</v>
      </c>
      <c r="P1200" s="50" t="s">
        <v>588</v>
      </c>
      <c r="W1200" s="71"/>
      <c r="X1200" s="664" t="s">
        <v>432</v>
      </c>
      <c r="Y1200" s="457"/>
      <c r="AA1200" s="457"/>
    </row>
    <row r="1201" spans="1:27" ht="11.25" customHeight="1">
      <c r="A1201" s="611">
        <v>13</v>
      </c>
      <c r="B1201" s="127"/>
      <c r="C1201" s="1127">
        <f>IF(M1203="","",M1203)</f>
        <v>60</v>
      </c>
      <c r="D1201" s="1128">
        <f t="shared" ref="D1201:G1204" si="167">IF(N1203="","",N1203)</f>
        <v>100</v>
      </c>
      <c r="E1201" s="1129" t="str">
        <f t="shared" si="167"/>
        <v/>
      </c>
      <c r="F1201" s="1130" t="str">
        <f t="shared" si="167"/>
        <v/>
      </c>
      <c r="G1201" s="1237" t="str">
        <f t="shared" si="167"/>
        <v/>
      </c>
      <c r="K1201" s="71"/>
      <c r="L1201"/>
      <c r="M1201" s="66"/>
      <c r="N1201" s="49"/>
      <c r="O1201" s="264" t="s">
        <v>1090</v>
      </c>
      <c r="P1201" s="50" t="s">
        <v>1090</v>
      </c>
      <c r="W1201" s="71"/>
      <c r="X1201" s="664" t="s">
        <v>432</v>
      </c>
      <c r="AA1201" s="457"/>
    </row>
    <row r="1202" spans="1:27" ht="11.25" customHeight="1">
      <c r="A1202" s="611">
        <v>14</v>
      </c>
      <c r="B1202" s="127"/>
      <c r="C1202" s="1121">
        <f t="shared" ref="C1201:D1208" si="168">IF(M1204="","",M1204)</f>
        <v>80</v>
      </c>
      <c r="D1202" s="1119">
        <f t="shared" si="167"/>
        <v>50</v>
      </c>
      <c r="E1202" s="1113" t="str">
        <f t="shared" si="167"/>
        <v/>
      </c>
      <c r="F1202" s="119" t="str">
        <f t="shared" si="167"/>
        <v/>
      </c>
      <c r="G1202" s="1122" t="str">
        <f t="shared" si="167"/>
        <v/>
      </c>
      <c r="K1202" s="71"/>
      <c r="L1202"/>
      <c r="M1202" s="66" t="s">
        <v>84</v>
      </c>
      <c r="N1202" s="264" t="str">
        <f>LFMAS</f>
        <v>mA</v>
      </c>
      <c r="O1202" s="1278" t="s">
        <v>1129</v>
      </c>
      <c r="P1202" s="1278"/>
      <c r="Q1202" s="1238" t="s">
        <v>1219</v>
      </c>
      <c r="W1202" s="71"/>
      <c r="X1202" s="664" t="s">
        <v>432</v>
      </c>
      <c r="AA1202" s="457"/>
    </row>
    <row r="1203" spans="1:27" ht="11.25" customHeight="1">
      <c r="A1203" s="611">
        <v>15</v>
      </c>
      <c r="B1203" s="127"/>
      <c r="C1203" s="1121">
        <f t="shared" si="168"/>
        <v>100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IF(Sheet1!Y4="","",Sheet1!Y4)</f>
        <v/>
      </c>
      <c r="Q1203" s="1245" t="str">
        <f>IF(OR(O1203="",P1203=""),"",(P1203-O1203)/O1203)</f>
        <v/>
      </c>
      <c r="W1203" s="71"/>
      <c r="X1203" s="664" t="s">
        <v>432</v>
      </c>
      <c r="AA1203" s="457"/>
    </row>
    <row r="1204" spans="1:27" ht="11.25" customHeight="1">
      <c r="A1204" s="611">
        <v>16</v>
      </c>
      <c r="B1204" s="127"/>
      <c r="C1204" s="1121">
        <f t="shared" si="168"/>
        <v>120</v>
      </c>
      <c r="D1204" s="1119">
        <f t="shared" si="167"/>
        <v>25</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IF(Sheet1!Y5="","",Sheet1!Y5)</f>
        <v/>
      </c>
      <c r="Q1204" s="1245" t="str">
        <f t="shared" ref="Q1204:Q1206" si="169">IF(OR(O1204="",P1204=""),"",(P1204-O1204)/O1204)</f>
        <v/>
      </c>
      <c r="W1204" s="71"/>
      <c r="X1204" s="664" t="s">
        <v>432</v>
      </c>
      <c r="AA1204" s="457"/>
    </row>
    <row r="1205" spans="1:27" ht="11.25" customHeight="1">
      <c r="A1205" s="611">
        <v>17</v>
      </c>
      <c r="B1205" s="127"/>
      <c r="C1205" s="1121" t="str">
        <f t="shared" si="168"/>
        <v/>
      </c>
      <c r="D1205" s="1119" t="str">
        <f t="shared" si="168"/>
        <v/>
      </c>
      <c r="E1205" s="1113" t="str">
        <f t="shared" ref="E1201:G1208" si="170">IF(M1229="","",M1229)</f>
        <v/>
      </c>
      <c r="F1205" s="119" t="str">
        <f t="shared" si="170"/>
        <v/>
      </c>
      <c r="G1205" s="1122" t="str">
        <f t="shared" si="170"/>
        <v/>
      </c>
      <c r="K1205" s="71"/>
      <c r="L1205"/>
      <c r="M1205" s="1240">
        <f>IF(Sheet1!R6="","",Sheet1!R6)</f>
        <v>100</v>
      </c>
      <c r="N1205" s="1235">
        <f>IF(Sheet1!S6="","",Sheet1!S6)</f>
        <v>50</v>
      </c>
      <c r="O1205" s="1235" t="str">
        <f>IF(Sheet1!X6="","",Sheet1!X6)</f>
        <v/>
      </c>
      <c r="P1205" s="1235" t="str">
        <f>IF(Sheet1!Y6="","",Sheet1!Y6)</f>
        <v/>
      </c>
      <c r="Q1205" s="1245" t="str">
        <f t="shared" si="169"/>
        <v/>
      </c>
      <c r="W1205" s="71"/>
      <c r="X1205" s="664" t="s">
        <v>432</v>
      </c>
      <c r="AA1205" s="457"/>
    </row>
    <row r="1206" spans="1:27" ht="11.25" customHeight="1">
      <c r="A1206" s="611">
        <v>18</v>
      </c>
      <c r="B1206" s="127"/>
      <c r="C1206" s="1121" t="str">
        <f t="shared" si="168"/>
        <v/>
      </c>
      <c r="D1206" s="1119" t="str">
        <f t="shared" si="168"/>
        <v/>
      </c>
      <c r="E1206" s="1113" t="str">
        <f t="shared" si="170"/>
        <v/>
      </c>
      <c r="F1206" s="119" t="str">
        <f t="shared" si="170"/>
        <v/>
      </c>
      <c r="G1206" s="1122" t="str">
        <f t="shared" si="170"/>
        <v/>
      </c>
      <c r="K1206" s="71"/>
      <c r="L1206"/>
      <c r="M1206" s="1240">
        <f>IF(Sheet1!R7="","",Sheet1!R7)</f>
        <v>120</v>
      </c>
      <c r="N1206" s="1235">
        <f>IF(Sheet1!S7="","",Sheet1!S7)</f>
        <v>25</v>
      </c>
      <c r="O1206" s="1235" t="str">
        <f>IF(Sheet1!X7="","",Sheet1!X7)</f>
        <v/>
      </c>
      <c r="P1206" s="1235" t="str">
        <f>IF(Sheet1!Y7="","",Sheet1!Y7)</f>
        <v/>
      </c>
      <c r="Q1206" s="1245" t="str">
        <f t="shared" si="169"/>
        <v/>
      </c>
      <c r="W1206" s="71"/>
      <c r="X1206" s="664" t="s">
        <v>432</v>
      </c>
      <c r="AA1206" s="457"/>
    </row>
    <row r="1207" spans="1:27" ht="11.25" customHeight="1">
      <c r="A1207" s="611">
        <v>19</v>
      </c>
      <c r="B1207" s="127"/>
      <c r="C1207" s="1121" t="str">
        <f t="shared" si="168"/>
        <v/>
      </c>
      <c r="D1207" s="1119" t="str">
        <f t="shared" si="168"/>
        <v/>
      </c>
      <c r="E1207" s="1113" t="str">
        <f t="shared" si="170"/>
        <v/>
      </c>
      <c r="F1207" s="119" t="str">
        <f t="shared" si="170"/>
        <v/>
      </c>
      <c r="G1207" s="1122" t="str">
        <f t="shared" si="170"/>
        <v/>
      </c>
      <c r="K1207" s="71"/>
      <c r="L1207"/>
      <c r="M1207" s="1241"/>
      <c r="N1207" s="1242"/>
      <c r="O1207" s="1235"/>
      <c r="P1207" s="1235"/>
      <c r="Q1207" s="1245" t="str">
        <f t="shared" ref="Q1204:Q1210" si="171">IF(OR(E1205="",F1205=""),"",(F1205-E1205)/E1205)</f>
        <v/>
      </c>
      <c r="W1207" s="71"/>
      <c r="X1207" s="664" t="s">
        <v>432</v>
      </c>
      <c r="AA1207" s="457"/>
    </row>
    <row r="1208" spans="1:27" ht="11.25" customHeight="1" thickBot="1">
      <c r="A1208" s="611">
        <v>20</v>
      </c>
      <c r="B1208" s="127"/>
      <c r="C1208" s="1123" t="str">
        <f t="shared" si="168"/>
        <v/>
      </c>
      <c r="D1208" s="1124" t="str">
        <f t="shared" si="168"/>
        <v/>
      </c>
      <c r="E1208" s="178" t="str">
        <f t="shared" si="170"/>
        <v/>
      </c>
      <c r="F1208" s="238" t="str">
        <f t="shared" si="170"/>
        <v/>
      </c>
      <c r="G1208" s="1125" t="str">
        <f t="shared" si="170"/>
        <v/>
      </c>
      <c r="K1208" s="71"/>
      <c r="L1208"/>
      <c r="M1208" s="1241"/>
      <c r="N1208" s="1242"/>
      <c r="O1208" s="1235"/>
      <c r="P1208" s="1235"/>
      <c r="Q1208" s="1245" t="str">
        <f t="shared" si="171"/>
        <v/>
      </c>
      <c r="W1208" s="71"/>
      <c r="X1208" s="664" t="s">
        <v>432</v>
      </c>
      <c r="Y1208" s="918"/>
      <c r="AA1208" s="457"/>
    </row>
    <row r="1209" spans="1:27" ht="11.25" customHeight="1" thickBot="1">
      <c r="A1209" s="611">
        <v>21</v>
      </c>
      <c r="B1209" s="127"/>
      <c r="C1209" s="49"/>
      <c r="D1209" s="49"/>
      <c r="E1209" s="49"/>
      <c r="F1209" s="54" t="s">
        <v>590</v>
      </c>
      <c r="G1209" s="1126" t="str">
        <f>IF(O1233="","",O1233)</f>
        <v/>
      </c>
      <c r="K1209" s="71"/>
      <c r="L1209"/>
      <c r="M1209" s="1241"/>
      <c r="N1209" s="1242"/>
      <c r="O1209" s="1235"/>
      <c r="P1209" s="1235"/>
      <c r="Q1209" s="1245" t="str">
        <f t="shared" si="171"/>
        <v/>
      </c>
      <c r="W1209" s="71"/>
      <c r="X1209" s="664" t="s">
        <v>432</v>
      </c>
      <c r="Y1209" s="918"/>
      <c r="AA1209" s="457"/>
    </row>
    <row r="1210" spans="1:27" ht="11.25" customHeight="1" thickBot="1">
      <c r="A1210" s="611">
        <v>22</v>
      </c>
      <c r="B1210" s="127"/>
      <c r="C1210" s="132" t="s">
        <v>591</v>
      </c>
      <c r="D1210" s="326">
        <f>O1234</f>
        <v>0</v>
      </c>
      <c r="K1210" s="71"/>
      <c r="L1210"/>
      <c r="M1210" s="1243"/>
      <c r="N1210" s="1244"/>
      <c r="O1210" s="1239"/>
      <c r="P1210" s="1239"/>
      <c r="Q1210" s="1246" t="str">
        <f t="shared" si="171"/>
        <v/>
      </c>
      <c r="W1210" s="71"/>
      <c r="X1210" s="664" t="s">
        <v>432</v>
      </c>
    </row>
    <row r="1211" spans="1:27" ht="11.25" customHeight="1" thickTop="1" thickBot="1">
      <c r="A1211" s="611">
        <v>23</v>
      </c>
      <c r="B1211" s="98"/>
      <c r="C1211" s="83"/>
      <c r="D1211" s="83"/>
      <c r="E1211" s="83"/>
      <c r="F1211" s="83"/>
      <c r="G1211" s="83"/>
      <c r="H1211" s="83"/>
      <c r="I1211" s="83"/>
      <c r="J1211" s="83"/>
      <c r="K1211" s="86"/>
      <c r="L1211"/>
      <c r="M1211" s="127"/>
      <c r="W1211" s="71"/>
      <c r="X1211" s="664" t="s">
        <v>432</v>
      </c>
    </row>
    <row r="1212" spans="1:27" ht="11.25" customHeight="1" thickTop="1">
      <c r="A1212" s="611">
        <v>24</v>
      </c>
      <c r="L1212"/>
      <c r="X1212" s="664" t="s">
        <v>432</v>
      </c>
    </row>
    <row r="1213" spans="1:27" ht="11.25" customHeight="1">
      <c r="A1213" s="611">
        <v>25</v>
      </c>
      <c r="L1213"/>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72">IF(OR(D1394="",S1397=""),"",S1397)</f>
        <v/>
      </c>
      <c r="G1394" s="177" t="str">
        <f t="shared" ref="G1394:G1401" si="173">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74">IF(OR(P1398="",P1398=P1397),"",P1398)</f>
        <v/>
      </c>
      <c r="E1395" s="1098" t="str">
        <f t="shared" ref="E1395:E1401" si="175">IF(R1398=R1397,"",R1398)</f>
        <v/>
      </c>
      <c r="F1395" s="1098" t="str">
        <f t="shared" si="172"/>
        <v/>
      </c>
      <c r="G1395" s="177" t="str">
        <f t="shared" si="173"/>
        <v/>
      </c>
      <c r="H1395" s="118" t="str">
        <f t="shared" ref="H1395:H1401" si="176">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74"/>
        <v/>
      </c>
      <c r="E1396" s="1098" t="str">
        <f t="shared" si="175"/>
        <v/>
      </c>
      <c r="F1396" s="1098" t="str">
        <f t="shared" si="172"/>
        <v/>
      </c>
      <c r="G1396" s="177" t="str">
        <f t="shared" si="173"/>
        <v/>
      </c>
      <c r="H1396" s="118" t="str">
        <f t="shared" si="176"/>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74"/>
        <v/>
      </c>
      <c r="E1397" s="1098" t="str">
        <f t="shared" si="175"/>
        <v/>
      </c>
      <c r="F1397" s="1098" t="str">
        <f t="shared" si="172"/>
        <v/>
      </c>
      <c r="G1397" s="177" t="str">
        <f t="shared" si="173"/>
        <v/>
      </c>
      <c r="H1397" s="118" t="str">
        <f t="shared" si="176"/>
        <v/>
      </c>
      <c r="K1397" s="71"/>
      <c r="L1397" s="676" t="s">
        <v>432</v>
      </c>
      <c r="M1397" s="831" t="str">
        <f t="shared" ref="M1397:M1404" si="177">IF(OR(AB190=0,AB190=""),"",AB190)</f>
        <v/>
      </c>
      <c r="N1397" s="1099" t="str">
        <f t="shared" ref="N1397:N1404" si="178">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9">IF(R1397="","",LN(R1397))</f>
        <v/>
      </c>
      <c r="AH1397" s="660" t="str">
        <f>W1397</f>
        <v/>
      </c>
      <c r="AI1397" s="660" t="str">
        <f>Y1397</f>
        <v/>
      </c>
    </row>
    <row r="1398" spans="1:35" ht="11.25" customHeight="1">
      <c r="A1398" s="611">
        <v>12</v>
      </c>
      <c r="B1398" s="127"/>
      <c r="D1398" s="217" t="str">
        <f t="shared" si="174"/>
        <v/>
      </c>
      <c r="E1398" s="1098" t="str">
        <f t="shared" si="175"/>
        <v/>
      </c>
      <c r="F1398" s="1098" t="str">
        <f t="shared" si="172"/>
        <v/>
      </c>
      <c r="G1398" s="177" t="str">
        <f t="shared" si="173"/>
        <v/>
      </c>
      <c r="H1398" s="118" t="str">
        <f t="shared" si="176"/>
        <v/>
      </c>
      <c r="K1398" s="71"/>
      <c r="L1398" s="676" t="s">
        <v>432</v>
      </c>
      <c r="M1398" s="831" t="str">
        <f t="shared" si="177"/>
        <v/>
      </c>
      <c r="N1398" s="1099" t="str">
        <f t="shared" si="178"/>
        <v/>
      </c>
      <c r="O1398" s="1101" t="str">
        <f>IF(OR(M1398=0,M1398="",N1398=0,N1398="",$N$1394=0,$N$1394=""),O1397,N1398*($N$1394/40)^2)</f>
        <v/>
      </c>
      <c r="P1398" s="797" t="str">
        <f>IF(U695="",P1397,U695)</f>
        <v/>
      </c>
      <c r="Q1398" s="794" t="str">
        <f>IF(OR(AND(LFMAS="",SFMAS=""),R695="",R695=0,W695=""),Q1397,IF(LFMAS="mAs",W695/R695,IF(OR(S695="",S695=0),"",W695/(R695*S695))))</f>
        <v/>
      </c>
      <c r="R1398" s="795" t="str">
        <f t="shared" ref="R1398:R1404" si="180">IF(Q1398="","",IF(LFSDD="in.",Q1398*($Q$1394/40)^2,Q1398*(($Q$1394/2.54)/40)^2))</f>
        <v/>
      </c>
      <c r="S1398" s="796" t="str">
        <v/>
      </c>
      <c r="T1398" s="49"/>
      <c r="U1398" s="798" t="str">
        <f t="shared" ref="U1398:U1404" si="181">IF(O1398="",U1397,LN(O1398))</f>
        <v/>
      </c>
      <c r="V1398" s="799" t="str">
        <f t="shared" ref="V1398:V1404" si="182">IF(M1398="",V1397,LN(M1398))</f>
        <v/>
      </c>
      <c r="W1398" s="800" t="str">
        <f t="shared" ref="W1398:W1404" si="183">IF(P1398="",W1397,LN(P1398))</f>
        <v/>
      </c>
      <c r="X1398" s="664" t="s">
        <v>432</v>
      </c>
      <c r="Y1398" s="798" t="str">
        <f t="shared" si="179"/>
        <v/>
      </c>
      <c r="AH1398" s="660" t="str">
        <f t="shared" ref="AH1398:AH1404" si="184">W1398</f>
        <v/>
      </c>
      <c r="AI1398" s="660" t="str">
        <f t="shared" ref="AI1398:AI1404" si="185">Y1398</f>
        <v/>
      </c>
    </row>
    <row r="1399" spans="1:35" ht="11.25" customHeight="1">
      <c r="A1399" s="611">
        <v>13</v>
      </c>
      <c r="B1399" s="127"/>
      <c r="D1399" s="217" t="str">
        <f t="shared" si="174"/>
        <v/>
      </c>
      <c r="E1399" s="1098" t="str">
        <f t="shared" si="175"/>
        <v/>
      </c>
      <c r="F1399" s="1098" t="str">
        <f t="shared" si="172"/>
        <v/>
      </c>
      <c r="G1399" s="177" t="str">
        <f t="shared" si="173"/>
        <v/>
      </c>
      <c r="H1399" s="118" t="str">
        <f t="shared" si="176"/>
        <v/>
      </c>
      <c r="K1399" s="71"/>
      <c r="L1399" s="676" t="s">
        <v>432</v>
      </c>
      <c r="M1399" s="831" t="str">
        <f t="shared" si="177"/>
        <v/>
      </c>
      <c r="N1399" s="1099" t="str">
        <f t="shared" si="178"/>
        <v/>
      </c>
      <c r="O1399" s="1101" t="str">
        <f t="shared" ref="O1399:O1404" si="186">IF(OR(M1399=0,M1399="",N1399=0,N1399="",$N$1394=0,$N$1394=""),O1398,N1399*($N$1394/40)^2)</f>
        <v/>
      </c>
      <c r="P1399" s="797" t="str">
        <f t="shared" ref="P1399:P1404" si="187">IF(U696="",P1398,U696)</f>
        <v/>
      </c>
      <c r="Q1399" s="794" t="str">
        <f t="shared" ref="Q1399:Q1404" si="188">IF(OR(AND(LFMAS="",SFMAS=""),R696="",R696=0,W696=""),Q1398,IF(LFMAS="mAs",W696/R696,IF(OR(S696="",S696=0),"",W696/(R696*S696))))</f>
        <v/>
      </c>
      <c r="R1399" s="795" t="str">
        <f t="shared" si="180"/>
        <v/>
      </c>
      <c r="S1399" s="796" t="str">
        <v/>
      </c>
      <c r="T1399" s="49"/>
      <c r="U1399" s="798" t="str">
        <f t="shared" si="181"/>
        <v/>
      </c>
      <c r="V1399" s="799" t="str">
        <f t="shared" si="182"/>
        <v/>
      </c>
      <c r="W1399" s="800" t="str">
        <f t="shared" si="183"/>
        <v/>
      </c>
      <c r="X1399" s="664" t="s">
        <v>432</v>
      </c>
      <c r="Y1399" s="798" t="str">
        <f t="shared" si="179"/>
        <v/>
      </c>
      <c r="AH1399" s="660" t="str">
        <f t="shared" si="184"/>
        <v/>
      </c>
      <c r="AI1399" s="660" t="str">
        <f t="shared" si="185"/>
        <v/>
      </c>
    </row>
    <row r="1400" spans="1:35" ht="11.25" customHeight="1" thickBot="1">
      <c r="A1400" s="611">
        <v>14</v>
      </c>
      <c r="B1400" s="127"/>
      <c r="D1400" s="217" t="str">
        <f t="shared" si="174"/>
        <v/>
      </c>
      <c r="E1400" s="1098" t="str">
        <f t="shared" si="175"/>
        <v/>
      </c>
      <c r="F1400" s="1098" t="str">
        <f t="shared" si="172"/>
        <v/>
      </c>
      <c r="G1400" s="177" t="str">
        <f t="shared" si="173"/>
        <v/>
      </c>
      <c r="H1400" s="118" t="str">
        <f t="shared" si="176"/>
        <v/>
      </c>
      <c r="K1400" s="71"/>
      <c r="L1400" s="676" t="s">
        <v>432</v>
      </c>
      <c r="M1400" s="831" t="str">
        <f t="shared" si="177"/>
        <v/>
      </c>
      <c r="N1400" s="1099" t="str">
        <f t="shared" si="178"/>
        <v/>
      </c>
      <c r="O1400" s="1101" t="str">
        <f t="shared" si="186"/>
        <v/>
      </c>
      <c r="P1400" s="797" t="str">
        <f t="shared" si="187"/>
        <v/>
      </c>
      <c r="Q1400" s="794" t="str">
        <f t="shared" si="188"/>
        <v/>
      </c>
      <c r="R1400" s="795" t="str">
        <f t="shared" si="180"/>
        <v/>
      </c>
      <c r="S1400" s="796" t="str">
        <v/>
      </c>
      <c r="T1400" s="49"/>
      <c r="U1400" s="798" t="str">
        <f t="shared" si="181"/>
        <v/>
      </c>
      <c r="V1400" s="799" t="str">
        <f t="shared" si="182"/>
        <v/>
      </c>
      <c r="W1400" s="800" t="str">
        <f t="shared" si="183"/>
        <v/>
      </c>
      <c r="X1400" s="664" t="s">
        <v>432</v>
      </c>
      <c r="Y1400" s="798" t="str">
        <f t="shared" si="179"/>
        <v/>
      </c>
      <c r="AH1400" s="660" t="str">
        <f t="shared" si="184"/>
        <v/>
      </c>
      <c r="AI1400" s="660" t="str">
        <f t="shared" si="185"/>
        <v/>
      </c>
    </row>
    <row r="1401" spans="1:35" ht="11.25" customHeight="1" thickBot="1">
      <c r="A1401" s="611">
        <v>15</v>
      </c>
      <c r="B1401" s="127"/>
      <c r="D1401" s="217" t="str">
        <f t="shared" si="174"/>
        <v/>
      </c>
      <c r="E1401" s="1098" t="str">
        <f t="shared" si="175"/>
        <v/>
      </c>
      <c r="F1401" s="1098" t="str">
        <f t="shared" si="172"/>
        <v/>
      </c>
      <c r="G1401" s="177" t="str">
        <f t="shared" si="173"/>
        <v/>
      </c>
      <c r="H1401" s="118" t="str">
        <f t="shared" si="176"/>
        <v/>
      </c>
      <c r="I1401" s="258" t="s">
        <v>590</v>
      </c>
      <c r="J1401" s="141" t="str">
        <f>V1406</f>
        <v>NA</v>
      </c>
      <c r="K1401" s="71"/>
      <c r="L1401" s="676" t="s">
        <v>432</v>
      </c>
      <c r="M1401" s="831" t="str">
        <f t="shared" si="177"/>
        <v/>
      </c>
      <c r="N1401" s="1099" t="str">
        <f t="shared" si="178"/>
        <v/>
      </c>
      <c r="O1401" s="1101" t="str">
        <f t="shared" si="186"/>
        <v/>
      </c>
      <c r="P1401" s="797" t="str">
        <f t="shared" si="187"/>
        <v/>
      </c>
      <c r="Q1401" s="794" t="str">
        <f t="shared" si="188"/>
        <v/>
      </c>
      <c r="R1401" s="795" t="str">
        <f t="shared" si="180"/>
        <v/>
      </c>
      <c r="S1401" s="796" t="str">
        <v/>
      </c>
      <c r="T1401" s="49"/>
      <c r="U1401" s="798" t="str">
        <f t="shared" si="181"/>
        <v/>
      </c>
      <c r="V1401" s="799" t="str">
        <f t="shared" si="182"/>
        <v/>
      </c>
      <c r="W1401" s="800" t="str">
        <f t="shared" si="183"/>
        <v/>
      </c>
      <c r="X1401" s="664" t="s">
        <v>432</v>
      </c>
      <c r="Y1401" s="798" t="str">
        <f t="shared" si="179"/>
        <v/>
      </c>
      <c r="AH1401" s="660" t="str">
        <f t="shared" si="184"/>
        <v/>
      </c>
      <c r="AI1401" s="660" t="str">
        <f t="shared" si="185"/>
        <v/>
      </c>
    </row>
    <row r="1402" spans="1:35" ht="11.25" customHeight="1">
      <c r="A1402" s="611">
        <v>16</v>
      </c>
      <c r="B1402" s="191" t="s">
        <v>284</v>
      </c>
      <c r="E1402" s="1" t="s">
        <v>268</v>
      </c>
      <c r="F1402" s="1" t="s">
        <v>691</v>
      </c>
      <c r="I1402" s="1"/>
      <c r="K1402" s="71"/>
      <c r="L1402" s="676" t="s">
        <v>432</v>
      </c>
      <c r="M1402" s="831" t="str">
        <f t="shared" si="177"/>
        <v/>
      </c>
      <c r="N1402" s="1099" t="str">
        <f t="shared" si="178"/>
        <v/>
      </c>
      <c r="O1402" s="1101" t="str">
        <f t="shared" si="186"/>
        <v/>
      </c>
      <c r="P1402" s="797" t="str">
        <f t="shared" si="187"/>
        <v/>
      </c>
      <c r="Q1402" s="794" t="str">
        <f t="shared" si="188"/>
        <v/>
      </c>
      <c r="R1402" s="795" t="str">
        <f t="shared" si="180"/>
        <v/>
      </c>
      <c r="S1402" s="796" t="str">
        <v/>
      </c>
      <c r="T1402" s="49"/>
      <c r="U1402" s="798" t="str">
        <f t="shared" si="181"/>
        <v/>
      </c>
      <c r="V1402" s="799" t="str">
        <f t="shared" si="182"/>
        <v/>
      </c>
      <c r="W1402" s="800" t="str">
        <f t="shared" si="183"/>
        <v/>
      </c>
      <c r="X1402" s="664" t="s">
        <v>432</v>
      </c>
      <c r="Y1402" s="798" t="str">
        <f t="shared" si="179"/>
        <v/>
      </c>
      <c r="AH1402" s="660" t="str">
        <f t="shared" si="184"/>
        <v/>
      </c>
      <c r="AI1402" s="660" t="str">
        <f t="shared" si="185"/>
        <v/>
      </c>
    </row>
    <row r="1403" spans="1:35" ht="11.25" customHeight="1">
      <c r="A1403" s="611">
        <v>17</v>
      </c>
      <c r="B1403" s="127"/>
      <c r="E1403" s="13" t="s">
        <v>1081</v>
      </c>
      <c r="F1403" s="1" t="s">
        <v>1081</v>
      </c>
      <c r="K1403" s="71"/>
      <c r="L1403" s="676" t="s">
        <v>432</v>
      </c>
      <c r="M1403" s="831" t="str">
        <f t="shared" si="177"/>
        <v/>
      </c>
      <c r="N1403" s="1099" t="str">
        <f t="shared" si="178"/>
        <v/>
      </c>
      <c r="O1403" s="1101" t="str">
        <f t="shared" si="186"/>
        <v/>
      </c>
      <c r="P1403" s="797" t="str">
        <f t="shared" si="187"/>
        <v/>
      </c>
      <c r="Q1403" s="794" t="str">
        <f t="shared" si="188"/>
        <v/>
      </c>
      <c r="R1403" s="795" t="str">
        <f t="shared" si="180"/>
        <v/>
      </c>
      <c r="S1403" s="796" t="str">
        <v/>
      </c>
      <c r="T1403" s="49"/>
      <c r="U1403" s="798" t="str">
        <f t="shared" si="181"/>
        <v/>
      </c>
      <c r="V1403" s="799" t="str">
        <f t="shared" si="182"/>
        <v/>
      </c>
      <c r="W1403" s="800" t="str">
        <f t="shared" si="183"/>
        <v/>
      </c>
      <c r="X1403" s="664" t="s">
        <v>432</v>
      </c>
      <c r="Y1403" s="798" t="str">
        <f t="shared" si="179"/>
        <v/>
      </c>
      <c r="AH1403" s="660" t="str">
        <f t="shared" si="184"/>
        <v/>
      </c>
      <c r="AI1403" s="660" t="str">
        <f t="shared" si="185"/>
        <v/>
      </c>
    </row>
    <row r="1404" spans="1:35" ht="11.25" customHeight="1" thickBot="1">
      <c r="A1404" s="611">
        <v>18</v>
      </c>
      <c r="B1404" s="127"/>
      <c r="D1404" s="4" t="s">
        <v>268</v>
      </c>
      <c r="E1404" s="301" t="s">
        <v>272</v>
      </c>
      <c r="F1404" s="306" t="s">
        <v>272</v>
      </c>
      <c r="H1404" s="12"/>
      <c r="K1404" s="71"/>
      <c r="L1404" s="676" t="s">
        <v>432</v>
      </c>
      <c r="M1404" s="1010" t="str">
        <f t="shared" si="177"/>
        <v/>
      </c>
      <c r="N1404" s="1102" t="str">
        <f t="shared" si="178"/>
        <v/>
      </c>
      <c r="O1404" s="1103" t="str">
        <f t="shared" si="186"/>
        <v/>
      </c>
      <c r="P1404" s="1011" t="str">
        <f t="shared" si="187"/>
        <v/>
      </c>
      <c r="Q1404" s="1012" t="str">
        <f t="shared" si="188"/>
        <v/>
      </c>
      <c r="R1404" s="1012" t="str">
        <f t="shared" si="180"/>
        <v/>
      </c>
      <c r="S1404" s="1013" t="str">
        <v/>
      </c>
      <c r="T1404" s="49"/>
      <c r="U1404" s="798" t="str">
        <f t="shared" si="181"/>
        <v/>
      </c>
      <c r="V1404" s="799" t="str">
        <f t="shared" si="182"/>
        <v/>
      </c>
      <c r="W1404" s="800" t="str">
        <f t="shared" si="183"/>
        <v/>
      </c>
      <c r="X1404" s="664" t="s">
        <v>432</v>
      </c>
      <c r="Y1404" s="798" t="str">
        <f t="shared" si="179"/>
        <v/>
      </c>
      <c r="AH1404" s="660" t="str">
        <f t="shared" si="184"/>
        <v/>
      </c>
      <c r="AI1404" s="660" t="str">
        <f t="shared" si="185"/>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9">W1415</f>
        <v/>
      </c>
      <c r="AI1406" s="660" t="str">
        <f t="shared" ref="AI1406:AI1410" si="190">Y1415</f>
        <v/>
      </c>
    </row>
    <row r="1407" spans="1:35" ht="11.25" customHeight="1" thickBot="1">
      <c r="A1407" s="611">
        <v>21</v>
      </c>
      <c r="B1407" s="127"/>
      <c r="D1407" s="217" t="str">
        <f>IF(P1414="","",P1414)</f>
        <v/>
      </c>
      <c r="E1407" s="1098" t="str">
        <f>IF(R1414="","",R1414)</f>
        <v/>
      </c>
      <c r="F1407" s="1098" t="str">
        <f t="shared" ref="F1407:F1412" si="191">IF(OR(D1407="",S1414=""),"",S1414)</f>
        <v/>
      </c>
      <c r="G1407" s="177" t="str">
        <f t="shared" ref="G1407:G1412" si="192">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9"/>
        <v/>
      </c>
      <c r="AI1407" s="660" t="str">
        <f t="shared" si="190"/>
        <v/>
      </c>
    </row>
    <row r="1408" spans="1:35" ht="11.25" customHeight="1">
      <c r="A1408" s="611">
        <v>22</v>
      </c>
      <c r="B1408" s="127"/>
      <c r="D1408" s="217" t="str">
        <f>IF(OR(P1415="",P1415=P1414),"",P1415)</f>
        <v/>
      </c>
      <c r="E1408" s="1098" t="str">
        <f>IF(R1415=R1414,"",R1415)</f>
        <v/>
      </c>
      <c r="F1408" s="1098" t="str">
        <f t="shared" si="191"/>
        <v/>
      </c>
      <c r="G1408" s="177" t="str">
        <f t="shared" si="192"/>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9"/>
        <v/>
      </c>
      <c r="AI1408" s="660" t="str">
        <f t="shared" si="190"/>
        <v/>
      </c>
    </row>
    <row r="1409" spans="1:35" ht="11.25" customHeight="1">
      <c r="A1409" s="611">
        <v>23</v>
      </c>
      <c r="B1409" s="127"/>
      <c r="D1409" s="217" t="str">
        <f>IF(OR(P1416="",P1416=P1415),"",P1416)</f>
        <v/>
      </c>
      <c r="E1409" s="1098" t="str">
        <f>IF(R1416=R1415,"",R1416)</f>
        <v/>
      </c>
      <c r="F1409" s="1098" t="str">
        <f t="shared" si="191"/>
        <v/>
      </c>
      <c r="G1409" s="177" t="str">
        <f t="shared" si="192"/>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9"/>
        <v/>
      </c>
      <c r="AI1409" s="660" t="str">
        <f t="shared" si="190"/>
        <v/>
      </c>
    </row>
    <row r="1410" spans="1:35" ht="11.25" customHeight="1">
      <c r="A1410" s="611">
        <v>24</v>
      </c>
      <c r="B1410" s="127"/>
      <c r="D1410" s="217" t="str">
        <f>IF(OR(P1417="",P1417=P1416),"",P1417)</f>
        <v/>
      </c>
      <c r="E1410" s="1098" t="str">
        <f>IF(R1417=R1416,"",R1417)</f>
        <v/>
      </c>
      <c r="F1410" s="1098" t="str">
        <f t="shared" si="191"/>
        <v/>
      </c>
      <c r="G1410" s="177" t="str">
        <f t="shared" si="192"/>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9"/>
        <v/>
      </c>
      <c r="AI1410" s="660" t="str">
        <f t="shared" si="190"/>
        <v/>
      </c>
    </row>
    <row r="1411" spans="1:35" ht="11.25" customHeight="1" thickBot="1">
      <c r="A1411" s="611">
        <v>25</v>
      </c>
      <c r="B1411" s="127"/>
      <c r="D1411" s="217" t="str">
        <f>IF(OR(P1418="",P1418=P1417),"",P1418)</f>
        <v/>
      </c>
      <c r="E1411" s="1098" t="str">
        <f>IF(R1418=R1417,"",R1418)</f>
        <v/>
      </c>
      <c r="F1411" s="1098" t="str">
        <f t="shared" si="191"/>
        <v/>
      </c>
      <c r="G1411" s="177" t="str">
        <f t="shared" si="192"/>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91"/>
        <v/>
      </c>
      <c r="G1412" s="177" t="str">
        <f t="shared" si="192"/>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93">IF(OR(AB211=0,AB211=""),"",AB211)</f>
        <v/>
      </c>
      <c r="N1414" s="1099" t="str">
        <f t="shared" ref="N1414:N1419" si="194">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95">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93"/>
        <v/>
      </c>
      <c r="N1415" s="1099" t="str">
        <f t="shared" si="194"/>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95"/>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93"/>
        <v/>
      </c>
      <c r="N1416" s="1099" t="str">
        <f t="shared" si="194"/>
        <v/>
      </c>
      <c r="O1416" s="1101" t="str">
        <f>IF(OR(M1416=0,M1416="",N1416=0,N1416="",$N$1411=0,$N$1411=""),O1415,N1416*($N$1411/40)^2)</f>
        <v/>
      </c>
      <c r="P1416" s="1106" t="str">
        <f t="shared" ref="P1416:P1419" si="196">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95"/>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93"/>
        <v/>
      </c>
      <c r="N1417" s="1099" t="str">
        <f t="shared" si="194"/>
        <v/>
      </c>
      <c r="O1417" s="1101" t="str">
        <f>IF(OR(M1417=0,M1417="",N1417=0,N1417="",$N$1411=0,$N$1411=""),O1416,N1417*($N$1411/40)^2)</f>
        <v/>
      </c>
      <c r="P1417" s="1106" t="str">
        <f t="shared" si="196"/>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95"/>
        <v/>
      </c>
    </row>
    <row r="1418" spans="1:35" ht="11.25" customHeight="1">
      <c r="A1418" s="611">
        <v>32</v>
      </c>
      <c r="B1418" s="127"/>
      <c r="K1418" s="69"/>
      <c r="L1418" s="676" t="s">
        <v>432</v>
      </c>
      <c r="M1418" s="831" t="str">
        <f t="shared" si="193"/>
        <v/>
      </c>
      <c r="N1418" s="1099" t="str">
        <f t="shared" si="194"/>
        <v/>
      </c>
      <c r="O1418" s="1101" t="str">
        <f>IF(OR(M1418=0,M1418="",N1418=0,N1418="",$N$1411=0,$N$1411=""),O1417,N1418*($N$1411/40)^2)</f>
        <v/>
      </c>
      <c r="P1418" s="1106" t="str">
        <f t="shared" si="196"/>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95"/>
        <v/>
      </c>
    </row>
    <row r="1419" spans="1:35" ht="11.25" customHeight="1" thickBot="1">
      <c r="A1419" s="611">
        <v>33</v>
      </c>
      <c r="B1419" s="127"/>
      <c r="C1419" s="1"/>
      <c r="D1419" s="13" t="s">
        <v>287</v>
      </c>
      <c r="H1419" s="1"/>
      <c r="I1419" s="13" t="s">
        <v>288</v>
      </c>
      <c r="K1419" s="69"/>
      <c r="L1419" s="676" t="s">
        <v>432</v>
      </c>
      <c r="M1419" s="831" t="str">
        <f t="shared" si="193"/>
        <v/>
      </c>
      <c r="N1419" s="1099" t="str">
        <f t="shared" si="194"/>
        <v/>
      </c>
      <c r="O1419" s="1101" t="str">
        <f>IF(OR(M1419=0,M1419="",N1419=0,N1419="",$N$1411=0,$N$1411=""),O1418,N1419*($N$1411/40)^2)</f>
        <v/>
      </c>
      <c r="P1419" s="1107" t="str">
        <f t="shared" si="196"/>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95"/>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3">
    <mergeCell ref="C1163:D1163"/>
    <mergeCell ref="C1165:D1165"/>
    <mergeCell ref="E1165:F1165"/>
    <mergeCell ref="E1163:F1163"/>
    <mergeCell ref="G1163:H1163"/>
    <mergeCell ref="G1165:H1165"/>
    <mergeCell ref="C1099:D1099"/>
    <mergeCell ref="O1098:P1098"/>
    <mergeCell ref="O1100:P1100"/>
    <mergeCell ref="Q1098:R1098"/>
    <mergeCell ref="Q1100:R1100"/>
    <mergeCell ref="G1099:H1099"/>
    <mergeCell ref="E1099:F1099"/>
    <mergeCell ref="C1097:D1097"/>
    <mergeCell ref="E1097:F1097"/>
    <mergeCell ref="G1097:H1097"/>
    <mergeCell ref="I1097:J1097"/>
    <mergeCell ref="F573:H573"/>
    <mergeCell ref="J887:J889"/>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I504:J50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M126:N126"/>
    <mergeCell ref="M137:N137"/>
    <mergeCell ref="M135:N135"/>
    <mergeCell ref="M136:N136"/>
    <mergeCell ref="M130:N130"/>
    <mergeCell ref="M131:N131"/>
    <mergeCell ref="M132:N132"/>
    <mergeCell ref="M133:N133"/>
    <mergeCell ref="M134:N134"/>
    <mergeCell ref="Z657:AA657"/>
    <mergeCell ref="E1200:F1200"/>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J872:J874"/>
    <mergeCell ref="J885:J886"/>
  </mergeCells>
  <phoneticPr fontId="20" type="noConversion"/>
  <conditionalFormatting sqref="C1081:H1081 J1081 C1097:J1097 C1099:J1099 I1100">
    <cfRule type="cellIs" dxfId="86" priority="15" operator="equal">
      <formula>"NO"</formula>
    </cfRule>
  </conditionalFormatting>
  <conditionalFormatting sqref="D622:E623 G637:H638">
    <cfRule type="cellIs" dxfId="85" priority="27" operator="greaterThan">
      <formula>0.02</formula>
    </cfRule>
  </conditionalFormatting>
  <conditionalFormatting sqref="E716 J716">
    <cfRule type="cellIs" dxfId="84" priority="24" operator="equal">
      <formula>"NO"</formula>
    </cfRule>
  </conditionalFormatting>
  <conditionalFormatting sqref="E901">
    <cfRule type="cellIs" dxfId="83" priority="18" operator="greaterThan">
      <formula>0.1</formula>
    </cfRule>
  </conditionalFormatting>
  <conditionalFormatting sqref="E758:F758 I758:J758">
    <cfRule type="cellIs" dxfId="82" priority="22" operator="greaterThan">
      <formula>0.05</formula>
    </cfRule>
  </conditionalFormatting>
  <conditionalFormatting sqref="E760:F760 I760:J760">
    <cfRule type="cellIs" dxfId="81" priority="21" operator="equal">
      <formula>"NO"</formula>
    </cfRule>
  </conditionalFormatting>
  <conditionalFormatting sqref="F482:F484">
    <cfRule type="cellIs" dxfId="80" priority="34" operator="greaterThan">
      <formula>0.02</formula>
    </cfRule>
  </conditionalFormatting>
  <conditionalFormatting sqref="G482:G484 J494 J506">
    <cfRule type="cellIs" dxfId="79" priority="35" operator="equal">
      <formula>"NO"</formula>
    </cfRule>
  </conditionalFormatting>
  <conditionalFormatting sqref="G537">
    <cfRule type="cellIs" dxfId="78" priority="31" operator="greaterThan">
      <formula>2</formula>
    </cfRule>
  </conditionalFormatting>
  <conditionalFormatting sqref="G1209">
    <cfRule type="cellIs" dxfId="77" priority="11" operator="equal">
      <formula>"NO"</formula>
    </cfRule>
  </conditionalFormatting>
  <conditionalFormatting sqref="H575:H576">
    <cfRule type="cellIs" dxfId="76" priority="29" operator="greaterThan">
      <formula>0.03</formula>
    </cfRule>
  </conditionalFormatting>
  <conditionalFormatting sqref="H814:H823 H829 K829">
    <cfRule type="cellIs" dxfId="75" priority="20" operator="equal">
      <formula>"NO"</formula>
    </cfRule>
  </conditionalFormatting>
  <conditionalFormatting sqref="H1394:H1401 J1401 H1407:H1412 J1412">
    <cfRule type="cellIs" dxfId="74" priority="10" operator="equal">
      <formula>"NO"</formula>
    </cfRule>
  </conditionalFormatting>
  <conditionalFormatting sqref="H554:K555 F575:G576">
    <cfRule type="cellIs" dxfId="73" priority="30"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2" priority="37" operator="equal">
      <formula>"TBD"</formula>
    </cfRule>
  </conditionalFormatting>
  <conditionalFormatting sqref="I637:I638">
    <cfRule type="cellIs" dxfId="71" priority="26" operator="greaterThan">
      <formula>0.03</formula>
    </cfRule>
  </conditionalFormatting>
  <conditionalFormatting sqref="I939">
    <cfRule type="cellIs" dxfId="70" priority="17" operator="equal">
      <formula>"NO"</formula>
    </cfRule>
  </conditionalFormatting>
  <conditionalFormatting sqref="I504:J504">
    <cfRule type="cellIs" dxfId="69" priority="33" operator="lessThan">
      <formula>160</formula>
    </cfRule>
  </conditionalFormatting>
  <conditionalFormatting sqref="J160:J169">
    <cfRule type="cellIs" dxfId="68" priority="8" operator="equal">
      <formula>"TBD"</formula>
    </cfRule>
  </conditionalFormatting>
  <conditionalFormatting sqref="J537 H560:K561 I575:K576">
    <cfRule type="cellIs" dxfId="67" priority="32" operator="equal">
      <formula>"NO"</formula>
    </cfRule>
  </conditionalFormatting>
  <conditionalFormatting sqref="J608 H622:K623 J637:K638">
    <cfRule type="cellIs" dxfId="66" priority="28" operator="equal">
      <formula>"NO"</formula>
    </cfRule>
  </conditionalFormatting>
  <conditionalFormatting sqref="J679">
    <cfRule type="cellIs" dxfId="65" priority="25" operator="equal">
      <formula>"NO"</formula>
    </cfRule>
  </conditionalFormatting>
  <conditionalFormatting sqref="J707:J712 E707:E714">
    <cfRule type="cellIs" dxfId="64" priority="23" operator="greaterThan">
      <formula>0.05</formula>
    </cfRule>
  </conditionalFormatting>
  <conditionalFormatting sqref="J1080">
    <cfRule type="cellIs" dxfId="63" priority="14" operator="greaterThan">
      <formula>0.35</formula>
    </cfRule>
  </conditionalFormatting>
  <conditionalFormatting sqref="J1129 C1147:H1147 J1147 C1163:J1163 C1165:J1165 I1166">
    <cfRule type="cellIs" dxfId="62" priority="13" operator="equal">
      <formula>"NO"</formula>
    </cfRule>
  </conditionalFormatting>
  <conditionalFormatting sqref="J1146">
    <cfRule type="cellIs" dxfId="61" priority="12" operator="greaterThan">
      <formula>0.35</formula>
    </cfRule>
  </conditionalFormatting>
  <conditionalFormatting sqref="K54:K63 K72:K79 K82:K88 K92:K97 K101:K113 K116:K129 K138:K139 K142:K145 K148:K151 K154:K157 K468:K474 K586:K588 K649:K651 K913:K920 K1026:K1028">
    <cfRule type="cellIs" dxfId="60" priority="36" operator="equal">
      <formula>"NO"</formula>
    </cfRule>
  </conditionalFormatting>
  <conditionalFormatting sqref="K160:K169">
    <cfRule type="cellIs" dxfId="59" priority="7" operator="equal">
      <formula>"NO"</formula>
    </cfRule>
  </conditionalFormatting>
  <conditionalFormatting sqref="K871 K874 K886 K889 G901">
    <cfRule type="cellIs" dxfId="58" priority="19" operator="equal">
      <formula>"NO"</formula>
    </cfRule>
  </conditionalFormatting>
  <conditionalFormatting sqref="K1012">
    <cfRule type="cellIs" dxfId="57" priority="16" operator="equal">
      <formula>"NO"</formula>
    </cfRule>
  </conditionalFormatting>
  <conditionalFormatting sqref="M590">
    <cfRule type="expression" dxfId="56" priority="89" stopIfTrue="1">
      <formula>$M$589=1</formula>
    </cfRule>
  </conditionalFormatting>
  <conditionalFormatting sqref="M654">
    <cfRule type="expression" dxfId="55" priority="88" stopIfTrue="1">
      <formula>$M$653=1</formula>
    </cfRule>
  </conditionalFormatting>
  <conditionalFormatting sqref="N1081 N1147">
    <cfRule type="expression" dxfId="54" priority="62" stopIfTrue="1">
      <formula>OR(O1081="NO",P1081="NO",Q1081="NO",R1081="NO",S1081="NO",T1081="NO")</formula>
    </cfRule>
    <cfRule type="expression" dxfId="53" priority="63" stopIfTrue="1">
      <formula>OR(O1081="YES",P1081="YES",Q1081="YES",R1081="YES",S1081="YES",T1081="YES")</formula>
    </cfRule>
  </conditionalFormatting>
  <conditionalFormatting sqref="N1098 N1100 N1164 N1166">
    <cfRule type="expression" dxfId="52" priority="60" stopIfTrue="1">
      <formula>OR(O1098="NO",Q1098="NO",S1098="NO",U1098="NO")</formula>
    </cfRule>
    <cfRule type="expression" dxfId="51" priority="61" stopIfTrue="1">
      <formula>OR(O1098="YES",Q1098="YES",S1098="YES",U1098="YES")</formula>
    </cfRule>
  </conditionalFormatting>
  <conditionalFormatting sqref="Q1406:S1406 Q1421:S1421">
    <cfRule type="expression" dxfId="50" priority="93" stopIfTrue="1">
      <formula>ABS(Q1406)&lt;=0.25</formula>
    </cfRule>
    <cfRule type="expression" dxfId="49" priority="94" stopIfTrue="1">
      <formula>ABS(Q1406)&gt;0.25</formula>
    </cfRule>
  </conditionalFormatting>
  <conditionalFormatting sqref="S482:S484">
    <cfRule type="cellIs" dxfId="48" priority="9" operator="greaterThan">
      <formula>0.02</formula>
    </cfRule>
  </conditionalFormatting>
  <conditionalFormatting sqref="T1">
    <cfRule type="expression" dxfId="47" priority="92" stopIfTrue="1">
      <formula>AND($T$1="",$T$2="",$T$3="",$T$4="",$T$5="",$T$6="")</formula>
    </cfRule>
  </conditionalFormatting>
  <conditionalFormatting sqref="T2:T5">
    <cfRule type="expression" dxfId="46" priority="90" stopIfTrue="1">
      <formula>AND($T$1="",$T$2="",$T$3="",$T$4="",$T$5="",$T$6="")</formula>
    </cfRule>
  </conditionalFormatting>
  <conditionalFormatting sqref="T6">
    <cfRule type="expression" dxfId="45" priority="91" stopIfTrue="1">
      <formula>AND($T$1="",$T$2="",$T$3="",$T$4="",$T$5="",$T$6="")</formula>
    </cfRule>
  </conditionalFormatting>
  <conditionalFormatting sqref="T481 V877 V879 V892 V894 V902">
    <cfRule type="expression" dxfId="44" priority="72" stopIfTrue="1">
      <formula>T482="YES"</formula>
    </cfRule>
    <cfRule type="expression" dxfId="43" priority="73" stopIfTrue="1">
      <formula>T482="NO"</formula>
    </cfRule>
  </conditionalFormatting>
  <conditionalFormatting sqref="T482:T484 V494 V506 U537 U547 T560:W561 U575:W576 U608 T622:W623 U639:W640 V704 V721 V878 V880 V893 V895 V903 S958:S959 W1064 V1081 U1100:U1101 W1130 V1147 U1166:U1167 V1406 V1421">
    <cfRule type="expression" dxfId="42" priority="79"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78" stopIfTrue="1">
      <formula>S482="YES"</formula>
    </cfRule>
  </conditionalFormatting>
  <conditionalFormatting sqref="T754">
    <cfRule type="expression" dxfId="40" priority="68" stopIfTrue="1">
      <formula>OR(U754="NO",V754="NO",W754="NO")</formula>
    </cfRule>
    <cfRule type="expression" dxfId="39" priority="69" stopIfTrue="1">
      <formula>OR(AND(W754&lt;&gt;"NO",OR(AND(U754="YES",V754&lt;&gt;"NO"),AND(V754="YES",U754&lt;&gt;"NO"))),AND(W754="YES",U754&lt;&gt;"NO",V754&lt;&gt;"NO"))</formula>
    </cfRule>
  </conditionalFormatting>
  <conditionalFormatting sqref="T557:V557 T619:V619">
    <cfRule type="expression" dxfId="38" priority="46" stopIfTrue="1">
      <formula>OR(T560="NO",U560="NO",V560="NO",W560="NO",T561="NO",U561="NO",V561="NO",W561="NO")</formula>
    </cfRule>
    <cfRule type="expression" dxfId="37" priority="47" stopIfTrue="1">
      <formula>OR(T560="YES",U560="YES",V560="YES",W560="YES",T561="YES",U561="YES",V561="YES",W561="YES")</formula>
    </cfRule>
  </conditionalFormatting>
  <conditionalFormatting sqref="U113:U123">
    <cfRule type="cellIs" dxfId="36" priority="3" operator="equal">
      <formula>"Pass"</formula>
    </cfRule>
    <cfRule type="cellIs" dxfId="35" priority="4" operator="equal">
      <formula>"Fail"</formula>
    </cfRule>
  </conditionalFormatting>
  <conditionalFormatting sqref="U494 U506 T537 T547 T608 U704 U721 R958:R959 V1064 U1081 T1101 V1130 U1147 T1167 U1406 U1421">
    <cfRule type="expression" dxfId="34" priority="42" stopIfTrue="1">
      <formula>S494="YES"</formula>
    </cfRule>
    <cfRule type="expression" dxfId="33" priority="43" stopIfTrue="1">
      <formula>S494="NO"</formula>
    </cfRule>
  </conditionalFormatting>
  <conditionalFormatting sqref="U573 U637">
    <cfRule type="expression" dxfId="32" priority="44" stopIfTrue="1">
      <formula>OR(U575="NO",V575="NO",U576="NO",V576="NO")</formula>
    </cfRule>
    <cfRule type="expression" dxfId="31" priority="45" stopIfTrue="1">
      <formula>OR(U575="YES",V575="YES",U576="YES",V576="YES")</formula>
    </cfRule>
  </conditionalFormatting>
  <conditionalFormatting sqref="U774">
    <cfRule type="expression" dxfId="30" priority="70" stopIfTrue="1">
      <formula>OR(V774="NO",W774="NO")</formula>
    </cfRule>
    <cfRule type="expression" dxfId="29" priority="71" stopIfTrue="1">
      <formula>OR(AND(V774="YES",W774&lt;&gt;"NO"),AND(W774="YES",V774&lt;&gt;"NO"))</formula>
    </cfRule>
  </conditionalFormatting>
  <conditionalFormatting sqref="U826">
    <cfRule type="expression" dxfId="28" priority="48" stopIfTrue="1">
      <formula>AND(OR($O$805=3,$O$805="HF",$O$805="CP"),OR(U828="NO",U829="NO",U830="NO",U831="NO",U832="NO",U833="NO",U834="NO",U835="NO",U836="NO",U837="NO"))</formula>
    </cfRule>
  </conditionalFormatting>
  <conditionalFormatting sqref="U827">
    <cfRule type="expression" dxfId="27" priority="49" stopIfTrue="1">
      <formula>AND(OR($O$805=3,$O$805="HF",$O$805="CP"),OR(U828="NO",U829="NO",U830="NO",U831="NO",U832="NO",U833="NO",U834="NO",U835="NO",U836="NO",U837="NO"))</formula>
    </cfRule>
  </conditionalFormatting>
  <conditionalFormatting sqref="U828:U837">
    <cfRule type="expression" dxfId="26" priority="82" stopIfTrue="1">
      <formula>AND(OR($O$805=3,$O$805="HF",$O$805="CP"),U828="NO")</formula>
    </cfRule>
    <cfRule type="expression" dxfId="25" priority="83" stopIfTrue="1">
      <formula>AND(OR($O$805=3,$O$805="HF",$O$805="CP"),U828="YES")</formula>
    </cfRule>
  </conditionalFormatting>
  <conditionalFormatting sqref="U753:W753 V773:W773">
    <cfRule type="expression" dxfId="24" priority="66" stopIfTrue="1">
      <formula>U754="NO"</formula>
    </cfRule>
    <cfRule type="expression" dxfId="23" priority="67" stopIfTrue="1">
      <formula>U754="YES"</formula>
    </cfRule>
  </conditionalFormatting>
  <conditionalFormatting sqref="U754:W754">
    <cfRule type="expression" dxfId="22" priority="1" stopIfTrue="1">
      <formula>U754="NO"</formula>
    </cfRule>
    <cfRule type="expression" dxfId="21" priority="2" stopIfTrue="1">
      <formula>U754="YES"</formula>
    </cfRule>
  </conditionalFormatting>
  <conditionalFormatting sqref="V826">
    <cfRule type="expression" dxfId="20" priority="50" stopIfTrue="1">
      <formula>AND($O$805=1,OR(V828="NO",V829="NO",V830="NO",V831="NO",V832="NO",V833="NO",V834="NO",V835="NO",V836="NO",V837="NO"))</formula>
    </cfRule>
  </conditionalFormatting>
  <conditionalFormatting sqref="V827">
    <cfRule type="expression" dxfId="19" priority="51" stopIfTrue="1">
      <formula>AND($O$805=1,OR(V828="NO",V829="NO",V830="NO",V831="NO",V832="NO",V833="NO",V834="NO",V835="NO",V836="NO",V837="NO"))</formula>
    </cfRule>
  </conditionalFormatting>
  <conditionalFormatting sqref="V828:V837">
    <cfRule type="expression" dxfId="18" priority="84" stopIfTrue="1">
      <formula>AND($O$805=1,V828="NO")</formula>
    </cfRule>
    <cfRule type="expression" dxfId="17" priority="85" stopIfTrue="1">
      <formula>AND($O$805=1,V828="YES")</formula>
    </cfRule>
  </conditionalFormatting>
  <conditionalFormatting sqref="V876 V891">
    <cfRule type="expression" dxfId="16" priority="74" stopIfTrue="1">
      <formula>OR(AND(V878="YES",V880&lt;&gt;"NO"),AND(V878&lt;&gt;"NO",V880="YES"))</formula>
    </cfRule>
    <cfRule type="expression" dxfId="15" priority="75" stopIfTrue="1">
      <formula>OR(V878="NO",V880="NO")</formula>
    </cfRule>
  </conditionalFormatting>
  <conditionalFormatting sqref="V901">
    <cfRule type="expression" dxfId="14" priority="76" stopIfTrue="1">
      <formula>V903="YES"</formula>
    </cfRule>
    <cfRule type="expression" dxfId="13" priority="77" stopIfTrue="1">
      <formula>V903="NO"</formula>
    </cfRule>
  </conditionalFormatting>
  <conditionalFormatting sqref="V1003:V1006 V1008:V1011">
    <cfRule type="cellIs" dxfId="12" priority="95" stopIfTrue="1" operator="notEqual">
      <formula>""</formula>
    </cfRule>
  </conditionalFormatting>
  <conditionalFormatting sqref="V1013:V1015">
    <cfRule type="expression" dxfId="11" priority="54" stopIfTrue="1">
      <formula>W1013="NO"</formula>
    </cfRule>
    <cfRule type="expression" dxfId="10" priority="55" stopIfTrue="1">
      <formula>W1013="YES"</formula>
    </cfRule>
  </conditionalFormatting>
  <conditionalFormatting sqref="V774:W774 W1013:W1015 O1081:T1081 O1098 Q1098 S1098 U1098 O1100 Q1100 S1100 O1147:T1147 O1164 Q1164 S1164 U1164 O1166 Q1166 S1166 U1100 U1166">
    <cfRule type="expression" dxfId="9" priority="81" stopIfTrue="1">
      <formula>O774="YES"</formula>
    </cfRule>
  </conditionalFormatting>
  <conditionalFormatting sqref="V774:W774 W1013:W1015 O1081:T1081 O1098 Q1098 S1098 U1098 O1100 Q1100 S1100 O1147:T1147 O1164 Q1164 S1164 U1164 O1166 Q1166 S1166">
    <cfRule type="expression" dxfId="8" priority="80" stopIfTrue="1">
      <formula>O774="NO"</formula>
    </cfRule>
  </conditionalFormatting>
  <conditionalFormatting sqref="V1012:W1012">
    <cfRule type="expression" dxfId="7" priority="56" stopIfTrue="1">
      <formula>OR(W1015="NO",AND(W1015&lt;&gt;"YES",OR(W1013="NO",W1014="NO")))</formula>
    </cfRule>
    <cfRule type="expression" dxfId="6" priority="57" stopIfTrue="1">
      <formula>AND(W1015&lt;&gt;"NO",OR(W1013="YES",W1014="YES"))</formula>
    </cfRule>
  </conditionalFormatting>
  <conditionalFormatting sqref="W557 W619">
    <cfRule type="expression" dxfId="5" priority="64" stopIfTrue="1">
      <formula>OR(T560="NO",U560="NO",V560="NO",W560="NO",T561="NO",U561="NO",V561="NO",W561="NO")</formula>
    </cfRule>
    <cfRule type="expression" dxfId="4" priority="65" stopIfTrue="1">
      <formula>OR(T560="YES",U560="YES",V560="YES",W560="YES",T561="YES",U561="YES",V561="YES",W561="YES")</formula>
    </cfRule>
  </conditionalFormatting>
  <conditionalFormatting sqref="W826">
    <cfRule type="expression" dxfId="3" priority="52" stopIfTrue="1">
      <formula>AND($O$805="Dent",OR(W828="NO",W829="NO",W830="NO",W831="NO",W832="NO",W833="NO",W834="NO",W835="NO",W836="NO",W837="NO"))</formula>
    </cfRule>
  </conditionalFormatting>
  <conditionalFormatting sqref="W827">
    <cfRule type="expression" dxfId="2" priority="53" stopIfTrue="1">
      <formula>AND($O$805="Dent",OR(W828="NO",W829="NO",W830="NO",W831="NO",W832="NO",W833="NO",W834="NO",W835="NO",W836="NO",W837="NO"))</formula>
    </cfRule>
  </conditionalFormatting>
  <conditionalFormatting sqref="W828:W837">
    <cfRule type="expression" dxfId="1" priority="86" stopIfTrue="1">
      <formula>AND($O$805="Dent",W828="NO")</formula>
    </cfRule>
    <cfRule type="expression" dxfId="0" priority="87"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6"/>
  <cols>
    <col min="2" max="2" width="10.3984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53" t="s">
        <v>1130</v>
      </c>
      <c r="B9" s="1253"/>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election activeCell="Y4" sqref="Y4"/>
    </sheetView>
  </sheetViews>
  <sheetFormatPr defaultRowHeight="15.6"/>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2025-11-18T18:21:56Z</dcterms:modified>
</cp:coreProperties>
</file>