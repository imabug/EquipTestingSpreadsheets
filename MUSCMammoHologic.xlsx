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0A754F79-E5BB-4751-AEDA-C25724761215}" xr6:coauthVersionLast="47" xr6:coauthVersionMax="47" xr10:uidLastSave="{00000000-0000-0000-0000-000000000000}"/>
  <bookViews>
    <workbookView xWindow="-120" yWindow="-120" windowWidth="29040" windowHeight="16440" firstSheet="2"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W507" i="6" l="1"/>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0"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X361" i="6"/>
  <c r="K502" i="6" s="1"/>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Q482" i="6"/>
  <c r="S476" i="6"/>
  <c r="R476" i="6"/>
  <c r="Q476" i="6"/>
  <c r="P476" i="6"/>
  <c r="S475" i="6"/>
  <c r="R475" i="6"/>
  <c r="Q475" i="6"/>
  <c r="P475" i="6"/>
  <c r="S474" i="6"/>
  <c r="R474" i="6"/>
  <c r="Q474" i="6"/>
  <c r="P474" i="6"/>
  <c r="V473" i="6"/>
  <c r="U473" i="6"/>
  <c r="T473" i="6"/>
  <c r="S473" i="6"/>
  <c r="R473" i="6"/>
  <c r="Q473" i="6"/>
  <c r="P473" i="6"/>
  <c r="S472" i="6"/>
  <c r="R472" i="6"/>
  <c r="Q472" i="6"/>
  <c r="P472" i="6"/>
  <c r="S461" i="6"/>
  <c r="R461" i="6"/>
  <c r="Q461" i="6"/>
  <c r="P461" i="6"/>
  <c r="S460" i="6"/>
  <c r="R460" i="6"/>
  <c r="Q460" i="6"/>
  <c r="P460" i="6"/>
  <c r="S459" i="6"/>
  <c r="R459" i="6"/>
  <c r="Q459" i="6"/>
  <c r="P459" i="6"/>
  <c r="S458" i="6"/>
  <c r="R458" i="6"/>
  <c r="Q458" i="6"/>
  <c r="P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P429" i="6"/>
  <c r="S425" i="6"/>
  <c r="R425" i="6"/>
  <c r="Q425" i="6"/>
  <c r="P425" i="6"/>
  <c r="S424" i="6"/>
  <c r="R424" i="6"/>
  <c r="Q424" i="6"/>
  <c r="P424" i="6"/>
  <c r="S423" i="6"/>
  <c r="R423" i="6"/>
  <c r="Q423" i="6"/>
  <c r="P423" i="6"/>
  <c r="S422" i="6"/>
  <c r="R422" i="6"/>
  <c r="Q422" i="6"/>
  <c r="P422" i="6"/>
  <c r="S421" i="6"/>
  <c r="R421" i="6"/>
  <c r="Q421" i="6"/>
  <c r="P421" i="6"/>
  <c r="S420" i="6"/>
  <c r="R420" i="6"/>
  <c r="Q420" i="6"/>
  <c r="P420" i="6"/>
  <c r="S419" i="6"/>
  <c r="R419" i="6"/>
  <c r="Q419" i="6"/>
  <c r="P419" i="6"/>
  <c r="S418" i="6"/>
  <c r="R418" i="6"/>
  <c r="Q418" i="6"/>
  <c r="P418" i="6"/>
  <c r="S417" i="6"/>
  <c r="R417" i="6"/>
  <c r="Q417" i="6"/>
  <c r="P417"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T417" i="6"/>
  <c r="X375" i="6"/>
  <c r="K515" i="6" s="1"/>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J131" i="8"/>
  <c r="X373" i="6" s="1"/>
  <c r="K513" i="6" s="1"/>
  <c r="U376" i="6"/>
  <c r="T340" i="6"/>
  <c r="T339" i="6"/>
  <c r="T328" i="6"/>
  <c r="T327" i="6"/>
  <c r="U377" i="6" l="1"/>
  <c r="H517" i="6" s="1"/>
  <c r="H516" i="6"/>
  <c r="X372" i="6"/>
  <c r="L50" i="6"/>
  <c r="X374" i="6" l="1"/>
  <c r="AD95" i="6" s="1"/>
  <c r="AC95" i="6" s="1"/>
  <c r="K512" i="6"/>
  <c r="X379" i="6"/>
  <c r="K518" i="6" s="1"/>
  <c r="M50" i="6"/>
  <c r="P45" i="6"/>
  <c r="E50" i="6" s="1"/>
  <c r="X376" i="6" l="1"/>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A131" i="8" s="1"/>
  <c r="X330" i="6"/>
  <c r="G131" i="8" s="1"/>
  <c r="X332" i="6" s="1"/>
  <c r="E131" i="8" l="1"/>
  <c r="D131" i="8"/>
  <c r="H131" i="8"/>
  <c r="C18" i="10"/>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P537" i="6"/>
  <c r="AD117" i="6" s="1"/>
  <c r="AC117" i="6" s="1"/>
  <c r="U536" i="6"/>
  <c r="S536" i="6"/>
  <c r="Q536" i="6"/>
  <c r="P536" i="6"/>
  <c r="AD116" i="6" s="1"/>
  <c r="AC116" i="6" s="1"/>
  <c r="U535" i="6"/>
  <c r="S535" i="6"/>
  <c r="Q535" i="6"/>
  <c r="P535" i="6"/>
  <c r="AD115" i="6" s="1"/>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142" i="6"/>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C131" i="8"/>
  <c r="B131" i="8"/>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I131" i="8" s="1"/>
  <c r="X310" i="6"/>
  <c r="L387" i="6"/>
  <c r="L376" i="6"/>
  <c r="L362" i="6"/>
  <c r="L348" i="6"/>
  <c r="K501" i="6" l="1"/>
  <c r="X365" i="6"/>
  <c r="K505" i="6" s="1"/>
  <c r="AD94" i="6"/>
  <c r="AC94" i="6" s="1"/>
  <c r="X362" i="6"/>
  <c r="K503" i="6" s="1"/>
  <c r="X380" i="6"/>
  <c r="X366" i="6"/>
  <c r="K506" i="6" s="1"/>
  <c r="F131" i="8"/>
  <c r="X312" i="6" s="1"/>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19"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<sst xmlns="http://schemas.openxmlformats.org/spreadsheetml/2006/main" count="3133" uniqueCount="833">
  <si>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</si>
  <si>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</si>
  <si>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</si>
  <si>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</si>
  <si>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</si>
  <si>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</si>
  <si>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</si>
  <si>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</si>
  <si>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</si>
  <si>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</si>
  <si>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</si>
  <si>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</si>
  <si>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</si>
  <si>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</si>
  <si>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</si>
  <si>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</si>
  <si>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</si>
  <si>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</si>
  <si>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</si>
  <si>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</si>
  <si>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</si>
  <si>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</si>
  <si>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</si>
  <si>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</si>
  <si>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</si>
  <si>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</si>
  <si>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</si>
  <si>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</si>
  <si>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</si>
  <si>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</si>
  <si>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</si>
  <si>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</si>
  <si>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</si>
  <si>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</si>
  <si>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</si>
  <si>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</si>
  <si>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</si>
  <si>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</si>
  <si>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</si>
  <si>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</si>
  <si>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</si>
  <si>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</si>
  <si>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</si>
  <si>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</si>
  <si>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</si>
  <si>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</si>
  <si>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</si>
  <si>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</si>
  <si>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</si>
  <si>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</si>
  <si>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</si>
  <si>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</si>
  <si>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</si>
  <si>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</si>
  <si>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</si>
  <si>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</si>
  <si>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</si>
  <si>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</si>
  <si>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</si>
  <si>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</si>
  <si>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</si>
  <si>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</si>
  <si>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</si>
  <si>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</si>
  <si>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</si>
  <si>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</si>
  <si>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</si>
  <si>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</si>
  <si>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</si>
  <si>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</si>
  <si>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</si>
  <si>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</si>
  <si>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</si>
  <si>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</si>
  <si>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</si>
  <si>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</si>
  <si>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</si>
  <si>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</si>
  <si>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</si>
  <si>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</si>
  <si>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</si>
  <si>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</si>
  <si>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</si>
  <si>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</si>
  <si>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</si>
  <si>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</si>
  <si>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</si>
  <si>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</si>
  <si>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</si>
  <si>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</si>
  <si>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</si>
  <si>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</si>
  <si>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</si>
  <si>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</si>
  <si>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</si>
  <si>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</si>
  <si>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</si>
  <si>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</si>
  <si>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</si>
  <si>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</si>
  <si>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</si>
  <si>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</si>
  <si>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</si>
  <si>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</si>
  <si>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</si>
  <si>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</si>
  <si>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</si>
  <si>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</si>
  <si>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</si>
  <si>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</si>
  <si>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</si>
  <si>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</si>
  <si>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</si>
  <si>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</si>
  <si>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</si>
  <si>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</si>
  <si>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</si>
  <si>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</si>
  <si>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</si>
  <si>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</si>
  <si>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</si>
  <si>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</si>
  <si>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</si>
  <si>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</si>
  <si>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</si>
  <si>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</si>
  <si>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</si>
  <si>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</si>
  <si>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</si>
  <si>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</si>
  <si>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</si>
  <si>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</si>
  <si>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</si>
  <si>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</si>
  <si>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</si>
  <si>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</si>
  <si>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</si>
  <si>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</si>
  <si>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</si>
  <si>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</si>
  <si>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</si>
  <si>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</si>
  <si>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</si>
  <si>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</si>
  <si>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</si>
  <si>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</si>
  <si>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</si>
  <si>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</si>
  <si>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</si>
  <si>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</si>
  <si>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</si>
  <si>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</si>
  <si>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</si>
  <si>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</si>
  <si>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</si>
  <si>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</si>
  <si>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</si>
  <si>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</si>
  <si>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</si>
  <si>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</si>
  <si>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</si>
  <si>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</si>
  <si>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</si>
  <si>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</si>
  <si>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</si>
  <si>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</si>
  <si>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</si>
  <si>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</si>
  <si>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</si>
  <si>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</si>
  <si>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</si>
  <si>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</si>
  <si>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</si>
  <si>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</si>
  <si>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</si>
  <si>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</si>
  <si>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</si>
  <si>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</si>
  <si>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</si>
  <si>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</si>
  <si>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</si>
  <si>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</si>
  <si>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</si>
  <si>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</si>
  <si>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</si>
  <si>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</si>
  <si>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</si>
  <si>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</si>
  <si>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</si>
  <si>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</si>
  <si>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</si>
  <si>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</si>
  <si>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</si>
  <si>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</si>
  <si>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</si>
  <si>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</si>
  <si>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</si>
  <si>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</si>
  <si>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</si>
  <si>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</si>
  <si>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</si>
  <si>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</si>
  <si>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</si>
  <si>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</si>
  <si>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</si>
  <si>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</si>
  <si>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</si>
  <si>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</si>
  <si>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</si>
  <si>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</si>
  <si>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</si>
  <si>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</si>
  <si>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</si>
  <si>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</si>
  <si>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</si>
  <si>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</si>
  <si>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</si>
  <si>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</si>
  <si>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</si>
  <si>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</si>
  <si>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</si>
  <si>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</si>
  <si>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</si>
  <si>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</si>
  <si>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</si>
  <si>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</si>
  <si>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</si>
  <si>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</si>
  <si>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</si>
  <si>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</si>
  <si>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</si>
  <si>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</si>
  <si>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</si>
  <si>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</si>
  <si>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</si>
  <si>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</si>
  <si>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</si>
  <si>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</si>
  <si>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</si>
  <si>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</si>
  <si>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</si>
  <si>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</si>
  <si>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</si>
  <si>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</si>
  <si>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</si>
  <si>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</si>
  <si>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</si>
  <si>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</si>
  <si>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</si>
  <si>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</si>
  <si>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</si>
  <si>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</si>
  <si>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</si>
  <si>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</si>
  <si>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</si>
  <si>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</si>
  <si>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</si>
  <si>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</si>
  <si>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</si>
  <si>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</si>
  <si>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</si>
  <si>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</si>
  <si>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</si>
  <si>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</si>
  <si>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</si>
  <si>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</si>
  <si>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</si>
  <si>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</si>
  <si>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</si>
  <si>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</si>
  <si>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</si>
  <si>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</si>
  <si>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</si>
  <si>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</si>
  <si>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</si>
  <si>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</si>
  <si>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</si>
  <si>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</si>
  <si>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</si>
  <si>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</si>
  <si>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</si>
  <si>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</si>
  <si>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</si>
  <si>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</si>
  <si>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</si>
  <si>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</si>
  <si>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</si>
  <si>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</si>
  <si>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</si>
  <si>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</si>
  <si>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</si>
  <si>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</si>
  <si>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</si>
  <si>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</si>
  <si>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</si>
  <si>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</si>
  <si>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</si>
  <si>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</si>
  <si>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</si>
  <si>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</si>
  <si>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</si>
  <si>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</si>
  <si>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</si>
  <si>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</si>
  <si>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</si>
  <si>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</si>
  <si>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</si>
  <si>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</si>
  <si>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</si>
  <si>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</si>
  <si>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</si>
  <si>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</si>
  <si>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</si>
  <si>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</si>
  <si>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</si>
  <si>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</si>
  <si>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</si>
  <si>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</si>
  <si>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</si>
  <si>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</si>
  <si>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</si>
  <si>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</si>
  <si>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</si>
  <si>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</si>
  <si>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</si>
  <si>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</si>
  <si>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</si>
  <si>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</si>
  <si>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</si>
  <si>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</si>
  <si>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</si>
  <si>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</si>
  <si>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</si>
  <si>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</si>
  <si>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</si>
  <si>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</si>
  <si>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</si>
  <si>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</si>
  <si>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</si>
  <si>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</si>
  <si>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</si>
  <si>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</si>
  <si>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</si>
  <si>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</si>
  <si>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</si>
  <si>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</si>
  <si>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</si>
  <si>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</si>
  <si>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</si>
  <si>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</si>
  <si>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</si>
  <si>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</si>
  <si>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</si>
  <si>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</si>
  <si>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</si>
  <si>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</si>
  <si>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</si>
  <si>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</si>
  <si>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</si>
  <si>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</si>
  <si>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</si>
  <si>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</si>
  <si>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</si>
  <si>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</si>
  <si>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</si>
  <si>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</si>
  <si>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</si>
  <si>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</si>
  <si>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</si>
  <si>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</si>
  <si>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</si>
  <si>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</si>
  <si>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</si>
  <si>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</si>
  <si>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</si>
  <si>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</si>
  <si>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</si>
  <si>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</si>
  <si>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</si>
  <si>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</si>
  <si>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</si>
  <si>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</si>
  <si>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</si>
  <si>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</si>
  <si>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</si>
  <si>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</si>
  <si>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</si>
  <si>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</si>
  <si>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</si>
  <si>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</si>
  <si>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</si>
  <si>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</si>
  <si>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</si>
  <si>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</si>
  <si>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</si>
  <si>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</si>
  <si>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</si>
  <si>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</si>
  <si>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</si>
  <si>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</si>
  <si>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</si>
  <si>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</si>
  <si>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</si>
  <si>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</si>
  <si>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</si>
  <si>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</si>
  <si>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</si>
  <si>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</si>
  <si>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</si>
  <si>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</si>
  <si>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</si>
  <si>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</si>
  <si>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</si>
  <si>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</si>
  <si>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</si>
  <si>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</si>
  <si>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</si>
  <si>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</si>
  <si>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</si>
  <si>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</si>
  <si>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</si>
  <si>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</si>
  <si>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</si>
  <si>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</si>
  <si>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</si>
  <si>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</si>
  <si>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</si>
  <si>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</si>
  <si>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</si>
  <si>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</si>
  <si>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</si>
  <si>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</si>
  <si>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</si>
  <si>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</si>
  <si>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</si>
  <si>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</si>
  <si>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</si>
  <si>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</si>
  <si>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</si>
  <si>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</si>
  <si>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</si>
  <si>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</si>
  <si>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</si>
  <si>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</si>
  <si>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</si>
  <si>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</si>
  <si>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</si>
  <si>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</si>
  <si>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</si>
  <si>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</si>
  <si>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</si>
  <si>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</si>
  <si>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</si>
  <si>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</si>
  <si>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</si>
  <si>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</si>
  <si>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</si>
  <si>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</si>
  <si>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</si>
  <si>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</si>
  <si>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</si>
  <si>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</si>
  <si>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</si>
  <si>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</si>
  <si>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</si>
  <si>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</si>
  <si>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</si>
  <si>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</si>
  <si>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</si>
  <si>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</si>
  <si>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</si>
  <si>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</si>
  <si>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</si>
  <si>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</si>
  <si>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</si>
  <si>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</si>
  <si>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</si>
  <si>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</si>
  <si>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</si>
  <si>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</si>
  <si>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</si>
  <si>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</si>
  <si>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</si>
  <si>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</si>
  <si>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</si>
  <si>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</si>
  <si>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</si>
  <si>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</si>
  <si>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</si>
  <si>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</si>
  <si>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</si>
  <si>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</si>
  <si>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</si>
  <si>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</si>
  <si>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</si>
  <si>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</si>
  <si>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</si>
  <si>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</si>
  <si>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</si>
  <si>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</si>
  <si>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</si>
  <si>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</si>
  <si>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</si>
  <si>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</si>
  <si>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</si>
  <si>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</si>
  <si>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</si>
  <si>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</si>
  <si>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</si>
  <si>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</si>
  <si>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</si>
  <si>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</si>
  <si>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</si>
  <si>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</si>
  <si>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</si>
  <si>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</si>
  <si>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</si>
  <si>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</si>
  <si>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</si>
  <si>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</si>
  <si>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</si>
  <si>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</si>
  <si>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</si>
  <si>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</si>
  <si>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</si>
  <si>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</si>
  <si>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</si>
  <si>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</si>
  <si>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</si>
  <si>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</si>
  <si>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</si>
  <si>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</si>
  <si>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</si>
  <si>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</si>
  <si>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</si>
  <si>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</si>
  <si>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</si>
  <si>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</si>
  <si>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</si>
  <si>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</si>
  <si>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</si>
  <si>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</si>
  <si>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</si>
  <si>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</si>
  <si>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</si>
  <si>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</si>
  <si>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</si>
  <si>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</si>
  <si>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</si>
  <si>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</si>
  <si>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</si>
  <si>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</si>
  <si>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</si>
  <si>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</si>
  <si>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</si>
  <si>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</si>
  <si>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</si>
  <si>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</si>
  <si>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</si>
  <si>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</si>
  <si>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</si>
  <si>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</si>
  <si>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</si>
  <si>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</si>
  <si>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</si>
  <si>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</si>
  <si>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</si>
  <si>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</si>
  <si>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</si>
  <si>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</si>
  <si>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</si>
  <si>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</si>
  <si>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</si>
  <si>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</si>
  <si>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</si>
  <si>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</si>
  <si>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</si>
  <si>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</si>
  <si>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</si>
  <si>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</si>
  <si>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</si>
  <si>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</si>
  <si>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</si>
  <si>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</si>
  <si>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</si>
  <si>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</si>
  <si>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</si>
  <si>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</si>
  <si>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</si>
  <si>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</si>
  <si>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</si>
  <si>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</si>
  <si>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</si>
  <si>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</si>
  <si>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</si>
  <si>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</si>
  <si>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</si>
  <si>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</si>
  <si>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</si>
  <si>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</si>
  <si>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</si>
  <si>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</si>
  <si>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</si>
  <si>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</si>
  <si>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</si>
  <si>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</si>
  <si>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</si>
  <si>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</si>
  <si>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</si>
  <si>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</si>
  <si>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</si>
  <si>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</si>
  <si>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</si>
  <si>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</si>
  <si>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</si>
  <si>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</si>
  <si>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</si>
  <si>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</si>
  <si>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</si>
  <si>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</si>
  <si>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</si>
  <si>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</si>
  <si>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</si>
  <si>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</si>
  <si>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</si>
  <si>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</si>
  <si>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</si>
  <si>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</si>
  <si>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</si>
  <si>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</si>
  <si>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</si>
  <si>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</si>
  <si>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</si>
  <si>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</si>
  <si>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</si>
  <si>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</si>
  <si>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</si>
  <si>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</si>
  <si>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</si>
  <si>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</si>
  <si>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</si>
  <si>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</si>
  <si>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</si>
  <si>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</si>
  <si>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</si>
  <si>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</si>
  <si>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</si>
  <si>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</si>
  <si>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</si>
  <si>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</si>
  <si>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</si>
  <si>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</si>
  <si>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</si>
  <si>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</si>
  <si>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</si>
  <si>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</si>
  <si>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</si>
  <si>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</si>
  <si>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</si>
  <si>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</si>
  <si>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</si>
  <si>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</si>
  <si>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</si>
  <si>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</si>
  <si>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</si>
  <si>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</si>
  <si>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</si>
  <si>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</si>
  <si>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</si>
  <si>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</si>
  <si>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</si>
  <si>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</si>
  <si>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</si>
  <si>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</si>
  <si>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</si>
  <si>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</si>
  <si>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</si>
  <si>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</si>
  <si>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</si>
  <si>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</si>
  <si>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</si>
  <si>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</si>
  <si>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</si>
  <si>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</si>
  <si>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</si>
  <si>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</si>
  <si>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</si>
  <si>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</si>
  <si>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</si>
  <si>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</si>
  <si>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</si>
  <si>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</si>
  <si>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</si>
  <si>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</si>
  <si>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</si>
  <si>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</si>
  <si>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</si>
  <si>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</si>
  <si>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</si>
  <si>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</si>
  <si>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</si>
  <si>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</si>
  <si>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</si>
  <si>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</si>
  <si>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</si>
  <si>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</si>
  <si>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</si>
  <si>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</si>
  <si>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</si>
  <si>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</si>
  <si>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</si>
  <si>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</si>
  <si>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</si>
  <si>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</si>
  <si>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</si>
  <si>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</si>
  <si>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</si>
  <si>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</si>
  <si>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</si>
  <si>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</si>
  <si>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</si>
  <si>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</si>
  <si>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</si>
  <si>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</si>
  <si>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</si>
  <si>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</si>
  <si>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</si>
  <si>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</si>
  <si>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</si>
  <si>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</si>
  <si>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</si>
  <si>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</si>
  <si>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</si>
  <si>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</si>
  <si>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</si>
  <si>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</si>
  <si>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</si>
  <si>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</si>
  <si>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</si>
  <si>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</si>
  <si>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</si>
  <si>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</si>
  <si>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</si>
  <si>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</si>
  <si>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</si>
  <si>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</si>
  <si>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</si>
  <si>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</si>
  <si>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</si>
  <si>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</si>
  <si>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</si>
  <si>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</si>
  <si>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</si>
  <si>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</si>
  <si>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</si>
  <si>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</si>
  <si>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</si>
  <si>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</si>
  <si>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</si>
  <si>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</si>
  <si>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</si>
  <si>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</si>
  <si>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</si>
  <si>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</si>
  <si>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</si>
  <si>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</si>
  <si>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</si>
  <si>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</si>
  <si>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</si>
  <si>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</si>
  <si>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</si>
  <si>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</si>
  <si>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</si>
  <si>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</si>
  <si>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</si>
  <si>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</si>
  <si>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</si>
  <si>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</si>
  <si>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</si>
  <si>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</si>
  <si>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</si>
  <si>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Barco K5905277 v16</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</si>
  <si>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</si>
  <si>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</si>
  <si>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</si>
  <si>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</si>
  <si>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</si>
  <si>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</si>
  <si>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</si>
  <si>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</si>
  <si>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</si>
  <si>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</si>
  <si>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</si>
  <si>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</si>
  <si>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</si>
  <si>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</si>
  <si>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</si>
  <si>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</si>
  <si>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</si>
  <si>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</si>
  <si>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</si>
  <si>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</si>
  <si>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</si>
  <si>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</si>
  <si>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</si>
  <si>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</si>
  <si>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</si>
  <si>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</si>
  <si>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</si>
  <si>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</si>
  <si>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</si>
  <si>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</si>
  <si>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</si>
  <si>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</si>
  <si>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</si>
  <si>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</si>
  <si>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</si>
  <si>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</si>
  <si>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</si>
  <si>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</si>
  <si>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</si>
  <si>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</si>
  <si>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</si>
  <si>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</si>
  <si>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</si>
  <si>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</si>
  <si>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</si>
  <si>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</si>
  <si>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</si>
  <si>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</si>
  <si>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Revision 3.0-20251105</t>
  </si>
  <si>
    <t>Page1,Page2,Artifact_Coll,AEC_ImgQual,MGD,Gen_HVL,CEDM</t>
  </si>
  <si>
    <t>3Dimensions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</si>
</sst>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2">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7" fontId="37" fillId="0" borderId="79" xfId="0" applyNumberFormat="1" applyFont="1" applyBorder="1" applyAlignment="1">
      <alignment horizontal="center"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7" fontId="37" fillId="0" borderId="8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47" fillId="0" borderId="0" xfId="0" applyFont="1" applyAlignment="1">
      <alignment horizontal="right"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0" fontId="6" fillId="0" borderId="0" xfId="4" applyFont="1" applyAlignment="1">
      <alignment horizontal="center"/>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8" fillId="0" borderId="124" xfId="4" applyBorder="1" applyAlignment="1">
      <alignment horizontal="center"/>
    </xf>
    <xf numFmtId="0" fontId="11" fillId="0" borderId="0" xfId="4" applyFont="1" applyAlignment="1">
      <alignment horizontal="left" vertical="center" wrapText="1"/>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29" fillId="0" borderId="0" xfId="4" applyFont="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5" fillId="0" borderId="0" xfId="4" applyFont="1" applyAlignment="1">
      <alignment horizontal="center"/>
    </xf>
    <xf numFmtId="0" fontId="8" fillId="0" borderId="0" xfId="4" applyAlignment="1">
      <alignment horizontal="center"/>
    </xf>
    <xf numFmtId="0" fontId="14" fillId="0" borderId="0" xfId="4" applyFont="1"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22" fillId="0" borderId="55" xfId="4" applyFont="1" applyBorder="1" applyAlignment="1">
      <alignment horizontal="left" vertical="top" wrapText="1"/>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7" fillId="10" borderId="23" xfId="4"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4" xfId="4" applyFont="1" applyBorder="1" applyAlignment="1">
      <alignment horizontal="lef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21" fillId="0" borderId="58"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48" fillId="0" borderId="96" xfId="0" applyFont="1" applyBorder="1" applyAlignment="1" applyProtection="1">
      <alignment horizontal="center" vertical="center"/>
      <protection locked="0"/>
    </xf>
    <xf numFmtId="0" fontId="37" fillId="0" borderId="58" xfId="0" applyFont="1" applyBorder="1" applyAlignment="1">
      <alignment horizontal="center" vertical="center"/>
    </xf>
    <xf numFmtId="0" fontId="37" fillId="0" borderId="134" xfId="0" applyFont="1" applyBorder="1" applyAlignment="1">
      <alignment horizontal="center" vertical="center"/>
    </xf>
    <xf numFmtId="0" fontId="37" fillId="0" borderId="147" xfId="0" applyFont="1" applyBorder="1" applyAlignment="1">
      <alignment horizontal="center" vertical="center"/>
    </xf>
    <xf numFmtId="0" fontId="37" fillId="0" borderId="0" xfId="0" applyFont="1" applyAlignment="1">
      <alignment horizontal="center" vertical="center"/>
    </xf>
    <xf numFmtId="0" fontId="37" fillId="0" borderId="59"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37" fillId="0" borderId="9" xfId="0" applyFont="1" applyBorder="1" applyAlignment="1">
      <alignment horizontal="center" vertical="center"/>
    </xf>
    <xf numFmtId="0" fontId="37" fillId="0" borderId="151" xfId="0" applyFont="1" applyBorder="1" applyAlignment="1">
      <alignment horizontal="center" vertical="center"/>
    </xf>
    <xf numFmtId="0" fontId="37" fillId="0" borderId="22" xfId="0" applyFont="1" applyBorder="1" applyAlignment="1">
      <alignment horizontal="center" vertical="center"/>
    </xf>
    <xf numFmtId="0" fontId="37" fillId="0" borderId="23" xfId="0" applyFont="1" applyBorder="1" applyAlignment="1">
      <alignment horizontal="center" vertical="center"/>
    </xf>
    <xf numFmtId="165" fontId="37" fillId="0" borderId="22" xfId="0" applyNumberFormat="1"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0" fontId="37" fillId="0" borderId="4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48" fillId="5" borderId="155" xfId="0" applyFont="1" applyFill="1" applyBorder="1" applyAlignment="1">
      <alignment horizontal="center" vertical="center"/>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2">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542925</xdr:colOff>
          <xdr:row>13</xdr:row>
          <xdr:rowOff>9525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542925</xdr:colOff>
          <xdr:row>13</xdr:row>
          <xdr:rowOff>9525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542925</xdr:colOff>
          <xdr:row>14</xdr:row>
          <xdr:rowOff>9525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542925</xdr:colOff>
          <xdr:row>14</xdr:row>
          <xdr:rowOff>9525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923925</xdr:colOff>
          <xdr:row>15</xdr:row>
          <xdr:rowOff>0</xdr:rowOff>
        </xdr:from>
        <xdr:to>
          <xdr:col>3</xdr:col>
          <xdr:colOff>76200</xdr:colOff>
          <xdr:row>16</xdr:row>
          <xdr:rowOff>9525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409575</xdr:colOff>
          <xdr:row>15</xdr:row>
          <xdr:rowOff>0</xdr:rowOff>
        </xdr:from>
        <xdr:to>
          <xdr:col>12</xdr:col>
          <xdr:colOff>133350</xdr:colOff>
          <xdr:row>16</xdr:row>
          <xdr:rowOff>9525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923925</xdr:colOff>
          <xdr:row>16</xdr:row>
          <xdr:rowOff>9525</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238125</xdr:colOff>
          <xdr:row>16</xdr:row>
          <xdr:rowOff>9525</xdr:rowOff>
        </xdr:from>
        <xdr:to>
          <xdr:col>5</xdr:col>
          <xdr:colOff>104775</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1000125</xdr:colOff>
          <xdr:row>35</xdr:row>
          <xdr:rowOff>19050</xdr:rowOff>
        </xdr:from>
        <xdr:to>
          <xdr:col>3</xdr:col>
          <xdr:colOff>133350</xdr:colOff>
          <xdr:row>36</xdr:row>
          <xdr:rowOff>9525</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552450</xdr:colOff>
          <xdr:row>35</xdr:row>
          <xdr:rowOff>19050</xdr:rowOff>
        </xdr:from>
        <xdr:to>
          <xdr:col>9</xdr:col>
          <xdr:colOff>142875</xdr:colOff>
          <xdr:row>36</xdr:row>
          <xdr:rowOff>9525</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8725" y="242887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8725" y="2847975"/>
              <a:ext cx="962025" cy="31432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8725" y="3171825"/>
              <a:ext cx="962025" cy="419100"/>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8725" y="3600450"/>
              <a:ext cx="962025" cy="419100"/>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8725" y="4029075"/>
              <a:ext cx="962025" cy="42862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8725" y="4476750"/>
              <a:ext cx="962025" cy="409575"/>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8725" y="4895850"/>
              <a:ext cx="962025" cy="685800"/>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8725" y="5581650"/>
              <a:ext cx="962025" cy="428625"/>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8725" y="6010275"/>
              <a:ext cx="962025" cy="428625"/>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8725" y="6438900"/>
              <a:ext cx="962025" cy="428625"/>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8725" y="6867525"/>
              <a:ext cx="962025" cy="428625"/>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8725" y="7296150"/>
              <a:ext cx="962025" cy="695325"/>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8725" y="8001000"/>
              <a:ext cx="962025" cy="419100"/>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8725" y="8420100"/>
              <a:ext cx="962025" cy="32385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8725" y="8743950"/>
              <a:ext cx="962025" cy="428625"/>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8725" y="9172575"/>
              <a:ext cx="962025" cy="581025"/>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8725" y="9753600"/>
              <a:ext cx="962025" cy="59055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8725" y="10344150"/>
              <a:ext cx="962025" cy="28575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8725" y="10629900"/>
              <a:ext cx="962025" cy="295275"/>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8725" y="10925175"/>
              <a:ext cx="962025" cy="28575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8725" y="11210925"/>
              <a:ext cx="962025" cy="695325"/>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8725" y="11906250"/>
              <a:ext cx="962025" cy="43815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8725" y="12344400"/>
              <a:ext cx="962025" cy="59055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8725" y="12934950"/>
              <a:ext cx="962025" cy="847725"/>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8725" y="13782675"/>
              <a:ext cx="962025" cy="43815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8725" y="14220825"/>
              <a:ext cx="962025" cy="428625"/>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8725" y="14649450"/>
              <a:ext cx="962025" cy="695325"/>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8725" y="15344775"/>
              <a:ext cx="962025" cy="581025"/>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8725" y="15925800"/>
              <a:ext cx="962025" cy="59055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8725" y="16516350"/>
              <a:ext cx="962025" cy="59055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21" workbookViewId="0">
      <selection activeCell="M42" sqref="M42:N46"/>
    </sheetView>
  </sheetViews>
  <sheetFormatPr defaultColWidth="9" defaultRowHeight="12.75"/>
  <cols>
    <col min="1" max="1" width="5" style="19" customWidth="1"/>
    <col min="2" max="2" width="5.5" style="19" customWidth="1"/>
    <col min="3" max="3" width="15.125" style="19" customWidth="1"/>
    <col min="4" max="4" width="12" style="19" customWidth="1"/>
    <col min="5" max="5" width="5.75" style="19" customWidth="1"/>
    <col min="6" max="6" width="4.125" style="19" customWidth="1"/>
    <col min="7" max="10" width="7.625" style="19" customWidth="1"/>
    <col min="11" max="11" width="8.5" style="19" customWidth="1"/>
    <col min="12" max="12" width="7.625" style="19" customWidth="1"/>
    <col min="13" max="14" width="5.75" style="19" customWidth="1"/>
    <col min="15" max="16384" width="9" style="19"/>
  </cols>
  <sheetData>
    <row r="1" spans="1:14" ht="26.25">
      <c r="A1" s="581" t="s">
        <v>391</v>
      </c>
      <c r="B1" s="581"/>
      <c r="C1" s="581"/>
      <c r="D1" s="581"/>
      <c r="E1" s="581"/>
      <c r="F1" s="581"/>
      <c r="G1" s="581"/>
      <c r="H1" s="581"/>
      <c r="I1" s="581"/>
      <c r="J1" s="581"/>
      <c r="K1" s="581"/>
      <c r="L1" s="581"/>
      <c r="M1" s="581"/>
      <c r="N1" s="581"/>
    </row>
    <row r="2" spans="1:14" ht="26.25">
      <c r="A2" s="581" t="s">
        <v>614</v>
      </c>
      <c r="B2" s="581"/>
      <c r="C2" s="581"/>
      <c r="D2" s="581"/>
      <c r="E2" s="581"/>
      <c r="F2" s="581"/>
      <c r="G2" s="581"/>
      <c r="H2" s="581"/>
      <c r="I2" s="581"/>
      <c r="J2" s="581"/>
      <c r="K2" s="581"/>
      <c r="L2" s="581"/>
      <c r="M2" s="581"/>
      <c r="N2" s="581"/>
    </row>
    <row r="3" spans="1:14" ht="16.5" customHeight="1">
      <c r="A3" s="20"/>
      <c r="B3" s="20"/>
      <c r="C3" s="20"/>
      <c r="D3" s="20"/>
      <c r="E3" s="20"/>
      <c r="F3" s="20"/>
      <c r="G3" s="20"/>
      <c r="H3" s="20"/>
      <c r="I3" s="20"/>
      <c r="J3" s="20"/>
      <c r="K3" s="20"/>
      <c r="L3" s="20"/>
      <c r="M3" s="20"/>
      <c r="N3" s="20"/>
    </row>
    <row r="4" spans="1:14" ht="16.5" customHeight="1">
      <c r="A4" s="21" t="s">
        <v>392</v>
      </c>
      <c r="B4" s="21"/>
      <c r="C4" s="582"/>
      <c r="D4" s="583"/>
      <c r="E4" s="583"/>
      <c r="F4" s="583"/>
      <c r="G4" s="583"/>
      <c r="H4" s="584"/>
      <c r="I4" s="21"/>
      <c r="J4" s="22" t="s">
        <v>393</v>
      </c>
      <c r="K4" s="585"/>
      <c r="L4" s="586"/>
      <c r="M4" s="586"/>
      <c r="N4" s="587"/>
    </row>
    <row r="5" spans="1:14" ht="16.5" customHeight="1">
      <c r="A5" s="21" t="s">
        <v>394</v>
      </c>
      <c r="B5" s="21"/>
      <c r="C5" s="582"/>
      <c r="D5" s="583"/>
      <c r="E5" s="583"/>
      <c r="F5" s="583"/>
      <c r="G5" s="583"/>
      <c r="H5" s="584"/>
      <c r="I5" s="21"/>
      <c r="J5" s="22" t="s">
        <v>395</v>
      </c>
      <c r="K5" s="585">
        <f>Sheet1!P7</f>
        <v>0</v>
      </c>
      <c r="L5" s="586"/>
      <c r="M5" s="586"/>
      <c r="N5" s="587"/>
    </row>
    <row r="6" spans="1:14" ht="16.5" customHeight="1">
      <c r="A6" s="21" t="s">
        <v>396</v>
      </c>
      <c r="B6" s="21"/>
      <c r="C6" s="21"/>
      <c r="D6" s="582" t="str">
        <f>Sheet1!X7</f>
        <v>Eugene Mah</v>
      </c>
      <c r="E6" s="583"/>
      <c r="F6" s="583"/>
      <c r="G6" s="583"/>
      <c r="H6" s="584"/>
      <c r="I6" s="21"/>
      <c r="J6" s="22" t="s">
        <v>397</v>
      </c>
      <c r="K6" s="582"/>
      <c r="L6" s="583"/>
      <c r="M6" s="583"/>
      <c r="N6" s="584"/>
    </row>
    <row r="7" spans="1:14" ht="16.5" customHeight="1">
      <c r="A7" s="21" t="s">
        <v>398</v>
      </c>
      <c r="B7" s="21"/>
      <c r="C7" s="21"/>
      <c r="D7" s="582" t="s">
        <v>399</v>
      </c>
      <c r="E7" s="583"/>
      <c r="F7" s="583"/>
      <c r="G7" s="583"/>
      <c r="H7" s="584"/>
      <c r="I7" s="21"/>
      <c r="J7" s="22" t="s">
        <v>400</v>
      </c>
      <c r="K7" s="582" t="s">
        <v>608</v>
      </c>
      <c r="L7" s="583"/>
      <c r="M7" s="583"/>
      <c r="N7" s="584"/>
    </row>
    <row r="8" spans="1:14" ht="16.5" customHeight="1">
      <c r="A8" s="21" t="s">
        <v>401</v>
      </c>
      <c r="B8" s="21"/>
      <c r="C8" s="21"/>
      <c r="D8" s="588" t="str">
        <f>Sheet1!K12</f>
        <v/>
      </c>
      <c r="E8" s="589"/>
      <c r="F8" s="589"/>
      <c r="G8" s="589"/>
      <c r="H8" s="590"/>
      <c r="I8" s="21"/>
      <c r="J8" s="22" t="s">
        <v>402</v>
      </c>
      <c r="K8" s="582" t="str">
        <f>Sheet1!R14</f>
        <v/>
      </c>
      <c r="L8" s="583"/>
      <c r="M8" s="583"/>
      <c r="N8" s="584"/>
    </row>
    <row r="9" spans="1:14" ht="11.25" customHeight="1">
      <c r="A9" s="23"/>
    </row>
    <row r="10" spans="1:14" s="21" customFormat="1" ht="16.5" customHeight="1">
      <c r="A10" s="23" t="s">
        <v>615</v>
      </c>
      <c r="D10" s="592" t="s">
        <v>778</v>
      </c>
      <c r="E10" s="593"/>
      <c r="F10" s="593"/>
      <c r="G10" s="593"/>
      <c r="H10" s="594"/>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5" t="s">
        <v>405</v>
      </c>
      <c r="E12" s="595"/>
      <c r="F12" s="595"/>
      <c r="G12" s="595" t="s">
        <v>400</v>
      </c>
      <c r="H12" s="595"/>
      <c r="I12" s="595" t="s">
        <v>8</v>
      </c>
      <c r="J12" s="595"/>
      <c r="K12" s="595" t="s">
        <v>403</v>
      </c>
      <c r="L12" s="595"/>
      <c r="M12" s="595"/>
      <c r="N12" s="595"/>
    </row>
    <row r="13" spans="1:14" ht="16.5" customHeight="1" thickTop="1">
      <c r="A13" s="21"/>
      <c r="B13" s="21"/>
      <c r="C13" s="26" t="s">
        <v>406</v>
      </c>
      <c r="D13" s="596" t="s">
        <v>779</v>
      </c>
      <c r="E13" s="597"/>
      <c r="F13" s="598"/>
      <c r="G13" s="596" t="s">
        <v>780</v>
      </c>
      <c r="H13" s="598"/>
      <c r="I13" s="599"/>
      <c r="J13" s="600"/>
      <c r="K13" s="596" t="s">
        <v>781</v>
      </c>
      <c r="L13" s="597"/>
      <c r="M13" s="597"/>
      <c r="N13" s="598"/>
    </row>
    <row r="14" spans="1:14" ht="16.5" customHeight="1">
      <c r="C14" s="26" t="s">
        <v>407</v>
      </c>
      <c r="D14" s="601"/>
      <c r="E14" s="602"/>
      <c r="F14" s="603"/>
      <c r="G14" s="601"/>
      <c r="H14" s="603"/>
      <c r="I14" s="592"/>
      <c r="J14" s="594"/>
      <c r="K14" s="601"/>
      <c r="L14" s="602"/>
      <c r="M14" s="602"/>
      <c r="N14" s="603"/>
    </row>
    <row r="15" spans="1:14" s="27" customFormat="1" ht="36" customHeight="1">
      <c r="A15" s="604" t="s">
        <v>617</v>
      </c>
      <c r="B15" s="604"/>
      <c r="C15" s="604"/>
      <c r="D15" s="604"/>
      <c r="E15" s="604"/>
      <c r="F15" s="604"/>
      <c r="G15" s="604"/>
      <c r="H15" s="604"/>
      <c r="I15" s="604"/>
      <c r="J15" s="604"/>
      <c r="K15" s="604"/>
      <c r="L15" s="604"/>
      <c r="M15" s="604"/>
      <c r="N15" s="604"/>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91" t="s">
        <v>410</v>
      </c>
      <c r="B19" s="591"/>
      <c r="C19" s="591"/>
      <c r="D19" s="591"/>
      <c r="E19" s="591"/>
      <c r="F19" s="591"/>
      <c r="G19" s="591"/>
      <c r="H19" s="591"/>
      <c r="I19" s="591"/>
      <c r="J19" s="591"/>
      <c r="K19" s="591"/>
      <c r="L19" s="591"/>
      <c r="M19" s="591"/>
      <c r="N19" s="591"/>
    </row>
    <row r="20" spans="1:14" ht="15" customHeight="1">
      <c r="A20" s="607" t="s">
        <v>411</v>
      </c>
      <c r="B20" s="607"/>
      <c r="C20" s="607"/>
      <c r="D20" s="607"/>
      <c r="E20" s="607"/>
      <c r="F20" s="607"/>
      <c r="G20" s="607"/>
      <c r="H20" s="607"/>
      <c r="I20" s="607"/>
      <c r="J20" s="607"/>
      <c r="K20" s="607"/>
      <c r="L20" s="607"/>
      <c r="M20" s="607"/>
      <c r="N20" s="607"/>
    </row>
    <row r="21" spans="1:14" ht="15" customHeight="1">
      <c r="M21" s="608" t="s">
        <v>412</v>
      </c>
      <c r="N21" s="608"/>
    </row>
    <row r="22" spans="1:14" ht="15.75" customHeight="1">
      <c r="A22" s="21" t="s">
        <v>413</v>
      </c>
      <c r="B22" s="21"/>
      <c r="C22" s="21"/>
      <c r="D22" s="21"/>
      <c r="E22" s="21"/>
      <c r="F22" s="21"/>
      <c r="G22" s="21"/>
      <c r="H22" s="21"/>
      <c r="I22" s="21"/>
      <c r="J22" s="21"/>
      <c r="K22" s="21"/>
      <c r="L22" s="21"/>
      <c r="M22" s="605"/>
      <c r="N22" s="606"/>
    </row>
    <row r="23" spans="1:14" ht="15.75" customHeight="1">
      <c r="A23" s="21" t="s">
        <v>414</v>
      </c>
      <c r="B23" s="21"/>
      <c r="C23" s="21"/>
      <c r="D23" s="21"/>
      <c r="E23" s="21"/>
      <c r="F23" s="21"/>
      <c r="G23" s="21"/>
      <c r="H23" s="21"/>
      <c r="I23" s="21"/>
      <c r="J23" s="21"/>
      <c r="K23" s="21"/>
      <c r="L23" s="21"/>
      <c r="M23" s="605"/>
      <c r="N23" s="606"/>
    </row>
    <row r="24" spans="1:14" ht="15.75" customHeight="1">
      <c r="A24" s="21" t="s">
        <v>415</v>
      </c>
      <c r="B24" s="21"/>
      <c r="C24" s="21"/>
      <c r="D24" s="21"/>
      <c r="E24" s="21"/>
      <c r="F24" s="21"/>
      <c r="G24" s="21"/>
      <c r="H24" s="21"/>
      <c r="I24" s="21"/>
      <c r="J24" s="21"/>
      <c r="K24" s="21"/>
      <c r="L24" s="21"/>
      <c r="M24" s="605"/>
      <c r="N24" s="606"/>
    </row>
    <row r="25" spans="1:14" ht="15.75" customHeight="1">
      <c r="A25" s="21" t="s">
        <v>416</v>
      </c>
      <c r="B25" s="21"/>
      <c r="C25" s="21"/>
      <c r="D25" s="21"/>
      <c r="E25" s="21"/>
      <c r="F25" s="21"/>
      <c r="G25" s="21"/>
      <c r="H25" s="21"/>
      <c r="I25" s="21"/>
      <c r="J25" s="21"/>
      <c r="K25" s="21"/>
      <c r="L25" s="21"/>
      <c r="M25" s="605"/>
      <c r="N25" s="606"/>
    </row>
    <row r="26" spans="1:14" ht="15.75" customHeight="1">
      <c r="A26" s="21" t="s">
        <v>417</v>
      </c>
      <c r="B26" s="21"/>
      <c r="C26" s="21"/>
      <c r="D26" s="21"/>
      <c r="E26" s="21"/>
      <c r="F26" s="21"/>
      <c r="G26" s="21"/>
      <c r="H26" s="21"/>
      <c r="I26" s="21"/>
      <c r="J26" s="21"/>
      <c r="K26" s="21"/>
      <c r="L26" s="21"/>
      <c r="M26" s="605"/>
      <c r="N26" s="606"/>
    </row>
    <row r="27" spans="1:14" ht="15.75" customHeight="1">
      <c r="A27" s="21" t="s">
        <v>418</v>
      </c>
      <c r="B27" s="21"/>
      <c r="C27" s="21"/>
      <c r="D27" s="21"/>
      <c r="E27" s="21"/>
      <c r="F27" s="21"/>
      <c r="G27" s="21"/>
      <c r="H27" s="21"/>
      <c r="I27" s="21"/>
      <c r="J27" s="21"/>
      <c r="K27" s="21"/>
      <c r="L27" s="21"/>
      <c r="M27" s="605"/>
      <c r="N27" s="606"/>
    </row>
    <row r="28" spans="1:14" ht="15.75" customHeight="1">
      <c r="A28" s="21" t="s">
        <v>621</v>
      </c>
      <c r="B28" s="21"/>
      <c r="C28" s="21"/>
      <c r="D28" s="21"/>
      <c r="E28" s="21"/>
      <c r="F28" s="21"/>
      <c r="G28" s="21"/>
      <c r="H28" s="21"/>
      <c r="I28" s="21"/>
      <c r="J28" s="21"/>
      <c r="K28" s="21"/>
      <c r="L28" s="21"/>
      <c r="M28" s="605"/>
      <c r="N28" s="606"/>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605"/>
      <c r="N30" s="606"/>
    </row>
    <row r="31" spans="1:14" ht="15.75" customHeight="1">
      <c r="A31" s="21"/>
      <c r="B31" s="28" t="s">
        <v>624</v>
      </c>
      <c r="C31" s="37"/>
      <c r="K31" s="107" t="e">
        <f>Sheet1!X313</f>
        <v>#N/A</v>
      </c>
      <c r="L31" s="28" t="s">
        <v>321</v>
      </c>
      <c r="M31" s="605"/>
      <c r="N31" s="606"/>
    </row>
    <row r="32" spans="1:14" ht="15.75" customHeight="1">
      <c r="A32" s="21" t="s">
        <v>419</v>
      </c>
      <c r="B32" s="21"/>
      <c r="C32" s="21"/>
      <c r="D32" s="21"/>
      <c r="E32" s="21"/>
      <c r="F32" s="21"/>
      <c r="G32" s="21"/>
      <c r="H32" s="21"/>
      <c r="I32" s="21"/>
      <c r="J32" s="21"/>
      <c r="K32" s="21"/>
      <c r="L32" s="21"/>
      <c r="M32" s="605"/>
      <c r="N32" s="606"/>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605"/>
      <c r="N34" s="606"/>
    </row>
    <row r="35" spans="1:14" ht="15.75" customHeight="1">
      <c r="C35" s="37" t="s">
        <v>626</v>
      </c>
      <c r="D35" s="28"/>
      <c r="E35" s="28"/>
      <c r="F35" s="39"/>
      <c r="G35" s="42" t="str">
        <f>IF(Sheet1!T538="","",Sheet1!T538)</f>
        <v/>
      </c>
      <c r="H35" s="42" t="str">
        <f>IF(Sheet1!T539="","",Sheet1!T539)</f>
        <v/>
      </c>
      <c r="I35" s="42" t="str">
        <f>IF(Sheet1!T540="","",Sheet1!T540)</f>
        <v/>
      </c>
      <c r="M35" s="605"/>
      <c r="N35" s="606"/>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605"/>
      <c r="N37" s="606"/>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605"/>
      <c r="N39" s="606"/>
    </row>
    <row r="40" spans="1:14" ht="15.75" customHeight="1">
      <c r="A40" s="21" t="s">
        <v>632</v>
      </c>
      <c r="B40" s="21"/>
      <c r="C40" s="21"/>
      <c r="D40" s="21"/>
      <c r="E40" s="21"/>
      <c r="F40" s="21"/>
      <c r="G40" s="21"/>
      <c r="H40" s="21"/>
      <c r="I40" s="21"/>
      <c r="J40" s="21"/>
      <c r="K40" s="21"/>
      <c r="L40" s="21"/>
      <c r="M40" s="605"/>
      <c r="N40" s="606"/>
    </row>
    <row r="41" spans="1:14" ht="15.75" customHeight="1">
      <c r="A41" s="21" t="s">
        <v>633</v>
      </c>
      <c r="B41" s="21"/>
      <c r="C41" s="21"/>
      <c r="D41" s="21"/>
      <c r="E41" s="21"/>
      <c r="F41" s="21"/>
      <c r="G41" s="21"/>
      <c r="H41" s="21"/>
      <c r="I41" s="21"/>
      <c r="J41" s="21"/>
      <c r="K41" s="21"/>
      <c r="L41" s="21"/>
      <c r="M41" s="605" t="s">
        <v>559</v>
      </c>
      <c r="N41" s="606"/>
    </row>
    <row r="42" spans="1:14" ht="15.75" customHeight="1">
      <c r="A42" s="21" t="s">
        <v>634</v>
      </c>
      <c r="B42" s="21"/>
      <c r="C42" s="21"/>
      <c r="D42" s="21"/>
      <c r="E42" s="21"/>
      <c r="F42" s="21"/>
      <c r="G42" s="21"/>
      <c r="H42" s="21"/>
      <c r="I42" s="21"/>
      <c r="J42" s="21"/>
      <c r="K42" s="21"/>
      <c r="L42" s="21"/>
      <c r="M42" s="605"/>
      <c r="N42" s="606"/>
    </row>
    <row r="43" spans="1:14" ht="15.75" customHeight="1">
      <c r="A43" s="21" t="s">
        <v>635</v>
      </c>
      <c r="B43" s="21"/>
      <c r="C43" s="21"/>
      <c r="D43" s="21"/>
      <c r="E43" s="21"/>
      <c r="F43" s="21"/>
      <c r="G43" s="21"/>
      <c r="H43" s="21"/>
      <c r="I43" s="21"/>
      <c r="J43" s="21"/>
      <c r="K43" s="21"/>
      <c r="L43" s="21"/>
      <c r="M43" s="605"/>
      <c r="N43" s="603"/>
    </row>
    <row r="44" spans="1:14" ht="15.75" customHeight="1">
      <c r="A44" s="21" t="s">
        <v>636</v>
      </c>
      <c r="B44" s="21"/>
      <c r="C44" s="21"/>
      <c r="D44" s="21"/>
      <c r="E44" s="21"/>
      <c r="F44" s="21"/>
      <c r="G44" s="21"/>
      <c r="H44" s="21"/>
      <c r="I44" s="21"/>
      <c r="J44" s="21"/>
      <c r="K44" s="21"/>
      <c r="L44" s="21"/>
      <c r="M44" s="605"/>
      <c r="N44" s="606"/>
    </row>
    <row r="45" spans="1:14" ht="15.75" customHeight="1">
      <c r="A45" s="21" t="s">
        <v>637</v>
      </c>
      <c r="B45" s="21"/>
      <c r="C45" s="21"/>
      <c r="D45" s="21"/>
      <c r="E45" s="21"/>
      <c r="F45" s="21"/>
      <c r="G45" s="21"/>
      <c r="H45" s="21"/>
      <c r="I45" s="21"/>
      <c r="J45" s="21"/>
      <c r="K45" s="21"/>
      <c r="L45" s="21"/>
      <c r="M45" s="605"/>
      <c r="N45" s="606"/>
    </row>
    <row r="46" spans="1:14" ht="15.75" customHeight="1">
      <c r="A46" s="21" t="s">
        <v>638</v>
      </c>
      <c r="B46" s="21"/>
      <c r="C46" s="21"/>
      <c r="D46" s="21"/>
      <c r="E46" s="21"/>
      <c r="F46" s="21"/>
      <c r="G46" s="21"/>
      <c r="H46" s="21"/>
      <c r="I46" s="21"/>
      <c r="J46" s="21"/>
      <c r="K46" s="21"/>
      <c r="L46" s="21"/>
      <c r="M46" s="605"/>
      <c r="N46" s="606"/>
    </row>
    <row r="47" spans="1:14" ht="15.75" customHeight="1">
      <c r="A47" s="21"/>
      <c r="B47" s="21"/>
      <c r="C47" s="21"/>
      <c r="D47" s="21"/>
      <c r="E47" s="21"/>
      <c r="F47" s="21"/>
      <c r="G47" s="21"/>
      <c r="H47" s="21"/>
      <c r="I47" s="21"/>
      <c r="J47" s="21"/>
      <c r="K47" s="21"/>
      <c r="L47" s="21"/>
      <c r="M47" s="43"/>
      <c r="N47" s="43"/>
    </row>
    <row r="48" spans="1:14" ht="15.75" customHeight="1">
      <c r="A48" s="609" t="s">
        <v>639</v>
      </c>
      <c r="B48" s="609"/>
      <c r="C48" s="609"/>
      <c r="D48" s="609"/>
      <c r="E48" s="609"/>
      <c r="F48" s="609"/>
      <c r="G48" s="609"/>
      <c r="H48" s="609"/>
      <c r="I48" s="609"/>
      <c r="J48" s="609"/>
      <c r="K48" s="609"/>
      <c r="L48" s="609"/>
      <c r="M48" s="609"/>
      <c r="N48" s="609"/>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48:N48"/>
    <mergeCell ref="M34:N34"/>
    <mergeCell ref="M35:N35"/>
    <mergeCell ref="M37:N37"/>
    <mergeCell ref="M39:N39"/>
    <mergeCell ref="M40:N40"/>
    <mergeCell ref="M41:N41"/>
    <mergeCell ref="M42:N42"/>
    <mergeCell ref="M43:N43"/>
    <mergeCell ref="M44:N44"/>
    <mergeCell ref="M45:N45"/>
    <mergeCell ref="M46:N46"/>
    <mergeCell ref="M32:N32"/>
    <mergeCell ref="A20:N20"/>
    <mergeCell ref="M21:N21"/>
    <mergeCell ref="M22:N22"/>
    <mergeCell ref="M23:N23"/>
    <mergeCell ref="M24:N24"/>
    <mergeCell ref="M25:N25"/>
    <mergeCell ref="M26:N26"/>
    <mergeCell ref="M27:N27"/>
    <mergeCell ref="M28:N28"/>
    <mergeCell ref="M30:N30"/>
    <mergeCell ref="M31:N31"/>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D6:H6"/>
    <mergeCell ref="K6:N6"/>
    <mergeCell ref="D7:H7"/>
    <mergeCell ref="K7:N7"/>
    <mergeCell ref="D8:H8"/>
    <mergeCell ref="K8:N8"/>
    <mergeCell ref="A1:N1"/>
    <mergeCell ref="A2:N2"/>
    <mergeCell ref="C4:H4"/>
    <mergeCell ref="K4:N4"/>
    <mergeCell ref="C5:H5"/>
    <mergeCell ref="K5:N5"/>
  </mergeCells>
  <conditionalFormatting sqref="M22:N28 M37:N37 M43">
    <cfRule type="cellIs" dxfId="161" priority="7" stopIfTrue="1" operator="equal">
      <formula>"Fail"</formula>
    </cfRule>
  </conditionalFormatting>
  <conditionalFormatting sqref="M30:N32">
    <cfRule type="cellIs" dxfId="160" priority="2" stopIfTrue="1" operator="equal">
      <formula>"Fail"</formula>
    </cfRule>
  </conditionalFormatting>
  <conditionalFormatting sqref="M34:N35">
    <cfRule type="cellIs" dxfId="159" priority="4" stopIfTrue="1" operator="equal">
      <formula>"Fail"</formula>
    </cfRule>
  </conditionalFormatting>
  <conditionalFormatting sqref="M39:N42">
    <cfRule type="cellIs" dxfId="158" priority="6" stopIfTrue="1" operator="equal">
      <formula>"Fail"</formula>
    </cfRule>
  </conditionalFormatting>
  <conditionalFormatting sqref="M44:N46">
    <cfRule type="cellIs" dxfId="157"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542925</xdr:colOff>
                    <xdr:row>13</xdr:row>
                    <xdr:rowOff>9525</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542925</xdr:colOff>
                    <xdr:row>13</xdr:row>
                    <xdr:rowOff>9525</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542925</xdr:colOff>
                    <xdr:row>14</xdr:row>
                    <xdr:rowOff>9525</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542925</xdr:colOff>
                    <xdr:row>14</xdr:row>
                    <xdr:rowOff>9525</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923925</xdr:colOff>
                    <xdr:row>15</xdr:row>
                    <xdr:rowOff>0</xdr:rowOff>
                  </from>
                  <to>
                    <xdr:col>3</xdr:col>
                    <xdr:colOff>76200</xdr:colOff>
                    <xdr:row>16</xdr:row>
                    <xdr:rowOff>9525</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409575</xdr:colOff>
                    <xdr:row>15</xdr:row>
                    <xdr:rowOff>0</xdr:rowOff>
                  </from>
                  <to>
                    <xdr:col>12</xdr:col>
                    <xdr:colOff>133350</xdr:colOff>
                    <xdr:row>16</xdr:row>
                    <xdr:rowOff>9525</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923925</xdr:colOff>
                    <xdr:row>16</xdr:row>
                    <xdr:rowOff>9525</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238125</xdr:colOff>
                    <xdr:row>16</xdr:row>
                    <xdr:rowOff>9525</xdr:rowOff>
                  </from>
                  <to>
                    <xdr:col>5</xdr:col>
                    <xdr:colOff>104775</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2.75"/>
  <cols>
    <col min="1" max="1" width="3.375" style="19" customWidth="1"/>
    <col min="2" max="2" width="18.125" style="19" customWidth="1"/>
    <col min="3" max="4" width="8.625" style="19" customWidth="1"/>
    <col min="5" max="5" width="5.75" style="19" customWidth="1"/>
    <col min="6" max="6" width="3.25" style="19" customWidth="1"/>
    <col min="7" max="7" width="13.75" style="19" customWidth="1"/>
    <col min="8" max="8" width="11.125" style="19" customWidth="1"/>
    <col min="9" max="9" width="9.25" style="19" customWidth="1"/>
    <col min="10" max="10" width="8.375" style="19" customWidth="1"/>
    <col min="11" max="11" width="9" style="19"/>
    <col min="12" max="12" width="4.125" style="19" customWidth="1"/>
    <col min="13" max="16384" width="9" style="19"/>
  </cols>
  <sheetData>
    <row r="1" spans="1:12" ht="27" customHeight="1">
      <c r="A1" s="581" t="s">
        <v>391</v>
      </c>
      <c r="B1" s="581"/>
      <c r="C1" s="581"/>
      <c r="D1" s="581"/>
      <c r="E1" s="581"/>
      <c r="F1" s="581"/>
      <c r="G1" s="581"/>
      <c r="H1" s="581"/>
      <c r="I1" s="581"/>
      <c r="J1" s="581"/>
      <c r="K1" s="581"/>
      <c r="L1" s="581"/>
    </row>
    <row r="2" spans="1:12" ht="18" customHeight="1">
      <c r="A2" s="613" t="s">
        <v>640</v>
      </c>
      <c r="B2" s="614"/>
      <c r="C2" s="614"/>
      <c r="D2" s="614"/>
      <c r="E2" s="614"/>
      <c r="F2" s="614"/>
      <c r="G2" s="614"/>
      <c r="H2" s="614"/>
      <c r="I2" s="614"/>
      <c r="J2" s="614"/>
      <c r="K2" s="614"/>
      <c r="L2" s="614"/>
    </row>
    <row r="3" spans="1:12" ht="15.75" customHeight="1"/>
    <row r="4" spans="1:12" ht="24" customHeight="1">
      <c r="A4" s="615" t="s">
        <v>425</v>
      </c>
      <c r="B4" s="615"/>
      <c r="C4" s="615"/>
      <c r="D4" s="615"/>
      <c r="E4" s="615"/>
      <c r="F4" s="615"/>
      <c r="G4" s="615"/>
      <c r="H4" s="615"/>
      <c r="I4" s="615"/>
      <c r="J4" s="615"/>
      <c r="K4" s="615"/>
      <c r="L4" s="615"/>
    </row>
    <row r="5" spans="1:12" ht="42" customHeight="1">
      <c r="A5" s="616" t="s">
        <v>641</v>
      </c>
      <c r="B5" s="616"/>
      <c r="C5" s="616"/>
      <c r="D5" s="616"/>
      <c r="E5" s="616"/>
      <c r="F5" s="616"/>
      <c r="G5" s="616"/>
      <c r="H5" s="616"/>
      <c r="I5" s="616"/>
      <c r="J5" s="616"/>
      <c r="K5" s="616"/>
      <c r="L5" s="616"/>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17"/>
      <c r="K8" s="617"/>
      <c r="L8" s="617"/>
    </row>
    <row r="9" spans="1:12" ht="15" customHeight="1">
      <c r="H9" s="53" t="s">
        <v>426</v>
      </c>
      <c r="I9" s="33"/>
      <c r="J9" s="608" t="s">
        <v>412</v>
      </c>
      <c r="K9" s="608"/>
      <c r="L9" s="608"/>
    </row>
    <row r="10" spans="1:12" ht="15.75" customHeight="1">
      <c r="A10" s="54" t="s">
        <v>427</v>
      </c>
      <c r="B10" s="28" t="s">
        <v>644</v>
      </c>
      <c r="H10" s="55" t="s">
        <v>428</v>
      </c>
      <c r="J10" s="610" t="s">
        <v>559</v>
      </c>
      <c r="K10" s="611"/>
      <c r="L10" s="612"/>
    </row>
    <row r="11" spans="1:12" ht="15.75" customHeight="1">
      <c r="A11" s="56" t="s">
        <v>429</v>
      </c>
      <c r="B11" s="28" t="s">
        <v>430</v>
      </c>
      <c r="H11" s="55" t="s">
        <v>428</v>
      </c>
      <c r="J11" s="610"/>
      <c r="K11" s="611"/>
      <c r="L11" s="612"/>
    </row>
    <row r="12" spans="1:12" ht="15.75" customHeight="1">
      <c r="A12" s="56" t="s">
        <v>431</v>
      </c>
      <c r="B12" s="28" t="s">
        <v>170</v>
      </c>
      <c r="H12" s="55" t="s">
        <v>428</v>
      </c>
      <c r="J12" s="610"/>
      <c r="K12" s="611"/>
      <c r="L12" s="612"/>
    </row>
    <row r="13" spans="1:12" ht="15.75" customHeight="1">
      <c r="A13" s="56" t="s">
        <v>432</v>
      </c>
      <c r="B13" s="28" t="s">
        <v>433</v>
      </c>
      <c r="H13" s="55" t="s">
        <v>428</v>
      </c>
      <c r="J13" s="610"/>
      <c r="K13" s="611"/>
      <c r="L13" s="612"/>
    </row>
    <row r="14" spans="1:12" ht="15.75" customHeight="1">
      <c r="A14" s="56" t="s">
        <v>434</v>
      </c>
      <c r="B14" s="28" t="s">
        <v>435</v>
      </c>
      <c r="H14" s="55" t="s">
        <v>428</v>
      </c>
      <c r="J14" s="610"/>
      <c r="K14" s="611"/>
      <c r="L14" s="612"/>
    </row>
    <row r="15" spans="1:12" ht="15.75" customHeight="1">
      <c r="A15" s="56" t="s">
        <v>436</v>
      </c>
      <c r="B15" s="28" t="s">
        <v>437</v>
      </c>
      <c r="H15" s="55" t="s">
        <v>428</v>
      </c>
      <c r="J15" s="610"/>
      <c r="K15" s="611"/>
      <c r="L15" s="612"/>
    </row>
    <row r="16" spans="1:12" ht="15.75" customHeight="1">
      <c r="A16" s="56" t="s">
        <v>438</v>
      </c>
      <c r="B16" s="29" t="s">
        <v>161</v>
      </c>
      <c r="H16" s="55" t="s">
        <v>439</v>
      </c>
      <c r="J16" s="610"/>
      <c r="K16" s="611"/>
      <c r="L16" s="612"/>
    </row>
    <row r="17" spans="1:12" ht="15.75" customHeight="1">
      <c r="A17" s="56" t="s">
        <v>440</v>
      </c>
      <c r="B17" s="29" t="s">
        <v>441</v>
      </c>
      <c r="H17" s="55" t="s">
        <v>442</v>
      </c>
      <c r="J17" s="610"/>
      <c r="K17" s="611"/>
      <c r="L17" s="612"/>
    </row>
    <row r="18" spans="1:12" ht="15.75" customHeight="1">
      <c r="A18" s="54" t="s">
        <v>443</v>
      </c>
      <c r="B18" s="28" t="s">
        <v>444</v>
      </c>
      <c r="H18" s="55" t="s">
        <v>445</v>
      </c>
      <c r="J18" s="610"/>
      <c r="K18" s="611"/>
      <c r="L18" s="612"/>
    </row>
    <row r="19" spans="1:12" ht="15.75" customHeight="1">
      <c r="A19" s="54" t="s">
        <v>446</v>
      </c>
      <c r="B19" s="28" t="s">
        <v>447</v>
      </c>
      <c r="H19" s="55" t="s">
        <v>448</v>
      </c>
      <c r="J19" s="610"/>
      <c r="K19" s="611"/>
      <c r="L19" s="612"/>
    </row>
    <row r="20" spans="1:12" ht="15.75" customHeight="1">
      <c r="A20" s="54" t="s">
        <v>449</v>
      </c>
      <c r="B20" s="28" t="s">
        <v>645</v>
      </c>
      <c r="H20" s="55" t="s">
        <v>448</v>
      </c>
      <c r="J20" s="610"/>
      <c r="K20" s="611"/>
      <c r="L20" s="612"/>
    </row>
    <row r="21" spans="1:12" ht="15.75" customHeight="1">
      <c r="A21" s="54" t="s">
        <v>450</v>
      </c>
      <c r="B21" s="28" t="s">
        <v>646</v>
      </c>
      <c r="H21" s="55" t="s">
        <v>647</v>
      </c>
      <c r="J21" s="610"/>
      <c r="K21" s="611"/>
      <c r="L21" s="612"/>
    </row>
    <row r="22" spans="1:12" ht="15.75" customHeight="1">
      <c r="A22" s="54" t="s">
        <v>648</v>
      </c>
      <c r="B22" s="28" t="s">
        <v>649</v>
      </c>
      <c r="H22" s="55" t="s">
        <v>650</v>
      </c>
      <c r="J22" s="610"/>
      <c r="K22" s="611"/>
      <c r="L22" s="612"/>
    </row>
    <row r="23" spans="1:12" ht="15.75" customHeight="1"/>
    <row r="24" spans="1:12" ht="24" customHeight="1">
      <c r="A24" s="615" t="s">
        <v>451</v>
      </c>
      <c r="B24" s="615"/>
      <c r="C24" s="615"/>
      <c r="D24" s="615"/>
      <c r="E24" s="615"/>
      <c r="F24" s="615"/>
      <c r="G24" s="615"/>
      <c r="H24" s="615"/>
      <c r="I24" s="615"/>
      <c r="J24" s="615"/>
      <c r="K24" s="615"/>
      <c r="L24" s="615"/>
    </row>
    <row r="25" spans="1:12" ht="15" customHeight="1"/>
    <row r="26" spans="1:12" ht="241.5" customHeight="1">
      <c r="A26" s="618"/>
      <c r="B26" s="619"/>
      <c r="C26" s="619"/>
      <c r="D26" s="619"/>
      <c r="E26" s="619"/>
      <c r="F26" s="619"/>
      <c r="G26" s="619"/>
      <c r="H26" s="619"/>
      <c r="I26" s="619"/>
      <c r="J26" s="619"/>
      <c r="K26" s="619"/>
      <c r="L26" s="620"/>
    </row>
    <row r="27" spans="1:12" ht="15" customHeight="1" thickBot="1"/>
    <row r="28" spans="1:12" ht="204.75" customHeight="1" thickBot="1">
      <c r="A28" s="621" t="s">
        <v>651</v>
      </c>
      <c r="B28" s="622"/>
      <c r="C28" s="622"/>
      <c r="D28" s="622"/>
      <c r="E28" s="622"/>
      <c r="F28" s="622"/>
      <c r="G28" s="622"/>
      <c r="H28" s="622"/>
      <c r="I28" s="622"/>
      <c r="J28" s="622"/>
      <c r="K28" s="622"/>
      <c r="L28" s="623"/>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22:L22"/>
    <mergeCell ref="A24:L24"/>
    <mergeCell ref="A26:L26"/>
    <mergeCell ref="A28:L28"/>
    <mergeCell ref="J16:L16"/>
    <mergeCell ref="J17:L17"/>
    <mergeCell ref="J18:L18"/>
    <mergeCell ref="J19:L19"/>
    <mergeCell ref="J20:L20"/>
    <mergeCell ref="J21:L21"/>
    <mergeCell ref="J15:L15"/>
    <mergeCell ref="A1:L1"/>
    <mergeCell ref="A2:L2"/>
    <mergeCell ref="A4:L4"/>
    <mergeCell ref="A5:L5"/>
    <mergeCell ref="J8:L8"/>
    <mergeCell ref="J9:L9"/>
    <mergeCell ref="J10:L10"/>
    <mergeCell ref="J11:L11"/>
    <mergeCell ref="J12:L12"/>
    <mergeCell ref="J13:L13"/>
    <mergeCell ref="J14:L14"/>
  </mergeCells>
  <conditionalFormatting sqref="J10:L19 J20">
    <cfRule type="cellIs" dxfId="156" priority="2" stopIfTrue="1" operator="equal">
      <formula>"Fail"</formula>
    </cfRule>
  </conditionalFormatting>
  <conditionalFormatting sqref="J21:L22">
    <cfRule type="cellIs" dxfId="155"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75" defaultRowHeight="12.75"/>
  <cols>
    <col min="1" max="1" width="5.125" style="19" customWidth="1"/>
    <col min="2" max="2" width="5.75" style="19" customWidth="1"/>
    <col min="3" max="3" width="15.625" style="19" customWidth="1"/>
    <col min="4" max="4" width="12.25" style="19" customWidth="1"/>
    <col min="5" max="5" width="5.875" style="19" customWidth="1"/>
    <col min="6" max="7" width="4.25" style="19" customWidth="1"/>
    <col min="8" max="8" width="7.75" style="19" customWidth="1"/>
    <col min="9" max="9" width="9.5" style="19" customWidth="1"/>
    <col min="10" max="10" width="10.5" style="19" customWidth="1"/>
    <col min="11" max="11" width="8.75" style="19" customWidth="1"/>
    <col min="12" max="12" width="7.75" style="19" customWidth="1"/>
    <col min="13" max="13" width="8.75" style="19" customWidth="1"/>
    <col min="14" max="16384" width="8.75" style="19"/>
  </cols>
  <sheetData>
    <row r="1" spans="1:13" ht="26.25">
      <c r="A1" s="581" t="s">
        <v>739</v>
      </c>
      <c r="B1" s="581"/>
      <c r="C1" s="581"/>
      <c r="D1" s="581"/>
      <c r="E1" s="581"/>
      <c r="F1" s="581"/>
      <c r="G1" s="581"/>
      <c r="H1" s="581"/>
      <c r="I1" s="581"/>
      <c r="J1" s="581"/>
      <c r="K1" s="581"/>
      <c r="L1" s="581"/>
      <c r="M1" s="581"/>
    </row>
    <row r="2" spans="1:13" ht="26.25">
      <c r="A2" s="581" t="s">
        <v>738</v>
      </c>
      <c r="B2" s="581"/>
      <c r="C2" s="581"/>
      <c r="D2" s="581"/>
      <c r="E2" s="581"/>
      <c r="F2" s="581"/>
      <c r="G2" s="581"/>
      <c r="H2" s="581"/>
      <c r="I2" s="581"/>
      <c r="J2" s="581"/>
      <c r="K2" s="581"/>
      <c r="L2" s="581"/>
      <c r="M2" s="581"/>
    </row>
    <row r="3" spans="1:13" ht="15" customHeight="1">
      <c r="A3" s="20"/>
      <c r="B3" s="20"/>
      <c r="C3" s="20"/>
      <c r="D3" s="20"/>
      <c r="E3" s="20"/>
      <c r="F3" s="20"/>
      <c r="G3" s="20"/>
      <c r="H3" s="20"/>
      <c r="I3" s="20"/>
      <c r="J3" s="20"/>
      <c r="K3" s="20"/>
      <c r="L3" s="20"/>
      <c r="M3" s="20"/>
    </row>
    <row r="4" spans="1:13" ht="18" customHeight="1">
      <c r="A4" s="21" t="s">
        <v>392</v>
      </c>
      <c r="B4" s="21"/>
      <c r="C4" s="582" t="s">
        <v>672</v>
      </c>
      <c r="D4" s="583"/>
      <c r="E4" s="583"/>
      <c r="F4" s="583"/>
      <c r="G4" s="583"/>
      <c r="H4" s="584"/>
      <c r="I4" s="21"/>
      <c r="J4" s="22" t="s">
        <v>393</v>
      </c>
      <c r="K4" s="585"/>
      <c r="L4" s="586"/>
      <c r="M4" s="587"/>
    </row>
    <row r="5" spans="1:13" ht="18" customHeight="1">
      <c r="A5" s="21" t="s">
        <v>394</v>
      </c>
      <c r="B5" s="21"/>
      <c r="C5" s="582" t="s">
        <v>673</v>
      </c>
      <c r="D5" s="583"/>
      <c r="E5" s="583"/>
      <c r="F5" s="583"/>
      <c r="G5" s="583"/>
      <c r="H5" s="584"/>
      <c r="I5" s="21"/>
      <c r="J5" s="22" t="s">
        <v>395</v>
      </c>
      <c r="K5" s="585">
        <f>Sheet1!P7</f>
        <v>0</v>
      </c>
      <c r="L5" s="586"/>
      <c r="M5" s="587"/>
    </row>
    <row r="6" spans="1:13" ht="18" customHeight="1">
      <c r="A6" s="21" t="s">
        <v>398</v>
      </c>
      <c r="B6" s="21"/>
      <c r="C6" s="21"/>
      <c r="D6" s="625" t="str">
        <f>Sheet1!R17</f>
        <v/>
      </c>
      <c r="E6" s="626"/>
      <c r="F6" s="626"/>
      <c r="G6" s="626"/>
      <c r="H6" s="627"/>
      <c r="I6" s="21"/>
      <c r="J6" s="22" t="s">
        <v>400</v>
      </c>
      <c r="K6" s="625" t="str">
        <f>Sheet1!R18</f>
        <v/>
      </c>
      <c r="L6" s="626"/>
      <c r="M6" s="627"/>
    </row>
    <row r="7" spans="1:13" ht="18" customHeight="1">
      <c r="A7" s="21" t="s">
        <v>401</v>
      </c>
      <c r="B7" s="21"/>
      <c r="C7" s="21"/>
      <c r="D7" s="628" t="str">
        <f>Sheet1!V12</f>
        <v/>
      </c>
      <c r="E7" s="629"/>
      <c r="F7" s="629"/>
      <c r="G7" s="629"/>
      <c r="H7" s="630"/>
      <c r="I7" s="21"/>
      <c r="J7" s="22" t="s">
        <v>402</v>
      </c>
      <c r="K7" s="582" t="str">
        <f>Sheet1!R14</f>
        <v/>
      </c>
      <c r="L7" s="583"/>
      <c r="M7" s="584"/>
    </row>
    <row r="8" spans="1:13" ht="18" customHeight="1">
      <c r="A8" s="21" t="s">
        <v>737</v>
      </c>
      <c r="B8" s="21"/>
      <c r="C8" s="21"/>
      <c r="D8" s="605" t="s">
        <v>559</v>
      </c>
      <c r="E8" s="631"/>
      <c r="F8" s="631"/>
      <c r="G8" s="631"/>
      <c r="H8" s="606"/>
      <c r="I8" s="21"/>
      <c r="J8" s="22" t="s">
        <v>736</v>
      </c>
      <c r="K8" s="582" t="s">
        <v>559</v>
      </c>
      <c r="L8" s="583"/>
      <c r="M8" s="584"/>
    </row>
    <row r="9" spans="1:13" ht="18" customHeight="1">
      <c r="A9" s="21" t="s">
        <v>735</v>
      </c>
      <c r="B9" s="21"/>
      <c r="C9" s="21"/>
      <c r="D9" s="605" t="s">
        <v>559</v>
      </c>
      <c r="E9" s="631"/>
      <c r="F9" s="631"/>
      <c r="G9" s="631"/>
      <c r="H9" s="606"/>
      <c r="I9" s="21"/>
      <c r="J9" s="22" t="s">
        <v>400</v>
      </c>
      <c r="K9" s="582" t="s">
        <v>559</v>
      </c>
      <c r="L9" s="583"/>
      <c r="M9" s="584"/>
    </row>
    <row r="10" spans="1:13" ht="18" customHeight="1">
      <c r="A10" s="21" t="s">
        <v>734</v>
      </c>
      <c r="B10" s="21"/>
      <c r="C10" s="21"/>
      <c r="D10" s="605" t="str">
        <f>Sheet1!R17</f>
        <v/>
      </c>
      <c r="E10" s="631"/>
      <c r="F10" s="631"/>
      <c r="G10" s="631"/>
      <c r="H10" s="606"/>
      <c r="I10" s="21"/>
      <c r="J10" s="22" t="s">
        <v>400</v>
      </c>
      <c r="K10" s="582" t="str">
        <f>Sheet1!R18</f>
        <v/>
      </c>
      <c r="L10" s="583"/>
      <c r="M10" s="584"/>
    </row>
    <row r="11" spans="1:13" ht="18" customHeight="1">
      <c r="A11" s="21" t="s">
        <v>396</v>
      </c>
      <c r="B11" s="21"/>
      <c r="C11" s="21"/>
      <c r="D11" s="605" t="str">
        <f>Sheet1!X7</f>
        <v>Eugene Mah</v>
      </c>
      <c r="E11" s="631"/>
      <c r="F11" s="631"/>
      <c r="G11" s="631"/>
      <c r="H11" s="606"/>
      <c r="I11" s="21"/>
      <c r="J11" s="22" t="s">
        <v>397</v>
      </c>
      <c r="K11" s="582"/>
      <c r="L11" s="583"/>
      <c r="M11" s="584"/>
    </row>
    <row r="12" spans="1:13" ht="18" customHeight="1">
      <c r="A12" s="21"/>
      <c r="B12" s="21"/>
      <c r="C12" s="21"/>
      <c r="D12" s="528"/>
      <c r="E12" s="528"/>
      <c r="F12" s="528"/>
      <c r="G12" s="528"/>
      <c r="H12" s="528"/>
      <c r="I12" s="21"/>
      <c r="J12" s="22"/>
      <c r="K12" s="527"/>
      <c r="L12" s="527"/>
      <c r="M12" s="527"/>
    </row>
    <row r="13" spans="1:13" ht="18" customHeight="1">
      <c r="A13" s="591" t="s">
        <v>410</v>
      </c>
      <c r="B13" s="591"/>
      <c r="C13" s="591"/>
      <c r="D13" s="591"/>
      <c r="E13" s="591"/>
      <c r="F13" s="591"/>
      <c r="G13" s="591"/>
      <c r="H13" s="591"/>
      <c r="I13" s="591"/>
      <c r="J13" s="591"/>
      <c r="K13" s="591"/>
      <c r="L13" s="591"/>
      <c r="M13" s="591"/>
    </row>
    <row r="14" spans="1:13" ht="18" customHeight="1">
      <c r="M14" s="53" t="s">
        <v>412</v>
      </c>
    </row>
    <row r="15" spans="1:13" ht="18" customHeight="1">
      <c r="A15" s="21" t="s">
        <v>733</v>
      </c>
      <c r="B15" s="21"/>
      <c r="C15" s="28"/>
      <c r="D15" s="21"/>
      <c r="E15" s="21"/>
      <c r="F15" s="21"/>
      <c r="G15" s="21"/>
      <c r="H15" s="21"/>
      <c r="I15" s="21"/>
      <c r="J15" s="21"/>
      <c r="K15" s="21"/>
      <c r="L15" s="21"/>
      <c r="M15" s="536"/>
    </row>
    <row r="16" spans="1:13" ht="18" customHeight="1">
      <c r="A16" s="21" t="s">
        <v>414</v>
      </c>
      <c r="B16" s="21"/>
      <c r="C16" s="21"/>
      <c r="D16" s="21"/>
      <c r="E16" s="21"/>
      <c r="F16" s="21"/>
      <c r="G16" s="21"/>
      <c r="H16" s="21"/>
      <c r="I16" s="21"/>
      <c r="J16" s="21"/>
      <c r="K16" s="21"/>
      <c r="L16" s="21"/>
      <c r="M16" s="526"/>
    </row>
    <row r="17" spans="1:13" ht="18" customHeight="1">
      <c r="A17" s="28"/>
      <c r="B17" s="28"/>
      <c r="C17" s="37" t="s">
        <v>732</v>
      </c>
      <c r="D17" s="28"/>
      <c r="E17" s="28"/>
      <c r="F17" s="28"/>
      <c r="G17" s="28"/>
      <c r="H17" s="28"/>
      <c r="I17" s="28"/>
      <c r="J17" s="28"/>
      <c r="K17" s="28"/>
      <c r="L17" s="28"/>
      <c r="M17" s="536"/>
    </row>
    <row r="18" spans="1:13" ht="18" customHeight="1">
      <c r="A18" s="28"/>
      <c r="B18" s="28"/>
      <c r="C18" s="37" t="s">
        <v>731</v>
      </c>
      <c r="D18" s="28"/>
      <c r="E18" s="28"/>
      <c r="F18" s="28"/>
      <c r="G18" s="28"/>
      <c r="H18" s="28"/>
      <c r="I18" s="28"/>
      <c r="J18" s="28"/>
      <c r="K18" s="28"/>
      <c r="L18" s="28"/>
      <c r="M18" s="536"/>
    </row>
    <row r="19" spans="1:13" ht="18" customHeight="1">
      <c r="A19" s="21" t="s">
        <v>730</v>
      </c>
      <c r="B19" s="21"/>
      <c r="C19" s="21"/>
      <c r="D19" s="21"/>
      <c r="E19" s="21"/>
      <c r="F19" s="21"/>
      <c r="G19" s="21"/>
      <c r="H19" s="21"/>
      <c r="I19" s="21"/>
      <c r="J19" s="21"/>
      <c r="K19" s="21"/>
      <c r="L19" s="21"/>
      <c r="M19" s="525"/>
    </row>
    <row r="20" spans="1:13" ht="18" customHeight="1">
      <c r="A20" s="28"/>
      <c r="B20" s="28"/>
      <c r="C20" s="37" t="s">
        <v>729</v>
      </c>
      <c r="D20" s="28"/>
      <c r="E20" s="28"/>
      <c r="F20" s="28"/>
      <c r="G20" s="28"/>
      <c r="H20" s="28"/>
      <c r="I20" s="28"/>
      <c r="J20" s="28"/>
      <c r="K20" s="28"/>
      <c r="L20" s="28"/>
      <c r="M20" s="536" t="s">
        <v>559</v>
      </c>
    </row>
    <row r="21" spans="1:13" ht="18" customHeight="1">
      <c r="A21" s="28"/>
      <c r="B21" s="28"/>
      <c r="C21" s="37" t="s">
        <v>728</v>
      </c>
      <c r="D21" s="28"/>
      <c r="E21" s="28"/>
      <c r="F21" s="28"/>
      <c r="G21" s="28"/>
      <c r="H21" s="28"/>
      <c r="I21" s="28"/>
      <c r="J21" s="28"/>
      <c r="K21" s="28"/>
      <c r="L21" s="28"/>
      <c r="M21" s="536"/>
    </row>
    <row r="22" spans="1:13" ht="18" customHeight="1">
      <c r="A22" s="21" t="s">
        <v>416</v>
      </c>
      <c r="B22" s="21"/>
      <c r="C22" s="21"/>
      <c r="D22" s="21"/>
      <c r="E22" s="21"/>
      <c r="F22" s="21"/>
      <c r="G22" s="21"/>
      <c r="H22" s="21"/>
      <c r="I22" s="21"/>
      <c r="J22" s="21"/>
      <c r="K22" s="21"/>
      <c r="L22" s="21"/>
      <c r="M22" s="524"/>
    </row>
    <row r="23" spans="1:13" ht="18" customHeight="1">
      <c r="A23" s="21"/>
      <c r="B23" s="21"/>
      <c r="C23" s="37" t="s">
        <v>727</v>
      </c>
      <c r="D23" s="21"/>
      <c r="E23" s="21"/>
      <c r="F23" s="21"/>
      <c r="G23" s="21"/>
      <c r="H23" s="21"/>
      <c r="I23" s="21"/>
      <c r="J23" s="21"/>
      <c r="K23" s="21"/>
      <c r="L23" s="21"/>
      <c r="M23" s="536"/>
    </row>
    <row r="24" spans="1:13" ht="18" customHeight="1">
      <c r="A24" s="21"/>
      <c r="B24" s="21"/>
      <c r="C24" s="37" t="s">
        <v>726</v>
      </c>
      <c r="D24" s="21"/>
      <c r="E24" s="21"/>
      <c r="F24" s="21"/>
      <c r="G24" s="21"/>
      <c r="H24" s="21"/>
      <c r="I24" s="21"/>
      <c r="J24" s="21"/>
      <c r="K24" s="21"/>
      <c r="L24" s="21"/>
      <c r="M24" s="536"/>
    </row>
    <row r="25" spans="1:13" ht="18" customHeight="1">
      <c r="A25" s="21" t="s">
        <v>725</v>
      </c>
      <c r="B25" s="21"/>
      <c r="C25" s="21"/>
      <c r="D25" s="21"/>
      <c r="E25" s="21"/>
      <c r="F25" s="21"/>
      <c r="G25" s="21"/>
      <c r="H25" s="21"/>
      <c r="I25" s="21"/>
      <c r="J25" s="21"/>
      <c r="K25" s="21"/>
      <c r="L25" s="21"/>
      <c r="M25" s="524"/>
    </row>
    <row r="26" spans="1:13" ht="18" customHeight="1">
      <c r="A26" s="21"/>
      <c r="B26" s="21"/>
      <c r="C26" s="37" t="s">
        <v>724</v>
      </c>
      <c r="D26" s="21"/>
      <c r="E26" s="21"/>
      <c r="F26" s="21"/>
      <c r="G26" s="21"/>
      <c r="H26" s="21"/>
      <c r="I26" s="21"/>
      <c r="J26" s="21"/>
      <c r="K26" s="21"/>
      <c r="L26" s="21"/>
      <c r="M26" s="536"/>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6"/>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6"/>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3"/>
      <c r="L32" s="28"/>
      <c r="M32" s="536"/>
    </row>
    <row r="33" spans="1:13" ht="18" customHeight="1">
      <c r="A33" s="21"/>
      <c r="B33" s="21"/>
      <c r="C33" s="37" t="s">
        <v>717</v>
      </c>
      <c r="K33" s="537" t="str">
        <f>Sheet1!X389</f>
        <v/>
      </c>
      <c r="L33" s="28" t="s">
        <v>321</v>
      </c>
      <c r="M33" s="536"/>
    </row>
    <row r="34" spans="1:13" ht="18" customHeight="1">
      <c r="A34" s="21" t="s">
        <v>716</v>
      </c>
      <c r="B34" s="21"/>
      <c r="C34" s="21"/>
      <c r="D34" s="21"/>
      <c r="E34" s="21"/>
      <c r="F34" s="21"/>
      <c r="G34" s="21"/>
      <c r="H34" s="21"/>
      <c r="I34" s="21"/>
      <c r="J34" s="21"/>
      <c r="K34" s="21"/>
      <c r="L34" s="21"/>
      <c r="M34" s="522"/>
    </row>
    <row r="35" spans="1:13" ht="18" customHeight="1">
      <c r="A35" s="21"/>
      <c r="B35" s="21"/>
      <c r="C35" s="37" t="s">
        <v>715</v>
      </c>
      <c r="D35" s="28"/>
      <c r="E35" s="28"/>
      <c r="F35" s="28"/>
      <c r="G35" s="28"/>
      <c r="H35" s="28"/>
      <c r="I35" s="28"/>
      <c r="J35" s="28"/>
      <c r="K35" s="21"/>
      <c r="L35" s="21"/>
      <c r="M35" s="536"/>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8">
        <f>Sheet1!V538</f>
        <v>0</v>
      </c>
      <c r="I37" s="39" t="s">
        <v>422</v>
      </c>
      <c r="J37" s="538">
        <f>Sheet1!V539</f>
        <v>0</v>
      </c>
      <c r="K37" s="39" t="s">
        <v>423</v>
      </c>
      <c r="L37" s="538">
        <f>Sheet1!V540</f>
        <v>0</v>
      </c>
      <c r="M37" s="513"/>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6"/>
    </row>
    <row r="40" spans="1:13" ht="12" customHeight="1">
      <c r="A40" s="21"/>
      <c r="B40" s="21"/>
      <c r="C40" s="28"/>
      <c r="D40" s="21"/>
      <c r="E40" s="21"/>
      <c r="F40" s="21"/>
      <c r="G40" s="21"/>
      <c r="H40" s="21"/>
      <c r="I40" s="21"/>
      <c r="J40" s="21"/>
      <c r="K40" s="21"/>
      <c r="L40" s="21"/>
      <c r="M40" s="21"/>
    </row>
    <row r="41" spans="1:13" ht="36" customHeight="1">
      <c r="A41" s="21"/>
      <c r="B41" s="21"/>
      <c r="C41" s="624" t="s">
        <v>708</v>
      </c>
      <c r="D41" s="619"/>
      <c r="E41" s="619"/>
      <c r="F41" s="619"/>
      <c r="G41" s="619"/>
      <c r="H41" s="619"/>
      <c r="I41" s="619"/>
      <c r="J41" s="619"/>
      <c r="K41" s="619"/>
      <c r="L41" s="619"/>
      <c r="M41" s="620"/>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6"/>
    </row>
    <row r="44" spans="1:13" ht="18" customHeight="1"/>
    <row r="45" spans="1:13" ht="18" customHeight="1">
      <c r="A45" s="609" t="s">
        <v>639</v>
      </c>
      <c r="B45" s="609"/>
      <c r="C45" s="609"/>
      <c r="D45" s="609"/>
      <c r="E45" s="609"/>
      <c r="F45" s="609"/>
      <c r="G45" s="609"/>
      <c r="H45" s="609"/>
      <c r="I45" s="609"/>
      <c r="J45" s="609"/>
      <c r="K45" s="609"/>
      <c r="L45" s="609"/>
      <c r="M45" s="609"/>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1:M1"/>
    <mergeCell ref="D8:H8"/>
    <mergeCell ref="K8:M8"/>
    <mergeCell ref="K6:M6"/>
    <mergeCell ref="A2:M2"/>
    <mergeCell ref="K4:M4"/>
    <mergeCell ref="K5:M5"/>
    <mergeCell ref="A45:M45"/>
    <mergeCell ref="C4:H4"/>
    <mergeCell ref="C5:H5"/>
    <mergeCell ref="C41:M41"/>
    <mergeCell ref="A13:M13"/>
    <mergeCell ref="K10:M10"/>
    <mergeCell ref="K11:M11"/>
    <mergeCell ref="D6:H6"/>
    <mergeCell ref="D7:H7"/>
    <mergeCell ref="K7:M7"/>
    <mergeCell ref="D9:H9"/>
    <mergeCell ref="K9:M9"/>
    <mergeCell ref="D10:H10"/>
    <mergeCell ref="D11:H11"/>
  </mergeCells>
  <conditionalFormatting sqref="K33">
    <cfRule type="cellIs" dxfId="154" priority="1" operator="greaterThan">
      <formula>3</formula>
    </cfRule>
  </conditionalFormatting>
  <conditionalFormatting sqref="M15 M17:M18 M20:M21 M23:M24 M26 M28 M30 M32:M33 M35 M39 M43">
    <cfRule type="cellIs" dxfId="153"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1000125</xdr:colOff>
                    <xdr:row>35</xdr:row>
                    <xdr:rowOff>19050</xdr:rowOff>
                  </from>
                  <to>
                    <xdr:col>3</xdr:col>
                    <xdr:colOff>133350</xdr:colOff>
                    <xdr:row>36</xdr:row>
                    <xdr:rowOff>9525</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552450</xdr:colOff>
                    <xdr:row>35</xdr:row>
                    <xdr:rowOff>19050</xdr:rowOff>
                  </from>
                  <to>
                    <xdr:col>9</xdr:col>
                    <xdr:colOff>142875</xdr:colOff>
                    <xdr:row>36</xdr:row>
                    <xdr:rowOff>9525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75" defaultRowHeight="12.75"/>
  <cols>
    <col min="1" max="1" width="3.5" style="19" customWidth="1"/>
    <col min="2" max="2" width="18.625" style="19" customWidth="1"/>
    <col min="3" max="4" width="8.875" style="19" customWidth="1"/>
    <col min="5" max="5" width="5.875" style="19" customWidth="1"/>
    <col min="6" max="6" width="3.25" style="19" customWidth="1"/>
    <col min="7" max="7" width="14.125" style="19" customWidth="1"/>
    <col min="8" max="8" width="11.375" style="19" customWidth="1"/>
    <col min="9" max="9" width="9.5" style="19" customWidth="1"/>
    <col min="10" max="10" width="15.25" style="19" customWidth="1"/>
    <col min="11" max="16384" width="8.75" style="19"/>
  </cols>
  <sheetData>
    <row r="1" spans="1:10" ht="26.25">
      <c r="A1" s="581" t="s">
        <v>739</v>
      </c>
      <c r="B1" s="581"/>
      <c r="C1" s="581"/>
      <c r="D1" s="581"/>
      <c r="E1" s="581"/>
      <c r="F1" s="581"/>
      <c r="G1" s="581"/>
      <c r="H1" s="581"/>
      <c r="I1" s="581"/>
      <c r="J1" s="581"/>
    </row>
    <row r="2" spans="1:10" ht="26.25">
      <c r="A2" s="581" t="s">
        <v>760</v>
      </c>
      <c r="B2" s="632"/>
      <c r="C2" s="632"/>
      <c r="D2" s="632"/>
      <c r="E2" s="632"/>
      <c r="F2" s="632"/>
      <c r="G2" s="632"/>
      <c r="H2" s="632"/>
      <c r="I2" s="632"/>
      <c r="J2" s="632"/>
    </row>
    <row r="5" spans="1:10" ht="23.25">
      <c r="A5" s="530" t="s">
        <v>759</v>
      </c>
      <c r="B5" s="532"/>
      <c r="C5" s="529"/>
      <c r="D5" s="529"/>
      <c r="E5" s="529"/>
      <c r="F5" s="529"/>
      <c r="G5" s="529"/>
      <c r="H5" s="529"/>
      <c r="I5" s="529"/>
      <c r="J5" s="529"/>
    </row>
    <row r="6" spans="1:10" ht="23.25" customHeight="1">
      <c r="J6" s="513"/>
    </row>
    <row r="7" spans="1:10" ht="15.75" customHeight="1">
      <c r="H7" s="531" t="s">
        <v>758</v>
      </c>
      <c r="J7" s="513" t="s">
        <v>412</v>
      </c>
    </row>
    <row r="8" spans="1:10" ht="18" customHeight="1">
      <c r="A8" s="54" t="s">
        <v>427</v>
      </c>
      <c r="B8" s="28" t="s">
        <v>757</v>
      </c>
      <c r="H8" s="55" t="s">
        <v>754</v>
      </c>
      <c r="J8" s="535"/>
    </row>
    <row r="9" spans="1:10" ht="18" customHeight="1">
      <c r="A9" s="54" t="s">
        <v>429</v>
      </c>
      <c r="B9" s="28" t="s">
        <v>756</v>
      </c>
      <c r="H9" s="55" t="s">
        <v>754</v>
      </c>
      <c r="J9" s="535" t="s">
        <v>559</v>
      </c>
    </row>
    <row r="10" spans="1:10" ht="18" customHeight="1">
      <c r="A10" s="54" t="s">
        <v>431</v>
      </c>
      <c r="B10" s="28" t="s">
        <v>755</v>
      </c>
      <c r="H10" s="55" t="s">
        <v>754</v>
      </c>
      <c r="J10" s="535" t="s">
        <v>559</v>
      </c>
    </row>
    <row r="11" spans="1:10" ht="18" customHeight="1">
      <c r="A11" s="56" t="s">
        <v>432</v>
      </c>
      <c r="B11" s="28" t="s">
        <v>753</v>
      </c>
      <c r="H11" s="55" t="s">
        <v>428</v>
      </c>
      <c r="J11" s="535"/>
    </row>
    <row r="12" spans="1:10" ht="18" customHeight="1">
      <c r="A12" s="54" t="s">
        <v>434</v>
      </c>
      <c r="B12" s="28" t="s">
        <v>752</v>
      </c>
      <c r="H12" s="55" t="s">
        <v>428</v>
      </c>
      <c r="J12" s="535" t="s">
        <v>559</v>
      </c>
    </row>
    <row r="13" spans="1:10" ht="18" customHeight="1">
      <c r="A13" s="56" t="s">
        <v>436</v>
      </c>
      <c r="B13" s="28" t="s">
        <v>751</v>
      </c>
      <c r="H13" s="55" t="s">
        <v>428</v>
      </c>
      <c r="J13" s="535"/>
    </row>
    <row r="14" spans="1:10" ht="18" customHeight="1">
      <c r="A14" s="54" t="s">
        <v>438</v>
      </c>
      <c r="B14" s="29" t="s">
        <v>750</v>
      </c>
      <c r="H14" s="55" t="s">
        <v>442</v>
      </c>
      <c r="J14" s="535" t="s">
        <v>559</v>
      </c>
    </row>
    <row r="15" spans="1:10" ht="18" customHeight="1">
      <c r="A15" s="54" t="s">
        <v>440</v>
      </c>
      <c r="B15" s="29" t="s">
        <v>441</v>
      </c>
      <c r="H15" s="55" t="s">
        <v>442</v>
      </c>
      <c r="J15" s="535"/>
    </row>
    <row r="16" spans="1:10" ht="18" customHeight="1">
      <c r="A16" s="54" t="s">
        <v>443</v>
      </c>
      <c r="B16" s="28" t="s">
        <v>749</v>
      </c>
      <c r="H16" s="55" t="s">
        <v>445</v>
      </c>
      <c r="J16" s="535" t="s">
        <v>559</v>
      </c>
    </row>
    <row r="17" spans="1:10" ht="18" customHeight="1">
      <c r="A17" s="54" t="s">
        <v>446</v>
      </c>
      <c r="B17" s="28" t="s">
        <v>447</v>
      </c>
      <c r="H17" s="55" t="s">
        <v>448</v>
      </c>
      <c r="J17" s="535"/>
    </row>
    <row r="18" spans="1:10" ht="18" customHeight="1">
      <c r="A18" s="54" t="s">
        <v>449</v>
      </c>
      <c r="B18" s="28" t="s">
        <v>748</v>
      </c>
      <c r="H18" s="55" t="s">
        <v>448</v>
      </c>
      <c r="J18" s="535"/>
    </row>
    <row r="19" spans="1:10" ht="18" customHeight="1">
      <c r="A19" s="54" t="s">
        <v>450</v>
      </c>
      <c r="B19" s="28" t="s">
        <v>747</v>
      </c>
      <c r="H19" s="55" t="s">
        <v>448</v>
      </c>
      <c r="J19" s="535" t="s">
        <v>559</v>
      </c>
    </row>
    <row r="20" spans="1:10" ht="18" customHeight="1">
      <c r="A20" s="54" t="s">
        <v>648</v>
      </c>
      <c r="B20" s="28" t="s">
        <v>746</v>
      </c>
      <c r="H20" s="55" t="s">
        <v>448</v>
      </c>
      <c r="J20" s="535" t="s">
        <v>559</v>
      </c>
    </row>
    <row r="21" spans="1:10" ht="18" customHeight="1">
      <c r="A21" s="56" t="s">
        <v>745</v>
      </c>
      <c r="B21" s="28" t="s">
        <v>744</v>
      </c>
      <c r="H21" s="55" t="s">
        <v>743</v>
      </c>
      <c r="J21" s="535" t="s">
        <v>559</v>
      </c>
    </row>
    <row r="22" spans="1:10" ht="18" customHeight="1">
      <c r="A22" s="56" t="s">
        <v>742</v>
      </c>
      <c r="B22" s="28" t="s">
        <v>741</v>
      </c>
      <c r="H22" s="55" t="s">
        <v>740</v>
      </c>
      <c r="J22" s="535" t="s">
        <v>556</v>
      </c>
    </row>
    <row r="23" spans="1:10" ht="18" customHeight="1"/>
    <row r="24" spans="1:10" ht="23.25" customHeight="1">
      <c r="A24" s="530" t="s">
        <v>451</v>
      </c>
      <c r="B24" s="529"/>
      <c r="C24" s="529"/>
      <c r="D24" s="529"/>
      <c r="E24" s="529"/>
      <c r="F24" s="529"/>
      <c r="G24" s="529"/>
      <c r="H24" s="529"/>
      <c r="I24" s="529"/>
      <c r="J24" s="529"/>
    </row>
    <row r="25" spans="1:10" ht="8.25" customHeight="1"/>
    <row r="26" spans="1:10" ht="266.25" customHeight="1">
      <c r="A26" s="624" t="s">
        <v>176</v>
      </c>
      <c r="B26" s="633"/>
      <c r="C26" s="633"/>
      <c r="D26" s="633"/>
      <c r="E26" s="633"/>
      <c r="F26" s="633"/>
      <c r="G26" s="633"/>
      <c r="H26" s="633"/>
      <c r="I26" s="633"/>
      <c r="J26" s="634"/>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2"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2.75"/>
  <cols>
    <col min="1" max="1" width="13.5" style="19" customWidth="1"/>
    <col min="2" max="2" width="6.5" style="19" customWidth="1"/>
    <col min="3" max="3" width="36.25" style="19" customWidth="1"/>
    <col min="4" max="4" width="9.875" style="19" customWidth="1"/>
    <col min="5" max="5" width="15.5" style="19" customWidth="1"/>
    <col min="6" max="7" width="9" style="19"/>
    <col min="8" max="8" width="10.875" style="19" customWidth="1"/>
    <col min="9" max="256" width="9" style="19"/>
    <col min="257" max="257" width="13.5" style="19" customWidth="1"/>
    <col min="258" max="258" width="6.5" style="19" customWidth="1"/>
    <col min="259" max="259" width="36.25" style="19" customWidth="1"/>
    <col min="260" max="260" width="9.875" style="19" customWidth="1"/>
    <col min="261" max="261" width="15.5" style="19" customWidth="1"/>
    <col min="262" max="263" width="9" style="19"/>
    <col min="264" max="264" width="10.875" style="19" customWidth="1"/>
    <col min="265" max="512" width="9" style="19"/>
    <col min="513" max="513" width="13.5" style="19" customWidth="1"/>
    <col min="514" max="514" width="6.5" style="19" customWidth="1"/>
    <col min="515" max="515" width="36.25" style="19" customWidth="1"/>
    <col min="516" max="516" width="9.875" style="19" customWidth="1"/>
    <col min="517" max="517" width="15.5" style="19" customWidth="1"/>
    <col min="518" max="519" width="9" style="19"/>
    <col min="520" max="520" width="10.875" style="19" customWidth="1"/>
    <col min="521" max="768" width="9" style="19"/>
    <col min="769" max="769" width="13.5" style="19" customWidth="1"/>
    <col min="770" max="770" width="6.5" style="19" customWidth="1"/>
    <col min="771" max="771" width="36.25" style="19" customWidth="1"/>
    <col min="772" max="772" width="9.875" style="19" customWidth="1"/>
    <col min="773" max="773" width="15.5" style="19" customWidth="1"/>
    <col min="774" max="775" width="9" style="19"/>
    <col min="776" max="776" width="10.875" style="19" customWidth="1"/>
    <col min="777" max="1024" width="9" style="19"/>
    <col min="1025" max="1025" width="13.5" style="19" customWidth="1"/>
    <col min="1026" max="1026" width="6.5" style="19" customWidth="1"/>
    <col min="1027" max="1027" width="36.25" style="19" customWidth="1"/>
    <col min="1028" max="1028" width="9.875" style="19" customWidth="1"/>
    <col min="1029" max="1029" width="15.5" style="19" customWidth="1"/>
    <col min="1030" max="1031" width="9" style="19"/>
    <col min="1032" max="1032" width="10.875" style="19" customWidth="1"/>
    <col min="1033" max="1280" width="9" style="19"/>
    <col min="1281" max="1281" width="13.5" style="19" customWidth="1"/>
    <col min="1282" max="1282" width="6.5" style="19" customWidth="1"/>
    <col min="1283" max="1283" width="36.25" style="19" customWidth="1"/>
    <col min="1284" max="1284" width="9.875" style="19" customWidth="1"/>
    <col min="1285" max="1285" width="15.5" style="19" customWidth="1"/>
    <col min="1286" max="1287" width="9" style="19"/>
    <col min="1288" max="1288" width="10.875" style="19" customWidth="1"/>
    <col min="1289" max="1536" width="9" style="19"/>
    <col min="1537" max="1537" width="13.5" style="19" customWidth="1"/>
    <col min="1538" max="1538" width="6.5" style="19" customWidth="1"/>
    <col min="1539" max="1539" width="36.25" style="19" customWidth="1"/>
    <col min="1540" max="1540" width="9.875" style="19" customWidth="1"/>
    <col min="1541" max="1541" width="15.5" style="19" customWidth="1"/>
    <col min="1542" max="1543" width="9" style="19"/>
    <col min="1544" max="1544" width="10.875" style="19" customWidth="1"/>
    <col min="1545" max="1792" width="9" style="19"/>
    <col min="1793" max="1793" width="13.5" style="19" customWidth="1"/>
    <col min="1794" max="1794" width="6.5" style="19" customWidth="1"/>
    <col min="1795" max="1795" width="36.25" style="19" customWidth="1"/>
    <col min="1796" max="1796" width="9.875" style="19" customWidth="1"/>
    <col min="1797" max="1797" width="15.5" style="19" customWidth="1"/>
    <col min="1798" max="1799" width="9" style="19"/>
    <col min="1800" max="1800" width="10.875" style="19" customWidth="1"/>
    <col min="1801" max="2048" width="9" style="19"/>
    <col min="2049" max="2049" width="13.5" style="19" customWidth="1"/>
    <col min="2050" max="2050" width="6.5" style="19" customWidth="1"/>
    <col min="2051" max="2051" width="36.25" style="19" customWidth="1"/>
    <col min="2052" max="2052" width="9.875" style="19" customWidth="1"/>
    <col min="2053" max="2053" width="15.5" style="19" customWidth="1"/>
    <col min="2054" max="2055" width="9" style="19"/>
    <col min="2056" max="2056" width="10.875" style="19" customWidth="1"/>
    <col min="2057" max="2304" width="9" style="19"/>
    <col min="2305" max="2305" width="13.5" style="19" customWidth="1"/>
    <col min="2306" max="2306" width="6.5" style="19" customWidth="1"/>
    <col min="2307" max="2307" width="36.25" style="19" customWidth="1"/>
    <col min="2308" max="2308" width="9.875" style="19" customWidth="1"/>
    <col min="2309" max="2309" width="15.5" style="19" customWidth="1"/>
    <col min="2310" max="2311" width="9" style="19"/>
    <col min="2312" max="2312" width="10.875" style="19" customWidth="1"/>
    <col min="2313" max="2560" width="9" style="19"/>
    <col min="2561" max="2561" width="13.5" style="19" customWidth="1"/>
    <col min="2562" max="2562" width="6.5" style="19" customWidth="1"/>
    <col min="2563" max="2563" width="36.25" style="19" customWidth="1"/>
    <col min="2564" max="2564" width="9.875" style="19" customWidth="1"/>
    <col min="2565" max="2565" width="15.5" style="19" customWidth="1"/>
    <col min="2566" max="2567" width="9" style="19"/>
    <col min="2568" max="2568" width="10.875" style="19" customWidth="1"/>
    <col min="2569" max="2816" width="9" style="19"/>
    <col min="2817" max="2817" width="13.5" style="19" customWidth="1"/>
    <col min="2818" max="2818" width="6.5" style="19" customWidth="1"/>
    <col min="2819" max="2819" width="36.25" style="19" customWidth="1"/>
    <col min="2820" max="2820" width="9.875" style="19" customWidth="1"/>
    <col min="2821" max="2821" width="15.5" style="19" customWidth="1"/>
    <col min="2822" max="2823" width="9" style="19"/>
    <col min="2824" max="2824" width="10.875" style="19" customWidth="1"/>
    <col min="2825" max="3072" width="9" style="19"/>
    <col min="3073" max="3073" width="13.5" style="19" customWidth="1"/>
    <col min="3074" max="3074" width="6.5" style="19" customWidth="1"/>
    <col min="3075" max="3075" width="36.25" style="19" customWidth="1"/>
    <col min="3076" max="3076" width="9.875" style="19" customWidth="1"/>
    <col min="3077" max="3077" width="15.5" style="19" customWidth="1"/>
    <col min="3078" max="3079" width="9" style="19"/>
    <col min="3080" max="3080" width="10.875" style="19" customWidth="1"/>
    <col min="3081" max="3328" width="9" style="19"/>
    <col min="3329" max="3329" width="13.5" style="19" customWidth="1"/>
    <col min="3330" max="3330" width="6.5" style="19" customWidth="1"/>
    <col min="3331" max="3331" width="36.25" style="19" customWidth="1"/>
    <col min="3332" max="3332" width="9.875" style="19" customWidth="1"/>
    <col min="3333" max="3333" width="15.5" style="19" customWidth="1"/>
    <col min="3334" max="3335" width="9" style="19"/>
    <col min="3336" max="3336" width="10.875" style="19" customWidth="1"/>
    <col min="3337" max="3584" width="9" style="19"/>
    <col min="3585" max="3585" width="13.5" style="19" customWidth="1"/>
    <col min="3586" max="3586" width="6.5" style="19" customWidth="1"/>
    <col min="3587" max="3587" width="36.25" style="19" customWidth="1"/>
    <col min="3588" max="3588" width="9.875" style="19" customWidth="1"/>
    <col min="3589" max="3589" width="15.5" style="19" customWidth="1"/>
    <col min="3590" max="3591" width="9" style="19"/>
    <col min="3592" max="3592" width="10.875" style="19" customWidth="1"/>
    <col min="3593" max="3840" width="9" style="19"/>
    <col min="3841" max="3841" width="13.5" style="19" customWidth="1"/>
    <col min="3842" max="3842" width="6.5" style="19" customWidth="1"/>
    <col min="3843" max="3843" width="36.25" style="19" customWidth="1"/>
    <col min="3844" max="3844" width="9.875" style="19" customWidth="1"/>
    <col min="3845" max="3845" width="15.5" style="19" customWidth="1"/>
    <col min="3846" max="3847" width="9" style="19"/>
    <col min="3848" max="3848" width="10.875" style="19" customWidth="1"/>
    <col min="3849" max="4096" width="9" style="19"/>
    <col min="4097" max="4097" width="13.5" style="19" customWidth="1"/>
    <col min="4098" max="4098" width="6.5" style="19" customWidth="1"/>
    <col min="4099" max="4099" width="36.25" style="19" customWidth="1"/>
    <col min="4100" max="4100" width="9.875" style="19" customWidth="1"/>
    <col min="4101" max="4101" width="15.5" style="19" customWidth="1"/>
    <col min="4102" max="4103" width="9" style="19"/>
    <col min="4104" max="4104" width="10.875" style="19" customWidth="1"/>
    <col min="4105" max="4352" width="9" style="19"/>
    <col min="4353" max="4353" width="13.5" style="19" customWidth="1"/>
    <col min="4354" max="4354" width="6.5" style="19" customWidth="1"/>
    <col min="4355" max="4355" width="36.25" style="19" customWidth="1"/>
    <col min="4356" max="4356" width="9.875" style="19" customWidth="1"/>
    <col min="4357" max="4357" width="15.5" style="19" customWidth="1"/>
    <col min="4358" max="4359" width="9" style="19"/>
    <col min="4360" max="4360" width="10.875" style="19" customWidth="1"/>
    <col min="4361" max="4608" width="9" style="19"/>
    <col min="4609" max="4609" width="13.5" style="19" customWidth="1"/>
    <col min="4610" max="4610" width="6.5" style="19" customWidth="1"/>
    <col min="4611" max="4611" width="36.25" style="19" customWidth="1"/>
    <col min="4612" max="4612" width="9.875" style="19" customWidth="1"/>
    <col min="4613" max="4613" width="15.5" style="19" customWidth="1"/>
    <col min="4614" max="4615" width="9" style="19"/>
    <col min="4616" max="4616" width="10.875" style="19" customWidth="1"/>
    <col min="4617" max="4864" width="9" style="19"/>
    <col min="4865" max="4865" width="13.5" style="19" customWidth="1"/>
    <col min="4866" max="4866" width="6.5" style="19" customWidth="1"/>
    <col min="4867" max="4867" width="36.25" style="19" customWidth="1"/>
    <col min="4868" max="4868" width="9.875" style="19" customWidth="1"/>
    <col min="4869" max="4869" width="15.5" style="19" customWidth="1"/>
    <col min="4870" max="4871" width="9" style="19"/>
    <col min="4872" max="4872" width="10.875" style="19" customWidth="1"/>
    <col min="4873" max="5120" width="9" style="19"/>
    <col min="5121" max="5121" width="13.5" style="19" customWidth="1"/>
    <col min="5122" max="5122" width="6.5" style="19" customWidth="1"/>
    <col min="5123" max="5123" width="36.25" style="19" customWidth="1"/>
    <col min="5124" max="5124" width="9.875" style="19" customWidth="1"/>
    <col min="5125" max="5125" width="15.5" style="19" customWidth="1"/>
    <col min="5126" max="5127" width="9" style="19"/>
    <col min="5128" max="5128" width="10.875" style="19" customWidth="1"/>
    <col min="5129" max="5376" width="9" style="19"/>
    <col min="5377" max="5377" width="13.5" style="19" customWidth="1"/>
    <col min="5378" max="5378" width="6.5" style="19" customWidth="1"/>
    <col min="5379" max="5379" width="36.25" style="19" customWidth="1"/>
    <col min="5380" max="5380" width="9.875" style="19" customWidth="1"/>
    <col min="5381" max="5381" width="15.5" style="19" customWidth="1"/>
    <col min="5382" max="5383" width="9" style="19"/>
    <col min="5384" max="5384" width="10.875" style="19" customWidth="1"/>
    <col min="5385" max="5632" width="9" style="19"/>
    <col min="5633" max="5633" width="13.5" style="19" customWidth="1"/>
    <col min="5634" max="5634" width="6.5" style="19" customWidth="1"/>
    <col min="5635" max="5635" width="36.25" style="19" customWidth="1"/>
    <col min="5636" max="5636" width="9.875" style="19" customWidth="1"/>
    <col min="5637" max="5637" width="15.5" style="19" customWidth="1"/>
    <col min="5638" max="5639" width="9" style="19"/>
    <col min="5640" max="5640" width="10.875" style="19" customWidth="1"/>
    <col min="5641" max="5888" width="9" style="19"/>
    <col min="5889" max="5889" width="13.5" style="19" customWidth="1"/>
    <col min="5890" max="5890" width="6.5" style="19" customWidth="1"/>
    <col min="5891" max="5891" width="36.25" style="19" customWidth="1"/>
    <col min="5892" max="5892" width="9.875" style="19" customWidth="1"/>
    <col min="5893" max="5893" width="15.5" style="19" customWidth="1"/>
    <col min="5894" max="5895" width="9" style="19"/>
    <col min="5896" max="5896" width="10.875" style="19" customWidth="1"/>
    <col min="5897" max="6144" width="9" style="19"/>
    <col min="6145" max="6145" width="13.5" style="19" customWidth="1"/>
    <col min="6146" max="6146" width="6.5" style="19" customWidth="1"/>
    <col min="6147" max="6147" width="36.25" style="19" customWidth="1"/>
    <col min="6148" max="6148" width="9.875" style="19" customWidth="1"/>
    <col min="6149" max="6149" width="15.5" style="19" customWidth="1"/>
    <col min="6150" max="6151" width="9" style="19"/>
    <col min="6152" max="6152" width="10.875" style="19" customWidth="1"/>
    <col min="6153" max="6400" width="9" style="19"/>
    <col min="6401" max="6401" width="13.5" style="19" customWidth="1"/>
    <col min="6402" max="6402" width="6.5" style="19" customWidth="1"/>
    <col min="6403" max="6403" width="36.25" style="19" customWidth="1"/>
    <col min="6404" max="6404" width="9.875" style="19" customWidth="1"/>
    <col min="6405" max="6405" width="15.5" style="19" customWidth="1"/>
    <col min="6406" max="6407" width="9" style="19"/>
    <col min="6408" max="6408" width="10.875" style="19" customWidth="1"/>
    <col min="6409" max="6656" width="9" style="19"/>
    <col min="6657" max="6657" width="13.5" style="19" customWidth="1"/>
    <col min="6658" max="6658" width="6.5" style="19" customWidth="1"/>
    <col min="6659" max="6659" width="36.25" style="19" customWidth="1"/>
    <col min="6660" max="6660" width="9.875" style="19" customWidth="1"/>
    <col min="6661" max="6661" width="15.5" style="19" customWidth="1"/>
    <col min="6662" max="6663" width="9" style="19"/>
    <col min="6664" max="6664" width="10.875" style="19" customWidth="1"/>
    <col min="6665" max="6912" width="9" style="19"/>
    <col min="6913" max="6913" width="13.5" style="19" customWidth="1"/>
    <col min="6914" max="6914" width="6.5" style="19" customWidth="1"/>
    <col min="6915" max="6915" width="36.25" style="19" customWidth="1"/>
    <col min="6916" max="6916" width="9.875" style="19" customWidth="1"/>
    <col min="6917" max="6917" width="15.5" style="19" customWidth="1"/>
    <col min="6918" max="6919" width="9" style="19"/>
    <col min="6920" max="6920" width="10.875" style="19" customWidth="1"/>
    <col min="6921" max="7168" width="9" style="19"/>
    <col min="7169" max="7169" width="13.5" style="19" customWidth="1"/>
    <col min="7170" max="7170" width="6.5" style="19" customWidth="1"/>
    <col min="7171" max="7171" width="36.25" style="19" customWidth="1"/>
    <col min="7172" max="7172" width="9.875" style="19" customWidth="1"/>
    <col min="7173" max="7173" width="15.5" style="19" customWidth="1"/>
    <col min="7174" max="7175" width="9" style="19"/>
    <col min="7176" max="7176" width="10.875" style="19" customWidth="1"/>
    <col min="7177" max="7424" width="9" style="19"/>
    <col min="7425" max="7425" width="13.5" style="19" customWidth="1"/>
    <col min="7426" max="7426" width="6.5" style="19" customWidth="1"/>
    <col min="7427" max="7427" width="36.25" style="19" customWidth="1"/>
    <col min="7428" max="7428" width="9.875" style="19" customWidth="1"/>
    <col min="7429" max="7429" width="15.5" style="19" customWidth="1"/>
    <col min="7430" max="7431" width="9" style="19"/>
    <col min="7432" max="7432" width="10.875" style="19" customWidth="1"/>
    <col min="7433" max="7680" width="9" style="19"/>
    <col min="7681" max="7681" width="13.5" style="19" customWidth="1"/>
    <col min="7682" max="7682" width="6.5" style="19" customWidth="1"/>
    <col min="7683" max="7683" width="36.25" style="19" customWidth="1"/>
    <col min="7684" max="7684" width="9.875" style="19" customWidth="1"/>
    <col min="7685" max="7685" width="15.5" style="19" customWidth="1"/>
    <col min="7686" max="7687" width="9" style="19"/>
    <col min="7688" max="7688" width="10.875" style="19" customWidth="1"/>
    <col min="7689" max="7936" width="9" style="19"/>
    <col min="7937" max="7937" width="13.5" style="19" customWidth="1"/>
    <col min="7938" max="7938" width="6.5" style="19" customWidth="1"/>
    <col min="7939" max="7939" width="36.25" style="19" customWidth="1"/>
    <col min="7940" max="7940" width="9.875" style="19" customWidth="1"/>
    <col min="7941" max="7941" width="15.5" style="19" customWidth="1"/>
    <col min="7942" max="7943" width="9" style="19"/>
    <col min="7944" max="7944" width="10.875" style="19" customWidth="1"/>
    <col min="7945" max="8192" width="9" style="19"/>
    <col min="8193" max="8193" width="13.5" style="19" customWidth="1"/>
    <col min="8194" max="8194" width="6.5" style="19" customWidth="1"/>
    <col min="8195" max="8195" width="36.25" style="19" customWidth="1"/>
    <col min="8196" max="8196" width="9.875" style="19" customWidth="1"/>
    <col min="8197" max="8197" width="15.5" style="19" customWidth="1"/>
    <col min="8198" max="8199" width="9" style="19"/>
    <col min="8200" max="8200" width="10.875" style="19" customWidth="1"/>
    <col min="8201" max="8448" width="9" style="19"/>
    <col min="8449" max="8449" width="13.5" style="19" customWidth="1"/>
    <col min="8450" max="8450" width="6.5" style="19" customWidth="1"/>
    <col min="8451" max="8451" width="36.25" style="19" customWidth="1"/>
    <col min="8452" max="8452" width="9.875" style="19" customWidth="1"/>
    <col min="8453" max="8453" width="15.5" style="19" customWidth="1"/>
    <col min="8454" max="8455" width="9" style="19"/>
    <col min="8456" max="8456" width="10.875" style="19" customWidth="1"/>
    <col min="8457" max="8704" width="9" style="19"/>
    <col min="8705" max="8705" width="13.5" style="19" customWidth="1"/>
    <col min="8706" max="8706" width="6.5" style="19" customWidth="1"/>
    <col min="8707" max="8707" width="36.25" style="19" customWidth="1"/>
    <col min="8708" max="8708" width="9.875" style="19" customWidth="1"/>
    <col min="8709" max="8709" width="15.5" style="19" customWidth="1"/>
    <col min="8710" max="8711" width="9" style="19"/>
    <col min="8712" max="8712" width="10.875" style="19" customWidth="1"/>
    <col min="8713" max="8960" width="9" style="19"/>
    <col min="8961" max="8961" width="13.5" style="19" customWidth="1"/>
    <col min="8962" max="8962" width="6.5" style="19" customWidth="1"/>
    <col min="8963" max="8963" width="36.25" style="19" customWidth="1"/>
    <col min="8964" max="8964" width="9.875" style="19" customWidth="1"/>
    <col min="8965" max="8965" width="15.5" style="19" customWidth="1"/>
    <col min="8966" max="8967" width="9" style="19"/>
    <col min="8968" max="8968" width="10.875" style="19" customWidth="1"/>
    <col min="8969" max="9216" width="9" style="19"/>
    <col min="9217" max="9217" width="13.5" style="19" customWidth="1"/>
    <col min="9218" max="9218" width="6.5" style="19" customWidth="1"/>
    <col min="9219" max="9219" width="36.25" style="19" customWidth="1"/>
    <col min="9220" max="9220" width="9.875" style="19" customWidth="1"/>
    <col min="9221" max="9221" width="15.5" style="19" customWidth="1"/>
    <col min="9222" max="9223" width="9" style="19"/>
    <col min="9224" max="9224" width="10.875" style="19" customWidth="1"/>
    <col min="9225" max="9472" width="9" style="19"/>
    <col min="9473" max="9473" width="13.5" style="19" customWidth="1"/>
    <col min="9474" max="9474" width="6.5" style="19" customWidth="1"/>
    <col min="9475" max="9475" width="36.25" style="19" customWidth="1"/>
    <col min="9476" max="9476" width="9.875" style="19" customWidth="1"/>
    <col min="9477" max="9477" width="15.5" style="19" customWidth="1"/>
    <col min="9478" max="9479" width="9" style="19"/>
    <col min="9480" max="9480" width="10.875" style="19" customWidth="1"/>
    <col min="9481" max="9728" width="9" style="19"/>
    <col min="9729" max="9729" width="13.5" style="19" customWidth="1"/>
    <col min="9730" max="9730" width="6.5" style="19" customWidth="1"/>
    <col min="9731" max="9731" width="36.25" style="19" customWidth="1"/>
    <col min="9732" max="9732" width="9.875" style="19" customWidth="1"/>
    <col min="9733" max="9733" width="15.5" style="19" customWidth="1"/>
    <col min="9734" max="9735" width="9" style="19"/>
    <col min="9736" max="9736" width="10.875" style="19" customWidth="1"/>
    <col min="9737" max="9984" width="9" style="19"/>
    <col min="9985" max="9985" width="13.5" style="19" customWidth="1"/>
    <col min="9986" max="9986" width="6.5" style="19" customWidth="1"/>
    <col min="9987" max="9987" width="36.25" style="19" customWidth="1"/>
    <col min="9988" max="9988" width="9.875" style="19" customWidth="1"/>
    <col min="9989" max="9989" width="15.5" style="19" customWidth="1"/>
    <col min="9990" max="9991" width="9" style="19"/>
    <col min="9992" max="9992" width="10.875" style="19" customWidth="1"/>
    <col min="9993" max="10240" width="9" style="19"/>
    <col min="10241" max="10241" width="13.5" style="19" customWidth="1"/>
    <col min="10242" max="10242" width="6.5" style="19" customWidth="1"/>
    <col min="10243" max="10243" width="36.25" style="19" customWidth="1"/>
    <col min="10244" max="10244" width="9.875" style="19" customWidth="1"/>
    <col min="10245" max="10245" width="15.5" style="19" customWidth="1"/>
    <col min="10246" max="10247" width="9" style="19"/>
    <col min="10248" max="10248" width="10.875" style="19" customWidth="1"/>
    <col min="10249" max="10496" width="9" style="19"/>
    <col min="10497" max="10497" width="13.5" style="19" customWidth="1"/>
    <col min="10498" max="10498" width="6.5" style="19" customWidth="1"/>
    <col min="10499" max="10499" width="36.25" style="19" customWidth="1"/>
    <col min="10500" max="10500" width="9.875" style="19" customWidth="1"/>
    <col min="10501" max="10501" width="15.5" style="19" customWidth="1"/>
    <col min="10502" max="10503" width="9" style="19"/>
    <col min="10504" max="10504" width="10.875" style="19" customWidth="1"/>
    <col min="10505" max="10752" width="9" style="19"/>
    <col min="10753" max="10753" width="13.5" style="19" customWidth="1"/>
    <col min="10754" max="10754" width="6.5" style="19" customWidth="1"/>
    <col min="10755" max="10755" width="36.25" style="19" customWidth="1"/>
    <col min="10756" max="10756" width="9.875" style="19" customWidth="1"/>
    <col min="10757" max="10757" width="15.5" style="19" customWidth="1"/>
    <col min="10758" max="10759" width="9" style="19"/>
    <col min="10760" max="10760" width="10.875" style="19" customWidth="1"/>
    <col min="10761" max="11008" width="9" style="19"/>
    <col min="11009" max="11009" width="13.5" style="19" customWidth="1"/>
    <col min="11010" max="11010" width="6.5" style="19" customWidth="1"/>
    <col min="11011" max="11011" width="36.25" style="19" customWidth="1"/>
    <col min="11012" max="11012" width="9.875" style="19" customWidth="1"/>
    <col min="11013" max="11013" width="15.5" style="19" customWidth="1"/>
    <col min="11014" max="11015" width="9" style="19"/>
    <col min="11016" max="11016" width="10.875" style="19" customWidth="1"/>
    <col min="11017" max="11264" width="9" style="19"/>
    <col min="11265" max="11265" width="13.5" style="19" customWidth="1"/>
    <col min="11266" max="11266" width="6.5" style="19" customWidth="1"/>
    <col min="11267" max="11267" width="36.25" style="19" customWidth="1"/>
    <col min="11268" max="11268" width="9.875" style="19" customWidth="1"/>
    <col min="11269" max="11269" width="15.5" style="19" customWidth="1"/>
    <col min="11270" max="11271" width="9" style="19"/>
    <col min="11272" max="11272" width="10.875" style="19" customWidth="1"/>
    <col min="11273" max="11520" width="9" style="19"/>
    <col min="11521" max="11521" width="13.5" style="19" customWidth="1"/>
    <col min="11522" max="11522" width="6.5" style="19" customWidth="1"/>
    <col min="11523" max="11523" width="36.25" style="19" customWidth="1"/>
    <col min="11524" max="11524" width="9.875" style="19" customWidth="1"/>
    <col min="11525" max="11525" width="15.5" style="19" customWidth="1"/>
    <col min="11526" max="11527" width="9" style="19"/>
    <col min="11528" max="11528" width="10.875" style="19" customWidth="1"/>
    <col min="11529" max="11776" width="9" style="19"/>
    <col min="11777" max="11777" width="13.5" style="19" customWidth="1"/>
    <col min="11778" max="11778" width="6.5" style="19" customWidth="1"/>
    <col min="11779" max="11779" width="36.25" style="19" customWidth="1"/>
    <col min="11780" max="11780" width="9.875" style="19" customWidth="1"/>
    <col min="11781" max="11781" width="15.5" style="19" customWidth="1"/>
    <col min="11782" max="11783" width="9" style="19"/>
    <col min="11784" max="11784" width="10.875" style="19" customWidth="1"/>
    <col min="11785" max="12032" width="9" style="19"/>
    <col min="12033" max="12033" width="13.5" style="19" customWidth="1"/>
    <col min="12034" max="12034" width="6.5" style="19" customWidth="1"/>
    <col min="12035" max="12035" width="36.25" style="19" customWidth="1"/>
    <col min="12036" max="12036" width="9.875" style="19" customWidth="1"/>
    <col min="12037" max="12037" width="15.5" style="19" customWidth="1"/>
    <col min="12038" max="12039" width="9" style="19"/>
    <col min="12040" max="12040" width="10.875" style="19" customWidth="1"/>
    <col min="12041" max="12288" width="9" style="19"/>
    <col min="12289" max="12289" width="13.5" style="19" customWidth="1"/>
    <col min="12290" max="12290" width="6.5" style="19" customWidth="1"/>
    <col min="12291" max="12291" width="36.25" style="19" customWidth="1"/>
    <col min="12292" max="12292" width="9.875" style="19" customWidth="1"/>
    <col min="12293" max="12293" width="15.5" style="19" customWidth="1"/>
    <col min="12294" max="12295" width="9" style="19"/>
    <col min="12296" max="12296" width="10.875" style="19" customWidth="1"/>
    <col min="12297" max="12544" width="9" style="19"/>
    <col min="12545" max="12545" width="13.5" style="19" customWidth="1"/>
    <col min="12546" max="12546" width="6.5" style="19" customWidth="1"/>
    <col min="12547" max="12547" width="36.25" style="19" customWidth="1"/>
    <col min="12548" max="12548" width="9.875" style="19" customWidth="1"/>
    <col min="12549" max="12549" width="15.5" style="19" customWidth="1"/>
    <col min="12550" max="12551" width="9" style="19"/>
    <col min="12552" max="12552" width="10.875" style="19" customWidth="1"/>
    <col min="12553" max="12800" width="9" style="19"/>
    <col min="12801" max="12801" width="13.5" style="19" customWidth="1"/>
    <col min="12802" max="12802" width="6.5" style="19" customWidth="1"/>
    <col min="12803" max="12803" width="36.25" style="19" customWidth="1"/>
    <col min="12804" max="12804" width="9.875" style="19" customWidth="1"/>
    <col min="12805" max="12805" width="15.5" style="19" customWidth="1"/>
    <col min="12806" max="12807" width="9" style="19"/>
    <col min="12808" max="12808" width="10.875" style="19" customWidth="1"/>
    <col min="12809" max="13056" width="9" style="19"/>
    <col min="13057" max="13057" width="13.5" style="19" customWidth="1"/>
    <col min="13058" max="13058" width="6.5" style="19" customWidth="1"/>
    <col min="13059" max="13059" width="36.25" style="19" customWidth="1"/>
    <col min="13060" max="13060" width="9.875" style="19" customWidth="1"/>
    <col min="13061" max="13061" width="15.5" style="19" customWidth="1"/>
    <col min="13062" max="13063" width="9" style="19"/>
    <col min="13064" max="13064" width="10.875" style="19" customWidth="1"/>
    <col min="13065" max="13312" width="9" style="19"/>
    <col min="13313" max="13313" width="13.5" style="19" customWidth="1"/>
    <col min="13314" max="13314" width="6.5" style="19" customWidth="1"/>
    <col min="13315" max="13315" width="36.25" style="19" customWidth="1"/>
    <col min="13316" max="13316" width="9.875" style="19" customWidth="1"/>
    <col min="13317" max="13317" width="15.5" style="19" customWidth="1"/>
    <col min="13318" max="13319" width="9" style="19"/>
    <col min="13320" max="13320" width="10.875" style="19" customWidth="1"/>
    <col min="13321" max="13568" width="9" style="19"/>
    <col min="13569" max="13569" width="13.5" style="19" customWidth="1"/>
    <col min="13570" max="13570" width="6.5" style="19" customWidth="1"/>
    <col min="13571" max="13571" width="36.25" style="19" customWidth="1"/>
    <col min="13572" max="13572" width="9.875" style="19" customWidth="1"/>
    <col min="13573" max="13573" width="15.5" style="19" customWidth="1"/>
    <col min="13574" max="13575" width="9" style="19"/>
    <col min="13576" max="13576" width="10.875" style="19" customWidth="1"/>
    <col min="13577" max="13824" width="9" style="19"/>
    <col min="13825" max="13825" width="13.5" style="19" customWidth="1"/>
    <col min="13826" max="13826" width="6.5" style="19" customWidth="1"/>
    <col min="13827" max="13827" width="36.25" style="19" customWidth="1"/>
    <col min="13828" max="13828" width="9.875" style="19" customWidth="1"/>
    <col min="13829" max="13829" width="15.5" style="19" customWidth="1"/>
    <col min="13830" max="13831" width="9" style="19"/>
    <col min="13832" max="13832" width="10.875" style="19" customWidth="1"/>
    <col min="13833" max="14080" width="9" style="19"/>
    <col min="14081" max="14081" width="13.5" style="19" customWidth="1"/>
    <col min="14082" max="14082" width="6.5" style="19" customWidth="1"/>
    <col min="14083" max="14083" width="36.25" style="19" customWidth="1"/>
    <col min="14084" max="14084" width="9.875" style="19" customWidth="1"/>
    <col min="14085" max="14085" width="15.5" style="19" customWidth="1"/>
    <col min="14086" max="14087" width="9" style="19"/>
    <col min="14088" max="14088" width="10.875" style="19" customWidth="1"/>
    <col min="14089" max="14336" width="9" style="19"/>
    <col min="14337" max="14337" width="13.5" style="19" customWidth="1"/>
    <col min="14338" max="14338" width="6.5" style="19" customWidth="1"/>
    <col min="14339" max="14339" width="36.25" style="19" customWidth="1"/>
    <col min="14340" max="14340" width="9.875" style="19" customWidth="1"/>
    <col min="14341" max="14341" width="15.5" style="19" customWidth="1"/>
    <col min="14342" max="14343" width="9" style="19"/>
    <col min="14344" max="14344" width="10.875" style="19" customWidth="1"/>
    <col min="14345" max="14592" width="9" style="19"/>
    <col min="14593" max="14593" width="13.5" style="19" customWidth="1"/>
    <col min="14594" max="14594" width="6.5" style="19" customWidth="1"/>
    <col min="14595" max="14595" width="36.25" style="19" customWidth="1"/>
    <col min="14596" max="14596" width="9.875" style="19" customWidth="1"/>
    <col min="14597" max="14597" width="15.5" style="19" customWidth="1"/>
    <col min="14598" max="14599" width="9" style="19"/>
    <col min="14600" max="14600" width="10.875" style="19" customWidth="1"/>
    <col min="14601" max="14848" width="9" style="19"/>
    <col min="14849" max="14849" width="13.5" style="19" customWidth="1"/>
    <col min="14850" max="14850" width="6.5" style="19" customWidth="1"/>
    <col min="14851" max="14851" width="36.25" style="19" customWidth="1"/>
    <col min="14852" max="14852" width="9.875" style="19" customWidth="1"/>
    <col min="14853" max="14853" width="15.5" style="19" customWidth="1"/>
    <col min="14854" max="14855" width="9" style="19"/>
    <col min="14856" max="14856" width="10.875" style="19" customWidth="1"/>
    <col min="14857" max="15104" width="9" style="19"/>
    <col min="15105" max="15105" width="13.5" style="19" customWidth="1"/>
    <col min="15106" max="15106" width="6.5" style="19" customWidth="1"/>
    <col min="15107" max="15107" width="36.25" style="19" customWidth="1"/>
    <col min="15108" max="15108" width="9.875" style="19" customWidth="1"/>
    <col min="15109" max="15109" width="15.5" style="19" customWidth="1"/>
    <col min="15110" max="15111" width="9" style="19"/>
    <col min="15112" max="15112" width="10.875" style="19" customWidth="1"/>
    <col min="15113" max="15360" width="9" style="19"/>
    <col min="15361" max="15361" width="13.5" style="19" customWidth="1"/>
    <col min="15362" max="15362" width="6.5" style="19" customWidth="1"/>
    <col min="15363" max="15363" width="36.25" style="19" customWidth="1"/>
    <col min="15364" max="15364" width="9.875" style="19" customWidth="1"/>
    <col min="15365" max="15365" width="15.5" style="19" customWidth="1"/>
    <col min="15366" max="15367" width="9" style="19"/>
    <col min="15368" max="15368" width="10.875" style="19" customWidth="1"/>
    <col min="15369" max="15616" width="9" style="19"/>
    <col min="15617" max="15617" width="13.5" style="19" customWidth="1"/>
    <col min="15618" max="15618" width="6.5" style="19" customWidth="1"/>
    <col min="15619" max="15619" width="36.25" style="19" customWidth="1"/>
    <col min="15620" max="15620" width="9.875" style="19" customWidth="1"/>
    <col min="15621" max="15621" width="15.5" style="19" customWidth="1"/>
    <col min="15622" max="15623" width="9" style="19"/>
    <col min="15624" max="15624" width="10.875" style="19" customWidth="1"/>
    <col min="15625" max="15872" width="9" style="19"/>
    <col min="15873" max="15873" width="13.5" style="19" customWidth="1"/>
    <col min="15874" max="15874" width="6.5" style="19" customWidth="1"/>
    <col min="15875" max="15875" width="36.25" style="19" customWidth="1"/>
    <col min="15876" max="15876" width="9.875" style="19" customWidth="1"/>
    <col min="15877" max="15877" width="15.5" style="19" customWidth="1"/>
    <col min="15878" max="15879" width="9" style="19"/>
    <col min="15880" max="15880" width="10.875" style="19" customWidth="1"/>
    <col min="15881" max="16128" width="9" style="19"/>
    <col min="16129" max="16129" width="13.5" style="19" customWidth="1"/>
    <col min="16130" max="16130" width="6.5" style="19" customWidth="1"/>
    <col min="16131" max="16131" width="36.25" style="19" customWidth="1"/>
    <col min="16132" max="16132" width="9.875" style="19" customWidth="1"/>
    <col min="16133" max="16133" width="15.5" style="19" customWidth="1"/>
    <col min="16134" max="16135" width="9" style="19"/>
    <col min="16136" max="16136" width="10.875" style="19" customWidth="1"/>
    <col min="16137" max="16384" width="9" style="19"/>
  </cols>
  <sheetData>
    <row r="1" spans="1:5" ht="33" customHeight="1">
      <c r="A1" s="650" t="s">
        <v>452</v>
      </c>
      <c r="B1" s="651"/>
      <c r="C1" s="651"/>
      <c r="D1" s="651"/>
      <c r="E1" s="651"/>
    </row>
    <row r="2" spans="1:5" ht="18" customHeight="1">
      <c r="A2" s="57"/>
      <c r="B2" s="57"/>
      <c r="C2" s="57"/>
      <c r="D2" s="57"/>
      <c r="E2" s="57"/>
    </row>
    <row r="3" spans="1:5" ht="16.5" customHeight="1">
      <c r="A3" s="58" t="s">
        <v>453</v>
      </c>
      <c r="B3" s="652">
        <f>'QC Test Summary-Hologic'!C4</f>
        <v>0</v>
      </c>
      <c r="C3" s="652"/>
      <c r="D3" s="652"/>
      <c r="E3" s="652"/>
    </row>
    <row r="4" spans="1:5" ht="16.5" customHeight="1">
      <c r="A4" s="58" t="s">
        <v>454</v>
      </c>
      <c r="B4" s="653" t="str">
        <f>Sheet1!R17</f>
        <v/>
      </c>
      <c r="C4" s="653"/>
      <c r="D4" s="500" t="s">
        <v>23</v>
      </c>
      <c r="E4" s="501" t="str">
        <f>Sheet1!R18</f>
        <v/>
      </c>
    </row>
    <row r="5" spans="1:5" ht="16.5" customHeight="1">
      <c r="A5" s="58" t="s">
        <v>455</v>
      </c>
      <c r="B5" s="653" t="str">
        <f>Sheet1!V18</f>
        <v/>
      </c>
      <c r="C5" s="653"/>
      <c r="D5" s="500" t="s">
        <v>456</v>
      </c>
      <c r="E5" s="502" t="str">
        <f>Sheet1!V17</f>
        <v/>
      </c>
    </row>
    <row r="6" spans="1:5" ht="16.5" customHeight="1">
      <c r="A6" s="58" t="s">
        <v>457</v>
      </c>
      <c r="B6" s="653" t="str">
        <f>Sheet1!X7</f>
        <v>Eugene Mah</v>
      </c>
      <c r="C6" s="653"/>
      <c r="D6" s="500" t="s">
        <v>458</v>
      </c>
      <c r="E6" s="503" t="str">
        <f>Sheet1!R14</f>
        <v/>
      </c>
    </row>
    <row r="7" spans="1:5" ht="16.5" customHeight="1">
      <c r="A7" s="58" t="s">
        <v>459</v>
      </c>
      <c r="B7" s="653"/>
      <c r="C7" s="653"/>
      <c r="D7" s="500" t="s">
        <v>460</v>
      </c>
      <c r="E7" s="504">
        <f>Sheet1!P7</f>
        <v>0</v>
      </c>
    </row>
    <row r="8" spans="1:5" ht="21.75" customHeight="1" thickBot="1"/>
    <row r="9" spans="1:5" ht="35.25" customHeight="1" thickBot="1">
      <c r="A9" s="59" t="s">
        <v>461</v>
      </c>
      <c r="B9" s="60" t="s">
        <v>462</v>
      </c>
      <c r="C9" s="61" t="s">
        <v>463</v>
      </c>
      <c r="D9" s="60" t="s">
        <v>464</v>
      </c>
      <c r="E9" s="62" t="s">
        <v>652</v>
      </c>
    </row>
    <row r="10" spans="1:5" ht="33" customHeight="1" thickTop="1">
      <c r="A10" s="649" t="s">
        <v>465</v>
      </c>
      <c r="B10" s="63" t="s">
        <v>466</v>
      </c>
      <c r="C10" s="64" t="s">
        <v>686</v>
      </c>
      <c r="D10" s="65" t="s">
        <v>467</v>
      </c>
      <c r="E10" s="66"/>
    </row>
    <row r="11" spans="1:5" ht="25.5" customHeight="1" thickBot="1">
      <c r="A11" s="645"/>
      <c r="B11" s="67" t="s">
        <v>468</v>
      </c>
      <c r="C11" s="79" t="s">
        <v>469</v>
      </c>
      <c r="D11" s="68" t="s">
        <v>467</v>
      </c>
      <c r="E11" s="69"/>
    </row>
    <row r="12" spans="1:5" ht="33.75" customHeight="1">
      <c r="A12" s="640" t="s">
        <v>470</v>
      </c>
      <c r="B12" s="70" t="s">
        <v>471</v>
      </c>
      <c r="C12" s="71" t="s">
        <v>472</v>
      </c>
      <c r="D12" s="72" t="s">
        <v>473</v>
      </c>
      <c r="E12" s="73"/>
    </row>
    <row r="13" spans="1:5" ht="33.75" customHeight="1">
      <c r="A13" s="641"/>
      <c r="B13" s="74" t="s">
        <v>474</v>
      </c>
      <c r="C13" s="75" t="s">
        <v>684</v>
      </c>
      <c r="D13" s="76" t="s">
        <v>473</v>
      </c>
      <c r="E13" s="77"/>
    </row>
    <row r="14" spans="1:5" ht="34.5" customHeight="1" thickBot="1">
      <c r="A14" s="642"/>
      <c r="B14" s="78" t="s">
        <v>475</v>
      </c>
      <c r="C14" s="79" t="s">
        <v>476</v>
      </c>
      <c r="D14" s="68" t="s">
        <v>467</v>
      </c>
      <c r="E14" s="80"/>
    </row>
    <row r="15" spans="1:5" ht="33.75">
      <c r="A15" s="643" t="s">
        <v>477</v>
      </c>
      <c r="B15" s="81" t="s">
        <v>478</v>
      </c>
      <c r="C15" s="82" t="s">
        <v>685</v>
      </c>
      <c r="D15" s="72" t="s">
        <v>467</v>
      </c>
      <c r="E15" s="83"/>
    </row>
    <row r="16" spans="1:5" ht="54.75" customHeight="1" thickBot="1">
      <c r="A16" s="644"/>
      <c r="B16" s="67" t="s">
        <v>479</v>
      </c>
      <c r="C16" s="84" t="s">
        <v>480</v>
      </c>
      <c r="D16" s="68" t="s">
        <v>481</v>
      </c>
      <c r="E16" s="85"/>
    </row>
    <row r="17" spans="1:5" ht="33.75" customHeight="1">
      <c r="A17" s="635" t="s">
        <v>482</v>
      </c>
      <c r="B17" s="86" t="s">
        <v>483</v>
      </c>
      <c r="C17" s="71" t="s">
        <v>687</v>
      </c>
      <c r="D17" s="72" t="s">
        <v>467</v>
      </c>
      <c r="E17" s="87"/>
    </row>
    <row r="18" spans="1:5" ht="33.75" customHeight="1" thickBot="1">
      <c r="A18" s="645"/>
      <c r="B18" s="88" t="s">
        <v>484</v>
      </c>
      <c r="C18" s="89" t="s">
        <v>485</v>
      </c>
      <c r="D18" s="68" t="s">
        <v>467</v>
      </c>
      <c r="E18" s="69"/>
    </row>
    <row r="19" spans="1:5" ht="33.75">
      <c r="A19" s="646" t="s">
        <v>486</v>
      </c>
      <c r="B19" s="86" t="s">
        <v>487</v>
      </c>
      <c r="C19" s="71" t="s">
        <v>488</v>
      </c>
      <c r="D19" s="72" t="s">
        <v>467</v>
      </c>
      <c r="E19" s="87"/>
    </row>
    <row r="20" spans="1:5" ht="33.75" customHeight="1">
      <c r="A20" s="647"/>
      <c r="B20" s="90" t="s">
        <v>489</v>
      </c>
      <c r="C20" s="91" t="s">
        <v>490</v>
      </c>
      <c r="D20" s="65" t="s">
        <v>467</v>
      </c>
      <c r="E20" s="92"/>
    </row>
    <row r="21" spans="1:5" ht="54.75" customHeight="1" thickBot="1">
      <c r="A21" s="648"/>
      <c r="B21" s="88" t="s">
        <v>491</v>
      </c>
      <c r="C21" s="89" t="s">
        <v>492</v>
      </c>
      <c r="D21" s="68" t="s">
        <v>467</v>
      </c>
      <c r="E21" s="69"/>
    </row>
    <row r="22" spans="1:5" ht="33.75" customHeight="1">
      <c r="A22" s="635" t="s">
        <v>493</v>
      </c>
      <c r="B22" s="86" t="s">
        <v>494</v>
      </c>
      <c r="C22" s="71" t="s">
        <v>495</v>
      </c>
      <c r="D22" s="72" t="s">
        <v>467</v>
      </c>
      <c r="E22" s="87"/>
    </row>
    <row r="23" spans="1:5" ht="25.5" customHeight="1" thickBot="1">
      <c r="A23" s="645"/>
      <c r="B23" s="67" t="s">
        <v>496</v>
      </c>
      <c r="C23" s="79" t="s">
        <v>497</v>
      </c>
      <c r="D23" s="68" t="s">
        <v>467</v>
      </c>
      <c r="E23" s="85"/>
    </row>
    <row r="24" spans="1:5" ht="33.75">
      <c r="A24" s="646" t="s">
        <v>498</v>
      </c>
      <c r="B24" s="86" t="s">
        <v>499</v>
      </c>
      <c r="C24" s="71" t="s">
        <v>500</v>
      </c>
      <c r="D24" s="72" t="s">
        <v>467</v>
      </c>
      <c r="E24" s="87"/>
    </row>
    <row r="25" spans="1:5" ht="45.75" customHeight="1">
      <c r="A25" s="647"/>
      <c r="B25" s="90" t="s">
        <v>501</v>
      </c>
      <c r="C25" s="75" t="s">
        <v>502</v>
      </c>
      <c r="D25" s="65" t="s">
        <v>481</v>
      </c>
      <c r="E25" s="92"/>
    </row>
    <row r="26" spans="1:5" ht="46.5" customHeight="1">
      <c r="A26" s="647"/>
      <c r="B26" s="93" t="s">
        <v>503</v>
      </c>
      <c r="C26" s="75" t="s">
        <v>504</v>
      </c>
      <c r="D26" s="65" t="s">
        <v>467</v>
      </c>
      <c r="E26" s="92"/>
    </row>
    <row r="27" spans="1:5" ht="22.5">
      <c r="A27" s="647"/>
      <c r="B27" s="93" t="s">
        <v>505</v>
      </c>
      <c r="C27" s="75" t="s">
        <v>506</v>
      </c>
      <c r="D27" s="65" t="s">
        <v>467</v>
      </c>
      <c r="E27" s="92"/>
    </row>
    <row r="28" spans="1:5" ht="23.25" thickBot="1">
      <c r="A28" s="648"/>
      <c r="B28" s="94" t="s">
        <v>507</v>
      </c>
      <c r="C28" s="79" t="s">
        <v>508</v>
      </c>
      <c r="D28" s="68" t="s">
        <v>467</v>
      </c>
      <c r="E28" s="85"/>
    </row>
    <row r="29" spans="1:5" ht="22.5">
      <c r="A29" s="635" t="s">
        <v>509</v>
      </c>
      <c r="B29" s="95" t="s">
        <v>510</v>
      </c>
      <c r="C29" s="71" t="s">
        <v>511</v>
      </c>
      <c r="D29" s="72" t="s">
        <v>467</v>
      </c>
      <c r="E29" s="87"/>
    </row>
    <row r="30" spans="1:5" ht="54.75" customHeight="1">
      <c r="A30" s="636"/>
      <c r="B30" s="93" t="s">
        <v>512</v>
      </c>
      <c r="C30" s="75" t="s">
        <v>513</v>
      </c>
      <c r="D30" s="65" t="s">
        <v>467</v>
      </c>
      <c r="E30" s="92"/>
    </row>
    <row r="31" spans="1:5" ht="34.5" thickBot="1">
      <c r="A31" s="637"/>
      <c r="B31" s="94" t="s">
        <v>514</v>
      </c>
      <c r="C31" s="79" t="s">
        <v>515</v>
      </c>
      <c r="D31" s="68" t="s">
        <v>467</v>
      </c>
      <c r="E31" s="85"/>
    </row>
    <row r="32" spans="1:5" ht="46.5" customHeight="1">
      <c r="A32" s="635" t="s">
        <v>516</v>
      </c>
      <c r="B32" s="95" t="s">
        <v>517</v>
      </c>
      <c r="C32" s="71" t="s">
        <v>518</v>
      </c>
      <c r="D32" s="72" t="s">
        <v>473</v>
      </c>
      <c r="E32" s="87"/>
    </row>
    <row r="33" spans="1:5" ht="66.75" customHeight="1">
      <c r="A33" s="636"/>
      <c r="B33" s="93" t="s">
        <v>519</v>
      </c>
      <c r="C33" s="75" t="s">
        <v>653</v>
      </c>
      <c r="D33" s="76" t="s">
        <v>473</v>
      </c>
      <c r="E33" s="92"/>
    </row>
    <row r="34" spans="1:5" ht="34.5" thickBot="1">
      <c r="A34" s="637"/>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5.75"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38" t="s">
        <v>659</v>
      </c>
      <c r="B40" s="639"/>
      <c r="C40" s="639"/>
      <c r="D40" s="639"/>
      <c r="E40" s="639"/>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10:A11"/>
    <mergeCell ref="A1:E1"/>
    <mergeCell ref="B3:E3"/>
    <mergeCell ref="B4:C4"/>
    <mergeCell ref="B6:C6"/>
    <mergeCell ref="B7:C7"/>
    <mergeCell ref="B5:C5"/>
    <mergeCell ref="A29:A31"/>
    <mergeCell ref="A32:A34"/>
    <mergeCell ref="A40:E40"/>
    <mergeCell ref="A12:A14"/>
    <mergeCell ref="A15:A16"/>
    <mergeCell ref="A17:A18"/>
    <mergeCell ref="A19:A21"/>
    <mergeCell ref="A22:A23"/>
    <mergeCell ref="A24:A28"/>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9525</xdr:rowOff>
                  </from>
                  <to>
                    <xdr:col>4</xdr:col>
                    <xdr:colOff>361950</xdr:colOff>
                    <xdr:row>9</xdr:row>
                    <xdr:rowOff>409575</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333375</xdr:colOff>
                    <xdr:row>9</xdr:row>
                    <xdr:rowOff>9525</xdr:rowOff>
                  </from>
                  <to>
                    <xdr:col>4</xdr:col>
                    <xdr:colOff>695325</xdr:colOff>
                    <xdr:row>9</xdr:row>
                    <xdr:rowOff>409575</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638175</xdr:colOff>
                    <xdr:row>9</xdr:row>
                    <xdr:rowOff>9525</xdr:rowOff>
                  </from>
                  <to>
                    <xdr:col>4</xdr:col>
                    <xdr:colOff>962025</xdr:colOff>
                    <xdr:row>9</xdr:row>
                    <xdr:rowOff>409575</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9525</xdr:rowOff>
                  </from>
                  <to>
                    <xdr:col>4</xdr:col>
                    <xdr:colOff>361950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333375</xdr:colOff>
                    <xdr:row>10</xdr:row>
                    <xdr:rowOff>9525</xdr:rowOff>
                  </from>
                  <to>
                    <xdr:col>4</xdr:col>
                    <xdr:colOff>695325</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638175</xdr:colOff>
                    <xdr:row>10</xdr:row>
                    <xdr:rowOff>9525</xdr:rowOff>
                  </from>
                  <to>
                    <xdr:col>4</xdr:col>
                    <xdr:colOff>962025</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9525</xdr:rowOff>
                  </from>
                  <to>
                    <xdr:col>4</xdr:col>
                    <xdr:colOff>361950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333375</xdr:colOff>
                    <xdr:row>11</xdr:row>
                    <xdr:rowOff>9525</xdr:rowOff>
                  </from>
                  <to>
                    <xdr:col>4</xdr:col>
                    <xdr:colOff>695325</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638175</xdr:colOff>
                    <xdr:row>11</xdr:row>
                    <xdr:rowOff>9525</xdr:rowOff>
                  </from>
                  <to>
                    <xdr:col>4</xdr:col>
                    <xdr:colOff>962025</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9525</xdr:rowOff>
                  </from>
                  <to>
                    <xdr:col>4</xdr:col>
                    <xdr:colOff>361950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333375</xdr:colOff>
                    <xdr:row>12</xdr:row>
                    <xdr:rowOff>9525</xdr:rowOff>
                  </from>
                  <to>
                    <xdr:col>4</xdr:col>
                    <xdr:colOff>695325</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638175</xdr:colOff>
                    <xdr:row>12</xdr:row>
                    <xdr:rowOff>9525</xdr:rowOff>
                  </from>
                  <to>
                    <xdr:col>4</xdr:col>
                    <xdr:colOff>962025</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9525</xdr:rowOff>
                  </from>
                  <to>
                    <xdr:col>4</xdr:col>
                    <xdr:colOff>361950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333375</xdr:colOff>
                    <xdr:row>13</xdr:row>
                    <xdr:rowOff>9525</xdr:rowOff>
                  </from>
                  <to>
                    <xdr:col>4</xdr:col>
                    <xdr:colOff>695325</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638175</xdr:colOff>
                    <xdr:row>13</xdr:row>
                    <xdr:rowOff>9525</xdr:rowOff>
                  </from>
                  <to>
                    <xdr:col>4</xdr:col>
                    <xdr:colOff>962025</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19050</xdr:rowOff>
                  </from>
                  <to>
                    <xdr:col>4</xdr:col>
                    <xdr:colOff>361950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333375</xdr:colOff>
                    <xdr:row>14</xdr:row>
                    <xdr:rowOff>19050</xdr:rowOff>
                  </from>
                  <to>
                    <xdr:col>4</xdr:col>
                    <xdr:colOff>695325</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638175</xdr:colOff>
                    <xdr:row>14</xdr:row>
                    <xdr:rowOff>19050</xdr:rowOff>
                  </from>
                  <to>
                    <xdr:col>4</xdr:col>
                    <xdr:colOff>962025</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9525</xdr:rowOff>
                  </from>
                  <to>
                    <xdr:col>4</xdr:col>
                    <xdr:colOff>361950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333375</xdr:colOff>
                    <xdr:row>15</xdr:row>
                    <xdr:rowOff>9525</xdr:rowOff>
                  </from>
                  <to>
                    <xdr:col>4</xdr:col>
                    <xdr:colOff>695325</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638175</xdr:colOff>
                    <xdr:row>15</xdr:row>
                    <xdr:rowOff>9525</xdr:rowOff>
                  </from>
                  <to>
                    <xdr:col>4</xdr:col>
                    <xdr:colOff>962025</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361950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333375</xdr:colOff>
                    <xdr:row>16</xdr:row>
                    <xdr:rowOff>0</xdr:rowOff>
                  </from>
                  <to>
                    <xdr:col>4</xdr:col>
                    <xdr:colOff>695325</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638175</xdr:colOff>
                    <xdr:row>16</xdr:row>
                    <xdr:rowOff>0</xdr:rowOff>
                  </from>
                  <to>
                    <xdr:col>4</xdr:col>
                    <xdr:colOff>962025</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361950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333375</xdr:colOff>
                    <xdr:row>17</xdr:row>
                    <xdr:rowOff>0</xdr:rowOff>
                  </from>
                  <to>
                    <xdr:col>4</xdr:col>
                    <xdr:colOff>695325</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638175</xdr:colOff>
                    <xdr:row>17</xdr:row>
                    <xdr:rowOff>0</xdr:rowOff>
                  </from>
                  <to>
                    <xdr:col>4</xdr:col>
                    <xdr:colOff>962025</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361950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333375</xdr:colOff>
                    <xdr:row>18</xdr:row>
                    <xdr:rowOff>0</xdr:rowOff>
                  </from>
                  <to>
                    <xdr:col>4</xdr:col>
                    <xdr:colOff>695325</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638175</xdr:colOff>
                    <xdr:row>18</xdr:row>
                    <xdr:rowOff>0</xdr:rowOff>
                  </from>
                  <to>
                    <xdr:col>4</xdr:col>
                    <xdr:colOff>962025</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361950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333375</xdr:colOff>
                    <xdr:row>19</xdr:row>
                    <xdr:rowOff>0</xdr:rowOff>
                  </from>
                  <to>
                    <xdr:col>4</xdr:col>
                    <xdr:colOff>695325</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638175</xdr:colOff>
                    <xdr:row>19</xdr:row>
                    <xdr:rowOff>0</xdr:rowOff>
                  </from>
                  <to>
                    <xdr:col>4</xdr:col>
                    <xdr:colOff>962025</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361950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333375</xdr:colOff>
                    <xdr:row>20</xdr:row>
                    <xdr:rowOff>0</xdr:rowOff>
                  </from>
                  <to>
                    <xdr:col>4</xdr:col>
                    <xdr:colOff>695325</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638175</xdr:colOff>
                    <xdr:row>20</xdr:row>
                    <xdr:rowOff>0</xdr:rowOff>
                  </from>
                  <to>
                    <xdr:col>4</xdr:col>
                    <xdr:colOff>962025</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9525</xdr:rowOff>
                  </from>
                  <to>
                    <xdr:col>4</xdr:col>
                    <xdr:colOff>361950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333375</xdr:colOff>
                    <xdr:row>21</xdr:row>
                    <xdr:rowOff>9525</xdr:rowOff>
                  </from>
                  <to>
                    <xdr:col>4</xdr:col>
                    <xdr:colOff>695325</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638175</xdr:colOff>
                    <xdr:row>21</xdr:row>
                    <xdr:rowOff>9525</xdr:rowOff>
                  </from>
                  <to>
                    <xdr:col>4</xdr:col>
                    <xdr:colOff>962025</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361950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333375</xdr:colOff>
                    <xdr:row>22</xdr:row>
                    <xdr:rowOff>0</xdr:rowOff>
                  </from>
                  <to>
                    <xdr:col>4</xdr:col>
                    <xdr:colOff>695325</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638175</xdr:colOff>
                    <xdr:row>22</xdr:row>
                    <xdr:rowOff>0</xdr:rowOff>
                  </from>
                  <to>
                    <xdr:col>4</xdr:col>
                    <xdr:colOff>962025</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361950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333375</xdr:colOff>
                    <xdr:row>23</xdr:row>
                    <xdr:rowOff>0</xdr:rowOff>
                  </from>
                  <to>
                    <xdr:col>4</xdr:col>
                    <xdr:colOff>695325</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638175</xdr:colOff>
                    <xdr:row>23</xdr:row>
                    <xdr:rowOff>0</xdr:rowOff>
                  </from>
                  <to>
                    <xdr:col>4</xdr:col>
                    <xdr:colOff>962025</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361950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333375</xdr:colOff>
                    <xdr:row>24</xdr:row>
                    <xdr:rowOff>0</xdr:rowOff>
                  </from>
                  <to>
                    <xdr:col>4</xdr:col>
                    <xdr:colOff>695325</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638175</xdr:colOff>
                    <xdr:row>24</xdr:row>
                    <xdr:rowOff>0</xdr:rowOff>
                  </from>
                  <to>
                    <xdr:col>4</xdr:col>
                    <xdr:colOff>962025</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361950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333375</xdr:colOff>
                    <xdr:row>25</xdr:row>
                    <xdr:rowOff>0</xdr:rowOff>
                  </from>
                  <to>
                    <xdr:col>4</xdr:col>
                    <xdr:colOff>695325</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638175</xdr:colOff>
                    <xdr:row>25</xdr:row>
                    <xdr:rowOff>0</xdr:rowOff>
                  </from>
                  <to>
                    <xdr:col>4</xdr:col>
                    <xdr:colOff>962025</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361950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333375</xdr:colOff>
                    <xdr:row>26</xdr:row>
                    <xdr:rowOff>0</xdr:rowOff>
                  </from>
                  <to>
                    <xdr:col>4</xdr:col>
                    <xdr:colOff>695325</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638175</xdr:colOff>
                    <xdr:row>26</xdr:row>
                    <xdr:rowOff>0</xdr:rowOff>
                  </from>
                  <to>
                    <xdr:col>4</xdr:col>
                    <xdr:colOff>962025</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361950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333375</xdr:colOff>
                    <xdr:row>27</xdr:row>
                    <xdr:rowOff>0</xdr:rowOff>
                  </from>
                  <to>
                    <xdr:col>4</xdr:col>
                    <xdr:colOff>695325</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638175</xdr:colOff>
                    <xdr:row>27</xdr:row>
                    <xdr:rowOff>0</xdr:rowOff>
                  </from>
                  <to>
                    <xdr:col>4</xdr:col>
                    <xdr:colOff>962025</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361950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333375</xdr:colOff>
                    <xdr:row>28</xdr:row>
                    <xdr:rowOff>0</xdr:rowOff>
                  </from>
                  <to>
                    <xdr:col>4</xdr:col>
                    <xdr:colOff>695325</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638175</xdr:colOff>
                    <xdr:row>28</xdr:row>
                    <xdr:rowOff>0</xdr:rowOff>
                  </from>
                  <to>
                    <xdr:col>4</xdr:col>
                    <xdr:colOff>962025</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361950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333375</xdr:colOff>
                    <xdr:row>29</xdr:row>
                    <xdr:rowOff>0</xdr:rowOff>
                  </from>
                  <to>
                    <xdr:col>4</xdr:col>
                    <xdr:colOff>695325</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638175</xdr:colOff>
                    <xdr:row>29</xdr:row>
                    <xdr:rowOff>0</xdr:rowOff>
                  </from>
                  <to>
                    <xdr:col>4</xdr:col>
                    <xdr:colOff>962025</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361950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333375</xdr:colOff>
                    <xdr:row>30</xdr:row>
                    <xdr:rowOff>0</xdr:rowOff>
                  </from>
                  <to>
                    <xdr:col>4</xdr:col>
                    <xdr:colOff>695325</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638175</xdr:colOff>
                    <xdr:row>30</xdr:row>
                    <xdr:rowOff>0</xdr:rowOff>
                  </from>
                  <to>
                    <xdr:col>4</xdr:col>
                    <xdr:colOff>962025</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361950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333375</xdr:colOff>
                    <xdr:row>31</xdr:row>
                    <xdr:rowOff>0</xdr:rowOff>
                  </from>
                  <to>
                    <xdr:col>4</xdr:col>
                    <xdr:colOff>695325</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638175</xdr:colOff>
                    <xdr:row>31</xdr:row>
                    <xdr:rowOff>0</xdr:rowOff>
                  </from>
                  <to>
                    <xdr:col>4</xdr:col>
                    <xdr:colOff>962025</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361950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333375</xdr:colOff>
                    <xdr:row>32</xdr:row>
                    <xdr:rowOff>0</xdr:rowOff>
                  </from>
                  <to>
                    <xdr:col>4</xdr:col>
                    <xdr:colOff>695325</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638175</xdr:colOff>
                    <xdr:row>32</xdr:row>
                    <xdr:rowOff>0</xdr:rowOff>
                  </from>
                  <to>
                    <xdr:col>4</xdr:col>
                    <xdr:colOff>962025</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361950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333375</xdr:colOff>
                    <xdr:row>33</xdr:row>
                    <xdr:rowOff>0</xdr:rowOff>
                  </from>
                  <to>
                    <xdr:col>4</xdr:col>
                    <xdr:colOff>695325</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638175</xdr:colOff>
                    <xdr:row>33</xdr:row>
                    <xdr:rowOff>0</xdr:rowOff>
                  </from>
                  <to>
                    <xdr:col>4</xdr:col>
                    <xdr:colOff>962025</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361950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333375</xdr:colOff>
                    <xdr:row>34</xdr:row>
                    <xdr:rowOff>0</xdr:rowOff>
                  </from>
                  <to>
                    <xdr:col>4</xdr:col>
                    <xdr:colOff>695325</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638175</xdr:colOff>
                    <xdr:row>34</xdr:row>
                    <xdr:rowOff>0</xdr:rowOff>
                  </from>
                  <to>
                    <xdr:col>4</xdr:col>
                    <xdr:colOff>962025</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361950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333375</xdr:colOff>
                    <xdr:row>35</xdr:row>
                    <xdr:rowOff>0</xdr:rowOff>
                  </from>
                  <to>
                    <xdr:col>4</xdr:col>
                    <xdr:colOff>695325</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638175</xdr:colOff>
                    <xdr:row>35</xdr:row>
                    <xdr:rowOff>0</xdr:rowOff>
                  </from>
                  <to>
                    <xdr:col>4</xdr:col>
                    <xdr:colOff>962025</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361950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333375</xdr:colOff>
                    <xdr:row>36</xdr:row>
                    <xdr:rowOff>0</xdr:rowOff>
                  </from>
                  <to>
                    <xdr:col>4</xdr:col>
                    <xdr:colOff>695325</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638175</xdr:colOff>
                    <xdr:row>36</xdr:row>
                    <xdr:rowOff>0</xdr:rowOff>
                  </from>
                  <to>
                    <xdr:col>4</xdr:col>
                    <xdr:colOff>962025</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361950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333375</xdr:colOff>
                    <xdr:row>37</xdr:row>
                    <xdr:rowOff>0</xdr:rowOff>
                  </from>
                  <to>
                    <xdr:col>4</xdr:col>
                    <xdr:colOff>695325</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638175</xdr:colOff>
                    <xdr:row>37</xdr:row>
                    <xdr:rowOff>0</xdr:rowOff>
                  </from>
                  <to>
                    <xdr:col>4</xdr:col>
                    <xdr:colOff>962025</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361950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333375</xdr:colOff>
                    <xdr:row>38</xdr:row>
                    <xdr:rowOff>0</xdr:rowOff>
                  </from>
                  <to>
                    <xdr:col>4</xdr:col>
                    <xdr:colOff>695325</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638175</xdr:colOff>
                    <xdr:row>38</xdr:row>
                    <xdr:rowOff>0</xdr:rowOff>
                  </from>
                  <to>
                    <xdr:col>4</xdr:col>
                    <xdr:colOff>962025</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topLeftCell="L1" workbookViewId="0">
      <selection activeCell="S18" sqref="S18"/>
    </sheetView>
  </sheetViews>
  <sheetFormatPr defaultColWidth="9" defaultRowHeight="16.149999999999999" customHeight="1"/>
  <cols>
    <col min="1" max="1" width="2.75" style="117" customWidth="1"/>
    <col min="2" max="13" width="10.625" style="117" customWidth="1"/>
    <col min="14" max="15" width="9" style="117"/>
    <col min="16" max="16" width="11.25" style="117" bestFit="1" customWidth="1"/>
    <col min="17" max="18" width="9" style="117"/>
    <col min="19" max="19" width="10" style="117" bestFit="1" customWidth="1"/>
    <col min="20" max="20" width="10.875" style="117" bestFit="1" customWidth="1"/>
    <col min="21" max="22" width="9" style="117"/>
    <col min="23" max="23" width="9.75" style="117" bestFit="1" customWidth="1"/>
    <col min="24" max="27" width="9" style="117"/>
    <col min="28" max="28" width="9.625" style="117" bestFit="1" customWidth="1"/>
    <col min="29" max="16384" width="9" style="117"/>
  </cols>
  <sheetData>
    <row r="1" spans="1:38" ht="16.149999999999999" customHeight="1" thickTop="1">
      <c r="A1" s="109">
        <v>1</v>
      </c>
      <c r="B1" s="110"/>
      <c r="C1" s="111"/>
      <c r="D1" s="111"/>
      <c r="E1" s="111"/>
      <c r="F1" s="111"/>
      <c r="G1" s="111"/>
      <c r="H1" s="111"/>
      <c r="I1" s="111"/>
      <c r="J1" s="111"/>
      <c r="K1" s="111"/>
      <c r="L1" s="111"/>
      <c r="M1" s="112"/>
      <c r="N1" s="113"/>
      <c r="O1" s="114" t="s">
        <v>830</v>
      </c>
      <c r="P1" s="115"/>
      <c r="Q1" s="115"/>
      <c r="R1" s="115"/>
      <c r="S1" s="115"/>
      <c r="T1" s="115"/>
      <c r="U1" s="115"/>
      <c r="V1" s="115"/>
      <c r="W1" s="115"/>
      <c r="X1" s="115"/>
      <c r="Y1" s="116"/>
      <c r="AA1" s="118" t="s">
        <v>358</v>
      </c>
      <c r="AB1" s="113"/>
      <c r="AC1" s="113"/>
      <c r="AD1" s="113"/>
    </row>
    <row r="2" spans="1:38" ht="16.149999999999999"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831</v>
      </c>
      <c r="AB2" s="113"/>
      <c r="AC2" s="113"/>
      <c r="AD2" s="113"/>
    </row>
    <row r="3" spans="1:38" ht="16.149999999999999"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149999999999999"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829</v>
      </c>
      <c r="AC4" s="113"/>
      <c r="AD4" s="113"/>
    </row>
    <row r="5" spans="1:38" ht="16.149999999999999"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149999999999999"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149999999999999" customHeight="1" thickTop="1">
      <c r="A7" s="109">
        <v>7</v>
      </c>
      <c r="B7" s="113"/>
      <c r="C7" s="113"/>
      <c r="D7" s="113"/>
      <c r="E7" s="113"/>
      <c r="F7" s="113"/>
      <c r="G7" s="113"/>
      <c r="H7" s="113"/>
      <c r="I7" s="113"/>
      <c r="J7" s="113"/>
      <c r="K7" s="113"/>
      <c r="L7" s="113"/>
      <c r="M7" s="113"/>
      <c r="N7" s="113"/>
      <c r="O7" s="113" t="s">
        <v>3</v>
      </c>
      <c r="P7" s="476"/>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149999999999999" customHeight="1" thickBot="1">
      <c r="A8" s="109">
        <v>8</v>
      </c>
      <c r="B8" s="113"/>
      <c r="C8" s="113"/>
      <c r="D8" s="113"/>
      <c r="E8" s="113"/>
      <c r="F8" s="113"/>
      <c r="G8" s="144"/>
      <c r="H8" s="144" t="s">
        <v>6</v>
      </c>
      <c r="I8" s="113"/>
      <c r="J8" s="113"/>
      <c r="K8" s="113"/>
      <c r="L8" s="113"/>
      <c r="M8" s="113"/>
      <c r="N8" s="113"/>
      <c r="O8" s="113" t="s">
        <v>7</v>
      </c>
      <c r="P8" s="477" t="str">
        <f>IF(AB8="","",AB8)</f>
        <v/>
      </c>
      <c r="Q8" s="145"/>
      <c r="R8" s="113"/>
      <c r="S8" s="113"/>
      <c r="T8" s="146" t="s">
        <v>6</v>
      </c>
      <c r="U8" s="113"/>
      <c r="V8" s="113"/>
      <c r="W8" s="135"/>
      <c r="X8" s="135"/>
      <c r="Y8" s="147"/>
      <c r="AA8" s="129" t="s">
        <v>363</v>
      </c>
      <c r="AB8" s="478"/>
      <c r="AC8" s="142" t="str">
        <f t="shared" si="0"/>
        <v/>
      </c>
      <c r="AD8" s="479" t="str">
        <f>IF(P7="","",P7)</f>
        <v/>
      </c>
    </row>
    <row r="9" spans="1:38" ht="16.149999999999999"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149999999999999" customHeight="1">
      <c r="A10" s="109">
        <v>10</v>
      </c>
      <c r="B10" s="157"/>
      <c r="C10" s="113"/>
      <c r="D10" s="113"/>
      <c r="E10" s="129" t="s">
        <v>10</v>
      </c>
      <c r="F10" s="664" t="str">
        <f>IF(R10="","",R10)</f>
        <v/>
      </c>
      <c r="G10" s="664"/>
      <c r="H10" s="113"/>
      <c r="I10" s="113"/>
      <c r="J10" s="129" t="s">
        <v>11</v>
      </c>
      <c r="K10" s="664" t="str">
        <f>IF(V10="","",V10)</f>
        <v/>
      </c>
      <c r="L10" s="664"/>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149999999999999" customHeight="1">
      <c r="A11" s="109">
        <v>11</v>
      </c>
      <c r="B11" s="157"/>
      <c r="C11" s="113"/>
      <c r="D11" s="113"/>
      <c r="E11" s="129" t="s">
        <v>12</v>
      </c>
      <c r="F11" s="665" t="str">
        <f>IF(R11="","",R11)</f>
        <v/>
      </c>
      <c r="G11" s="665"/>
      <c r="H11" s="113"/>
      <c r="I11" s="113"/>
      <c r="J11" s="129" t="s">
        <v>13</v>
      </c>
      <c r="K11" s="664" t="str">
        <f>IF(V11="","",V11)</f>
        <v/>
      </c>
      <c r="L11" s="664"/>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149999999999999" customHeight="1">
      <c r="A12" s="109">
        <v>12</v>
      </c>
      <c r="B12" s="157"/>
      <c r="C12" s="113"/>
      <c r="D12" s="113"/>
      <c r="E12" s="129" t="s">
        <v>14</v>
      </c>
      <c r="F12" s="665" t="str">
        <f>IF(R12="","",R12)</f>
        <v/>
      </c>
      <c r="G12" s="665"/>
      <c r="H12" s="113"/>
      <c r="I12" s="113"/>
      <c r="J12" s="129" t="s">
        <v>15</v>
      </c>
      <c r="K12" s="666" t="str">
        <f>IF(V12="","",V12)</f>
        <v/>
      </c>
      <c r="L12" s="666"/>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149999999999999" customHeight="1">
      <c r="A13" s="109">
        <v>13</v>
      </c>
      <c r="B13" s="157"/>
      <c r="C13" s="113"/>
      <c r="D13" s="113"/>
      <c r="E13" s="129" t="s">
        <v>16</v>
      </c>
      <c r="F13" s="665" t="str">
        <f>IF(R13="","",R13)</f>
        <v/>
      </c>
      <c r="G13" s="665"/>
      <c r="H13" s="113"/>
      <c r="I13" s="113"/>
      <c r="J13" s="129" t="s">
        <v>17</v>
      </c>
      <c r="K13" s="664" t="str">
        <f>IF(V13="","",V13)</f>
        <v/>
      </c>
      <c r="L13" s="664"/>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149999999999999"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149999999999999"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149999999999999" customHeight="1">
      <c r="A16" s="109">
        <v>16</v>
      </c>
      <c r="B16" s="157"/>
      <c r="C16" s="113"/>
      <c r="D16" s="113"/>
      <c r="E16" s="129" t="s">
        <v>21</v>
      </c>
      <c r="F16" s="664" t="str">
        <f>IF(R17="","",R17)</f>
        <v/>
      </c>
      <c r="G16" s="664"/>
      <c r="H16" s="113"/>
      <c r="I16" s="113"/>
      <c r="J16" s="129" t="s">
        <v>22</v>
      </c>
      <c r="K16" s="666" t="str">
        <f>IF(V17="","",V17)</f>
        <v/>
      </c>
      <c r="L16" s="666"/>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149999999999999" customHeight="1">
      <c r="A17" s="109">
        <v>17</v>
      </c>
      <c r="B17" s="157"/>
      <c r="C17" s="113"/>
      <c r="D17" s="113"/>
      <c r="E17" s="129" t="s">
        <v>23</v>
      </c>
      <c r="F17" s="664" t="str">
        <f>IF(R18="","",R18)</f>
        <v/>
      </c>
      <c r="G17" s="664"/>
      <c r="H17" s="113"/>
      <c r="I17" s="113"/>
      <c r="J17" s="129" t="s">
        <v>24</v>
      </c>
      <c r="K17" s="664" t="str">
        <f>IF(V18="","",V18)</f>
        <v/>
      </c>
      <c r="L17" s="664"/>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149999999999999" customHeight="1">
      <c r="A18" s="109">
        <v>18</v>
      </c>
      <c r="B18" s="157"/>
      <c r="C18" s="113"/>
      <c r="D18" s="113"/>
      <c r="E18" s="129" t="s">
        <v>25</v>
      </c>
      <c r="F18" s="664" t="str">
        <f>IF(R19="","",R19)</f>
        <v/>
      </c>
      <c r="G18" s="664"/>
      <c r="H18" s="113"/>
      <c r="I18" s="113"/>
      <c r="J18" s="129" t="s">
        <v>26</v>
      </c>
      <c r="K18" s="664" t="str">
        <f>IF(V19="","",V19)</f>
        <v/>
      </c>
      <c r="L18" s="664"/>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149999999999999"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149999999999999"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149999999999999" customHeight="1">
      <c r="A21" s="109">
        <v>21</v>
      </c>
      <c r="B21" s="157"/>
      <c r="C21" s="113"/>
      <c r="D21" s="113"/>
      <c r="E21" s="129" t="s">
        <v>28</v>
      </c>
      <c r="F21" s="664" t="str">
        <f>IF(R22="","",R22)</f>
        <v/>
      </c>
      <c r="G21" s="664"/>
      <c r="H21" s="113"/>
      <c r="I21" s="113"/>
      <c r="J21" s="129" t="s">
        <v>29</v>
      </c>
      <c r="K21" s="664" t="str">
        <f>IF(V21="","",V21)</f>
        <v>W</v>
      </c>
      <c r="L21" s="664"/>
      <c r="M21" s="158"/>
      <c r="N21" s="113"/>
      <c r="O21" s="123"/>
      <c r="P21" s="165" t="s">
        <v>27</v>
      </c>
      <c r="Q21" s="113"/>
      <c r="R21" s="113"/>
      <c r="S21" s="113"/>
      <c r="T21" s="113"/>
      <c r="U21" s="165" t="s">
        <v>29</v>
      </c>
      <c r="V21" s="139" t="str">
        <f>IF(W21&lt;&gt;"",W21,IF(AB38="","",AB38))</f>
        <v>W</v>
      </c>
      <c r="W21" s="140" t="s">
        <v>782</v>
      </c>
      <c r="X21" s="113"/>
      <c r="Y21" s="125"/>
      <c r="AA21" s="129" t="s">
        <v>21</v>
      </c>
      <c r="AB21" s="155"/>
      <c r="AC21" s="142" t="str">
        <f t="shared" ref="AC21:AC26" si="1">IF(AB21&lt;&gt;AD21,"Change","")</f>
        <v/>
      </c>
      <c r="AD21" s="156" t="str">
        <f>IF(R17="","",R17)</f>
        <v/>
      </c>
      <c r="AH21"/>
      <c r="AI21"/>
      <c r="AJ21"/>
      <c r="AK21"/>
      <c r="AL21"/>
    </row>
    <row r="22" spans="1:38" ht="16.149999999999999" customHeight="1">
      <c r="A22" s="109">
        <v>22</v>
      </c>
      <c r="B22" s="157"/>
      <c r="C22" s="113"/>
      <c r="D22" s="113"/>
      <c r="E22" s="129" t="s">
        <v>22</v>
      </c>
      <c r="F22" s="666" t="str">
        <f>IF(R23="","",R23)</f>
        <v/>
      </c>
      <c r="G22" s="666"/>
      <c r="H22" s="113"/>
      <c r="I22" s="113"/>
      <c r="J22" s="129"/>
      <c r="K22" s="664" t="str">
        <f>IF(V22="","",V22)</f>
        <v/>
      </c>
      <c r="L22" s="664"/>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149999999999999" customHeight="1">
      <c r="A23" s="109">
        <v>23</v>
      </c>
      <c r="B23" s="157"/>
      <c r="C23" s="113"/>
      <c r="D23" s="165" t="s">
        <v>30</v>
      </c>
      <c r="E23" s="113"/>
      <c r="F23" s="113"/>
      <c r="G23" s="113"/>
      <c r="H23" s="113"/>
      <c r="I23" s="113"/>
      <c r="J23" s="129" t="s">
        <v>31</v>
      </c>
      <c r="K23" s="664" t="str">
        <f>IF(V24="","",V24)</f>
        <v>Rh</v>
      </c>
      <c r="L23" s="664"/>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149999999999999" customHeight="1">
      <c r="A24" s="109">
        <v>24</v>
      </c>
      <c r="B24" s="157"/>
      <c r="C24" s="113"/>
      <c r="D24" s="113"/>
      <c r="E24" s="129" t="s">
        <v>21</v>
      </c>
      <c r="F24" s="664" t="str">
        <f>IF(R25="","",R25)</f>
        <v/>
      </c>
      <c r="G24" s="664"/>
      <c r="H24" s="113"/>
      <c r="I24" s="113"/>
      <c r="J24" s="113"/>
      <c r="K24" s="664" t="str">
        <f>IF(V25="","",V25)</f>
        <v>Ag</v>
      </c>
      <c r="L24" s="664"/>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149999999999999" customHeight="1">
      <c r="A25" s="109">
        <v>25</v>
      </c>
      <c r="B25" s="157"/>
      <c r="C25" s="113"/>
      <c r="D25" s="113"/>
      <c r="E25" s="129" t="s">
        <v>23</v>
      </c>
      <c r="F25" s="664" t="str">
        <f>IF(R26="","",R26)</f>
        <v/>
      </c>
      <c r="G25" s="664"/>
      <c r="H25" s="113"/>
      <c r="I25" s="113"/>
      <c r="J25" s="173"/>
      <c r="K25" s="664" t="str">
        <f>IF(V26="","",V26)</f>
        <v>Al</v>
      </c>
      <c r="L25" s="664"/>
      <c r="M25" s="158"/>
      <c r="N25" s="113"/>
      <c r="O25" s="123"/>
      <c r="P25" s="113"/>
      <c r="Q25" s="129" t="s">
        <v>21</v>
      </c>
      <c r="R25" s="139" t="str">
        <f>IF(S25&lt;&gt;"",S25,IF(AB30="","",AB30))</f>
        <v/>
      </c>
      <c r="S25" s="140"/>
      <c r="T25" s="113"/>
      <c r="U25" s="113"/>
      <c r="V25" s="139" t="str">
        <f>IF(W25&lt;&gt;"",W25,IF(AB41="","",AB41))</f>
        <v>Ag</v>
      </c>
      <c r="W25" s="140" t="s">
        <v>784</v>
      </c>
      <c r="X25" s="113"/>
      <c r="Y25" s="125"/>
      <c r="AA25" s="129" t="s">
        <v>24</v>
      </c>
      <c r="AB25" s="155"/>
      <c r="AC25" s="142" t="str">
        <f t="shared" si="1"/>
        <v/>
      </c>
      <c r="AD25" s="156" t="str">
        <f>IF(V18="","",V18)</f>
        <v/>
      </c>
      <c r="AH25"/>
      <c r="AI25"/>
      <c r="AJ25"/>
      <c r="AK25"/>
      <c r="AL25"/>
    </row>
    <row r="26" spans="1:38" ht="16.149999999999999" customHeight="1">
      <c r="A26" s="109">
        <v>26</v>
      </c>
      <c r="B26" s="157"/>
      <c r="C26" s="113"/>
      <c r="D26" s="113"/>
      <c r="E26" s="129" t="s">
        <v>24</v>
      </c>
      <c r="F26" s="664" t="str">
        <f>IF(R27="","",R27)</f>
        <v/>
      </c>
      <c r="G26" s="664"/>
      <c r="H26" s="113"/>
      <c r="K26" s="664" t="str">
        <f>IF(V27="","",V27)</f>
        <v>Cu</v>
      </c>
      <c r="L26" s="664"/>
      <c r="M26" s="158"/>
      <c r="N26" s="113"/>
      <c r="O26" s="123"/>
      <c r="P26" s="113"/>
      <c r="Q26" s="129" t="s">
        <v>23</v>
      </c>
      <c r="R26" s="139" t="str">
        <f>IF(S26&lt;&gt;"",S26,IF(AB31="","",AB31))</f>
        <v/>
      </c>
      <c r="S26" s="140"/>
      <c r="T26" s="113"/>
      <c r="U26" s="113"/>
      <c r="V26" s="139" t="str">
        <f>IF(W26&lt;&gt;"",W26,IF(AB42="","",AB42))</f>
        <v>Al</v>
      </c>
      <c r="W26" s="140" t="s">
        <v>787</v>
      </c>
      <c r="X26" s="113"/>
      <c r="Y26" s="125"/>
      <c r="AA26" s="129" t="s">
        <v>26</v>
      </c>
      <c r="AB26" s="155"/>
      <c r="AC26" s="142" t="str">
        <f t="shared" si="1"/>
        <v/>
      </c>
      <c r="AD26" s="156" t="str">
        <f>IF(V19="","",V19)</f>
        <v/>
      </c>
      <c r="AH26"/>
      <c r="AI26"/>
      <c r="AJ26"/>
      <c r="AK26"/>
      <c r="AL26"/>
    </row>
    <row r="27" spans="1:38" ht="16.149999999999999" customHeight="1">
      <c r="A27" s="109">
        <v>27</v>
      </c>
      <c r="B27" s="157"/>
      <c r="C27" s="113"/>
      <c r="D27" s="165" t="s">
        <v>33</v>
      </c>
      <c r="E27" s="113"/>
      <c r="F27" s="113"/>
      <c r="G27" s="113"/>
      <c r="H27" s="113"/>
      <c r="I27" s="137" t="s">
        <v>32</v>
      </c>
      <c r="J27" s="129" t="s">
        <v>34</v>
      </c>
      <c r="K27" s="664" t="str">
        <f>IF(V29="","",V29)</f>
        <v/>
      </c>
      <c r="L27" s="664"/>
      <c r="M27" s="158"/>
      <c r="N27" s="113"/>
      <c r="O27" s="123"/>
      <c r="P27" s="113"/>
      <c r="Q27" s="129" t="s">
        <v>24</v>
      </c>
      <c r="R27" s="139" t="str">
        <f>IF(S27&lt;&gt;"",S27,IF(AB32="","",AB32))</f>
        <v/>
      </c>
      <c r="S27" s="140"/>
      <c r="T27" s="113"/>
      <c r="V27" s="139" t="str">
        <f>IF(W27&lt;&gt;"",W27,IF(AB44="","",AB44))</f>
        <v>Cu</v>
      </c>
      <c r="W27" s="140" t="s">
        <v>785</v>
      </c>
      <c r="X27" s="113"/>
      <c r="Y27" s="125"/>
      <c r="AA27" s="165" t="s">
        <v>27</v>
      </c>
      <c r="AB27" s="113"/>
      <c r="AC27" s="142"/>
      <c r="AD27" s="113"/>
      <c r="AH27"/>
      <c r="AI27"/>
      <c r="AJ27"/>
      <c r="AK27"/>
      <c r="AL27"/>
    </row>
    <row r="28" spans="1:38" ht="16.149999999999999" customHeight="1">
      <c r="A28" s="109">
        <v>28</v>
      </c>
      <c r="B28" s="157"/>
      <c r="C28" s="113"/>
      <c r="D28" s="113"/>
      <c r="E28" s="129" t="s">
        <v>21</v>
      </c>
      <c r="F28" s="664" t="str">
        <f>IF(R29="","",R29)</f>
        <v/>
      </c>
      <c r="G28" s="664"/>
      <c r="H28" s="113"/>
      <c r="I28" s="173"/>
      <c r="J28" s="129" t="s">
        <v>35</v>
      </c>
      <c r="K28" s="664" t="str">
        <f>IF(V30="","",V30)</f>
        <v/>
      </c>
      <c r="L28" s="664"/>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149999999999999" customHeight="1">
      <c r="A29" s="109">
        <v>29</v>
      </c>
      <c r="B29" s="157"/>
      <c r="C29" s="113"/>
      <c r="D29" s="113"/>
      <c r="E29" s="129" t="s">
        <v>23</v>
      </c>
      <c r="F29" s="664" t="str">
        <f>IF(R30="","",R30)</f>
        <v/>
      </c>
      <c r="G29" s="664"/>
      <c r="H29" s="113"/>
      <c r="I29" s="165" t="s">
        <v>36</v>
      </c>
      <c r="J29" s="129" t="s">
        <v>37</v>
      </c>
      <c r="K29" s="664" t="str">
        <f>IF(V33="","",V33)</f>
        <v/>
      </c>
      <c r="L29" s="664"/>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149999999999999" customHeight="1">
      <c r="A30" s="109">
        <v>30</v>
      </c>
      <c r="B30" s="157"/>
      <c r="C30" s="113"/>
      <c r="D30" s="113"/>
      <c r="E30" s="129" t="s">
        <v>24</v>
      </c>
      <c r="F30" s="664" t="str">
        <f>IF(R31="","",R31)</f>
        <v/>
      </c>
      <c r="G30" s="664"/>
      <c r="H30" s="113"/>
      <c r="I30" s="113"/>
      <c r="J30" s="129" t="s">
        <v>38</v>
      </c>
      <c r="K30" s="664" t="str">
        <f>IF(V34="","",V34)</f>
        <v/>
      </c>
      <c r="L30" s="664"/>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149999999999999"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149999999999999"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149999999999999"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149999999999999"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149999999999999" customHeight="1" thickTop="1" thickBot="1">
      <c r="A35" s="109">
        <v>35</v>
      </c>
      <c r="B35" s="157"/>
      <c r="C35" s="178" t="s">
        <v>41</v>
      </c>
      <c r="D35" s="667" t="s">
        <v>42</v>
      </c>
      <c r="E35" s="667"/>
      <c r="F35" s="667"/>
      <c r="G35" s="668" t="s">
        <v>43</v>
      </c>
      <c r="H35" s="668"/>
      <c r="I35" s="668"/>
      <c r="J35" s="667" t="s">
        <v>44</v>
      </c>
      <c r="K35" s="667"/>
      <c r="L35" s="667"/>
      <c r="M35" s="158"/>
      <c r="N35" s="113"/>
      <c r="O35" s="177"/>
      <c r="P35" s="113" t="s">
        <v>820</v>
      </c>
      <c r="AA35" s="129" t="s">
        <v>24</v>
      </c>
      <c r="AB35" s="155"/>
      <c r="AC35" s="142" t="str">
        <f t="shared" si="2"/>
        <v/>
      </c>
      <c r="AD35" s="156" t="str">
        <f>IF(R31="","",R31)</f>
        <v/>
      </c>
      <c r="AH35"/>
      <c r="AI35"/>
      <c r="AJ35"/>
      <c r="AK35"/>
      <c r="AL35"/>
    </row>
    <row r="36" spans="1:38" ht="16.149999999999999" customHeight="1" thickTop="1">
      <c r="A36" s="109">
        <v>36</v>
      </c>
      <c r="B36" s="157"/>
      <c r="C36" s="180" t="s">
        <v>45</v>
      </c>
      <c r="D36" s="667"/>
      <c r="E36" s="667"/>
      <c r="F36" s="667"/>
      <c r="G36" s="668"/>
      <c r="H36" s="668"/>
      <c r="I36" s="668"/>
      <c r="J36" s="667"/>
      <c r="K36" s="667"/>
      <c r="L36" s="667"/>
      <c r="M36" s="158"/>
      <c r="N36" s="113"/>
      <c r="O36" s="534"/>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149999999999999"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149999999999999"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149999999999999"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149999999999999"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149999999999999"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149999999999999"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149999999999999"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790</v>
      </c>
      <c r="AB43" s="155"/>
      <c r="AC43" s="142" t="str">
        <f>IF(AB43&lt;&gt;AD43,"Change","")</f>
        <v>Change</v>
      </c>
      <c r="AD43" s="156" t="str">
        <f>IF(V27="","",V27)</f>
        <v>Cu</v>
      </c>
      <c r="AH43"/>
      <c r="AI43"/>
      <c r="AJ43"/>
      <c r="AK43"/>
      <c r="AL43"/>
    </row>
    <row r="44" spans="1:38" ht="16.149999999999999" customHeight="1">
      <c r="A44" s="109">
        <v>44</v>
      </c>
      <c r="B44" s="157"/>
      <c r="C44" s="197" t="s">
        <v>60</v>
      </c>
      <c r="D44" s="113"/>
      <c r="E44" s="113"/>
      <c r="F44" s="113"/>
      <c r="G44" s="113"/>
      <c r="H44" s="113"/>
      <c r="I44" s="113"/>
      <c r="J44" s="113"/>
      <c r="K44" s="113"/>
      <c r="L44" s="669" t="s">
        <v>61</v>
      </c>
      <c r="M44" s="669"/>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149999999999999" customHeight="1">
      <c r="A45" s="109">
        <v>45</v>
      </c>
      <c r="B45" s="157"/>
      <c r="C45" s="130" t="s">
        <v>808</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149999999999999" customHeight="1">
      <c r="A46" s="109">
        <v>46</v>
      </c>
      <c r="B46" s="157"/>
      <c r="C46" s="130" t="s">
        <v>809</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149999999999999" customHeight="1">
      <c r="A47" s="109">
        <v>47</v>
      </c>
      <c r="B47" s="157"/>
      <c r="C47" s="130" t="s">
        <v>810</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149999999999999"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149999999999999"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149999999999999"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149999999999999"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149999999999999"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149999999999999"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149999999999999"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149999999999999"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149999999999999"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149999999999999"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149999999999999"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149999999999999"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149999999999999"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149999999999999"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149999999999999"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149999999999999"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149999999999999"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149999999999999"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149999999999999"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149999999999999"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149999999999999"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149999999999999"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149999999999999"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149999999999999"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149999999999999"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149999999999999"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149999999999999"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149999999999999"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149999999999999"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149999999999999"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149999999999999"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149999999999999"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149999999999999"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149999999999999"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149999999999999"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149999999999999"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149999999999999"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149999999999999"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149999999999999"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149999999999999"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149999999999999"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149999999999999"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149999999999999" customHeight="1">
      <c r="A90" s="109">
        <v>22</v>
      </c>
      <c r="B90" s="157"/>
      <c r="C90" s="113" t="s">
        <v>131</v>
      </c>
      <c r="D90" s="113"/>
      <c r="E90" s="113" t="s">
        <v>132</v>
      </c>
      <c r="F90" s="113"/>
      <c r="G90" s="113"/>
      <c r="H90" s="113"/>
      <c r="I90" s="113"/>
      <c r="J90" s="113"/>
      <c r="K90" s="113"/>
      <c r="L90" s="198" t="str">
        <f t="shared" si="9"/>
        <v>YES</v>
      </c>
      <c r="M90" s="199" t="str">
        <f t="shared" si="10"/>
        <v/>
      </c>
      <c r="N90" s="113"/>
      <c r="O90" s="177"/>
      <c r="P90" s="113" t="s">
        <v>130</v>
      </c>
      <c r="Q90" s="113"/>
      <c r="R90" s="113"/>
      <c r="S90" s="113"/>
      <c r="T90" s="113"/>
      <c r="U90" s="113"/>
      <c r="V90" s="113"/>
      <c r="W90" s="113"/>
      <c r="X90" s="113"/>
      <c r="Y90" s="125"/>
      <c r="AA90" s="129" t="s">
        <v>378</v>
      </c>
      <c r="AB90" s="155"/>
      <c r="AC90" s="142" t="e">
        <f t="shared" si="12"/>
        <v>#N/A</v>
      </c>
      <c r="AD90" s="211" t="e">
        <f>IF(X313="","",X313)</f>
        <v>#N/A</v>
      </c>
    </row>
    <row r="91" spans="1:38" ht="16.149999999999999" customHeight="1">
      <c r="A91" s="109">
        <v>23</v>
      </c>
      <c r="B91" s="157"/>
      <c r="C91" s="201"/>
      <c r="D91" s="201"/>
      <c r="E91" s="113" t="s">
        <v>113</v>
      </c>
      <c r="F91" s="201"/>
      <c r="G91" s="201"/>
      <c r="H91" s="201"/>
      <c r="I91" s="201"/>
      <c r="J91" s="201"/>
      <c r="K91" s="201"/>
      <c r="L91" s="198" t="str">
        <f t="shared" si="9"/>
        <v>YES</v>
      </c>
      <c r="M91" s="199" t="str">
        <f t="shared" si="10"/>
        <v/>
      </c>
      <c r="N91" s="113"/>
      <c r="O91" s="177"/>
      <c r="P91" s="113" t="s">
        <v>133</v>
      </c>
      <c r="Q91" s="113"/>
      <c r="R91" s="113"/>
      <c r="S91" s="113"/>
      <c r="T91" s="113"/>
      <c r="U91" s="113"/>
      <c r="V91" s="113"/>
      <c r="W91" s="113"/>
      <c r="X91" s="113"/>
      <c r="Y91" s="125"/>
      <c r="AA91" s="129" t="s">
        <v>379</v>
      </c>
      <c r="AB91" s="155"/>
      <c r="AC91" s="566" t="str">
        <f t="shared" si="12"/>
        <v/>
      </c>
      <c r="AD91" s="211" t="str">
        <f>IF(X333="","",X333)</f>
        <v/>
      </c>
    </row>
    <row r="92" spans="1:38" ht="16.149999999999999" customHeight="1">
      <c r="A92" s="109">
        <v>24</v>
      </c>
      <c r="B92" s="157"/>
      <c r="C92" s="113" t="s">
        <v>135</v>
      </c>
      <c r="D92" s="113"/>
      <c r="E92" s="113" t="s">
        <v>115</v>
      </c>
      <c r="F92" s="113"/>
      <c r="G92" s="113"/>
      <c r="H92" s="113"/>
      <c r="I92" s="113"/>
      <c r="J92" s="113"/>
      <c r="K92" s="113"/>
      <c r="L92" s="198" t="str">
        <f t="shared" si="9"/>
        <v>TBD</v>
      </c>
      <c r="M92" s="199" t="str">
        <f t="shared" si="10"/>
        <v/>
      </c>
      <c r="N92" s="113"/>
      <c r="O92" s="177"/>
      <c r="P92" s="113" t="s">
        <v>134</v>
      </c>
      <c r="Q92" s="113"/>
      <c r="R92" s="113"/>
      <c r="S92" s="113"/>
      <c r="T92" s="113"/>
      <c r="U92" s="113"/>
      <c r="V92" s="113"/>
      <c r="W92" s="113"/>
      <c r="X92" s="113"/>
      <c r="Y92" s="125"/>
      <c r="AA92" s="129" t="s">
        <v>380</v>
      </c>
      <c r="AB92" s="155"/>
      <c r="AC92" s="566" t="e">
        <f t="shared" si="12"/>
        <v>#N/A</v>
      </c>
      <c r="AD92" s="211" t="e">
        <f>IF(X345="","",X345)</f>
        <v>#N/A</v>
      </c>
    </row>
    <row r="93" spans="1:38" ht="16.149999999999999"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6" t="e">
        <f t="shared" si="12"/>
        <v>#N/A</v>
      </c>
      <c r="AD93" s="211" t="e">
        <f>IF(X350="","",X350)</f>
        <v>#N/A</v>
      </c>
    </row>
    <row r="94" spans="1:38" ht="16.149999999999999"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9" t="s">
        <v>821</v>
      </c>
      <c r="AB94" s="155"/>
      <c r="AC94" s="566" t="str">
        <f t="shared" ref="AC94" si="13">IF(AB94&lt;&gt;AD94,"Change","")</f>
        <v/>
      </c>
      <c r="AD94" s="211" t="str">
        <f>IF(X360="","",X360)</f>
        <v/>
      </c>
    </row>
    <row r="95" spans="1:38" ht="16.149999999999999"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9" t="s">
        <v>822</v>
      </c>
      <c r="AB95" s="155"/>
      <c r="AC95" s="566" t="e">
        <f t="shared" ref="AC95:AC96" si="14">IF(AB95&lt;&gt;AD95,"Change","")</f>
        <v>#N/A</v>
      </c>
      <c r="AD95" s="211" t="e">
        <f>IF(X374="","",X374)</f>
        <v>#N/A</v>
      </c>
    </row>
    <row r="96" spans="1:38" ht="16.149999999999999"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9" t="s">
        <v>823</v>
      </c>
      <c r="AB96" s="155"/>
      <c r="AC96" s="566" t="e">
        <f t="shared" si="14"/>
        <v>#N/A</v>
      </c>
      <c r="AD96" s="211" t="e">
        <f>IF(X380="","",X380)</f>
        <v>#N/A</v>
      </c>
    </row>
    <row r="97" spans="1:30" ht="16.149999999999999"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9" t="s">
        <v>693</v>
      </c>
      <c r="AB97" s="155"/>
      <c r="AC97" s="566" t="str">
        <f>IF(AB97&lt;&gt;AD97,"Change","")</f>
        <v/>
      </c>
      <c r="AD97" s="211" t="str">
        <f>IF(X389="","",X389)</f>
        <v/>
      </c>
    </row>
    <row r="98" spans="1:30" ht="16.149999999999999"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70" t="s">
        <v>42</v>
      </c>
      <c r="Q98" s="671"/>
      <c r="R98" s="672"/>
      <c r="S98" s="673" t="s">
        <v>43</v>
      </c>
      <c r="T98" s="674"/>
      <c r="U98" s="675"/>
      <c r="V98" s="670" t="s">
        <v>44</v>
      </c>
      <c r="W98" s="671"/>
      <c r="X98" s="686"/>
      <c r="Y98" s="125"/>
      <c r="AA98" s="519" t="s">
        <v>694</v>
      </c>
      <c r="AB98" s="155"/>
      <c r="AC98" s="566" t="str">
        <f>IF(AB98&lt;&gt;AD98,"Change","")</f>
        <v/>
      </c>
      <c r="AD98" s="211" t="str">
        <f>IF(X404="","",X404)</f>
        <v/>
      </c>
    </row>
    <row r="99" spans="1:30" ht="16.149999999999999"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60"/>
      <c r="Q99" s="560"/>
      <c r="R99" s="560"/>
      <c r="S99" s="561"/>
      <c r="T99" s="561"/>
      <c r="U99" s="561"/>
      <c r="V99" s="560"/>
      <c r="W99" s="560"/>
      <c r="X99" s="560"/>
      <c r="Y99" s="125"/>
      <c r="AA99" s="216" t="s">
        <v>226</v>
      </c>
      <c r="AB99" s="201"/>
      <c r="AC99" s="566"/>
      <c r="AD99" s="201"/>
    </row>
    <row r="100" spans="1:30" ht="16.149999999999999" customHeight="1" thickBot="1">
      <c r="A100" s="109">
        <v>32</v>
      </c>
      <c r="B100" s="157"/>
      <c r="C100" s="113" t="s">
        <v>144</v>
      </c>
      <c r="D100" s="113"/>
      <c r="E100" s="113" t="s">
        <v>130</v>
      </c>
      <c r="F100" s="113"/>
      <c r="G100" s="113"/>
      <c r="H100" s="113"/>
      <c r="I100" s="113"/>
      <c r="J100" s="113"/>
      <c r="K100" s="113"/>
      <c r="L100" s="198" t="str">
        <f t="shared" si="9"/>
        <v>TBD</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7" t="str">
        <f t="shared" ref="AC100:AC102" si="15">IF(AB100&lt;&gt;AD100,"Change","")</f>
        <v/>
      </c>
      <c r="AD100" s="211" t="str">
        <f>IF(Q227="","",Q227)</f>
        <v/>
      </c>
    </row>
    <row r="101" spans="1:30" ht="16.149999999999999" customHeight="1" thickTop="1">
      <c r="A101" s="109">
        <v>33</v>
      </c>
      <c r="B101" s="157"/>
      <c r="C101" s="113" t="s">
        <v>145</v>
      </c>
      <c r="D101" s="113"/>
      <c r="E101" s="113" t="s">
        <v>146</v>
      </c>
      <c r="F101" s="113"/>
      <c r="G101" s="113"/>
      <c r="H101" s="113"/>
      <c r="I101" s="113"/>
      <c r="J101" s="113"/>
      <c r="K101" s="113"/>
      <c r="L101" s="198" t="str">
        <f t="shared" si="9"/>
        <v>TBD</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7" t="str">
        <f t="shared" si="15"/>
        <v/>
      </c>
      <c r="AD101" s="211" t="str">
        <f>IF(R227="","",R227)</f>
        <v/>
      </c>
    </row>
    <row r="102" spans="1:30" ht="16.149999999999999" customHeight="1">
      <c r="A102" s="109">
        <v>34</v>
      </c>
      <c r="B102" s="157"/>
      <c r="C102" s="113" t="s">
        <v>147</v>
      </c>
      <c r="D102" s="113"/>
      <c r="E102" s="113" t="s">
        <v>134</v>
      </c>
      <c r="F102" s="113"/>
      <c r="G102" s="113"/>
      <c r="H102" s="113"/>
      <c r="I102" s="113"/>
      <c r="J102" s="113"/>
      <c r="K102" s="113"/>
      <c r="L102" s="198" t="str">
        <f t="shared" si="9"/>
        <v>TBD</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7" t="str">
        <f t="shared" si="15"/>
        <v/>
      </c>
      <c r="AD102" s="211" t="str">
        <f>IF(S227="","",S227)</f>
        <v/>
      </c>
    </row>
    <row r="103" spans="1:30" ht="16.149999999999999"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7"/>
      <c r="AD103" s="217"/>
    </row>
    <row r="104" spans="1:30" ht="16.149999999999999"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149999999999999"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149999999999999"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70" t="s">
        <v>42</v>
      </c>
      <c r="Q106" s="671"/>
      <c r="R106" s="672"/>
      <c r="S106" s="673" t="s">
        <v>43</v>
      </c>
      <c r="T106" s="674"/>
      <c r="U106" s="675"/>
      <c r="V106" s="670" t="s">
        <v>44</v>
      </c>
      <c r="W106" s="671"/>
      <c r="X106" s="686"/>
      <c r="Y106" s="125"/>
      <c r="AA106" s="129" t="s">
        <v>262</v>
      </c>
      <c r="AB106" s="155"/>
      <c r="AC106" s="142" t="str">
        <f t="shared" si="16"/>
        <v/>
      </c>
      <c r="AD106" s="156">
        <f t="shared" si="17"/>
        <v>0</v>
      </c>
    </row>
    <row r="107" spans="1:30" ht="16.149999999999999"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60"/>
      <c r="Q107" s="560"/>
      <c r="R107" s="560"/>
      <c r="S107" s="561"/>
      <c r="T107" s="561"/>
      <c r="U107" s="561"/>
      <c r="V107" s="560"/>
      <c r="W107" s="560"/>
      <c r="X107" s="560"/>
      <c r="Y107" s="125"/>
      <c r="AA107" s="129" t="s">
        <v>383</v>
      </c>
      <c r="AB107" s="155"/>
      <c r="AC107" s="142" t="str">
        <f t="shared" si="16"/>
        <v/>
      </c>
      <c r="AD107" s="156" t="str">
        <f t="shared" si="17"/>
        <v/>
      </c>
    </row>
    <row r="108" spans="1:30" ht="16.149999999999999"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149999999999999"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149999999999999"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149999999999999"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149999999999999"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149999999999999"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149999999999999"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149999999999999"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149999999999999"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f t="shared" si="19"/>
        <v>0</v>
      </c>
    </row>
    <row r="117" spans="1:30" ht="16.149999999999999"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f t="shared" si="19"/>
        <v>0</v>
      </c>
    </row>
    <row r="118" spans="1:30" ht="16.149999999999999"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149999999999999"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149999999999999"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149999999999999"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149999999999999"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149999999999999"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149999999999999"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149999999999999"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149999999999999"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149999999999999"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
      </c>
      <c r="AD127" s="156" t="str">
        <f t="shared" ref="AD127:AD132" si="22">IF(T535="","",T535)</f>
        <v/>
      </c>
    </row>
    <row r="128" spans="1:30" ht="16.149999999999999"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149999999999999"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149999999999999"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149999999999999"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149999999999999"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149999999999999"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149999999999999"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149999999999999" customHeight="1" thickTop="1">
      <c r="A135" s="109">
        <v>67</v>
      </c>
      <c r="B135" s="113"/>
      <c r="C135" s="203" t="s">
        <v>3</v>
      </c>
      <c r="D135" s="475"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149999999999999"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149999999999999"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782</v>
      </c>
      <c r="R137" s="242" t="s">
        <v>782</v>
      </c>
      <c r="S137" s="242" t="s">
        <v>782</v>
      </c>
      <c r="T137" s="242" t="s">
        <v>782</v>
      </c>
      <c r="U137" s="242" t="s">
        <v>782</v>
      </c>
      <c r="V137" s="242" t="s">
        <v>782</v>
      </c>
      <c r="W137" s="113"/>
      <c r="X137" s="113"/>
      <c r="Y137" s="125"/>
      <c r="AA137" s="129" t="s">
        <v>269</v>
      </c>
      <c r="AB137" s="155"/>
      <c r="AC137" s="142" t="str">
        <f t="shared" si="23"/>
        <v/>
      </c>
      <c r="AD137" s="156" t="str">
        <f t="shared" si="24"/>
        <v/>
      </c>
    </row>
    <row r="138" spans="1:30" ht="16.149999999999999"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242" t="s">
        <v>584</v>
      </c>
      <c r="R138" s="242" t="s">
        <v>784</v>
      </c>
      <c r="S138" s="242" t="s">
        <v>787</v>
      </c>
      <c r="T138" s="242" t="s">
        <v>785</v>
      </c>
      <c r="U138" s="242" t="s">
        <v>584</v>
      </c>
      <c r="V138" s="242" t="s">
        <v>784</v>
      </c>
      <c r="W138" s="113"/>
      <c r="X138" s="113"/>
      <c r="Y138" s="125"/>
      <c r="AA138" s="129" t="s">
        <v>274</v>
      </c>
      <c r="AB138" s="155"/>
      <c r="AC138" s="142" t="str">
        <f t="shared" si="23"/>
        <v/>
      </c>
      <c r="AD138" s="156" t="str">
        <f t="shared" si="24"/>
        <v/>
      </c>
    </row>
    <row r="139" spans="1:30" ht="16.149999999999999"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783</v>
      </c>
      <c r="R139" s="242" t="s">
        <v>783</v>
      </c>
      <c r="S139" s="242" t="s">
        <v>783</v>
      </c>
      <c r="T139" s="242" t="s">
        <v>783</v>
      </c>
      <c r="U139" s="242" t="s">
        <v>786</v>
      </c>
      <c r="V139" s="242" t="s">
        <v>786</v>
      </c>
      <c r="W139" s="113"/>
      <c r="X139" s="113"/>
      <c r="Y139" s="125"/>
      <c r="AA139" s="129" t="s">
        <v>699</v>
      </c>
      <c r="AB139" s="155"/>
      <c r="AC139" s="142" t="str">
        <f t="shared" si="23"/>
        <v/>
      </c>
      <c r="AD139" s="156" t="str">
        <f t="shared" ref="AD139:AD144" si="25">IF(X535="","",X535)</f>
        <v/>
      </c>
    </row>
    <row r="140" spans="1:30" ht="16.149999999999999"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149999999999999"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149999999999999"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IF(OR(F141="",F142=""),"",IF(AND(F141&gt;=25,F142&lt;=45),"Pass","Fail"))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149999999999999"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149999999999999" customHeight="1">
      <c r="A144" s="109">
        <v>8</v>
      </c>
      <c r="B144" s="157"/>
      <c r="C144" s="113"/>
      <c r="D144" s="120"/>
      <c r="E144" s="120" t="s">
        <v>160</v>
      </c>
      <c r="F144" s="113"/>
      <c r="G144" s="113"/>
      <c r="H144" s="113"/>
      <c r="I144" s="113"/>
      <c r="J144" s="113"/>
      <c r="K144" s="113"/>
      <c r="L144" s="113"/>
      <c r="M144" s="158"/>
      <c r="N144" s="113"/>
      <c r="O144" s="123"/>
      <c r="P144" s="201"/>
      <c r="Q144" s="261" t="s">
        <v>788</v>
      </c>
      <c r="R144" s="201"/>
      <c r="S144" s="201"/>
      <c r="T144" s="201"/>
      <c r="U144" s="201"/>
      <c r="V144" s="201"/>
      <c r="W144" s="113"/>
      <c r="X144" s="113"/>
      <c r="Y144" s="125"/>
      <c r="AA144" s="129" t="s">
        <v>274</v>
      </c>
      <c r="AB144" s="155"/>
      <c r="AC144" s="142" t="str">
        <f t="shared" si="23"/>
        <v/>
      </c>
      <c r="AD144" s="156" t="str">
        <f t="shared" si="25"/>
        <v/>
      </c>
    </row>
    <row r="145" spans="1:38" ht="16.149999999999999"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6"/>
      <c r="AD145" s="201"/>
    </row>
    <row r="146" spans="1:38" ht="16.149999999999999"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149999999999999" customHeight="1" thickBot="1">
      <c r="A147" s="109">
        <v>11</v>
      </c>
      <c r="B147" s="157"/>
      <c r="C147" s="113"/>
      <c r="D147" s="113" t="s">
        <v>162</v>
      </c>
      <c r="E147" s="128" t="s">
        <v>152</v>
      </c>
      <c r="F147" s="128" t="s">
        <v>163</v>
      </c>
      <c r="G147" s="113"/>
      <c r="H147" s="113"/>
      <c r="I147" s="173"/>
      <c r="J147" s="129" t="s">
        <v>178</v>
      </c>
      <c r="K147" s="493"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149999999999999" customHeight="1">
      <c r="A148" s="109">
        <v>12</v>
      </c>
      <c r="B148" s="157"/>
      <c r="C148" s="113"/>
      <c r="D148" s="128">
        <v>1</v>
      </c>
      <c r="E148" s="159" t="str">
        <f t="shared" ref="E148:F155" si="31">IF(Q124="","",Q124)</f>
        <v/>
      </c>
      <c r="F148" s="366" t="str">
        <f t="shared" si="31"/>
        <v/>
      </c>
      <c r="G148" s="113"/>
      <c r="H148" s="113"/>
      <c r="I148" s="173"/>
      <c r="J148" s="129" t="s">
        <v>180</v>
      </c>
      <c r="K148" s="494"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149999999999999" customHeight="1">
      <c r="A149" s="109">
        <v>13</v>
      </c>
      <c r="B149" s="157"/>
      <c r="C149" s="113"/>
      <c r="D149" s="128">
        <v>2</v>
      </c>
      <c r="E149" s="168" t="str">
        <f t="shared" si="31"/>
        <v/>
      </c>
      <c r="F149" s="351" t="str">
        <f t="shared" si="31"/>
        <v/>
      </c>
      <c r="G149" s="113"/>
      <c r="H149" s="113"/>
      <c r="I149" s="113"/>
      <c r="J149" s="129" t="s">
        <v>168</v>
      </c>
      <c r="K149" s="494"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149999999999999"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8"/>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149999999999999"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149999999999999"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8"/>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149999999999999"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149999999999999"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4" t="str">
        <f>IF(Q149="","",AVERAGE(Q149:Q153))</f>
        <v/>
      </c>
      <c r="R154" s="484" t="str">
        <f t="shared" ref="R154:V154" si="37">IF(R149="","",AVERAGE(R149:R153))</f>
        <v/>
      </c>
      <c r="S154" s="484" t="str">
        <f t="shared" si="37"/>
        <v/>
      </c>
      <c r="T154" s="484" t="str">
        <f t="shared" si="37"/>
        <v/>
      </c>
      <c r="U154" s="484" t="str">
        <f t="shared" si="37"/>
        <v/>
      </c>
      <c r="V154" s="484" t="str">
        <f t="shared" si="37"/>
        <v/>
      </c>
      <c r="Y154" s="125"/>
      <c r="AA154" s="203"/>
      <c r="AB154" s="255"/>
      <c r="AC154" s="250"/>
      <c r="AD154" s="255"/>
    </row>
    <row r="155" spans="1:38" ht="16.149999999999999"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149999999999999"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149999999999999"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149999999999999"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149999999999999"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149999999999999"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149999999999999"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149999999999999"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149999999999999"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149999999999999"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149999999999999"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149999999999999" customHeight="1" thickBot="1">
      <c r="A166" s="109">
        <v>30</v>
      </c>
      <c r="B166" s="157"/>
      <c r="C166" s="113"/>
      <c r="D166" s="129" t="s">
        <v>670</v>
      </c>
      <c r="E166" s="486" t="str">
        <f>Q155</f>
        <v/>
      </c>
      <c r="F166" s="273" t="str">
        <f>IF(R155="","",R155)</f>
        <v/>
      </c>
      <c r="G166" s="273" t="str">
        <f>IF(S155="","",S155)</f>
        <v/>
      </c>
      <c r="H166" s="273" t="str">
        <f>IF(T155="","",T155)</f>
        <v/>
      </c>
      <c r="I166" s="273" t="str">
        <f>IF(U155="","",U155)</f>
        <v/>
      </c>
      <c r="J166" s="487" t="str">
        <f>IF(V155="","",V155)</f>
        <v/>
      </c>
      <c r="K166" s="113"/>
      <c r="L166" s="113"/>
      <c r="M166" s="158"/>
      <c r="N166" s="113"/>
      <c r="O166" s="134"/>
      <c r="P166" s="135"/>
      <c r="Q166" s="135"/>
      <c r="R166" s="135"/>
      <c r="S166" s="135"/>
      <c r="T166" s="135"/>
      <c r="U166" s="135"/>
      <c r="V166" s="135"/>
      <c r="W166" s="135"/>
      <c r="X166" s="135"/>
      <c r="Y166" s="136"/>
    </row>
    <row r="167" spans="1:30" ht="16.149999999999999" customHeight="1" thickBot="1">
      <c r="A167" s="109">
        <v>31</v>
      </c>
      <c r="B167" s="157"/>
      <c r="C167" s="113"/>
      <c r="D167" s="129" t="s">
        <v>690</v>
      </c>
      <c r="E167" s="488" t="str">
        <f>Q156</f>
        <v/>
      </c>
      <c r="F167" s="489" t="str">
        <f>R156</f>
        <v/>
      </c>
      <c r="G167" s="489" t="str">
        <f>S156</f>
        <v/>
      </c>
      <c r="H167" s="489" t="str">
        <f>T156</f>
        <v/>
      </c>
      <c r="I167" s="489" t="str">
        <f>U156</f>
        <v/>
      </c>
      <c r="J167" s="490" t="str">
        <f>V156</f>
        <v/>
      </c>
      <c r="K167" s="120"/>
      <c r="L167" s="120"/>
      <c r="M167" s="122"/>
      <c r="N167" s="113"/>
      <c r="O167" s="241" t="s">
        <v>181</v>
      </c>
      <c r="P167" s="115"/>
      <c r="Q167" s="115"/>
      <c r="R167" s="274">
        <v>1</v>
      </c>
      <c r="S167" s="153" t="s">
        <v>52</v>
      </c>
      <c r="T167" s="115"/>
      <c r="U167" s="115"/>
      <c r="V167" s="115"/>
      <c r="W167" s="115"/>
      <c r="X167" s="115"/>
      <c r="Y167" s="116"/>
    </row>
    <row r="168" spans="1:30" ht="16.149999999999999" customHeight="1">
      <c r="A168" s="109">
        <v>32</v>
      </c>
      <c r="B168" s="157"/>
      <c r="C168" s="113"/>
      <c r="D168" s="208" t="s">
        <v>158</v>
      </c>
      <c r="E168" s="120" t="s">
        <v>205</v>
      </c>
      <c r="F168" s="120"/>
      <c r="G168" s="120"/>
      <c r="H168" s="120"/>
      <c r="I168" s="120"/>
      <c r="J168" s="120"/>
      <c r="K168" s="120"/>
      <c r="L168" s="120"/>
      <c r="M168" s="122"/>
      <c r="N168" s="113"/>
      <c r="O168" s="123"/>
      <c r="P168" s="497" t="s">
        <v>182</v>
      </c>
      <c r="Q168" s="497"/>
      <c r="R168" s="497"/>
      <c r="S168" s="497"/>
      <c r="T168" s="275"/>
      <c r="U168" s="497" t="s">
        <v>183</v>
      </c>
      <c r="V168" s="497"/>
      <c r="W168" s="113"/>
      <c r="X168" s="113"/>
      <c r="Y168" s="125"/>
    </row>
    <row r="169" spans="1:30" ht="16.149999999999999"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149999999999999"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8" t="str">
        <f>IF(OR(R167=2,R167=3),"NA",IF(OR(P170="",Q170="",R170="",S170=""),"",AVERAGE(P170:S170)))</f>
        <v/>
      </c>
      <c r="V170"/>
      <c r="W170" s="113"/>
      <c r="X170" s="129" t="s">
        <v>175</v>
      </c>
      <c r="Y170" s="257" t="str">
        <f>IF(U170="","",IF(U170="NA","NA",IF(U170&gt;=160,"Pass","Fail")))</f>
        <v/>
      </c>
    </row>
    <row r="171" spans="1:30" ht="16.149999999999999"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149999999999999" customHeight="1">
      <c r="A172" s="109">
        <v>36</v>
      </c>
      <c r="B172" s="157"/>
      <c r="C172" s="113"/>
      <c r="D172" s="676" t="s">
        <v>182</v>
      </c>
      <c r="E172" s="676"/>
      <c r="F172" s="676"/>
      <c r="G172" s="676"/>
      <c r="H172" s="275"/>
      <c r="I172" s="676" t="s">
        <v>183</v>
      </c>
      <c r="J172" s="676"/>
      <c r="K172" s="113"/>
      <c r="L172" s="113"/>
      <c r="M172" s="158"/>
      <c r="N172" s="113"/>
      <c r="O172" s="243" t="s">
        <v>189</v>
      </c>
      <c r="P172" s="113"/>
      <c r="Q172" s="113"/>
      <c r="R172" s="113"/>
      <c r="S172" s="113"/>
      <c r="T172" s="113"/>
      <c r="U172" s="113"/>
      <c r="V172" s="113"/>
      <c r="W172" s="113"/>
      <c r="X172" s="113"/>
      <c r="Y172" s="125"/>
    </row>
    <row r="173" spans="1:30" ht="16.149999999999999" customHeight="1" thickBot="1">
      <c r="A173" s="109">
        <v>37</v>
      </c>
      <c r="B173" s="157"/>
      <c r="C173" s="113"/>
      <c r="D173" s="276" t="s">
        <v>184</v>
      </c>
      <c r="E173" s="276" t="s">
        <v>185</v>
      </c>
      <c r="F173" s="276" t="s">
        <v>186</v>
      </c>
      <c r="G173" s="277" t="s">
        <v>187</v>
      </c>
      <c r="H173" s="275"/>
      <c r="I173" s="680" t="s">
        <v>188</v>
      </c>
      <c r="J173" s="680"/>
      <c r="K173" s="113"/>
      <c r="L173" s="113"/>
      <c r="M173" s="158"/>
      <c r="N173" s="113"/>
      <c r="O173" s="280" t="s">
        <v>190</v>
      </c>
      <c r="P173" s="245">
        <f>IF($O$33=1,70,65)</f>
        <v>65</v>
      </c>
      <c r="Q173" s="113"/>
      <c r="R173" s="113"/>
      <c r="S173" s="113"/>
      <c r="T173" s="113"/>
      <c r="U173" s="201"/>
      <c r="V173" s="201"/>
      <c r="W173" s="201"/>
      <c r="X173" s="201"/>
      <c r="Y173" s="281"/>
    </row>
    <row r="174" spans="1:30" ht="16.149999999999999" customHeight="1" thickBot="1">
      <c r="A174" s="109">
        <v>38</v>
      </c>
      <c r="B174" s="157"/>
      <c r="C174" s="113"/>
      <c r="D174" s="283" t="str">
        <f>IF(P170="","",P170)</f>
        <v/>
      </c>
      <c r="E174" s="283" t="str">
        <f>IF(Q170="","",Q170)</f>
        <v/>
      </c>
      <c r="F174" s="283" t="str">
        <f>IF(R170="","",R170)</f>
        <v/>
      </c>
      <c r="G174" s="284" t="str">
        <f>IF(S170="","",S170)</f>
        <v/>
      </c>
      <c r="H174" s="275"/>
      <c r="I174" s="677" t="str">
        <f>IF(U170="","",U170)</f>
        <v/>
      </c>
      <c r="J174" s="677"/>
      <c r="K174" s="113"/>
      <c r="L174" s="129" t="s">
        <v>175</v>
      </c>
      <c r="M174" s="285" t="str">
        <f>IF(Y170="","",Y170)</f>
        <v/>
      </c>
      <c r="N174" s="113"/>
      <c r="O174" s="123"/>
      <c r="P174" s="663" t="s">
        <v>191</v>
      </c>
      <c r="Q174" s="657" t="s">
        <v>192</v>
      </c>
      <c r="R174" s="658"/>
      <c r="S174" s="659"/>
      <c r="T174" s="282" t="s">
        <v>674</v>
      </c>
      <c r="U174" s="660" t="s">
        <v>193</v>
      </c>
      <c r="V174" s="201"/>
      <c r="W174" s="201"/>
      <c r="X174" s="201"/>
      <c r="Y174" s="281"/>
    </row>
    <row r="175" spans="1:30" ht="16.149999999999999" customHeight="1" thickBot="1">
      <c r="A175" s="109">
        <v>39</v>
      </c>
      <c r="B175" s="157"/>
      <c r="C175" s="113"/>
      <c r="D175" s="208" t="s">
        <v>158</v>
      </c>
      <c r="E175" s="120" t="s">
        <v>210</v>
      </c>
      <c r="F175" s="113"/>
      <c r="G175" s="113"/>
      <c r="H175" s="113"/>
      <c r="I175" s="113"/>
      <c r="J175" s="113"/>
      <c r="K175" s="113"/>
      <c r="L175" s="113"/>
      <c r="M175" s="158"/>
      <c r="N175" s="113"/>
      <c r="O175" s="123"/>
      <c r="P175" s="656"/>
      <c r="Q175" s="282" t="s">
        <v>194</v>
      </c>
      <c r="R175" s="286" t="s">
        <v>195</v>
      </c>
      <c r="S175" s="286" t="s">
        <v>196</v>
      </c>
      <c r="T175" s="282" t="s">
        <v>197</v>
      </c>
      <c r="U175" s="661"/>
      <c r="V175" s="201"/>
      <c r="W175" s="201"/>
      <c r="X175" s="201"/>
      <c r="Y175" s="281"/>
    </row>
    <row r="176" spans="1:30" ht="16.149999999999999"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149999999999999"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149999999999999"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149999999999999" customHeight="1" thickBot="1">
      <c r="A179" s="109">
        <v>43</v>
      </c>
      <c r="B179" s="157"/>
      <c r="C179" s="254">
        <f>IF(P173="","",P173)</f>
        <v>65</v>
      </c>
      <c r="D179" s="678" t="s">
        <v>213</v>
      </c>
      <c r="E179" s="678"/>
      <c r="F179" s="678"/>
      <c r="G179" s="678"/>
      <c r="H179" s="678"/>
      <c r="I179" s="678"/>
      <c r="J179" s="201"/>
      <c r="K179" s="201"/>
      <c r="L179" s="201"/>
      <c r="M179" s="158"/>
      <c r="N179" s="113"/>
      <c r="O179" s="280" t="s">
        <v>202</v>
      </c>
      <c r="P179" s="296"/>
      <c r="Q179" s="297"/>
      <c r="R179" s="297"/>
      <c r="S179" s="298"/>
      <c r="T179" s="298"/>
      <c r="U179" s="299"/>
      <c r="V179" s="201"/>
      <c r="W179" s="201"/>
      <c r="X179" s="201"/>
      <c r="Y179" s="281"/>
    </row>
    <row r="180" spans="1:25" ht="16.149999999999999" customHeight="1">
      <c r="A180" s="109">
        <v>44</v>
      </c>
      <c r="B180" s="157"/>
      <c r="C180" s="173"/>
      <c r="D180" s="655" t="s">
        <v>191</v>
      </c>
      <c r="E180" s="659" t="s">
        <v>192</v>
      </c>
      <c r="F180" s="659"/>
      <c r="G180" s="659"/>
      <c r="H180" s="282" t="s">
        <v>674</v>
      </c>
      <c r="I180" s="679" t="s">
        <v>193</v>
      </c>
      <c r="J180" s="201"/>
      <c r="K180" s="201"/>
      <c r="L180" s="201"/>
      <c r="M180" s="158"/>
      <c r="N180" s="113"/>
      <c r="O180" s="123"/>
      <c r="P180" s="113"/>
      <c r="Q180" s="120" t="s">
        <v>203</v>
      </c>
      <c r="R180" s="113"/>
      <c r="S180" s="113"/>
      <c r="T180" s="201"/>
      <c r="U180" s="201"/>
      <c r="V180" s="201"/>
      <c r="W180" s="201"/>
      <c r="X180" s="201"/>
      <c r="Y180" s="281"/>
    </row>
    <row r="181" spans="1:25" ht="16.149999999999999" customHeight="1">
      <c r="A181" s="109">
        <v>45</v>
      </c>
      <c r="B181" s="157"/>
      <c r="C181" s="173"/>
      <c r="D181" s="655" t="s">
        <v>191</v>
      </c>
      <c r="E181" s="282" t="s">
        <v>194</v>
      </c>
      <c r="F181" s="286" t="s">
        <v>195</v>
      </c>
      <c r="G181" s="286" t="s">
        <v>196</v>
      </c>
      <c r="H181" s="282" t="s">
        <v>197</v>
      </c>
      <c r="I181" s="679" t="s">
        <v>197</v>
      </c>
      <c r="J181" s="201"/>
      <c r="K181" s="201"/>
      <c r="L181" s="201"/>
      <c r="M181" s="158"/>
      <c r="N181" s="113"/>
      <c r="O181" s="123"/>
      <c r="P181" s="113"/>
      <c r="Q181" s="113"/>
      <c r="R181" s="113"/>
      <c r="S181" s="113"/>
      <c r="T181" s="201"/>
      <c r="U181" s="201"/>
      <c r="V181" s="201"/>
      <c r="W181" s="201"/>
      <c r="X181" s="201"/>
      <c r="Y181" s="281"/>
    </row>
    <row r="182" spans="1:25" ht="16.149999999999999"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62" t="s">
        <v>204</v>
      </c>
      <c r="Q182" s="658"/>
      <c r="R182" s="658"/>
      <c r="S182" s="658"/>
      <c r="T182" s="658"/>
      <c r="U182" s="659"/>
      <c r="V182" s="201"/>
      <c r="W182" s="201"/>
      <c r="X182" s="201"/>
      <c r="Y182" s="281"/>
    </row>
    <row r="183" spans="1:25" ht="16.149999999999999"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55" t="s">
        <v>191</v>
      </c>
      <c r="Q183" s="657" t="s">
        <v>192</v>
      </c>
      <c r="R183" s="658"/>
      <c r="S183" s="659"/>
      <c r="T183" s="282" t="s">
        <v>674</v>
      </c>
      <c r="U183" s="660" t="s">
        <v>193</v>
      </c>
      <c r="V183" s="201"/>
      <c r="W183" s="201"/>
      <c r="X183" s="201"/>
      <c r="Y183" s="281"/>
    </row>
    <row r="184" spans="1:25" ht="16.149999999999999"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56"/>
      <c r="Q184" s="286" t="s">
        <v>194</v>
      </c>
      <c r="R184" s="286" t="s">
        <v>195</v>
      </c>
      <c r="S184" s="286" t="s">
        <v>196</v>
      </c>
      <c r="T184" s="286" t="s">
        <v>197</v>
      </c>
      <c r="U184" s="661"/>
      <c r="V184" s="201"/>
      <c r="W184" s="201"/>
      <c r="X184" s="201"/>
      <c r="Y184" s="281"/>
    </row>
    <row r="185" spans="1:25" ht="16.149999999999999"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149999999999999"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149999999999999"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149999999999999"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149999999999999" customHeight="1" thickBot="1">
      <c r="A189" s="109">
        <v>53</v>
      </c>
      <c r="B189" s="326"/>
      <c r="C189" s="173"/>
      <c r="D189" s="678" t="s">
        <v>218</v>
      </c>
      <c r="E189" s="678"/>
      <c r="F189" s="678"/>
      <c r="G189" s="678"/>
      <c r="H189" s="678"/>
      <c r="I189" s="678"/>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149999999999999"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149999999999999"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149999999999999"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149999999999999"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149999999999999"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149999999999999"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149999999999999" customHeight="1">
      <c r="A196" s="109">
        <v>60</v>
      </c>
      <c r="B196" s="326"/>
      <c r="C196" s="208" t="s">
        <v>158</v>
      </c>
      <c r="D196" s="120" t="s">
        <v>219</v>
      </c>
      <c r="E196" s="201"/>
      <c r="F196" s="201"/>
      <c r="G196" s="201"/>
      <c r="H196" s="201"/>
      <c r="I196" s="201"/>
      <c r="J196" s="201"/>
      <c r="K196" s="201"/>
      <c r="L196" s="201"/>
      <c r="M196" s="202"/>
      <c r="N196" s="113"/>
      <c r="O196" s="123"/>
      <c r="P196" s="663" t="s">
        <v>191</v>
      </c>
      <c r="Q196" s="657" t="s">
        <v>192</v>
      </c>
      <c r="R196" s="658"/>
      <c r="S196" s="659"/>
      <c r="T196" s="282" t="s">
        <v>674</v>
      </c>
      <c r="U196" s="660" t="s">
        <v>193</v>
      </c>
      <c r="V196" s="201"/>
      <c r="W196" s="201"/>
      <c r="X196" s="201"/>
      <c r="Y196" s="281"/>
    </row>
    <row r="197" spans="1:25" ht="16.149999999999999" customHeight="1" thickBot="1">
      <c r="A197" s="109">
        <v>61</v>
      </c>
      <c r="B197" s="326"/>
      <c r="C197" s="113"/>
      <c r="D197" s="120" t="s">
        <v>221</v>
      </c>
      <c r="E197" s="201"/>
      <c r="F197" s="201"/>
      <c r="G197" s="201"/>
      <c r="H197" s="201"/>
      <c r="I197" s="201"/>
      <c r="J197" s="201"/>
      <c r="K197" s="201"/>
      <c r="L197" s="201"/>
      <c r="M197" s="202"/>
      <c r="N197" s="113"/>
      <c r="O197" s="123"/>
      <c r="P197" s="656"/>
      <c r="Q197" s="282" t="s">
        <v>194</v>
      </c>
      <c r="R197" s="286" t="s">
        <v>195</v>
      </c>
      <c r="S197" s="286" t="s">
        <v>196</v>
      </c>
      <c r="T197" s="282" t="s">
        <v>197</v>
      </c>
      <c r="U197" s="661"/>
      <c r="V197" s="201"/>
      <c r="W197" s="201"/>
      <c r="X197" s="201"/>
      <c r="Y197" s="281"/>
    </row>
    <row r="198" spans="1:25" ht="16.149999999999999"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149999999999999"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149999999999999"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149999999999999"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149999999999999"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149999999999999" customHeight="1" thickTop="1">
      <c r="A203" s="109">
        <v>67</v>
      </c>
      <c r="B203" s="113"/>
      <c r="C203" s="203" t="s">
        <v>3</v>
      </c>
      <c r="D203" s="475"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149999999999999"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149999999999999" customHeight="1">
      <c r="A205" s="109">
        <v>1</v>
      </c>
      <c r="B205" s="113"/>
      <c r="C205" s="113"/>
      <c r="D205" s="113"/>
      <c r="E205" s="113"/>
      <c r="F205" s="113"/>
      <c r="G205" s="113"/>
      <c r="H205" s="113"/>
      <c r="I205" s="113"/>
      <c r="J205" s="113"/>
      <c r="K205" s="113"/>
      <c r="L205" s="113"/>
      <c r="M205" s="207" t="str">
        <f>$H$2</f>
        <v>Medical University of South Carolina</v>
      </c>
      <c r="N205" s="113"/>
      <c r="O205" s="300"/>
      <c r="P205" s="658" t="s">
        <v>204</v>
      </c>
      <c r="Q205" s="658"/>
      <c r="R205" s="658"/>
      <c r="S205" s="658"/>
      <c r="T205" s="658"/>
      <c r="U205" s="658"/>
      <c r="V205" s="201"/>
      <c r="W205" s="201"/>
      <c r="X205" s="201"/>
      <c r="Y205" s="281"/>
    </row>
    <row r="206" spans="1:25" ht="16.149999999999999"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63" t="s">
        <v>191</v>
      </c>
      <c r="Q206" s="657" t="s">
        <v>192</v>
      </c>
      <c r="R206" s="658"/>
      <c r="S206" s="659"/>
      <c r="T206" s="282" t="s">
        <v>674</v>
      </c>
      <c r="U206" s="660" t="s">
        <v>193</v>
      </c>
      <c r="V206" s="201"/>
      <c r="W206" s="201"/>
      <c r="X206" s="201"/>
      <c r="Y206" s="281"/>
    </row>
    <row r="207" spans="1:25" ht="16.149999999999999" customHeight="1" thickTop="1" thickBot="1">
      <c r="A207" s="109">
        <v>3</v>
      </c>
      <c r="B207" s="148"/>
      <c r="C207" s="150" t="str">
        <f>O233</f>
        <v>AEC Thickness Tracking – 2D</v>
      </c>
      <c r="D207" s="149"/>
      <c r="E207" s="149"/>
      <c r="F207" s="149"/>
      <c r="G207" s="149"/>
      <c r="H207" s="149"/>
      <c r="I207" s="415" t="s">
        <v>682</v>
      </c>
      <c r="J207" s="507">
        <f>IF(V233="","",V233)</f>
        <v>4</v>
      </c>
      <c r="K207" s="149"/>
      <c r="L207" s="149"/>
      <c r="M207" s="151"/>
      <c r="N207" s="113"/>
      <c r="O207" s="300"/>
      <c r="P207" s="656"/>
      <c r="Q207" s="282" t="s">
        <v>194</v>
      </c>
      <c r="R207" s="286" t="s">
        <v>195</v>
      </c>
      <c r="S207" s="286" t="s">
        <v>196</v>
      </c>
      <c r="T207" s="282" t="s">
        <v>197</v>
      </c>
      <c r="U207" s="661"/>
      <c r="V207" s="201"/>
      <c r="W207" s="201"/>
      <c r="X207" s="201"/>
      <c r="Y207" s="281"/>
    </row>
    <row r="208" spans="1:25" ht="16.149999999999999"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149999999999999" customHeight="1">
      <c r="A209" s="109">
        <v>5</v>
      </c>
      <c r="B209" s="157"/>
      <c r="C209" s="113"/>
      <c r="D209" s="426"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149999999999999"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149999999999999" customHeight="1">
      <c r="A211" s="109">
        <v>7</v>
      </c>
      <c r="B211" s="157"/>
      <c r="C211" s="113"/>
      <c r="D211" s="159">
        <f t="shared" ref="D211:G218" si="57">IF(P237="","",P237)</f>
        <v>2</v>
      </c>
      <c r="E211" s="160" t="str">
        <f t="shared" si="57"/>
        <v>Rh</v>
      </c>
      <c r="F211" s="160">
        <f t="shared" si="57"/>
        <v>25</v>
      </c>
      <c r="G211" s="160" t="str">
        <f t="shared" si="57"/>
        <v/>
      </c>
      <c r="H211" s="495"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149999999999999"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149999999999999"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149999999999999"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149999999999999"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149999999999999"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149999999999999"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149999999999999" customHeight="1" thickBot="1">
      <c r="A218" s="109">
        <v>14</v>
      </c>
      <c r="B218" s="157"/>
      <c r="C218" s="113"/>
      <c r="D218" s="213">
        <f t="shared" si="57"/>
        <v>4</v>
      </c>
      <c r="E218" s="214" t="str">
        <f t="shared" si="57"/>
        <v>Rh</v>
      </c>
      <c r="F218" s="214">
        <f t="shared" si="57"/>
        <v>29</v>
      </c>
      <c r="G218" s="214" t="str">
        <f t="shared" si="57"/>
        <v/>
      </c>
      <c r="H218" s="496"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149999999999999"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149999999999999"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149999999999999"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149999999999999"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149999999999999"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149999999999999" customHeight="1">
      <c r="A224" s="109">
        <v>20</v>
      </c>
      <c r="B224" s="326"/>
      <c r="C224" s="113"/>
      <c r="D224" s="426" t="s">
        <v>46</v>
      </c>
      <c r="E224" s="113"/>
      <c r="F224" s="113"/>
      <c r="G224" s="113"/>
      <c r="H224" s="113"/>
      <c r="I224" s="128" t="s">
        <v>230</v>
      </c>
      <c r="J224" s="113"/>
      <c r="K224" s="201"/>
      <c r="L224" s="201"/>
      <c r="M224" s="202"/>
      <c r="N224" s="113"/>
      <c r="O224" s="123"/>
      <c r="P224" s="129" t="s">
        <v>29</v>
      </c>
      <c r="Q224" s="242" t="s">
        <v>782</v>
      </c>
      <c r="R224" s="242"/>
      <c r="S224" s="242" t="s">
        <v>782</v>
      </c>
      <c r="T224" s="242"/>
      <c r="U224" s="113"/>
      <c r="V224" s="113"/>
      <c r="W224" s="113"/>
      <c r="X224" s="113"/>
      <c r="Y224" s="125"/>
    </row>
    <row r="225" spans="1:25" ht="16.149999999999999"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149999999999999" customHeight="1">
      <c r="A226" s="109">
        <v>22</v>
      </c>
      <c r="B226" s="326"/>
      <c r="C226" s="113"/>
      <c r="D226" s="159">
        <f t="shared" ref="D226:G232" si="59">IF(P252="","",P252)</f>
        <v>2</v>
      </c>
      <c r="E226" s="160" t="str">
        <f t="shared" si="59"/>
        <v>Al</v>
      </c>
      <c r="F226" s="160">
        <f t="shared" si="59"/>
        <v>26</v>
      </c>
      <c r="G226" s="160" t="str">
        <f t="shared" si="59"/>
        <v/>
      </c>
      <c r="H226" s="495"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149999999999999"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149999999999999"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149999999999999"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149999999999999"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149999999999999"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149999999999999" customHeight="1" thickBot="1">
      <c r="A232" s="109">
        <v>28</v>
      </c>
      <c r="B232" s="326"/>
      <c r="C232" s="113"/>
      <c r="D232" s="213">
        <f t="shared" si="59"/>
        <v>8</v>
      </c>
      <c r="E232" s="214" t="str">
        <f t="shared" si="59"/>
        <v>Al</v>
      </c>
      <c r="F232" s="214">
        <f t="shared" si="59"/>
        <v>38</v>
      </c>
      <c r="G232" s="214" t="str">
        <f t="shared" si="59"/>
        <v/>
      </c>
      <c r="H232" s="496"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149999999999999"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149999999999999"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149999999999999"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149999999999999"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80" t="s">
        <v>677</v>
      </c>
      <c r="V236" s="128" t="s">
        <v>236</v>
      </c>
      <c r="W236" s="128" t="s">
        <v>237</v>
      </c>
      <c r="X236" s="113"/>
      <c r="Y236" s="125"/>
    </row>
    <row r="237" spans="1:25" ht="16.149999999999999"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149999999999999"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149999999999999"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149999999999999"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149999999999999"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149999999999999"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149999999999999" customHeight="1">
      <c r="A243" s="109">
        <v>39</v>
      </c>
      <c r="B243" s="157"/>
      <c r="C243" s="113"/>
      <c r="D243" s="168">
        <f t="shared" si="63"/>
        <v>0</v>
      </c>
      <c r="E243" s="170" t="str">
        <f t="shared" si="64"/>
        <v/>
      </c>
      <c r="F243" s="353" t="str">
        <f t="shared" si="65"/>
        <v/>
      </c>
      <c r="G243" s="350" t="str">
        <f t="shared" si="66"/>
        <v/>
      </c>
      <c r="H243" s="350" t="str">
        <f t="shared" si="67"/>
        <v/>
      </c>
      <c r="I243" s="354"/>
      <c r="J243" s="173"/>
      <c r="K243" s="113"/>
      <c r="L243" s="113"/>
      <c r="M243" s="158"/>
      <c r="N243" s="113"/>
      <c r="O243" s="123"/>
      <c r="P243" s="346">
        <v>8</v>
      </c>
      <c r="Q243" s="347" t="s">
        <v>784</v>
      </c>
      <c r="R243" s="242">
        <v>32</v>
      </c>
      <c r="S243" s="242"/>
      <c r="T243" s="352"/>
      <c r="U243" s="348" t="str">
        <f>IF(T243="","",IF($V$233=-1,T243,(T243-50)/VLOOKUP(P243,Tables!$A$161:$I$165,MATCH($V$233,Tables!$A$161:$I$161))))</f>
        <v/>
      </c>
      <c r="V243" s="242"/>
      <c r="W243" s="304" t="str">
        <f t="shared" si="61"/>
        <v/>
      </c>
      <c r="X243" s="113"/>
      <c r="Y243" s="125"/>
    </row>
    <row r="244" spans="1:25" ht="16.149999999999999"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149999999999999"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149999999999999"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149999999999999" customHeight="1" thickBot="1">
      <c r="A247" s="109">
        <v>43</v>
      </c>
      <c r="B247" s="157"/>
      <c r="C247" s="113"/>
      <c r="D247" s="213">
        <f t="shared" si="63"/>
        <v>4</v>
      </c>
      <c r="E247" s="214" t="str">
        <f t="shared" si="64"/>
        <v/>
      </c>
      <c r="F247" s="496"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149999999999999"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149999999999999"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149999999999999" customHeight="1" thickTop="1" thickBot="1">
      <c r="A250" s="109">
        <v>46</v>
      </c>
      <c r="B250" s="148"/>
      <c r="C250" s="150" t="s">
        <v>226</v>
      </c>
      <c r="D250" s="149"/>
      <c r="E250" s="416" t="s">
        <v>611</v>
      </c>
      <c r="F250" s="416" t="s">
        <v>612</v>
      </c>
      <c r="G250" s="416" t="s">
        <v>611</v>
      </c>
      <c r="H250" s="416"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149999999999999"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80" t="s">
        <v>677</v>
      </c>
      <c r="V251" s="128" t="s">
        <v>236</v>
      </c>
      <c r="W251" s="128" t="s">
        <v>237</v>
      </c>
      <c r="X251" s="113"/>
      <c r="Y251" s="125"/>
    </row>
    <row r="252" spans="1:25" ht="16.149999999999999"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787</v>
      </c>
      <c r="R252" s="344">
        <v>26</v>
      </c>
      <c r="S252" s="344"/>
      <c r="T252" s="363"/>
      <c r="U252" s="345" t="str">
        <f>IF(T252="","",(T252-50)/VLOOKUP(P252,Tables!$A$189:$C$193,MATCH($V$249,Tables!$A$189:$C$189)))</f>
        <v/>
      </c>
      <c r="V252" s="344"/>
      <c r="W252" s="314" t="str">
        <f t="shared" ref="W252:W258" si="69">IF(OR(U252="",$U$259=""),"",ABS((U252-$U$259)/$U$259))</f>
        <v/>
      </c>
      <c r="X252" s="113"/>
      <c r="Y252" s="125"/>
    </row>
    <row r="253" spans="1:25" ht="16.149999999999999"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787</v>
      </c>
      <c r="R253" s="242">
        <v>29</v>
      </c>
      <c r="S253" s="242"/>
      <c r="T253" s="352"/>
      <c r="U253" s="348" t="str">
        <f>IF(T253="","",(T253-50)/VLOOKUP(P253,Tables!$A$189:$C$193,MATCH($V$249,Tables!$A$189:$C$189)))</f>
        <v/>
      </c>
      <c r="V253" s="242"/>
      <c r="W253" s="304" t="str">
        <f t="shared" si="69"/>
        <v/>
      </c>
      <c r="X253" s="113"/>
      <c r="Y253" s="125"/>
    </row>
    <row r="254" spans="1:25" ht="16.149999999999999"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149999999999999"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149999999999999"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149999999999999" customHeight="1" thickTop="1">
      <c r="A257" s="109">
        <v>53</v>
      </c>
      <c r="B257" s="326"/>
      <c r="C257" s="201"/>
      <c r="D257" s="201"/>
      <c r="E257" s="201"/>
      <c r="F257" s="201"/>
      <c r="G257" s="201"/>
      <c r="H257" s="201"/>
      <c r="I257" s="201"/>
      <c r="J257" s="201"/>
      <c r="K257" s="201"/>
      <c r="L257" s="201"/>
      <c r="M257" s="158"/>
      <c r="N257" s="113"/>
      <c r="O257" s="123"/>
      <c r="P257" s="346">
        <v>6</v>
      </c>
      <c r="Q257" s="347" t="s">
        <v>787</v>
      </c>
      <c r="R257" s="242">
        <v>33</v>
      </c>
      <c r="S257" s="242"/>
      <c r="T257" s="352"/>
      <c r="U257" s="348" t="str">
        <f>IF(T257="","",(T257-50)/VLOOKUP(P257,Tables!$A$189:$C$193,MATCH($V$249,Tables!$A$189:$C$189)))</f>
        <v/>
      </c>
      <c r="V257" s="242"/>
      <c r="W257" s="304" t="str">
        <f t="shared" si="69"/>
        <v/>
      </c>
      <c r="X257" s="113"/>
      <c r="Y257" s="125"/>
    </row>
    <row r="258" spans="1:29" ht="16.149999999999999" customHeight="1" thickBot="1">
      <c r="A258" s="109">
        <v>54</v>
      </c>
      <c r="B258" s="157"/>
      <c r="C258" s="165" t="s">
        <v>254</v>
      </c>
      <c r="D258" s="113"/>
      <c r="E258" s="113"/>
      <c r="F258" s="113"/>
      <c r="G258" s="113"/>
      <c r="H258" s="113"/>
      <c r="I258" s="113"/>
      <c r="J258" s="113"/>
      <c r="K258" s="113"/>
      <c r="L258" s="113"/>
      <c r="M258" s="158"/>
      <c r="N258" s="113"/>
      <c r="O258" s="123"/>
      <c r="P258" s="355">
        <v>8</v>
      </c>
      <c r="Q258" s="356" t="s">
        <v>787</v>
      </c>
      <c r="R258" s="357">
        <v>38</v>
      </c>
      <c r="S258" s="357"/>
      <c r="T258" s="358"/>
      <c r="U258" s="359" t="str">
        <f>IF(T258="","",(T258-50)/VLOOKUP(P258,Tables!$A$189:$C$193,MATCH($V$249,Tables!$A$189:$C$189)))</f>
        <v/>
      </c>
      <c r="V258" s="357"/>
      <c r="W258" s="318" t="str">
        <f t="shared" si="69"/>
        <v/>
      </c>
      <c r="X258" s="113"/>
      <c r="Y258" s="125"/>
    </row>
    <row r="259" spans="1:29" ht="16.149999999999999" customHeight="1" thickBot="1">
      <c r="A259" s="109">
        <v>55</v>
      </c>
      <c r="B259" s="157"/>
      <c r="C259" s="113"/>
      <c r="D259" s="681" t="s">
        <v>255</v>
      </c>
      <c r="E259" s="681"/>
      <c r="F259" s="173"/>
      <c r="G259" s="681" t="s">
        <v>256</v>
      </c>
      <c r="H259" s="681"/>
      <c r="I259" s="113"/>
      <c r="J259" s="173"/>
      <c r="K259" s="681" t="s">
        <v>257</v>
      </c>
      <c r="L259" s="681"/>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149999999999999"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149999999999999"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t="str">
        <f t="shared" ref="I261:I266" si="74">IF(T535="","",T535)</f>
        <v/>
      </c>
      <c r="J261" s="173"/>
      <c r="K261" s="129" t="s">
        <v>263</v>
      </c>
      <c r="L261" s="367" t="str">
        <f>IF(R527="","",R527)</f>
        <v/>
      </c>
      <c r="M261" s="202"/>
      <c r="N261" s="113"/>
      <c r="O261" s="123"/>
      <c r="P261" s="201"/>
      <c r="Q261" s="201"/>
      <c r="R261" s="201"/>
      <c r="S261" s="201"/>
      <c r="T261" s="201"/>
      <c r="U261" s="201"/>
      <c r="V261" s="201"/>
      <c r="W261" s="113"/>
      <c r="X261" s="113"/>
      <c r="Y261" s="125"/>
    </row>
    <row r="262" spans="1:29" ht="16.149999999999999" customHeight="1">
      <c r="A262" s="109">
        <v>58</v>
      </c>
      <c r="B262" s="157"/>
      <c r="C262" s="173"/>
      <c r="D262" s="129" t="s">
        <v>265</v>
      </c>
      <c r="E262" s="346" t="str">
        <f t="shared" si="71"/>
        <v/>
      </c>
      <c r="F262" s="129" t="s">
        <v>262</v>
      </c>
      <c r="G262" s="168">
        <f t="shared" si="72"/>
        <v>0</v>
      </c>
      <c r="H262" s="169" t="str">
        <f t="shared" si="73"/>
        <v/>
      </c>
      <c r="I262" s="351"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149999999999999" customHeight="1">
      <c r="A263" s="109">
        <v>59</v>
      </c>
      <c r="B263" s="157"/>
      <c r="C263" s="173"/>
      <c r="D263" s="129" t="s">
        <v>268</v>
      </c>
      <c r="E263" s="346" t="str">
        <f t="shared" si="71"/>
        <v/>
      </c>
      <c r="F263" s="129" t="s">
        <v>174</v>
      </c>
      <c r="G263" s="168">
        <f t="shared" si="72"/>
        <v>0</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149999999999999"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149999999999999"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80" t="s">
        <v>677</v>
      </c>
      <c r="V265" s="128" t="s">
        <v>249</v>
      </c>
      <c r="W265" s="113"/>
      <c r="X265" s="371" t="s">
        <v>251</v>
      </c>
      <c r="Y265" s="370" t="s">
        <v>252</v>
      </c>
      <c r="Z265" s="117">
        <v>0.5</v>
      </c>
      <c r="AA265" s="117">
        <v>0.61</v>
      </c>
      <c r="AB265" s="117">
        <v>0.56000000000000005</v>
      </c>
      <c r="AC265" s="117">
        <v>0.66</v>
      </c>
    </row>
    <row r="266" spans="1:29" ht="16.149999999999999"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81"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149999999999999"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149999999999999"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149999999999999"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149999999999999"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149999999999999" customHeight="1" thickTop="1">
      <c r="A271" s="109">
        <v>67</v>
      </c>
      <c r="B271" s="113"/>
      <c r="C271" s="203" t="s">
        <v>3</v>
      </c>
      <c r="D271" s="475"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149999999999999"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149999999999999"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2" t="str">
        <f t="shared" si="77"/>
        <v/>
      </c>
      <c r="V273" s="215" t="str">
        <f>IF(OR(U273="",$U$269=""),"",U273/$U$269)</f>
        <v/>
      </c>
      <c r="W273" s="113"/>
      <c r="X273" s="371">
        <f t="shared" si="79"/>
        <v>1.44</v>
      </c>
      <c r="Y273" s="370">
        <f t="shared" si="79"/>
        <v>1.76</v>
      </c>
    </row>
    <row r="274" spans="1:25" ht="16.149999999999999"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149999999999999" customHeight="1" thickTop="1">
      <c r="A275" s="109">
        <v>3</v>
      </c>
      <c r="B275" s="520" t="s">
        <v>704</v>
      </c>
      <c r="C275" s="514"/>
      <c r="D275" s="514"/>
      <c r="E275" s="514"/>
      <c r="F275" s="514"/>
      <c r="G275" s="514"/>
      <c r="H275" s="514"/>
      <c r="I275" s="514"/>
      <c r="J275" s="514"/>
      <c r="K275" s="514"/>
      <c r="L275" s="514"/>
      <c r="M275" s="515"/>
      <c r="N275" s="113"/>
      <c r="O275" s="123"/>
      <c r="P275" s="208" t="s">
        <v>158</v>
      </c>
      <c r="Q275" s="120" t="s">
        <v>253</v>
      </c>
      <c r="R275" s="113"/>
      <c r="S275" s="113"/>
      <c r="T275" s="113"/>
      <c r="U275" s="113"/>
      <c r="V275" s="113"/>
      <c r="W275" s="113"/>
      <c r="X275" s="113"/>
      <c r="Y275" s="125"/>
    </row>
    <row r="276" spans="1:25" ht="16.149999999999999" customHeight="1">
      <c r="A276" s="109">
        <v>4</v>
      </c>
      <c r="B276" s="508"/>
      <c r="M276" s="509"/>
      <c r="N276" s="113"/>
      <c r="O276" s="258"/>
      <c r="Y276" s="125"/>
    </row>
    <row r="277" spans="1:25" ht="16.149999999999999" customHeight="1">
      <c r="A277" s="109">
        <v>5</v>
      </c>
      <c r="B277" s="508"/>
      <c r="C277" s="506" t="s">
        <v>688</v>
      </c>
      <c r="M277" s="509"/>
      <c r="N277" s="113"/>
      <c r="O277" s="258"/>
      <c r="Y277" s="125"/>
    </row>
    <row r="278" spans="1:25" ht="16.149999999999999" customHeight="1">
      <c r="A278" s="109">
        <v>6</v>
      </c>
      <c r="B278" s="508"/>
      <c r="C278" s="129" t="s">
        <v>228</v>
      </c>
      <c r="D278" s="268" t="str">
        <f>IF(P279="","",P279)</f>
        <v>Auto-filter</v>
      </c>
      <c r="E278" s="113"/>
      <c r="F278" s="129" t="s">
        <v>229</v>
      </c>
      <c r="G278" s="245">
        <f>IF(S279="","",S279)</f>
        <v>2</v>
      </c>
      <c r="I278" s="129" t="s">
        <v>682</v>
      </c>
      <c r="J278" s="245">
        <f>IF(V279="","",V279)</f>
        <v>0</v>
      </c>
      <c r="M278" s="509"/>
      <c r="N278" s="113"/>
      <c r="O278" s="505" t="s">
        <v>688</v>
      </c>
      <c r="Y278" s="125"/>
    </row>
    <row r="279" spans="1:25" ht="16.149999999999999" customHeight="1">
      <c r="A279" s="109">
        <v>7</v>
      </c>
      <c r="B279" s="508"/>
      <c r="D279" s="426" t="s">
        <v>46</v>
      </c>
      <c r="E279" s="113"/>
      <c r="F279" s="113"/>
      <c r="G279" s="113"/>
      <c r="H279" s="113"/>
      <c r="I279" s="128" t="s">
        <v>230</v>
      </c>
      <c r="J279" s="113"/>
      <c r="M279" s="509"/>
      <c r="N279" s="113"/>
      <c r="O279" s="123" t="s">
        <v>228</v>
      </c>
      <c r="P279" s="341" t="s">
        <v>660</v>
      </c>
      <c r="Q279" s="113"/>
      <c r="R279" s="129" t="s">
        <v>229</v>
      </c>
      <c r="S279" s="244">
        <v>2</v>
      </c>
      <c r="T279" s="113"/>
      <c r="U279" s="129" t="s">
        <v>682</v>
      </c>
      <c r="V279" s="244">
        <v>0</v>
      </c>
      <c r="W279" s="113"/>
      <c r="Y279" s="125"/>
    </row>
    <row r="280" spans="1:25" ht="16.149999999999999" customHeight="1" thickBot="1">
      <c r="A280" s="109">
        <v>8</v>
      </c>
      <c r="B280" s="508"/>
      <c r="D280" s="128" t="s">
        <v>232</v>
      </c>
      <c r="E280" s="128" t="s">
        <v>233</v>
      </c>
      <c r="F280" s="128" t="s">
        <v>234</v>
      </c>
      <c r="G280" s="128" t="s">
        <v>49</v>
      </c>
      <c r="H280" s="128" t="s">
        <v>235</v>
      </c>
      <c r="I280" s="128" t="s">
        <v>236</v>
      </c>
      <c r="J280" s="128" t="s">
        <v>237</v>
      </c>
      <c r="M280" s="509"/>
      <c r="N280" s="113"/>
      <c r="O280" s="123"/>
      <c r="P280" s="128" t="s">
        <v>46</v>
      </c>
      <c r="Q280" s="113"/>
      <c r="R280" s="113"/>
      <c r="S280" s="113"/>
      <c r="T280" s="113"/>
      <c r="U280" s="128"/>
      <c r="V280" s="128" t="s">
        <v>230</v>
      </c>
      <c r="W280" s="113"/>
      <c r="Y280" s="125"/>
    </row>
    <row r="281" spans="1:25" ht="16.149999999999999" customHeight="1" thickBot="1">
      <c r="A281" s="109">
        <v>9</v>
      </c>
      <c r="B281" s="508"/>
      <c r="D281" s="159">
        <f t="shared" ref="D281:G287" si="80">IF(P282="","",P282)</f>
        <v>2</v>
      </c>
      <c r="E281" s="160" t="str">
        <f t="shared" si="80"/>
        <v/>
      </c>
      <c r="F281" s="160" t="str">
        <f t="shared" si="80"/>
        <v/>
      </c>
      <c r="G281" s="160" t="str">
        <f t="shared" si="80"/>
        <v/>
      </c>
      <c r="H281" s="495" t="str">
        <f t="shared" ref="H281:J287" si="81">IF(U282="","",U282)</f>
        <v/>
      </c>
      <c r="I281" s="160" t="str">
        <f t="shared" si="81"/>
        <v/>
      </c>
      <c r="J281" s="314" t="str">
        <f t="shared" si="81"/>
        <v/>
      </c>
      <c r="M281" s="509"/>
      <c r="N281" s="113"/>
      <c r="O281" s="123"/>
      <c r="P281" s="128" t="s">
        <v>232</v>
      </c>
      <c r="Q281" s="128" t="s">
        <v>233</v>
      </c>
      <c r="R281" s="128" t="s">
        <v>234</v>
      </c>
      <c r="S281" s="128" t="s">
        <v>49</v>
      </c>
      <c r="T281" s="128" t="s">
        <v>235</v>
      </c>
      <c r="U281" s="480" t="s">
        <v>677</v>
      </c>
      <c r="V281" s="128" t="s">
        <v>236</v>
      </c>
      <c r="W281" s="128" t="s">
        <v>237</v>
      </c>
      <c r="Y281" s="125"/>
    </row>
    <row r="282" spans="1:25" ht="16.149999999999999" customHeight="1">
      <c r="A282" s="109">
        <v>10</v>
      </c>
      <c r="B282" s="508"/>
      <c r="D282" s="168">
        <f t="shared" si="80"/>
        <v>4</v>
      </c>
      <c r="E282" s="169" t="str">
        <f t="shared" si="80"/>
        <v/>
      </c>
      <c r="F282" s="169" t="str">
        <f t="shared" si="80"/>
        <v/>
      </c>
      <c r="G282" s="169" t="str">
        <f t="shared" si="80"/>
        <v/>
      </c>
      <c r="H282" s="353" t="str">
        <f t="shared" si="81"/>
        <v/>
      </c>
      <c r="I282" s="169" t="str">
        <f t="shared" si="81"/>
        <v/>
      </c>
      <c r="J282" s="304" t="str">
        <f t="shared" si="81"/>
        <v/>
      </c>
      <c r="M282" s="509"/>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149999999999999" customHeight="1">
      <c r="A283" s="109">
        <v>11</v>
      </c>
      <c r="B283" s="508"/>
      <c r="D283" s="168">
        <f t="shared" si="80"/>
        <v>4</v>
      </c>
      <c r="E283" s="169">
        <f t="shared" si="80"/>
        <v>0</v>
      </c>
      <c r="F283" s="169">
        <f t="shared" si="80"/>
        <v>0</v>
      </c>
      <c r="G283" s="169" t="str">
        <f t="shared" si="80"/>
        <v/>
      </c>
      <c r="H283" s="353" t="str">
        <f t="shared" si="81"/>
        <v/>
      </c>
      <c r="I283" s="169" t="str">
        <f t="shared" si="81"/>
        <v/>
      </c>
      <c r="J283" s="304" t="str">
        <f t="shared" si="81"/>
        <v/>
      </c>
      <c r="M283" s="509"/>
      <c r="N283" s="113"/>
      <c r="O283" s="123"/>
      <c r="P283" s="346">
        <v>4</v>
      </c>
      <c r="Q283" s="347"/>
      <c r="R283" s="242"/>
      <c r="S283" s="242"/>
      <c r="T283" s="352"/>
      <c r="U283" s="348" t="str">
        <f>IF(T283="","",(T283-50)/VLOOKUP(P283,Tables!$A$173:$B$177,MATCH($V$279,Tables!$A$173:$B$173)))</f>
        <v/>
      </c>
      <c r="V283" s="242"/>
      <c r="W283" s="304" t="str">
        <f t="shared" si="82"/>
        <v/>
      </c>
      <c r="Y283" s="125"/>
    </row>
    <row r="284" spans="1:25" ht="16.149999999999999" customHeight="1">
      <c r="A284" s="109">
        <v>12</v>
      </c>
      <c r="B284" s="508"/>
      <c r="D284" s="168">
        <f t="shared" si="80"/>
        <v>4</v>
      </c>
      <c r="E284" s="169">
        <f t="shared" si="80"/>
        <v>0</v>
      </c>
      <c r="F284" s="169">
        <f t="shared" si="80"/>
        <v>0</v>
      </c>
      <c r="G284" s="169" t="str">
        <f t="shared" si="80"/>
        <v/>
      </c>
      <c r="H284" s="353" t="str">
        <f t="shared" si="81"/>
        <v/>
      </c>
      <c r="I284" s="169" t="str">
        <f t="shared" si="81"/>
        <v/>
      </c>
      <c r="J284" s="304" t="str">
        <f t="shared" si="81"/>
        <v/>
      </c>
      <c r="M284" s="509"/>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149999999999999" customHeight="1">
      <c r="A285" s="109">
        <v>13</v>
      </c>
      <c r="B285" s="508"/>
      <c r="D285" s="168">
        <f t="shared" si="80"/>
        <v>4</v>
      </c>
      <c r="E285" s="169">
        <f t="shared" si="80"/>
        <v>0</v>
      </c>
      <c r="F285" s="169">
        <f t="shared" si="80"/>
        <v>0</v>
      </c>
      <c r="G285" s="169" t="str">
        <f t="shared" si="80"/>
        <v/>
      </c>
      <c r="H285" s="353" t="str">
        <f t="shared" si="81"/>
        <v/>
      </c>
      <c r="I285" s="169" t="str">
        <f t="shared" si="81"/>
        <v/>
      </c>
      <c r="J285" s="304" t="str">
        <f t="shared" si="81"/>
        <v/>
      </c>
      <c r="M285" s="509"/>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149999999999999" customHeight="1">
      <c r="A286" s="109">
        <v>14</v>
      </c>
      <c r="B286" s="508"/>
      <c r="D286" s="168">
        <f t="shared" si="80"/>
        <v>6</v>
      </c>
      <c r="E286" s="169" t="str">
        <f t="shared" si="80"/>
        <v/>
      </c>
      <c r="F286" s="169" t="str">
        <f t="shared" si="80"/>
        <v/>
      </c>
      <c r="G286" s="169" t="str">
        <f t="shared" si="80"/>
        <v/>
      </c>
      <c r="H286" s="353" t="str">
        <f t="shared" si="81"/>
        <v/>
      </c>
      <c r="I286" s="169" t="str">
        <f t="shared" si="81"/>
        <v/>
      </c>
      <c r="J286" s="304" t="str">
        <f t="shared" si="81"/>
        <v/>
      </c>
      <c r="M286" s="509"/>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149999999999999" customHeight="1" thickBot="1">
      <c r="A287" s="109">
        <v>15</v>
      </c>
      <c r="B287" s="508"/>
      <c r="D287" s="213">
        <f t="shared" si="80"/>
        <v>8</v>
      </c>
      <c r="E287" s="214" t="str">
        <f t="shared" si="80"/>
        <v/>
      </c>
      <c r="F287" s="214" t="str">
        <f t="shared" si="80"/>
        <v/>
      </c>
      <c r="G287" s="214" t="str">
        <f t="shared" si="80"/>
        <v/>
      </c>
      <c r="H287" s="496" t="str">
        <f t="shared" si="81"/>
        <v/>
      </c>
      <c r="I287" s="214" t="str">
        <f t="shared" si="81"/>
        <v/>
      </c>
      <c r="J287" s="318" t="str">
        <f t="shared" si="81"/>
        <v/>
      </c>
      <c r="M287" s="509"/>
      <c r="N287" s="113"/>
      <c r="O287" s="123"/>
      <c r="P287" s="346">
        <v>6</v>
      </c>
      <c r="Q287" s="347"/>
      <c r="R287" s="242"/>
      <c r="S287" s="242"/>
      <c r="T287" s="352"/>
      <c r="U287" s="348" t="str">
        <f>IF(T287="","",(T287-50)/VLOOKUP(P287,Tables!$A$173:$B$177,MATCH($V$279,Tables!$A$173:$B$173)))</f>
        <v/>
      </c>
      <c r="V287" s="242"/>
      <c r="W287" s="304" t="str">
        <f t="shared" si="82"/>
        <v/>
      </c>
      <c r="Y287" s="125"/>
    </row>
    <row r="288" spans="1:25" ht="16.149999999999999" customHeight="1" thickBot="1">
      <c r="A288" s="109">
        <v>16</v>
      </c>
      <c r="B288" s="508"/>
      <c r="D288" s="113"/>
      <c r="E288" s="113"/>
      <c r="F288" s="113"/>
      <c r="G288" s="129" t="s">
        <v>243</v>
      </c>
      <c r="H288" s="338" t="str">
        <f>IF(U289="","",U289)</f>
        <v/>
      </c>
      <c r="I288" s="113"/>
      <c r="J288" s="338" t="str">
        <f>IF(W289="","",W289)</f>
        <v/>
      </c>
      <c r="M288" s="509"/>
      <c r="N288" s="113"/>
      <c r="O288" s="123"/>
      <c r="P288" s="355">
        <v>8</v>
      </c>
      <c r="Q288" s="356"/>
      <c r="R288" s="357"/>
      <c r="S288" s="357"/>
      <c r="T288" s="358"/>
      <c r="U288" s="359" t="str">
        <f>IF(T288="","",(T288-50)/VLOOKUP(P288,Tables!$A$173:$B$177,MATCH($V$279,Tables!$A$173:$B$173)))</f>
        <v/>
      </c>
      <c r="V288" s="357"/>
      <c r="W288" s="318" t="str">
        <f t="shared" si="82"/>
        <v/>
      </c>
      <c r="Y288" s="125"/>
    </row>
    <row r="289" spans="1:32" ht="16.149999999999999" customHeight="1" thickBot="1">
      <c r="A289" s="109">
        <v>17</v>
      </c>
      <c r="B289" s="508"/>
      <c r="D289" s="208" t="s">
        <v>158</v>
      </c>
      <c r="E289" s="120" t="s">
        <v>244</v>
      </c>
      <c r="M289" s="509"/>
      <c r="N289" s="113"/>
      <c r="O289" s="123"/>
      <c r="P289" s="113"/>
      <c r="Q289" s="120" t="s">
        <v>678</v>
      </c>
      <c r="R289" s="113"/>
      <c r="S289" s="201"/>
      <c r="T289" s="129" t="s">
        <v>243</v>
      </c>
      <c r="U289" s="360" t="str">
        <f>IF(U282="","",AVERAGE(U282:U288))</f>
        <v/>
      </c>
      <c r="V289" s="113"/>
      <c r="W289" s="365" t="str">
        <f>IF(W282="","",IF(MAX(W282:W288)&gt;0.1,"Fail","Pass"))</f>
        <v/>
      </c>
      <c r="Y289" s="125"/>
    </row>
    <row r="290" spans="1:32" ht="16.149999999999999" customHeight="1" thickBot="1">
      <c r="A290" s="109">
        <v>18</v>
      </c>
      <c r="B290" s="516"/>
      <c r="C290" s="517"/>
      <c r="D290" s="517"/>
      <c r="E290" s="517"/>
      <c r="F290" s="517"/>
      <c r="G290" s="517"/>
      <c r="H290" s="517"/>
      <c r="I290" s="517"/>
      <c r="J290" s="517"/>
      <c r="K290" s="517"/>
      <c r="L290" s="517"/>
      <c r="M290" s="518"/>
      <c r="N290" s="113"/>
      <c r="O290" s="123"/>
      <c r="P290" s="208" t="s">
        <v>158</v>
      </c>
      <c r="Q290" s="120" t="s">
        <v>244</v>
      </c>
      <c r="R290" s="113"/>
      <c r="S290" s="113"/>
      <c r="T290" s="113"/>
      <c r="U290" s="113"/>
      <c r="V290" s="113"/>
      <c r="W290" s="173"/>
      <c r="X290" s="135"/>
      <c r="Y290" s="136"/>
    </row>
    <row r="291" spans="1:32" ht="16.149999999999999" customHeight="1">
      <c r="A291" s="109">
        <v>19</v>
      </c>
      <c r="B291" s="508"/>
      <c r="C291" s="165" t="str">
        <f>O382</f>
        <v>Mean Glandular Dose – Stereo biopsy</v>
      </c>
      <c r="D291" s="113"/>
      <c r="E291" s="113"/>
      <c r="F291" s="113"/>
      <c r="G291" s="113"/>
      <c r="H291" s="113"/>
      <c r="I291" s="113"/>
      <c r="J291" s="113"/>
      <c r="K291" s="113"/>
      <c r="L291" s="113"/>
      <c r="M291" s="509"/>
      <c r="N291" s="113"/>
      <c r="O291" s="241" t="s">
        <v>258</v>
      </c>
      <c r="P291" s="115"/>
      <c r="Q291" s="115"/>
      <c r="R291" s="115"/>
      <c r="S291" s="115"/>
      <c r="T291" s="115"/>
      <c r="U291" s="115"/>
      <c r="V291" s="115"/>
      <c r="W291" s="115"/>
      <c r="X291" s="115"/>
      <c r="Y291" s="116"/>
    </row>
    <row r="292" spans="1:32" ht="16.149999999999999" customHeight="1">
      <c r="A292" s="109">
        <v>20</v>
      </c>
      <c r="B292" s="508"/>
      <c r="C292" s="113"/>
      <c r="D292" s="129" t="s">
        <v>261</v>
      </c>
      <c r="E292" s="491">
        <f>IF(Q383="","",Q383)</f>
        <v>0</v>
      </c>
      <c r="F292" s="201"/>
      <c r="G292" s="129" t="s">
        <v>172</v>
      </c>
      <c r="H292" s="491" t="str">
        <f>IF(T383="","",T383)</f>
        <v/>
      </c>
      <c r="I292" s="113"/>
      <c r="J292" s="113"/>
      <c r="K292" s="113"/>
      <c r="L292" s="113"/>
      <c r="M292" s="509"/>
      <c r="N292" s="113"/>
      <c r="O292" s="123"/>
      <c r="P292" s="129" t="s">
        <v>261</v>
      </c>
      <c r="Q292" s="341"/>
      <c r="R292" s="113"/>
      <c r="S292" s="129" t="s">
        <v>172</v>
      </c>
      <c r="T292" s="341">
        <v>28</v>
      </c>
      <c r="U292" s="113"/>
      <c r="V292" s="173"/>
      <c r="W292" s="173"/>
      <c r="X292" s="113"/>
      <c r="Y292" s="125"/>
    </row>
    <row r="293" spans="1:32" ht="16.149999999999999" customHeight="1">
      <c r="A293" s="109">
        <v>21</v>
      </c>
      <c r="B293" s="508"/>
      <c r="C293" s="113"/>
      <c r="D293" s="129" t="s">
        <v>264</v>
      </c>
      <c r="E293" s="491" t="str">
        <f>IF(Q384="","",Q384)</f>
        <v/>
      </c>
      <c r="F293" s="201"/>
      <c r="G293" s="129" t="s">
        <v>262</v>
      </c>
      <c r="H293" s="491" t="str">
        <f>IF(T384="","",T384)</f>
        <v/>
      </c>
      <c r="I293" s="113"/>
      <c r="J293" s="113"/>
      <c r="K293" s="113"/>
      <c r="L293" s="113"/>
      <c r="M293" s="509"/>
      <c r="N293" s="113"/>
      <c r="O293" s="123"/>
      <c r="P293" s="129" t="s">
        <v>264</v>
      </c>
      <c r="Q293" s="244" t="s">
        <v>573</v>
      </c>
      <c r="R293" s="113"/>
      <c r="S293" s="129" t="s">
        <v>262</v>
      </c>
      <c r="T293" s="341">
        <v>100</v>
      </c>
      <c r="U293" s="113"/>
      <c r="V293" s="113"/>
      <c r="W293" s="113"/>
      <c r="X293" s="113"/>
      <c r="Y293" s="125"/>
    </row>
    <row r="294" spans="1:32" ht="16.149999999999999" customHeight="1">
      <c r="A294" s="109">
        <v>22</v>
      </c>
      <c r="B294" s="508"/>
      <c r="C294" s="113"/>
      <c r="D294" s="113"/>
      <c r="E294" s="113"/>
      <c r="F294" s="113"/>
      <c r="G294" s="128" t="s">
        <v>230</v>
      </c>
      <c r="H294" s="113"/>
      <c r="I294" s="113" t="s">
        <v>267</v>
      </c>
      <c r="J294" s="113"/>
      <c r="K294" s="113"/>
      <c r="L294" s="113"/>
      <c r="M294" s="509"/>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149999999999999" customHeight="1" thickBot="1">
      <c r="A295" s="109">
        <v>23</v>
      </c>
      <c r="B295" s="508"/>
      <c r="C295" s="113"/>
      <c r="D295" s="128"/>
      <c r="E295" s="128" t="s">
        <v>49</v>
      </c>
      <c r="F295" s="128" t="s">
        <v>235</v>
      </c>
      <c r="G295" s="128" t="s">
        <v>236</v>
      </c>
      <c r="H295" s="128" t="s">
        <v>270</v>
      </c>
      <c r="I295" s="128" t="s">
        <v>271</v>
      </c>
      <c r="J295" s="113"/>
      <c r="K295" s="129" t="s">
        <v>272</v>
      </c>
      <c r="L295" s="246" t="str">
        <f t="shared" ref="L295:L300" si="86">IF(X386="","",X386)</f>
        <v/>
      </c>
      <c r="M295" s="509"/>
      <c r="N295" s="113"/>
      <c r="O295" s="385"/>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149999999999999" customHeight="1">
      <c r="A296" s="109">
        <v>24</v>
      </c>
      <c r="B296" s="508"/>
      <c r="C296" s="113"/>
      <c r="D296" s="113"/>
      <c r="E296" s="383" t="str">
        <f t="shared" ref="E296:I301" si="87">IF(Q387="","",Q387)</f>
        <v/>
      </c>
      <c r="F296" s="160" t="str">
        <f t="shared" si="87"/>
        <v/>
      </c>
      <c r="G296" s="160" t="str">
        <f t="shared" si="87"/>
        <v/>
      </c>
      <c r="H296" s="384" t="str">
        <f t="shared" si="87"/>
        <v/>
      </c>
      <c r="I296" s="161" t="str">
        <f t="shared" si="87"/>
        <v/>
      </c>
      <c r="J296" s="113"/>
      <c r="K296" s="129" t="s">
        <v>275</v>
      </c>
      <c r="L296" s="247" t="str">
        <f t="shared" si="86"/>
        <v/>
      </c>
      <c r="M296" s="509"/>
      <c r="N296" s="113"/>
      <c r="O296" s="385"/>
      <c r="P296" s="113"/>
      <c r="Q296" s="242"/>
      <c r="R296" s="242"/>
      <c r="S296" s="242"/>
      <c r="T296" s="387"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149999999999999" customHeight="1">
      <c r="A297" s="109">
        <v>25</v>
      </c>
      <c r="B297" s="508"/>
      <c r="C297" s="113"/>
      <c r="D297" s="113"/>
      <c r="E297" s="386" t="str">
        <f t="shared" si="87"/>
        <v/>
      </c>
      <c r="F297" s="169" t="str">
        <f t="shared" si="87"/>
        <v/>
      </c>
      <c r="G297" s="169" t="str">
        <f t="shared" si="87"/>
        <v/>
      </c>
      <c r="H297" s="387" t="str">
        <f t="shared" si="87"/>
        <v/>
      </c>
      <c r="I297" s="171" t="str">
        <f t="shared" si="87"/>
        <v/>
      </c>
      <c r="J297" s="113"/>
      <c r="K297" s="129" t="s">
        <v>277</v>
      </c>
      <c r="L297" s="388" t="str">
        <f t="shared" si="86"/>
        <v/>
      </c>
      <c r="M297" s="509"/>
      <c r="N297" s="113"/>
      <c r="O297" s="385"/>
      <c r="P297" s="113"/>
      <c r="Q297" s="242"/>
      <c r="R297" s="242"/>
      <c r="S297" s="242"/>
      <c r="T297" s="387" t="str">
        <f>IF(Q297="","",Q297/$T$293)</f>
        <v/>
      </c>
      <c r="U297" s="350" t="str">
        <f>IF(Q297="","",($T$292*Tables!$C$107+Tables!$C$108)*Q297)</f>
        <v/>
      </c>
      <c r="V297" s="113"/>
      <c r="W297" s="129" t="s">
        <v>277</v>
      </c>
      <c r="X297" s="389" t="str">
        <f>IF(Q293="","",HLOOKUP(Q293,Tables!A130:F131,2,FALSE))</f>
        <v>TBD</v>
      </c>
      <c r="Y297" s="125"/>
      <c r="AA297" s="259"/>
      <c r="AB297" s="259"/>
      <c r="AC297" s="259"/>
      <c r="AD297" s="259"/>
      <c r="AE297" s="259" t="e">
        <f t="shared" si="88"/>
        <v>#DIV/0!</v>
      </c>
      <c r="AF297" s="259" t="e">
        <f t="shared" si="89"/>
        <v>#DIV/0!</v>
      </c>
    </row>
    <row r="298" spans="1:32" ht="16.149999999999999" customHeight="1">
      <c r="A298" s="109">
        <v>26</v>
      </c>
      <c r="B298" s="508"/>
      <c r="C298" s="113"/>
      <c r="D298" s="113"/>
      <c r="E298" s="386" t="str">
        <f t="shared" si="87"/>
        <v/>
      </c>
      <c r="F298" s="169" t="str">
        <f t="shared" si="87"/>
        <v/>
      </c>
      <c r="G298" s="169" t="str">
        <f t="shared" si="87"/>
        <v/>
      </c>
      <c r="H298" s="387" t="str">
        <f t="shared" si="87"/>
        <v/>
      </c>
      <c r="I298" s="171" t="str">
        <f t="shared" si="87"/>
        <v/>
      </c>
      <c r="J298" s="113"/>
      <c r="K298" s="129" t="s">
        <v>278</v>
      </c>
      <c r="L298" s="247" t="str">
        <f t="shared" si="86"/>
        <v/>
      </c>
      <c r="M298" s="509"/>
      <c r="N298" s="113"/>
      <c r="O298" s="385"/>
      <c r="P298" s="113"/>
      <c r="Q298" s="242"/>
      <c r="R298" s="242"/>
      <c r="S298" s="242"/>
      <c r="T298" s="387"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149999999999999" customHeight="1" thickBot="1">
      <c r="A299" s="109">
        <v>27</v>
      </c>
      <c r="B299" s="508"/>
      <c r="C299" s="113"/>
      <c r="D299" s="113"/>
      <c r="E299" s="390" t="str">
        <f t="shared" si="87"/>
        <v/>
      </c>
      <c r="F299" s="214" t="str">
        <f t="shared" si="87"/>
        <v/>
      </c>
      <c r="G299" s="214" t="str">
        <f t="shared" si="87"/>
        <v/>
      </c>
      <c r="H299" s="391" t="str">
        <f t="shared" si="87"/>
        <v/>
      </c>
      <c r="I299" s="215" t="str">
        <f t="shared" si="87"/>
        <v/>
      </c>
      <c r="J299" s="113"/>
      <c r="K299" s="129" t="s">
        <v>279</v>
      </c>
      <c r="L299" s="247" t="str">
        <f t="shared" si="86"/>
        <v/>
      </c>
      <c r="M299" s="509"/>
      <c r="N299" s="113"/>
      <c r="O299" s="385"/>
      <c r="P299" s="113"/>
      <c r="Q299" s="242"/>
      <c r="R299" s="242"/>
      <c r="S299" s="242"/>
      <c r="T299" s="387" t="str">
        <f>IF(Q299="","",Q299/$T$293)</f>
        <v/>
      </c>
      <c r="U299" s="350" t="str">
        <f>IF(Q299="","",($T$292*Tables!$C$107+Tables!$C$108)*Q299)</f>
        <v/>
      </c>
      <c r="V299" s="113"/>
      <c r="W299" s="129" t="s">
        <v>279</v>
      </c>
      <c r="X299" s="393" t="str">
        <f>IF(AB87="","",AB87)</f>
        <v/>
      </c>
      <c r="Y299" s="125"/>
    </row>
    <row r="300" spans="1:32" ht="16.149999999999999" customHeight="1">
      <c r="A300" s="109">
        <v>28</v>
      </c>
      <c r="B300" s="508"/>
      <c r="C300" s="113"/>
      <c r="D300" s="129" t="s">
        <v>243</v>
      </c>
      <c r="E300" s="386" t="str">
        <f t="shared" si="87"/>
        <v/>
      </c>
      <c r="F300" s="169" t="str">
        <f t="shared" si="87"/>
        <v/>
      </c>
      <c r="G300" s="350" t="str">
        <f t="shared" si="87"/>
        <v/>
      </c>
      <c r="H300" s="387" t="str">
        <f t="shared" si="87"/>
        <v/>
      </c>
      <c r="I300" s="171" t="str">
        <f t="shared" si="87"/>
        <v/>
      </c>
      <c r="J300" s="113"/>
      <c r="K300" s="129" t="s">
        <v>281</v>
      </c>
      <c r="L300" s="392" t="str">
        <f t="shared" si="86"/>
        <v/>
      </c>
      <c r="M300" s="509"/>
      <c r="N300" s="113"/>
      <c r="O300" s="385"/>
      <c r="P300" s="129" t="s">
        <v>243</v>
      </c>
      <c r="Q300" s="170" t="str">
        <f>IF(OR(Q296="",Q297="",Q298="",Q299=""),"",AVERAGE(Q296:Q299))</f>
        <v/>
      </c>
      <c r="R300" s="353" t="str">
        <f>IF(OR(R296="",R297="",R298="",R299=""),"",AVERAGE(R296:R299))</f>
        <v/>
      </c>
      <c r="S300" s="350" t="str">
        <f>IF(OR(S296="",S297="",S298="",S299=""),"",AVERAGE(S296:S299))</f>
        <v/>
      </c>
      <c r="T300" s="387" t="str">
        <f>IF(OR(T296="",T297="",T298="",T299=""),"",AVERAGE(T296:T299))</f>
        <v/>
      </c>
      <c r="U300" s="350" t="str">
        <f>IF(OR(U296="",U297="",U298="",U299=""),"",AVERAGE(U296:U299))</f>
        <v/>
      </c>
      <c r="V300" s="113"/>
      <c r="W300" s="129" t="s">
        <v>281</v>
      </c>
      <c r="X300" s="108" t="str">
        <f>IF(OR(X298="",X299=""),"",(X298-X299)/X299)</f>
        <v/>
      </c>
      <c r="Y300" s="125"/>
    </row>
    <row r="301" spans="1:32" ht="16.149999999999999" customHeight="1" thickBot="1">
      <c r="A301" s="109">
        <v>29</v>
      </c>
      <c r="B301" s="508"/>
      <c r="C301" s="113"/>
      <c r="D301" s="129" t="s">
        <v>283</v>
      </c>
      <c r="E301" s="315" t="str">
        <f t="shared" si="87"/>
        <v/>
      </c>
      <c r="F301" s="316" t="str">
        <f t="shared" si="87"/>
        <v/>
      </c>
      <c r="G301" s="316" t="str">
        <f t="shared" si="87"/>
        <v/>
      </c>
      <c r="H301" s="316" t="str">
        <f t="shared" si="87"/>
        <v/>
      </c>
      <c r="I301" s="318" t="str">
        <f t="shared" si="87"/>
        <v/>
      </c>
      <c r="J301" s="113"/>
      <c r="K301" s="113"/>
      <c r="L301" s="113"/>
      <c r="M301" s="509"/>
      <c r="N301" s="113"/>
      <c r="O301" s="385"/>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149999999999999" customHeight="1">
      <c r="A302" s="109">
        <v>30</v>
      </c>
      <c r="B302" s="508"/>
      <c r="C302" s="113"/>
      <c r="D302" s="208" t="s">
        <v>158</v>
      </c>
      <c r="E302" s="173" t="s">
        <v>284</v>
      </c>
      <c r="F302" s="113"/>
      <c r="G302" s="113"/>
      <c r="H302" s="113"/>
      <c r="I302" s="113"/>
      <c r="J302" s="113"/>
      <c r="K302" s="129" t="s">
        <v>285</v>
      </c>
      <c r="L302" s="108" t="str">
        <f>IF(X394="","",X394)</f>
        <v/>
      </c>
      <c r="M302" s="509"/>
      <c r="N302" s="113"/>
      <c r="O302" s="123"/>
      <c r="P302" s="173"/>
      <c r="Q302" s="173"/>
      <c r="R302" s="173"/>
      <c r="S302" s="173"/>
      <c r="T302" s="173"/>
      <c r="U302" s="173"/>
      <c r="V302" s="113"/>
      <c r="W302" s="113"/>
      <c r="X302" s="113"/>
      <c r="Y302" s="125"/>
    </row>
    <row r="303" spans="1:32" ht="16.149999999999999" customHeight="1">
      <c r="A303" s="109">
        <v>31</v>
      </c>
      <c r="B303" s="508"/>
      <c r="C303" s="113"/>
      <c r="D303" s="113"/>
      <c r="E303" s="173" t="s">
        <v>286</v>
      </c>
      <c r="F303" s="113"/>
      <c r="G303" s="113"/>
      <c r="H303" s="113"/>
      <c r="I303" s="113"/>
      <c r="J303" s="113"/>
      <c r="K303" s="129" t="s">
        <v>287</v>
      </c>
      <c r="L303" s="539" t="str">
        <f>IF(X395="","",X395)</f>
        <v/>
      </c>
      <c r="M303" s="509"/>
      <c r="N303" s="113"/>
      <c r="O303" s="123"/>
      <c r="P303" s="533" t="s">
        <v>158</v>
      </c>
      <c r="Q303" s="173" t="s">
        <v>284</v>
      </c>
      <c r="R303" s="113"/>
      <c r="S303" s="113"/>
      <c r="T303" s="113"/>
      <c r="U303" s="113"/>
      <c r="V303" s="113"/>
      <c r="W303" s="129" t="s">
        <v>285</v>
      </c>
      <c r="X303" s="108" t="str">
        <f>IF(X298="","",(X298-S300)/S300)</f>
        <v/>
      </c>
      <c r="Y303" s="125"/>
    </row>
    <row r="304" spans="1:32" ht="16.149999999999999" customHeight="1" thickBot="1">
      <c r="A304" s="109">
        <v>32</v>
      </c>
      <c r="B304" s="516"/>
      <c r="C304" s="135"/>
      <c r="D304" s="135"/>
      <c r="E304" s="135"/>
      <c r="F304" s="135"/>
      <c r="G304" s="135"/>
      <c r="H304" s="135"/>
      <c r="I304" s="135"/>
      <c r="J304" s="135"/>
      <c r="K304" s="135"/>
      <c r="L304" s="135"/>
      <c r="M304" s="518"/>
      <c r="N304" s="113"/>
      <c r="O304" s="123"/>
      <c r="P304" s="173"/>
      <c r="Q304" s="173" t="s">
        <v>286</v>
      </c>
      <c r="R304" s="113"/>
      <c r="S304" s="113"/>
      <c r="T304" s="113"/>
      <c r="U304" s="113"/>
      <c r="V304" s="113"/>
      <c r="W304" s="129" t="s">
        <v>287</v>
      </c>
      <c r="X304" s="389" t="str">
        <f>IF(OR(X298="",Q300=""),"",3/(X298/Q300))</f>
        <v/>
      </c>
      <c r="Y304" s="125"/>
    </row>
    <row r="305" spans="1:25" ht="16.149999999999999" customHeight="1" thickBot="1">
      <c r="A305" s="109">
        <v>33</v>
      </c>
      <c r="B305" s="508"/>
      <c r="C305" s="165" t="str">
        <f>O397</f>
        <v>Mean Glandular Dose – Tomo biopsy</v>
      </c>
      <c r="D305" s="113"/>
      <c r="E305" s="113"/>
      <c r="F305" s="113"/>
      <c r="G305" s="113"/>
      <c r="H305" s="113"/>
      <c r="I305" s="113"/>
      <c r="J305" s="113"/>
      <c r="K305" s="113"/>
      <c r="L305" s="113"/>
      <c r="M305" s="509"/>
      <c r="N305" s="113"/>
      <c r="O305" s="134"/>
      <c r="P305" s="394"/>
      <c r="Q305" s="394"/>
      <c r="R305" s="135"/>
      <c r="S305" s="135"/>
      <c r="T305" s="394"/>
      <c r="U305" s="394"/>
      <c r="V305" s="135"/>
      <c r="W305" s="395"/>
      <c r="X305" s="135"/>
      <c r="Y305" s="136"/>
    </row>
    <row r="306" spans="1:25" ht="16.149999999999999" customHeight="1">
      <c r="A306" s="109">
        <v>34</v>
      </c>
      <c r="B306" s="508"/>
      <c r="C306" s="113"/>
      <c r="D306" s="129" t="s">
        <v>261</v>
      </c>
      <c r="E306" s="491">
        <f>IF(Q398="","",Q398)</f>
        <v>0</v>
      </c>
      <c r="F306" s="201"/>
      <c r="G306" s="129" t="s">
        <v>172</v>
      </c>
      <c r="H306" s="245" t="str">
        <f>IF(T398="","",T398)</f>
        <v/>
      </c>
      <c r="I306" s="113"/>
      <c r="J306" s="113"/>
      <c r="K306" s="113"/>
      <c r="L306" s="113"/>
      <c r="M306" s="509"/>
      <c r="N306" s="113"/>
      <c r="O306" s="241" t="s">
        <v>288</v>
      </c>
      <c r="P306" s="115"/>
      <c r="Q306" s="115"/>
      <c r="R306" s="115"/>
      <c r="S306" s="115"/>
      <c r="T306" s="115"/>
      <c r="U306" s="115"/>
      <c r="V306" s="115"/>
      <c r="W306" s="115"/>
      <c r="X306" s="115"/>
      <c r="Y306" s="116"/>
    </row>
    <row r="307" spans="1:25" ht="16.149999999999999" customHeight="1">
      <c r="A307" s="109">
        <v>35</v>
      </c>
      <c r="B307" s="508"/>
      <c r="C307" s="113"/>
      <c r="D307" s="129" t="s">
        <v>264</v>
      </c>
      <c r="E307" s="485" t="str">
        <f>IF(Q399="","",Q399)</f>
        <v/>
      </c>
      <c r="F307" s="201"/>
      <c r="G307" s="129" t="s">
        <v>262</v>
      </c>
      <c r="H307" s="485" t="str">
        <f>IF(T399="","",T399)</f>
        <v/>
      </c>
      <c r="I307" s="113"/>
      <c r="J307" s="113"/>
      <c r="K307" s="113"/>
      <c r="L307" s="113"/>
      <c r="M307" s="509"/>
      <c r="N307" s="113"/>
      <c r="O307" s="123"/>
      <c r="P307" s="129" t="s">
        <v>261</v>
      </c>
      <c r="Q307" s="245">
        <f>$Q$292</f>
        <v>0</v>
      </c>
      <c r="R307" s="113"/>
      <c r="S307" s="129" t="s">
        <v>172</v>
      </c>
      <c r="T307" s="244">
        <v>29</v>
      </c>
      <c r="U307" s="113"/>
      <c r="V307" s="173"/>
      <c r="W307" s="173"/>
      <c r="X307" s="113"/>
      <c r="Y307" s="125"/>
    </row>
    <row r="308" spans="1:25" ht="16.149999999999999" customHeight="1">
      <c r="A308" s="109">
        <v>36</v>
      </c>
      <c r="B308" s="508"/>
      <c r="C308" s="113"/>
      <c r="D308" s="113"/>
      <c r="E308" s="113"/>
      <c r="F308" s="113"/>
      <c r="G308" s="128" t="s">
        <v>230</v>
      </c>
      <c r="H308" s="113"/>
      <c r="I308" s="113" t="s">
        <v>267</v>
      </c>
      <c r="J308" s="113"/>
      <c r="K308" s="113"/>
      <c r="L308" s="113"/>
      <c r="M308" s="509"/>
      <c r="N308" s="113"/>
      <c r="O308" s="123"/>
      <c r="P308" s="129" t="s">
        <v>264</v>
      </c>
      <c r="Q308" s="244" t="s">
        <v>575</v>
      </c>
      <c r="R308" s="113"/>
      <c r="S308" s="129" t="s">
        <v>262</v>
      </c>
      <c r="T308" s="244">
        <v>160</v>
      </c>
      <c r="U308" s="113"/>
      <c r="V308" s="113"/>
      <c r="W308" s="113"/>
      <c r="X308" s="113"/>
      <c r="Y308" s="125"/>
    </row>
    <row r="309" spans="1:25" ht="16.149999999999999" customHeight="1" thickBot="1">
      <c r="A309" s="109">
        <v>37</v>
      </c>
      <c r="B309" s="508"/>
      <c r="C309" s="113"/>
      <c r="D309" s="128"/>
      <c r="E309" s="128" t="s">
        <v>49</v>
      </c>
      <c r="F309" s="128" t="s">
        <v>235</v>
      </c>
      <c r="G309" s="128" t="s">
        <v>236</v>
      </c>
      <c r="H309" s="128" t="s">
        <v>270</v>
      </c>
      <c r="I309" s="128" t="s">
        <v>271</v>
      </c>
      <c r="J309" s="113"/>
      <c r="K309" s="129" t="s">
        <v>272</v>
      </c>
      <c r="L309" s="246" t="str">
        <f t="shared" ref="L309:L314" si="90">IF(X401="","",X401)</f>
        <v/>
      </c>
      <c r="M309" s="509"/>
      <c r="N309" s="113"/>
      <c r="O309" s="123"/>
      <c r="P309" s="113"/>
      <c r="Q309" s="113"/>
      <c r="R309" s="113"/>
      <c r="S309" s="128" t="s">
        <v>230</v>
      </c>
      <c r="T309" s="113"/>
      <c r="U309" s="113" t="s">
        <v>267</v>
      </c>
      <c r="V309" s="113"/>
      <c r="W309" s="113"/>
      <c r="X309" s="113"/>
      <c r="Y309" s="125"/>
    </row>
    <row r="310" spans="1:25" ht="16.149999999999999" customHeight="1">
      <c r="A310" s="109">
        <v>38</v>
      </c>
      <c r="B310" s="508"/>
      <c r="C310" s="113"/>
      <c r="D310" s="113"/>
      <c r="E310" s="383" t="str">
        <f t="shared" ref="E310:I315" si="91">IF(Q402="","",Q402)</f>
        <v/>
      </c>
      <c r="F310" s="160" t="str">
        <f t="shared" si="91"/>
        <v/>
      </c>
      <c r="G310" s="160" t="str">
        <f t="shared" si="91"/>
        <v/>
      </c>
      <c r="H310" s="384" t="str">
        <f t="shared" si="91"/>
        <v/>
      </c>
      <c r="I310" s="161" t="str">
        <f t="shared" si="91"/>
        <v/>
      </c>
      <c r="J310" s="113"/>
      <c r="K310" s="129" t="s">
        <v>275</v>
      </c>
      <c r="L310" s="247" t="str">
        <f t="shared" si="90"/>
        <v/>
      </c>
      <c r="M310" s="509"/>
      <c r="N310" s="113"/>
      <c r="O310" s="385"/>
      <c r="P310" s="113"/>
      <c r="Q310" s="128" t="s">
        <v>49</v>
      </c>
      <c r="R310" s="128" t="s">
        <v>235</v>
      </c>
      <c r="S310" s="128" t="s">
        <v>236</v>
      </c>
      <c r="T310" s="128" t="s">
        <v>270</v>
      </c>
      <c r="U310" s="128" t="s">
        <v>271</v>
      </c>
      <c r="V310" s="113"/>
      <c r="W310" s="129" t="s">
        <v>272</v>
      </c>
      <c r="X310" s="246">
        <f>IF(T307="","",T307*Tables!$I$121+Tables!$I$122)</f>
        <v>0</v>
      </c>
      <c r="Y310" s="125"/>
    </row>
    <row r="311" spans="1:25" ht="16.149999999999999" customHeight="1">
      <c r="A311" s="109">
        <v>39</v>
      </c>
      <c r="B311" s="508"/>
      <c r="C311" s="113"/>
      <c r="D311" s="113"/>
      <c r="E311" s="386" t="str">
        <f t="shared" si="91"/>
        <v/>
      </c>
      <c r="F311" s="169" t="str">
        <f t="shared" si="91"/>
        <v/>
      </c>
      <c r="G311" s="169" t="str">
        <f t="shared" si="91"/>
        <v/>
      </c>
      <c r="H311" s="387" t="str">
        <f t="shared" si="91"/>
        <v/>
      </c>
      <c r="I311" s="171" t="str">
        <f t="shared" si="91"/>
        <v/>
      </c>
      <c r="J311" s="113"/>
      <c r="K311" s="129" t="s">
        <v>277</v>
      </c>
      <c r="L311" s="388" t="str">
        <f t="shared" si="90"/>
        <v/>
      </c>
      <c r="M311" s="509"/>
      <c r="N311" s="113"/>
      <c r="O311" s="385"/>
      <c r="P311" s="113"/>
      <c r="Q311" s="242"/>
      <c r="R311" s="242"/>
      <c r="S311" s="242"/>
      <c r="T311" s="387" t="str">
        <f>IF(Q311="","",Q311/$T$308)</f>
        <v/>
      </c>
      <c r="U311" s="350" t="str">
        <f>IF(Q311="","",($T$307*Tables!$K$107+Tables!$K$108)*Q311)</f>
        <v/>
      </c>
      <c r="V311" s="113"/>
      <c r="W311" s="129" t="s">
        <v>275</v>
      </c>
      <c r="X311" s="246" t="str">
        <f>IF(U315="","",U315)</f>
        <v/>
      </c>
      <c r="Y311" s="125"/>
    </row>
    <row r="312" spans="1:25" ht="16.149999999999999" customHeight="1">
      <c r="A312" s="109">
        <v>40</v>
      </c>
      <c r="B312" s="508"/>
      <c r="C312" s="113"/>
      <c r="D312" s="113"/>
      <c r="E312" s="386" t="str">
        <f t="shared" si="91"/>
        <v/>
      </c>
      <c r="F312" s="169" t="str">
        <f t="shared" si="91"/>
        <v/>
      </c>
      <c r="G312" s="169" t="str">
        <f t="shared" si="91"/>
        <v/>
      </c>
      <c r="H312" s="387" t="str">
        <f t="shared" si="91"/>
        <v/>
      </c>
      <c r="I312" s="171" t="str">
        <f t="shared" si="91"/>
        <v/>
      </c>
      <c r="J312" s="113"/>
      <c r="K312" s="129" t="s">
        <v>278</v>
      </c>
      <c r="L312" s="247" t="str">
        <f t="shared" si="90"/>
        <v/>
      </c>
      <c r="M312" s="509"/>
      <c r="N312" s="113"/>
      <c r="O312" s="385"/>
      <c r="P312" s="113"/>
      <c r="Q312" s="242"/>
      <c r="R312" s="242"/>
      <c r="S312" s="242"/>
      <c r="T312" s="387" t="str">
        <f>IF(Q312="","",Q312/$T$308)</f>
        <v/>
      </c>
      <c r="U312" s="350" t="str">
        <f>IF(Q312="","",($T$307*Tables!$K$107+Tables!$K$108)*Q312)</f>
        <v/>
      </c>
      <c r="V312" s="113"/>
      <c r="W312" s="129" t="s">
        <v>277</v>
      </c>
      <c r="X312" s="389" t="e">
        <f>IF(Q308="","",HLOOKUP(Q308,Tables!A130:F131,2,FALSE))</f>
        <v>#N/A</v>
      </c>
      <c r="Y312" s="125"/>
    </row>
    <row r="313" spans="1:25" ht="16.149999999999999" customHeight="1" thickBot="1">
      <c r="A313" s="109">
        <v>41</v>
      </c>
      <c r="B313" s="508"/>
      <c r="C313" s="113"/>
      <c r="D313" s="113"/>
      <c r="E313" s="390" t="str">
        <f t="shared" si="91"/>
        <v/>
      </c>
      <c r="F313" s="214" t="str">
        <f t="shared" si="91"/>
        <v/>
      </c>
      <c r="G313" s="214" t="str">
        <f t="shared" si="91"/>
        <v/>
      </c>
      <c r="H313" s="391" t="str">
        <f t="shared" si="91"/>
        <v/>
      </c>
      <c r="I313" s="215" t="str">
        <f t="shared" si="91"/>
        <v/>
      </c>
      <c r="J313" s="113"/>
      <c r="K313" s="129" t="s">
        <v>279</v>
      </c>
      <c r="L313" s="247" t="str">
        <f t="shared" si="90"/>
        <v/>
      </c>
      <c r="M313" s="509"/>
      <c r="N313" s="113"/>
      <c r="O313" s="385"/>
      <c r="P313" s="113"/>
      <c r="Q313" s="242"/>
      <c r="R313" s="242"/>
      <c r="S313" s="242"/>
      <c r="T313" s="387" t="str">
        <f>IF(Q313="","",Q313/$T$308)</f>
        <v/>
      </c>
      <c r="U313" s="350" t="str">
        <f>IF(Q313="","",($T$307*Tables!$K$107+Tables!$K$108)*Q313)</f>
        <v/>
      </c>
      <c r="V313" s="113"/>
      <c r="W313" s="129" t="s">
        <v>278</v>
      </c>
      <c r="X313" s="246" t="e">
        <f>IF($O$33=2,"NA",IF(OR(X311="",X312=""),"",(X312*(X311/8.76))/100))</f>
        <v>#N/A</v>
      </c>
      <c r="Y313" s="125"/>
    </row>
    <row r="314" spans="1:25" ht="16.149999999999999" customHeight="1">
      <c r="A314" s="109">
        <v>42</v>
      </c>
      <c r="B314" s="508"/>
      <c r="C314" s="113"/>
      <c r="D314" s="129" t="s">
        <v>243</v>
      </c>
      <c r="E314" s="386" t="str">
        <f t="shared" si="91"/>
        <v/>
      </c>
      <c r="F314" s="169" t="str">
        <f t="shared" si="91"/>
        <v/>
      </c>
      <c r="G314" s="350" t="str">
        <f t="shared" si="91"/>
        <v/>
      </c>
      <c r="H314" s="387" t="str">
        <f t="shared" si="91"/>
        <v/>
      </c>
      <c r="I314" s="171" t="str">
        <f t="shared" si="91"/>
        <v/>
      </c>
      <c r="J314" s="113"/>
      <c r="K314" s="129" t="s">
        <v>281</v>
      </c>
      <c r="L314" s="392" t="str">
        <f t="shared" si="90"/>
        <v/>
      </c>
      <c r="M314" s="509"/>
      <c r="N314" s="113"/>
      <c r="O314" s="385"/>
      <c r="P314" s="113"/>
      <c r="Q314" s="242"/>
      <c r="R314" s="242"/>
      <c r="S314" s="242"/>
      <c r="T314" s="387" t="str">
        <f>IF(Q314="","",Q314/$T$308)</f>
        <v/>
      </c>
      <c r="U314" s="350" t="str">
        <f>IF(Q314="","",($T$307*Tables!$K$107+Tables!$K$108)*Q314)</f>
        <v/>
      </c>
      <c r="V314" s="113"/>
      <c r="W314" s="129" t="s">
        <v>279</v>
      </c>
      <c r="X314" s="393" t="str">
        <f>IF(AB90="","",AB90)</f>
        <v/>
      </c>
      <c r="Y314" s="125"/>
    </row>
    <row r="315" spans="1:25" ht="16.149999999999999" customHeight="1" thickBot="1">
      <c r="A315" s="109">
        <v>43</v>
      </c>
      <c r="B315" s="508"/>
      <c r="C315" s="113"/>
      <c r="D315" s="129" t="s">
        <v>283</v>
      </c>
      <c r="E315" s="315" t="str">
        <f t="shared" si="91"/>
        <v/>
      </c>
      <c r="F315" s="316" t="str">
        <f t="shared" si="91"/>
        <v/>
      </c>
      <c r="G315" s="316" t="str">
        <f t="shared" si="91"/>
        <v/>
      </c>
      <c r="H315" s="316" t="str">
        <f t="shared" si="91"/>
        <v/>
      </c>
      <c r="I315" s="318" t="str">
        <f t="shared" si="91"/>
        <v/>
      </c>
      <c r="J315" s="113"/>
      <c r="K315" s="113"/>
      <c r="L315" s="113"/>
      <c r="M315" s="509"/>
      <c r="N315" s="113"/>
      <c r="O315" s="385"/>
      <c r="P315" s="129" t="s">
        <v>243</v>
      </c>
      <c r="Q315" s="170" t="str">
        <f>IF(OR(Q311="",Q312="",Q313="",Q314=""),"",AVERAGE(Q311:Q314))</f>
        <v/>
      </c>
      <c r="R315" s="353" t="str">
        <f>IF(OR(R311="",R312="",R313="",R314=""),"",AVERAGE(R311:R314))</f>
        <v/>
      </c>
      <c r="S315" s="350" t="str">
        <f>IF(OR(S311="",S312="",S313="",S314=""),"",AVERAGE(S311:S314))</f>
        <v/>
      </c>
      <c r="T315" s="387" t="str">
        <f>IF(OR(T311="",T312="",T313="",T314=""),"",AVERAGE(T311:T314))</f>
        <v/>
      </c>
      <c r="U315" s="350" t="str">
        <f>IF(OR(U311="",U312="",U313="",U314=""),"",AVERAGE(U311:U314))</f>
        <v/>
      </c>
      <c r="V315" s="113"/>
      <c r="W315" s="129" t="s">
        <v>281</v>
      </c>
      <c r="X315" s="108" t="e">
        <f>IF(OR(X313="",X313="NA",X314="",X314="NA"),"",(X313-X314)/X314)</f>
        <v>#N/A</v>
      </c>
      <c r="Y315" s="125"/>
    </row>
    <row r="316" spans="1:25" ht="16.149999999999999" customHeight="1">
      <c r="A316" s="109">
        <v>44</v>
      </c>
      <c r="B316" s="508"/>
      <c r="C316" s="113"/>
      <c r="D316" s="208" t="s">
        <v>158</v>
      </c>
      <c r="E316" s="173" t="s">
        <v>284</v>
      </c>
      <c r="F316" s="113"/>
      <c r="G316" s="113"/>
      <c r="H316" s="113"/>
      <c r="I316" s="113"/>
      <c r="J316" s="113"/>
      <c r="K316" s="129" t="s">
        <v>285</v>
      </c>
      <c r="L316" s="108" t="str">
        <f>IF(X409="","",X409)</f>
        <v/>
      </c>
      <c r="M316" s="509"/>
      <c r="N316" s="113"/>
      <c r="O316" s="385"/>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149999999999999" customHeight="1">
      <c r="A317" s="109">
        <v>45</v>
      </c>
      <c r="B317" s="508"/>
      <c r="C317" s="113"/>
      <c r="D317" s="113"/>
      <c r="E317" s="173" t="s">
        <v>286</v>
      </c>
      <c r="F317" s="113"/>
      <c r="G317" s="113"/>
      <c r="H317" s="113"/>
      <c r="I317" s="113"/>
      <c r="J317" s="113"/>
      <c r="K317" s="129" t="s">
        <v>287</v>
      </c>
      <c r="L317" s="389" t="str">
        <f>IF(X410="","",X410)</f>
        <v/>
      </c>
      <c r="M317" s="509"/>
      <c r="N317" s="113"/>
      <c r="O317" s="123"/>
      <c r="P317" s="173"/>
      <c r="Q317" s="173"/>
      <c r="R317" s="173"/>
      <c r="S317" s="173"/>
      <c r="T317" s="173"/>
      <c r="U317" s="173"/>
      <c r="V317" s="113"/>
      <c r="W317" s="113"/>
      <c r="X317" s="113"/>
      <c r="Y317" s="125"/>
    </row>
    <row r="318" spans="1:25" ht="16.149999999999999" customHeight="1" thickBot="1">
      <c r="A318" s="109">
        <v>46</v>
      </c>
      <c r="B318" s="516"/>
      <c r="C318" s="135"/>
      <c r="D318" s="135"/>
      <c r="E318" s="135"/>
      <c r="F318" s="135"/>
      <c r="G318" s="135"/>
      <c r="H318" s="135"/>
      <c r="I318" s="135"/>
      <c r="J318" s="135"/>
      <c r="K318" s="135"/>
      <c r="L318" s="135"/>
      <c r="M318" s="518"/>
      <c r="N318" s="113"/>
      <c r="O318" s="123"/>
      <c r="P318" s="533" t="s">
        <v>158</v>
      </c>
      <c r="Q318" s="173" t="s">
        <v>284</v>
      </c>
      <c r="R318" s="113"/>
      <c r="S318" s="113"/>
      <c r="T318" s="113"/>
      <c r="U318" s="113"/>
      <c r="V318" s="113"/>
      <c r="W318" s="129" t="s">
        <v>285</v>
      </c>
      <c r="X318" s="108" t="e">
        <f>IF(OR(X313="NA",X313=""),"",(X313-S315)/S315)</f>
        <v>#N/A</v>
      </c>
      <c r="Y318" s="125"/>
    </row>
    <row r="319" spans="1:25" ht="16.149999999999999" customHeight="1">
      <c r="A319" s="109">
        <v>47</v>
      </c>
      <c r="B319" s="508"/>
      <c r="C319" s="506" t="s">
        <v>695</v>
      </c>
      <c r="M319" s="509"/>
      <c r="N319" s="113"/>
      <c r="O319" s="123"/>
      <c r="P319" s="173"/>
      <c r="Q319" s="173" t="s">
        <v>286</v>
      </c>
      <c r="R319" s="113"/>
      <c r="S319" s="113"/>
      <c r="T319" s="113"/>
      <c r="U319" s="113"/>
      <c r="V319" s="113"/>
      <c r="W319" s="129" t="s">
        <v>287</v>
      </c>
      <c r="X319" s="389" t="e">
        <f>IF(OR(X313="",Q315=""),"",3/(X313/Q315))</f>
        <v>#N/A</v>
      </c>
      <c r="Y319" s="125"/>
    </row>
    <row r="320" spans="1:25" ht="16.149999999999999" customHeight="1">
      <c r="A320" s="109">
        <v>48</v>
      </c>
      <c r="B320" s="508"/>
      <c r="C320" s="173"/>
      <c r="D320" s="681" t="s">
        <v>256</v>
      </c>
      <c r="E320" s="681"/>
      <c r="M320" s="509"/>
      <c r="N320" s="113"/>
      <c r="O320" s="123"/>
      <c r="P320" s="201"/>
      <c r="Q320" s="201" t="s">
        <v>289</v>
      </c>
      <c r="R320" s="201"/>
      <c r="S320" s="201"/>
      <c r="T320" s="201"/>
      <c r="U320" s="201"/>
      <c r="V320" s="201"/>
      <c r="W320" s="201"/>
      <c r="X320" s="201"/>
      <c r="Y320" s="125"/>
    </row>
    <row r="321" spans="1:25" ht="16.149999999999999" customHeight="1" thickBot="1">
      <c r="A321" s="109">
        <v>49</v>
      </c>
      <c r="B321" s="508"/>
      <c r="C321" s="113"/>
      <c r="D321" s="128" t="s">
        <v>696</v>
      </c>
      <c r="E321" s="128" t="s">
        <v>697</v>
      </c>
      <c r="M321" s="509"/>
      <c r="N321" s="113"/>
      <c r="O321" s="123"/>
      <c r="P321" s="201"/>
      <c r="Q321" s="201"/>
      <c r="R321" s="201"/>
      <c r="S321" s="201"/>
      <c r="T321" s="201"/>
      <c r="U321" s="201"/>
      <c r="V321" s="201"/>
      <c r="W321" s="129"/>
      <c r="X321" s="396"/>
      <c r="Y321" s="125"/>
    </row>
    <row r="322" spans="1:25" ht="16.149999999999999" customHeight="1" thickBot="1">
      <c r="A322" s="109">
        <v>50</v>
      </c>
      <c r="B322" s="508"/>
      <c r="C322" s="129" t="s">
        <v>172</v>
      </c>
      <c r="D322" s="159" t="str">
        <f t="shared" ref="D322:D327" si="92">IF(V535="","",V535)</f>
        <v/>
      </c>
      <c r="E322" s="366" t="str">
        <f t="shared" ref="E322:E327" si="93">IF(X535="","",X535)</f>
        <v/>
      </c>
      <c r="M322" s="509"/>
      <c r="N322" s="113"/>
      <c r="O322" s="134"/>
      <c r="P322" s="394"/>
      <c r="Q322" s="394"/>
      <c r="R322" s="135"/>
      <c r="S322" s="135"/>
      <c r="T322" s="394"/>
      <c r="U322" s="394"/>
      <c r="V322" s="135"/>
      <c r="W322" s="201"/>
      <c r="X322" s="201"/>
      <c r="Y322" s="136"/>
    </row>
    <row r="323" spans="1:25" ht="16.149999999999999" customHeight="1">
      <c r="A323" s="109">
        <v>51</v>
      </c>
      <c r="B323" s="508"/>
      <c r="C323" s="129" t="s">
        <v>262</v>
      </c>
      <c r="D323" s="168" t="str">
        <f t="shared" si="92"/>
        <v/>
      </c>
      <c r="E323" s="351" t="str">
        <f t="shared" si="93"/>
        <v/>
      </c>
      <c r="M323" s="509"/>
      <c r="N323" s="113"/>
      <c r="O323" s="241" t="s">
        <v>290</v>
      </c>
      <c r="P323" s="397"/>
      <c r="Q323" s="397"/>
      <c r="R323" s="397"/>
      <c r="S323" s="397"/>
      <c r="T323" s="397"/>
      <c r="U323" s="397"/>
      <c r="V323" s="397"/>
      <c r="W323" s="397"/>
      <c r="X323" s="397"/>
      <c r="Y323" s="398"/>
    </row>
    <row r="324" spans="1:25" ht="16.149999999999999" customHeight="1">
      <c r="A324" s="109">
        <v>52</v>
      </c>
      <c r="B324" s="508"/>
      <c r="C324" s="129" t="s">
        <v>174</v>
      </c>
      <c r="D324" s="168" t="str">
        <f t="shared" si="92"/>
        <v/>
      </c>
      <c r="E324" s="351" t="str">
        <f t="shared" si="93"/>
        <v/>
      </c>
      <c r="M324" s="509"/>
      <c r="N324" s="113"/>
      <c r="O324" s="300"/>
      <c r="P324" s="129" t="s">
        <v>261</v>
      </c>
      <c r="Q324" s="245">
        <f>$Q$292</f>
        <v>0</v>
      </c>
      <c r="R324" s="201"/>
      <c r="S324" s="201"/>
      <c r="T324" s="201"/>
      <c r="U324" s="201"/>
      <c r="V324" s="201"/>
      <c r="W324" s="201"/>
      <c r="X324" s="201"/>
      <c r="Y324" s="281"/>
    </row>
    <row r="325" spans="1:25" ht="16.149999999999999" customHeight="1">
      <c r="A325" s="109">
        <v>53</v>
      </c>
      <c r="B325" s="508"/>
      <c r="C325" s="129" t="s">
        <v>266</v>
      </c>
      <c r="D325" s="168" t="str">
        <f t="shared" si="92"/>
        <v/>
      </c>
      <c r="E325" s="351" t="str">
        <f t="shared" si="93"/>
        <v/>
      </c>
      <c r="M325" s="509"/>
      <c r="N325" s="113"/>
      <c r="O325" s="300"/>
      <c r="P325" s="201"/>
      <c r="Q325" s="201"/>
      <c r="R325" s="201"/>
      <c r="S325" s="201"/>
      <c r="T325" s="201"/>
      <c r="U325" s="201"/>
      <c r="V325" s="201"/>
      <c r="W325" s="201"/>
      <c r="X325" s="201"/>
      <c r="Y325" s="281"/>
    </row>
    <row r="326" spans="1:25" ht="16.149999999999999" customHeight="1">
      <c r="A326" s="109">
        <v>54</v>
      </c>
      <c r="B326" s="508"/>
      <c r="C326" s="129" t="s">
        <v>269</v>
      </c>
      <c r="D326" s="168" t="str">
        <f t="shared" si="92"/>
        <v/>
      </c>
      <c r="E326" s="351" t="str">
        <f t="shared" si="93"/>
        <v/>
      </c>
      <c r="M326" s="509"/>
      <c r="N326" s="113"/>
      <c r="O326" s="123" t="s">
        <v>291</v>
      </c>
      <c r="P326" s="201"/>
      <c r="Q326" s="201"/>
      <c r="R326" s="201"/>
      <c r="S326" s="201"/>
      <c r="T326" s="201"/>
      <c r="U326" s="201"/>
      <c r="V326" s="201"/>
      <c r="W326" s="201"/>
      <c r="X326" s="201"/>
      <c r="Y326" s="281"/>
    </row>
    <row r="327" spans="1:25" ht="16.149999999999999" customHeight="1" thickBot="1">
      <c r="A327" s="109">
        <v>55</v>
      </c>
      <c r="B327" s="508"/>
      <c r="C327" s="129" t="s">
        <v>274</v>
      </c>
      <c r="D327" s="213" t="str">
        <f t="shared" si="92"/>
        <v/>
      </c>
      <c r="E327" s="362" t="str">
        <f t="shared" si="93"/>
        <v/>
      </c>
      <c r="M327" s="509"/>
      <c r="N327" s="113"/>
      <c r="O327" s="300"/>
      <c r="P327" s="129" t="s">
        <v>264</v>
      </c>
      <c r="Q327" s="245" t="str">
        <f>IF(Q293="","",Q293)</f>
        <v>W/Rh</v>
      </c>
      <c r="R327" s="201"/>
      <c r="S327" s="129" t="s">
        <v>172</v>
      </c>
      <c r="T327" s="245">
        <f>IF(T292="","",T292)</f>
        <v>28</v>
      </c>
      <c r="U327" s="201"/>
      <c r="V327" s="201"/>
      <c r="W327" s="201"/>
      <c r="X327" s="201"/>
      <c r="Y327" s="281"/>
    </row>
    <row r="328" spans="1:25" ht="16.149999999999999" customHeight="1">
      <c r="A328" s="109">
        <v>56</v>
      </c>
      <c r="B328" s="508"/>
      <c r="C328" s="208" t="s">
        <v>158</v>
      </c>
      <c r="D328" s="120" t="str">
        <f>Q543</f>
        <v>SBB Stereo - Must be able to see 5 fibers, 4 speck groups, 3.5 masses</v>
      </c>
      <c r="E328" s="113"/>
      <c r="M328" s="509"/>
      <c r="N328" s="113"/>
      <c r="O328" s="300"/>
      <c r="P328" s="201"/>
      <c r="Q328" s="201"/>
      <c r="R328" s="201"/>
      <c r="S328" s="129" t="s">
        <v>262</v>
      </c>
      <c r="T328" s="245">
        <f>IF(T293="","",T293)</f>
        <v>100</v>
      </c>
      <c r="U328" s="201"/>
      <c r="V328" s="201"/>
      <c r="W328" s="201"/>
      <c r="X328" s="201"/>
      <c r="Y328" s="281"/>
    </row>
    <row r="329" spans="1:25" ht="16.149999999999999" customHeight="1">
      <c r="A329" s="109">
        <v>57</v>
      </c>
      <c r="B329" s="508"/>
      <c r="D329" s="120" t="str">
        <f>Q544</f>
        <v>SBB Tomo - Must be able to see 3 fibers, 3 speck groups, 2.5 masses</v>
      </c>
      <c r="E329" s="113"/>
      <c r="M329" s="509"/>
      <c r="N329" s="113"/>
      <c r="O329" s="300"/>
      <c r="P329" s="201"/>
      <c r="Q329" s="113"/>
      <c r="R329" s="113"/>
      <c r="S329" s="128" t="s">
        <v>230</v>
      </c>
      <c r="T329" s="113"/>
      <c r="U329" s="113" t="s">
        <v>267</v>
      </c>
      <c r="V329" s="201"/>
      <c r="W329" s="201"/>
      <c r="X329" s="201"/>
      <c r="Y329" s="281"/>
    </row>
    <row r="330" spans="1:25" ht="16.149999999999999" customHeight="1">
      <c r="A330" s="109">
        <v>58</v>
      </c>
      <c r="B330" s="508"/>
      <c r="D330" s="376"/>
      <c r="E330" s="201"/>
      <c r="M330" s="509"/>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149999999999999" customHeight="1">
      <c r="A331" s="109">
        <v>59</v>
      </c>
      <c r="B331" s="508"/>
      <c r="M331" s="509"/>
      <c r="N331" s="113"/>
      <c r="O331" s="300"/>
      <c r="P331" s="201"/>
      <c r="Q331" s="242"/>
      <c r="R331" s="242"/>
      <c r="S331" s="242"/>
      <c r="T331" s="387" t="str">
        <f>IF(Q331="","",Q331/$T$328)</f>
        <v/>
      </c>
      <c r="U331" s="350" t="str">
        <f>IF(Q331="","",($T$327*Tables!$C$107+Tables!$C$108)*Q331)</f>
        <v/>
      </c>
      <c r="V331" s="201"/>
      <c r="W331" s="129" t="s">
        <v>275</v>
      </c>
      <c r="X331" s="246" t="str">
        <f>IF(U335="","",U335)</f>
        <v/>
      </c>
      <c r="Y331" s="281"/>
    </row>
    <row r="332" spans="1:25" ht="16.149999999999999" customHeight="1">
      <c r="A332" s="109">
        <v>60</v>
      </c>
      <c r="B332" s="508"/>
      <c r="M332" s="509"/>
      <c r="N332" s="113"/>
      <c r="O332" s="300"/>
      <c r="P332" s="201"/>
      <c r="Q332" s="242"/>
      <c r="R332" s="242"/>
      <c r="S332" s="242"/>
      <c r="T332" s="387" t="str">
        <f>IF(Q332="","",Q332/$T$328)</f>
        <v/>
      </c>
      <c r="U332" s="350" t="str">
        <f>IF(Q332="","",($T$327*Tables!$C$107+Tables!$C$108)*Q332)</f>
        <v/>
      </c>
      <c r="V332" s="201"/>
      <c r="W332" s="129" t="s">
        <v>277</v>
      </c>
      <c r="X332" s="389" t="str">
        <f>IF(Q327="","",HLOOKUP(Q327,Tables!G130:I131,2,FALSE))</f>
        <v>TBD</v>
      </c>
      <c r="Y332" s="281"/>
    </row>
    <row r="333" spans="1:25" ht="16.149999999999999" customHeight="1">
      <c r="A333" s="109">
        <v>61</v>
      </c>
      <c r="B333" s="508"/>
      <c r="M333" s="509"/>
      <c r="N333" s="113"/>
      <c r="O333" s="300"/>
      <c r="P333" s="201"/>
      <c r="Q333" s="242"/>
      <c r="R333" s="242"/>
      <c r="S333" s="242"/>
      <c r="T333" s="387" t="str">
        <f>IF(Q333="","",Q333/$T$328)</f>
        <v/>
      </c>
      <c r="U333" s="350" t="str">
        <f>IF(Q333="","",($T$327*Tables!$C$107+Tables!$C$108)*Q333)</f>
        <v/>
      </c>
      <c r="V333" s="201"/>
      <c r="W333" s="129" t="s">
        <v>278</v>
      </c>
      <c r="X333" s="246" t="str">
        <f>IF($O$33=2,"NA",IF(OR(X331="",X332=""),"",(X332*(X331/8.76))/100))</f>
        <v/>
      </c>
      <c r="Y333" s="281"/>
    </row>
    <row r="334" spans="1:25" ht="16.149999999999999" customHeight="1">
      <c r="A334" s="109">
        <v>62</v>
      </c>
      <c r="B334" s="508"/>
      <c r="M334" s="509"/>
      <c r="N334" s="113"/>
      <c r="O334" s="300"/>
      <c r="P334" s="201"/>
      <c r="Q334" s="242"/>
      <c r="R334" s="242"/>
      <c r="S334" s="242"/>
      <c r="T334" s="387" t="str">
        <f>IF(Q334="","",Q334/$T$328)</f>
        <v/>
      </c>
      <c r="U334" s="350" t="str">
        <f>IF(Q334="","",($T$327*Tables!$C$107+Tables!$C$108)*Q334)</f>
        <v/>
      </c>
      <c r="V334" s="201"/>
      <c r="W334" s="129" t="s">
        <v>279</v>
      </c>
      <c r="X334" s="393" t="str">
        <f>IF(AB91="","",AB91)</f>
        <v/>
      </c>
      <c r="Y334" s="281"/>
    </row>
    <row r="335" spans="1:25" ht="16.149999999999999" customHeight="1">
      <c r="A335" s="109">
        <v>63</v>
      </c>
      <c r="B335" s="508"/>
      <c r="M335" s="509"/>
      <c r="N335" s="113"/>
      <c r="O335" s="300"/>
      <c r="P335" s="129" t="s">
        <v>243</v>
      </c>
      <c r="Q335" s="170" t="str">
        <f>IF(OR(Q331="",Q332="",Q333="",Q334=""),"",AVERAGE(Q331:Q334))</f>
        <v/>
      </c>
      <c r="R335" s="353" t="str">
        <f>IF(OR(R331="",R332="",R333="",R334=""),"",AVERAGE(R331:R334))</f>
        <v/>
      </c>
      <c r="S335" s="350" t="str">
        <f>IF(OR(S331="",S332="",S333="",S334=""),"",AVERAGE(S331:S334))</f>
        <v/>
      </c>
      <c r="T335" s="387" t="str">
        <f>IF(OR(T331="",T332="",T333="",T334=""),"",AVERAGE(T331:T334))</f>
        <v/>
      </c>
      <c r="U335" s="350" t="str">
        <f>IF(OR(U331="",U332="",U333="",U334=""),"",AVERAGE(U331:U334))</f>
        <v/>
      </c>
      <c r="V335" s="201"/>
      <c r="W335" s="129" t="s">
        <v>281</v>
      </c>
      <c r="X335" s="108" t="str">
        <f>IF(OR(X333="",X333="NA",X334="",X334="NA"),"",(X333-X334)/X334)</f>
        <v/>
      </c>
      <c r="Y335" s="281"/>
    </row>
    <row r="336" spans="1:25" ht="16.149999999999999" customHeight="1">
      <c r="A336" s="109">
        <v>64</v>
      </c>
      <c r="B336" s="508"/>
      <c r="M336" s="509"/>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149999999999999" customHeight="1">
      <c r="A337" s="109">
        <v>65</v>
      </c>
      <c r="B337" s="508"/>
      <c r="M337" s="509"/>
      <c r="N337" s="113"/>
      <c r="O337" s="300"/>
      <c r="P337" s="201"/>
      <c r="Q337" s="201"/>
      <c r="R337" s="201"/>
      <c r="S337" s="201"/>
      <c r="T337" s="201"/>
      <c r="U337" s="201"/>
      <c r="V337" s="201"/>
      <c r="W337" s="129" t="s">
        <v>285</v>
      </c>
      <c r="X337" s="108" t="str">
        <f>IF(OR(X333="",X333="NA"),"",(X333-S335)/S335)</f>
        <v/>
      </c>
      <c r="Y337" s="281"/>
    </row>
    <row r="338" spans="1:30" ht="16.149999999999999" customHeight="1" thickBot="1">
      <c r="A338" s="109">
        <v>66</v>
      </c>
      <c r="B338" s="510"/>
      <c r="C338" s="511"/>
      <c r="D338" s="511"/>
      <c r="E338" s="511"/>
      <c r="F338" s="511"/>
      <c r="G338" s="511"/>
      <c r="H338" s="511"/>
      <c r="I338" s="511"/>
      <c r="J338" s="511"/>
      <c r="K338" s="511"/>
      <c r="L338" s="511"/>
      <c r="M338" s="512"/>
      <c r="N338" s="113"/>
      <c r="O338" s="403" t="s">
        <v>292</v>
      </c>
      <c r="P338" s="201"/>
      <c r="Q338" s="201"/>
      <c r="R338" s="201"/>
      <c r="S338" s="201"/>
      <c r="T338" s="201"/>
      <c r="U338" s="201"/>
      <c r="V338" s="201"/>
      <c r="W338" s="201"/>
      <c r="X338" s="201"/>
      <c r="Y338" s="281"/>
    </row>
    <row r="339" spans="1:30" ht="16.149999999999999" customHeight="1" thickTop="1">
      <c r="A339" s="109">
        <v>67</v>
      </c>
      <c r="B339" s="113"/>
      <c r="C339" s="203" t="s">
        <v>3</v>
      </c>
      <c r="D339" s="475"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149999999999999"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149999999999999"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149999999999999"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149999999999999"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7" t="str">
        <f>IF(Q343="","",Q343/$T$340)</f>
        <v/>
      </c>
      <c r="U343" s="350" t="str">
        <f>IF(Q343="","",($T$339*Tables!$K$107+Tables!$K$108)*Q343)</f>
        <v/>
      </c>
      <c r="V343" s="201"/>
      <c r="W343" s="129" t="s">
        <v>275</v>
      </c>
      <c r="X343" s="246" t="str">
        <f>IF(U347="","",U347)</f>
        <v/>
      </c>
      <c r="Y343" s="281"/>
    </row>
    <row r="344" spans="1:30" ht="16.149999999999999" customHeight="1">
      <c r="A344" s="109">
        <v>4</v>
      </c>
      <c r="B344" s="157"/>
      <c r="C344" s="113"/>
      <c r="D344" s="129" t="s">
        <v>261</v>
      </c>
      <c r="E344" s="491" t="str">
        <f>IF($Q$292="","",$Q$292)</f>
        <v/>
      </c>
      <c r="F344" s="201"/>
      <c r="G344" s="129" t="s">
        <v>172</v>
      </c>
      <c r="H344" s="245">
        <f>IF(T292="","",T292)</f>
        <v>28</v>
      </c>
      <c r="I344" s="113"/>
      <c r="J344" s="113"/>
      <c r="K344" s="113"/>
      <c r="L344" s="113"/>
      <c r="M344" s="158"/>
      <c r="N344" s="113"/>
      <c r="O344" s="300"/>
      <c r="P344" s="201"/>
      <c r="Q344" s="242"/>
      <c r="R344" s="242"/>
      <c r="S344" s="242"/>
      <c r="T344" s="387" t="str">
        <f>IF(Q344="","",Q344/$T$340)</f>
        <v/>
      </c>
      <c r="U344" s="350" t="str">
        <f>IF(Q344="","",($T$339*Tables!$K$107+Tables!$K$108)*Q344)</f>
        <v/>
      </c>
      <c r="V344" s="201"/>
      <c r="W344" s="129" t="s">
        <v>277</v>
      </c>
      <c r="X344" s="389" t="e">
        <f>IF(Q339="","",HLOOKUP(Q339,Tables!G130:I131,2,FALSE))</f>
        <v>#N/A</v>
      </c>
      <c r="Y344" s="281"/>
    </row>
    <row r="345" spans="1:30" ht="16.149999999999999" customHeight="1">
      <c r="A345" s="109">
        <v>5</v>
      </c>
      <c r="B345" s="157"/>
      <c r="C345" s="113"/>
      <c r="D345" s="129" t="s">
        <v>264</v>
      </c>
      <c r="E345" s="485" t="str">
        <f>IF(Q293="","",Q293)</f>
        <v>W/Rh</v>
      </c>
      <c r="F345" s="201"/>
      <c r="G345" s="129" t="s">
        <v>262</v>
      </c>
      <c r="H345" s="485">
        <f>IF(T293="","",T293)</f>
        <v>100</v>
      </c>
      <c r="I345" s="113"/>
      <c r="J345" s="113"/>
      <c r="K345" s="113"/>
      <c r="L345" s="113"/>
      <c r="M345" s="158"/>
      <c r="N345" s="113"/>
      <c r="O345" s="300"/>
      <c r="P345" s="201"/>
      <c r="Q345" s="242"/>
      <c r="R345" s="242"/>
      <c r="S345" s="242"/>
      <c r="T345" s="387" t="str">
        <f>IF(Q345="","",Q345/$T$340)</f>
        <v/>
      </c>
      <c r="U345" s="350" t="str">
        <f>IF(Q345="","",($T$339*Tables!$K$107+Tables!$K$108)*Q345)</f>
        <v/>
      </c>
      <c r="V345" s="201"/>
      <c r="W345" s="129" t="s">
        <v>278</v>
      </c>
      <c r="X345" s="246" t="e">
        <f>IF($O$33=2,"NA",IF(OR(X343="",X344=""),"",(X344*(X343/8.76))/100))</f>
        <v>#N/A</v>
      </c>
      <c r="Y345" s="281"/>
    </row>
    <row r="346" spans="1:30" ht="16.149999999999999"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7" t="str">
        <f>IF(Q346="","",Q346/$T$340)</f>
        <v/>
      </c>
      <c r="U346" s="350" t="str">
        <f>IF(Q346="","",($T$339*Tables!$K$107+Tables!$K$108)*Q346)</f>
        <v/>
      </c>
      <c r="V346" s="201"/>
      <c r="W346" s="129" t="s">
        <v>279</v>
      </c>
      <c r="X346" s="393" t="str">
        <f>IF(AB92="","",AB92)</f>
        <v/>
      </c>
      <c r="Y346" s="281"/>
    </row>
    <row r="347" spans="1:30" ht="16.149999999999999"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7" t="str">
        <f>IF(OR(T343="",T344="",T345="",T346=""),"",AVERAGE(T343:T346))</f>
        <v/>
      </c>
      <c r="U347" s="350" t="str">
        <f>IF(OR(U343="",U344="",U345="",U346=""),"",AVERAGE(U343:U346))</f>
        <v/>
      </c>
      <c r="V347" s="201"/>
      <c r="W347" s="129" t="s">
        <v>281</v>
      </c>
      <c r="X347" s="108" t="e">
        <f>IF(OR(X345="",X345="NA",X346="",X346="NA"),"",(X345-X346)/X346)</f>
        <v>#N/A</v>
      </c>
      <c r="Y347" s="281"/>
    </row>
    <row r="348" spans="1:30" ht="16.149999999999999" customHeight="1">
      <c r="A348" s="109">
        <v>8</v>
      </c>
      <c r="B348" s="157"/>
      <c r="C348" s="113"/>
      <c r="D348" s="113"/>
      <c r="E348" s="383" t="str">
        <f t="shared" ref="E348:I353" si="95">IF(Q296="","",Q296)</f>
        <v/>
      </c>
      <c r="F348" s="160" t="str">
        <f t="shared" si="95"/>
        <v/>
      </c>
      <c r="G348" s="160" t="str">
        <f t="shared" si="95"/>
        <v/>
      </c>
      <c r="H348" s="384"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149999999999999" customHeight="1">
      <c r="A349" s="109">
        <v>9</v>
      </c>
      <c r="B349" s="157"/>
      <c r="C349" s="113"/>
      <c r="D349" s="113"/>
      <c r="E349" s="386" t="str">
        <f t="shared" si="95"/>
        <v/>
      </c>
      <c r="F349" s="169" t="str">
        <f t="shared" si="95"/>
        <v/>
      </c>
      <c r="G349" s="169" t="str">
        <f t="shared" si="95"/>
        <v/>
      </c>
      <c r="H349" s="387" t="str">
        <f t="shared" si="95"/>
        <v/>
      </c>
      <c r="I349" s="171" t="str">
        <f t="shared" si="95"/>
        <v/>
      </c>
      <c r="J349" s="113"/>
      <c r="K349" s="129" t="s">
        <v>277</v>
      </c>
      <c r="L349" s="388" t="str">
        <f t="shared" si="94"/>
        <v>TBD</v>
      </c>
      <c r="M349" s="158"/>
      <c r="N349" s="113"/>
      <c r="O349" s="300"/>
      <c r="P349" s="201"/>
      <c r="Q349" s="201"/>
      <c r="R349" s="201"/>
      <c r="S349" s="201"/>
      <c r="T349" s="201"/>
      <c r="U349" s="201"/>
      <c r="V349" s="201"/>
      <c r="W349" s="129" t="s">
        <v>285</v>
      </c>
      <c r="X349" s="108" t="e">
        <f>IF(OR(X345="",X345="NA"),"",(X345-S347)/S347)</f>
        <v>#N/A</v>
      </c>
      <c r="Y349" s="281"/>
    </row>
    <row r="350" spans="1:30" ht="16.149999999999999" customHeight="1">
      <c r="A350" s="109">
        <v>10</v>
      </c>
      <c r="B350" s="157"/>
      <c r="C350" s="113"/>
      <c r="D350" s="113"/>
      <c r="E350" s="386" t="str">
        <f t="shared" si="95"/>
        <v/>
      </c>
      <c r="F350" s="169" t="str">
        <f t="shared" si="95"/>
        <v/>
      </c>
      <c r="G350" s="169" t="str">
        <f t="shared" si="95"/>
        <v/>
      </c>
      <c r="H350" s="387"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149999999999999" customHeight="1" thickBot="1">
      <c r="A351" s="109">
        <v>11</v>
      </c>
      <c r="B351" s="157"/>
      <c r="C351" s="113"/>
      <c r="D351" s="113"/>
      <c r="E351" s="390" t="str">
        <f t="shared" si="95"/>
        <v/>
      </c>
      <c r="F351" s="214" t="str">
        <f t="shared" si="95"/>
        <v/>
      </c>
      <c r="G351" s="214" t="str">
        <f t="shared" si="95"/>
        <v/>
      </c>
      <c r="H351" s="391" t="str">
        <f t="shared" si="95"/>
        <v/>
      </c>
      <c r="I351" s="215" t="str">
        <f t="shared" si="95"/>
        <v/>
      </c>
      <c r="J351" s="113"/>
      <c r="K351" s="129" t="s">
        <v>279</v>
      </c>
      <c r="L351" s="247" t="str">
        <f t="shared" si="94"/>
        <v/>
      </c>
      <c r="M351" s="158"/>
      <c r="N351" s="113"/>
      <c r="O351" s="411"/>
      <c r="P351" s="379"/>
      <c r="Q351" s="379"/>
      <c r="R351" s="379"/>
      <c r="S351" s="379"/>
      <c r="T351" s="379"/>
      <c r="U351" s="379"/>
      <c r="V351" s="379"/>
      <c r="W351" s="395" t="s">
        <v>294</v>
      </c>
      <c r="X351" s="393" t="str">
        <f>IF(AB93="","",AB93)</f>
        <v/>
      </c>
      <c r="Y351" s="412"/>
    </row>
    <row r="352" spans="1:30" ht="16.149999999999999" customHeight="1">
      <c r="A352" s="109">
        <v>12</v>
      </c>
      <c r="B352" s="157"/>
      <c r="C352" s="113"/>
      <c r="D352" s="129" t="s">
        <v>243</v>
      </c>
      <c r="E352" s="386" t="str">
        <f t="shared" si="95"/>
        <v/>
      </c>
      <c r="F352" s="169" t="str">
        <f t="shared" si="95"/>
        <v/>
      </c>
      <c r="G352" s="350" t="str">
        <f t="shared" si="95"/>
        <v/>
      </c>
      <c r="H352" s="387" t="str">
        <f t="shared" si="95"/>
        <v/>
      </c>
      <c r="I352" s="171" t="str">
        <f t="shared" si="95"/>
        <v/>
      </c>
      <c r="J352" s="113"/>
      <c r="K352" s="129" t="s">
        <v>281</v>
      </c>
      <c r="L352" s="392" t="str">
        <f t="shared" si="94"/>
        <v/>
      </c>
      <c r="M352" s="158"/>
      <c r="N352" s="113"/>
      <c r="O352" s="241" t="s">
        <v>789</v>
      </c>
      <c r="P352" s="115"/>
      <c r="Q352" s="115"/>
      <c r="R352" s="115"/>
      <c r="S352" s="115"/>
      <c r="T352" s="115"/>
      <c r="U352" s="115"/>
      <c r="V352" s="115"/>
      <c r="W352" s="115"/>
      <c r="X352" s="115"/>
      <c r="Y352" s="116"/>
      <c r="Z352" s="117" t="s">
        <v>261</v>
      </c>
      <c r="AA352" s="117" t="s">
        <v>811</v>
      </c>
      <c r="AC352" s="117" t="s">
        <v>172</v>
      </c>
      <c r="AD352" s="117">
        <v>28</v>
      </c>
    </row>
    <row r="353" spans="1:30" ht="16.149999999999999"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149999999999999"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149999999999999" customHeight="1">
      <c r="A355" s="109">
        <v>15</v>
      </c>
      <c r="B355" s="157"/>
      <c r="C355" s="113"/>
      <c r="D355" s="113"/>
      <c r="E355" s="173" t="s">
        <v>286</v>
      </c>
      <c r="F355" s="113"/>
      <c r="G355" s="113"/>
      <c r="H355" s="113"/>
      <c r="I355" s="113"/>
      <c r="J355" s="113"/>
      <c r="K355" s="129" t="s">
        <v>287</v>
      </c>
      <c r="L355" s="389" t="str">
        <f>IF(X304="","",X304)</f>
        <v/>
      </c>
      <c r="M355" s="158"/>
      <c r="N355" s="113"/>
      <c r="O355" s="123" t="s">
        <v>817</v>
      </c>
      <c r="S355" s="129" t="s">
        <v>172</v>
      </c>
      <c r="T355" s="245">
        <f>IF(T307="","",T307)</f>
        <v>29</v>
      </c>
      <c r="Y355" s="125"/>
    </row>
    <row r="356" spans="1:30" ht="16.149999999999999"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149999999999999"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149999999999999" customHeight="1">
      <c r="A358" s="109">
        <v>18</v>
      </c>
      <c r="B358" s="326"/>
      <c r="C358" s="113"/>
      <c r="D358" s="129" t="s">
        <v>261</v>
      </c>
      <c r="E358" s="491">
        <f>IF($Q$307="","",$Q$307)</f>
        <v>0</v>
      </c>
      <c r="F358" s="201"/>
      <c r="G358" s="129" t="s">
        <v>172</v>
      </c>
      <c r="H358" s="245">
        <f>IF(T307="","",T307)</f>
        <v>29</v>
      </c>
      <c r="I358" s="113"/>
      <c r="J358" s="113"/>
      <c r="K358" s="113"/>
      <c r="L358" s="113"/>
      <c r="M358" s="202"/>
      <c r="N358" s="113"/>
      <c r="O358" s="385"/>
      <c r="Q358" s="128" t="s">
        <v>49</v>
      </c>
      <c r="R358" s="128" t="s">
        <v>235</v>
      </c>
      <c r="S358" s="128" t="s">
        <v>236</v>
      </c>
      <c r="T358" s="128" t="s">
        <v>270</v>
      </c>
      <c r="U358" s="128" t="s">
        <v>271</v>
      </c>
      <c r="W358" s="129" t="s">
        <v>275</v>
      </c>
      <c r="X358" s="246" t="str">
        <f>IF(U363="","",U363)</f>
        <v/>
      </c>
      <c r="Y358" s="125"/>
    </row>
    <row r="359" spans="1:30" ht="16.149999999999999" customHeight="1">
      <c r="A359" s="109">
        <v>19</v>
      </c>
      <c r="B359" s="326"/>
      <c r="C359" s="113"/>
      <c r="D359" s="129" t="s">
        <v>264</v>
      </c>
      <c r="E359" s="485" t="str">
        <f>IF(Q308="","",Q308)</f>
        <v>W/Al</v>
      </c>
      <c r="F359" s="201"/>
      <c r="G359" s="129" t="s">
        <v>262</v>
      </c>
      <c r="H359" s="485">
        <f>IF(T308="","",T308)</f>
        <v>160</v>
      </c>
      <c r="I359" s="113"/>
      <c r="J359" s="113"/>
      <c r="K359" s="113"/>
      <c r="L359" s="113"/>
      <c r="M359" s="202"/>
      <c r="N359" s="113"/>
      <c r="O359" s="385"/>
      <c r="Q359" s="242"/>
      <c r="R359" s="242"/>
      <c r="S359" s="242"/>
      <c r="T359" s="387" t="str">
        <f>IF(Q359="","",Q359/$T$356)</f>
        <v/>
      </c>
      <c r="U359" s="350" t="str">
        <f>IF(Q359="","",($T$327*Tables!$C$107+Tables!$C$108)*Q359)</f>
        <v/>
      </c>
      <c r="W359" s="129" t="s">
        <v>277</v>
      </c>
      <c r="X359" s="389" t="str">
        <f>IF(Q356="","",HLOOKUP(Q356,Tables!A130:J131,2,FALSE))</f>
        <v>TBD</v>
      </c>
      <c r="Y359" s="125"/>
    </row>
    <row r="360" spans="1:30" ht="16.149999999999999" customHeight="1">
      <c r="A360" s="109">
        <v>20</v>
      </c>
      <c r="B360" s="326"/>
      <c r="C360" s="113"/>
      <c r="D360" s="113"/>
      <c r="E360" s="113"/>
      <c r="F360" s="113"/>
      <c r="G360" s="128" t="s">
        <v>230</v>
      </c>
      <c r="H360" s="113"/>
      <c r="I360" s="113" t="s">
        <v>267</v>
      </c>
      <c r="J360" s="113"/>
      <c r="K360" s="113"/>
      <c r="L360" s="113"/>
      <c r="M360" s="202"/>
      <c r="N360" s="113"/>
      <c r="O360" s="385"/>
      <c r="Q360" s="242"/>
      <c r="R360" s="242"/>
      <c r="S360" s="242"/>
      <c r="T360" s="387" t="str">
        <f>IF(Q360="","",Q360/$T$356)</f>
        <v/>
      </c>
      <c r="U360" s="350" t="str">
        <f>IF(Q360="","",($T$327*Tables!$C$107+Tables!$C$108)*Q360)</f>
        <v/>
      </c>
      <c r="W360" s="129" t="s">
        <v>278</v>
      </c>
      <c r="X360" s="246" t="str">
        <f>IF(OR(X358="",X359=""),"",(X359*(X358/8.76))/100)</f>
        <v/>
      </c>
      <c r="Y360" s="125"/>
    </row>
    <row r="361" spans="1:30" ht="16.149999999999999"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5"/>
      <c r="Q361" s="242"/>
      <c r="R361" s="242"/>
      <c r="S361" s="242"/>
      <c r="T361" s="387" t="str">
        <f>IF(Q361="","",Q361/$T$356)</f>
        <v/>
      </c>
      <c r="U361" s="350" t="str">
        <f>IF(Q361="","",($T$327*Tables!$C$107+Tables!$C$108)*Q361)</f>
        <v/>
      </c>
      <c r="W361" s="129" t="s">
        <v>279</v>
      </c>
      <c r="X361" s="393" t="str">
        <f>IF(AB153="","",AB153)</f>
        <v/>
      </c>
      <c r="Y361" s="125"/>
    </row>
    <row r="362" spans="1:30" ht="16.149999999999999" customHeight="1">
      <c r="A362" s="109">
        <v>22</v>
      </c>
      <c r="B362" s="326"/>
      <c r="C362" s="113"/>
      <c r="D362" s="113"/>
      <c r="E362" s="383" t="str">
        <f t="shared" ref="E362:I367" si="97">IF(Q311="","",Q311)</f>
        <v/>
      </c>
      <c r="F362" s="160" t="str">
        <f t="shared" si="97"/>
        <v/>
      </c>
      <c r="G362" s="160" t="str">
        <f t="shared" si="97"/>
        <v/>
      </c>
      <c r="H362" s="384" t="str">
        <f t="shared" si="97"/>
        <v/>
      </c>
      <c r="I362" s="161" t="str">
        <f t="shared" si="97"/>
        <v/>
      </c>
      <c r="J362" s="113"/>
      <c r="K362" s="129" t="s">
        <v>275</v>
      </c>
      <c r="L362" s="247" t="str">
        <f t="shared" si="96"/>
        <v/>
      </c>
      <c r="M362" s="202"/>
      <c r="N362" s="113"/>
      <c r="O362" s="385"/>
      <c r="Q362" s="242"/>
      <c r="R362" s="242"/>
      <c r="S362" s="242"/>
      <c r="T362" s="387" t="str">
        <f>IF(Q362="","",Q362/$T$356)</f>
        <v/>
      </c>
      <c r="U362" s="350" t="str">
        <f>IF(Q362="","",($T$327*Tables!$C$107+Tables!$C$108)*Q362)</f>
        <v/>
      </c>
      <c r="W362" s="129" t="s">
        <v>281</v>
      </c>
      <c r="X362" s="108" t="str">
        <f>IF(OR(X360="",X361=""),"",(X360-X361)/X361)</f>
        <v/>
      </c>
      <c r="Y362" s="125"/>
    </row>
    <row r="363" spans="1:30" ht="16.149999999999999" customHeight="1">
      <c r="A363" s="109">
        <v>23</v>
      </c>
      <c r="B363" s="326"/>
      <c r="C363" s="113"/>
      <c r="D363" s="113"/>
      <c r="E363" s="386" t="str">
        <f t="shared" si="97"/>
        <v/>
      </c>
      <c r="F363" s="169" t="str">
        <f t="shared" si="97"/>
        <v/>
      </c>
      <c r="G363" s="169" t="str">
        <f t="shared" si="97"/>
        <v/>
      </c>
      <c r="H363" s="387" t="str">
        <f t="shared" si="97"/>
        <v/>
      </c>
      <c r="I363" s="171" t="str">
        <f t="shared" si="97"/>
        <v/>
      </c>
      <c r="J363" s="113"/>
      <c r="K363" s="129" t="s">
        <v>277</v>
      </c>
      <c r="L363" s="388" t="e">
        <f t="shared" si="96"/>
        <v>#N/A</v>
      </c>
      <c r="M363" s="202"/>
      <c r="N363" s="113"/>
      <c r="O363" s="385"/>
      <c r="P363" s="129" t="s">
        <v>243</v>
      </c>
      <c r="Q363" s="170" t="str">
        <f>IF(OR(Q359="",Q360="",Q361="",Q362=""),"",AVERAGE(Q359:Q362))</f>
        <v/>
      </c>
      <c r="R363" s="353" t="str">
        <f>IF(OR(R359="",R360="",R361="",R362=""),"",AVERAGE(R359:R362))</f>
        <v/>
      </c>
      <c r="S363" s="350" t="str">
        <f>IF(OR(S359="",S360="",S361="",S362=""),"",AVERAGE(S359:S362))</f>
        <v/>
      </c>
      <c r="T363" s="387" t="str">
        <f>IF(OR(T359="",T360="",T361="",T362=""),"",AVERAGE(T359:T362))</f>
        <v/>
      </c>
      <c r="U363" s="350" t="str">
        <f>IF(OR(U359="",U360="",U361="",U362=""),"",AVERAGE(U359:U362))</f>
        <v/>
      </c>
      <c r="W363" s="173"/>
      <c r="X363" s="173"/>
      <c r="Y363" s="125"/>
    </row>
    <row r="364" spans="1:30" ht="16.149999999999999" customHeight="1">
      <c r="A364" s="109">
        <v>24</v>
      </c>
      <c r="B364" s="326"/>
      <c r="C364" s="113"/>
      <c r="D364" s="113"/>
      <c r="E364" s="386" t="str">
        <f t="shared" si="97"/>
        <v/>
      </c>
      <c r="F364" s="169" t="str">
        <f t="shared" si="97"/>
        <v/>
      </c>
      <c r="G364" s="169" t="str">
        <f t="shared" si="97"/>
        <v/>
      </c>
      <c r="H364" s="387"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149999999999999" customHeight="1" thickBot="1">
      <c r="A365" s="109">
        <v>25</v>
      </c>
      <c r="B365" s="326"/>
      <c r="C365" s="113"/>
      <c r="D365" s="113"/>
      <c r="E365" s="390" t="str">
        <f t="shared" si="97"/>
        <v/>
      </c>
      <c r="F365" s="214" t="str">
        <f t="shared" si="97"/>
        <v/>
      </c>
      <c r="G365" s="214" t="str">
        <f t="shared" si="97"/>
        <v/>
      </c>
      <c r="H365" s="391"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149999999999999" customHeight="1">
      <c r="A366" s="109">
        <v>26</v>
      </c>
      <c r="B366" s="326"/>
      <c r="C366" s="113"/>
      <c r="D366" s="129" t="s">
        <v>243</v>
      </c>
      <c r="E366" s="386" t="str">
        <f t="shared" si="97"/>
        <v/>
      </c>
      <c r="F366" s="169" t="str">
        <f t="shared" si="97"/>
        <v/>
      </c>
      <c r="G366" s="350" t="str">
        <f t="shared" si="97"/>
        <v/>
      </c>
      <c r="H366" s="387" t="str">
        <f t="shared" si="97"/>
        <v/>
      </c>
      <c r="I366" s="171" t="str">
        <f t="shared" si="97"/>
        <v/>
      </c>
      <c r="J366" s="113"/>
      <c r="K366" s="129" t="s">
        <v>281</v>
      </c>
      <c r="L366" s="392" t="e">
        <f t="shared" si="96"/>
        <v>#N/A</v>
      </c>
      <c r="M366" s="202"/>
      <c r="N366" s="113"/>
      <c r="O366" s="123"/>
      <c r="W366" s="129" t="s">
        <v>287</v>
      </c>
      <c r="X366" s="389" t="str">
        <f>IF(OR(X360="",Q363=""),"",3/(X360/Q363))</f>
        <v/>
      </c>
      <c r="Y366" s="125"/>
    </row>
    <row r="367" spans="1:30" ht="16.149999999999999"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816</v>
      </c>
      <c r="Y367" s="562"/>
    </row>
    <row r="368" spans="1:30" ht="16.149999999999999"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812</v>
      </c>
      <c r="R368" s="113"/>
      <c r="S368" s="129" t="s">
        <v>172</v>
      </c>
      <c r="T368" s="244">
        <v>45</v>
      </c>
      <c r="U368" s="113"/>
      <c r="V368" s="173"/>
      <c r="Y368" s="562"/>
    </row>
    <row r="369" spans="1:25" ht="16.149999999999999" customHeight="1">
      <c r="A369" s="109">
        <v>29</v>
      </c>
      <c r="B369" s="326"/>
      <c r="C369" s="113"/>
      <c r="D369" s="113"/>
      <c r="E369" s="173" t="s">
        <v>286</v>
      </c>
      <c r="F369" s="113"/>
      <c r="G369" s="113"/>
      <c r="H369" s="113"/>
      <c r="I369" s="113"/>
      <c r="J369" s="113"/>
      <c r="K369" s="129" t="s">
        <v>287</v>
      </c>
      <c r="L369" s="389" t="e">
        <f>IF(X319="","",X319)</f>
        <v>#N/A</v>
      </c>
      <c r="M369" s="202"/>
      <c r="N369" s="113"/>
      <c r="O369" s="258"/>
      <c r="R369" s="113"/>
      <c r="S369" s="129" t="s">
        <v>262</v>
      </c>
      <c r="T369" s="244">
        <v>100</v>
      </c>
      <c r="U369" s="113"/>
      <c r="V369" s="113"/>
      <c r="W369" s="113"/>
      <c r="X369" s="113"/>
      <c r="Y369" s="562"/>
    </row>
    <row r="370" spans="1:25" ht="16.149999999999999"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2"/>
    </row>
    <row r="371" spans="1:25" ht="16.149999999999999"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2"/>
    </row>
    <row r="372" spans="1:25" ht="16.149999999999999"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7" t="str">
        <f>IF(Q372="","",Q372/$T$369)</f>
        <v/>
      </c>
      <c r="U372" s="350" t="str">
        <f>IF(Q372="","",($T$368*Tables!$O$107+Tables!$O$108)*Q372)</f>
        <v/>
      </c>
      <c r="V372" s="113"/>
      <c r="W372" s="129" t="s">
        <v>275</v>
      </c>
      <c r="X372" s="246" t="str">
        <f>IF(U376="","",U376)</f>
        <v/>
      </c>
      <c r="Y372" s="562"/>
    </row>
    <row r="373" spans="1:25" ht="16.149999999999999" customHeight="1">
      <c r="A373" s="109">
        <v>33</v>
      </c>
      <c r="B373" s="326"/>
      <c r="C373" s="201"/>
      <c r="D373" s="201"/>
      <c r="E373" s="682" t="str">
        <f>O326&amp;" "&amp;P327&amp;" "&amp;Q327</f>
        <v>Combo Mode 2D Target/Filter: W/Rh</v>
      </c>
      <c r="F373" s="682"/>
      <c r="G373" s="682"/>
      <c r="H373" s="682"/>
      <c r="I373" s="682"/>
      <c r="J373" s="201"/>
      <c r="K373" s="201"/>
      <c r="L373" s="201"/>
      <c r="M373" s="202"/>
      <c r="N373" s="113"/>
      <c r="O373" s="258"/>
      <c r="P373" s="113"/>
      <c r="Q373" s="242"/>
      <c r="R373" s="242"/>
      <c r="S373" s="242"/>
      <c r="T373" s="387" t="str">
        <f>IF(Q373="","",Q373/$T$369)</f>
        <v/>
      </c>
      <c r="U373" s="350" t="str">
        <f>IF(Q373="","",($T$368*Tables!$O$107+Tables!$O$108)*Q373)</f>
        <v/>
      </c>
      <c r="V373" s="113"/>
      <c r="W373" s="129" t="s">
        <v>277</v>
      </c>
      <c r="X373" s="389" t="e">
        <f>IF(Q368="","",HLOOKUP(Q368,Tables!A130:J131,2,FALSE))</f>
        <v>#N/A</v>
      </c>
      <c r="Y373" s="562"/>
    </row>
    <row r="374" spans="1:25" ht="16.149999999999999"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7" t="str">
        <f>IF(Q374="","",Q374/$T$369)</f>
        <v/>
      </c>
      <c r="U374" s="350" t="str">
        <f>IF(Q374="","",($T$368*Tables!$O$107+Tables!$O$108)*Q374)</f>
        <v/>
      </c>
      <c r="V374" s="113"/>
      <c r="W374" s="129" t="s">
        <v>278</v>
      </c>
      <c r="X374" s="246" t="e">
        <f>IF($O$33=2,"NA",IF(OR(X372="",X373=""),"",(X373*(X372/8.76))/100))</f>
        <v>#N/A</v>
      </c>
      <c r="Y374" s="562"/>
    </row>
    <row r="375" spans="1:25" ht="16.149999999999999"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7" t="str">
        <f>IF(Q375="","",Q375/$T$369)</f>
        <v/>
      </c>
      <c r="U375" s="350" t="str">
        <f>IF(Q375="","",($T$368*Tables!$O$107+Tables!$O$108)*Q375)</f>
        <v/>
      </c>
      <c r="V375" s="113"/>
      <c r="W375" s="129" t="s">
        <v>279</v>
      </c>
      <c r="X375" s="393" t="str">
        <f>IF(AB94="","",AB94)</f>
        <v/>
      </c>
      <c r="Y375" s="562"/>
    </row>
    <row r="376" spans="1:25" ht="16.149999999999999" customHeight="1">
      <c r="A376" s="109">
        <v>36</v>
      </c>
      <c r="B376" s="326"/>
      <c r="C376" s="201"/>
      <c r="D376" s="113"/>
      <c r="E376" s="383" t="str">
        <f t="shared" ref="E376:I381" si="99">IF(Q331="","",Q331)</f>
        <v/>
      </c>
      <c r="F376" s="160" t="str">
        <f t="shared" si="99"/>
        <v/>
      </c>
      <c r="G376" s="160" t="str">
        <f t="shared" si="99"/>
        <v/>
      </c>
      <c r="H376" s="384"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7" t="str">
        <f>IF(OR(T372="",T373="",T374="",T375=""),"",AVERAGE(T372:T375))</f>
        <v/>
      </c>
      <c r="U376" s="350" t="str">
        <f>IF(OR(U372="",U373="",U374="",U375=""),"",AVERAGE(U372:U375))</f>
        <v/>
      </c>
      <c r="V376" s="113"/>
      <c r="W376" s="129" t="s">
        <v>281</v>
      </c>
      <c r="X376" s="108" t="e">
        <f>IF(OR(X374="",X374="NA",X375="",X375="NA"),"",(X374-X375)/X375)</f>
        <v>#N/A</v>
      </c>
      <c r="Y376" s="562"/>
    </row>
    <row r="377" spans="1:25" ht="16.149999999999999" customHeight="1">
      <c r="A377" s="109">
        <v>37</v>
      </c>
      <c r="B377" s="326"/>
      <c r="C377" s="201"/>
      <c r="D377" s="113"/>
      <c r="E377" s="386" t="str">
        <f t="shared" si="99"/>
        <v/>
      </c>
      <c r="F377" s="169" t="str">
        <f t="shared" si="99"/>
        <v/>
      </c>
      <c r="G377" s="169" t="str">
        <f t="shared" si="99"/>
        <v/>
      </c>
      <c r="H377" s="387"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2"/>
    </row>
    <row r="378" spans="1:25" ht="16.149999999999999" customHeight="1">
      <c r="A378" s="109">
        <v>38</v>
      </c>
      <c r="B378" s="326"/>
      <c r="C378" s="201"/>
      <c r="D378" s="113"/>
      <c r="E378" s="386" t="str">
        <f t="shared" si="99"/>
        <v/>
      </c>
      <c r="F378" s="169" t="str">
        <f t="shared" si="99"/>
        <v/>
      </c>
      <c r="G378" s="169" t="str">
        <f t="shared" si="99"/>
        <v/>
      </c>
      <c r="H378" s="387"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2"/>
    </row>
    <row r="379" spans="1:25" ht="16.149999999999999" customHeight="1" thickBot="1">
      <c r="A379" s="109">
        <v>39</v>
      </c>
      <c r="B379" s="326"/>
      <c r="C379" s="201"/>
      <c r="D379" s="113"/>
      <c r="E379" s="390" t="str">
        <f t="shared" si="99"/>
        <v/>
      </c>
      <c r="F379" s="214" t="str">
        <f t="shared" si="99"/>
        <v/>
      </c>
      <c r="G379" s="214" t="str">
        <f t="shared" si="99"/>
        <v/>
      </c>
      <c r="H379" s="391" t="str">
        <f t="shared" si="99"/>
        <v/>
      </c>
      <c r="I379" s="215" t="str">
        <f t="shared" si="99"/>
        <v/>
      </c>
      <c r="J379" s="201"/>
      <c r="K379" s="129" t="s">
        <v>279</v>
      </c>
      <c r="L379" s="246" t="str">
        <f t="shared" si="98"/>
        <v/>
      </c>
      <c r="M379" s="202"/>
      <c r="N379" s="113"/>
      <c r="O379" s="258"/>
      <c r="P379" s="533" t="s">
        <v>158</v>
      </c>
      <c r="Q379" s="173" t="s">
        <v>284</v>
      </c>
      <c r="R379" s="113"/>
      <c r="S379" s="113"/>
      <c r="T379" s="113"/>
      <c r="U379" s="113"/>
      <c r="V379" s="113"/>
      <c r="W379" s="129" t="s">
        <v>285</v>
      </c>
      <c r="X379" s="108" t="e">
        <f>IF(OR(X374="NA",X374=""),"",(X374-S376)/S376)</f>
        <v>#N/A</v>
      </c>
      <c r="Y379" s="562"/>
    </row>
    <row r="380" spans="1:25" ht="16.149999999999999" customHeight="1">
      <c r="A380" s="109">
        <v>40</v>
      </c>
      <c r="B380" s="326"/>
      <c r="C380" s="201"/>
      <c r="D380" s="129" t="s">
        <v>243</v>
      </c>
      <c r="E380" s="386" t="str">
        <f t="shared" si="99"/>
        <v/>
      </c>
      <c r="F380" s="169" t="str">
        <f t="shared" si="99"/>
        <v/>
      </c>
      <c r="G380" s="350" t="str">
        <f t="shared" si="99"/>
        <v/>
      </c>
      <c r="H380" s="387" t="str">
        <f t="shared" si="99"/>
        <v/>
      </c>
      <c r="I380" s="171" t="str">
        <f t="shared" si="99"/>
        <v/>
      </c>
      <c r="J380" s="201"/>
      <c r="K380" s="129" t="s">
        <v>281</v>
      </c>
      <c r="L380" s="392" t="str">
        <f t="shared" si="98"/>
        <v/>
      </c>
      <c r="M380" s="202"/>
      <c r="N380" s="113"/>
      <c r="O380" s="258"/>
      <c r="P380" s="173"/>
      <c r="Q380" s="173" t="s">
        <v>286</v>
      </c>
      <c r="R380" s="113"/>
      <c r="S380" s="113"/>
      <c r="T380" s="113"/>
      <c r="U380" s="113"/>
      <c r="V380" s="113"/>
      <c r="W380" s="129" t="s">
        <v>818</v>
      </c>
      <c r="X380" s="389" t="e">
        <f>IF(OR(X360="",X374=""),"",X360+X374)</f>
        <v>#N/A</v>
      </c>
      <c r="Y380" s="562"/>
    </row>
    <row r="381" spans="1:25" ht="16.149999999999999"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3"/>
      <c r="P381" s="379"/>
      <c r="Q381" s="379" t="s">
        <v>828</v>
      </c>
      <c r="R381" s="379"/>
      <c r="S381" s="379"/>
      <c r="T381" s="379"/>
      <c r="U381" s="379"/>
      <c r="V381" s="379"/>
      <c r="W381" s="565" t="s">
        <v>819</v>
      </c>
      <c r="X381" s="379"/>
      <c r="Y381" s="564"/>
    </row>
    <row r="382" spans="1:25" ht="16.149999999999999" customHeight="1">
      <c r="A382" s="109">
        <v>42</v>
      </c>
      <c r="B382" s="326"/>
      <c r="C382" s="201"/>
      <c r="D382" s="201"/>
      <c r="E382" s="201"/>
      <c r="F382" s="201"/>
      <c r="G382" s="201"/>
      <c r="H382" s="201"/>
      <c r="I382" s="201"/>
      <c r="J382" s="201"/>
      <c r="K382" s="129" t="s">
        <v>285</v>
      </c>
      <c r="L382" s="392" t="str">
        <f>IF(X337="","",X337)</f>
        <v/>
      </c>
      <c r="M382" s="202"/>
      <c r="N382" s="113"/>
      <c r="O382" s="241" t="s">
        <v>691</v>
      </c>
      <c r="P382" s="115"/>
      <c r="Q382" s="115"/>
      <c r="R382" s="115"/>
      <c r="S382" s="115"/>
      <c r="T382" s="115"/>
      <c r="U382" s="115"/>
      <c r="V382" s="115"/>
      <c r="W382" s="115"/>
      <c r="X382" s="115"/>
      <c r="Y382" s="116"/>
    </row>
    <row r="383" spans="1:25" ht="16.149999999999999"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149999999999999" customHeight="1">
      <c r="A384" s="109">
        <v>44</v>
      </c>
      <c r="B384" s="326"/>
      <c r="C384" s="201"/>
      <c r="D384" s="201"/>
      <c r="E384" s="683" t="str">
        <f>O338&amp;" "&amp;P339&amp;" "&amp;Q339</f>
        <v>Combo Mode 3D Target/Filter: W/Al</v>
      </c>
      <c r="F384" s="683"/>
      <c r="G384" s="683"/>
      <c r="H384" s="683"/>
      <c r="I384" s="683"/>
      <c r="J384" s="201"/>
      <c r="K384" s="201"/>
      <c r="L384" s="201"/>
      <c r="M384" s="202"/>
      <c r="N384" s="113"/>
      <c r="O384" s="123"/>
      <c r="P384" s="129" t="s">
        <v>264</v>
      </c>
      <c r="Q384" s="244"/>
      <c r="R384" s="113"/>
      <c r="S384" s="129" t="s">
        <v>262</v>
      </c>
      <c r="T384" s="341"/>
      <c r="U384" s="113"/>
      <c r="V384" s="113"/>
      <c r="W384" s="113"/>
      <c r="X384" s="113"/>
      <c r="Y384" s="125"/>
    </row>
    <row r="385" spans="1:25" ht="16.149999999999999"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149999999999999" customHeight="1" thickBot="1">
      <c r="A386" s="109">
        <v>46</v>
      </c>
      <c r="B386" s="326"/>
      <c r="C386" s="113"/>
      <c r="D386" s="201"/>
      <c r="E386" s="369" t="s">
        <v>49</v>
      </c>
      <c r="F386" s="128" t="s">
        <v>235</v>
      </c>
      <c r="G386" s="128" t="s">
        <v>236</v>
      </c>
      <c r="H386" s="128" t="s">
        <v>270</v>
      </c>
      <c r="I386" s="399" t="s">
        <v>271</v>
      </c>
      <c r="J386" s="201"/>
      <c r="K386" s="129" t="s">
        <v>272</v>
      </c>
      <c r="L386" s="246">
        <f t="shared" ref="L386:L391" si="100">IF(X342="","",X342)</f>
        <v>0</v>
      </c>
      <c r="M386" s="202"/>
      <c r="N386" s="113"/>
      <c r="O386" s="385"/>
      <c r="P386" s="113"/>
      <c r="Q386" s="128" t="s">
        <v>49</v>
      </c>
      <c r="R386" s="128" t="s">
        <v>235</v>
      </c>
      <c r="S386" s="128" t="s">
        <v>236</v>
      </c>
      <c r="T386" s="128" t="s">
        <v>270</v>
      </c>
      <c r="U386" s="128" t="s">
        <v>271</v>
      </c>
      <c r="V386" s="113"/>
      <c r="W386" s="129" t="s">
        <v>272</v>
      </c>
      <c r="X386" s="246" t="str">
        <f>IF(T383="","",T383*Tables!$C$121+Tables!$C$122)</f>
        <v/>
      </c>
      <c r="Y386" s="125"/>
    </row>
    <row r="387" spans="1:25" ht="16.149999999999999" customHeight="1">
      <c r="A387" s="109">
        <v>47</v>
      </c>
      <c r="B387" s="326"/>
      <c r="C387" s="201"/>
      <c r="D387" s="201"/>
      <c r="E387" s="383" t="str">
        <f t="shared" ref="E387:I392" si="101">IF(Q343="","",Q343)</f>
        <v/>
      </c>
      <c r="F387" s="160" t="str">
        <f t="shared" si="101"/>
        <v/>
      </c>
      <c r="G387" s="160" t="str">
        <f t="shared" si="101"/>
        <v/>
      </c>
      <c r="H387" s="384" t="str">
        <f t="shared" si="101"/>
        <v/>
      </c>
      <c r="I387" s="400" t="str">
        <f t="shared" si="101"/>
        <v/>
      </c>
      <c r="J387" s="201"/>
      <c r="K387" s="129" t="s">
        <v>275</v>
      </c>
      <c r="L387" s="246" t="str">
        <f t="shared" si="100"/>
        <v/>
      </c>
      <c r="M387" s="202"/>
      <c r="N387" s="113"/>
      <c r="O387" s="385"/>
      <c r="P387" s="113"/>
      <c r="Q387" s="242"/>
      <c r="R387" s="242"/>
      <c r="S387" s="242"/>
      <c r="T387" s="387" t="str">
        <f>IF(Q387="","",Q387/$T$293)</f>
        <v/>
      </c>
      <c r="U387" s="350" t="str">
        <f>IF(Q387="","",($T$383*Tables!$C$107+Tables!$C$108)*Q387)</f>
        <v/>
      </c>
      <c r="V387" s="113"/>
      <c r="W387" s="129" t="s">
        <v>275</v>
      </c>
      <c r="X387" s="246" t="str">
        <f>IF(U391="","",U391)</f>
        <v/>
      </c>
      <c r="Y387" s="125"/>
    </row>
    <row r="388" spans="1:25" ht="16.149999999999999" customHeight="1">
      <c r="A388" s="109">
        <v>48</v>
      </c>
      <c r="B388" s="326"/>
      <c r="C388" s="201"/>
      <c r="D388" s="201"/>
      <c r="E388" s="386" t="str">
        <f t="shared" si="101"/>
        <v/>
      </c>
      <c r="F388" s="169" t="str">
        <f t="shared" si="101"/>
        <v/>
      </c>
      <c r="G388" s="169" t="str">
        <f t="shared" si="101"/>
        <v/>
      </c>
      <c r="H388" s="387" t="str">
        <f t="shared" si="101"/>
        <v/>
      </c>
      <c r="I388" s="401" t="str">
        <f t="shared" si="101"/>
        <v/>
      </c>
      <c r="J388" s="201"/>
      <c r="K388" s="129" t="s">
        <v>277</v>
      </c>
      <c r="L388" s="246" t="e">
        <f t="shared" si="100"/>
        <v>#N/A</v>
      </c>
      <c r="M388" s="202"/>
      <c r="N388" s="113"/>
      <c r="O388" s="385"/>
      <c r="P388" s="113"/>
      <c r="Q388" s="242"/>
      <c r="R388" s="242"/>
      <c r="S388" s="242"/>
      <c r="T388" s="387" t="str">
        <f>IF(Q388="","",Q388/$T$293)</f>
        <v/>
      </c>
      <c r="U388" s="350" t="str">
        <f>IF(Q388="","",($T$383*Tables!$C$107+Tables!$C$108)*Q388)</f>
        <v/>
      </c>
      <c r="V388" s="113"/>
      <c r="W388" s="129" t="s">
        <v>277</v>
      </c>
      <c r="X388" s="389" t="str">
        <f>IF(Q384="","",HLOOKUP(Q384,Tables!A130:F131,2,FALSE))</f>
        <v/>
      </c>
      <c r="Y388" s="125"/>
    </row>
    <row r="389" spans="1:25" ht="16.149999999999999" customHeight="1">
      <c r="A389" s="109">
        <v>49</v>
      </c>
      <c r="B389" s="326"/>
      <c r="C389" s="201"/>
      <c r="D389" s="201"/>
      <c r="E389" s="386" t="str">
        <f t="shared" si="101"/>
        <v/>
      </c>
      <c r="F389" s="169" t="str">
        <f t="shared" si="101"/>
        <v/>
      </c>
      <c r="G389" s="169" t="str">
        <f t="shared" si="101"/>
        <v/>
      </c>
      <c r="H389" s="387" t="str">
        <f t="shared" si="101"/>
        <v/>
      </c>
      <c r="I389" s="401" t="str">
        <f t="shared" si="101"/>
        <v/>
      </c>
      <c r="J389" s="201"/>
      <c r="K389" s="129" t="s">
        <v>278</v>
      </c>
      <c r="L389" s="246" t="e">
        <f t="shared" si="100"/>
        <v>#N/A</v>
      </c>
      <c r="M389" s="202"/>
      <c r="N389" s="113"/>
      <c r="O389" s="385"/>
      <c r="P389" s="113"/>
      <c r="Q389" s="242"/>
      <c r="R389" s="242"/>
      <c r="S389" s="242"/>
      <c r="T389" s="387" t="str">
        <f>IF(Q389="","",Q389/$T$293)</f>
        <v/>
      </c>
      <c r="U389" s="350" t="str">
        <f>IF(Q389="","",($T$383*Tables!$C$107+Tables!$C$108)*Q389)</f>
        <v/>
      </c>
      <c r="V389" s="113"/>
      <c r="W389" s="129" t="s">
        <v>278</v>
      </c>
      <c r="X389" s="246" t="str">
        <f>IF(OR(X387="",X388=""),"",(X388*(X387/8.76))/100)</f>
        <v/>
      </c>
      <c r="Y389" s="125"/>
    </row>
    <row r="390" spans="1:25" ht="16.149999999999999" customHeight="1" thickBot="1">
      <c r="A390" s="109">
        <v>50</v>
      </c>
      <c r="B390" s="326"/>
      <c r="C390" s="201"/>
      <c r="D390" s="201"/>
      <c r="E390" s="390" t="str">
        <f t="shared" si="101"/>
        <v/>
      </c>
      <c r="F390" s="214" t="str">
        <f t="shared" si="101"/>
        <v/>
      </c>
      <c r="G390" s="214" t="str">
        <f t="shared" si="101"/>
        <v/>
      </c>
      <c r="H390" s="391" t="str">
        <f t="shared" si="101"/>
        <v/>
      </c>
      <c r="I390" s="402" t="str">
        <f t="shared" si="101"/>
        <v/>
      </c>
      <c r="J390" s="201"/>
      <c r="K390" s="129" t="s">
        <v>279</v>
      </c>
      <c r="L390" s="246" t="str">
        <f t="shared" si="100"/>
        <v/>
      </c>
      <c r="M390" s="202"/>
      <c r="N390" s="113"/>
      <c r="O390" s="385"/>
      <c r="P390" s="113"/>
      <c r="Q390" s="242"/>
      <c r="R390" s="242"/>
      <c r="S390" s="242"/>
      <c r="T390" s="387" t="str">
        <f>IF(Q390="","",Q390/$T$293)</f>
        <v/>
      </c>
      <c r="U390" s="350" t="str">
        <f>IF(Q390="","",($T$383*Tables!$C$107+Tables!$C$108)*Q390)</f>
        <v/>
      </c>
      <c r="V390" s="113"/>
      <c r="W390" s="129" t="s">
        <v>279</v>
      </c>
      <c r="X390" s="393" t="str">
        <f>IF(AB97="","",AB97)</f>
        <v/>
      </c>
      <c r="Y390" s="125"/>
    </row>
    <row r="391" spans="1:25" ht="16.149999999999999" customHeight="1">
      <c r="A391" s="109">
        <v>51</v>
      </c>
      <c r="B391" s="326"/>
      <c r="C391" s="201"/>
      <c r="D391" s="129" t="s">
        <v>243</v>
      </c>
      <c r="E391" s="386" t="str">
        <f t="shared" si="101"/>
        <v/>
      </c>
      <c r="F391" s="169" t="str">
        <f t="shared" si="101"/>
        <v/>
      </c>
      <c r="G391" s="350" t="str">
        <f t="shared" si="101"/>
        <v/>
      </c>
      <c r="H391" s="387" t="str">
        <f t="shared" si="101"/>
        <v/>
      </c>
      <c r="I391" s="401" t="str">
        <f t="shared" si="101"/>
        <v/>
      </c>
      <c r="J391" s="201"/>
      <c r="K391" s="129" t="s">
        <v>281</v>
      </c>
      <c r="L391" s="392" t="e">
        <f t="shared" si="100"/>
        <v>#N/A</v>
      </c>
      <c r="M391" s="202"/>
      <c r="N391" s="113"/>
      <c r="O391" s="385"/>
      <c r="P391" s="129" t="s">
        <v>243</v>
      </c>
      <c r="Q391" s="170" t="str">
        <f>IF(OR(Q387="",Q388="",Q389="",Q390=""),"",AVERAGE(Q387:Q390))</f>
        <v/>
      </c>
      <c r="R391" s="353" t="str">
        <f>IF(OR(R387="",R388="",R389="",R390=""),"",AVERAGE(R387:R390))</f>
        <v/>
      </c>
      <c r="S391" s="350" t="str">
        <f>IF(OR(S387="",S388="",S389="",S390=""),"",AVERAGE(S387:S390))</f>
        <v/>
      </c>
      <c r="T391" s="387" t="str">
        <f>IF(OR(T387="",T388="",T389="",T390=""),"",AVERAGE(T387:T390))</f>
        <v/>
      </c>
      <c r="U391" s="350" t="str">
        <f>IF(OR(U387="",U388="",U389="",U390=""),"",AVERAGE(U387:U390))</f>
        <v/>
      </c>
      <c r="V391" s="113"/>
      <c r="W391" s="129" t="s">
        <v>281</v>
      </c>
      <c r="X391" s="108" t="str">
        <f>IF(OR(X389="",X390=""),"",(X389-X390)/X390)</f>
        <v/>
      </c>
      <c r="Y391" s="125"/>
    </row>
    <row r="392" spans="1:25" ht="16.149999999999999" customHeight="1" thickBot="1">
      <c r="A392" s="109">
        <v>52</v>
      </c>
      <c r="B392" s="326"/>
      <c r="C392" s="201"/>
      <c r="D392" s="129" t="s">
        <v>283</v>
      </c>
      <c r="E392" s="315" t="str">
        <f t="shared" si="101"/>
        <v/>
      </c>
      <c r="F392" s="316" t="str">
        <f t="shared" si="101"/>
        <v/>
      </c>
      <c r="G392" s="316" t="str">
        <f t="shared" si="101"/>
        <v/>
      </c>
      <c r="H392" s="316" t="str">
        <f t="shared" si="101"/>
        <v/>
      </c>
      <c r="I392" s="404" t="str">
        <f t="shared" si="101"/>
        <v/>
      </c>
      <c r="J392" s="201"/>
      <c r="K392" s="201"/>
      <c r="L392" s="201"/>
      <c r="M392" s="202"/>
      <c r="N392" s="113"/>
      <c r="O392" s="385"/>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149999999999999" customHeight="1">
      <c r="A393" s="109">
        <v>53</v>
      </c>
      <c r="B393" s="326"/>
      <c r="C393" s="201"/>
      <c r="D393" s="208" t="s">
        <v>158</v>
      </c>
      <c r="E393" s="120" t="s">
        <v>284</v>
      </c>
      <c r="F393" s="201"/>
      <c r="G393" s="201"/>
      <c r="H393" s="201"/>
      <c r="I393" s="201"/>
      <c r="J393" s="201"/>
      <c r="K393" s="129" t="s">
        <v>285</v>
      </c>
      <c r="L393" s="392" t="e">
        <f>IF(X349="","",X349)</f>
        <v>#N/A</v>
      </c>
      <c r="M393" s="202"/>
      <c r="N393" s="113"/>
      <c r="O393" s="123"/>
      <c r="P393" s="173"/>
      <c r="Q393" s="173"/>
      <c r="R393" s="173"/>
      <c r="S393" s="173"/>
      <c r="T393" s="173"/>
      <c r="U393" s="173"/>
      <c r="V393" s="113"/>
      <c r="W393" s="113"/>
      <c r="X393" s="113"/>
      <c r="Y393" s="125"/>
    </row>
    <row r="394" spans="1:25" ht="16.149999999999999" customHeight="1">
      <c r="A394" s="109">
        <v>54</v>
      </c>
      <c r="B394" s="326"/>
      <c r="C394" s="201"/>
      <c r="D394" s="113"/>
      <c r="E394" s="120" t="s">
        <v>286</v>
      </c>
      <c r="F394" s="201"/>
      <c r="G394" s="201"/>
      <c r="H394" s="201"/>
      <c r="I394" s="201"/>
      <c r="J394" s="201"/>
      <c r="K394" s="201"/>
      <c r="L394" s="201"/>
      <c r="M394" s="202"/>
      <c r="N394" s="113"/>
      <c r="O394" s="123"/>
      <c r="P394" s="533" t="s">
        <v>158</v>
      </c>
      <c r="Q394" s="173" t="s">
        <v>284</v>
      </c>
      <c r="R394" s="113"/>
      <c r="S394" s="113"/>
      <c r="T394" s="113"/>
      <c r="U394" s="113"/>
      <c r="V394" s="113"/>
      <c r="W394" s="129" t="s">
        <v>285</v>
      </c>
      <c r="X394" s="108" t="str">
        <f>IF(X389="","",(X389-S391)/S391)</f>
        <v/>
      </c>
      <c r="Y394" s="125"/>
    </row>
    <row r="395" spans="1:25" ht="16.149999999999999" customHeight="1">
      <c r="A395" s="109">
        <v>55</v>
      </c>
      <c r="B395" s="326"/>
      <c r="C395" s="201"/>
      <c r="D395" s="201"/>
      <c r="E395" s="201"/>
      <c r="F395" s="201"/>
      <c r="G395" s="201"/>
      <c r="H395" s="201"/>
      <c r="I395" s="201"/>
      <c r="J395" s="201"/>
      <c r="K395" s="137" t="s">
        <v>305</v>
      </c>
      <c r="L395" s="483" t="e">
        <f>IF(X350="","",X350)</f>
        <v>#N/A</v>
      </c>
      <c r="M395" s="202"/>
      <c r="N395" s="113"/>
      <c r="O395" s="123"/>
      <c r="P395" s="173"/>
      <c r="Q395" s="173" t="s">
        <v>286</v>
      </c>
      <c r="R395" s="113"/>
      <c r="S395" s="113"/>
      <c r="T395" s="113"/>
      <c r="U395" s="113"/>
      <c r="V395" s="113"/>
      <c r="W395" s="129" t="s">
        <v>287</v>
      </c>
      <c r="X395" s="389" t="str">
        <f>IF(OR(X389="",Q391=""),"",3/(X389/Q391))</f>
        <v/>
      </c>
      <c r="Y395" s="125"/>
    </row>
    <row r="396" spans="1:25" ht="16.149999999999999" customHeight="1" thickBot="1">
      <c r="A396" s="109">
        <v>56</v>
      </c>
      <c r="B396" s="326"/>
      <c r="C396" s="201"/>
      <c r="D396" s="201"/>
      <c r="E396" s="201"/>
      <c r="F396" s="201"/>
      <c r="G396" s="201"/>
      <c r="H396" s="201"/>
      <c r="I396" s="201"/>
      <c r="J396" s="201"/>
      <c r="K396" s="137" t="s">
        <v>294</v>
      </c>
      <c r="L396" s="483" t="str">
        <f>IF(X351="","",X351)</f>
        <v/>
      </c>
      <c r="M396" s="202"/>
      <c r="N396" s="113"/>
      <c r="O396" s="134"/>
      <c r="P396" s="394"/>
      <c r="Q396" s="394"/>
      <c r="R396" s="135"/>
      <c r="S396" s="135"/>
      <c r="T396" s="394"/>
      <c r="U396" s="394"/>
      <c r="V396" s="135"/>
      <c r="W396" s="395"/>
      <c r="X396" s="135"/>
      <c r="Y396" s="136"/>
    </row>
    <row r="397" spans="1:25" ht="16.149999999999999"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149999999999999"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149999999999999" customHeight="1">
      <c r="A399" s="109">
        <v>59</v>
      </c>
      <c r="B399" s="405"/>
      <c r="C399" s="406" t="s">
        <v>306</v>
      </c>
      <c r="D399" s="407"/>
      <c r="E399" s="407"/>
      <c r="F399" s="407"/>
      <c r="G399" s="407"/>
      <c r="H399" s="407"/>
      <c r="I399" s="407"/>
      <c r="J399" s="407"/>
      <c r="K399" s="407"/>
      <c r="L399" s="407"/>
      <c r="M399" s="408"/>
      <c r="N399" s="113"/>
      <c r="O399" s="123"/>
      <c r="P399" s="129" t="s">
        <v>264</v>
      </c>
      <c r="Q399" s="244"/>
      <c r="R399" s="113"/>
      <c r="S399" s="129" t="s">
        <v>262</v>
      </c>
      <c r="T399" s="244"/>
      <c r="U399" s="113"/>
      <c r="V399" s="113"/>
      <c r="W399" s="113"/>
      <c r="X399" s="113"/>
      <c r="Y399" s="125"/>
    </row>
    <row r="400" spans="1:25" ht="16.149999999999999"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149999999999999" customHeight="1" thickBot="1">
      <c r="A401" s="109">
        <v>61</v>
      </c>
      <c r="B401" s="157"/>
      <c r="C401" s="113"/>
      <c r="D401" s="129" t="s">
        <v>173</v>
      </c>
      <c r="E401" s="254">
        <f>IF(Q548="","",Q548)</f>
        <v>0</v>
      </c>
      <c r="F401" s="113"/>
      <c r="G401" s="129" t="s">
        <v>309</v>
      </c>
      <c r="H401" s="409" t="e">
        <f t="shared" ref="H401:K402" si="102">IF(T551="","",T551)</f>
        <v>#DIV/0!</v>
      </c>
      <c r="I401" s="170" t="str">
        <f t="shared" si="102"/>
        <v/>
      </c>
      <c r="J401" s="302" t="e">
        <f t="shared" si="102"/>
        <v>#DIV/0!</v>
      </c>
      <c r="K401" s="410" t="e">
        <f t="shared" si="102"/>
        <v>#DIV/0!</v>
      </c>
      <c r="L401" s="113"/>
      <c r="M401" s="158"/>
      <c r="N401" s="113"/>
      <c r="O401" s="385"/>
      <c r="P401" s="113"/>
      <c r="Q401" s="128" t="s">
        <v>49</v>
      </c>
      <c r="R401" s="128" t="s">
        <v>235</v>
      </c>
      <c r="S401" s="128" t="s">
        <v>236</v>
      </c>
      <c r="T401" s="128" t="s">
        <v>270</v>
      </c>
      <c r="U401" s="128" t="s">
        <v>271</v>
      </c>
      <c r="V401" s="113"/>
      <c r="W401" s="129" t="s">
        <v>272</v>
      </c>
      <c r="X401" s="246" t="str">
        <f>IF(T398="","",T398*Tables!$I$121+Tables!$I$122)</f>
        <v/>
      </c>
      <c r="Y401" s="125"/>
    </row>
    <row r="402" spans="1:25" ht="16.149999999999999" customHeight="1" thickBot="1">
      <c r="A402" s="109">
        <v>62</v>
      </c>
      <c r="B402" s="157"/>
      <c r="C402" s="113"/>
      <c r="D402" s="129" t="s">
        <v>29</v>
      </c>
      <c r="E402" s="254" t="str">
        <f>IF(Q549="","",Q549)</f>
        <v>W</v>
      </c>
      <c r="F402" s="113"/>
      <c r="G402" s="129" t="s">
        <v>311</v>
      </c>
      <c r="H402" s="409" t="e">
        <f t="shared" si="102"/>
        <v>#DIV/0!</v>
      </c>
      <c r="I402" s="170" t="str">
        <f t="shared" si="102"/>
        <v/>
      </c>
      <c r="J402" s="302" t="e">
        <f t="shared" si="102"/>
        <v>#DIV/0!</v>
      </c>
      <c r="K402" s="169" t="str">
        <f t="shared" si="102"/>
        <v>NA</v>
      </c>
      <c r="L402" s="113"/>
      <c r="M402" s="158"/>
      <c r="N402" s="113"/>
      <c r="O402" s="385"/>
      <c r="P402" s="113"/>
      <c r="Q402" s="242"/>
      <c r="R402" s="242"/>
      <c r="S402" s="242"/>
      <c r="T402" s="387" t="str">
        <f>IF(Q402="","",Q402/$T$293)</f>
        <v/>
      </c>
      <c r="U402" s="350" t="str">
        <f>IF(Q402="","",($T$398*Tables!$K$107+Tables!$K$108)*Q402)</f>
        <v/>
      </c>
      <c r="V402" s="113"/>
      <c r="W402" s="129" t="s">
        <v>275</v>
      </c>
      <c r="X402" s="246" t="str">
        <f>IF(U406="","",U406)</f>
        <v/>
      </c>
      <c r="Y402" s="125"/>
    </row>
    <row r="403" spans="1:25" ht="16.149999999999999" customHeight="1">
      <c r="A403" s="109">
        <v>63</v>
      </c>
      <c r="B403" s="157"/>
      <c r="C403" s="113"/>
      <c r="D403" s="129" t="s">
        <v>31</v>
      </c>
      <c r="E403" s="254" t="str">
        <f>IF(Q550="","",Q550)</f>
        <v>Rh</v>
      </c>
      <c r="F403" s="113"/>
      <c r="G403" s="113"/>
      <c r="H403" s="113"/>
      <c r="I403" s="113"/>
      <c r="J403" s="113"/>
      <c r="K403" s="113"/>
      <c r="L403" s="113"/>
      <c r="M403" s="158"/>
      <c r="N403" s="113"/>
      <c r="O403" s="385"/>
      <c r="P403" s="113"/>
      <c r="Q403" s="242"/>
      <c r="R403" s="242"/>
      <c r="S403" s="242"/>
      <c r="T403" s="387" t="str">
        <f>IF(Q403="","",Q403/$T$293)</f>
        <v/>
      </c>
      <c r="U403" s="350" t="str">
        <f>IF(Q403="","",($T$398*Tables!$K$107+Tables!$K$108)*Q403)</f>
        <v/>
      </c>
      <c r="V403" s="113"/>
      <c r="W403" s="129" t="s">
        <v>277</v>
      </c>
      <c r="X403" s="389" t="str">
        <f>IF(Q399="","",HLOOKUP(Q399,Tables!A130:F131,2,FALSE))</f>
        <v/>
      </c>
      <c r="Y403" s="125"/>
    </row>
    <row r="404" spans="1:25" ht="16.149999999999999" customHeight="1">
      <c r="A404" s="109">
        <v>64</v>
      </c>
      <c r="B404" s="157"/>
      <c r="C404" s="113"/>
      <c r="D404" s="208" t="s">
        <v>158</v>
      </c>
      <c r="E404" s="120" t="s">
        <v>312</v>
      </c>
      <c r="F404" s="113"/>
      <c r="G404" s="113"/>
      <c r="H404" s="113"/>
      <c r="I404" s="113"/>
      <c r="J404" s="113"/>
      <c r="K404" s="113"/>
      <c r="L404" s="113"/>
      <c r="M404" s="158"/>
      <c r="N404" s="113"/>
      <c r="O404" s="385"/>
      <c r="P404" s="113"/>
      <c r="Q404" s="242"/>
      <c r="R404" s="242"/>
      <c r="S404" s="242"/>
      <c r="T404" s="387" t="str">
        <f>IF(Q404="","",Q404/$T$293)</f>
        <v/>
      </c>
      <c r="U404" s="350" t="str">
        <f>IF(Q404="","",($T$398*Tables!$K$107+Tables!$K$108)*Q404)</f>
        <v/>
      </c>
      <c r="V404" s="113"/>
      <c r="W404" s="129" t="s">
        <v>278</v>
      </c>
      <c r="X404" s="246" t="str">
        <f>IF(OR(X402="",X403=""),"",(X403*(X402/8.76))/100)</f>
        <v/>
      </c>
      <c r="Y404" s="125"/>
    </row>
    <row r="405" spans="1:25" ht="16.149999999999999" customHeight="1">
      <c r="A405" s="109">
        <v>65</v>
      </c>
      <c r="B405" s="157"/>
      <c r="C405" s="113"/>
      <c r="D405" s="113"/>
      <c r="E405" s="120" t="s">
        <v>313</v>
      </c>
      <c r="F405" s="113"/>
      <c r="G405" s="113"/>
      <c r="H405" s="113"/>
      <c r="I405" s="113"/>
      <c r="J405" s="113"/>
      <c r="K405" s="113"/>
      <c r="L405" s="113"/>
      <c r="M405" s="158"/>
      <c r="N405" s="113"/>
      <c r="O405" s="385"/>
      <c r="P405" s="113"/>
      <c r="Q405" s="242"/>
      <c r="R405" s="242"/>
      <c r="S405" s="242"/>
      <c r="T405" s="387" t="str">
        <f>IF(Q405="","",Q405/$T$293)</f>
        <v/>
      </c>
      <c r="U405" s="350" t="str">
        <f>IF(Q405="","",($T$398*Tables!$K$107+Tables!$K$108)*Q405)</f>
        <v/>
      </c>
      <c r="V405" s="113"/>
      <c r="W405" s="129" t="s">
        <v>279</v>
      </c>
      <c r="X405" s="393" t="str">
        <f>IF(AB98="","",AB98)</f>
        <v/>
      </c>
      <c r="Y405" s="125"/>
    </row>
    <row r="406" spans="1:25" ht="16.149999999999999" customHeight="1" thickBot="1">
      <c r="A406" s="109">
        <v>66</v>
      </c>
      <c r="B406" s="263"/>
      <c r="C406" s="135"/>
      <c r="D406" s="135"/>
      <c r="E406" s="135"/>
      <c r="F406" s="135"/>
      <c r="G406" s="135"/>
      <c r="H406" s="135"/>
      <c r="I406" s="135"/>
      <c r="J406" s="135"/>
      <c r="K406" s="135"/>
      <c r="L406" s="135"/>
      <c r="M406" s="264"/>
      <c r="N406" s="113"/>
      <c r="O406" s="385"/>
      <c r="P406" s="129" t="s">
        <v>243</v>
      </c>
      <c r="Q406" s="170" t="str">
        <f>IF(OR(Q402="",Q403="",Q404="",Q405=""),"",AVERAGE(Q402:Q405))</f>
        <v/>
      </c>
      <c r="R406" s="353" t="str">
        <f>IF(OR(R402="",R403="",R404="",R405=""),"",AVERAGE(R402:R405))</f>
        <v/>
      </c>
      <c r="S406" s="350" t="str">
        <f>IF(OR(S402="",S403="",S404="",S405=""),"",AVERAGE(S402:S405))</f>
        <v/>
      </c>
      <c r="T406" s="387" t="str">
        <f>IF(OR(T402="",T403="",T404="",T405=""),"",AVERAGE(T402:T405))</f>
        <v/>
      </c>
      <c r="U406" s="350" t="str">
        <f>IF(OR(U402="",U403="",U404="",U405=""),"",AVERAGE(U402:U405))</f>
        <v/>
      </c>
      <c r="V406" s="113"/>
      <c r="W406" s="129" t="s">
        <v>281</v>
      </c>
      <c r="X406" s="108" t="str">
        <f>IF(OR(X404="",X405=""),"",(X404-X405)/X405)</f>
        <v/>
      </c>
      <c r="Y406" s="125"/>
    </row>
    <row r="407" spans="1:25" ht="16.149999999999999" customHeight="1">
      <c r="A407" s="109">
        <v>67</v>
      </c>
      <c r="B407" s="113"/>
      <c r="C407" s="203" t="s">
        <v>3</v>
      </c>
      <c r="D407" s="475" t="str">
        <f>IF($P$7="","",$P$7)</f>
        <v/>
      </c>
      <c r="E407" s="120"/>
      <c r="F407" s="120"/>
      <c r="G407" s="120"/>
      <c r="H407" s="120"/>
      <c r="I407" s="120"/>
      <c r="J407" s="120"/>
      <c r="K407" s="120"/>
      <c r="L407" s="203" t="s">
        <v>4</v>
      </c>
      <c r="M407" s="205" t="str">
        <f>IF($X$7="","",$X$7)</f>
        <v>Eugene Mah</v>
      </c>
      <c r="N407" s="113"/>
      <c r="O407" s="385"/>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149999999999999"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149999999999999" customHeight="1">
      <c r="A409" s="109">
        <v>1</v>
      </c>
      <c r="B409" s="113"/>
      <c r="C409" s="113"/>
      <c r="D409" s="113"/>
      <c r="E409" s="113"/>
      <c r="F409" s="113"/>
      <c r="G409" s="113"/>
      <c r="H409" s="113"/>
      <c r="I409" s="113"/>
      <c r="J409" s="113"/>
      <c r="K409" s="113"/>
      <c r="L409" s="113"/>
      <c r="M409" s="207" t="str">
        <f>$H$2</f>
        <v>Medical University of South Carolina</v>
      </c>
      <c r="N409" s="113"/>
      <c r="O409" s="123"/>
      <c r="P409" s="533" t="s">
        <v>158</v>
      </c>
      <c r="Q409" s="173" t="s">
        <v>284</v>
      </c>
      <c r="R409" s="113"/>
      <c r="S409" s="113"/>
      <c r="T409" s="113"/>
      <c r="U409" s="113"/>
      <c r="V409" s="113"/>
      <c r="W409" s="129" t="s">
        <v>285</v>
      </c>
      <c r="X409" s="108" t="str">
        <f>IF(X404="","",(X404-S406)/S406)</f>
        <v/>
      </c>
      <c r="Y409" s="125"/>
    </row>
    <row r="410" spans="1:25" ht="16.149999999999999"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9" t="str">
        <f>IF(OR(X404="",Q406=""),"",3/(X404/Q406))</f>
        <v/>
      </c>
      <c r="Y410" s="125"/>
    </row>
    <row r="411" spans="1:25" ht="16.149999999999999" customHeight="1" thickTop="1">
      <c r="A411" s="109">
        <v>3</v>
      </c>
      <c r="B411" s="148"/>
      <c r="C411" s="415" t="s">
        <v>296</v>
      </c>
      <c r="D411" s="492" t="str">
        <f>IF($P$412="","",$P$412)</f>
        <v/>
      </c>
      <c r="E411" s="415"/>
      <c r="F411" s="416"/>
      <c r="G411" s="149"/>
      <c r="H411" s="415" t="s">
        <v>297</v>
      </c>
      <c r="I411" s="684" t="str">
        <f>IF($T$412="","",$T$412)</f>
        <v/>
      </c>
      <c r="J411" s="684"/>
      <c r="K411" s="149"/>
      <c r="L411" s="149"/>
      <c r="M411" s="151"/>
      <c r="N411" s="113"/>
      <c r="O411" s="241" t="s">
        <v>295</v>
      </c>
      <c r="P411" s="413"/>
      <c r="Q411" s="413"/>
      <c r="R411" s="115"/>
      <c r="S411" s="115"/>
      <c r="T411" s="413"/>
      <c r="U411" s="413"/>
      <c r="V411" s="115"/>
      <c r="W411" s="115"/>
      <c r="X411" s="115"/>
      <c r="Y411" s="116"/>
    </row>
    <row r="412" spans="1:25" ht="16.149999999999999" customHeight="1">
      <c r="A412" s="109">
        <v>4</v>
      </c>
      <c r="B412" s="157"/>
      <c r="C412" s="129" t="s">
        <v>314</v>
      </c>
      <c r="D412" s="270" t="str">
        <f>IF($P$413="","",$P$413)</f>
        <v/>
      </c>
      <c r="E412" s="173"/>
      <c r="F412" s="173"/>
      <c r="G412" s="173"/>
      <c r="H412" s="129" t="s">
        <v>299</v>
      </c>
      <c r="I412" s="685" t="str">
        <f>IF($T$413="","",$T$413)</f>
        <v/>
      </c>
      <c r="J412" s="685"/>
      <c r="K412" s="173"/>
      <c r="L412" s="113"/>
      <c r="M412" s="158"/>
      <c r="N412" s="113"/>
      <c r="O412" s="123" t="s">
        <v>296</v>
      </c>
      <c r="P412" s="341"/>
      <c r="Q412" s="113"/>
      <c r="R412" s="201"/>
      <c r="S412" s="129" t="s">
        <v>297</v>
      </c>
      <c r="T412" s="498"/>
      <c r="U412" s="498"/>
      <c r="V412" s="113"/>
      <c r="W412" s="113"/>
      <c r="X412" s="113"/>
      <c r="Y412" s="125"/>
    </row>
    <row r="413" spans="1:25" ht="16.149999999999999" customHeight="1">
      <c r="A413" s="109">
        <v>5</v>
      </c>
      <c r="B413" s="157"/>
      <c r="C413" s="165" t="s">
        <v>315</v>
      </c>
      <c r="D413" s="113"/>
      <c r="E413" s="113"/>
      <c r="F413" s="113"/>
      <c r="G413" s="113"/>
      <c r="H413" s="113"/>
      <c r="I413" s="407"/>
      <c r="J413" s="407"/>
      <c r="K413" s="113"/>
      <c r="L413" s="113"/>
      <c r="M413" s="158"/>
      <c r="N413" s="113"/>
      <c r="O413" s="123" t="s">
        <v>298</v>
      </c>
      <c r="P413" s="414"/>
      <c r="Q413" s="113"/>
      <c r="R413" s="201"/>
      <c r="S413" s="129" t="s">
        <v>299</v>
      </c>
      <c r="T413" s="499"/>
      <c r="U413" s="499"/>
      <c r="V413" s="113"/>
      <c r="W413" s="113"/>
      <c r="X413" s="113"/>
      <c r="Y413" s="125"/>
    </row>
    <row r="414" spans="1:25" ht="16.149999999999999"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149999999999999" customHeight="1">
      <c r="A415" s="109">
        <v>7</v>
      </c>
      <c r="B415" s="157"/>
      <c r="C415" s="129" t="s">
        <v>31</v>
      </c>
      <c r="D415" s="485" t="str">
        <f>IF(Q417="","",Q417)</f>
        <v>Rh</v>
      </c>
      <c r="E415" s="201"/>
      <c r="F415" s="113"/>
      <c r="G415" s="129" t="s">
        <v>31</v>
      </c>
      <c r="H415" s="485" t="str">
        <f>IF(Q429="","",Q429)</f>
        <v>Ag</v>
      </c>
      <c r="I415" s="201"/>
      <c r="J415" s="201"/>
      <c r="K415" s="129" t="s">
        <v>31</v>
      </c>
      <c r="L415" s="485" t="str">
        <f>IF(Q438="","",Q438)</f>
        <v>Al</v>
      </c>
      <c r="M415" s="202"/>
      <c r="N415" s="113"/>
      <c r="O415" s="123"/>
      <c r="P415" s="208" t="s">
        <v>158</v>
      </c>
      <c r="Q415" s="120" t="s">
        <v>310</v>
      </c>
      <c r="R415" s="113"/>
      <c r="S415" s="113"/>
      <c r="T415" s="658" t="s">
        <v>300</v>
      </c>
      <c r="U415" s="658"/>
      <c r="V415" s="658"/>
      <c r="W415" s="658"/>
      <c r="X415" s="658"/>
      <c r="Y415" s="125"/>
    </row>
    <row r="416" spans="1:25" ht="16.149999999999999" customHeight="1">
      <c r="A416" s="109">
        <v>8</v>
      </c>
      <c r="B416" s="157"/>
      <c r="C416" s="129" t="s">
        <v>173</v>
      </c>
      <c r="D416" s="485">
        <f>IF(S417="","",S417)</f>
        <v>50</v>
      </c>
      <c r="E416" s="113"/>
      <c r="F416" s="113"/>
      <c r="G416" s="129" t="s">
        <v>173</v>
      </c>
      <c r="H416" s="485">
        <f>IF(S429="","",S429)</f>
        <v>50</v>
      </c>
      <c r="I416" s="113"/>
      <c r="J416" s="201"/>
      <c r="K416" s="129" t="s">
        <v>173</v>
      </c>
      <c r="L416" s="485">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149999999999999" customHeight="1">
      <c r="A417" s="109">
        <v>9</v>
      </c>
      <c r="B417" s="157"/>
      <c r="C417" s="286" t="s">
        <v>152</v>
      </c>
      <c r="D417" s="286" t="s">
        <v>153</v>
      </c>
      <c r="E417" s="286"/>
      <c r="F417" s="113"/>
      <c r="G417" s="286" t="s">
        <v>152</v>
      </c>
      <c r="H417" s="286" t="s">
        <v>153</v>
      </c>
      <c r="I417" s="286"/>
      <c r="J417" s="201"/>
      <c r="K417" s="286" t="s">
        <v>152</v>
      </c>
      <c r="L417" s="286" t="s">
        <v>153</v>
      </c>
      <c r="M417" s="417"/>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7" t="str">
        <f t="shared" ref="W417:W423" si="103">IF(V417="","",V417/S417)</f>
        <v/>
      </c>
      <c r="X417" s="350" t="str">
        <f>IF(OR(V417="",U417=""),"",V417/(U417/1000))</f>
        <v/>
      </c>
      <c r="Y417" s="125"/>
    </row>
    <row r="418" spans="1:25" ht="16.149999999999999" customHeight="1" thickBot="1">
      <c r="A418" s="109">
        <v>10</v>
      </c>
      <c r="B418" s="157"/>
      <c r="C418" s="418" t="s">
        <v>48</v>
      </c>
      <c r="D418" s="418" t="s">
        <v>48</v>
      </c>
      <c r="E418" s="418" t="s">
        <v>316</v>
      </c>
      <c r="F418" s="113"/>
      <c r="G418" s="418" t="s">
        <v>48</v>
      </c>
      <c r="H418" s="418" t="s">
        <v>48</v>
      </c>
      <c r="I418" s="418" t="s">
        <v>316</v>
      </c>
      <c r="J418" s="201"/>
      <c r="K418" s="418" t="s">
        <v>48</v>
      </c>
      <c r="L418" s="418" t="s">
        <v>48</v>
      </c>
      <c r="M418" s="419"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7" t="str">
        <f t="shared" si="103"/>
        <v/>
      </c>
      <c r="X418" s="350" t="str">
        <f t="shared" ref="X418:X423" si="104">IF(OR(V418="",U418=""),"",V418/(U418/1000))</f>
        <v/>
      </c>
      <c r="Y418" s="125"/>
    </row>
    <row r="419" spans="1:25" ht="16.149999999999999"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20"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7" t="str">
        <f t="shared" si="103"/>
        <v/>
      </c>
      <c r="X419" s="350" t="str">
        <f t="shared" si="104"/>
        <v/>
      </c>
      <c r="Y419" s="125"/>
    </row>
    <row r="420" spans="1:25" ht="16.149999999999999"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20"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7" t="str">
        <f t="shared" si="103"/>
        <v/>
      </c>
      <c r="X420" s="350" t="str">
        <f t="shared" si="104"/>
        <v/>
      </c>
      <c r="Y420" s="125"/>
    </row>
    <row r="421" spans="1:25" ht="16.149999999999999"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20"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7" t="str">
        <f t="shared" si="103"/>
        <v/>
      </c>
      <c r="X421" s="350" t="str">
        <f t="shared" si="104"/>
        <v/>
      </c>
      <c r="Y421" s="125"/>
    </row>
    <row r="422" spans="1:25" ht="16.149999999999999"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20"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7" t="str">
        <f t="shared" si="103"/>
        <v/>
      </c>
      <c r="X422" s="350" t="str">
        <f t="shared" si="104"/>
        <v/>
      </c>
      <c r="Y422" s="125"/>
    </row>
    <row r="423" spans="1:25" ht="16.149999999999999"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20"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7" t="str">
        <f t="shared" si="103"/>
        <v/>
      </c>
      <c r="X423" s="350" t="str">
        <f t="shared" si="104"/>
        <v/>
      </c>
      <c r="Y423" s="125"/>
    </row>
    <row r="424" spans="1:25" ht="16.149999999999999"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20"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7" t="str">
        <f>IF(V424="","",V424/S424)</f>
        <v/>
      </c>
      <c r="X424" s="350" t="str">
        <f>IF(OR(V424="",U424=""),"",V424/(U424/1000))</f>
        <v/>
      </c>
      <c r="Y424" s="125"/>
    </row>
    <row r="425" spans="1:25" ht="16.149999999999999"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7" t="str">
        <f t="shared" ref="W425" si="114">IF(V425="","",V425/S425)</f>
        <v/>
      </c>
      <c r="X425" s="350" t="str">
        <f t="shared" ref="X425" si="115">IF(OR(V425="",U425=""),"",V425/(U425/1000))</f>
        <v/>
      </c>
      <c r="Y425" s="125"/>
    </row>
    <row r="426" spans="1:25" ht="16.149999999999999" customHeight="1" thickBot="1">
      <c r="A426" s="109">
        <v>18</v>
      </c>
      <c r="B426" s="157"/>
      <c r="C426" s="169">
        <f t="shared" si="105"/>
        <v>36</v>
      </c>
      <c r="D426" s="350" t="str">
        <f t="shared" si="106"/>
        <v/>
      </c>
      <c r="E426" s="302" t="str">
        <f t="shared" ref="E426:E427" si="116">IF(OR(C426="",D426=""),"",IF(AND(C426&gt;0,D426&gt;0),(D426-C426)/C426,""))</f>
        <v/>
      </c>
      <c r="F426" s="113"/>
      <c r="G426" s="113"/>
      <c r="H426" s="421" t="s">
        <v>175</v>
      </c>
      <c r="I426" s="422" t="str">
        <f>IF(I419="","",IF(AND(ABS(MAX(I419:I424))&lt;=0.05,ABS(MIN(I419:I424))&lt;=0.05),"YES","NO"))</f>
        <v/>
      </c>
      <c r="J426" s="201"/>
      <c r="K426" s="113"/>
      <c r="L426" s="421" t="s">
        <v>175</v>
      </c>
      <c r="M426" s="423" t="str">
        <f>IF(M419="","",IF(AND(ABS(MAX(M419:M423))&lt;=0.05,ABS(MIN(M419:M423))&lt;=0.05),"YES","NO"))</f>
        <v/>
      </c>
      <c r="N426" s="113"/>
      <c r="O426" s="123"/>
      <c r="Y426" s="125"/>
    </row>
    <row r="427" spans="1:25" ht="16.149999999999999"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58" t="s">
        <v>300</v>
      </c>
      <c r="U427" s="658"/>
      <c r="V427" s="658"/>
      <c r="W427" s="658"/>
      <c r="X427" s="658"/>
      <c r="Y427" s="125"/>
    </row>
    <row r="428" spans="1:25" ht="16.149999999999999" customHeight="1" thickBot="1">
      <c r="A428" s="109">
        <v>20</v>
      </c>
      <c r="B428" s="157"/>
      <c r="C428" s="113"/>
      <c r="D428" s="421" t="s">
        <v>175</v>
      </c>
      <c r="E428" s="422"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149999999999999" customHeight="1">
      <c r="A429" s="109">
        <v>21</v>
      </c>
      <c r="B429" s="157"/>
      <c r="C429" s="113"/>
      <c r="D429" s="173"/>
      <c r="E429" s="173"/>
      <c r="F429" s="113"/>
      <c r="G429" s="113"/>
      <c r="H429" s="113"/>
      <c r="I429" s="424"/>
      <c r="J429" s="424"/>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7" t="str">
        <f t="shared" ref="W429:W433" si="117">IF(V429="","",V429/S429)</f>
        <v/>
      </c>
      <c r="X429" s="350" t="str">
        <f t="shared" ref="X429:X433" si="118">IF(OR(V429="",U429=""),"",V429/(U429/1000))</f>
        <v/>
      </c>
      <c r="Y429" s="125"/>
    </row>
    <row r="430" spans="1:25" ht="16.149999999999999"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7" t="str">
        <f t="shared" si="117"/>
        <v/>
      </c>
      <c r="X430" s="350" t="str">
        <f t="shared" si="118"/>
        <v/>
      </c>
      <c r="Y430" s="125"/>
    </row>
    <row r="431" spans="1:25" ht="16.149999999999999" customHeight="1">
      <c r="A431" s="109">
        <v>23</v>
      </c>
      <c r="B431" s="157"/>
      <c r="C431" s="129" t="s">
        <v>29</v>
      </c>
      <c r="D431" s="245" t="str">
        <f>IF(P458="","",P458)</f>
        <v>W</v>
      </c>
      <c r="E431" s="129" t="s">
        <v>31</v>
      </c>
      <c r="F431" s="245" t="str">
        <f>IF(Q458="","",Q458)</f>
        <v>Rh</v>
      </c>
      <c r="G431" s="113"/>
      <c r="H431" s="113"/>
      <c r="I431" s="425"/>
      <c r="J431" s="425"/>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7" t="str">
        <f t="shared" si="117"/>
        <v/>
      </c>
      <c r="X431" s="350" t="str">
        <f t="shared" si="118"/>
        <v/>
      </c>
      <c r="Y431" s="125"/>
    </row>
    <row r="432" spans="1:25" ht="16.149999999999999" customHeight="1">
      <c r="A432" s="109">
        <v>24</v>
      </c>
      <c r="B432" s="157"/>
      <c r="C432" s="129" t="s">
        <v>173</v>
      </c>
      <c r="D432" s="485">
        <f>IF(S458="","",S458)</f>
        <v>50</v>
      </c>
      <c r="E432" s="113"/>
      <c r="F432" s="113"/>
      <c r="G432" s="113"/>
      <c r="H432" s="113"/>
      <c r="I432" s="425"/>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7" t="str">
        <f t="shared" si="117"/>
        <v/>
      </c>
      <c r="X432" s="350" t="str">
        <f t="shared" si="118"/>
        <v/>
      </c>
      <c r="Y432" s="125"/>
    </row>
    <row r="433" spans="1:25" ht="16.149999999999999"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7" t="str">
        <f t="shared" si="117"/>
        <v/>
      </c>
      <c r="X433" s="350" t="str">
        <f t="shared" si="118"/>
        <v/>
      </c>
      <c r="Y433" s="125"/>
    </row>
    <row r="434" spans="1:25" ht="16.149999999999999" customHeight="1" thickBot="1">
      <c r="A434" s="109">
        <v>26</v>
      </c>
      <c r="B434" s="157"/>
      <c r="C434" s="418" t="s">
        <v>48</v>
      </c>
      <c r="D434" s="418" t="s">
        <v>48</v>
      </c>
      <c r="E434" s="418" t="s">
        <v>321</v>
      </c>
      <c r="F434" s="418" t="s">
        <v>303</v>
      </c>
      <c r="G434" s="418"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7" t="str">
        <f>IF(V434="","",V434/S434)</f>
        <v/>
      </c>
      <c r="X434" s="350" t="str">
        <f>IF(OR(V434="",U434=""),"",V434/(U434/1000))</f>
        <v/>
      </c>
      <c r="Y434" s="125"/>
    </row>
    <row r="435" spans="1:25" ht="16.149999999999999" customHeight="1">
      <c r="A435" s="109">
        <v>27</v>
      </c>
      <c r="B435" s="157"/>
      <c r="C435" s="169">
        <f>IF(R458="","",R458)</f>
        <v>28</v>
      </c>
      <c r="D435" s="350" t="str">
        <f t="shared" ref="D435:D441" si="119">IF(T458="","",T458)</f>
        <v/>
      </c>
      <c r="E435" s="350" t="str">
        <f t="shared" ref="E435:G441" si="120">IF(V458="","",V458)</f>
        <v/>
      </c>
      <c r="F435" s="387"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149999999999999" customHeight="1">
      <c r="A436" s="109">
        <v>28</v>
      </c>
      <c r="B436" s="157"/>
      <c r="C436" s="113"/>
      <c r="D436" s="350" t="str">
        <f t="shared" si="119"/>
        <v/>
      </c>
      <c r="E436" s="350" t="str">
        <f t="shared" si="120"/>
        <v/>
      </c>
      <c r="F436" s="387" t="str">
        <f t="shared" si="120"/>
        <v/>
      </c>
      <c r="G436" s="350" t="str">
        <f t="shared" si="120"/>
        <v/>
      </c>
      <c r="H436" s="113"/>
      <c r="I436" s="173"/>
      <c r="J436" s="173"/>
      <c r="K436" s="113"/>
      <c r="L436" s="113"/>
      <c r="M436" s="158"/>
      <c r="N436" s="113"/>
      <c r="O436" s="123"/>
      <c r="P436" s="113"/>
      <c r="Q436" s="113"/>
      <c r="R436" s="113"/>
      <c r="S436" s="129"/>
      <c r="T436" s="658" t="s">
        <v>300</v>
      </c>
      <c r="U436" s="658"/>
      <c r="V436" s="658"/>
      <c r="W436" s="658"/>
      <c r="X436" s="658"/>
      <c r="Y436" s="125"/>
    </row>
    <row r="437" spans="1:25" ht="16.149999999999999" customHeight="1">
      <c r="A437" s="109">
        <v>29</v>
      </c>
      <c r="B437" s="157"/>
      <c r="C437" s="113"/>
      <c r="D437" s="350" t="str">
        <f t="shared" si="119"/>
        <v/>
      </c>
      <c r="E437" s="350" t="str">
        <f t="shared" si="120"/>
        <v/>
      </c>
      <c r="F437" s="387"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149999999999999" customHeight="1">
      <c r="A438" s="109">
        <v>30</v>
      </c>
      <c r="B438" s="157"/>
      <c r="C438" s="113"/>
      <c r="D438" s="350" t="str">
        <f t="shared" si="119"/>
        <v/>
      </c>
      <c r="E438" s="350" t="str">
        <f t="shared" si="120"/>
        <v/>
      </c>
      <c r="F438" s="387"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7" t="str">
        <f t="shared" ref="W438:W443" si="121">IF(V438="","",V438/S438)</f>
        <v/>
      </c>
      <c r="X438" s="350" t="str">
        <f t="shared" ref="X438:X443" si="122">IF(OR(V438="",U438=""),"",V438/(U438/1000))</f>
        <v/>
      </c>
      <c r="Y438" s="125"/>
    </row>
    <row r="439" spans="1:25" ht="16.149999999999999" customHeight="1">
      <c r="A439" s="109">
        <v>31</v>
      </c>
      <c r="B439" s="157"/>
      <c r="C439" s="129" t="s">
        <v>164</v>
      </c>
      <c r="D439" s="350" t="str">
        <f t="shared" si="119"/>
        <v/>
      </c>
      <c r="E439" s="350" t="str">
        <f t="shared" si="120"/>
        <v/>
      </c>
      <c r="F439" s="387"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7" t="str">
        <f t="shared" si="121"/>
        <v/>
      </c>
      <c r="X439" s="350" t="str">
        <f t="shared" si="122"/>
        <v/>
      </c>
      <c r="Y439" s="125"/>
    </row>
    <row r="440" spans="1:25" ht="16.149999999999999" customHeight="1">
      <c r="A440" s="109">
        <v>32</v>
      </c>
      <c r="B440" s="157"/>
      <c r="C440" s="129" t="s">
        <v>320</v>
      </c>
      <c r="D440" s="350" t="str">
        <f t="shared" si="119"/>
        <v/>
      </c>
      <c r="E440" s="350" t="str">
        <f t="shared" si="120"/>
        <v/>
      </c>
      <c r="F440" s="387"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7" t="str">
        <f t="shared" si="121"/>
        <v/>
      </c>
      <c r="X440" s="350" t="str">
        <f t="shared" si="122"/>
        <v/>
      </c>
      <c r="Y440" s="125"/>
    </row>
    <row r="441" spans="1:25" ht="16.149999999999999"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7" t="str">
        <f t="shared" si="121"/>
        <v/>
      </c>
      <c r="X441" s="350" t="str">
        <f t="shared" si="122"/>
        <v/>
      </c>
      <c r="Y441" s="125"/>
    </row>
    <row r="442" spans="1:25" ht="16.149999999999999" customHeight="1" thickBot="1">
      <c r="A442" s="109">
        <v>34</v>
      </c>
      <c r="B442" s="157"/>
      <c r="C442" s="129" t="s">
        <v>175</v>
      </c>
      <c r="D442" s="257" t="str">
        <f>IF(D441="","",IF(ABS(D441)&lt;=0.02,"YES","NO"))</f>
        <v/>
      </c>
      <c r="E442" s="257" t="str">
        <f>IF(E441="","",IF(ABS(E441)&lt;=0.02,"YES","NO"))</f>
        <v/>
      </c>
      <c r="F442" s="257" t="str">
        <f>IF(F441="","",IF(ABS(F441)&lt;=0.02,"YES","NO"))</f>
        <v/>
      </c>
      <c r="G442" s="427"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7" t="str">
        <f t="shared" si="121"/>
        <v/>
      </c>
      <c r="X442" s="350" t="str">
        <f t="shared" si="122"/>
        <v/>
      </c>
      <c r="Y442" s="125"/>
    </row>
    <row r="443" spans="1:25" ht="16.149999999999999"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7" t="str">
        <f t="shared" si="121"/>
        <v/>
      </c>
      <c r="X443" s="350" t="str">
        <f t="shared" si="122"/>
        <v/>
      </c>
      <c r="Y443" s="125"/>
    </row>
    <row r="444" spans="1:25" ht="16.149999999999999"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149999999999999"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58" t="s">
        <v>300</v>
      </c>
      <c r="U445" s="658"/>
      <c r="V445" s="658"/>
      <c r="W445" s="658"/>
      <c r="X445" s="658"/>
      <c r="Y445" s="125"/>
    </row>
    <row r="446" spans="1:25" ht="16.149999999999999"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149999999999999"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7" t="str">
        <f>IF(V447="","",V447/S447)</f>
        <v/>
      </c>
      <c r="X447" s="350" t="str">
        <f>IF(OR(V447="",U447=""),"",V447/(U447/1000))</f>
        <v/>
      </c>
      <c r="Y447" s="125"/>
    </row>
    <row r="448" spans="1:25" ht="16.149999999999999"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7" t="str">
        <f t="shared" ref="W448:W452" si="123">IF(V448="","",V448/S448)</f>
        <v/>
      </c>
      <c r="X448" s="350" t="str">
        <f t="shared" ref="X448:X452" si="124">IF(OR(V448="",U448=""),"",V448/(U448/1000))</f>
        <v/>
      </c>
      <c r="Y448" s="125"/>
    </row>
    <row r="449" spans="1:25" ht="16.149999999999999" customHeight="1" thickBot="1">
      <c r="A449" s="109">
        <v>41</v>
      </c>
      <c r="B449" s="157"/>
      <c r="C449" s="418" t="s">
        <v>331</v>
      </c>
      <c r="D449" s="418" t="s">
        <v>48</v>
      </c>
      <c r="E449" s="418" t="s">
        <v>321</v>
      </c>
      <c r="F449" s="418" t="s">
        <v>303</v>
      </c>
      <c r="G449" s="418"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7" t="str">
        <f t="shared" si="123"/>
        <v/>
      </c>
      <c r="X449" s="350" t="str">
        <f t="shared" si="124"/>
        <v/>
      </c>
      <c r="Y449" s="125"/>
    </row>
    <row r="450" spans="1:25" ht="16.149999999999999" customHeight="1">
      <c r="A450" s="109">
        <v>42</v>
      </c>
      <c r="B450" s="157"/>
      <c r="C450" s="169">
        <f t="shared" ref="C450:D454" si="125">IF(S472="","",S472)</f>
        <v>20</v>
      </c>
      <c r="D450" s="350" t="str">
        <f t="shared" si="125"/>
        <v/>
      </c>
      <c r="E450" s="350" t="str">
        <f t="shared" ref="E450:G454" si="126">IF(V472="","",V472)</f>
        <v/>
      </c>
      <c r="F450" s="387"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7" t="str">
        <f t="shared" si="123"/>
        <v/>
      </c>
      <c r="X450" s="350" t="str">
        <f t="shared" si="124"/>
        <v/>
      </c>
      <c r="Y450" s="125"/>
    </row>
    <row r="451" spans="1:25" ht="16.149999999999999" customHeight="1">
      <c r="A451" s="109">
        <v>43</v>
      </c>
      <c r="B451" s="157"/>
      <c r="C451" s="169">
        <f t="shared" si="125"/>
        <v>50</v>
      </c>
      <c r="D451" s="350" t="str">
        <f t="shared" si="125"/>
        <v/>
      </c>
      <c r="E451" s="350" t="str">
        <f t="shared" si="126"/>
        <v/>
      </c>
      <c r="F451" s="387"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7" t="str">
        <f t="shared" si="123"/>
        <v/>
      </c>
      <c r="X451" s="350" t="str">
        <f t="shared" si="124"/>
        <v/>
      </c>
      <c r="Y451" s="125"/>
    </row>
    <row r="452" spans="1:25" ht="16.149999999999999" customHeight="1">
      <c r="A452" s="109">
        <v>44</v>
      </c>
      <c r="B452" s="157"/>
      <c r="C452" s="169">
        <f t="shared" si="125"/>
        <v>100</v>
      </c>
      <c r="D452" s="350" t="str">
        <f t="shared" si="125"/>
        <v/>
      </c>
      <c r="E452" s="350" t="str">
        <f t="shared" si="126"/>
        <v/>
      </c>
      <c r="F452" s="387"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7" t="str">
        <f t="shared" si="123"/>
        <v/>
      </c>
      <c r="X452" s="350" t="str">
        <f t="shared" si="124"/>
        <v/>
      </c>
      <c r="Y452" s="125"/>
    </row>
    <row r="453" spans="1:25" ht="16.149999999999999" customHeight="1">
      <c r="A453" s="109">
        <v>45</v>
      </c>
      <c r="B453" s="157"/>
      <c r="C453" s="169">
        <f t="shared" si="125"/>
        <v>300</v>
      </c>
      <c r="D453" s="350" t="str">
        <f t="shared" si="125"/>
        <v/>
      </c>
      <c r="E453" s="350" t="str">
        <f t="shared" si="126"/>
        <v/>
      </c>
      <c r="F453" s="387"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7" t="str">
        <f t="shared" ref="W453" si="127">IF(V453="","",V453/S453)</f>
        <v/>
      </c>
      <c r="X453" s="350" t="str">
        <f t="shared" ref="X453" si="128">IF(OR(V453="",U453=""),"",V453/(U453/1000))</f>
        <v/>
      </c>
      <c r="Y453" s="125"/>
    </row>
    <row r="454" spans="1:25" ht="16.149999999999999" customHeight="1" thickBot="1">
      <c r="A454" s="109">
        <v>46</v>
      </c>
      <c r="B454" s="157"/>
      <c r="C454" s="169">
        <f t="shared" si="125"/>
        <v>400</v>
      </c>
      <c r="D454" s="350" t="str">
        <f t="shared" si="125"/>
        <v/>
      </c>
      <c r="E454" s="350" t="str">
        <f t="shared" si="126"/>
        <v/>
      </c>
      <c r="F454" s="387"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149999999999999" customHeight="1" thickBot="1">
      <c r="A455" s="109">
        <v>47</v>
      </c>
      <c r="B455" s="157"/>
      <c r="C455" s="113"/>
      <c r="D455" s="113"/>
      <c r="E455" s="129" t="s">
        <v>327</v>
      </c>
      <c r="F455" s="434"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149999999999999"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58" t="s">
        <v>300</v>
      </c>
      <c r="U456" s="658"/>
      <c r="V456" s="658"/>
      <c r="W456" s="658"/>
      <c r="X456" s="658"/>
      <c r="Y456" s="125"/>
    </row>
    <row r="457" spans="1:25" ht="16.149999999999999"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149999999999999"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7" t="str">
        <f>IF(V458="","",V458/S458)</f>
        <v/>
      </c>
      <c r="X458" s="350" t="str">
        <f>IF(OR(V458="",U458=""),"",V458/(U458/1000))</f>
        <v/>
      </c>
      <c r="Y458" s="125"/>
    </row>
    <row r="459" spans="1:25" ht="16.149999999999999" customHeight="1">
      <c r="A459" s="109">
        <v>51</v>
      </c>
      <c r="B459" s="157"/>
      <c r="C459" s="435" t="s">
        <v>47</v>
      </c>
      <c r="D459" s="435" t="str">
        <f>$P$417&amp;"/"&amp;$Q$417</f>
        <v>W/Rh</v>
      </c>
      <c r="E459" s="435" t="str">
        <f>$P$417&amp;"/"&amp;$Q$417</f>
        <v>W/Rh</v>
      </c>
      <c r="F459" s="435" t="str">
        <f>$P$417&amp;"/"&amp;$Q$417</f>
        <v>W/Rh</v>
      </c>
      <c r="G459" s="435" t="str">
        <f>$P$417&amp;"/"&amp;$Q$417</f>
        <v>W/Rh</v>
      </c>
      <c r="H459" s="435" t="str">
        <f>$P$429&amp;"/"&amp;$Q$429</f>
        <v>W/Ag</v>
      </c>
      <c r="I459" s="435" t="str">
        <f>$P$429&amp;"/"&amp;$Q$429</f>
        <v>W/Ag</v>
      </c>
      <c r="J459" s="435" t="str">
        <f>$P$429&amp;"/"&amp;$Q$429</f>
        <v>W/Ag</v>
      </c>
      <c r="K459" s="435"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7" t="str">
        <f>IF(V459="","",V459/S459)</f>
        <v/>
      </c>
      <c r="X459" s="350" t="str">
        <f>IF(OR(V459="",U459=""),"",V459/(U459/1000))</f>
        <v/>
      </c>
      <c r="Y459" s="125"/>
    </row>
    <row r="460" spans="1:25" ht="16.149999999999999"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7" t="str">
        <f>IF(V460="","",V460/S460)</f>
        <v/>
      </c>
      <c r="X460" s="350" t="str">
        <f>IF(OR(V460="",U460=""),"",V460/(U460/1000))</f>
        <v/>
      </c>
      <c r="Y460" s="125"/>
    </row>
    <row r="461" spans="1:25" ht="16.149999999999999" customHeight="1">
      <c r="A461" s="109">
        <v>53</v>
      </c>
      <c r="B461" s="157"/>
      <c r="C461" s="436" t="s">
        <v>334</v>
      </c>
      <c r="D461" s="437" t="str">
        <f t="shared" ref="D461:K461" si="130">IF(Q485="","",Q485)</f>
        <v/>
      </c>
      <c r="E461" s="437" t="str">
        <f t="shared" si="130"/>
        <v/>
      </c>
      <c r="F461" s="437" t="str">
        <f t="shared" si="130"/>
        <v/>
      </c>
      <c r="G461" s="437" t="str">
        <f t="shared" si="130"/>
        <v/>
      </c>
      <c r="H461" s="437" t="str">
        <f t="shared" si="130"/>
        <v/>
      </c>
      <c r="I461" s="437" t="str">
        <f t="shared" si="130"/>
        <v/>
      </c>
      <c r="J461" s="437" t="str">
        <f t="shared" si="130"/>
        <v/>
      </c>
      <c r="K461" s="161" t="str">
        <f t="shared" si="130"/>
        <v/>
      </c>
      <c r="L461" s="113"/>
      <c r="M461" s="158"/>
      <c r="N461" s="113"/>
      <c r="O461" s="123"/>
      <c r="P461" s="169" t="str">
        <f>Sheet2!C11</f>
        <v>W</v>
      </c>
      <c r="Q461" s="169" t="str">
        <f>Sheet2!D11</f>
        <v>Rh</v>
      </c>
      <c r="R461" s="169">
        <f>Sheet2!A11</f>
        <v>28</v>
      </c>
      <c r="S461" s="169">
        <f>Sheet2!B11</f>
        <v>50</v>
      </c>
      <c r="T461" s="428" t="str">
        <f>IF(Sheet2!F11="","",Sheet2!F11)</f>
        <v/>
      </c>
      <c r="U461" s="429" t="str">
        <f>IF(Sheet2!G11="","",Sheet2!G11)</f>
        <v/>
      </c>
      <c r="V461" s="428" t="str">
        <f>IF(Sheet2!H11="","",Sheet2!H11)</f>
        <v/>
      </c>
      <c r="W461" s="430" t="str">
        <f>IF(V461="","",V461/S461)</f>
        <v/>
      </c>
      <c r="X461" s="428" t="str">
        <f>IF(OR(V461="",U461=""),"",V461/(U461/1000))</f>
        <v/>
      </c>
      <c r="Y461" s="125"/>
    </row>
    <row r="462" spans="1:25" ht="16.149999999999999" customHeight="1" thickBot="1">
      <c r="A462" s="109">
        <v>54</v>
      </c>
      <c r="B462" s="157"/>
      <c r="C462" s="439"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7" t="str">
        <f>IF(OR(W458="",W459="",W460="",W461=""),"",AVERAGE(W458:W461))</f>
        <v/>
      </c>
      <c r="X462" s="350" t="str">
        <f>IF(OR(X458="",X459="",X460="",X461=""),"",AVERAGE(X458:X461))</f>
        <v/>
      </c>
      <c r="Y462" s="125"/>
    </row>
    <row r="463" spans="1:25" ht="16.149999999999999" customHeight="1">
      <c r="A463" s="109">
        <v>55</v>
      </c>
      <c r="B463" s="157"/>
      <c r="C463" s="436" t="s">
        <v>336</v>
      </c>
      <c r="D463" s="437">
        <f t="shared" ref="D463:K465" si="132">Q486</f>
        <v>0.27</v>
      </c>
      <c r="E463" s="437">
        <f t="shared" si="132"/>
        <v>0.28000000000000003</v>
      </c>
      <c r="F463" s="437">
        <f t="shared" si="132"/>
        <v>0.31000000000000005</v>
      </c>
      <c r="G463" s="437">
        <f t="shared" si="132"/>
        <v>0.35</v>
      </c>
      <c r="H463" s="437">
        <f t="shared" si="132"/>
        <v>0.31000000000000005</v>
      </c>
      <c r="I463" s="437">
        <f t="shared" si="132"/>
        <v>0.32999999999999996</v>
      </c>
      <c r="J463" s="437">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149999999999999" customHeight="1" thickBot="1">
      <c r="A464" s="109">
        <v>56</v>
      </c>
      <c r="B464" s="157"/>
      <c r="C464" s="439"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149999999999999"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6"/>
      <c r="U465" s="426"/>
      <c r="V465" s="431"/>
      <c r="W465" s="432" t="str">
        <f>IF(AB88="","",AB88)</f>
        <v/>
      </c>
      <c r="X465" s="433" t="str">
        <f>IF(AB89="","",AB89)</f>
        <v/>
      </c>
      <c r="Y465" s="125"/>
    </row>
    <row r="466" spans="1:25" ht="16.149999999999999"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149999999999999" customHeight="1">
      <c r="A467" s="109">
        <v>59</v>
      </c>
      <c r="B467" s="157"/>
      <c r="C467" s="435" t="s">
        <v>47</v>
      </c>
      <c r="D467" s="435" t="str">
        <f>$P$438&amp;"/"&amp;$Q$438</f>
        <v>W/Al</v>
      </c>
      <c r="E467" s="435" t="str">
        <f>$P$438&amp;"/"&amp;$Q$438</f>
        <v>W/Al</v>
      </c>
      <c r="F467" s="435" t="str">
        <f>$P$438&amp;"/"&amp;$Q$438</f>
        <v>W/Al</v>
      </c>
      <c r="G467" s="435" t="str">
        <f>$P$438&amp;"/"&amp;$Q$438</f>
        <v>W/Al</v>
      </c>
      <c r="H467" s="435" t="str">
        <f>$P$438&amp;"/"&amp;$Q$438</f>
        <v>W/Al</v>
      </c>
      <c r="I467" s="113"/>
      <c r="J467" s="113"/>
      <c r="K467" s="113"/>
      <c r="L467" s="113"/>
      <c r="M467" s="158"/>
      <c r="O467" s="123"/>
      <c r="P467" s="113"/>
      <c r="Q467" s="120" t="s">
        <v>323</v>
      </c>
      <c r="R467" s="113"/>
      <c r="S467" s="113"/>
      <c r="T467" s="113"/>
      <c r="U467" s="113"/>
      <c r="V467" s="113"/>
      <c r="W467" s="113"/>
      <c r="X467" s="113"/>
      <c r="Y467" s="125"/>
    </row>
    <row r="468" spans="1:25" ht="16.149999999999999"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149999999999999" customHeight="1" thickBot="1">
      <c r="A469" s="109">
        <v>61</v>
      </c>
      <c r="B469" s="157"/>
      <c r="C469" s="436" t="s">
        <v>334</v>
      </c>
      <c r="D469" s="437" t="str">
        <f t="shared" ref="D469:H471" si="133">IF(Q497="","",Q497)</f>
        <v/>
      </c>
      <c r="E469" s="437" t="str">
        <f t="shared" si="133"/>
        <v/>
      </c>
      <c r="F469" s="437" t="str">
        <f t="shared" si="133"/>
        <v/>
      </c>
      <c r="G469" s="437" t="str">
        <f t="shared" si="133"/>
        <v/>
      </c>
      <c r="H469" s="437" t="str">
        <f t="shared" si="133"/>
        <v/>
      </c>
      <c r="I469" s="113"/>
      <c r="J469" s="113"/>
      <c r="K469" s="113"/>
      <c r="L469" s="113"/>
      <c r="M469" s="158"/>
      <c r="O469" s="241" t="s">
        <v>325</v>
      </c>
      <c r="P469" s="115"/>
      <c r="Q469" s="115"/>
      <c r="R469" s="115"/>
      <c r="S469" s="115"/>
      <c r="T469" s="115"/>
      <c r="U469" s="115"/>
      <c r="V469" s="115"/>
      <c r="W469" s="115"/>
      <c r="X469" s="115"/>
      <c r="Y469" s="116"/>
    </row>
    <row r="470" spans="1:25" ht="16.149999999999999" customHeight="1">
      <c r="A470" s="109">
        <v>62</v>
      </c>
      <c r="B470" s="157"/>
      <c r="C470" s="436" t="s">
        <v>336</v>
      </c>
      <c r="D470" s="437">
        <f t="shared" si="133"/>
        <v>0.31000000000000005</v>
      </c>
      <c r="E470" s="437">
        <f t="shared" si="133"/>
        <v>0.32999999999999996</v>
      </c>
      <c r="F470" s="437">
        <f t="shared" si="133"/>
        <v>0.35</v>
      </c>
      <c r="G470" s="437">
        <f t="shared" si="133"/>
        <v>0.37</v>
      </c>
      <c r="H470" s="437">
        <f t="shared" si="133"/>
        <v>0.39</v>
      </c>
      <c r="I470" s="113"/>
      <c r="J470" s="113"/>
      <c r="K470" s="113"/>
      <c r="L470" s="113"/>
      <c r="M470" s="158"/>
      <c r="O470" s="123"/>
      <c r="P470" s="113"/>
      <c r="Q470" s="113"/>
      <c r="R470" s="113"/>
      <c r="S470" s="113"/>
      <c r="T470" s="658" t="s">
        <v>300</v>
      </c>
      <c r="U470" s="658"/>
      <c r="V470" s="658"/>
      <c r="W470" s="658"/>
      <c r="X470" s="658"/>
      <c r="Y470" s="125"/>
    </row>
    <row r="471" spans="1:25" ht="16.149999999999999" customHeight="1" thickBot="1">
      <c r="A471" s="109">
        <v>63</v>
      </c>
      <c r="B471" s="157"/>
      <c r="C471" s="439"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149999999999999"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7" t="str">
        <f>IF(V472="","",V472/S472)</f>
        <v/>
      </c>
      <c r="X472" s="350" t="str">
        <f>IF(OR(V472="",U472=""),"",V472/(U472/1000))</f>
        <v/>
      </c>
      <c r="Y472" s="125"/>
    </row>
    <row r="473" spans="1:25" ht="16.149999999999999"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7" t="str">
        <f>W462</f>
        <v/>
      </c>
      <c r="X473" s="350" t="str">
        <f>X462</f>
        <v/>
      </c>
      <c r="Y473" s="125"/>
    </row>
    <row r="474" spans="1:25" ht="16.149999999999999" customHeight="1" thickBot="1">
      <c r="A474" s="109">
        <v>66</v>
      </c>
      <c r="B474" s="174"/>
      <c r="C474" s="511"/>
      <c r="D474" s="511"/>
      <c r="E474" s="511"/>
      <c r="F474" s="511"/>
      <c r="G474" s="511"/>
      <c r="H474" s="511"/>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7" t="str">
        <f>IF(V474="","",V474/S474)</f>
        <v/>
      </c>
      <c r="X474" s="350" t="str">
        <f>IF(OR(V474="",U474=""),"",V474/(U474/1000))</f>
        <v/>
      </c>
      <c r="Y474" s="125"/>
    </row>
    <row r="475" spans="1:25" ht="16.149999999999999"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7" t="str">
        <f>IF(V475="","",V475/S475)</f>
        <v/>
      </c>
      <c r="X475" s="350" t="str">
        <f>IF(OR(V475="",U475=""),"",V475/(U475/1000))</f>
        <v/>
      </c>
      <c r="Y475" s="125"/>
    </row>
    <row r="476" spans="1:25" ht="16.149999999999999"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7" t="str">
        <f>IF(V476="","",V476/S476)</f>
        <v/>
      </c>
      <c r="X476" s="350" t="str">
        <f>IF(OR(V476="",U476=""),"",V476/(U476/1000))</f>
        <v/>
      </c>
      <c r="Y476" s="125"/>
    </row>
    <row r="477" spans="1:25" ht="16.149999999999999"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8" t="str">
        <f>IF(OR(W472="",W473=""),"",(MAX(W472:W476)-MIN(W472:W476))/(MAX(W472:W476)+MIN(W472:W476)))</f>
        <v/>
      </c>
      <c r="X477" s="113"/>
      <c r="Y477" s="125"/>
    </row>
    <row r="478" spans="1:25" ht="16.149999999999999"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149999999999999" customHeight="1" thickTop="1" thickBot="1">
      <c r="A479" s="109">
        <v>3</v>
      </c>
      <c r="B479" s="569" t="s">
        <v>824</v>
      </c>
      <c r="C479" s="514"/>
      <c r="D479" s="514"/>
      <c r="E479" s="514"/>
      <c r="F479" s="514"/>
      <c r="G479" s="514"/>
      <c r="H479" s="514"/>
      <c r="I479" s="514"/>
      <c r="J479" s="514"/>
      <c r="K479" s="514"/>
      <c r="L479" s="514"/>
      <c r="M479" s="515"/>
      <c r="O479" s="134"/>
      <c r="P479" s="135"/>
      <c r="Q479" s="135"/>
      <c r="R479" s="135"/>
      <c r="S479" s="135"/>
      <c r="T479" s="135"/>
      <c r="U479" s="135"/>
      <c r="V479" s="135"/>
      <c r="W479" s="135"/>
      <c r="X479" s="135"/>
      <c r="Y479" s="136"/>
    </row>
    <row r="480" spans="1:25" ht="16.149999999999999" customHeight="1">
      <c r="A480" s="109">
        <v>4</v>
      </c>
      <c r="B480" s="508"/>
      <c r="C480" s="129" t="s">
        <v>29</v>
      </c>
      <c r="D480" s="245" t="str">
        <f>IF(P447="","",P447)</f>
        <v>W</v>
      </c>
      <c r="E480" s="129"/>
      <c r="F480" s="128"/>
      <c r="H480" s="129" t="s">
        <v>296</v>
      </c>
      <c r="I480" s="491" t="str">
        <f>IF($P$412="","",$P$412)</f>
        <v/>
      </c>
      <c r="K480" s="129" t="s">
        <v>297</v>
      </c>
      <c r="L480" s="579" t="str">
        <f>IF($T$412="","",$T$412)</f>
        <v/>
      </c>
      <c r="M480" s="509"/>
      <c r="O480" s="241" t="s">
        <v>329</v>
      </c>
      <c r="P480" s="115"/>
      <c r="Q480" s="244">
        <v>1</v>
      </c>
      <c r="R480" s="115" t="s">
        <v>330</v>
      </c>
      <c r="S480" s="115"/>
      <c r="T480" s="115"/>
      <c r="U480" s="115"/>
      <c r="V480" s="115"/>
      <c r="W480" s="115"/>
      <c r="X480" s="115"/>
      <c r="Y480" s="116"/>
    </row>
    <row r="481" spans="1:25" ht="16.149999999999999" customHeight="1">
      <c r="A481" s="109">
        <v>5</v>
      </c>
      <c r="B481" s="508"/>
      <c r="C481" s="129" t="s">
        <v>31</v>
      </c>
      <c r="D481" s="485" t="str">
        <f>IF(Q447="","",Q447)</f>
        <v>Cu</v>
      </c>
      <c r="E481" s="173"/>
      <c r="F481" s="173"/>
      <c r="H481" s="129" t="s">
        <v>314</v>
      </c>
      <c r="I481" s="270" t="str">
        <f>IF($P$413="","",$P$413)</f>
        <v/>
      </c>
      <c r="K481" s="129" t="s">
        <v>299</v>
      </c>
      <c r="L481" s="580" t="str">
        <f>IF($T$413="","",$T$413)</f>
        <v/>
      </c>
      <c r="M481" s="509"/>
      <c r="O481" s="123"/>
      <c r="P481" s="435" t="s">
        <v>47</v>
      </c>
      <c r="Q481" s="435" t="str">
        <f>$P$417&amp;"/"&amp;$Q$417</f>
        <v>W/Rh</v>
      </c>
      <c r="R481" s="435" t="str">
        <f>$P$417&amp;"/"&amp;$Q$417</f>
        <v>W/Rh</v>
      </c>
      <c r="S481" s="435" t="str">
        <f>$P$417&amp;"/"&amp;$Q$417</f>
        <v>W/Rh</v>
      </c>
      <c r="T481" s="435" t="str">
        <f>$P$417&amp;"/"&amp;$Q$417</f>
        <v>W/Rh</v>
      </c>
      <c r="U481" s="435" t="str">
        <f>$P$429&amp;"/"&amp;$Q$429</f>
        <v>W/Ag</v>
      </c>
      <c r="V481" s="435" t="str">
        <f>$P$429&amp;"/"&amp;$Q$429</f>
        <v>W/Ag</v>
      </c>
      <c r="W481" s="435" t="str">
        <f>$P$429&amp;"/"&amp;$Q$429</f>
        <v>W/Ag</v>
      </c>
      <c r="X481" s="435" t="str">
        <f>$P$429&amp;"/"&amp;$Q$429</f>
        <v>W/Ag</v>
      </c>
      <c r="Y481" s="125"/>
    </row>
    <row r="482" spans="1:25" ht="16.149999999999999" customHeight="1">
      <c r="A482" s="109">
        <v>6</v>
      </c>
      <c r="B482" s="508"/>
      <c r="C482" s="165" t="s">
        <v>315</v>
      </c>
      <c r="G482" s="165" t="s">
        <v>338</v>
      </c>
      <c r="M482" s="509"/>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149999999999999" customHeight="1" thickBot="1">
      <c r="A483" s="109">
        <v>7</v>
      </c>
      <c r="B483" s="508"/>
      <c r="C483" s="286" t="s">
        <v>152</v>
      </c>
      <c r="D483" s="286" t="s">
        <v>153</v>
      </c>
      <c r="E483" s="286"/>
      <c r="M483" s="509"/>
      <c r="O483" s="123"/>
      <c r="P483" s="497" t="s">
        <v>332</v>
      </c>
      <c r="Q483" s="654" t="s">
        <v>333</v>
      </c>
      <c r="R483" s="654"/>
      <c r="S483" s="654"/>
      <c r="T483" s="654"/>
      <c r="U483" s="654"/>
      <c r="V483" s="654"/>
      <c r="W483" s="654"/>
      <c r="X483" s="654"/>
      <c r="Y483" s="125"/>
    </row>
    <row r="484" spans="1:25" ht="16.149999999999999" customHeight="1" thickBot="1">
      <c r="A484" s="109">
        <v>8</v>
      </c>
      <c r="B484" s="508"/>
      <c r="C484" s="418" t="s">
        <v>48</v>
      </c>
      <c r="D484" s="418" t="s">
        <v>48</v>
      </c>
      <c r="E484" s="418" t="s">
        <v>316</v>
      </c>
      <c r="G484" s="286" t="s">
        <v>48</v>
      </c>
      <c r="H484" s="117" t="s">
        <v>825</v>
      </c>
      <c r="I484" s="117" t="s">
        <v>250</v>
      </c>
      <c r="M484" s="509"/>
      <c r="O484" s="123"/>
      <c r="P484" s="440">
        <v>0</v>
      </c>
      <c r="Q484" s="443" t="str">
        <f>IF(Sheet2!H4="","",Sheet2!H4)</f>
        <v/>
      </c>
      <c r="R484" s="443" t="str">
        <f>IF(Sheet2!H5="","",Sheet2!H5)</f>
        <v/>
      </c>
      <c r="S484" s="443" t="str">
        <f>IF(Sheet2!H8="","",AVERAGE(Sheet2!H8:H11))</f>
        <v/>
      </c>
      <c r="T484" s="443" t="str">
        <f>IF(Sheet2!H16="","",Sheet2!H16)</f>
        <v/>
      </c>
      <c r="U484" s="443" t="str">
        <f>IF(Sheet2!H20="","",Sheet2!H20)</f>
        <v/>
      </c>
      <c r="V484" s="443" t="str">
        <f>IF(Sheet2!H21="","",Sheet2!H21)</f>
        <v/>
      </c>
      <c r="W484" s="443" t="str">
        <f>IF(Sheet2!H22="","",Sheet2!H22)</f>
        <v/>
      </c>
      <c r="X484" s="571" t="str">
        <f>IF(Sheet2!H23="","",Sheet2!H23)</f>
        <v/>
      </c>
      <c r="Y484" s="125"/>
    </row>
    <row r="485" spans="1:25" ht="16.149999999999999" customHeight="1" thickBot="1">
      <c r="A485" s="109">
        <v>9</v>
      </c>
      <c r="B485" s="508"/>
      <c r="C485" s="169">
        <f t="shared" ref="C485:C491" si="134">IF(R447="","",R447)</f>
        <v>40</v>
      </c>
      <c r="D485" s="170" t="str">
        <f t="shared" ref="D485:D491" si="135">IF(T447="","",T447)</f>
        <v/>
      </c>
      <c r="E485" s="302" t="str">
        <f t="shared" ref="E485:E490" si="136">IF(OR(C485="",D485=""),"",IF(AND(C485&gt;0,D485&gt;0),(D485-C485)/C485,""))</f>
        <v/>
      </c>
      <c r="G485" s="259">
        <f>IF(Q504="","",Q504)</f>
        <v>40</v>
      </c>
      <c r="H485" s="484" t="str">
        <f>IF(Q507="","",Q507)</f>
        <v/>
      </c>
      <c r="I485" s="259" t="str">
        <f>IF(Q510="","",Q510)</f>
        <v/>
      </c>
      <c r="M485" s="509"/>
      <c r="O485" s="123"/>
      <c r="P485" s="436" t="s">
        <v>334</v>
      </c>
      <c r="Q485" s="441" t="str">
        <f>IF(Sheet2!J4="","",Sheet2!J4)</f>
        <v/>
      </c>
      <c r="R485" s="441" t="str">
        <f>IF(Sheet2!J5="","",Sheet2!J5)</f>
        <v/>
      </c>
      <c r="S485" s="441" t="str">
        <f>IF(Sheet2!J7="","",AVERAGE(Sheet2!J7:J14))</f>
        <v/>
      </c>
      <c r="T485" s="441" t="str">
        <f>IF(Sheet2!J16="","",Sheet2!J16)</f>
        <v/>
      </c>
      <c r="U485" s="441" t="str">
        <f>IF(Sheet2!J20="","",Sheet2!J20)</f>
        <v/>
      </c>
      <c r="V485" s="441" t="str">
        <f>IF(Sheet2!J21="","",Sheet2!J21)</f>
        <v/>
      </c>
      <c r="W485" s="441" t="str">
        <f>IF(Sheet2!J22="","",Sheet2!J22)</f>
        <v/>
      </c>
      <c r="X485" s="442" t="str">
        <f>IF(Sheet2!J23="","",Sheet2!J23)</f>
        <v/>
      </c>
      <c r="Y485" s="125"/>
    </row>
    <row r="486" spans="1:25" ht="16.149999999999999" customHeight="1">
      <c r="A486" s="109">
        <v>10</v>
      </c>
      <c r="B486" s="508"/>
      <c r="C486" s="169">
        <f t="shared" si="134"/>
        <v>42</v>
      </c>
      <c r="D486" s="350" t="str">
        <f t="shared" si="135"/>
        <v/>
      </c>
      <c r="E486" s="302" t="str">
        <f t="shared" si="136"/>
        <v/>
      </c>
      <c r="G486" s="259">
        <f>IF(R504="","",R504)</f>
        <v>42</v>
      </c>
      <c r="H486" s="484" t="str">
        <f>IF(R507="","",R507)</f>
        <v/>
      </c>
      <c r="I486" s="259" t="str">
        <f>IF(R510="","",R510)</f>
        <v/>
      </c>
      <c r="M486" s="509"/>
      <c r="O486" s="123"/>
      <c r="P486" s="436" t="s">
        <v>336</v>
      </c>
      <c r="Q486" s="443">
        <f t="shared" ref="Q486:X486" si="137">IF($Q$480=1,Q482/100+0.03,Q482/100)</f>
        <v>0.27</v>
      </c>
      <c r="R486" s="443">
        <f t="shared" si="137"/>
        <v>0.28000000000000003</v>
      </c>
      <c r="S486" s="443">
        <f t="shared" si="137"/>
        <v>0.31000000000000005</v>
      </c>
      <c r="T486" s="443">
        <f t="shared" si="137"/>
        <v>0.35</v>
      </c>
      <c r="U486" s="443">
        <f t="shared" si="137"/>
        <v>0.31000000000000005</v>
      </c>
      <c r="V486" s="443">
        <f t="shared" si="137"/>
        <v>0.32999999999999996</v>
      </c>
      <c r="W486" s="443">
        <f t="shared" si="137"/>
        <v>0.35</v>
      </c>
      <c r="X486" s="444">
        <f t="shared" si="137"/>
        <v>0.37</v>
      </c>
      <c r="Y486" s="125"/>
    </row>
    <row r="487" spans="1:25" ht="16.149999999999999" customHeight="1" thickBot="1">
      <c r="A487" s="109">
        <v>11</v>
      </c>
      <c r="B487" s="508"/>
      <c r="C487" s="169">
        <f t="shared" si="134"/>
        <v>44</v>
      </c>
      <c r="D487" s="350" t="str">
        <f t="shared" si="135"/>
        <v/>
      </c>
      <c r="E487" s="302" t="str">
        <f t="shared" si="136"/>
        <v/>
      </c>
      <c r="G487" s="259">
        <f>IF(S504="","",S504)</f>
        <v>44</v>
      </c>
      <c r="H487" s="484" t="str">
        <f>S507</f>
        <v/>
      </c>
      <c r="I487" s="259" t="str">
        <f>IF(S510="","",S510)</f>
        <v/>
      </c>
      <c r="M487" s="509"/>
      <c r="O487" s="123"/>
      <c r="P487" s="445" t="s">
        <v>337</v>
      </c>
      <c r="Q487" s="446">
        <f>Q482/100+0.12</f>
        <v>0.36</v>
      </c>
      <c r="R487" s="446">
        <f>R482/100+0.12</f>
        <v>0.37</v>
      </c>
      <c r="S487" s="446">
        <f>S482/100+0.12</f>
        <v>0.4</v>
      </c>
      <c r="T487" s="446">
        <f>T482/100+0.12</f>
        <v>0.44</v>
      </c>
      <c r="U487" s="446">
        <f>U482/100+0.19</f>
        <v>0.47000000000000003</v>
      </c>
      <c r="V487" s="446">
        <f>V482/100+0.19</f>
        <v>0.49</v>
      </c>
      <c r="W487" s="446">
        <f>W482/100+0.19</f>
        <v>0.51</v>
      </c>
      <c r="X487" s="447">
        <f>X482/100+0.19</f>
        <v>0.53</v>
      </c>
      <c r="Y487" s="125"/>
    </row>
    <row r="488" spans="1:25" ht="16.149999999999999" customHeight="1" thickBot="1">
      <c r="A488" s="109">
        <v>12</v>
      </c>
      <c r="B488" s="508"/>
      <c r="C488" s="169">
        <f t="shared" si="134"/>
        <v>45</v>
      </c>
      <c r="D488" s="350" t="str">
        <f t="shared" si="135"/>
        <v/>
      </c>
      <c r="E488" s="302" t="str">
        <f t="shared" si="136"/>
        <v/>
      </c>
      <c r="G488" s="259">
        <f>IF(T504="","",T504)</f>
        <v>45</v>
      </c>
      <c r="H488" s="484" t="str">
        <f>IF(T507="","",T507)</f>
        <v/>
      </c>
      <c r="I488" s="259" t="str">
        <f>IF(T510="","",T510)</f>
        <v/>
      </c>
      <c r="M488" s="509"/>
      <c r="O488" s="123"/>
      <c r="P488" s="448"/>
      <c r="Q488" s="449" t="str">
        <f>IF(Q485="","",IF($P$417="Mo",IF(AND(Q485&gt;Q486,Q485&lt;Q487),"Pass","Fail"),IF($P$417="W",IF(Q485&gt;Q486,"Pass","Fail"),"")))</f>
        <v/>
      </c>
      <c r="R488" s="449" t="str">
        <f>IF(R485="","",IF($P$417="Mo",IF(AND(R485&gt;R486,R485&lt;R487),"Pass","Fail"),IF($P$417="W",IF(R485&gt;R486,"Pass","Fail"),"")))</f>
        <v/>
      </c>
      <c r="S488" s="449" t="str">
        <f>IF(S485="","",IF($P$417="Mo",IF(AND(S485&gt;S486,S485&lt;S487),"Pass","Fail"),IF($P$417="W",IF(S485&gt;S486,"Pass","Fail"),"")))</f>
        <v/>
      </c>
      <c r="T488" s="449" t="str">
        <f>IF(T485="","",IF($P$417="Mo",IF(AND(T485&gt;T486,T485&lt;T487),"Pass","Fail"),IF($P$417="W",IF(T485&gt;T486,"Pass","Fail"),"")))</f>
        <v/>
      </c>
      <c r="U488" s="449" t="str">
        <f>IF(U485="","",IF($P$429="Mo",IF(AND(U485&gt;U486,U485&lt;U487),"Pass","Fail"),IF($P$429="W",IF(U485&gt;U486,"Pass","Fail"),"")))</f>
        <v/>
      </c>
      <c r="V488" s="449" t="str">
        <f>IF(V485="","",IF($P$429="Mo",IF(AND(V485&gt;V486,V485&lt;V487),"Pass","Fail"),IF($P$429="W",IF(V485&gt;V486,"Pass","Fail"),"")))</f>
        <v/>
      </c>
      <c r="W488" s="449" t="str">
        <f>IF(W485="","",IF($P$429="Mo",IF(AND(W485&gt;W486,W485&lt;W487),"Pass","Fail"),IF($P$429="W",IF(W485&gt;W486,"Pass","Fail"),"")))</f>
        <v/>
      </c>
      <c r="X488" s="449" t="str">
        <f>IF(X485="","",IF($P$429="Mo",IF(AND(X485&gt;X486,X485&lt;X487),"Pass","Fail"),IF($P$429="W",IF(X485&gt;X486,"Pass","Fail"),"")))</f>
        <v/>
      </c>
      <c r="Y488" s="125"/>
    </row>
    <row r="489" spans="1:25" ht="16.149999999999999" customHeight="1">
      <c r="A489" s="109">
        <v>13</v>
      </c>
      <c r="B489" s="508"/>
      <c r="C489" s="169">
        <f t="shared" si="134"/>
        <v>46</v>
      </c>
      <c r="D489" s="350" t="str">
        <f t="shared" si="135"/>
        <v/>
      </c>
      <c r="E489" s="302" t="str">
        <f t="shared" si="136"/>
        <v/>
      </c>
      <c r="G489" s="259">
        <f>IF(U504="","",U504)</f>
        <v>46</v>
      </c>
      <c r="H489" s="484" t="str">
        <f>IF(U507="","",U507)</f>
        <v/>
      </c>
      <c r="I489" s="259" t="str">
        <f>IF(U510="","",U510)</f>
        <v/>
      </c>
      <c r="M489" s="509"/>
      <c r="O489" s="123"/>
      <c r="Y489" s="125"/>
    </row>
    <row r="490" spans="1:25" ht="16.149999999999999" customHeight="1">
      <c r="A490" s="109">
        <v>14</v>
      </c>
      <c r="B490" s="508"/>
      <c r="C490" s="169">
        <f t="shared" si="134"/>
        <v>48</v>
      </c>
      <c r="D490" s="350" t="str">
        <f t="shared" si="135"/>
        <v/>
      </c>
      <c r="E490" s="302" t="str">
        <f t="shared" si="136"/>
        <v/>
      </c>
      <c r="G490" s="259">
        <f>IF(V504="","",V504)</f>
        <v>48</v>
      </c>
      <c r="H490" s="484" t="str">
        <f>IF(V507="","",V507)</f>
        <v/>
      </c>
      <c r="I490" s="259" t="str">
        <f>IF(V510="","",V510)</f>
        <v/>
      </c>
      <c r="M490" s="509"/>
      <c r="O490" s="123"/>
      <c r="U490" s="117" t="s">
        <v>807</v>
      </c>
      <c r="Y490" s="125"/>
    </row>
    <row r="491" spans="1:25" ht="16.149999999999999" customHeight="1" thickBot="1">
      <c r="A491" s="109">
        <v>15</v>
      </c>
      <c r="B491" s="508"/>
      <c r="C491" s="169">
        <f t="shared" si="134"/>
        <v>49</v>
      </c>
      <c r="D491" s="350" t="str">
        <f t="shared" si="135"/>
        <v/>
      </c>
      <c r="E491" s="302" t="str">
        <f t="shared" ref="E491" si="138">IF(OR(C491="",D491=""),"",IF(AND(C491&gt;0,D491&gt;0),(D491-C491)/C491,""))</f>
        <v/>
      </c>
      <c r="G491" s="259">
        <f>IF(W504="","",W504)</f>
        <v>49</v>
      </c>
      <c r="H491" s="484" t="str">
        <f>IF(W507="","",W507)</f>
        <v/>
      </c>
      <c r="I491" s="259" t="str">
        <f>IF(W510="","",W510)</f>
        <v/>
      </c>
      <c r="M491" s="509"/>
      <c r="O491" s="123"/>
      <c r="P491" s="208"/>
      <c r="Q491" s="173"/>
      <c r="R491" s="201"/>
      <c r="S491" s="201"/>
      <c r="T491" s="201"/>
      <c r="U491" s="201"/>
      <c r="V491" s="201"/>
      <c r="W491" s="201"/>
      <c r="X491" s="201"/>
      <c r="Y491" s="125"/>
    </row>
    <row r="492" spans="1:25" ht="16.149999999999999" customHeight="1" thickBot="1">
      <c r="A492" s="109">
        <v>16</v>
      </c>
      <c r="B492" s="508"/>
      <c r="C492" s="113"/>
      <c r="D492" s="421" t="s">
        <v>175</v>
      </c>
      <c r="E492" s="422" t="str">
        <f>IF(E485="","",IF(AND(ABS(MAX(E485:E490))&lt;=0.05,ABS(MIN(E485:E490))&lt;=0.05),"YES","NO"))</f>
        <v/>
      </c>
      <c r="M492" s="509"/>
      <c r="O492" s="243" t="s">
        <v>339</v>
      </c>
      <c r="P492" s="201"/>
      <c r="Q492" s="201"/>
      <c r="R492" s="201"/>
      <c r="S492" s="201"/>
      <c r="T492" s="201"/>
      <c r="U492" s="201"/>
      <c r="V492" s="201"/>
      <c r="W492" s="201"/>
      <c r="X492" s="201"/>
      <c r="Y492" s="125"/>
    </row>
    <row r="493" spans="1:25" ht="16.149999999999999" customHeight="1">
      <c r="A493" s="109">
        <v>17</v>
      </c>
      <c r="B493" s="508"/>
      <c r="M493" s="509"/>
      <c r="O493" s="123"/>
      <c r="P493" s="435" t="s">
        <v>47</v>
      </c>
      <c r="Q493" s="435" t="str">
        <f t="shared" ref="Q493:V493" si="139">$P$438&amp;"/"&amp;$Q$438</f>
        <v>W/Al</v>
      </c>
      <c r="R493" s="435" t="str">
        <f t="shared" si="139"/>
        <v>W/Al</v>
      </c>
      <c r="S493" s="435" t="str">
        <f t="shared" si="139"/>
        <v>W/Al</v>
      </c>
      <c r="T493" s="435" t="str">
        <f t="shared" si="139"/>
        <v>W/Al</v>
      </c>
      <c r="U493" s="435" t="str">
        <f t="shared" si="139"/>
        <v>W/Al</v>
      </c>
      <c r="V493" s="435" t="str">
        <f t="shared" si="139"/>
        <v>W/Al</v>
      </c>
      <c r="W493" s="201"/>
      <c r="X493" s="201"/>
      <c r="Y493" s="125"/>
    </row>
    <row r="494" spans="1:25" ht="16.149999999999999" customHeight="1">
      <c r="A494" s="109">
        <v>18</v>
      </c>
      <c r="B494" s="508"/>
      <c r="C494" s="506" t="s">
        <v>826</v>
      </c>
      <c r="M494" s="509"/>
      <c r="O494" s="123"/>
      <c r="P494" s="191" t="s">
        <v>234</v>
      </c>
      <c r="Q494" s="191">
        <f>Sheet2!A26</f>
        <v>28</v>
      </c>
      <c r="R494" s="191">
        <f>Sheet2!A27</f>
        <v>30</v>
      </c>
      <c r="S494" s="191">
        <f>Sheet2!A28</f>
        <v>32</v>
      </c>
      <c r="T494" s="191">
        <f>Sheet2!A29</f>
        <v>34</v>
      </c>
      <c r="U494" s="191">
        <f>Sheet2!A30</f>
        <v>36</v>
      </c>
      <c r="V494" s="191">
        <f>Sheet2!A31</f>
        <v>38</v>
      </c>
      <c r="W494" s="173"/>
      <c r="X494" s="173"/>
      <c r="Y494" s="450"/>
    </row>
    <row r="495" spans="1:25" ht="16.149999999999999" customHeight="1" thickBot="1">
      <c r="A495" s="109">
        <v>19</v>
      </c>
      <c r="B495" s="508"/>
      <c r="C495" s="117" t="s">
        <v>261</v>
      </c>
      <c r="D495" s="577">
        <f>IF(Q353="","",Q353)</f>
        <v>0</v>
      </c>
      <c r="F495" s="129" t="s">
        <v>172</v>
      </c>
      <c r="G495" s="575">
        <f>IF(T355="","",T355)</f>
        <v>29</v>
      </c>
      <c r="M495" s="509"/>
      <c r="O495" s="123"/>
      <c r="P495" s="497" t="s">
        <v>332</v>
      </c>
      <c r="Q495" s="654" t="s">
        <v>333</v>
      </c>
      <c r="R495" s="654"/>
      <c r="S495" s="654"/>
      <c r="T495" s="654"/>
      <c r="U495" s="654"/>
      <c r="V495" s="654"/>
      <c r="W495" s="201"/>
      <c r="X495" s="201"/>
      <c r="Y495" s="450"/>
    </row>
    <row r="496" spans="1:25" ht="16.149999999999999" customHeight="1" thickBot="1">
      <c r="A496" s="109">
        <v>20</v>
      </c>
      <c r="B496" s="508"/>
      <c r="C496" s="117" t="s">
        <v>264</v>
      </c>
      <c r="D496" s="575" t="str">
        <f>IF(Q356="","",Q356)</f>
        <v>W/Rh</v>
      </c>
      <c r="F496" s="129" t="s">
        <v>262</v>
      </c>
      <c r="G496" s="575">
        <f>IF(T356="","",T356)</f>
        <v>160</v>
      </c>
      <c r="M496" s="509"/>
      <c r="O496" s="123"/>
      <c r="P496" s="440">
        <v>0</v>
      </c>
      <c r="Q496" s="443" t="str">
        <f>IF(Sheet2!H26="","",Sheet2!H26)</f>
        <v/>
      </c>
      <c r="R496" s="443" t="str">
        <f>IF(Sheet2!H27="","",Sheet2!H27)</f>
        <v/>
      </c>
      <c r="S496" s="443" t="str">
        <f>IF(Sheet2!H28="","",Sheet2!H28)</f>
        <v/>
      </c>
      <c r="T496" s="443" t="str">
        <f>IF(Sheet2!H29="","",Sheet2!H29)</f>
        <v/>
      </c>
      <c r="U496" s="443" t="str">
        <f>IF(Sheet2!H30="","",Sheet2!H30)</f>
        <v/>
      </c>
      <c r="V496" s="443" t="str">
        <f>IF(Sheet2!H31="","",Sheet2!H31)</f>
        <v/>
      </c>
      <c r="W496" s="497"/>
      <c r="X496" s="497"/>
      <c r="Y496" s="125"/>
    </row>
    <row r="497" spans="1:25" ht="16.149999999999999" customHeight="1" thickBot="1">
      <c r="A497" s="109">
        <v>21</v>
      </c>
      <c r="B497" s="508"/>
      <c r="C497" s="113"/>
      <c r="D497" s="113"/>
      <c r="E497" s="113"/>
      <c r="F497" s="128" t="s">
        <v>230</v>
      </c>
      <c r="G497" s="113"/>
      <c r="H497" s="113" t="s">
        <v>267</v>
      </c>
      <c r="I497" s="113"/>
      <c r="J497" s="113"/>
      <c r="K497" s="113"/>
      <c r="M497" s="509"/>
      <c r="O497" s="123"/>
      <c r="P497" s="436" t="s">
        <v>334</v>
      </c>
      <c r="Q497" s="441" t="str">
        <f>IF(Sheet2!J26="","",Sheet2!J26)</f>
        <v/>
      </c>
      <c r="R497" s="441" t="str">
        <f>IF(Sheet2!J27="","",Sheet2!J27)</f>
        <v/>
      </c>
      <c r="S497" s="441" t="str">
        <f>IF(Sheet2!J28="","",Sheet2!J28)</f>
        <v/>
      </c>
      <c r="T497" s="441" t="str">
        <f>IF(Sheet2!J29="","",Sheet2!J29)</f>
        <v/>
      </c>
      <c r="U497" s="441" t="str">
        <f>IF(Sheet2!J30="","",Sheet2!J30)</f>
        <v/>
      </c>
      <c r="V497" s="441" t="str">
        <f>IF(Sheet2!J31="","",Sheet2!J31)</f>
        <v/>
      </c>
      <c r="W497" s="497"/>
      <c r="X497" s="497"/>
      <c r="Y497" s="125"/>
    </row>
    <row r="498" spans="1:25" ht="16.149999999999999" customHeight="1" thickBot="1">
      <c r="A498" s="109">
        <v>22</v>
      </c>
      <c r="B498" s="508"/>
      <c r="C498" s="128"/>
      <c r="D498" s="128" t="s">
        <v>49</v>
      </c>
      <c r="E498" s="128" t="s">
        <v>235</v>
      </c>
      <c r="F498" s="128" t="s">
        <v>236</v>
      </c>
      <c r="G498" s="128" t="s">
        <v>270</v>
      </c>
      <c r="H498" s="128" t="s">
        <v>271</v>
      </c>
      <c r="I498" s="113"/>
      <c r="J498" s="129" t="s">
        <v>272</v>
      </c>
      <c r="K498" s="246" t="e">
        <f>IF(X357="","",X357)</f>
        <v>#DIV/0!</v>
      </c>
      <c r="M498" s="509"/>
      <c r="O498" s="123"/>
      <c r="P498" s="436" t="s">
        <v>336</v>
      </c>
      <c r="Q498" s="443">
        <f t="shared" ref="Q498:V498" si="140">IF($Q$480=1,Q494/100+0.03,Q494/100)</f>
        <v>0.31000000000000005</v>
      </c>
      <c r="R498" s="443">
        <f t="shared" si="140"/>
        <v>0.32999999999999996</v>
      </c>
      <c r="S498" s="443">
        <f t="shared" si="140"/>
        <v>0.35</v>
      </c>
      <c r="T498" s="443">
        <f t="shared" si="140"/>
        <v>0.37</v>
      </c>
      <c r="U498" s="443">
        <f t="shared" si="140"/>
        <v>0.39</v>
      </c>
      <c r="V498" s="443">
        <f t="shared" si="140"/>
        <v>0.41000000000000003</v>
      </c>
      <c r="W498" s="448"/>
      <c r="X498" s="448"/>
      <c r="Y498" s="125"/>
    </row>
    <row r="499" spans="1:25" ht="16.149999999999999" customHeight="1" thickBot="1">
      <c r="A499" s="109">
        <v>23</v>
      </c>
      <c r="B499" s="508"/>
      <c r="C499" s="113"/>
      <c r="D499" s="383" t="str">
        <f>IF(Q359="","",Q359)</f>
        <v/>
      </c>
      <c r="E499" s="160" t="str">
        <f t="shared" ref="E499:H499" si="141">IF(R359="","",R359)</f>
        <v/>
      </c>
      <c r="F499" s="160" t="str">
        <f t="shared" si="141"/>
        <v/>
      </c>
      <c r="G499" s="384" t="str">
        <f t="shared" si="141"/>
        <v/>
      </c>
      <c r="H499" s="161" t="str">
        <f t="shared" si="141"/>
        <v/>
      </c>
      <c r="I499" s="113"/>
      <c r="J499" s="129" t="s">
        <v>275</v>
      </c>
      <c r="K499" s="246" t="str">
        <f t="shared" ref="K499:K503" si="142">IF(X358="","",X358)</f>
        <v/>
      </c>
      <c r="M499" s="509"/>
      <c r="O499" s="123"/>
      <c r="P499" s="445" t="s">
        <v>337</v>
      </c>
      <c r="Q499" s="446">
        <f>Q494/100+0.12</f>
        <v>0.4</v>
      </c>
      <c r="R499" s="446">
        <f>R494/100+0.12</f>
        <v>0.42</v>
      </c>
      <c r="S499" s="446">
        <f>S494/100+0.12</f>
        <v>0.44</v>
      </c>
      <c r="T499" s="446">
        <f>T494/100+0.12</f>
        <v>0.46</v>
      </c>
      <c r="U499" s="446">
        <f>U494/100+0.19</f>
        <v>0.55000000000000004</v>
      </c>
      <c r="V499" s="446">
        <f>V494/100+0.19</f>
        <v>0.57000000000000006</v>
      </c>
      <c r="W499" s="451"/>
      <c r="X499" s="451"/>
      <c r="Y499" s="125"/>
    </row>
    <row r="500" spans="1:25" ht="16.149999999999999" customHeight="1" thickBot="1">
      <c r="A500" s="109">
        <v>24</v>
      </c>
      <c r="B500" s="508"/>
      <c r="C500" s="113"/>
      <c r="D500" s="386" t="str">
        <f t="shared" ref="D500:D504" si="143">IF(Q360="","",Q360)</f>
        <v/>
      </c>
      <c r="E500" s="169" t="str">
        <f t="shared" ref="E500:H500" si="144">IF(R360="","",R360)</f>
        <v/>
      </c>
      <c r="F500" s="169" t="str">
        <f t="shared" si="144"/>
        <v/>
      </c>
      <c r="G500" s="387" t="str">
        <f t="shared" si="144"/>
        <v/>
      </c>
      <c r="H500" s="171" t="str">
        <f t="shared" si="144"/>
        <v/>
      </c>
      <c r="I500" s="113"/>
      <c r="J500" s="129" t="s">
        <v>277</v>
      </c>
      <c r="K500" s="246" t="str">
        <f t="shared" si="142"/>
        <v>TBD</v>
      </c>
      <c r="M500" s="509"/>
      <c r="O500" s="123"/>
      <c r="P500" s="448"/>
      <c r="Q500" s="449" t="str">
        <f>IF(OR($O$33=2,Q497=""),"",IF($P$438="Mo",IF(AND(Q497&gt;Q498,Q497&lt;Q499),"Pass","Fail"),IF($P$438="W",IF(Q497&gt;Q498,"Pass","Fail"),"")))</f>
        <v/>
      </c>
      <c r="R500" s="449" t="str">
        <f t="shared" ref="R500:U500" si="145">IF(OR($O$33=2,R497=""),"",IF($P$438="Mo",IF(AND(R497&gt;R498,R497&lt;R499),"Pass","Fail"),IF($P$438="W",IF(R497&gt;R498,"Pass","Fail"),"")))</f>
        <v/>
      </c>
      <c r="S500" s="449" t="str">
        <f t="shared" si="145"/>
        <v/>
      </c>
      <c r="T500" s="449" t="str">
        <f t="shared" si="145"/>
        <v/>
      </c>
      <c r="U500" s="449" t="str">
        <f t="shared" si="145"/>
        <v/>
      </c>
      <c r="V500" s="449" t="str">
        <f>IF(V497="","",IF($P$429="Mo",IF(AND(V497&gt;V498,V497&lt;V499),"Pass","Fail"),IF($P$429="W",IF(V497&gt;V498,"Pass","Fail"),"")))</f>
        <v/>
      </c>
      <c r="W500" s="452"/>
      <c r="X500" s="452"/>
      <c r="Y500" s="125"/>
    </row>
    <row r="501" spans="1:25" ht="16.149999999999999" customHeight="1">
      <c r="A501" s="109">
        <v>25</v>
      </c>
      <c r="B501" s="508"/>
      <c r="C501" s="113"/>
      <c r="D501" s="386" t="str">
        <f t="shared" si="143"/>
        <v/>
      </c>
      <c r="E501" s="169" t="str">
        <f t="shared" ref="E501:H501" si="146">IF(R361="","",R361)</f>
        <v/>
      </c>
      <c r="F501" s="169" t="str">
        <f t="shared" si="146"/>
        <v/>
      </c>
      <c r="G501" s="387" t="str">
        <f t="shared" si="146"/>
        <v/>
      </c>
      <c r="H501" s="171" t="str">
        <f t="shared" si="146"/>
        <v/>
      </c>
      <c r="I501" s="113"/>
      <c r="J501" s="129" t="s">
        <v>278</v>
      </c>
      <c r="K501" s="246" t="str">
        <f t="shared" si="142"/>
        <v/>
      </c>
      <c r="M501" s="509"/>
      <c r="O501" s="123"/>
      <c r="P501" s="208"/>
      <c r="Q501" s="173"/>
      <c r="V501" s="452"/>
      <c r="W501" s="452"/>
      <c r="X501" s="452"/>
      <c r="Y501" s="125"/>
    </row>
    <row r="502" spans="1:25" ht="16.149999999999999" customHeight="1" thickBot="1">
      <c r="A502" s="109">
        <v>26</v>
      </c>
      <c r="B502" s="508"/>
      <c r="C502" s="113"/>
      <c r="D502" s="390" t="str">
        <f t="shared" si="143"/>
        <v/>
      </c>
      <c r="E502" s="214" t="str">
        <f t="shared" ref="E502:H502" si="147">IF(R362="","",R362)</f>
        <v/>
      </c>
      <c r="F502" s="214" t="str">
        <f t="shared" si="147"/>
        <v/>
      </c>
      <c r="G502" s="391" t="str">
        <f t="shared" si="147"/>
        <v/>
      </c>
      <c r="H502" s="215" t="str">
        <f t="shared" si="147"/>
        <v/>
      </c>
      <c r="I502" s="113"/>
      <c r="J502" s="129" t="s">
        <v>279</v>
      </c>
      <c r="K502" s="246" t="str">
        <f>IF(X361="","",X361)</f>
        <v/>
      </c>
      <c r="M502" s="509"/>
      <c r="O502" s="243" t="s">
        <v>791</v>
      </c>
      <c r="P502" s="201"/>
      <c r="Q502" s="201"/>
      <c r="R502" s="201"/>
      <c r="S502" s="201"/>
      <c r="T502" s="201"/>
      <c r="U502" s="201"/>
      <c r="Y502" s="450"/>
    </row>
    <row r="503" spans="1:25" ht="16.149999999999999" customHeight="1">
      <c r="A503" s="109">
        <v>27</v>
      </c>
      <c r="B503" s="508"/>
      <c r="C503" s="129" t="s">
        <v>243</v>
      </c>
      <c r="D503" s="386" t="str">
        <f t="shared" si="143"/>
        <v/>
      </c>
      <c r="E503" s="169" t="str">
        <f t="shared" ref="E503:H503" si="148">IF(R363="","",R363)</f>
        <v/>
      </c>
      <c r="F503" s="350" t="str">
        <f t="shared" si="148"/>
        <v/>
      </c>
      <c r="G503" s="387" t="str">
        <f t="shared" si="148"/>
        <v/>
      </c>
      <c r="H503" s="171" t="str">
        <f t="shared" si="148"/>
        <v/>
      </c>
      <c r="I503" s="113"/>
      <c r="J503" s="129" t="s">
        <v>281</v>
      </c>
      <c r="K503" s="246" t="str">
        <f t="shared" si="142"/>
        <v/>
      </c>
      <c r="M503" s="509"/>
      <c r="O503" s="123"/>
      <c r="P503" s="435" t="s">
        <v>47</v>
      </c>
      <c r="Q503" s="435" t="str">
        <f t="shared" ref="Q503:W503" si="149">$P$447&amp;"/"&amp;$Q$447</f>
        <v>W/Cu</v>
      </c>
      <c r="R503" s="435" t="str">
        <f t="shared" si="149"/>
        <v>W/Cu</v>
      </c>
      <c r="S503" s="435" t="str">
        <f t="shared" si="149"/>
        <v>W/Cu</v>
      </c>
      <c r="T503" s="435" t="str">
        <f t="shared" si="149"/>
        <v>W/Cu</v>
      </c>
      <c r="U503" s="435" t="str">
        <f t="shared" si="149"/>
        <v>W/Cu</v>
      </c>
      <c r="V503" s="435" t="str">
        <f t="shared" si="149"/>
        <v>W/Cu</v>
      </c>
      <c r="W503" s="435" t="str">
        <f t="shared" si="149"/>
        <v>W/Cu</v>
      </c>
      <c r="Y503" s="450"/>
    </row>
    <row r="504" spans="1:25" ht="16.149999999999999" customHeight="1" thickBot="1">
      <c r="A504" s="109">
        <v>28</v>
      </c>
      <c r="B504" s="508"/>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9"/>
      <c r="O504" s="123"/>
      <c r="P504" s="191" t="s">
        <v>234</v>
      </c>
      <c r="Q504" s="191">
        <f>Sheet2!A32</f>
        <v>40</v>
      </c>
      <c r="R504" s="191">
        <f>Sheet2!A33</f>
        <v>42</v>
      </c>
      <c r="S504" s="191">
        <f>Sheet2!A34</f>
        <v>44</v>
      </c>
      <c r="T504" s="259">
        <f>Sheet2!A35</f>
        <v>45</v>
      </c>
      <c r="U504" s="191">
        <f>Sheet2!A36</f>
        <v>46</v>
      </c>
      <c r="V504" s="191">
        <f>Sheet2!A37</f>
        <v>48</v>
      </c>
      <c r="W504" s="191">
        <f>Sheet2!A38</f>
        <v>49</v>
      </c>
      <c r="Y504" s="450"/>
    </row>
    <row r="505" spans="1:25" ht="16.149999999999999" customHeight="1" thickBot="1">
      <c r="A505" s="109">
        <v>29</v>
      </c>
      <c r="B505" s="508"/>
      <c r="C505" s="208"/>
      <c r="D505" s="173"/>
      <c r="E505" s="113"/>
      <c r="F505" s="113"/>
      <c r="G505" s="113"/>
      <c r="H505" s="113"/>
      <c r="I505" s="113"/>
      <c r="J505" s="129" t="s">
        <v>285</v>
      </c>
      <c r="K505" s="108" t="str">
        <f>IF(X365="","",X365)</f>
        <v/>
      </c>
      <c r="M505" s="509"/>
      <c r="O505" s="123"/>
      <c r="P505" s="497" t="s">
        <v>332</v>
      </c>
      <c r="Q505" s="570" t="s">
        <v>333</v>
      </c>
      <c r="R505" s="570"/>
      <c r="S505" s="570"/>
      <c r="T505" s="480"/>
      <c r="U505" s="570"/>
      <c r="V505" s="570"/>
      <c r="W505" s="570"/>
      <c r="Y505" s="450"/>
    </row>
    <row r="506" spans="1:25" ht="16.149999999999999" customHeight="1" thickBot="1">
      <c r="A506" s="109">
        <v>30</v>
      </c>
      <c r="B506" s="508"/>
      <c r="C506" s="113"/>
      <c r="D506" s="173"/>
      <c r="E506" s="113"/>
      <c r="F506" s="113"/>
      <c r="G506" s="113"/>
      <c r="H506" s="113"/>
      <c r="I506" s="113"/>
      <c r="J506" s="129" t="s">
        <v>287</v>
      </c>
      <c r="K506" s="539" t="str">
        <f>IF(X366="","",X366)</f>
        <v/>
      </c>
      <c r="M506" s="509"/>
      <c r="O506" s="123"/>
      <c r="P506" s="440">
        <v>0</v>
      </c>
      <c r="Q506" s="443" t="str">
        <f>IF(Sheet2!H32="","",Sheet2!H32)</f>
        <v/>
      </c>
      <c r="R506" s="443" t="str">
        <f>IF(Sheet2!H33="","",Sheet2!H33)</f>
        <v/>
      </c>
      <c r="S506" s="443" t="str">
        <f>IF(Sheet2!H34="","",Sheet2!H34)</f>
        <v/>
      </c>
      <c r="T506" s="572" t="str">
        <f>IF(Sheet2!H35="","",Sheet2!H35)</f>
        <v/>
      </c>
      <c r="U506" s="443" t="str">
        <f>IF(Sheet2!H36="","",Sheet2!H36)</f>
        <v/>
      </c>
      <c r="V506" s="443" t="str">
        <f>IF(Sheet2!H37="","",Sheet2!H37)</f>
        <v/>
      </c>
      <c r="W506" s="443" t="str">
        <f>IF(Sheet2!H38="","",Sheet2!H38)</f>
        <v/>
      </c>
      <c r="Y506" s="450"/>
    </row>
    <row r="507" spans="1:25" ht="16.149999999999999" customHeight="1" thickBot="1">
      <c r="A507" s="109">
        <v>31</v>
      </c>
      <c r="B507" s="508"/>
      <c r="C507" s="506" t="s">
        <v>827</v>
      </c>
      <c r="M507" s="509"/>
      <c r="O507" s="123"/>
      <c r="P507" s="436" t="s">
        <v>334</v>
      </c>
      <c r="Q507" s="441" t="str">
        <f>IF(Sheet2!J32="","",Sheet2!J32)</f>
        <v/>
      </c>
      <c r="R507" s="441" t="str">
        <f>IF(Sheet2!J33="","",Sheet2!J33)</f>
        <v/>
      </c>
      <c r="S507" s="441" t="str">
        <f>IF(Sheet2!J34="","",Sheet2!J34)</f>
        <v/>
      </c>
      <c r="T507" s="572" t="str">
        <f>IF(Sheet2!J35="","",Sheet2!J35)</f>
        <v/>
      </c>
      <c r="U507" s="441" t="str">
        <f>IF(Sheet2!J36="","",Sheet2!J36)</f>
        <v/>
      </c>
      <c r="V507" s="441" t="str">
        <f>IF(Sheet2!J37="","",Sheet2!J37)</f>
        <v/>
      </c>
      <c r="W507" s="441" t="str">
        <f>IF(Sheet2!J38="","",Sheet2!J38)</f>
        <v/>
      </c>
      <c r="Y507" s="450"/>
    </row>
    <row r="508" spans="1:25" ht="16.149999999999999" customHeight="1">
      <c r="A508" s="109">
        <v>32</v>
      </c>
      <c r="B508" s="508"/>
      <c r="C508" s="117" t="s">
        <v>264</v>
      </c>
      <c r="D508" s="575" t="str">
        <f>IF(Q368="","",Q368)</f>
        <v>W/Cu</v>
      </c>
      <c r="F508" s="129" t="s">
        <v>172</v>
      </c>
      <c r="G508" s="575">
        <f>IF(T368="","",T368)</f>
        <v>45</v>
      </c>
      <c r="M508" s="509"/>
      <c r="O508" s="123"/>
      <c r="P508" s="436" t="s">
        <v>336</v>
      </c>
      <c r="Q508" s="443">
        <f t="shared" ref="Q508:W508" si="151">IF($Q$480=1,Q504/100+0.03,Q504/100)</f>
        <v>0.43000000000000005</v>
      </c>
      <c r="R508" s="443">
        <f t="shared" si="151"/>
        <v>0.44999999999999996</v>
      </c>
      <c r="S508" s="443">
        <f t="shared" si="151"/>
        <v>0.47</v>
      </c>
      <c r="T508" s="443">
        <f t="shared" si="151"/>
        <v>0.48</v>
      </c>
      <c r="U508" s="443">
        <f t="shared" si="151"/>
        <v>0.49</v>
      </c>
      <c r="V508" s="443">
        <f t="shared" si="151"/>
        <v>0.51</v>
      </c>
      <c r="W508" s="443">
        <f t="shared" si="151"/>
        <v>0.52</v>
      </c>
      <c r="Y508" s="450"/>
    </row>
    <row r="509" spans="1:25" ht="16.149999999999999" customHeight="1" thickBot="1">
      <c r="A509" s="109">
        <v>33</v>
      </c>
      <c r="B509" s="508"/>
      <c r="F509" s="129" t="s">
        <v>262</v>
      </c>
      <c r="G509" s="576">
        <f>IF(T369="","",T369)</f>
        <v>100</v>
      </c>
      <c r="M509" s="509"/>
      <c r="O509" s="123"/>
      <c r="P509" s="445" t="s">
        <v>337</v>
      </c>
      <c r="Q509" s="446">
        <f>Q504/100+0.12</f>
        <v>0.52</v>
      </c>
      <c r="R509" s="446">
        <f>R504/100+0.12</f>
        <v>0.54</v>
      </c>
      <c r="S509" s="446">
        <f>S504/100+0.12</f>
        <v>0.56000000000000005</v>
      </c>
      <c r="T509" s="446">
        <f>T504/100+0.12</f>
        <v>0.57000000000000006</v>
      </c>
      <c r="U509" s="446">
        <f>U504/100+0.12</f>
        <v>0.58000000000000007</v>
      </c>
      <c r="V509" s="446">
        <f>V504/100+0.19</f>
        <v>0.66999999999999993</v>
      </c>
      <c r="W509" s="446">
        <f>W504/100+0.19</f>
        <v>0.67999999999999994</v>
      </c>
      <c r="Y509" s="450"/>
    </row>
    <row r="510" spans="1:25" ht="16.149999999999999" customHeight="1" thickBot="1">
      <c r="A510" s="109">
        <v>34</v>
      </c>
      <c r="B510" s="508"/>
      <c r="C510" s="113"/>
      <c r="D510" s="113"/>
      <c r="E510" s="113"/>
      <c r="F510" s="128" t="s">
        <v>230</v>
      </c>
      <c r="G510" s="113"/>
      <c r="H510" s="113" t="s">
        <v>267</v>
      </c>
      <c r="I510" s="113"/>
      <c r="J510" s="113"/>
      <c r="K510" s="113"/>
      <c r="M510" s="509"/>
      <c r="O510" s="123"/>
      <c r="P510" s="448"/>
      <c r="Q510" s="449" t="str">
        <f>IF(OR($O$35=2,Q507=""),"",IF($P$447="Mo",IF(AND(Q507&gt;Q508,Q507&lt;Q509),"Pass","Fail"),IF($P$447="W",IF(Q507&gt;Q508,"Pass","Fail"),"")))</f>
        <v/>
      </c>
      <c r="R510" s="449" t="str">
        <f t="shared" ref="R510:T510" si="152">IF(OR($O$35=2,R507=""),"",IF($P$447="Mo",IF(AND(R507&gt;R508,R507&lt;R509),"Pass","Fail"),IF($P$447="W",IF(R507&gt;R508,"Pass","Fail"),"")))</f>
        <v/>
      </c>
      <c r="S510" s="449" t="str">
        <f t="shared" si="152"/>
        <v/>
      </c>
      <c r="T510" s="449" t="str">
        <f t="shared" si="152"/>
        <v/>
      </c>
      <c r="U510" s="449" t="str">
        <f>IF(OR($O$35=2,U507=""),"",IF($P$447="Mo",IF(AND(U507&gt;U508,U507&lt;U509),"Pass","Fail"),IF($P$447="W",IF(U507&gt;U508,"Pass","Fail"),"")))</f>
        <v/>
      </c>
      <c r="V510" s="449" t="str">
        <f>IF(OR($O$35=2,V507=""),"",IF($P$447="Mo",IF(AND(V507&gt;V508,V507&lt;V509),"Pass","Fail"),IF($P$447="W",IF(V507&gt;V508,"Pass","Fail"),"")))</f>
        <v/>
      </c>
      <c r="W510" s="449" t="str">
        <f>IF(OR($O$35=2,W507=""),"",IF($P$447="Mo",IF(AND(W507&gt;W508,W507&lt;W509),"Pass","Fail"),IF($P$447="W",IF(W507&gt;W508,"Pass","Fail"),"")))</f>
        <v/>
      </c>
      <c r="Y510" s="450"/>
    </row>
    <row r="511" spans="1:25" ht="16.149999999999999" customHeight="1" thickBot="1">
      <c r="A511" s="109">
        <v>35</v>
      </c>
      <c r="B511" s="508"/>
      <c r="C511" s="128"/>
      <c r="D511" s="128" t="s">
        <v>49</v>
      </c>
      <c r="E511" s="128" t="s">
        <v>235</v>
      </c>
      <c r="F511" s="128" t="s">
        <v>236</v>
      </c>
      <c r="G511" s="128" t="s">
        <v>270</v>
      </c>
      <c r="H511" s="128" t="s">
        <v>271</v>
      </c>
      <c r="I511" s="113"/>
      <c r="J511" s="129" t="s">
        <v>272</v>
      </c>
      <c r="K511" s="246">
        <f t="shared" ref="K511:K516" si="153">IF(X371="","",X371)</f>
        <v>0</v>
      </c>
      <c r="M511" s="509"/>
      <c r="O511" s="123"/>
      <c r="Y511" s="450"/>
    </row>
    <row r="512" spans="1:25" ht="16.149999999999999" customHeight="1">
      <c r="A512" s="109">
        <v>36</v>
      </c>
      <c r="B512" s="508"/>
      <c r="C512" s="113"/>
      <c r="D512" s="383" t="str">
        <f t="shared" ref="D512:H517" si="154">IF(Q372="","",Q372)</f>
        <v/>
      </c>
      <c r="E512" s="160" t="str">
        <f t="shared" si="154"/>
        <v/>
      </c>
      <c r="F512" s="160" t="str">
        <f t="shared" si="154"/>
        <v/>
      </c>
      <c r="G512" s="384" t="str">
        <f t="shared" si="154"/>
        <v/>
      </c>
      <c r="H512" s="161" t="str">
        <f t="shared" si="154"/>
        <v/>
      </c>
      <c r="I512" s="113"/>
      <c r="J512" s="129" t="s">
        <v>275</v>
      </c>
      <c r="K512" s="246" t="str">
        <f t="shared" si="153"/>
        <v/>
      </c>
      <c r="M512" s="509"/>
      <c r="O512" s="123"/>
      <c r="P512" s="208" t="s">
        <v>158</v>
      </c>
      <c r="Q512" s="173" t="s">
        <v>340</v>
      </c>
      <c r="Y512" s="450"/>
    </row>
    <row r="513" spans="1:25" ht="16.149999999999999" customHeight="1">
      <c r="A513" s="109">
        <v>37</v>
      </c>
      <c r="B513" s="508"/>
      <c r="C513" s="113"/>
      <c r="D513" s="386" t="str">
        <f t="shared" si="154"/>
        <v/>
      </c>
      <c r="E513" s="169" t="str">
        <f t="shared" si="154"/>
        <v/>
      </c>
      <c r="F513" s="169" t="str">
        <f t="shared" si="154"/>
        <v/>
      </c>
      <c r="G513" s="387" t="str">
        <f t="shared" si="154"/>
        <v/>
      </c>
      <c r="H513" s="171" t="str">
        <f t="shared" si="154"/>
        <v/>
      </c>
      <c r="I513" s="113"/>
      <c r="J513" s="129" t="s">
        <v>277</v>
      </c>
      <c r="K513" s="246" t="e">
        <f t="shared" si="153"/>
        <v>#N/A</v>
      </c>
      <c r="M513" s="509"/>
      <c r="O513" s="123"/>
      <c r="P513" s="201"/>
      <c r="Q513" s="201" t="s">
        <v>792</v>
      </c>
      <c r="Y513" s="450"/>
    </row>
    <row r="514" spans="1:25" ht="16.149999999999999" customHeight="1" thickBot="1">
      <c r="A514" s="109">
        <v>38</v>
      </c>
      <c r="B514" s="508"/>
      <c r="C514" s="113"/>
      <c r="D514" s="386" t="str">
        <f t="shared" si="154"/>
        <v/>
      </c>
      <c r="E514" s="169" t="str">
        <f t="shared" si="154"/>
        <v/>
      </c>
      <c r="F514" s="169" t="str">
        <f t="shared" si="154"/>
        <v/>
      </c>
      <c r="G514" s="387" t="str">
        <f t="shared" si="154"/>
        <v/>
      </c>
      <c r="H514" s="171" t="str">
        <f t="shared" si="154"/>
        <v/>
      </c>
      <c r="I514" s="113"/>
      <c r="J514" s="129" t="s">
        <v>278</v>
      </c>
      <c r="K514" s="246" t="e">
        <f t="shared" si="153"/>
        <v>#N/A</v>
      </c>
      <c r="M514" s="509"/>
      <c r="O514" s="134"/>
      <c r="R514" s="201"/>
      <c r="S514" s="201"/>
      <c r="T514" s="201"/>
      <c r="U514" s="201"/>
      <c r="V514" s="135"/>
      <c r="W514" s="135"/>
      <c r="X514" s="135"/>
      <c r="Y514" s="136"/>
    </row>
    <row r="515" spans="1:25" ht="16.149999999999999" customHeight="1" thickBot="1">
      <c r="A515" s="109">
        <v>39</v>
      </c>
      <c r="B515" s="508"/>
      <c r="C515" s="113"/>
      <c r="D515" s="390" t="str">
        <f t="shared" si="154"/>
        <v/>
      </c>
      <c r="E515" s="214" t="str">
        <f t="shared" si="154"/>
        <v/>
      </c>
      <c r="F515" s="214" t="str">
        <f t="shared" si="154"/>
        <v/>
      </c>
      <c r="G515" s="391" t="str">
        <f t="shared" si="154"/>
        <v/>
      </c>
      <c r="H515" s="215" t="str">
        <f t="shared" si="154"/>
        <v/>
      </c>
      <c r="I515" s="113"/>
      <c r="J515" s="129" t="s">
        <v>279</v>
      </c>
      <c r="K515" s="246" t="str">
        <f t="shared" si="153"/>
        <v/>
      </c>
      <c r="M515" s="509"/>
      <c r="O515" s="241" t="s">
        <v>254</v>
      </c>
      <c r="P515" s="115"/>
      <c r="Q515" s="115"/>
      <c r="R515" s="115"/>
      <c r="S515" s="115"/>
      <c r="T515" s="115"/>
      <c r="U515" s="115"/>
      <c r="V515" s="115"/>
      <c r="W515" s="115"/>
      <c r="X515" s="115"/>
      <c r="Y515" s="116"/>
    </row>
    <row r="516" spans="1:25" ht="16.149999999999999" customHeight="1">
      <c r="A516" s="109">
        <v>40</v>
      </c>
      <c r="B516" s="508"/>
      <c r="C516" s="129" t="s">
        <v>243</v>
      </c>
      <c r="D516" s="386" t="str">
        <f t="shared" si="154"/>
        <v/>
      </c>
      <c r="E516" s="169" t="str">
        <f t="shared" si="154"/>
        <v/>
      </c>
      <c r="F516" s="350" t="str">
        <f t="shared" si="154"/>
        <v/>
      </c>
      <c r="G516" s="387" t="str">
        <f t="shared" si="154"/>
        <v/>
      </c>
      <c r="H516" s="171" t="str">
        <f t="shared" si="154"/>
        <v/>
      </c>
      <c r="I516" s="113"/>
      <c r="J516" s="129" t="s">
        <v>281</v>
      </c>
      <c r="K516" s="246" t="e">
        <f t="shared" si="153"/>
        <v>#N/A</v>
      </c>
      <c r="M516" s="509"/>
      <c r="O516" s="453" t="s">
        <v>255</v>
      </c>
      <c r="P516" s="129" t="s">
        <v>23</v>
      </c>
      <c r="Q516" s="454"/>
      <c r="R516" s="129" t="s">
        <v>314</v>
      </c>
      <c r="S516" s="244"/>
      <c r="T516" s="113"/>
      <c r="U516" s="129" t="s">
        <v>341</v>
      </c>
      <c r="V516" s="455"/>
      <c r="W516" s="113"/>
      <c r="X516" s="113"/>
      <c r="Y516" s="125"/>
    </row>
    <row r="517" spans="1:25" ht="16.149999999999999" customHeight="1" thickBot="1">
      <c r="A517" s="109">
        <v>41</v>
      </c>
      <c r="B517" s="508"/>
      <c r="C517" s="129" t="s">
        <v>283</v>
      </c>
      <c r="D517" s="315" t="str">
        <f t="shared" si="154"/>
        <v/>
      </c>
      <c r="E517" s="316" t="str">
        <f t="shared" si="154"/>
        <v/>
      </c>
      <c r="F517" s="316" t="str">
        <f t="shared" si="154"/>
        <v/>
      </c>
      <c r="G517" s="316" t="str">
        <f t="shared" si="154"/>
        <v/>
      </c>
      <c r="H517" s="318" t="str">
        <f t="shared" si="154"/>
        <v/>
      </c>
      <c r="I517" s="113"/>
      <c r="J517" s="113"/>
      <c r="K517" s="113"/>
      <c r="M517" s="509"/>
      <c r="O517" s="123"/>
      <c r="P517" s="113"/>
      <c r="Q517" s="113"/>
      <c r="R517" s="113"/>
      <c r="S517" s="113"/>
      <c r="T517" s="113"/>
      <c r="U517" s="113"/>
      <c r="V517" s="113"/>
      <c r="W517" s="113"/>
      <c r="X517" s="113"/>
      <c r="Y517" s="125"/>
    </row>
    <row r="518" spans="1:25" ht="16.149999999999999" customHeight="1">
      <c r="A518" s="109">
        <v>42</v>
      </c>
      <c r="B518" s="508"/>
      <c r="C518" s="265" t="str">
        <f>P379</f>
        <v>Criteria:</v>
      </c>
      <c r="D518" s="574" t="str">
        <f>Q379</f>
        <v>MGD is less than 3 mGy</v>
      </c>
      <c r="E518" s="113"/>
      <c r="F518" s="113"/>
      <c r="G518" s="113"/>
      <c r="H518" s="113"/>
      <c r="I518" s="113"/>
      <c r="J518" s="129" t="s">
        <v>285</v>
      </c>
      <c r="K518" s="108" t="e">
        <f>IF(X379="","",X379)</f>
        <v>#N/A</v>
      </c>
      <c r="M518" s="509"/>
      <c r="O518" s="123"/>
      <c r="P518" s="129"/>
      <c r="Q518" s="113"/>
      <c r="R518" s="113" t="s">
        <v>308</v>
      </c>
      <c r="S518" s="113"/>
      <c r="T518" s="113"/>
      <c r="U518" s="113"/>
      <c r="V518" s="113" t="s">
        <v>308</v>
      </c>
      <c r="W518" s="113"/>
      <c r="X518" s="113"/>
      <c r="Y518" s="125"/>
    </row>
    <row r="519" spans="1:25" ht="16.149999999999999" customHeight="1">
      <c r="A519" s="109">
        <v>43</v>
      </c>
      <c r="B519" s="508"/>
      <c r="C519" s="574"/>
      <c r="D519" s="574" t="str">
        <f>Q380</f>
        <v>Deviation from reported MGD is less than15%</v>
      </c>
      <c r="E519" s="113"/>
      <c r="F519" s="113"/>
      <c r="G519" s="113"/>
      <c r="H519" s="113"/>
      <c r="I519" s="113"/>
      <c r="J519" s="129" t="s">
        <v>818</v>
      </c>
      <c r="K519" s="246" t="e">
        <f>IF(X380="","",X380)</f>
        <v>#N/A</v>
      </c>
      <c r="M519" s="509"/>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149999999999999" customHeight="1">
      <c r="A520" s="109">
        <v>44</v>
      </c>
      <c r="B520" s="508"/>
      <c r="C520" s="574"/>
      <c r="D520" s="574" t="str">
        <f>Q381</f>
        <v>MGD for Low + High acquisitions is less than 3 mGy</v>
      </c>
      <c r="J520" s="573" t="s">
        <v>819</v>
      </c>
      <c r="K520" s="108" t="str">
        <f>IF(X381="","",X381)</f>
        <v/>
      </c>
      <c r="M520" s="509"/>
      <c r="O520" s="123"/>
      <c r="P520" s="129" t="s">
        <v>173</v>
      </c>
      <c r="Q520" s="169">
        <f>Q299</f>
        <v>0</v>
      </c>
      <c r="R520" s="340" t="str">
        <f t="shared" si="155"/>
        <v/>
      </c>
      <c r="S520" s="113"/>
      <c r="T520" s="129" t="s">
        <v>269</v>
      </c>
      <c r="U520" s="242"/>
      <c r="V520" s="340" t="str">
        <f>IF(AB112="","",AB112)</f>
        <v/>
      </c>
      <c r="W520" s="113"/>
      <c r="X520" s="113"/>
      <c r="Y520" s="125"/>
    </row>
    <row r="521" spans="1:25" ht="16.149999999999999" customHeight="1" thickBot="1">
      <c r="A521" s="109">
        <v>45</v>
      </c>
      <c r="B521" s="508"/>
      <c r="M521" s="509"/>
      <c r="O521" s="123"/>
      <c r="P521" s="129" t="s">
        <v>265</v>
      </c>
      <c r="Q521" s="242"/>
      <c r="R521" s="340" t="str">
        <f t="shared" si="155"/>
        <v/>
      </c>
      <c r="S521" s="113"/>
      <c r="T521" s="129" t="s">
        <v>274</v>
      </c>
      <c r="U521" s="242"/>
      <c r="V521" s="340" t="str">
        <f>IF(AB113="","",AB113)</f>
        <v/>
      </c>
      <c r="W521" s="113"/>
      <c r="X521" s="113"/>
      <c r="Y521" s="125"/>
    </row>
    <row r="522" spans="1:25" ht="16.149999999999999" customHeight="1" thickBot="1">
      <c r="A522" s="109">
        <v>46</v>
      </c>
      <c r="B522" s="508"/>
      <c r="M522" s="509"/>
      <c r="O522" s="123"/>
      <c r="P522" s="129" t="s">
        <v>268</v>
      </c>
      <c r="Q522" s="242"/>
      <c r="R522" s="340" t="str">
        <f t="shared" si="155"/>
        <v/>
      </c>
      <c r="S522" s="113"/>
      <c r="T522" s="129" t="s">
        <v>175</v>
      </c>
      <c r="U522" s="257" t="str">
        <f>IF(OR(U519="",U520="",U521=""),"",IF(AND(U519&gt;=5,U520&gt;=4,U521&gt;=4),"Pass","Fail"))</f>
        <v/>
      </c>
      <c r="V522" s="113"/>
      <c r="W522" s="113"/>
      <c r="X522" s="113"/>
      <c r="Y522" s="125"/>
    </row>
    <row r="523" spans="1:25" ht="16.149999999999999" customHeight="1">
      <c r="A523" s="109">
        <v>47</v>
      </c>
      <c r="B523" s="508"/>
      <c r="M523" s="509"/>
      <c r="O523" s="123"/>
      <c r="P523" s="129" t="s">
        <v>273</v>
      </c>
      <c r="Q523" s="242"/>
      <c r="R523" s="340" t="str">
        <f t="shared" si="155"/>
        <v/>
      </c>
      <c r="S523" s="113"/>
      <c r="T523" s="201"/>
      <c r="U523" s="201"/>
      <c r="V523" s="113"/>
      <c r="W523" s="113"/>
      <c r="X523" s="113"/>
      <c r="Y523" s="125"/>
    </row>
    <row r="524" spans="1:25" ht="16.149999999999999" customHeight="1">
      <c r="A524" s="109">
        <v>48</v>
      </c>
      <c r="B524" s="508"/>
      <c r="M524" s="509"/>
      <c r="O524" s="123"/>
      <c r="P524" s="129" t="s">
        <v>276</v>
      </c>
      <c r="Q524" s="169" t="str">
        <f>IF(OR(Q522="",Q523=""),"",Q523-Q522)</f>
        <v/>
      </c>
      <c r="R524" s="340" t="str">
        <f t="shared" si="155"/>
        <v/>
      </c>
      <c r="S524" s="113"/>
      <c r="T524" s="113"/>
      <c r="U524" s="113"/>
      <c r="V524" s="113"/>
      <c r="W524" s="113"/>
      <c r="X524" s="113"/>
      <c r="Y524" s="125"/>
    </row>
    <row r="525" spans="1:25" ht="16.149999999999999" customHeight="1">
      <c r="A525" s="109">
        <v>49</v>
      </c>
      <c r="B525" s="508"/>
      <c r="M525" s="509"/>
      <c r="O525" s="123"/>
      <c r="P525" s="113"/>
      <c r="Q525" s="113"/>
      <c r="R525" s="113"/>
      <c r="S525" s="113"/>
      <c r="T525" s="113"/>
      <c r="U525" s="113"/>
      <c r="V525" s="113"/>
      <c r="W525" s="113"/>
      <c r="X525" s="113"/>
      <c r="Y525" s="125"/>
    </row>
    <row r="526" spans="1:25" ht="16.149999999999999" customHeight="1">
      <c r="A526" s="109">
        <v>50</v>
      </c>
      <c r="B526" s="508"/>
      <c r="M526" s="509"/>
      <c r="O526" s="453" t="s">
        <v>342</v>
      </c>
      <c r="P526" s="113"/>
      <c r="Q526" s="113"/>
      <c r="R526" s="113"/>
      <c r="S526" s="113"/>
      <c r="T526" s="113"/>
      <c r="U526" s="113"/>
      <c r="V526" s="113"/>
      <c r="W526" s="113"/>
      <c r="X526" s="113"/>
      <c r="Y526" s="125"/>
    </row>
    <row r="527" spans="1:25" ht="16.149999999999999" customHeight="1">
      <c r="A527" s="109">
        <v>51</v>
      </c>
      <c r="B527" s="508"/>
      <c r="M527" s="509"/>
      <c r="O527" s="123"/>
      <c r="P527" s="113"/>
      <c r="Q527" s="129" t="s">
        <v>263</v>
      </c>
      <c r="R527" s="455"/>
      <c r="S527" s="113"/>
      <c r="T527" s="113"/>
      <c r="U527" s="129" t="s">
        <v>263</v>
      </c>
      <c r="V527" s="455"/>
      <c r="W527" s="113"/>
      <c r="X527" s="113"/>
      <c r="Y527" s="125"/>
    </row>
    <row r="528" spans="1:25" ht="16.149999999999999" customHeight="1">
      <c r="A528" s="109">
        <v>52</v>
      </c>
      <c r="B528" s="508"/>
      <c r="M528" s="509"/>
      <c r="O528" s="123"/>
      <c r="P528" s="113"/>
      <c r="Q528" s="128" t="s">
        <v>194</v>
      </c>
      <c r="R528" s="128" t="s">
        <v>196</v>
      </c>
      <c r="S528" s="113"/>
      <c r="T528" s="113"/>
      <c r="U528" s="128" t="s">
        <v>194</v>
      </c>
      <c r="V528" s="128" t="s">
        <v>196</v>
      </c>
      <c r="W528" s="113"/>
      <c r="X528" s="113"/>
      <c r="Y528" s="125"/>
    </row>
    <row r="529" spans="1:25" ht="16.149999999999999" customHeight="1">
      <c r="A529" s="109">
        <v>53</v>
      </c>
      <c r="B529" s="508"/>
      <c r="M529" s="509"/>
      <c r="O529" s="280"/>
      <c r="P529" s="129" t="s">
        <v>266</v>
      </c>
      <c r="Q529" s="242"/>
      <c r="R529" s="242"/>
      <c r="S529" s="113"/>
      <c r="T529" s="129" t="s">
        <v>266</v>
      </c>
      <c r="U529" s="242"/>
      <c r="V529" s="242"/>
      <c r="W529" s="113"/>
      <c r="X529" s="113"/>
      <c r="Y529" s="125"/>
    </row>
    <row r="530" spans="1:25" ht="16.149999999999999" customHeight="1">
      <c r="A530" s="109">
        <v>54</v>
      </c>
      <c r="B530" s="508"/>
      <c r="M530" s="509"/>
      <c r="O530" s="280"/>
      <c r="P530" s="129" t="s">
        <v>269</v>
      </c>
      <c r="Q530" s="242"/>
      <c r="R530" s="242"/>
      <c r="S530" s="113"/>
      <c r="T530" s="129" t="s">
        <v>269</v>
      </c>
      <c r="U530" s="242"/>
      <c r="V530" s="242"/>
      <c r="W530" s="113"/>
      <c r="X530" s="113"/>
      <c r="Y530" s="125"/>
    </row>
    <row r="531" spans="1:25" ht="16.149999999999999" customHeight="1">
      <c r="A531" s="109">
        <v>55</v>
      </c>
      <c r="B531" s="508"/>
      <c r="M531" s="509"/>
      <c r="O531" s="280"/>
      <c r="P531" s="129" t="s">
        <v>274</v>
      </c>
      <c r="Q531" s="242"/>
      <c r="R531" s="242"/>
      <c r="S531" s="113"/>
      <c r="T531" s="129" t="s">
        <v>274</v>
      </c>
      <c r="U531" s="242"/>
      <c r="V531" s="242"/>
      <c r="W531" s="113"/>
      <c r="X531" s="113"/>
      <c r="Y531" s="125"/>
    </row>
    <row r="532" spans="1:25" ht="16.149999999999999" customHeight="1">
      <c r="A532" s="109">
        <v>56</v>
      </c>
      <c r="B532" s="508"/>
      <c r="M532" s="509"/>
      <c r="O532" s="123"/>
      <c r="P532" s="113"/>
      <c r="Q532" s="113"/>
      <c r="R532" s="113"/>
      <c r="S532" s="113"/>
      <c r="T532" s="113"/>
      <c r="U532" s="113"/>
      <c r="V532" s="113"/>
      <c r="W532" s="113"/>
      <c r="X532" s="113"/>
      <c r="Y532" s="125"/>
    </row>
    <row r="533" spans="1:25" ht="16.149999999999999" customHeight="1" thickBot="1">
      <c r="A533" s="109">
        <v>57</v>
      </c>
      <c r="B533" s="508"/>
      <c r="M533" s="509"/>
      <c r="O533" s="453" t="s">
        <v>343</v>
      </c>
      <c r="P533" s="113"/>
      <c r="Q533" s="113"/>
      <c r="R533" s="113"/>
      <c r="S533" s="113"/>
      <c r="T533" s="113"/>
      <c r="U533" s="113"/>
      <c r="V533" s="113"/>
      <c r="W533" s="113"/>
      <c r="X533" s="113"/>
      <c r="Y533" s="125"/>
    </row>
    <row r="534" spans="1:25" ht="16.149999999999999" customHeight="1">
      <c r="A534" s="109">
        <v>58</v>
      </c>
      <c r="B534" s="508"/>
      <c r="M534" s="509"/>
      <c r="O534" s="300"/>
      <c r="P534" s="456" t="s">
        <v>344</v>
      </c>
      <c r="Q534" s="368" t="s">
        <v>308</v>
      </c>
      <c r="R534" s="456" t="s">
        <v>260</v>
      </c>
      <c r="S534" s="368" t="s">
        <v>308</v>
      </c>
      <c r="T534" s="456" t="s">
        <v>345</v>
      </c>
      <c r="U534" s="368" t="s">
        <v>308</v>
      </c>
      <c r="V534" s="456" t="s">
        <v>696</v>
      </c>
      <c r="W534" s="368" t="s">
        <v>308</v>
      </c>
      <c r="X534" s="456" t="s">
        <v>697</v>
      </c>
      <c r="Y534" s="368" t="s">
        <v>308</v>
      </c>
    </row>
    <row r="535" spans="1:25" ht="16.149999999999999" customHeight="1">
      <c r="A535" s="109">
        <v>59</v>
      </c>
      <c r="B535" s="508"/>
      <c r="M535" s="509"/>
      <c r="O535" s="280" t="s">
        <v>172</v>
      </c>
      <c r="P535" s="168">
        <f>T292</f>
        <v>28</v>
      </c>
      <c r="Q535" s="457" t="str">
        <f t="shared" ref="Q535:Q540" si="156">IF(AB115="","",AB115)</f>
        <v/>
      </c>
      <c r="R535" s="347"/>
      <c r="S535" s="457" t="str">
        <f t="shared" ref="S535:S540" si="157">IF(AB121="","",AB121)</f>
        <v/>
      </c>
      <c r="T535" s="347"/>
      <c r="U535" s="457" t="str">
        <f t="shared" ref="U535:U540" si="158">IF(AB127="","",AB127)</f>
        <v/>
      </c>
      <c r="V535" s="347"/>
      <c r="W535" s="457" t="str">
        <f t="shared" ref="W535:W540" si="159">IF(AB133="","",AB133)</f>
        <v/>
      </c>
      <c r="X535" s="347"/>
      <c r="Y535" s="457" t="str">
        <f t="shared" ref="Y535:Y540" si="160">IF(AB139="","",AB139)</f>
        <v/>
      </c>
    </row>
    <row r="536" spans="1:25" ht="16.149999999999999" customHeight="1">
      <c r="A536" s="109">
        <v>60</v>
      </c>
      <c r="B536" s="508"/>
      <c r="M536" s="509"/>
      <c r="O536" s="280" t="s">
        <v>173</v>
      </c>
      <c r="P536" s="168">
        <f>Q299</f>
        <v>0</v>
      </c>
      <c r="Q536" s="457" t="str">
        <f t="shared" si="156"/>
        <v/>
      </c>
      <c r="R536" s="347"/>
      <c r="S536" s="457" t="str">
        <f t="shared" si="157"/>
        <v/>
      </c>
      <c r="T536" s="347"/>
      <c r="U536" s="457" t="str">
        <f t="shared" si="158"/>
        <v/>
      </c>
      <c r="V536" s="347"/>
      <c r="W536" s="457" t="str">
        <f t="shared" si="159"/>
        <v/>
      </c>
      <c r="X536" s="347"/>
      <c r="Y536" s="457" t="str">
        <f t="shared" si="160"/>
        <v/>
      </c>
    </row>
    <row r="537" spans="1:25" ht="16.149999999999999" customHeight="1">
      <c r="A537" s="109">
        <v>61</v>
      </c>
      <c r="B537" s="508"/>
      <c r="M537" s="509"/>
      <c r="O537" s="280" t="s">
        <v>174</v>
      </c>
      <c r="P537" s="168">
        <f>R299</f>
        <v>0</v>
      </c>
      <c r="Q537" s="457" t="str">
        <f t="shared" si="156"/>
        <v/>
      </c>
      <c r="R537" s="347"/>
      <c r="S537" s="457" t="str">
        <f t="shared" si="157"/>
        <v/>
      </c>
      <c r="T537" s="347"/>
      <c r="U537" s="457" t="str">
        <f t="shared" si="158"/>
        <v/>
      </c>
      <c r="V537" s="347"/>
      <c r="W537" s="457" t="str">
        <f t="shared" si="159"/>
        <v/>
      </c>
      <c r="X537" s="347"/>
      <c r="Y537" s="457" t="str">
        <f t="shared" si="160"/>
        <v/>
      </c>
    </row>
    <row r="538" spans="1:25" ht="16.149999999999999" customHeight="1">
      <c r="A538" s="109">
        <v>62</v>
      </c>
      <c r="B538" s="508"/>
      <c r="M538" s="509"/>
      <c r="O538" s="280" t="s">
        <v>266</v>
      </c>
      <c r="P538" s="347"/>
      <c r="Q538" s="457" t="str">
        <f t="shared" si="156"/>
        <v/>
      </c>
      <c r="R538" s="347"/>
      <c r="S538" s="457" t="str">
        <f t="shared" si="157"/>
        <v/>
      </c>
      <c r="T538" s="347"/>
      <c r="U538" s="457" t="str">
        <f t="shared" si="158"/>
        <v/>
      </c>
      <c r="V538" s="347"/>
      <c r="W538" s="457" t="str">
        <f t="shared" si="159"/>
        <v/>
      </c>
      <c r="X538" s="347"/>
      <c r="Y538" s="457" t="str">
        <f t="shared" si="160"/>
        <v/>
      </c>
    </row>
    <row r="539" spans="1:25" ht="16.149999999999999" customHeight="1">
      <c r="A539" s="109">
        <v>63</v>
      </c>
      <c r="B539" s="508"/>
      <c r="M539" s="509"/>
      <c r="O539" s="280" t="s">
        <v>269</v>
      </c>
      <c r="P539" s="347"/>
      <c r="Q539" s="457" t="str">
        <f t="shared" si="156"/>
        <v/>
      </c>
      <c r="R539" s="347"/>
      <c r="S539" s="457" t="str">
        <f t="shared" si="157"/>
        <v/>
      </c>
      <c r="T539" s="347"/>
      <c r="U539" s="457" t="str">
        <f t="shared" si="158"/>
        <v/>
      </c>
      <c r="V539" s="347"/>
      <c r="W539" s="457" t="str">
        <f t="shared" si="159"/>
        <v/>
      </c>
      <c r="X539" s="347"/>
      <c r="Y539" s="457" t="str">
        <f t="shared" si="160"/>
        <v/>
      </c>
    </row>
    <row r="540" spans="1:25" ht="16.149999999999999" customHeight="1" thickBot="1">
      <c r="A540" s="109">
        <v>64</v>
      </c>
      <c r="B540" s="508"/>
      <c r="M540" s="509"/>
      <c r="O540" s="280" t="s">
        <v>274</v>
      </c>
      <c r="P540" s="356"/>
      <c r="Q540" s="458" t="str">
        <f t="shared" si="156"/>
        <v/>
      </c>
      <c r="R540" s="356"/>
      <c r="S540" s="458" t="str">
        <f t="shared" si="157"/>
        <v/>
      </c>
      <c r="T540" s="356"/>
      <c r="U540" s="458" t="str">
        <f t="shared" si="158"/>
        <v/>
      </c>
      <c r="V540" s="356"/>
      <c r="W540" s="458" t="str">
        <f t="shared" si="159"/>
        <v/>
      </c>
      <c r="X540" s="356"/>
      <c r="Y540" s="458" t="str">
        <f t="shared" si="160"/>
        <v/>
      </c>
    </row>
    <row r="541" spans="1:25" ht="16.149999999999999" customHeight="1">
      <c r="A541" s="109">
        <v>65</v>
      </c>
      <c r="B541" s="508"/>
      <c r="M541" s="509"/>
      <c r="O541" s="300"/>
      <c r="P541" s="208" t="s">
        <v>158</v>
      </c>
      <c r="Q541" s="120" t="s">
        <v>280</v>
      </c>
      <c r="R541" s="201"/>
      <c r="S541" s="201"/>
      <c r="T541" s="201"/>
      <c r="U541" s="201"/>
      <c r="V541" s="201"/>
      <c r="W541" s="201"/>
      <c r="X541" s="201"/>
      <c r="Y541" s="281"/>
    </row>
    <row r="542" spans="1:25" ht="16.149999999999999" customHeight="1" thickBot="1">
      <c r="A542" s="109">
        <v>66</v>
      </c>
      <c r="B542" s="510"/>
      <c r="C542" s="511"/>
      <c r="D542" s="511"/>
      <c r="E542" s="511"/>
      <c r="F542" s="511"/>
      <c r="G542" s="511"/>
      <c r="H542" s="511"/>
      <c r="I542" s="511"/>
      <c r="J542" s="511"/>
      <c r="K542" s="511"/>
      <c r="L542" s="511"/>
      <c r="M542" s="512"/>
      <c r="O542" s="300"/>
      <c r="P542" s="113"/>
      <c r="Q542" s="120" t="s">
        <v>282</v>
      </c>
      <c r="Y542" s="281"/>
    </row>
    <row r="543" spans="1:25" ht="16.149999999999999"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149999999999999"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149999999999999" customHeight="1">
      <c r="O545" s="243" t="s">
        <v>346</v>
      </c>
      <c r="P545" s="113"/>
      <c r="Q545" s="113"/>
      <c r="R545" s="113"/>
      <c r="S545" s="113"/>
      <c r="T545" s="113"/>
      <c r="U545" s="113"/>
      <c r="V545" s="113"/>
      <c r="W545" s="113"/>
      <c r="X545" s="113"/>
      <c r="Y545" s="125"/>
    </row>
    <row r="546" spans="15:25" ht="16.149999999999999" customHeight="1">
      <c r="O546" s="123"/>
      <c r="P546" s="113"/>
      <c r="Q546" s="113"/>
      <c r="R546" s="113"/>
      <c r="S546" s="113"/>
      <c r="T546" s="113" t="s">
        <v>347</v>
      </c>
      <c r="U546" s="113" t="s">
        <v>348</v>
      </c>
      <c r="V546" s="113"/>
      <c r="W546" s="113"/>
      <c r="X546" s="113"/>
      <c r="Y546" s="125"/>
    </row>
    <row r="547" spans="15:25" ht="16.149999999999999" customHeight="1">
      <c r="O547" s="123"/>
      <c r="P547" s="129" t="s">
        <v>172</v>
      </c>
      <c r="Q547" s="245">
        <f>T292</f>
        <v>28</v>
      </c>
      <c r="R547" s="129"/>
      <c r="S547" s="129" t="s">
        <v>349</v>
      </c>
      <c r="T547" s="375" t="e">
        <f>AVERAGE(AC295:AC298)</f>
        <v>#DIV/0!</v>
      </c>
      <c r="U547" s="375" t="e">
        <f>AVERAGE(AD295:AD298)</f>
        <v>#DIV/0!</v>
      </c>
      <c r="V547" s="113"/>
      <c r="W547" s="113"/>
      <c r="X547" s="113"/>
      <c r="Y547" s="125"/>
    </row>
    <row r="548" spans="15:25" ht="16.149999999999999" customHeight="1">
      <c r="O548" s="123"/>
      <c r="P548" s="129" t="s">
        <v>173</v>
      </c>
      <c r="Q548" s="245">
        <f>Q299</f>
        <v>0</v>
      </c>
      <c r="R548" s="129"/>
      <c r="S548" s="129" t="s">
        <v>350</v>
      </c>
      <c r="T548" s="375" t="e">
        <f>AVERAGE(AA295:AA298)</f>
        <v>#DIV/0!</v>
      </c>
      <c r="U548" s="375" t="e">
        <f>AVERAGE(AB295:AB298)</f>
        <v>#DIV/0!</v>
      </c>
      <c r="V548" s="113"/>
      <c r="W548" s="113"/>
      <c r="X548" s="113"/>
      <c r="Y548" s="125"/>
    </row>
    <row r="549" spans="15:25" ht="16.149999999999999" customHeight="1">
      <c r="O549" s="123"/>
      <c r="P549" s="129" t="s">
        <v>29</v>
      </c>
      <c r="Q549" s="454" t="s">
        <v>782</v>
      </c>
      <c r="R549" s="113"/>
      <c r="S549" s="113"/>
      <c r="T549" s="113"/>
      <c r="U549" s="113"/>
      <c r="V549" s="113"/>
      <c r="W549" s="113"/>
      <c r="X549" s="113"/>
      <c r="Y549" s="125"/>
    </row>
    <row r="550" spans="15:25" ht="16.149999999999999" customHeight="1" thickBot="1">
      <c r="O550" s="123"/>
      <c r="P550" s="129" t="s">
        <v>31</v>
      </c>
      <c r="Q550" s="454" t="s">
        <v>584</v>
      </c>
      <c r="R550" s="113"/>
      <c r="S550" s="113"/>
      <c r="T550" s="128" t="s">
        <v>307</v>
      </c>
      <c r="U550" s="128" t="s">
        <v>308</v>
      </c>
      <c r="V550" s="128" t="s">
        <v>249</v>
      </c>
      <c r="W550" s="113" t="s">
        <v>250</v>
      </c>
      <c r="X550" s="113"/>
      <c r="Y550" s="125"/>
    </row>
    <row r="551" spans="15:25" ht="16.149999999999999" customHeight="1" thickBot="1">
      <c r="O551" s="123"/>
      <c r="P551" s="113"/>
      <c r="Q551" s="113"/>
      <c r="R551" s="113"/>
      <c r="S551" s="129" t="s">
        <v>309</v>
      </c>
      <c r="T551" s="409" t="e">
        <f>IF(OR(T548="",U548=""),"",(T548-50)/U548)</f>
        <v>#DIV/0!</v>
      </c>
      <c r="U551" s="459" t="str">
        <f>IF(AB146="","",AB146)</f>
        <v/>
      </c>
      <c r="V551" s="302" t="e">
        <f>IF(OR(T551="",U551=""),"",(T551-U551)/U551)</f>
        <v>#DIV/0!</v>
      </c>
      <c r="W551" s="410" t="e">
        <f>IF(T551&gt;=40,"Pass","Fail")</f>
        <v>#DIV/0!</v>
      </c>
      <c r="X551" s="113"/>
      <c r="Y551" s="125"/>
    </row>
    <row r="552" spans="15:25" ht="16.149999999999999" customHeight="1" thickBot="1">
      <c r="O552" s="123"/>
      <c r="P552" s="113"/>
      <c r="Q552" s="113"/>
      <c r="R552" s="113"/>
      <c r="S552" s="129" t="s">
        <v>311</v>
      </c>
      <c r="T552" s="409" t="e">
        <f>IF(OR(T548="",T547=""),"",(T548-T547)/U548)</f>
        <v>#DIV/0!</v>
      </c>
      <c r="U552" s="459" t="str">
        <f>IF(AB147="","",AB147)</f>
        <v/>
      </c>
      <c r="V552" s="302" t="e">
        <f>IF(OR(T552="",U552=""),"",(T552-U552)/U552)</f>
        <v>#DIV/0!</v>
      </c>
      <c r="W552" s="169" t="str">
        <f>IF(U552="","NA",IF(V552&lt;=0.15,"Pass","Fail"))</f>
        <v>NA</v>
      </c>
      <c r="X552" s="113"/>
      <c r="Y552" s="125"/>
    </row>
    <row r="553" spans="15:25" ht="16.149999999999999" customHeight="1">
      <c r="O553" s="123"/>
      <c r="P553" s="208" t="s">
        <v>158</v>
      </c>
      <c r="Q553" s="120" t="s">
        <v>312</v>
      </c>
      <c r="R553" s="113"/>
      <c r="S553" s="113"/>
      <c r="T553" s="113"/>
      <c r="U553" s="113"/>
      <c r="V553" s="113"/>
      <c r="W553" s="113"/>
      <c r="X553" s="113"/>
      <c r="Y553" s="125"/>
    </row>
    <row r="554" spans="15:25" ht="16.149999999999999" customHeight="1">
      <c r="O554" s="123"/>
      <c r="P554" s="113"/>
      <c r="Q554" s="120" t="s">
        <v>313</v>
      </c>
      <c r="R554" s="113"/>
      <c r="S554" s="113"/>
      <c r="T554" s="113"/>
      <c r="U554" s="113"/>
      <c r="V554" s="113"/>
      <c r="W554" s="113"/>
      <c r="X554" s="113"/>
      <c r="Y554" s="125"/>
    </row>
    <row r="555" spans="15:25" ht="16.149999999999999" customHeight="1" thickBot="1">
      <c r="O555" s="134"/>
      <c r="P555" s="135"/>
      <c r="Q555" s="135"/>
      <c r="R555" s="135"/>
      <c r="S555" s="135"/>
      <c r="T555" s="135"/>
      <c r="U555" s="135"/>
      <c r="V555" s="135"/>
      <c r="W555" s="135"/>
      <c r="X555" s="135"/>
      <c r="Y555" s="136"/>
    </row>
    <row r="556" spans="15:25" ht="16.149999999999999" customHeight="1">
      <c r="O556" s="460"/>
      <c r="P556" s="461"/>
      <c r="Q556" s="461"/>
      <c r="R556" s="461"/>
      <c r="S556" s="462" t="s">
        <v>351</v>
      </c>
      <c r="T556" s="461"/>
      <c r="U556" s="461"/>
      <c r="V556" s="461"/>
      <c r="W556" s="461"/>
      <c r="X556" s="461"/>
      <c r="Y556" s="463"/>
    </row>
    <row r="557" spans="15:25" ht="16.149999999999999" customHeight="1">
      <c r="O557" s="385"/>
      <c r="P557" s="203" t="s">
        <v>176</v>
      </c>
      <c r="Q557" s="464"/>
      <c r="R557" s="465"/>
      <c r="S557" s="466" t="str">
        <f>IF(AB149="","",AB149)</f>
        <v/>
      </c>
      <c r="T557" s="467"/>
      <c r="U557" s="467"/>
      <c r="V557" s="173"/>
      <c r="W557" s="120"/>
      <c r="X557" s="467"/>
      <c r="Y557" s="450"/>
    </row>
    <row r="558" spans="15:25" ht="16.149999999999999" customHeight="1">
      <c r="O558" s="385"/>
      <c r="P558" s="468" t="s">
        <v>177</v>
      </c>
      <c r="Q558" s="469"/>
      <c r="R558" s="470">
        <f>LEN(Q557)</f>
        <v>0</v>
      </c>
      <c r="S558" s="471"/>
      <c r="T558" s="471"/>
      <c r="U558" s="472" t="s">
        <v>352</v>
      </c>
      <c r="V558" s="471"/>
      <c r="W558" s="471"/>
      <c r="X558" s="471"/>
      <c r="Y558" s="450"/>
    </row>
    <row r="559" spans="15:25" ht="16.149999999999999" customHeight="1">
      <c r="O559" s="385"/>
      <c r="P559" s="203" t="s">
        <v>353</v>
      </c>
      <c r="Q559" s="464"/>
      <c r="R559" s="465"/>
      <c r="S559" s="466" t="str">
        <f>IF(AB151="","",AB151)</f>
        <v/>
      </c>
      <c r="T559" s="467"/>
      <c r="U559" s="467"/>
      <c r="V559" s="173"/>
      <c r="W559" s="120"/>
      <c r="X559" s="467"/>
      <c r="Y559" s="450"/>
    </row>
    <row r="560" spans="15:25" ht="16.149999999999999" customHeight="1">
      <c r="O560" s="385"/>
      <c r="P560" s="468" t="s">
        <v>177</v>
      </c>
      <c r="Q560" s="469"/>
      <c r="R560" s="470">
        <f>LEN(Q559)</f>
        <v>0</v>
      </c>
      <c r="S560" s="471"/>
      <c r="T560" s="471"/>
      <c r="U560" s="472" t="s">
        <v>354</v>
      </c>
      <c r="V560" s="471"/>
      <c r="W560" s="471"/>
      <c r="X560" s="471"/>
      <c r="Y560" s="450"/>
    </row>
    <row r="561" spans="15:25" ht="16.149999999999999" customHeight="1">
      <c r="O561" s="385"/>
      <c r="P561" s="203" t="s">
        <v>353</v>
      </c>
      <c r="Q561" s="464"/>
      <c r="R561" s="465"/>
      <c r="S561" s="466" t="str">
        <f>IF(AB153="","",AB153)</f>
        <v/>
      </c>
      <c r="T561" s="467"/>
      <c r="U561" s="467"/>
      <c r="V561" s="173"/>
      <c r="W561" s="120"/>
      <c r="X561" s="467"/>
      <c r="Y561" s="450"/>
    </row>
    <row r="562" spans="15:25" ht="16.149999999999999" customHeight="1">
      <c r="O562" s="385"/>
      <c r="P562" s="468" t="s">
        <v>177</v>
      </c>
      <c r="Q562" s="469"/>
      <c r="R562" s="470">
        <f>LEN(Q561)</f>
        <v>0</v>
      </c>
      <c r="S562" s="471"/>
      <c r="T562" s="471"/>
      <c r="U562" s="472" t="s">
        <v>355</v>
      </c>
      <c r="V562" s="471"/>
      <c r="W562" s="471"/>
      <c r="X562" s="471"/>
      <c r="Y562" s="450"/>
    </row>
    <row r="563" spans="15:25" ht="16.149999999999999" customHeight="1">
      <c r="O563" s="385"/>
      <c r="P563" s="203" t="s">
        <v>353</v>
      </c>
      <c r="Q563" s="464"/>
      <c r="R563" s="465"/>
      <c r="S563" s="466" t="str">
        <f>IF(AB155="","",AB155)</f>
        <v/>
      </c>
      <c r="T563" s="467"/>
      <c r="U563" s="467"/>
      <c r="V563" s="173"/>
      <c r="W563" s="120"/>
      <c r="X563" s="467"/>
      <c r="Y563" s="450"/>
    </row>
    <row r="564" spans="15:25" ht="16.149999999999999" customHeight="1">
      <c r="O564" s="385"/>
      <c r="P564" s="468" t="s">
        <v>177</v>
      </c>
      <c r="Q564" s="469"/>
      <c r="R564" s="470">
        <f>LEN(Q563)</f>
        <v>0</v>
      </c>
      <c r="S564" s="471"/>
      <c r="T564" s="471"/>
      <c r="U564" s="472" t="s">
        <v>356</v>
      </c>
      <c r="V564" s="471"/>
      <c r="W564" s="471"/>
      <c r="X564" s="471"/>
      <c r="Y564" s="450"/>
    </row>
    <row r="565" spans="15:25" ht="16.149999999999999" customHeight="1">
      <c r="O565" s="385"/>
      <c r="P565" s="203" t="s">
        <v>353</v>
      </c>
      <c r="Q565" s="464"/>
      <c r="R565" s="465"/>
      <c r="S565" s="466" t="str">
        <f>IF(AB157="","",AB157)</f>
        <v/>
      </c>
      <c r="T565" s="467"/>
      <c r="U565" s="467"/>
      <c r="V565" s="173"/>
      <c r="W565" s="120"/>
      <c r="X565" s="467"/>
      <c r="Y565" s="450"/>
    </row>
    <row r="566" spans="15:25" ht="16.149999999999999" customHeight="1">
      <c r="O566" s="385"/>
      <c r="P566" s="468" t="s">
        <v>177</v>
      </c>
      <c r="Q566" s="469"/>
      <c r="R566" s="470">
        <f>LEN(Q565)</f>
        <v>0</v>
      </c>
      <c r="S566" s="471"/>
      <c r="T566" s="471"/>
      <c r="U566" s="472" t="s">
        <v>357</v>
      </c>
      <c r="V566" s="471"/>
      <c r="W566" s="471"/>
      <c r="X566" s="471"/>
      <c r="Y566" s="450"/>
    </row>
    <row r="567" spans="15:25" ht="16.149999999999999" customHeight="1">
      <c r="O567" s="385"/>
      <c r="P567" s="203" t="s">
        <v>353</v>
      </c>
      <c r="Q567" s="464"/>
      <c r="R567" s="465"/>
      <c r="S567" s="466" t="str">
        <f>IF(AB159="","",AB159)</f>
        <v/>
      </c>
      <c r="T567" s="467"/>
      <c r="U567" s="467"/>
      <c r="V567" s="173"/>
      <c r="W567" s="120"/>
      <c r="X567" s="467"/>
      <c r="Y567" s="450"/>
    </row>
    <row r="568" spans="15:25" ht="16.149999999999999" customHeight="1">
      <c r="O568" s="385"/>
      <c r="P568" s="468" t="s">
        <v>177</v>
      </c>
      <c r="Q568" s="469"/>
      <c r="R568" s="470">
        <f>LEN(Q567)</f>
        <v>0</v>
      </c>
      <c r="S568" s="471"/>
      <c r="T568" s="471"/>
      <c r="U568" s="471"/>
      <c r="V568" s="471"/>
      <c r="W568" s="471"/>
      <c r="X568" s="471"/>
      <c r="Y568" s="450"/>
    </row>
    <row r="569" spans="15:25" ht="16.149999999999999" customHeight="1">
      <c r="O569" s="385"/>
      <c r="P569" s="203" t="s">
        <v>353</v>
      </c>
      <c r="Q569" s="464"/>
      <c r="R569" s="465"/>
      <c r="S569" s="466" t="str">
        <f>IF(AB161="","",AB161)</f>
        <v/>
      </c>
      <c r="T569" s="467"/>
      <c r="U569" s="467"/>
      <c r="V569" s="173"/>
      <c r="W569" s="120"/>
      <c r="X569" s="467"/>
      <c r="Y569" s="450"/>
    </row>
    <row r="570" spans="15:25" ht="16.149999999999999" customHeight="1">
      <c r="O570" s="385"/>
      <c r="P570" s="468" t="s">
        <v>177</v>
      </c>
      <c r="Q570" s="469"/>
      <c r="R570" s="470">
        <f>LEN(Q569)</f>
        <v>0</v>
      </c>
      <c r="S570" s="471"/>
      <c r="T570" s="471"/>
      <c r="U570" s="471"/>
      <c r="V570" s="471"/>
      <c r="W570" s="471"/>
      <c r="X570" s="471"/>
      <c r="Y570" s="450"/>
    </row>
    <row r="571" spans="15:25" ht="16.149999999999999" customHeight="1">
      <c r="O571" s="385"/>
      <c r="P571" s="203" t="s">
        <v>353</v>
      </c>
      <c r="Q571" s="464"/>
      <c r="R571" s="465"/>
      <c r="S571" s="466" t="str">
        <f>IF(AB163="","",AB163)</f>
        <v/>
      </c>
      <c r="T571" s="467"/>
      <c r="U571" s="467"/>
      <c r="V571" s="173"/>
      <c r="W571" s="120"/>
      <c r="X571" s="467"/>
      <c r="Y571" s="450"/>
    </row>
    <row r="572" spans="15:25" ht="16.149999999999999" customHeight="1">
      <c r="O572" s="385"/>
      <c r="P572" s="468" t="s">
        <v>177</v>
      </c>
      <c r="Q572" s="469"/>
      <c r="R572" s="470">
        <f>LEN(Q571)</f>
        <v>0</v>
      </c>
      <c r="S572" s="471"/>
      <c r="T572" s="471"/>
      <c r="U572" s="471"/>
      <c r="V572" s="471"/>
      <c r="W572" s="471"/>
      <c r="X572" s="471"/>
      <c r="Y572" s="450"/>
    </row>
    <row r="573" spans="15:25" ht="16.149999999999999" customHeight="1">
      <c r="O573" s="385"/>
      <c r="P573" s="203" t="s">
        <v>353</v>
      </c>
      <c r="Q573" s="464"/>
      <c r="R573" s="465"/>
      <c r="S573" s="466" t="str">
        <f>IF(AB165="","",AB165)</f>
        <v/>
      </c>
      <c r="T573" s="467"/>
      <c r="U573" s="467"/>
      <c r="V573" s="173"/>
      <c r="W573" s="120"/>
      <c r="X573" s="467"/>
      <c r="Y573" s="450"/>
    </row>
    <row r="574" spans="15:25" ht="16.149999999999999" customHeight="1">
      <c r="O574" s="385"/>
      <c r="P574" s="468" t="s">
        <v>177</v>
      </c>
      <c r="Q574" s="469"/>
      <c r="R574" s="470">
        <f>LEN(Q573)</f>
        <v>0</v>
      </c>
      <c r="S574" s="471"/>
      <c r="T574" s="471"/>
      <c r="U574" s="471"/>
      <c r="V574" s="471"/>
      <c r="W574" s="471"/>
      <c r="X574" s="471"/>
      <c r="Y574" s="450"/>
    </row>
    <row r="575" spans="15:25" ht="16.149999999999999" customHeight="1" thickBot="1">
      <c r="O575" s="473"/>
      <c r="P575" s="394"/>
      <c r="Q575" s="394"/>
      <c r="R575" s="394"/>
      <c r="S575" s="394"/>
      <c r="T575" s="394"/>
      <c r="U575" s="394"/>
      <c r="V575" s="394"/>
      <c r="W575" s="394"/>
      <c r="X575" s="394"/>
      <c r="Y575" s="474"/>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V98:X98"/>
    <mergeCell ref="P106:R106"/>
    <mergeCell ref="S106:U106"/>
    <mergeCell ref="V106:X106"/>
    <mergeCell ref="K26:L26"/>
    <mergeCell ref="K27:L27"/>
    <mergeCell ref="D189:I189"/>
    <mergeCell ref="K259:L259"/>
    <mergeCell ref="E373:I373"/>
    <mergeCell ref="E384:I384"/>
    <mergeCell ref="T415:X415"/>
    <mergeCell ref="I411:J411"/>
    <mergeCell ref="I412:J412"/>
    <mergeCell ref="D259:E259"/>
    <mergeCell ref="G259:H259"/>
    <mergeCell ref="D320:E320"/>
    <mergeCell ref="D179:I179"/>
    <mergeCell ref="D180:D181"/>
    <mergeCell ref="E180:G180"/>
    <mergeCell ref="I180:I181"/>
    <mergeCell ref="I173:J173"/>
    <mergeCell ref="D35:F36"/>
    <mergeCell ref="G35:I36"/>
    <mergeCell ref="J35:L36"/>
    <mergeCell ref="L44:M44"/>
    <mergeCell ref="Q174:S174"/>
    <mergeCell ref="P174:P175"/>
    <mergeCell ref="P98:R98"/>
    <mergeCell ref="S98:U98"/>
    <mergeCell ref="U174:U175"/>
    <mergeCell ref="D172:G172"/>
    <mergeCell ref="I172:J172"/>
    <mergeCell ref="I174:J174"/>
    <mergeCell ref="F28:G28"/>
    <mergeCell ref="K28:L28"/>
    <mergeCell ref="F29:G29"/>
    <mergeCell ref="K29:L29"/>
    <mergeCell ref="F30:G30"/>
    <mergeCell ref="K30:L30"/>
    <mergeCell ref="F18:G18"/>
    <mergeCell ref="K18:L18"/>
    <mergeCell ref="F21:G21"/>
    <mergeCell ref="K21:L21"/>
    <mergeCell ref="F22:G22"/>
    <mergeCell ref="K22:L22"/>
    <mergeCell ref="K23:L23"/>
    <mergeCell ref="F24:G24"/>
    <mergeCell ref="K24:L24"/>
    <mergeCell ref="F25:G25"/>
    <mergeCell ref="F26:G26"/>
    <mergeCell ref="K25:L25"/>
    <mergeCell ref="F13:G13"/>
    <mergeCell ref="K13:L13"/>
    <mergeCell ref="F16:G16"/>
    <mergeCell ref="K16:L16"/>
    <mergeCell ref="F17:G17"/>
    <mergeCell ref="K17:L17"/>
    <mergeCell ref="F10:G10"/>
    <mergeCell ref="K10:L10"/>
    <mergeCell ref="F11:G11"/>
    <mergeCell ref="K11:L11"/>
    <mergeCell ref="F12:G12"/>
    <mergeCell ref="K12:L12"/>
    <mergeCell ref="P182:U182"/>
    <mergeCell ref="P196:P197"/>
    <mergeCell ref="Q196:S196"/>
    <mergeCell ref="U196:U197"/>
    <mergeCell ref="P206:P207"/>
    <mergeCell ref="Q206:S206"/>
    <mergeCell ref="U206:U207"/>
    <mergeCell ref="P205:U205"/>
    <mergeCell ref="Q483:X483"/>
    <mergeCell ref="Q495:V495"/>
    <mergeCell ref="P183:P184"/>
    <mergeCell ref="Q183:S183"/>
    <mergeCell ref="U183:U184"/>
    <mergeCell ref="T436:X436"/>
    <mergeCell ref="T456:X456"/>
    <mergeCell ref="T470:X470"/>
    <mergeCell ref="T445:X445"/>
    <mergeCell ref="T427:X427"/>
  </mergeCells>
  <conditionalFormatting sqref="D188:I188 D195:I195">
    <cfRule type="cellIs" dxfId="151" priority="112" operator="equal">
      <formula>"NO"</formula>
    </cfRule>
  </conditionalFormatting>
  <conditionalFormatting sqref="E492">
    <cfRule type="cellIs" dxfId="150" priority="4" operator="equal">
      <formula>"Fail"</formula>
    </cfRule>
  </conditionalFormatting>
  <conditionalFormatting sqref="E165:J165">
    <cfRule type="cellIs" dxfId="149" priority="119" operator="equal">
      <formula>"NO"</formula>
    </cfRule>
  </conditionalFormatting>
  <conditionalFormatting sqref="E167:J167">
    <cfRule type="cellIs" dxfId="148" priority="116" operator="equal">
      <formula>"NO"</formula>
    </cfRule>
  </conditionalFormatting>
  <conditionalFormatting sqref="I240:I242 I244:I247">
    <cfRule type="cellIs" dxfId="147" priority="90" operator="equal">
      <formula>"Fail"</formula>
    </cfRule>
  </conditionalFormatting>
  <conditionalFormatting sqref="I426 M426 E428 D442:G442 D465:K465 D472:H472">
    <cfRule type="cellIs" dxfId="146" priority="103" operator="equal">
      <formula>"Fail"</formula>
    </cfRule>
  </conditionalFormatting>
  <conditionalFormatting sqref="I174:J174">
    <cfRule type="cellIs" dxfId="145" priority="115" operator="lessThan">
      <formula>160</formula>
    </cfRule>
  </conditionalFormatting>
  <conditionalFormatting sqref="J211:J218 J226:J232 J281:J287">
    <cfRule type="cellIs" dxfId="144" priority="93" operator="greaterThan">
      <formula>0.1</formula>
    </cfRule>
  </conditionalFormatting>
  <conditionalFormatting sqref="J219">
    <cfRule type="cellIs" dxfId="143" priority="51" operator="equal">
      <formula>"Fail"</formula>
    </cfRule>
  </conditionalFormatting>
  <conditionalFormatting sqref="J233">
    <cfRule type="cellIs" dxfId="142" priority="52" operator="equal">
      <formula>"Fail"</formula>
    </cfRule>
  </conditionalFormatting>
  <conditionalFormatting sqref="J288">
    <cfRule type="cellIs" dxfId="141" priority="49" operator="equal">
      <formula>"Fail"</formula>
    </cfRule>
  </conditionalFormatting>
  <conditionalFormatting sqref="J518:J520">
    <cfRule type="expression" dxfId="140" priority="1">
      <formula>$O$35=2</formula>
    </cfRule>
    <cfRule type="expression" dxfId="139" priority="2">
      <formula>$O$33=2</formula>
    </cfRule>
  </conditionalFormatting>
  <conditionalFormatting sqref="K142">
    <cfRule type="cellIs" dxfId="138" priority="54" operator="equal">
      <formula>"Fail"</formula>
    </cfRule>
  </conditionalFormatting>
  <conditionalFormatting sqref="K253">
    <cfRule type="cellIs" dxfId="137" priority="50" operator="equal">
      <formula>"Fail"</formula>
    </cfRule>
  </conditionalFormatting>
  <conditionalFormatting sqref="K401:K402">
    <cfRule type="cellIs" dxfId="136" priority="48" operator="equal">
      <formula>"Fail"</formula>
    </cfRule>
  </conditionalFormatting>
  <conditionalFormatting sqref="L45:L50 L52:L64">
    <cfRule type="cellIs" dxfId="135" priority="124" operator="equal">
      <formula>"TBD"</formula>
    </cfRule>
  </conditionalFormatting>
  <conditionalFormatting sqref="L72:L104">
    <cfRule type="cellIs" dxfId="134" priority="122" operator="equal">
      <formula>"TBD"</formula>
    </cfRule>
  </conditionalFormatting>
  <conditionalFormatting sqref="L298 L312 L350 L364 L378 L389 L395">
    <cfRule type="cellIs" dxfId="133" priority="55" operator="greaterThan">
      <formula>3</formula>
    </cfRule>
  </conditionalFormatting>
  <conditionalFormatting sqref="M45:M50 M52:M64">
    <cfRule type="cellIs" dxfId="132" priority="123" operator="equal">
      <formula>"NO"</formula>
    </cfRule>
  </conditionalFormatting>
  <conditionalFormatting sqref="M72:M104">
    <cfRule type="cellIs" dxfId="131" priority="121" operator="equal">
      <formula>"NO"</formula>
    </cfRule>
  </conditionalFormatting>
  <conditionalFormatting sqref="M174">
    <cfRule type="cellIs" dxfId="130" priority="53" operator="equal">
      <formula>"Fail"</formula>
    </cfRule>
  </conditionalFormatting>
  <conditionalFormatting sqref="O248:Y260">
    <cfRule type="expression" dxfId="129" priority="33">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28" priority="71">
      <formula>$O$36=2</formula>
    </cfRule>
  </conditionalFormatting>
  <conditionalFormatting sqref="O306:Y329">
    <cfRule type="expression" dxfId="127" priority="31">
      <formula>$O$33=2</formula>
    </cfRule>
  </conditionalFormatting>
  <conditionalFormatting sqref="O352:Y381">
    <cfRule type="expression" dxfId="126" priority="17">
      <formula>$O$35=2</formula>
    </cfRule>
  </conditionalFormatting>
  <conditionalFormatting sqref="O382:Y382">
    <cfRule type="expression" dxfId="125" priority="70">
      <formula>$O$36=2</formula>
    </cfRule>
  </conditionalFormatting>
  <conditionalFormatting sqref="P363:P364">
    <cfRule type="expression" dxfId="124" priority="24">
      <formula>$O$33=2</formula>
    </cfRule>
  </conditionalFormatting>
  <conditionalFormatting sqref="P356:Q356">
    <cfRule type="expression" dxfId="123" priority="28">
      <formula>$O$33=2</formula>
    </cfRule>
  </conditionalFormatting>
  <conditionalFormatting sqref="P189:U190">
    <cfRule type="cellIs" dxfId="122" priority="229" operator="greaterThan">
      <formula>0.02</formula>
    </cfRule>
    <cfRule type="cellIs" dxfId="121" priority="228" operator="lessThan">
      <formula>0.02</formula>
    </cfRule>
  </conditionalFormatting>
  <conditionalFormatting sqref="P208:U211">
    <cfRule type="cellIs" dxfId="120" priority="227" operator="greaterThan">
      <formula>0.02</formula>
    </cfRule>
    <cfRule type="cellIs" dxfId="119" priority="226" operator="lessThan">
      <formula>-0.02</formula>
    </cfRule>
    <cfRule type="cellIs" dxfId="118" priority="225" operator="between">
      <formula>0.02</formula>
      <formula>-0.02</formula>
    </cfRule>
  </conditionalFormatting>
  <conditionalFormatting sqref="P212:U212">
    <cfRule type="cellIs" dxfId="117" priority="224" operator="between">
      <formula>-0.01</formula>
      <formula>0.01</formula>
    </cfRule>
    <cfRule type="cellIs" dxfId="116" priority="223" operator="greaterThan">
      <formula>0.01</formula>
    </cfRule>
    <cfRule type="cellIs" dxfId="115" priority="222" operator="lessThan">
      <formula>-0.01</formula>
    </cfRule>
  </conditionalFormatting>
  <conditionalFormatting sqref="P244:W244">
    <cfRule type="expression" dxfId="114" priority="35">
      <formula>$O$34=2</formula>
    </cfRule>
  </conditionalFormatting>
  <conditionalFormatting sqref="P370:X381 O331:Y352 P353:Q353 Y353:Y366 O355:O366 P368:V368 R369:X369 O330:W330 Y330">
    <cfRule type="expression" dxfId="113" priority="67">
      <formula>$O$33=2</formula>
    </cfRule>
  </conditionalFormatting>
  <conditionalFormatting sqref="Q399">
    <cfRule type="expression" dxfId="112" priority="59">
      <formula>$O$33=2</formula>
    </cfRule>
  </conditionalFormatting>
  <conditionalFormatting sqref="Q228:T228 Q510:W510">
    <cfRule type="cellIs" dxfId="111" priority="147" operator="equal">
      <formula>"Pass"</formula>
    </cfRule>
    <cfRule type="cellIs" dxfId="110" priority="146" operator="equal">
      <formula>"Fail"</formula>
    </cfRule>
  </conditionalFormatting>
  <conditionalFormatting sqref="Q357:U364">
    <cfRule type="expression" dxfId="109" priority="22">
      <formula>$O$33=2</formula>
    </cfRule>
  </conditionalFormatting>
  <conditionalFormatting sqref="Q143:V143">
    <cfRule type="cellIs" dxfId="108" priority="149" operator="equal">
      <formula>"Pass"</formula>
    </cfRule>
    <cfRule type="cellIs" dxfId="107" priority="117" operator="equal">
      <formula>"NO"</formula>
    </cfRule>
    <cfRule type="cellIs" dxfId="106" priority="118" operator="equal">
      <formula>"YES"</formula>
    </cfRule>
    <cfRule type="cellIs" dxfId="105" priority="148" operator="equal">
      <formula>"Fail"</formula>
    </cfRule>
  </conditionalFormatting>
  <conditionalFormatting sqref="Q155:V155">
    <cfRule type="cellIs" dxfId="104" priority="140" operator="lessThan">
      <formula>0.07</formula>
    </cfRule>
    <cfRule type="cellIs" dxfId="103" priority="141" operator="greaterThan">
      <formula>0.07</formula>
    </cfRule>
  </conditionalFormatting>
  <conditionalFormatting sqref="Q156:V156">
    <cfRule type="cellIs" dxfId="102" priority="139" operator="equal">
      <formula>"NO"</formula>
    </cfRule>
    <cfRule type="cellIs" dxfId="101" priority="138" operator="equal">
      <formula>"YES"</formula>
    </cfRule>
  </conditionalFormatting>
  <conditionalFormatting sqref="Q488:X488 Q500:V500">
    <cfRule type="cellIs" dxfId="100" priority="142" operator="equal">
      <formula>"Fail"</formula>
    </cfRule>
    <cfRule type="cellIs" dxfId="99" priority="143" operator="equal">
      <formula>"Pass"</formula>
    </cfRule>
  </conditionalFormatting>
  <conditionalFormatting sqref="R124:R131">
    <cfRule type="cellIs" dxfId="98" priority="152" operator="lessThan">
      <formula>-0.5</formula>
    </cfRule>
    <cfRule type="cellIs" dxfId="97" priority="153" operator="greaterThan">
      <formula>0.5</formula>
    </cfRule>
    <cfRule type="cellIs" dxfId="96" priority="154" operator="between">
      <formula>0.5</formula>
      <formula>-0.5</formula>
    </cfRule>
  </conditionalFormatting>
  <conditionalFormatting sqref="R538 U519 Q529:R529 U529:V529 P538">
    <cfRule type="cellIs" dxfId="95" priority="189" operator="greaterThanOrEqual">
      <formula>5</formula>
    </cfRule>
    <cfRule type="cellIs" dxfId="94" priority="188" operator="lessThan">
      <formula>5</formula>
    </cfRule>
  </conditionalFormatting>
  <conditionalFormatting sqref="R539:R540 U520:U521 Q530:R531 U530:V531 P539:P540">
    <cfRule type="cellIs" dxfId="93" priority="185" operator="greaterThanOrEqual">
      <formula>4</formula>
    </cfRule>
    <cfRule type="cellIs" dxfId="92" priority="184" operator="lessThan">
      <formula>4</formula>
    </cfRule>
  </conditionalFormatting>
  <conditionalFormatting sqref="R534:S540">
    <cfRule type="expression" dxfId="91" priority="65">
      <formula>$O$34=2</formula>
    </cfRule>
  </conditionalFormatting>
  <conditionalFormatting sqref="S355:T356">
    <cfRule type="expression" dxfId="90" priority="26">
      <formula>$O$33=2</formula>
    </cfRule>
  </conditionalFormatting>
  <conditionalFormatting sqref="T398:T399">
    <cfRule type="expression" dxfId="89" priority="60">
      <formula>$O$33=2</formula>
    </cfRule>
  </conditionalFormatting>
  <conditionalFormatting sqref="T538">
    <cfRule type="cellIs" dxfId="88" priority="183" operator="greaterThanOrEqual">
      <formula>4</formula>
    </cfRule>
    <cfRule type="cellIs" dxfId="87" priority="182" operator="lessThan">
      <formula>4</formula>
    </cfRule>
  </conditionalFormatting>
  <conditionalFormatting sqref="T539:T540">
    <cfRule type="cellIs" dxfId="86" priority="181" operator="greaterThanOrEqual">
      <formula>3</formula>
    </cfRule>
    <cfRule type="cellIs" dxfId="85" priority="180" operator="lessThan">
      <formula>3</formula>
    </cfRule>
  </conditionalFormatting>
  <conditionalFormatting sqref="T551">
    <cfRule type="cellIs" dxfId="84" priority="178" operator="lessThan">
      <formula>40</formula>
    </cfRule>
    <cfRule type="cellIs" dxfId="83" priority="179" operator="greaterThanOrEqual">
      <formula>40</formula>
    </cfRule>
  </conditionalFormatting>
  <conditionalFormatting sqref="T534:U540">
    <cfRule type="expression" dxfId="82" priority="66">
      <formula>$O$33=2</formula>
    </cfRule>
  </conditionalFormatting>
  <conditionalFormatting sqref="T464:X464">
    <cfRule type="cellIs" dxfId="81" priority="207" operator="between">
      <formula>0.02</formula>
      <formula>-0.02</formula>
    </cfRule>
    <cfRule type="cellIs" dxfId="80" priority="206" operator="greaterThan">
      <formula>0.02</formula>
    </cfRule>
    <cfRule type="cellIs" dxfId="79" priority="205" operator="lessThan">
      <formula>-0.02</formula>
    </cfRule>
  </conditionalFormatting>
  <conditionalFormatting sqref="U170">
    <cfRule type="cellIs" dxfId="78" priority="151" operator="greaterThan">
      <formula>160</formula>
    </cfRule>
    <cfRule type="cellIs" dxfId="77" priority="150" operator="lessThan">
      <formula>160</formula>
    </cfRule>
  </conditionalFormatting>
  <conditionalFormatting sqref="U387">
    <cfRule type="expression" dxfId="76" priority="62">
      <formula>$O$33=2</formula>
    </cfRule>
  </conditionalFormatting>
  <conditionalFormatting sqref="U402">
    <cfRule type="expression" dxfId="75" priority="61">
      <formula>$O$33=2</formula>
    </cfRule>
  </conditionalFormatting>
  <conditionalFormatting sqref="V266">
    <cfRule type="cellIs" dxfId="74" priority="217" operator="between">
      <formula>$X$266</formula>
      <formula>$Y$266</formula>
    </cfRule>
    <cfRule type="cellIs" dxfId="73" priority="131" operator="notBetween">
      <formula>$X$266</formula>
      <formula>$Y$266</formula>
    </cfRule>
  </conditionalFormatting>
  <conditionalFormatting sqref="V267">
    <cfRule type="cellIs" dxfId="72" priority="130" operator="notBetween">
      <formula>$X$267</formula>
      <formula>$Y$267</formula>
    </cfRule>
    <cfRule type="cellIs" dxfId="71" priority="216" operator="between">
      <formula>$X$267</formula>
      <formula>$Y$267</formula>
    </cfRule>
  </conditionalFormatting>
  <conditionalFormatting sqref="V268">
    <cfRule type="cellIs" dxfId="70" priority="129" operator="notBetween">
      <formula>$X$268</formula>
      <formula>$Y$268</formula>
    </cfRule>
    <cfRule type="cellIs" dxfId="69" priority="215" operator="between">
      <formula>$X$268</formula>
      <formula>$Y$268</formula>
    </cfRule>
  </conditionalFormatting>
  <conditionalFormatting sqref="V270">
    <cfRule type="cellIs" dxfId="68" priority="214" operator="between">
      <formula>$X$270</formula>
      <formula>$Y$270</formula>
    </cfRule>
    <cfRule type="cellIs" dxfId="67" priority="128" operator="notBetween">
      <formula>$X$270</formula>
      <formula>$Y$270</formula>
    </cfRule>
  </conditionalFormatting>
  <conditionalFormatting sqref="V271">
    <cfRule type="cellIs" dxfId="66" priority="213" operator="between">
      <formula>$X$271</formula>
      <formula>$Y$271</formula>
    </cfRule>
    <cfRule type="cellIs" dxfId="65" priority="127" operator="notBetween">
      <formula>$X$271</formula>
      <formula>$Y$271</formula>
    </cfRule>
  </conditionalFormatting>
  <conditionalFormatting sqref="V272">
    <cfRule type="cellIs" dxfId="64" priority="212" operator="between">
      <formula>$X$272</formula>
      <formula>$Y$272</formula>
    </cfRule>
    <cfRule type="cellIs" dxfId="63" priority="126" operator="notBetween">
      <formula>$X$272</formula>
      <formula>$Y$272</formula>
    </cfRule>
  </conditionalFormatting>
  <conditionalFormatting sqref="V273">
    <cfRule type="cellIs" dxfId="62" priority="125" operator="notBetween">
      <formula>$X$273</formula>
      <formula>$Y$273</formula>
    </cfRule>
    <cfRule type="cellIs" dxfId="61" priority="211" operator="between">
      <formula>$X$273</formula>
      <formula>$Y$273</formula>
    </cfRule>
  </conditionalFormatting>
  <conditionalFormatting sqref="V538">
    <cfRule type="cellIs" dxfId="60" priority="79" operator="greaterThanOrEqual">
      <formula>4</formula>
    </cfRule>
    <cfRule type="cellIs" dxfId="59" priority="78" operator="lessThan">
      <formula>4</formula>
    </cfRule>
  </conditionalFormatting>
  <conditionalFormatting sqref="V539:V540">
    <cfRule type="cellIs" dxfId="58" priority="77" operator="greaterThanOrEqual">
      <formula>3</formula>
    </cfRule>
    <cfRule type="cellIs" dxfId="57" priority="76" operator="lessThan">
      <formula>3</formula>
    </cfRule>
  </conditionalFormatting>
  <conditionalFormatting sqref="V552">
    <cfRule type="cellIs" dxfId="56" priority="177" operator="between">
      <formula>0.15</formula>
      <formula>-0.15</formula>
    </cfRule>
    <cfRule type="cellIs" dxfId="55" priority="176" operator="greaterThan">
      <formula>0.15</formula>
    </cfRule>
    <cfRule type="cellIs" dxfId="54" priority="175" operator="lessThan">
      <formula>-0.15</formula>
    </cfRule>
  </conditionalFormatting>
  <conditionalFormatting sqref="W237:W244">
    <cfRule type="cellIs" dxfId="53" priority="220" operator="lessThan">
      <formula>0.1</formula>
    </cfRule>
    <cfRule type="cellIs" dxfId="52" priority="221" operator="greaterThan">
      <formula>0.1</formula>
    </cfRule>
  </conditionalFormatting>
  <conditionalFormatting sqref="W252:W258">
    <cfRule type="cellIs" dxfId="51" priority="218" operator="lessThan">
      <formula>0.1</formula>
    </cfRule>
    <cfRule type="cellIs" dxfId="50" priority="219" operator="greaterThan">
      <formula>0.1</formula>
    </cfRule>
  </conditionalFormatting>
  <conditionalFormatting sqref="W259 W245">
    <cfRule type="cellIs" dxfId="49" priority="110" operator="equal">
      <formula>"Pass"</formula>
    </cfRule>
    <cfRule type="cellIs" dxfId="48" priority="109" operator="equal">
      <formula>"Fail"</formula>
    </cfRule>
  </conditionalFormatting>
  <conditionalFormatting sqref="W282:W288">
    <cfRule type="cellIs" dxfId="47" priority="100" operator="lessThan">
      <formula>0.1</formula>
    </cfRule>
    <cfRule type="cellIs" dxfId="46" priority="101" operator="greaterThan">
      <formula>0.1</formula>
    </cfRule>
  </conditionalFormatting>
  <conditionalFormatting sqref="W289">
    <cfRule type="cellIs" dxfId="45" priority="97" operator="equal">
      <formula>"Pass"</formula>
    </cfRule>
    <cfRule type="cellIs" dxfId="44" priority="96" operator="equal">
      <formula>"Fail"</formula>
    </cfRule>
  </conditionalFormatting>
  <conditionalFormatting sqref="W477">
    <cfRule type="cellIs" dxfId="43" priority="203" operator="lessThan">
      <formula>0.1</formula>
    </cfRule>
    <cfRule type="cellIs" dxfId="42" priority="204" operator="greaterThan">
      <formula>0.1</formula>
    </cfRule>
  </conditionalFormatting>
  <conditionalFormatting sqref="W551:W552">
    <cfRule type="cellIs" dxfId="41" priority="105" operator="equal">
      <formula>"Fail"</formula>
    </cfRule>
    <cfRule type="cellIs" dxfId="40" priority="106" operator="equal">
      <formula>"Pass"</formula>
    </cfRule>
  </conditionalFormatting>
  <conditionalFormatting sqref="X303">
    <cfRule type="cellIs" dxfId="39" priority="209" operator="greaterThan">
      <formula>0.15</formula>
    </cfRule>
    <cfRule type="cellIs" dxfId="38" priority="144" operator="lessThan">
      <formula>0.15</formula>
    </cfRule>
  </conditionalFormatting>
  <conditionalFormatting sqref="X318">
    <cfRule type="cellIs" dxfId="37" priority="136" operator="lessThan">
      <formula>0.15</formula>
    </cfRule>
    <cfRule type="cellIs" dxfId="36" priority="137" operator="greaterThan">
      <formula>0.15</formula>
    </cfRule>
  </conditionalFormatting>
  <conditionalFormatting sqref="X333 X345 X313 X298">
    <cfRule type="cellIs" dxfId="35" priority="210" operator="greaterThan">
      <formula>3</formula>
    </cfRule>
  </conditionalFormatting>
  <conditionalFormatting sqref="X333 X345 X350 X313 X298">
    <cfRule type="cellIs" dxfId="34" priority="145" operator="lessThan">
      <formula>3</formula>
    </cfRule>
  </conditionalFormatting>
  <conditionalFormatting sqref="X337">
    <cfRule type="cellIs" dxfId="33" priority="134" operator="lessThan">
      <formula>0.15</formula>
    </cfRule>
    <cfRule type="cellIs" dxfId="32" priority="135" operator="greaterThan">
      <formula>0.15</formula>
    </cfRule>
  </conditionalFormatting>
  <conditionalFormatting sqref="X349">
    <cfRule type="cellIs" dxfId="31" priority="133" operator="greaterThan">
      <formula>0.15</formula>
    </cfRule>
    <cfRule type="cellIs" dxfId="30" priority="132" operator="lessThan">
      <formula>0.15</formula>
    </cfRule>
  </conditionalFormatting>
  <conditionalFormatting sqref="X350">
    <cfRule type="cellIs" dxfId="29" priority="208" operator="greaterThan">
      <formula>3</formula>
    </cfRule>
  </conditionalFormatting>
  <conditionalFormatting sqref="X360">
    <cfRule type="cellIs" dxfId="28" priority="21" operator="greaterThan">
      <formula>3</formula>
    </cfRule>
    <cfRule type="cellIs" dxfId="27" priority="19" operator="lessThan">
      <formula>3</formula>
    </cfRule>
  </conditionalFormatting>
  <conditionalFormatting sqref="X365">
    <cfRule type="cellIs" dxfId="26" priority="20" operator="greaterThan">
      <formula>0.15</formula>
    </cfRule>
    <cfRule type="cellIs" dxfId="25" priority="18" operator="lessThan">
      <formula>0.15</formula>
    </cfRule>
  </conditionalFormatting>
  <conditionalFormatting sqref="X374">
    <cfRule type="cellIs" dxfId="24" priority="46" operator="lessThan">
      <formula>3</formula>
    </cfRule>
    <cfRule type="cellIs" dxfId="23" priority="47" operator="greaterThan">
      <formula>3</formula>
    </cfRule>
  </conditionalFormatting>
  <conditionalFormatting sqref="X379">
    <cfRule type="cellIs" dxfId="22" priority="44" operator="lessThan">
      <formula>0.15</formula>
    </cfRule>
    <cfRule type="cellIs" dxfId="21" priority="45" operator="greaterThan">
      <formula>0.15</formula>
    </cfRule>
  </conditionalFormatting>
  <conditionalFormatting sqref="X389">
    <cfRule type="cellIs" dxfId="20" priority="89" operator="greaterThan">
      <formula>3</formula>
    </cfRule>
    <cfRule type="cellIs" dxfId="19" priority="87" operator="lessThan">
      <formula>3</formula>
    </cfRule>
  </conditionalFormatting>
  <conditionalFormatting sqref="X394">
    <cfRule type="cellIs" dxfId="18" priority="88" operator="greaterThan">
      <formula>0.15</formula>
    </cfRule>
    <cfRule type="cellIs" dxfId="17" priority="86" operator="lessThan">
      <formula>0.15</formula>
    </cfRule>
  </conditionalFormatting>
  <conditionalFormatting sqref="X401">
    <cfRule type="expression" dxfId="16" priority="63">
      <formula>$O$33=2</formula>
    </cfRule>
  </conditionalFormatting>
  <conditionalFormatting sqref="X404">
    <cfRule type="cellIs" dxfId="15" priority="83" operator="lessThan">
      <formula>3</formula>
    </cfRule>
    <cfRule type="cellIs" dxfId="14" priority="85" operator="greaterThan">
      <formula>3</formula>
    </cfRule>
  </conditionalFormatting>
  <conditionalFormatting sqref="X409">
    <cfRule type="cellIs" dxfId="13" priority="84" operator="greaterThan">
      <formula>0.15</formula>
    </cfRule>
    <cfRule type="cellIs" dxfId="12" priority="82" operator="lessThan">
      <formula>0.15</formula>
    </cfRule>
  </conditionalFormatting>
  <conditionalFormatting sqref="X538">
    <cfRule type="cellIs" dxfId="11" priority="75" operator="greaterThanOrEqual">
      <formula>4</formula>
    </cfRule>
    <cfRule type="cellIs" dxfId="10" priority="74" operator="lessThan">
      <formula>4</formula>
    </cfRule>
  </conditionalFormatting>
  <conditionalFormatting sqref="X539:X540">
    <cfRule type="cellIs" dxfId="9" priority="73" operator="greaterThanOrEqual">
      <formula>3</formula>
    </cfRule>
    <cfRule type="cellIs" dxfId="8" priority="72" operator="lessThan">
      <formula>3</formula>
    </cfRule>
  </conditionalFormatting>
  <conditionalFormatting sqref="Y170">
    <cfRule type="cellIs" dxfId="7" priority="113" operator="equal">
      <formula>"Fail"</formula>
    </cfRule>
    <cfRule type="cellIs" dxfId="6" priority="114" operator="equal">
      <formula>"Pass"</formula>
    </cfRule>
  </conditionalFormatting>
  <dataValidations count="1">
    <dataValidation type="list" allowBlank="1" showInputMessage="1" showErrorMessage="1" sqref="S18" xr:uid="{6704761B-BFC8-45F5-A76B-792E4490BD96}">
      <formula1>"Model"</formula1>
    </dataValidation>
  </dataValidations>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election activeCell="M4" sqref="M4:M7"/>
    </sheetView>
  </sheetViews>
  <sheetFormatPr defaultRowHeight="15.75"/>
  <sheetData>
    <row r="1" spans="1:13">
      <c r="A1" s="558" t="s">
        <v>794</v>
      </c>
      <c r="M1" s="558" t="s">
        <v>794</v>
      </c>
    </row>
    <row r="3" spans="1:13">
      <c r="A3" s="559" t="s">
        <v>795</v>
      </c>
      <c r="B3" s="559" t="s">
        <v>796</v>
      </c>
      <c r="C3" s="559" t="s">
        <v>390</v>
      </c>
      <c r="D3" s="559" t="s">
        <v>233</v>
      </c>
      <c r="E3" s="559" t="s">
        <v>797</v>
      </c>
      <c r="F3" s="559" t="s">
        <v>798</v>
      </c>
      <c r="G3" s="559" t="s">
        <v>799</v>
      </c>
      <c r="H3" s="559" t="s">
        <v>800</v>
      </c>
      <c r="I3" s="559" t="s">
        <v>801</v>
      </c>
      <c r="J3" s="559" t="s">
        <v>802</v>
      </c>
      <c r="K3" s="559" t="s">
        <v>803</v>
      </c>
      <c r="M3" s="559" t="s">
        <v>806</v>
      </c>
    </row>
    <row r="4" spans="1:13">
      <c r="A4">
        <v>24</v>
      </c>
      <c r="B4">
        <v>50</v>
      </c>
      <c r="C4" t="s">
        <v>782</v>
      </c>
      <c r="D4" t="s">
        <v>584</v>
      </c>
      <c r="E4" t="s">
        <v>813</v>
      </c>
    </row>
    <row r="5" spans="1:13">
      <c r="A5">
        <v>25</v>
      </c>
      <c r="B5">
        <v>50</v>
      </c>
      <c r="C5" t="s">
        <v>782</v>
      </c>
      <c r="D5" t="s">
        <v>584</v>
      </c>
      <c r="E5" t="s">
        <v>813</v>
      </c>
    </row>
    <row r="6" spans="1:13">
      <c r="A6">
        <v>26</v>
      </c>
      <c r="B6">
        <v>50</v>
      </c>
      <c r="C6" t="s">
        <v>782</v>
      </c>
      <c r="D6" t="s">
        <v>584</v>
      </c>
      <c r="E6" t="s">
        <v>813</v>
      </c>
    </row>
    <row r="7" spans="1:13">
      <c r="A7">
        <v>28</v>
      </c>
      <c r="B7">
        <v>20</v>
      </c>
      <c r="C7" t="s">
        <v>782</v>
      </c>
      <c r="D7" t="s">
        <v>584</v>
      </c>
      <c r="E7" t="s">
        <v>813</v>
      </c>
    </row>
    <row r="8" spans="1:13">
      <c r="A8">
        <v>28</v>
      </c>
      <c r="B8">
        <v>50</v>
      </c>
      <c r="C8" t="s">
        <v>782</v>
      </c>
      <c r="D8" t="s">
        <v>584</v>
      </c>
      <c r="E8" t="s">
        <v>813</v>
      </c>
    </row>
    <row r="9" spans="1:13">
      <c r="A9">
        <v>28</v>
      </c>
      <c r="B9">
        <v>50</v>
      </c>
      <c r="C9" t="s">
        <v>782</v>
      </c>
      <c r="D9" t="s">
        <v>584</v>
      </c>
      <c r="E9" t="s">
        <v>813</v>
      </c>
    </row>
    <row r="10" spans="1:13">
      <c r="A10">
        <v>28</v>
      </c>
      <c r="B10">
        <v>50</v>
      </c>
      <c r="C10" t="s">
        <v>782</v>
      </c>
      <c r="D10" t="s">
        <v>584</v>
      </c>
      <c r="E10" t="s">
        <v>813</v>
      </c>
    </row>
    <row r="11" spans="1:13">
      <c r="A11">
        <v>28</v>
      </c>
      <c r="B11">
        <v>50</v>
      </c>
      <c r="C11" t="s">
        <v>782</v>
      </c>
      <c r="D11" t="s">
        <v>584</v>
      </c>
      <c r="E11" t="s">
        <v>813</v>
      </c>
    </row>
    <row r="12" spans="1:13">
      <c r="A12">
        <v>28</v>
      </c>
      <c r="B12">
        <v>100</v>
      </c>
      <c r="C12" t="s">
        <v>782</v>
      </c>
      <c r="D12" t="s">
        <v>584</v>
      </c>
      <c r="E12" t="s">
        <v>813</v>
      </c>
    </row>
    <row r="13" spans="1:13">
      <c r="A13">
        <v>28</v>
      </c>
      <c r="B13">
        <v>300</v>
      </c>
      <c r="C13" t="s">
        <v>782</v>
      </c>
      <c r="D13" t="s">
        <v>584</v>
      </c>
      <c r="E13" t="s">
        <v>813</v>
      </c>
    </row>
    <row r="14" spans="1:13">
      <c r="A14">
        <v>28</v>
      </c>
      <c r="B14">
        <v>400</v>
      </c>
      <c r="C14" t="s">
        <v>782</v>
      </c>
      <c r="D14" t="s">
        <v>584</v>
      </c>
      <c r="E14" t="s">
        <v>813</v>
      </c>
    </row>
    <row r="15" spans="1:13">
      <c r="A15">
        <v>30</v>
      </c>
      <c r="B15">
        <v>50</v>
      </c>
      <c r="C15" t="s">
        <v>782</v>
      </c>
      <c r="D15" t="s">
        <v>584</v>
      </c>
      <c r="E15" t="s">
        <v>813</v>
      </c>
    </row>
    <row r="16" spans="1:13">
      <c r="A16">
        <v>32</v>
      </c>
      <c r="B16">
        <v>50</v>
      </c>
      <c r="C16" t="s">
        <v>782</v>
      </c>
      <c r="D16" t="s">
        <v>584</v>
      </c>
      <c r="E16" t="s">
        <v>813</v>
      </c>
    </row>
    <row r="17" spans="1:5">
      <c r="A17">
        <v>34</v>
      </c>
      <c r="B17">
        <v>50</v>
      </c>
      <c r="C17" t="s">
        <v>782</v>
      </c>
      <c r="D17" t="s">
        <v>584</v>
      </c>
      <c r="E17" t="s">
        <v>813</v>
      </c>
    </row>
    <row r="18" spans="1:5">
      <c r="A18">
        <v>36</v>
      </c>
      <c r="B18">
        <v>50</v>
      </c>
      <c r="C18" t="s">
        <v>782</v>
      </c>
      <c r="D18" t="s">
        <v>584</v>
      </c>
      <c r="E18" t="s">
        <v>813</v>
      </c>
    </row>
    <row r="19" spans="1:5">
      <c r="A19">
        <v>38</v>
      </c>
      <c r="B19">
        <v>50</v>
      </c>
      <c r="C19" t="s">
        <v>782</v>
      </c>
      <c r="D19" t="s">
        <v>584</v>
      </c>
      <c r="E19" t="s">
        <v>813</v>
      </c>
    </row>
    <row r="20" spans="1:5">
      <c r="A20">
        <v>28</v>
      </c>
      <c r="B20">
        <v>50</v>
      </c>
      <c r="C20" t="s">
        <v>782</v>
      </c>
      <c r="D20" t="s">
        <v>784</v>
      </c>
      <c r="E20" t="s">
        <v>814</v>
      </c>
    </row>
    <row r="21" spans="1:5">
      <c r="A21">
        <v>30</v>
      </c>
      <c r="B21">
        <v>50</v>
      </c>
      <c r="C21" t="s">
        <v>782</v>
      </c>
      <c r="D21" t="s">
        <v>784</v>
      </c>
      <c r="E21" t="s">
        <v>814</v>
      </c>
    </row>
    <row r="22" spans="1:5">
      <c r="A22">
        <v>32</v>
      </c>
      <c r="B22">
        <v>50</v>
      </c>
      <c r="C22" t="s">
        <v>782</v>
      </c>
      <c r="D22" t="s">
        <v>784</v>
      </c>
      <c r="E22" t="s">
        <v>814</v>
      </c>
    </row>
    <row r="23" spans="1:5">
      <c r="A23">
        <v>34</v>
      </c>
      <c r="B23">
        <v>50</v>
      </c>
      <c r="C23" t="s">
        <v>782</v>
      </c>
      <c r="D23" t="s">
        <v>784</v>
      </c>
      <c r="E23" t="s">
        <v>814</v>
      </c>
    </row>
    <row r="24" spans="1:5">
      <c r="A24">
        <v>36</v>
      </c>
      <c r="B24">
        <v>50</v>
      </c>
      <c r="C24" t="s">
        <v>782</v>
      </c>
      <c r="D24" t="s">
        <v>784</v>
      </c>
      <c r="E24" t="s">
        <v>814</v>
      </c>
    </row>
    <row r="25" spans="1:5">
      <c r="A25">
        <v>38</v>
      </c>
      <c r="B25">
        <v>50</v>
      </c>
      <c r="C25" t="s">
        <v>782</v>
      </c>
      <c r="D25" t="s">
        <v>784</v>
      </c>
      <c r="E25" t="s">
        <v>814</v>
      </c>
    </row>
    <row r="26" spans="1:5">
      <c r="A26">
        <v>28</v>
      </c>
      <c r="B26">
        <v>50</v>
      </c>
      <c r="C26" t="s">
        <v>782</v>
      </c>
      <c r="D26" t="s">
        <v>787</v>
      </c>
      <c r="E26" t="s">
        <v>804</v>
      </c>
    </row>
    <row r="27" spans="1:5">
      <c r="A27">
        <v>30</v>
      </c>
      <c r="B27">
        <v>50</v>
      </c>
      <c r="C27" t="s">
        <v>782</v>
      </c>
      <c r="D27" t="s">
        <v>787</v>
      </c>
      <c r="E27" t="s">
        <v>804</v>
      </c>
    </row>
    <row r="28" spans="1:5">
      <c r="A28">
        <v>32</v>
      </c>
      <c r="B28">
        <v>50</v>
      </c>
      <c r="C28" t="s">
        <v>782</v>
      </c>
      <c r="D28" t="s">
        <v>787</v>
      </c>
      <c r="E28" t="s">
        <v>804</v>
      </c>
    </row>
    <row r="29" spans="1:5">
      <c r="A29">
        <v>34</v>
      </c>
      <c r="B29">
        <v>50</v>
      </c>
      <c r="C29" t="s">
        <v>782</v>
      </c>
      <c r="D29" t="s">
        <v>787</v>
      </c>
      <c r="E29" t="s">
        <v>804</v>
      </c>
    </row>
    <row r="30" spans="1:5">
      <c r="A30">
        <v>36</v>
      </c>
      <c r="B30">
        <v>50</v>
      </c>
      <c r="C30" t="s">
        <v>782</v>
      </c>
      <c r="D30" t="s">
        <v>787</v>
      </c>
      <c r="E30" t="s">
        <v>804</v>
      </c>
    </row>
    <row r="31" spans="1:5">
      <c r="A31">
        <v>38</v>
      </c>
      <c r="B31">
        <v>50</v>
      </c>
      <c r="C31" t="s">
        <v>782</v>
      </c>
      <c r="D31" t="s">
        <v>787</v>
      </c>
      <c r="E31" t="s">
        <v>804</v>
      </c>
    </row>
    <row r="32" spans="1:5">
      <c r="A32">
        <v>40</v>
      </c>
      <c r="B32">
        <v>50</v>
      </c>
      <c r="C32" t="s">
        <v>782</v>
      </c>
      <c r="D32" t="s">
        <v>785</v>
      </c>
      <c r="E32" t="s">
        <v>805</v>
      </c>
    </row>
    <row r="33" spans="1:5">
      <c r="A33">
        <v>42</v>
      </c>
      <c r="B33">
        <v>50</v>
      </c>
      <c r="C33" t="s">
        <v>782</v>
      </c>
      <c r="D33" t="s">
        <v>785</v>
      </c>
      <c r="E33" t="s">
        <v>805</v>
      </c>
    </row>
    <row r="34" spans="1:5">
      <c r="A34">
        <v>44</v>
      </c>
      <c r="B34">
        <v>50</v>
      </c>
      <c r="C34" t="s">
        <v>782</v>
      </c>
      <c r="D34" t="s">
        <v>785</v>
      </c>
      <c r="E34" t="s">
        <v>805</v>
      </c>
    </row>
    <row r="35" spans="1:5">
      <c r="A35">
        <v>45</v>
      </c>
      <c r="B35">
        <v>50</v>
      </c>
      <c r="C35" t="s">
        <v>782</v>
      </c>
      <c r="D35" t="s">
        <v>785</v>
      </c>
      <c r="E35" t="s">
        <v>805</v>
      </c>
    </row>
    <row r="36" spans="1:5">
      <c r="A36">
        <v>46</v>
      </c>
      <c r="B36">
        <v>50</v>
      </c>
      <c r="C36" t="s">
        <v>782</v>
      </c>
      <c r="D36" t="s">
        <v>785</v>
      </c>
      <c r="E36" t="s">
        <v>805</v>
      </c>
    </row>
    <row r="37" spans="1:5">
      <c r="A37">
        <v>48</v>
      </c>
      <c r="B37">
        <v>50</v>
      </c>
      <c r="C37" t="s">
        <v>782</v>
      </c>
      <c r="D37" t="s">
        <v>785</v>
      </c>
      <c r="E37" t="s">
        <v>805</v>
      </c>
    </row>
    <row r="38" spans="1:5">
      <c r="A38">
        <v>49</v>
      </c>
      <c r="B38">
        <v>50</v>
      </c>
      <c r="C38" t="s">
        <v>782</v>
      </c>
      <c r="D38" t="s">
        <v>785</v>
      </c>
      <c r="E38" t="s">
        <v>805</v>
      </c>
    </row>
    <row r="40" spans="1:5">
      <c r="A40" s="558" t="s">
        <v>815</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87" workbookViewId="0">
      <selection activeCell="C115" sqref="C115"/>
    </sheetView>
  </sheetViews>
  <sheetFormatPr defaultColWidth="9" defaultRowHeight="15.75"/>
  <cols>
    <col min="1" max="16384" width="9" style="117"/>
  </cols>
  <sheetData>
    <row r="1" spans="1:30">
      <c r="A1" s="117" t="s">
        <v>561</v>
      </c>
      <c r="K1" s="117" t="s">
        <v>562</v>
      </c>
      <c r="U1" s="117" t="s">
        <v>563</v>
      </c>
    </row>
    <row r="2" spans="1:30" ht="16.5" thickBot="1">
      <c r="B2" s="687" t="s">
        <v>48</v>
      </c>
      <c r="C2" s="687"/>
      <c r="D2" s="687"/>
      <c r="E2" s="687"/>
      <c r="F2" s="687"/>
      <c r="G2" s="687"/>
      <c r="H2" s="687"/>
      <c r="I2" s="687"/>
      <c r="J2" s="687"/>
      <c r="L2" s="687" t="s">
        <v>48</v>
      </c>
      <c r="M2" s="687"/>
      <c r="N2" s="687"/>
      <c r="O2" s="687"/>
      <c r="P2" s="687"/>
      <c r="Q2" s="687"/>
      <c r="R2" s="687"/>
      <c r="S2" s="687"/>
      <c r="T2" s="687"/>
      <c r="V2" s="687" t="s">
        <v>48</v>
      </c>
      <c r="W2" s="687"/>
      <c r="X2" s="687"/>
      <c r="Y2" s="687"/>
      <c r="Z2" s="687"/>
      <c r="AA2" s="687"/>
      <c r="AB2" s="687"/>
      <c r="AC2" s="687"/>
      <c r="AD2" s="687"/>
    </row>
    <row r="3" spans="1:30" ht="16.5" thickTop="1">
      <c r="A3" s="540" t="s">
        <v>334</v>
      </c>
      <c r="B3" s="541">
        <v>23</v>
      </c>
      <c r="C3" s="541">
        <v>24</v>
      </c>
      <c r="D3" s="541">
        <v>25</v>
      </c>
      <c r="E3" s="541">
        <v>26</v>
      </c>
      <c r="F3" s="541">
        <v>27</v>
      </c>
      <c r="G3" s="541">
        <v>28</v>
      </c>
      <c r="H3" s="541">
        <v>29</v>
      </c>
      <c r="I3" s="541">
        <v>30</v>
      </c>
      <c r="J3" s="542">
        <v>31</v>
      </c>
      <c r="K3" s="540" t="s">
        <v>334</v>
      </c>
      <c r="L3" s="541">
        <v>23</v>
      </c>
      <c r="M3" s="541">
        <v>24</v>
      </c>
      <c r="N3" s="541">
        <v>25</v>
      </c>
      <c r="O3" s="541">
        <v>26</v>
      </c>
      <c r="P3" s="541">
        <v>27</v>
      </c>
      <c r="Q3" s="541">
        <v>28</v>
      </c>
      <c r="R3" s="541">
        <v>29</v>
      </c>
      <c r="S3" s="541">
        <v>30</v>
      </c>
      <c r="T3" s="542">
        <v>31</v>
      </c>
      <c r="U3" s="540" t="s">
        <v>334</v>
      </c>
      <c r="V3" s="541">
        <v>23</v>
      </c>
      <c r="W3" s="541">
        <v>24</v>
      </c>
      <c r="X3" s="541">
        <v>25</v>
      </c>
      <c r="Y3" s="541">
        <v>26</v>
      </c>
      <c r="Z3" s="541">
        <v>27</v>
      </c>
      <c r="AA3" s="541">
        <v>28</v>
      </c>
      <c r="AB3" s="541">
        <v>29</v>
      </c>
      <c r="AC3" s="541">
        <v>30</v>
      </c>
      <c r="AD3" s="542">
        <v>31</v>
      </c>
    </row>
    <row r="4" spans="1:30">
      <c r="A4" s="543">
        <v>0.23</v>
      </c>
      <c r="B4" s="260">
        <v>116</v>
      </c>
      <c r="C4" s="260"/>
      <c r="D4" s="260"/>
      <c r="E4" s="260"/>
      <c r="F4" s="260"/>
      <c r="G4" s="260"/>
      <c r="H4" s="260"/>
      <c r="I4" s="260"/>
      <c r="J4" s="544"/>
      <c r="K4" s="543">
        <v>0.23</v>
      </c>
      <c r="L4" s="260"/>
      <c r="M4" s="260"/>
      <c r="N4" s="260"/>
      <c r="O4" s="260"/>
      <c r="P4" s="260"/>
      <c r="Q4" s="260"/>
      <c r="R4" s="260"/>
      <c r="S4" s="260"/>
      <c r="T4" s="544"/>
      <c r="U4" s="543">
        <v>0.23</v>
      </c>
      <c r="V4" s="260"/>
      <c r="W4" s="260"/>
      <c r="X4" s="260"/>
      <c r="Y4" s="260"/>
      <c r="Z4" s="260"/>
      <c r="AA4" s="260"/>
      <c r="AB4" s="260"/>
      <c r="AC4" s="260"/>
      <c r="AD4" s="544"/>
    </row>
    <row r="5" spans="1:30">
      <c r="A5" s="543">
        <v>0.24</v>
      </c>
      <c r="B5" s="260">
        <v>121</v>
      </c>
      <c r="C5" s="260">
        <v>124</v>
      </c>
      <c r="D5" s="260"/>
      <c r="E5" s="260"/>
      <c r="F5" s="260"/>
      <c r="G5" s="260"/>
      <c r="H5" s="260"/>
      <c r="I5" s="260"/>
      <c r="J5" s="544"/>
      <c r="K5" s="543">
        <v>0.24</v>
      </c>
      <c r="L5" s="260"/>
      <c r="M5" s="260"/>
      <c r="N5" s="260"/>
      <c r="O5" s="260"/>
      <c r="P5" s="260"/>
      <c r="Q5" s="260"/>
      <c r="R5" s="260"/>
      <c r="S5" s="260"/>
      <c r="T5" s="544"/>
      <c r="U5" s="543">
        <v>0.24</v>
      </c>
      <c r="V5" s="260"/>
      <c r="W5" s="260"/>
      <c r="X5" s="260"/>
      <c r="Y5" s="260"/>
      <c r="Z5" s="260"/>
      <c r="AA5" s="260"/>
      <c r="AB5" s="260"/>
      <c r="AC5" s="260"/>
      <c r="AD5" s="544"/>
    </row>
    <row r="6" spans="1:30">
      <c r="A6" s="543">
        <v>0.25</v>
      </c>
      <c r="B6" s="260">
        <v>126</v>
      </c>
      <c r="C6" s="260">
        <v>129</v>
      </c>
      <c r="D6" s="260">
        <v>131</v>
      </c>
      <c r="E6" s="260"/>
      <c r="F6" s="260"/>
      <c r="G6" s="260"/>
      <c r="H6" s="260"/>
      <c r="I6" s="260"/>
      <c r="J6" s="544"/>
      <c r="K6" s="543">
        <v>0.25</v>
      </c>
      <c r="L6" s="260"/>
      <c r="M6" s="260"/>
      <c r="N6" s="260"/>
      <c r="O6" s="260"/>
      <c r="P6" s="260"/>
      <c r="Q6" s="260"/>
      <c r="R6" s="260"/>
      <c r="S6" s="260"/>
      <c r="T6" s="544"/>
      <c r="U6" s="543">
        <v>0.25</v>
      </c>
      <c r="V6" s="260"/>
      <c r="W6" s="260"/>
      <c r="X6" s="260"/>
      <c r="Y6" s="260"/>
      <c r="Z6" s="260"/>
      <c r="AA6" s="260"/>
      <c r="AB6" s="260"/>
      <c r="AC6" s="260"/>
      <c r="AD6" s="544"/>
    </row>
    <row r="7" spans="1:30">
      <c r="A7" s="543">
        <v>0.26</v>
      </c>
      <c r="B7" s="260">
        <v>130</v>
      </c>
      <c r="C7" s="260">
        <v>133</v>
      </c>
      <c r="D7" s="260">
        <v>135</v>
      </c>
      <c r="E7" s="260">
        <v>138</v>
      </c>
      <c r="F7" s="260"/>
      <c r="G7" s="260"/>
      <c r="H7" s="260"/>
      <c r="I7" s="260"/>
      <c r="J7" s="544"/>
      <c r="K7" s="543">
        <v>0.26</v>
      </c>
      <c r="L7" s="260"/>
      <c r="M7" s="260"/>
      <c r="N7" s="260"/>
      <c r="O7" s="260"/>
      <c r="P7" s="260"/>
      <c r="Q7" s="260"/>
      <c r="R7" s="260"/>
      <c r="S7" s="260"/>
      <c r="T7" s="544"/>
      <c r="U7" s="543">
        <v>0.26</v>
      </c>
      <c r="V7" s="260"/>
      <c r="W7" s="260"/>
      <c r="X7" s="260"/>
      <c r="Y7" s="260"/>
      <c r="Z7" s="260"/>
      <c r="AA7" s="260"/>
      <c r="AB7" s="260"/>
      <c r="AC7" s="260"/>
      <c r="AD7" s="544"/>
    </row>
    <row r="8" spans="1:30">
      <c r="A8" s="543">
        <v>0.27</v>
      </c>
      <c r="B8" s="260">
        <v>135</v>
      </c>
      <c r="C8" s="260">
        <v>138</v>
      </c>
      <c r="D8" s="260">
        <v>140</v>
      </c>
      <c r="E8" s="260">
        <v>142</v>
      </c>
      <c r="F8" s="260">
        <v>143</v>
      </c>
      <c r="G8" s="260"/>
      <c r="H8" s="260"/>
      <c r="I8" s="260"/>
      <c r="J8" s="544"/>
      <c r="K8" s="543">
        <v>0.27</v>
      </c>
      <c r="L8" s="260"/>
      <c r="M8" s="260"/>
      <c r="N8" s="260"/>
      <c r="O8" s="260"/>
      <c r="P8" s="260"/>
      <c r="Q8" s="260"/>
      <c r="R8" s="260"/>
      <c r="S8" s="260"/>
      <c r="T8" s="544"/>
      <c r="U8" s="543">
        <v>0.27</v>
      </c>
      <c r="V8" s="260"/>
      <c r="W8" s="260"/>
      <c r="X8" s="260"/>
      <c r="Y8" s="260"/>
      <c r="Z8" s="260"/>
      <c r="AA8" s="260"/>
      <c r="AB8" s="260"/>
      <c r="AC8" s="260"/>
      <c r="AD8" s="544"/>
    </row>
    <row r="9" spans="1:30">
      <c r="A9" s="543">
        <v>0.28000000000000003</v>
      </c>
      <c r="B9" s="260">
        <v>140</v>
      </c>
      <c r="C9" s="260">
        <v>142</v>
      </c>
      <c r="D9" s="260">
        <v>144</v>
      </c>
      <c r="E9" s="260">
        <v>146</v>
      </c>
      <c r="F9" s="260">
        <v>147</v>
      </c>
      <c r="G9" s="260">
        <v>149</v>
      </c>
      <c r="H9" s="260"/>
      <c r="I9" s="260"/>
      <c r="J9" s="544"/>
      <c r="K9" s="543">
        <v>0.28000000000000003</v>
      </c>
      <c r="L9" s="260"/>
      <c r="M9" s="260"/>
      <c r="N9" s="260">
        <v>149</v>
      </c>
      <c r="O9" s="260">
        <v>151</v>
      </c>
      <c r="P9" s="260">
        <v>154</v>
      </c>
      <c r="Q9" s="260"/>
      <c r="R9" s="260"/>
      <c r="S9" s="260"/>
      <c r="T9" s="544"/>
      <c r="U9" s="543">
        <v>0.28000000000000003</v>
      </c>
      <c r="V9" s="260"/>
      <c r="W9" s="260"/>
      <c r="X9" s="260">
        <v>150</v>
      </c>
      <c r="Y9" s="260">
        <v>155</v>
      </c>
      <c r="Z9" s="260">
        <v>159</v>
      </c>
      <c r="AA9" s="260"/>
      <c r="AB9" s="260"/>
      <c r="AC9" s="260"/>
      <c r="AD9" s="544"/>
    </row>
    <row r="10" spans="1:30">
      <c r="A10" s="543">
        <v>0.28999999999999998</v>
      </c>
      <c r="B10" s="260">
        <v>144</v>
      </c>
      <c r="C10" s="260">
        <v>146</v>
      </c>
      <c r="D10" s="260">
        <v>148</v>
      </c>
      <c r="E10" s="260">
        <v>150</v>
      </c>
      <c r="F10" s="260">
        <v>151</v>
      </c>
      <c r="G10" s="260">
        <v>153</v>
      </c>
      <c r="H10" s="260">
        <v>154</v>
      </c>
      <c r="I10" s="260"/>
      <c r="J10" s="544"/>
      <c r="K10" s="543">
        <v>0.28999999999999998</v>
      </c>
      <c r="L10" s="260"/>
      <c r="M10" s="260"/>
      <c r="N10" s="260">
        <v>154</v>
      </c>
      <c r="O10" s="260">
        <v>156</v>
      </c>
      <c r="P10" s="260">
        <v>158</v>
      </c>
      <c r="Q10" s="260">
        <v>159</v>
      </c>
      <c r="R10" s="260"/>
      <c r="S10" s="260"/>
      <c r="T10" s="544"/>
      <c r="U10" s="543">
        <v>0.28999999999999998</v>
      </c>
      <c r="V10" s="260"/>
      <c r="W10" s="260"/>
      <c r="X10" s="260">
        <v>155</v>
      </c>
      <c r="Y10" s="260">
        <v>160</v>
      </c>
      <c r="Z10" s="260">
        <v>164</v>
      </c>
      <c r="AA10" s="260">
        <v>168</v>
      </c>
      <c r="AB10" s="260"/>
      <c r="AC10" s="260"/>
      <c r="AD10" s="544"/>
    </row>
    <row r="11" spans="1:30">
      <c r="A11" s="543">
        <v>0.3</v>
      </c>
      <c r="B11" s="260">
        <v>149</v>
      </c>
      <c r="C11" s="260">
        <v>151</v>
      </c>
      <c r="D11" s="260">
        <v>153</v>
      </c>
      <c r="E11" s="260">
        <v>155</v>
      </c>
      <c r="F11" s="260">
        <v>156</v>
      </c>
      <c r="G11" s="260">
        <v>157</v>
      </c>
      <c r="H11" s="260">
        <v>158</v>
      </c>
      <c r="I11" s="260">
        <v>159</v>
      </c>
      <c r="J11" s="544"/>
      <c r="K11" s="543">
        <v>0.3</v>
      </c>
      <c r="L11" s="260"/>
      <c r="M11" s="260"/>
      <c r="N11" s="260">
        <v>158</v>
      </c>
      <c r="O11" s="260">
        <v>160</v>
      </c>
      <c r="P11" s="260">
        <v>162</v>
      </c>
      <c r="Q11" s="260">
        <v>162</v>
      </c>
      <c r="R11" s="260">
        <v>163</v>
      </c>
      <c r="S11" s="260"/>
      <c r="T11" s="544"/>
      <c r="U11" s="543">
        <v>0.3</v>
      </c>
      <c r="V11" s="260"/>
      <c r="W11" s="260"/>
      <c r="X11" s="260">
        <v>160</v>
      </c>
      <c r="Y11" s="260">
        <v>164</v>
      </c>
      <c r="Z11" s="260">
        <v>168</v>
      </c>
      <c r="AA11" s="260">
        <v>172</v>
      </c>
      <c r="AB11" s="260">
        <v>176</v>
      </c>
      <c r="AC11" s="260"/>
      <c r="AD11" s="544"/>
    </row>
    <row r="12" spans="1:30">
      <c r="A12" s="543">
        <v>0.31</v>
      </c>
      <c r="B12" s="260">
        <v>154</v>
      </c>
      <c r="C12" s="260">
        <v>156</v>
      </c>
      <c r="D12" s="260">
        <v>157</v>
      </c>
      <c r="E12" s="260">
        <v>159</v>
      </c>
      <c r="F12" s="260">
        <v>160</v>
      </c>
      <c r="G12" s="260">
        <v>161</v>
      </c>
      <c r="H12" s="260">
        <v>162</v>
      </c>
      <c r="I12" s="260">
        <v>163</v>
      </c>
      <c r="J12" s="544">
        <v>164</v>
      </c>
      <c r="K12" s="543">
        <v>0.31</v>
      </c>
      <c r="L12" s="260"/>
      <c r="M12" s="260"/>
      <c r="N12" s="260">
        <v>163</v>
      </c>
      <c r="O12" s="260">
        <v>164</v>
      </c>
      <c r="P12" s="260">
        <v>166</v>
      </c>
      <c r="Q12" s="260">
        <v>166</v>
      </c>
      <c r="R12" s="260">
        <v>167</v>
      </c>
      <c r="S12" s="260">
        <v>167</v>
      </c>
      <c r="T12" s="544"/>
      <c r="U12" s="543">
        <v>0.31</v>
      </c>
      <c r="V12" s="260"/>
      <c r="W12" s="260"/>
      <c r="X12" s="260">
        <v>165</v>
      </c>
      <c r="Y12" s="260">
        <v>168</v>
      </c>
      <c r="Z12" s="260">
        <v>172</v>
      </c>
      <c r="AA12" s="260">
        <v>174</v>
      </c>
      <c r="AB12" s="260">
        <v>180</v>
      </c>
      <c r="AC12" s="260">
        <v>182</v>
      </c>
      <c r="AD12" s="544"/>
    </row>
    <row r="13" spans="1:30">
      <c r="A13" s="543">
        <v>0.32</v>
      </c>
      <c r="B13" s="260">
        <v>158</v>
      </c>
      <c r="C13" s="260">
        <v>160</v>
      </c>
      <c r="D13" s="260">
        <v>162</v>
      </c>
      <c r="E13" s="260">
        <v>163</v>
      </c>
      <c r="F13" s="260">
        <v>164</v>
      </c>
      <c r="G13" s="260">
        <v>166</v>
      </c>
      <c r="H13" s="260">
        <v>167</v>
      </c>
      <c r="I13" s="260">
        <v>168</v>
      </c>
      <c r="J13" s="544">
        <v>168</v>
      </c>
      <c r="K13" s="543">
        <v>0.32</v>
      </c>
      <c r="L13" s="260"/>
      <c r="M13" s="260"/>
      <c r="N13" s="260">
        <v>167</v>
      </c>
      <c r="O13" s="260">
        <v>169</v>
      </c>
      <c r="P13" s="260">
        <v>171</v>
      </c>
      <c r="Q13" s="260">
        <v>171</v>
      </c>
      <c r="R13" s="260">
        <v>171</v>
      </c>
      <c r="S13" s="260">
        <v>172</v>
      </c>
      <c r="T13" s="544">
        <v>172</v>
      </c>
      <c r="U13" s="543">
        <v>0.32</v>
      </c>
      <c r="V13" s="260"/>
      <c r="W13" s="260"/>
      <c r="X13" s="260">
        <v>169</v>
      </c>
      <c r="Y13" s="260">
        <v>173</v>
      </c>
      <c r="Z13" s="260">
        <v>177</v>
      </c>
      <c r="AA13" s="260">
        <v>181</v>
      </c>
      <c r="AB13" s="260">
        <v>184</v>
      </c>
      <c r="AC13" s="260">
        <v>186</v>
      </c>
      <c r="AD13" s="544">
        <v>188</v>
      </c>
    </row>
    <row r="14" spans="1:30">
      <c r="A14" s="543">
        <v>0.33</v>
      </c>
      <c r="B14" s="260">
        <v>163</v>
      </c>
      <c r="C14" s="260">
        <v>165</v>
      </c>
      <c r="D14" s="260">
        <v>166</v>
      </c>
      <c r="E14" s="260">
        <v>168</v>
      </c>
      <c r="F14" s="260">
        <v>169</v>
      </c>
      <c r="G14" s="260">
        <v>170</v>
      </c>
      <c r="H14" s="260">
        <v>171</v>
      </c>
      <c r="I14" s="260">
        <v>173</v>
      </c>
      <c r="J14" s="544">
        <v>173</v>
      </c>
      <c r="K14" s="543">
        <v>0.33</v>
      </c>
      <c r="L14" s="260"/>
      <c r="M14" s="260"/>
      <c r="N14" s="260">
        <v>171</v>
      </c>
      <c r="O14" s="260">
        <v>173</v>
      </c>
      <c r="P14" s="260">
        <v>175</v>
      </c>
      <c r="Q14" s="260">
        <v>176</v>
      </c>
      <c r="R14" s="260">
        <v>176</v>
      </c>
      <c r="S14" s="260">
        <v>176</v>
      </c>
      <c r="T14" s="544">
        <v>176</v>
      </c>
      <c r="U14" s="543">
        <v>0.33</v>
      </c>
      <c r="V14" s="260"/>
      <c r="W14" s="260"/>
      <c r="X14" s="260">
        <v>174</v>
      </c>
      <c r="Y14" s="260">
        <v>178</v>
      </c>
      <c r="Z14" s="260">
        <v>181</v>
      </c>
      <c r="AA14" s="260">
        <v>185</v>
      </c>
      <c r="AB14" s="260">
        <v>188</v>
      </c>
      <c r="AC14" s="260">
        <v>190</v>
      </c>
      <c r="AD14" s="544">
        <v>192</v>
      </c>
    </row>
    <row r="15" spans="1:30">
      <c r="A15" s="543">
        <v>0.34</v>
      </c>
      <c r="B15" s="260">
        <v>168</v>
      </c>
      <c r="C15" s="260">
        <v>170</v>
      </c>
      <c r="D15" s="260">
        <v>171</v>
      </c>
      <c r="E15" s="260">
        <v>172</v>
      </c>
      <c r="F15" s="260">
        <v>173</v>
      </c>
      <c r="G15" s="260">
        <v>174</v>
      </c>
      <c r="H15" s="260">
        <v>175</v>
      </c>
      <c r="I15" s="260">
        <v>176</v>
      </c>
      <c r="J15" s="544">
        <v>177</v>
      </c>
      <c r="K15" s="543">
        <v>0.34</v>
      </c>
      <c r="L15" s="260"/>
      <c r="M15" s="260"/>
      <c r="N15" s="260">
        <v>176</v>
      </c>
      <c r="O15" s="260">
        <v>178</v>
      </c>
      <c r="P15" s="260">
        <v>179</v>
      </c>
      <c r="Q15" s="260">
        <v>179</v>
      </c>
      <c r="R15" s="260">
        <v>180</v>
      </c>
      <c r="S15" s="260">
        <v>180</v>
      </c>
      <c r="T15" s="544">
        <v>180</v>
      </c>
      <c r="U15" s="543">
        <v>0.34</v>
      </c>
      <c r="V15" s="260"/>
      <c r="W15" s="260"/>
      <c r="X15" s="260">
        <v>179</v>
      </c>
      <c r="Y15" s="260">
        <v>183</v>
      </c>
      <c r="Z15" s="260">
        <v>186</v>
      </c>
      <c r="AA15" s="260">
        <v>190</v>
      </c>
      <c r="AB15" s="260">
        <v>193</v>
      </c>
      <c r="AC15" s="260">
        <v>195</v>
      </c>
      <c r="AD15" s="544">
        <v>196</v>
      </c>
    </row>
    <row r="16" spans="1:30">
      <c r="A16" s="543">
        <v>0.35</v>
      </c>
      <c r="B16" s="260"/>
      <c r="C16" s="260">
        <v>174</v>
      </c>
      <c r="D16" s="260">
        <v>175</v>
      </c>
      <c r="E16" s="260">
        <v>176</v>
      </c>
      <c r="F16" s="260">
        <v>177</v>
      </c>
      <c r="G16" s="260">
        <v>178</v>
      </c>
      <c r="H16" s="260">
        <v>179</v>
      </c>
      <c r="I16" s="260">
        <v>180</v>
      </c>
      <c r="J16" s="544">
        <v>181</v>
      </c>
      <c r="K16" s="543">
        <v>0.35</v>
      </c>
      <c r="L16" s="260"/>
      <c r="M16" s="260"/>
      <c r="N16" s="260">
        <v>180</v>
      </c>
      <c r="O16" s="260">
        <v>181</v>
      </c>
      <c r="P16" s="260">
        <v>183</v>
      </c>
      <c r="Q16" s="260">
        <v>183</v>
      </c>
      <c r="R16" s="260">
        <v>184</v>
      </c>
      <c r="S16" s="260">
        <v>185</v>
      </c>
      <c r="T16" s="544">
        <v>185</v>
      </c>
      <c r="U16" s="543">
        <v>0.35</v>
      </c>
      <c r="V16" s="260"/>
      <c r="W16" s="260"/>
      <c r="X16" s="260">
        <v>184</v>
      </c>
      <c r="Y16" s="260">
        <v>187</v>
      </c>
      <c r="Z16" s="260">
        <v>190</v>
      </c>
      <c r="AA16" s="260">
        <v>194</v>
      </c>
      <c r="AB16" s="260">
        <v>197</v>
      </c>
      <c r="AC16" s="260">
        <v>199</v>
      </c>
      <c r="AD16" s="544">
        <v>201</v>
      </c>
    </row>
    <row r="17" spans="1:30">
      <c r="A17" s="543">
        <v>0.36</v>
      </c>
      <c r="B17" s="260"/>
      <c r="C17" s="260"/>
      <c r="D17" s="260">
        <v>179</v>
      </c>
      <c r="E17" s="260">
        <v>181</v>
      </c>
      <c r="F17" s="260">
        <v>182</v>
      </c>
      <c r="G17" s="260">
        <v>183</v>
      </c>
      <c r="H17" s="260">
        <v>184</v>
      </c>
      <c r="I17" s="260">
        <v>185</v>
      </c>
      <c r="J17" s="544">
        <v>185</v>
      </c>
      <c r="K17" s="543">
        <v>0.36</v>
      </c>
      <c r="L17" s="260"/>
      <c r="M17" s="260"/>
      <c r="N17" s="260">
        <v>185</v>
      </c>
      <c r="O17" s="260">
        <v>186</v>
      </c>
      <c r="P17" s="260">
        <v>187</v>
      </c>
      <c r="Q17" s="260">
        <v>187</v>
      </c>
      <c r="R17" s="260">
        <v>188</v>
      </c>
      <c r="S17" s="260">
        <v>188</v>
      </c>
      <c r="T17" s="544">
        <v>189</v>
      </c>
      <c r="U17" s="543">
        <v>0.36</v>
      </c>
      <c r="V17" s="260"/>
      <c r="W17" s="260"/>
      <c r="X17" s="260">
        <v>189</v>
      </c>
      <c r="Y17" s="260">
        <v>192</v>
      </c>
      <c r="Z17" s="260">
        <v>195</v>
      </c>
      <c r="AA17" s="260">
        <v>198</v>
      </c>
      <c r="AB17" s="260">
        <v>201</v>
      </c>
      <c r="AC17" s="260">
        <v>204</v>
      </c>
      <c r="AD17" s="544">
        <v>205</v>
      </c>
    </row>
    <row r="18" spans="1:30">
      <c r="A18" s="543">
        <v>0.37</v>
      </c>
      <c r="B18" s="260"/>
      <c r="C18" s="260"/>
      <c r="D18" s="260"/>
      <c r="E18" s="260">
        <v>185</v>
      </c>
      <c r="F18" s="260">
        <v>186</v>
      </c>
      <c r="G18" s="260">
        <v>187</v>
      </c>
      <c r="H18" s="260">
        <v>188</v>
      </c>
      <c r="I18" s="260">
        <v>189</v>
      </c>
      <c r="J18" s="544">
        <v>190</v>
      </c>
      <c r="K18" s="543">
        <v>0.37</v>
      </c>
      <c r="L18" s="260"/>
      <c r="M18" s="260"/>
      <c r="N18" s="260">
        <v>189</v>
      </c>
      <c r="O18" s="260">
        <v>190</v>
      </c>
      <c r="P18" s="260">
        <v>191</v>
      </c>
      <c r="Q18" s="260">
        <v>191</v>
      </c>
      <c r="R18" s="260">
        <v>192</v>
      </c>
      <c r="S18" s="260">
        <v>193</v>
      </c>
      <c r="T18" s="544">
        <v>193</v>
      </c>
      <c r="U18" s="543">
        <v>0.37</v>
      </c>
      <c r="V18" s="260"/>
      <c r="W18" s="260"/>
      <c r="X18" s="260">
        <v>193</v>
      </c>
      <c r="Y18" s="260">
        <v>196</v>
      </c>
      <c r="Z18" s="260">
        <v>199</v>
      </c>
      <c r="AA18" s="260">
        <v>202</v>
      </c>
      <c r="AB18" s="260">
        <v>205</v>
      </c>
      <c r="AC18" s="260">
        <v>207</v>
      </c>
      <c r="AD18" s="544">
        <v>209</v>
      </c>
    </row>
    <row r="19" spans="1:30">
      <c r="A19" s="543">
        <v>0.38</v>
      </c>
      <c r="B19" s="260"/>
      <c r="C19" s="260"/>
      <c r="D19" s="260"/>
      <c r="E19" s="260"/>
      <c r="F19" s="260">
        <v>190</v>
      </c>
      <c r="G19" s="260">
        <v>191</v>
      </c>
      <c r="H19" s="260">
        <v>192</v>
      </c>
      <c r="I19" s="260">
        <v>193</v>
      </c>
      <c r="J19" s="544">
        <v>194</v>
      </c>
      <c r="K19" s="543">
        <v>0.38</v>
      </c>
      <c r="L19" s="260"/>
      <c r="M19" s="260"/>
      <c r="N19" s="260">
        <v>193</v>
      </c>
      <c r="O19" s="260">
        <v>194</v>
      </c>
      <c r="P19" s="260">
        <v>196</v>
      </c>
      <c r="Q19" s="260">
        <v>196</v>
      </c>
      <c r="R19" s="260">
        <v>197</v>
      </c>
      <c r="S19" s="260">
        <v>197</v>
      </c>
      <c r="T19" s="544">
        <v>197</v>
      </c>
      <c r="U19" s="543">
        <v>0.38</v>
      </c>
      <c r="V19" s="260"/>
      <c r="W19" s="260"/>
      <c r="X19" s="260">
        <v>198</v>
      </c>
      <c r="Y19" s="260">
        <v>201</v>
      </c>
      <c r="Z19" s="260">
        <v>204</v>
      </c>
      <c r="AA19" s="260">
        <v>207</v>
      </c>
      <c r="AB19" s="260">
        <v>209</v>
      </c>
      <c r="AC19" s="260">
        <v>211</v>
      </c>
      <c r="AD19" s="544">
        <v>213</v>
      </c>
    </row>
    <row r="20" spans="1:30">
      <c r="A20" s="543">
        <v>0.39</v>
      </c>
      <c r="B20" s="260"/>
      <c r="C20" s="260"/>
      <c r="D20" s="260"/>
      <c r="E20" s="260"/>
      <c r="F20" s="260"/>
      <c r="G20" s="260">
        <v>196</v>
      </c>
      <c r="H20" s="260">
        <v>197</v>
      </c>
      <c r="I20" s="260">
        <v>198</v>
      </c>
      <c r="J20" s="544">
        <v>198</v>
      </c>
      <c r="K20" s="543">
        <v>0.39</v>
      </c>
      <c r="L20" s="260"/>
      <c r="M20" s="260"/>
      <c r="N20" s="260">
        <v>198</v>
      </c>
      <c r="O20" s="260">
        <v>199</v>
      </c>
      <c r="P20" s="260">
        <v>200</v>
      </c>
      <c r="Q20" s="260">
        <v>200</v>
      </c>
      <c r="R20" s="260">
        <v>201</v>
      </c>
      <c r="S20" s="260">
        <v>201</v>
      </c>
      <c r="T20" s="544">
        <v>202</v>
      </c>
      <c r="U20" s="543">
        <v>0.39</v>
      </c>
      <c r="V20" s="260"/>
      <c r="W20" s="260"/>
      <c r="X20" s="260">
        <v>203</v>
      </c>
      <c r="Y20" s="260">
        <v>206</v>
      </c>
      <c r="Z20" s="260">
        <v>208</v>
      </c>
      <c r="AA20" s="260">
        <v>211</v>
      </c>
      <c r="AB20" s="260">
        <v>214</v>
      </c>
      <c r="AC20" s="260">
        <v>216</v>
      </c>
      <c r="AD20" s="544">
        <v>217</v>
      </c>
    </row>
    <row r="21" spans="1:30">
      <c r="A21" s="543">
        <v>0.4</v>
      </c>
      <c r="B21" s="260"/>
      <c r="C21" s="260"/>
      <c r="D21" s="260"/>
      <c r="E21" s="260"/>
      <c r="F21" s="260"/>
      <c r="G21" s="260"/>
      <c r="H21" s="260">
        <v>201</v>
      </c>
      <c r="I21" s="260">
        <v>202</v>
      </c>
      <c r="J21" s="544">
        <v>203</v>
      </c>
      <c r="K21" s="543">
        <v>0.4</v>
      </c>
      <c r="L21" s="260"/>
      <c r="M21" s="260"/>
      <c r="N21" s="260">
        <v>202</v>
      </c>
      <c r="O21" s="260">
        <v>203</v>
      </c>
      <c r="P21" s="260">
        <v>204</v>
      </c>
      <c r="Q21" s="260">
        <v>204</v>
      </c>
      <c r="R21" s="260">
        <v>205</v>
      </c>
      <c r="S21" s="260">
        <v>205</v>
      </c>
      <c r="T21" s="544">
        <v>206</v>
      </c>
      <c r="U21" s="543">
        <v>0.4</v>
      </c>
      <c r="V21" s="260"/>
      <c r="W21" s="260"/>
      <c r="X21" s="260">
        <v>208</v>
      </c>
      <c r="Y21" s="260">
        <v>211</v>
      </c>
      <c r="Z21" s="260">
        <v>213</v>
      </c>
      <c r="AA21" s="260">
        <v>216</v>
      </c>
      <c r="AB21" s="260">
        <v>218</v>
      </c>
      <c r="AC21" s="260">
        <v>220</v>
      </c>
      <c r="AD21" s="544">
        <v>221</v>
      </c>
    </row>
    <row r="22" spans="1:30">
      <c r="A22" s="543">
        <v>0.41</v>
      </c>
      <c r="B22" s="260"/>
      <c r="C22" s="260"/>
      <c r="D22" s="260"/>
      <c r="E22" s="260"/>
      <c r="F22" s="260"/>
      <c r="G22" s="260"/>
      <c r="H22" s="260"/>
      <c r="I22" s="260">
        <v>206</v>
      </c>
      <c r="J22" s="544">
        <v>207</v>
      </c>
      <c r="K22" s="543">
        <v>0.41</v>
      </c>
      <c r="L22" s="260"/>
      <c r="M22" s="260"/>
      <c r="N22" s="260">
        <v>206</v>
      </c>
      <c r="O22" s="260">
        <v>207</v>
      </c>
      <c r="P22" s="260">
        <v>208</v>
      </c>
      <c r="Q22" s="260">
        <v>208</v>
      </c>
      <c r="R22" s="260">
        <v>209</v>
      </c>
      <c r="S22" s="260">
        <v>209</v>
      </c>
      <c r="T22" s="544">
        <v>210</v>
      </c>
      <c r="U22" s="543">
        <v>0.41</v>
      </c>
      <c r="V22" s="260"/>
      <c r="W22" s="260"/>
      <c r="X22" s="260">
        <v>213</v>
      </c>
      <c r="Y22" s="260">
        <v>215</v>
      </c>
      <c r="Z22" s="260">
        <v>217</v>
      </c>
      <c r="AA22" s="260">
        <v>220</v>
      </c>
      <c r="AB22" s="260">
        <v>222</v>
      </c>
      <c r="AC22" s="260">
        <v>224</v>
      </c>
      <c r="AD22" s="544">
        <v>225</v>
      </c>
    </row>
    <row r="23" spans="1:30" ht="16.5" thickBot="1">
      <c r="A23" s="545">
        <v>0.42</v>
      </c>
      <c r="B23" s="546"/>
      <c r="C23" s="546"/>
      <c r="D23" s="546"/>
      <c r="E23" s="546"/>
      <c r="F23" s="546"/>
      <c r="G23" s="546"/>
      <c r="H23" s="546"/>
      <c r="I23" s="546"/>
      <c r="J23" s="547">
        <v>211</v>
      </c>
      <c r="K23" s="545">
        <v>0.42</v>
      </c>
      <c r="L23" s="546"/>
      <c r="M23" s="546"/>
      <c r="N23" s="546">
        <v>211</v>
      </c>
      <c r="O23" s="546">
        <v>211</v>
      </c>
      <c r="P23" s="546">
        <v>212</v>
      </c>
      <c r="Q23" s="546">
        <v>212</v>
      </c>
      <c r="R23" s="546">
        <v>213</v>
      </c>
      <c r="S23" s="546">
        <v>213</v>
      </c>
      <c r="T23" s="547">
        <v>214</v>
      </c>
      <c r="U23" s="545">
        <v>0.42</v>
      </c>
      <c r="V23" s="546"/>
      <c r="W23" s="546"/>
      <c r="X23" s="546">
        <v>218</v>
      </c>
      <c r="Y23" s="546">
        <v>220</v>
      </c>
      <c r="Z23" s="546">
        <v>222</v>
      </c>
      <c r="AA23" s="546">
        <v>224</v>
      </c>
      <c r="AB23" s="546">
        <v>226</v>
      </c>
      <c r="AC23" s="546">
        <v>228</v>
      </c>
      <c r="AD23" s="547">
        <v>229</v>
      </c>
    </row>
    <row r="24" spans="1:30" ht="16.5" thickTop="1"/>
    <row r="25" spans="1:30" ht="16.5" thickBot="1">
      <c r="A25" s="117" t="s">
        <v>564</v>
      </c>
      <c r="N25" s="117" t="s">
        <v>565</v>
      </c>
    </row>
    <row r="26" spans="1:30" ht="16.5" thickTop="1">
      <c r="A26" s="540"/>
      <c r="B26" s="688" t="s">
        <v>48</v>
      </c>
      <c r="C26" s="688"/>
      <c r="D26" s="688"/>
      <c r="E26" s="688"/>
      <c r="F26" s="688"/>
      <c r="G26" s="688"/>
      <c r="H26" s="688"/>
      <c r="I26" s="688"/>
      <c r="J26" s="688"/>
      <c r="K26" s="688"/>
      <c r="L26" s="688"/>
      <c r="M26" s="689"/>
      <c r="N26" s="540"/>
      <c r="O26" s="688" t="s">
        <v>48</v>
      </c>
      <c r="P26" s="688"/>
      <c r="Q26" s="688"/>
      <c r="R26" s="688"/>
      <c r="S26" s="688"/>
      <c r="T26" s="688"/>
      <c r="U26" s="688"/>
      <c r="V26" s="688"/>
      <c r="W26" s="688"/>
      <c r="X26" s="688"/>
      <c r="Y26" s="688"/>
      <c r="Z26" s="688"/>
      <c r="AA26" s="689"/>
    </row>
    <row r="27" spans="1:30">
      <c r="A27" s="543" t="s">
        <v>334</v>
      </c>
      <c r="B27" s="260">
        <v>22</v>
      </c>
      <c r="C27" s="260">
        <v>23</v>
      </c>
      <c r="D27" s="260">
        <v>24</v>
      </c>
      <c r="E27" s="260">
        <v>25</v>
      </c>
      <c r="F27" s="260">
        <v>26</v>
      </c>
      <c r="G27" s="260">
        <v>27</v>
      </c>
      <c r="H27" s="260">
        <v>28</v>
      </c>
      <c r="I27" s="260">
        <v>29</v>
      </c>
      <c r="J27" s="260">
        <v>30</v>
      </c>
      <c r="K27" s="260">
        <v>31</v>
      </c>
      <c r="L27" s="260">
        <v>32</v>
      </c>
      <c r="M27" s="544">
        <v>33</v>
      </c>
      <c r="N27" s="543" t="s">
        <v>334</v>
      </c>
      <c r="O27" s="260">
        <v>27</v>
      </c>
      <c r="P27" s="260">
        <v>28</v>
      </c>
      <c r="Q27" s="260">
        <v>29</v>
      </c>
      <c r="R27" s="260">
        <v>30</v>
      </c>
      <c r="S27" s="260">
        <v>31</v>
      </c>
      <c r="T27" s="260">
        <v>32</v>
      </c>
      <c r="U27" s="260">
        <v>33</v>
      </c>
      <c r="V27" s="260">
        <v>34</v>
      </c>
      <c r="W27" s="260">
        <v>35</v>
      </c>
      <c r="X27" s="260">
        <v>36</v>
      </c>
      <c r="Y27" s="260">
        <v>37</v>
      </c>
      <c r="Z27" s="260">
        <v>38</v>
      </c>
      <c r="AA27" s="544">
        <v>39</v>
      </c>
    </row>
    <row r="28" spans="1:30">
      <c r="A28" s="543">
        <v>0.3</v>
      </c>
      <c r="B28" s="260">
        <v>152</v>
      </c>
      <c r="C28" s="260">
        <v>157</v>
      </c>
      <c r="D28" s="260">
        <v>163</v>
      </c>
      <c r="E28" s="260">
        <v>166</v>
      </c>
      <c r="F28" s="260">
        <v>170</v>
      </c>
      <c r="G28" s="260">
        <v>173</v>
      </c>
      <c r="H28" s="260">
        <v>175</v>
      </c>
      <c r="I28" s="260">
        <v>177</v>
      </c>
      <c r="J28" s="260">
        <v>179</v>
      </c>
      <c r="K28" s="260">
        <v>182</v>
      </c>
      <c r="L28" s="260">
        <v>184</v>
      </c>
      <c r="M28" s="544">
        <v>187</v>
      </c>
      <c r="N28" s="543">
        <v>0.4</v>
      </c>
      <c r="O28" s="260">
        <v>222</v>
      </c>
      <c r="P28" s="260">
        <v>226</v>
      </c>
      <c r="Q28" s="260">
        <v>229</v>
      </c>
      <c r="R28" s="260">
        <v>231</v>
      </c>
      <c r="S28" s="260">
        <v>234</v>
      </c>
      <c r="T28" s="260">
        <v>236</v>
      </c>
      <c r="U28" s="260">
        <v>239</v>
      </c>
      <c r="V28" s="260">
        <v>241</v>
      </c>
      <c r="W28" s="260">
        <v>244</v>
      </c>
      <c r="X28" s="260">
        <v>246</v>
      </c>
      <c r="Y28" s="260">
        <v>248</v>
      </c>
      <c r="Z28" s="260">
        <v>250</v>
      </c>
      <c r="AA28" s="544">
        <v>252</v>
      </c>
    </row>
    <row r="29" spans="1:30">
      <c r="A29" s="543">
        <v>0.32500000000000001</v>
      </c>
      <c r="B29" s="260">
        <v>163</v>
      </c>
      <c r="C29" s="260">
        <v>169</v>
      </c>
      <c r="D29" s="260">
        <v>174</v>
      </c>
      <c r="E29" s="260">
        <v>177</v>
      </c>
      <c r="F29" s="260">
        <v>181</v>
      </c>
      <c r="G29" s="260">
        <v>183</v>
      </c>
      <c r="H29" s="260">
        <v>186</v>
      </c>
      <c r="I29" s="260">
        <v>188</v>
      </c>
      <c r="J29" s="260">
        <v>190</v>
      </c>
      <c r="K29" s="260">
        <v>192</v>
      </c>
      <c r="L29" s="260">
        <v>195</v>
      </c>
      <c r="M29" s="544">
        <v>197</v>
      </c>
      <c r="N29" s="543">
        <v>0.42499999999999999</v>
      </c>
      <c r="O29" s="260">
        <v>233</v>
      </c>
      <c r="P29" s="260">
        <v>236</v>
      </c>
      <c r="Q29" s="260">
        <v>239</v>
      </c>
      <c r="R29" s="260">
        <v>242</v>
      </c>
      <c r="S29" s="260">
        <v>244</v>
      </c>
      <c r="T29" s="260">
        <v>246</v>
      </c>
      <c r="U29" s="260">
        <v>248</v>
      </c>
      <c r="V29" s="260">
        <v>251</v>
      </c>
      <c r="W29" s="260">
        <v>253</v>
      </c>
      <c r="X29" s="260">
        <v>256</v>
      </c>
      <c r="Y29" s="260">
        <v>258</v>
      </c>
      <c r="Z29" s="260">
        <v>260</v>
      </c>
      <c r="AA29" s="544">
        <v>262</v>
      </c>
    </row>
    <row r="30" spans="1:30">
      <c r="A30" s="543">
        <v>0.35</v>
      </c>
      <c r="B30" s="260">
        <v>175</v>
      </c>
      <c r="C30" s="260">
        <v>180</v>
      </c>
      <c r="D30" s="260">
        <v>185</v>
      </c>
      <c r="E30" s="260">
        <v>188</v>
      </c>
      <c r="F30" s="260">
        <v>191</v>
      </c>
      <c r="G30" s="260">
        <v>194</v>
      </c>
      <c r="H30" s="260">
        <v>196</v>
      </c>
      <c r="I30" s="260">
        <v>198</v>
      </c>
      <c r="J30" s="260">
        <v>200</v>
      </c>
      <c r="K30" s="260">
        <v>202</v>
      </c>
      <c r="L30" s="260">
        <v>205</v>
      </c>
      <c r="M30" s="544">
        <v>207</v>
      </c>
      <c r="N30" s="543">
        <v>0.45</v>
      </c>
      <c r="O30" s="260">
        <v>244</v>
      </c>
      <c r="P30" s="260">
        <v>247</v>
      </c>
      <c r="Q30" s="260">
        <v>249</v>
      </c>
      <c r="R30" s="260">
        <v>252</v>
      </c>
      <c r="S30" s="260">
        <v>254</v>
      </c>
      <c r="T30" s="260">
        <v>256</v>
      </c>
      <c r="U30" s="260">
        <v>258</v>
      </c>
      <c r="V30" s="260">
        <v>260</v>
      </c>
      <c r="W30" s="260">
        <v>263</v>
      </c>
      <c r="X30" s="260">
        <v>265</v>
      </c>
      <c r="Y30" s="260">
        <v>267</v>
      </c>
      <c r="Z30" s="260">
        <v>269</v>
      </c>
      <c r="AA30" s="544">
        <v>271</v>
      </c>
    </row>
    <row r="31" spans="1:30">
      <c r="A31" s="543">
        <v>0.375</v>
      </c>
      <c r="B31" s="260">
        <v>186</v>
      </c>
      <c r="C31" s="260">
        <v>191</v>
      </c>
      <c r="D31" s="260">
        <v>196</v>
      </c>
      <c r="E31" s="260">
        <v>199</v>
      </c>
      <c r="F31" s="260">
        <v>202</v>
      </c>
      <c r="G31" s="260">
        <v>205</v>
      </c>
      <c r="H31" s="260">
        <v>207</v>
      </c>
      <c r="I31" s="260">
        <v>209</v>
      </c>
      <c r="J31" s="260">
        <v>211</v>
      </c>
      <c r="K31" s="260">
        <v>213</v>
      </c>
      <c r="L31" s="260">
        <v>215</v>
      </c>
      <c r="M31" s="544">
        <v>218</v>
      </c>
      <c r="N31" s="543">
        <v>0.47499999999999998</v>
      </c>
      <c r="O31" s="260">
        <v>254</v>
      </c>
      <c r="P31" s="260">
        <v>257</v>
      </c>
      <c r="Q31" s="260">
        <v>260</v>
      </c>
      <c r="R31" s="260">
        <v>262</v>
      </c>
      <c r="S31" s="260">
        <v>264</v>
      </c>
      <c r="T31" s="260">
        <v>266</v>
      </c>
      <c r="U31" s="260">
        <v>268</v>
      </c>
      <c r="V31" s="260">
        <v>270</v>
      </c>
      <c r="W31" s="260">
        <v>273</v>
      </c>
      <c r="X31" s="260">
        <v>275</v>
      </c>
      <c r="Y31" s="260">
        <v>277</v>
      </c>
      <c r="Z31" s="260">
        <v>279</v>
      </c>
      <c r="AA31" s="544">
        <v>281</v>
      </c>
    </row>
    <row r="32" spans="1:30">
      <c r="A32" s="543">
        <v>0.4</v>
      </c>
      <c r="B32" s="260">
        <v>198</v>
      </c>
      <c r="C32" s="260">
        <v>203</v>
      </c>
      <c r="D32" s="260">
        <v>207</v>
      </c>
      <c r="E32" s="260">
        <v>210</v>
      </c>
      <c r="F32" s="260">
        <v>213</v>
      </c>
      <c r="G32" s="260">
        <v>215</v>
      </c>
      <c r="H32" s="260">
        <v>217</v>
      </c>
      <c r="I32" s="260">
        <v>219</v>
      </c>
      <c r="J32" s="260">
        <v>221</v>
      </c>
      <c r="K32" s="260">
        <v>223</v>
      </c>
      <c r="L32" s="260">
        <v>226</v>
      </c>
      <c r="M32" s="544">
        <v>228</v>
      </c>
      <c r="N32" s="543">
        <v>0.5</v>
      </c>
      <c r="O32" s="260">
        <v>265</v>
      </c>
      <c r="P32" s="260">
        <v>267</v>
      </c>
      <c r="Q32" s="260">
        <v>270</v>
      </c>
      <c r="R32" s="260">
        <v>272</v>
      </c>
      <c r="S32" s="260">
        <v>274</v>
      </c>
      <c r="T32" s="260">
        <v>276</v>
      </c>
      <c r="U32" s="260">
        <v>278</v>
      </c>
      <c r="V32" s="260">
        <v>280</v>
      </c>
      <c r="W32" s="260">
        <v>282</v>
      </c>
      <c r="X32" s="260">
        <v>284</v>
      </c>
      <c r="Y32" s="260">
        <v>286</v>
      </c>
      <c r="Z32" s="260">
        <v>288</v>
      </c>
      <c r="AA32" s="544">
        <v>290</v>
      </c>
    </row>
    <row r="33" spans="1:27">
      <c r="A33" s="543">
        <v>0.42499999999999999</v>
      </c>
      <c r="B33" s="260">
        <v>209</v>
      </c>
      <c r="C33" s="260">
        <v>214</v>
      </c>
      <c r="D33" s="260">
        <v>218</v>
      </c>
      <c r="E33" s="260">
        <v>221</v>
      </c>
      <c r="F33" s="260">
        <v>224</v>
      </c>
      <c r="G33" s="260">
        <v>226</v>
      </c>
      <c r="H33" s="260">
        <v>228</v>
      </c>
      <c r="I33" s="260">
        <v>230</v>
      </c>
      <c r="J33" s="260">
        <v>232</v>
      </c>
      <c r="K33" s="260">
        <v>234</v>
      </c>
      <c r="L33" s="260">
        <v>236</v>
      </c>
      <c r="M33" s="544">
        <v>238</v>
      </c>
      <c r="N33" s="543">
        <v>0.52500000000000002</v>
      </c>
      <c r="O33" s="260">
        <v>275</v>
      </c>
      <c r="P33" s="260">
        <v>278</v>
      </c>
      <c r="Q33" s="260">
        <v>280</v>
      </c>
      <c r="R33" s="260">
        <v>282</v>
      </c>
      <c r="S33" s="260">
        <v>284</v>
      </c>
      <c r="T33" s="260">
        <v>286</v>
      </c>
      <c r="U33" s="260">
        <v>288</v>
      </c>
      <c r="V33" s="260">
        <v>290</v>
      </c>
      <c r="W33" s="260">
        <v>292</v>
      </c>
      <c r="X33" s="260">
        <v>294</v>
      </c>
      <c r="Y33" s="260">
        <v>296</v>
      </c>
      <c r="Z33" s="260">
        <v>298</v>
      </c>
      <c r="AA33" s="544">
        <v>300</v>
      </c>
    </row>
    <row r="34" spans="1:27">
      <c r="A34" s="543">
        <v>0.45</v>
      </c>
      <c r="B34" s="260">
        <v>221</v>
      </c>
      <c r="C34" s="260">
        <v>226</v>
      </c>
      <c r="D34" s="260">
        <v>230</v>
      </c>
      <c r="E34" s="260">
        <v>232</v>
      </c>
      <c r="F34" s="260">
        <v>235</v>
      </c>
      <c r="G34" s="260">
        <v>237</v>
      </c>
      <c r="H34" s="260">
        <v>238</v>
      </c>
      <c r="I34" s="260">
        <v>240</v>
      </c>
      <c r="J34" s="260">
        <v>242</v>
      </c>
      <c r="K34" s="260">
        <v>244</v>
      </c>
      <c r="L34" s="260">
        <v>246</v>
      </c>
      <c r="M34" s="544">
        <v>248</v>
      </c>
      <c r="N34" s="543">
        <v>0.55000000000000004</v>
      </c>
      <c r="O34" s="260">
        <v>286</v>
      </c>
      <c r="P34" s="260">
        <v>288</v>
      </c>
      <c r="Q34" s="260">
        <v>290</v>
      </c>
      <c r="R34" s="260">
        <v>292</v>
      </c>
      <c r="S34" s="260">
        <v>294</v>
      </c>
      <c r="T34" s="260">
        <v>296</v>
      </c>
      <c r="U34" s="260">
        <v>298</v>
      </c>
      <c r="V34" s="260">
        <v>299</v>
      </c>
      <c r="W34" s="260">
        <v>301</v>
      </c>
      <c r="X34" s="260">
        <v>303</v>
      </c>
      <c r="Y34" s="260">
        <v>305</v>
      </c>
      <c r="Z34" s="260">
        <v>307</v>
      </c>
      <c r="AA34" s="544">
        <v>309</v>
      </c>
    </row>
    <row r="35" spans="1:27">
      <c r="A35" s="543">
        <v>0.47499999999999998</v>
      </c>
      <c r="B35" s="260">
        <v>233</v>
      </c>
      <c r="C35" s="260">
        <v>237</v>
      </c>
      <c r="D35" s="260">
        <v>241</v>
      </c>
      <c r="E35" s="260">
        <v>243</v>
      </c>
      <c r="F35" s="260">
        <v>245</v>
      </c>
      <c r="G35" s="260">
        <v>247</v>
      </c>
      <c r="H35" s="260">
        <v>249</v>
      </c>
      <c r="I35" s="260">
        <v>251</v>
      </c>
      <c r="J35" s="260">
        <v>253</v>
      </c>
      <c r="K35" s="260">
        <v>254</v>
      </c>
      <c r="L35" s="260">
        <v>256</v>
      </c>
      <c r="M35" s="544">
        <v>258</v>
      </c>
      <c r="N35" s="543">
        <v>0.57499999999999996</v>
      </c>
      <c r="O35" s="260">
        <v>296</v>
      </c>
      <c r="P35" s="260">
        <v>298</v>
      </c>
      <c r="Q35" s="260">
        <v>300</v>
      </c>
      <c r="R35" s="260">
        <v>302</v>
      </c>
      <c r="S35" s="260">
        <v>304</v>
      </c>
      <c r="T35" s="260">
        <v>305</v>
      </c>
      <c r="U35" s="260">
        <v>307</v>
      </c>
      <c r="V35" s="260">
        <v>309</v>
      </c>
      <c r="W35" s="260">
        <v>311</v>
      </c>
      <c r="X35" s="260">
        <v>313</v>
      </c>
      <c r="Y35" s="260">
        <v>315</v>
      </c>
      <c r="Z35" s="260">
        <v>317</v>
      </c>
      <c r="AA35" s="544">
        <v>318</v>
      </c>
    </row>
    <row r="36" spans="1:27">
      <c r="A36" s="543">
        <v>0.5</v>
      </c>
      <c r="B36" s="260">
        <v>244</v>
      </c>
      <c r="C36" s="260">
        <v>248</v>
      </c>
      <c r="D36" s="260">
        <v>252</v>
      </c>
      <c r="E36" s="260">
        <v>254</v>
      </c>
      <c r="F36" s="260">
        <v>256</v>
      </c>
      <c r="G36" s="260">
        <v>258</v>
      </c>
      <c r="H36" s="260">
        <v>260</v>
      </c>
      <c r="I36" s="260">
        <v>261</v>
      </c>
      <c r="J36" s="260">
        <v>263</v>
      </c>
      <c r="K36" s="260">
        <v>265</v>
      </c>
      <c r="L36" s="260">
        <v>267</v>
      </c>
      <c r="M36" s="544">
        <v>269</v>
      </c>
      <c r="N36" s="543">
        <v>0.6</v>
      </c>
      <c r="O36" s="260">
        <v>306</v>
      </c>
      <c r="P36" s="260">
        <v>308</v>
      </c>
      <c r="Q36" s="260">
        <v>310</v>
      </c>
      <c r="R36" s="260">
        <v>312</v>
      </c>
      <c r="S36" s="260">
        <v>313</v>
      </c>
      <c r="T36" s="260">
        <v>315</v>
      </c>
      <c r="U36" s="260">
        <v>317</v>
      </c>
      <c r="V36" s="260">
        <v>319</v>
      </c>
      <c r="W36" s="260">
        <v>320</v>
      </c>
      <c r="X36" s="260">
        <v>322</v>
      </c>
      <c r="Y36" s="260">
        <v>324</v>
      </c>
      <c r="Z36" s="260">
        <v>326</v>
      </c>
      <c r="AA36" s="544">
        <v>328</v>
      </c>
    </row>
    <row r="37" spans="1:27">
      <c r="A37" s="543">
        <v>0.52500000000000002</v>
      </c>
      <c r="B37" s="260">
        <v>256</v>
      </c>
      <c r="C37" s="260">
        <v>260</v>
      </c>
      <c r="D37" s="260">
        <v>263</v>
      </c>
      <c r="E37" s="260">
        <v>265</v>
      </c>
      <c r="F37" s="260">
        <v>267</v>
      </c>
      <c r="G37" s="260">
        <v>269</v>
      </c>
      <c r="H37" s="260">
        <v>270</v>
      </c>
      <c r="I37" s="260">
        <v>272</v>
      </c>
      <c r="J37" s="260">
        <v>273</v>
      </c>
      <c r="K37" s="260">
        <v>275</v>
      </c>
      <c r="L37" s="260">
        <v>277</v>
      </c>
      <c r="M37" s="544">
        <v>279</v>
      </c>
      <c r="N37" s="543">
        <v>0.625</v>
      </c>
      <c r="O37" s="260">
        <v>316</v>
      </c>
      <c r="P37" s="260">
        <v>318</v>
      </c>
      <c r="Q37" s="260">
        <v>320</v>
      </c>
      <c r="R37" s="260">
        <v>322</v>
      </c>
      <c r="S37" s="260">
        <v>323</v>
      </c>
      <c r="T37" s="260">
        <v>325</v>
      </c>
      <c r="U37" s="260">
        <v>326</v>
      </c>
      <c r="V37" s="260">
        <v>328</v>
      </c>
      <c r="W37" s="260">
        <v>330</v>
      </c>
      <c r="X37" s="260">
        <v>332</v>
      </c>
      <c r="Y37" s="260">
        <v>333</v>
      </c>
      <c r="Z37" s="260">
        <v>335</v>
      </c>
      <c r="AA37" s="544">
        <v>337</v>
      </c>
    </row>
    <row r="38" spans="1:27">
      <c r="A38" s="543">
        <v>0.55000000000000004</v>
      </c>
      <c r="B38" s="260">
        <v>267</v>
      </c>
      <c r="C38" s="260">
        <v>271</v>
      </c>
      <c r="D38" s="260">
        <v>274</v>
      </c>
      <c r="E38" s="260">
        <v>276</v>
      </c>
      <c r="F38" s="260">
        <v>278</v>
      </c>
      <c r="G38" s="260">
        <v>279</v>
      </c>
      <c r="H38" s="260">
        <v>281</v>
      </c>
      <c r="I38" s="260">
        <v>282</v>
      </c>
      <c r="J38" s="260">
        <v>284</v>
      </c>
      <c r="K38" s="260">
        <v>285</v>
      </c>
      <c r="L38" s="260">
        <v>287</v>
      </c>
      <c r="M38" s="544">
        <v>289</v>
      </c>
      <c r="N38" s="543">
        <v>0.65</v>
      </c>
      <c r="O38" s="260">
        <v>326</v>
      </c>
      <c r="P38" s="260">
        <v>328</v>
      </c>
      <c r="Q38" s="260">
        <v>330</v>
      </c>
      <c r="R38" s="260">
        <v>331</v>
      </c>
      <c r="S38" s="260">
        <v>333</v>
      </c>
      <c r="T38" s="260">
        <v>334</v>
      </c>
      <c r="U38" s="260">
        <v>336</v>
      </c>
      <c r="V38" s="260">
        <v>338</v>
      </c>
      <c r="W38" s="260">
        <v>339</v>
      </c>
      <c r="X38" s="260">
        <v>341</v>
      </c>
      <c r="Y38" s="260">
        <v>343</v>
      </c>
      <c r="Z38" s="260">
        <v>344</v>
      </c>
      <c r="AA38" s="544">
        <v>346</v>
      </c>
    </row>
    <row r="39" spans="1:27">
      <c r="A39" s="543">
        <v>0.57499999999999996</v>
      </c>
      <c r="B39" s="260">
        <v>279</v>
      </c>
      <c r="C39" s="260">
        <v>282</v>
      </c>
      <c r="D39" s="260">
        <v>285</v>
      </c>
      <c r="E39" s="260">
        <v>287</v>
      </c>
      <c r="F39" s="260">
        <v>288</v>
      </c>
      <c r="G39" s="260">
        <v>290</v>
      </c>
      <c r="H39" s="260">
        <v>291</v>
      </c>
      <c r="I39" s="260">
        <v>292</v>
      </c>
      <c r="J39" s="260">
        <v>294</v>
      </c>
      <c r="K39" s="260">
        <v>296</v>
      </c>
      <c r="L39" s="260">
        <v>297</v>
      </c>
      <c r="M39" s="544">
        <v>299</v>
      </c>
      <c r="N39" s="543">
        <v>0.67500000000000004</v>
      </c>
      <c r="O39" s="260">
        <v>336</v>
      </c>
      <c r="P39" s="260">
        <v>338</v>
      </c>
      <c r="Q39" s="260">
        <v>339</v>
      </c>
      <c r="R39" s="260">
        <v>341</v>
      </c>
      <c r="S39" s="260">
        <v>342</v>
      </c>
      <c r="T39" s="260">
        <v>344</v>
      </c>
      <c r="U39" s="260">
        <v>345</v>
      </c>
      <c r="V39" s="260">
        <v>347</v>
      </c>
      <c r="W39" s="260">
        <v>349</v>
      </c>
      <c r="X39" s="260">
        <v>350</v>
      </c>
      <c r="Y39" s="260">
        <v>352</v>
      </c>
      <c r="Z39" s="260">
        <v>354</v>
      </c>
      <c r="AA39" s="544">
        <v>355</v>
      </c>
    </row>
    <row r="40" spans="1:27">
      <c r="A40" s="543">
        <v>0.6</v>
      </c>
      <c r="B40" s="260">
        <v>290</v>
      </c>
      <c r="C40" s="260">
        <v>293</v>
      </c>
      <c r="D40" s="260">
        <v>296</v>
      </c>
      <c r="E40" s="260">
        <v>297</v>
      </c>
      <c r="F40" s="260">
        <v>299</v>
      </c>
      <c r="G40" s="260">
        <v>300</v>
      </c>
      <c r="H40" s="260">
        <v>301</v>
      </c>
      <c r="I40" s="260">
        <v>303</v>
      </c>
      <c r="J40" s="260">
        <v>304</v>
      </c>
      <c r="K40" s="260">
        <v>306</v>
      </c>
      <c r="L40" s="260">
        <v>308</v>
      </c>
      <c r="M40" s="544">
        <v>310</v>
      </c>
      <c r="N40" s="543">
        <v>0.7</v>
      </c>
      <c r="O40" s="260">
        <v>346</v>
      </c>
      <c r="P40" s="260">
        <v>348</v>
      </c>
      <c r="Q40" s="260">
        <v>349</v>
      </c>
      <c r="R40" s="260">
        <v>350</v>
      </c>
      <c r="S40" s="260">
        <v>352</v>
      </c>
      <c r="T40" s="260">
        <v>353</v>
      </c>
      <c r="U40" s="260">
        <v>355</v>
      </c>
      <c r="V40" s="260">
        <v>356</v>
      </c>
      <c r="W40" s="260">
        <v>358</v>
      </c>
      <c r="X40" s="260">
        <v>359</v>
      </c>
      <c r="Y40" s="260">
        <v>361</v>
      </c>
      <c r="Z40" s="260">
        <v>363</v>
      </c>
      <c r="AA40" s="544">
        <v>364</v>
      </c>
    </row>
    <row r="41" spans="1:27">
      <c r="A41" s="543">
        <v>0.625</v>
      </c>
      <c r="B41" s="260">
        <v>301</v>
      </c>
      <c r="C41" s="260">
        <v>304</v>
      </c>
      <c r="D41" s="260">
        <v>306</v>
      </c>
      <c r="E41" s="260">
        <v>308</v>
      </c>
      <c r="F41" s="260">
        <v>309</v>
      </c>
      <c r="G41" s="260">
        <v>310</v>
      </c>
      <c r="H41" s="260">
        <v>312</v>
      </c>
      <c r="I41" s="260">
        <v>313</v>
      </c>
      <c r="J41" s="260">
        <v>315</v>
      </c>
      <c r="K41" s="260">
        <v>316</v>
      </c>
      <c r="L41" s="260">
        <v>318</v>
      </c>
      <c r="M41" s="544">
        <v>320</v>
      </c>
      <c r="N41" s="543">
        <v>0.72499999999999998</v>
      </c>
      <c r="O41" s="260">
        <v>356</v>
      </c>
      <c r="P41" s="260">
        <v>357</v>
      </c>
      <c r="Q41" s="260">
        <v>358</v>
      </c>
      <c r="R41" s="260">
        <v>360</v>
      </c>
      <c r="S41" s="260">
        <v>361</v>
      </c>
      <c r="T41" s="260">
        <v>362</v>
      </c>
      <c r="U41" s="260">
        <v>364</v>
      </c>
      <c r="V41" s="260">
        <v>365</v>
      </c>
      <c r="W41" s="260">
        <v>367</v>
      </c>
      <c r="X41" s="260">
        <v>368</v>
      </c>
      <c r="Y41" s="260">
        <v>370</v>
      </c>
      <c r="Z41" s="260">
        <v>372</v>
      </c>
      <c r="AA41" s="544">
        <v>373</v>
      </c>
    </row>
    <row r="42" spans="1:27">
      <c r="A42" s="543">
        <v>0.65</v>
      </c>
      <c r="B42" s="260">
        <v>312</v>
      </c>
      <c r="C42" s="260">
        <v>314</v>
      </c>
      <c r="D42" s="260">
        <v>317</v>
      </c>
      <c r="E42" s="260">
        <v>318</v>
      </c>
      <c r="F42" s="260">
        <v>320</v>
      </c>
      <c r="G42" s="260">
        <v>321</v>
      </c>
      <c r="H42" s="260">
        <v>322</v>
      </c>
      <c r="I42" s="260">
        <v>323</v>
      </c>
      <c r="J42" s="260">
        <v>325</v>
      </c>
      <c r="K42" s="260">
        <v>326</v>
      </c>
      <c r="L42" s="260">
        <v>328</v>
      </c>
      <c r="M42" s="544">
        <v>330</v>
      </c>
      <c r="N42" s="543">
        <v>0.75</v>
      </c>
      <c r="O42" s="260">
        <v>365</v>
      </c>
      <c r="P42" s="260">
        <v>367</v>
      </c>
      <c r="Q42" s="260">
        <v>368</v>
      </c>
      <c r="R42" s="260">
        <v>369</v>
      </c>
      <c r="S42" s="260">
        <v>370</v>
      </c>
      <c r="T42" s="260">
        <v>372</v>
      </c>
      <c r="U42" s="260">
        <v>373</v>
      </c>
      <c r="V42" s="260">
        <v>375</v>
      </c>
      <c r="W42" s="260">
        <v>376</v>
      </c>
      <c r="X42" s="260">
        <v>378</v>
      </c>
      <c r="Y42" s="260">
        <v>379</v>
      </c>
      <c r="Z42" s="260">
        <v>381</v>
      </c>
      <c r="AA42" s="544">
        <v>382</v>
      </c>
    </row>
    <row r="43" spans="1:27">
      <c r="A43" s="543">
        <v>0.67500000000000004</v>
      </c>
      <c r="B43" s="260">
        <v>322</v>
      </c>
      <c r="C43" s="260">
        <v>325</v>
      </c>
      <c r="D43" s="260">
        <v>327</v>
      </c>
      <c r="E43" s="260">
        <v>328</v>
      </c>
      <c r="F43" s="260">
        <v>330</v>
      </c>
      <c r="G43" s="260">
        <v>331</v>
      </c>
      <c r="H43" s="260">
        <v>333</v>
      </c>
      <c r="I43" s="260">
        <v>333</v>
      </c>
      <c r="J43" s="260">
        <v>335</v>
      </c>
      <c r="K43" s="260">
        <v>336</v>
      </c>
      <c r="L43" s="260">
        <v>338</v>
      </c>
      <c r="M43" s="544">
        <v>340</v>
      </c>
      <c r="N43" s="543">
        <v>0.77500000000000002</v>
      </c>
      <c r="O43" s="260">
        <v>374</v>
      </c>
      <c r="P43" s="260">
        <v>376</v>
      </c>
      <c r="Q43" s="260">
        <v>377</v>
      </c>
      <c r="R43" s="260">
        <v>378</v>
      </c>
      <c r="S43" s="260">
        <v>379</v>
      </c>
      <c r="T43" s="260">
        <v>381</v>
      </c>
      <c r="U43" s="260">
        <v>382</v>
      </c>
      <c r="V43" s="260">
        <v>383</v>
      </c>
      <c r="W43" s="260">
        <v>385</v>
      </c>
      <c r="X43" s="260">
        <v>386</v>
      </c>
      <c r="Y43" s="260">
        <v>388</v>
      </c>
      <c r="Z43" s="260">
        <v>390</v>
      </c>
      <c r="AA43" s="544">
        <v>391</v>
      </c>
    </row>
    <row r="44" spans="1:27">
      <c r="A44" s="543">
        <v>0.7</v>
      </c>
      <c r="B44" s="260">
        <v>333</v>
      </c>
      <c r="C44" s="260">
        <v>335</v>
      </c>
      <c r="D44" s="260">
        <v>337</v>
      </c>
      <c r="E44" s="260">
        <v>339</v>
      </c>
      <c r="F44" s="260">
        <v>340</v>
      </c>
      <c r="G44" s="260">
        <v>341</v>
      </c>
      <c r="H44" s="260">
        <v>342</v>
      </c>
      <c r="I44" s="260">
        <v>343</v>
      </c>
      <c r="J44" s="260">
        <v>345</v>
      </c>
      <c r="K44" s="260">
        <v>346</v>
      </c>
      <c r="L44" s="260">
        <v>348</v>
      </c>
      <c r="M44" s="544">
        <v>350</v>
      </c>
      <c r="N44" s="543">
        <v>0.8</v>
      </c>
      <c r="O44" s="260">
        <v>384</v>
      </c>
      <c r="P44" s="260">
        <v>385</v>
      </c>
      <c r="Q44" s="260">
        <v>386</v>
      </c>
      <c r="R44" s="260">
        <v>387</v>
      </c>
      <c r="S44" s="260">
        <v>388</v>
      </c>
      <c r="T44" s="260">
        <v>390</v>
      </c>
      <c r="U44" s="260">
        <v>391</v>
      </c>
      <c r="V44" s="260">
        <v>392</v>
      </c>
      <c r="W44" s="260">
        <v>394</v>
      </c>
      <c r="X44" s="260">
        <v>395</v>
      </c>
      <c r="Y44" s="260">
        <v>397</v>
      </c>
      <c r="Z44" s="260">
        <v>398</v>
      </c>
      <c r="AA44" s="544">
        <v>400</v>
      </c>
    </row>
    <row r="45" spans="1:27">
      <c r="A45" s="543">
        <v>0.72499999999999998</v>
      </c>
      <c r="B45" s="260">
        <v>342</v>
      </c>
      <c r="C45" s="260">
        <v>345</v>
      </c>
      <c r="D45" s="260">
        <v>347</v>
      </c>
      <c r="E45" s="260">
        <v>348</v>
      </c>
      <c r="F45" s="260">
        <v>349</v>
      </c>
      <c r="G45" s="260">
        <v>351</v>
      </c>
      <c r="H45" s="260">
        <v>352</v>
      </c>
      <c r="I45" s="260">
        <v>353</v>
      </c>
      <c r="J45" s="260">
        <v>354</v>
      </c>
      <c r="K45" s="260">
        <v>356</v>
      </c>
      <c r="L45" s="260">
        <v>358</v>
      </c>
      <c r="M45" s="544">
        <v>360</v>
      </c>
      <c r="N45" s="543">
        <v>0.82499999999999996</v>
      </c>
      <c r="O45" s="260">
        <v>393</v>
      </c>
      <c r="P45" s="260">
        <v>394</v>
      </c>
      <c r="Q45" s="260">
        <v>395</v>
      </c>
      <c r="R45" s="260">
        <v>396</v>
      </c>
      <c r="S45" s="260">
        <v>397</v>
      </c>
      <c r="T45" s="260">
        <v>399</v>
      </c>
      <c r="U45" s="260">
        <v>400</v>
      </c>
      <c r="V45" s="260">
        <v>401</v>
      </c>
      <c r="W45" s="260">
        <v>403</v>
      </c>
      <c r="X45" s="260">
        <v>404</v>
      </c>
      <c r="Y45" s="260">
        <v>406</v>
      </c>
      <c r="Z45" s="260">
        <v>407</v>
      </c>
      <c r="AA45" s="544">
        <v>408</v>
      </c>
    </row>
    <row r="46" spans="1:27">
      <c r="A46" s="543">
        <v>0.75</v>
      </c>
      <c r="B46" s="260">
        <v>352</v>
      </c>
      <c r="C46" s="260">
        <v>355</v>
      </c>
      <c r="D46" s="260">
        <v>357</v>
      </c>
      <c r="E46" s="260">
        <v>358</v>
      </c>
      <c r="F46" s="260">
        <v>359</v>
      </c>
      <c r="G46" s="260">
        <v>360</v>
      </c>
      <c r="H46" s="260">
        <v>361</v>
      </c>
      <c r="I46" s="260">
        <v>363</v>
      </c>
      <c r="J46" s="260">
        <v>364</v>
      </c>
      <c r="K46" s="260">
        <v>366</v>
      </c>
      <c r="L46" s="260">
        <v>368</v>
      </c>
      <c r="M46" s="544">
        <v>369</v>
      </c>
      <c r="N46" s="548">
        <v>0.85</v>
      </c>
      <c r="O46" s="260">
        <v>402</v>
      </c>
      <c r="P46" s="260">
        <v>403</v>
      </c>
      <c r="Q46" s="260">
        <v>404</v>
      </c>
      <c r="R46" s="260">
        <v>405</v>
      </c>
      <c r="S46" s="260">
        <v>406</v>
      </c>
      <c r="T46" s="260">
        <v>407</v>
      </c>
      <c r="U46" s="260">
        <v>409</v>
      </c>
      <c r="V46" s="260">
        <v>410</v>
      </c>
      <c r="W46" s="260">
        <v>411</v>
      </c>
      <c r="X46" s="260">
        <v>413</v>
      </c>
      <c r="Y46" s="260">
        <v>414</v>
      </c>
      <c r="Z46" s="260">
        <v>416</v>
      </c>
      <c r="AA46" s="544">
        <v>417</v>
      </c>
    </row>
    <row r="47" spans="1:27">
      <c r="A47" s="543">
        <v>0.77500000000000002</v>
      </c>
      <c r="B47" s="260">
        <v>361</v>
      </c>
      <c r="C47" s="260">
        <v>365</v>
      </c>
      <c r="D47" s="260">
        <v>367</v>
      </c>
      <c r="E47" s="260">
        <v>368</v>
      </c>
      <c r="F47" s="260">
        <v>369</v>
      </c>
      <c r="G47" s="260">
        <v>370</v>
      </c>
      <c r="H47" s="260">
        <v>371</v>
      </c>
      <c r="I47" s="260">
        <v>372</v>
      </c>
      <c r="J47" s="260">
        <v>374</v>
      </c>
      <c r="K47" s="260">
        <v>375</v>
      </c>
      <c r="L47" s="260">
        <v>377</v>
      </c>
      <c r="M47" s="544">
        <v>379</v>
      </c>
      <c r="N47" s="548">
        <v>0.875</v>
      </c>
      <c r="O47" s="260">
        <v>410</v>
      </c>
      <c r="P47" s="260">
        <v>411</v>
      </c>
      <c r="Q47" s="260">
        <v>412</v>
      </c>
      <c r="R47" s="260">
        <v>413</v>
      </c>
      <c r="S47" s="260">
        <v>415</v>
      </c>
      <c r="T47" s="260">
        <v>416</v>
      </c>
      <c r="U47" s="260">
        <v>417</v>
      </c>
      <c r="V47" s="260">
        <v>418</v>
      </c>
      <c r="W47" s="260">
        <v>420</v>
      </c>
      <c r="X47" s="260">
        <v>421</v>
      </c>
      <c r="Y47" s="260">
        <v>423</v>
      </c>
      <c r="Z47" s="260">
        <v>424</v>
      </c>
      <c r="AA47" s="544">
        <v>425</v>
      </c>
    </row>
    <row r="48" spans="1:27" ht="16.5" thickBot="1">
      <c r="A48" s="545">
        <v>0.8</v>
      </c>
      <c r="B48" s="546">
        <v>369</v>
      </c>
      <c r="C48" s="546">
        <v>374</v>
      </c>
      <c r="D48" s="546">
        <v>376</v>
      </c>
      <c r="E48" s="546">
        <v>377</v>
      </c>
      <c r="F48" s="546">
        <v>378</v>
      </c>
      <c r="G48" s="546">
        <v>379</v>
      </c>
      <c r="H48" s="546">
        <v>380</v>
      </c>
      <c r="I48" s="546">
        <v>382</v>
      </c>
      <c r="J48" s="546">
        <v>383</v>
      </c>
      <c r="K48" s="546">
        <v>385</v>
      </c>
      <c r="L48" s="546">
        <v>387</v>
      </c>
      <c r="M48" s="547">
        <v>389</v>
      </c>
      <c r="N48" s="546">
        <v>0.9</v>
      </c>
      <c r="O48" s="546">
        <v>419</v>
      </c>
      <c r="P48" s="546">
        <v>420</v>
      </c>
      <c r="Q48" s="546">
        <v>421</v>
      </c>
      <c r="R48" s="546">
        <v>422</v>
      </c>
      <c r="S48" s="546">
        <v>423</v>
      </c>
      <c r="T48" s="546">
        <v>424</v>
      </c>
      <c r="U48" s="546">
        <v>425</v>
      </c>
      <c r="V48" s="546">
        <v>427</v>
      </c>
      <c r="W48" s="546">
        <v>428</v>
      </c>
      <c r="X48" s="546">
        <v>429</v>
      </c>
      <c r="Y48" s="546">
        <v>431</v>
      </c>
      <c r="Z48" s="546">
        <v>432</v>
      </c>
      <c r="AA48" s="547">
        <v>434</v>
      </c>
    </row>
    <row r="49" spans="1:26" ht="16.5" thickTop="1"/>
    <row r="50" spans="1:26" ht="16.5" thickBot="1">
      <c r="A50" s="117" t="s">
        <v>566</v>
      </c>
    </row>
    <row r="51" spans="1:26" ht="16.5" thickTop="1">
      <c r="A51" s="540"/>
      <c r="B51" s="688" t="s">
        <v>48</v>
      </c>
      <c r="C51" s="688"/>
      <c r="D51" s="688"/>
      <c r="E51" s="688"/>
      <c r="F51" s="688"/>
      <c r="G51" s="688"/>
      <c r="H51" s="688"/>
      <c r="I51" s="688"/>
      <c r="J51" s="688"/>
      <c r="K51" s="688"/>
      <c r="L51" s="688"/>
      <c r="M51" s="688"/>
      <c r="N51" s="688"/>
      <c r="O51" s="688"/>
      <c r="P51" s="688"/>
      <c r="Q51" s="688"/>
      <c r="R51" s="688"/>
      <c r="S51" s="688"/>
      <c r="T51" s="688"/>
      <c r="U51" s="688"/>
      <c r="V51" s="688"/>
      <c r="W51" s="688"/>
      <c r="X51" s="688"/>
      <c r="Y51" s="688"/>
      <c r="Z51" s="689"/>
    </row>
    <row r="52" spans="1:26">
      <c r="A52" s="543"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4">
        <v>49</v>
      </c>
    </row>
    <row r="53" spans="1:26">
      <c r="A53" s="543">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4">
        <v>234</v>
      </c>
    </row>
    <row r="54" spans="1:26">
      <c r="A54" s="543">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4">
        <v>250</v>
      </c>
    </row>
    <row r="55" spans="1:26">
      <c r="A55" s="543">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4">
        <v>266</v>
      </c>
    </row>
    <row r="56" spans="1:26">
      <c r="A56" s="543">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4">
        <v>282</v>
      </c>
    </row>
    <row r="57" spans="1:26">
      <c r="A57" s="543">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4">
        <v>298</v>
      </c>
    </row>
    <row r="58" spans="1:26">
      <c r="A58" s="543">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4">
        <v>315</v>
      </c>
    </row>
    <row r="59" spans="1:26">
      <c r="A59" s="543">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4">
        <v>331</v>
      </c>
    </row>
    <row r="60" spans="1:26">
      <c r="A60" s="543">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4">
        <v>347</v>
      </c>
    </row>
    <row r="61" spans="1:26">
      <c r="A61" s="543">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4">
        <v>363</v>
      </c>
    </row>
    <row r="62" spans="1:26">
      <c r="A62" s="543">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4">
        <v>380</v>
      </c>
    </row>
    <row r="63" spans="1:26">
      <c r="A63" s="543">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4">
        <v>395</v>
      </c>
    </row>
    <row r="64" spans="1:26">
      <c r="A64" s="543">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4">
        <v>411</v>
      </c>
    </row>
    <row r="65" spans="1:26">
      <c r="A65" s="543">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4">
        <v>426</v>
      </c>
    </row>
    <row r="66" spans="1:26">
      <c r="A66" s="543">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4">
        <v>440</v>
      </c>
    </row>
    <row r="67" spans="1:26">
      <c r="A67" s="543">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4">
        <v>455</v>
      </c>
    </row>
    <row r="68" spans="1:26">
      <c r="A68" s="543">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4">
        <v>469</v>
      </c>
    </row>
    <row r="69" spans="1:26" ht="16.5" thickBot="1">
      <c r="A69" s="545">
        <v>1</v>
      </c>
      <c r="B69" s="546">
        <v>448</v>
      </c>
      <c r="C69" s="546">
        <v>451</v>
      </c>
      <c r="D69" s="546">
        <v>453</v>
      </c>
      <c r="E69" s="546">
        <v>454</v>
      </c>
      <c r="F69" s="546">
        <v>456</v>
      </c>
      <c r="G69" s="546">
        <v>458</v>
      </c>
      <c r="H69" s="546">
        <v>460</v>
      </c>
      <c r="I69" s="546">
        <v>461</v>
      </c>
      <c r="J69" s="546">
        <v>463</v>
      </c>
      <c r="K69" s="546">
        <v>465</v>
      </c>
      <c r="L69" s="546">
        <v>466</v>
      </c>
      <c r="M69" s="546">
        <v>467</v>
      </c>
      <c r="N69" s="546">
        <v>469</v>
      </c>
      <c r="O69" s="546">
        <v>470</v>
      </c>
      <c r="P69" s="546">
        <v>471</v>
      </c>
      <c r="Q69" s="546">
        <v>472</v>
      </c>
      <c r="R69" s="546">
        <v>474</v>
      </c>
      <c r="S69" s="546">
        <v>475</v>
      </c>
      <c r="T69" s="546">
        <v>476</v>
      </c>
      <c r="U69" s="546">
        <v>477</v>
      </c>
      <c r="V69" s="546">
        <v>478</v>
      </c>
      <c r="W69" s="546">
        <v>479</v>
      </c>
      <c r="X69" s="546">
        <v>480</v>
      </c>
      <c r="Y69" s="546">
        <v>481</v>
      </c>
      <c r="Z69" s="547">
        <v>482</v>
      </c>
    </row>
    <row r="70" spans="1:26" ht="16.5" thickTop="1"/>
    <row r="71" spans="1:26" ht="16.5" thickBot="1">
      <c r="A71" s="549" t="s">
        <v>793</v>
      </c>
      <c r="B71" s="549"/>
      <c r="C71" s="549"/>
      <c r="D71" s="549"/>
      <c r="E71" s="549"/>
      <c r="F71" s="549"/>
      <c r="G71" s="549"/>
      <c r="H71" s="549"/>
      <c r="I71" s="549"/>
      <c r="J71" s="549"/>
      <c r="K71" s="549"/>
    </row>
    <row r="72" spans="1:26">
      <c r="A72" s="552"/>
      <c r="B72" s="690" t="s">
        <v>48</v>
      </c>
      <c r="C72" s="690"/>
      <c r="D72" s="690"/>
      <c r="E72" s="690"/>
      <c r="F72" s="690"/>
      <c r="G72" s="690"/>
      <c r="H72" s="690"/>
      <c r="I72" s="690"/>
      <c r="J72" s="690"/>
      <c r="K72" s="691"/>
    </row>
    <row r="73" spans="1:26">
      <c r="A73" s="553" t="s">
        <v>334</v>
      </c>
      <c r="B73" s="551">
        <v>40</v>
      </c>
      <c r="C73" s="551">
        <v>41</v>
      </c>
      <c r="D73" s="551">
        <v>42</v>
      </c>
      <c r="E73" s="551">
        <v>43</v>
      </c>
      <c r="F73" s="551">
        <v>44</v>
      </c>
      <c r="G73" s="551">
        <v>45</v>
      </c>
      <c r="H73" s="551">
        <v>46</v>
      </c>
      <c r="I73" s="551">
        <v>47</v>
      </c>
      <c r="J73" s="551">
        <v>48</v>
      </c>
      <c r="K73" s="554">
        <v>49</v>
      </c>
    </row>
    <row r="74" spans="1:26">
      <c r="A74" s="553">
        <v>2</v>
      </c>
      <c r="B74" s="551">
        <v>677</v>
      </c>
      <c r="C74" s="551">
        <v>675</v>
      </c>
      <c r="D74" s="551">
        <v>674</v>
      </c>
      <c r="E74" s="551">
        <v>672</v>
      </c>
      <c r="F74" s="551">
        <v>671</v>
      </c>
      <c r="G74" s="551">
        <v>669</v>
      </c>
      <c r="H74" s="551">
        <v>668</v>
      </c>
      <c r="I74" s="551">
        <v>667</v>
      </c>
      <c r="J74" s="551">
        <v>666</v>
      </c>
      <c r="K74" s="554">
        <v>665</v>
      </c>
    </row>
    <row r="75" spans="1:26">
      <c r="A75" s="553">
        <v>2.1</v>
      </c>
      <c r="B75" s="551">
        <v>694</v>
      </c>
      <c r="C75" s="551">
        <v>692</v>
      </c>
      <c r="D75" s="551">
        <v>690</v>
      </c>
      <c r="E75" s="551">
        <v>689</v>
      </c>
      <c r="F75" s="551">
        <v>687</v>
      </c>
      <c r="G75" s="551">
        <v>686</v>
      </c>
      <c r="H75" s="551">
        <v>684</v>
      </c>
      <c r="I75" s="551">
        <v>683</v>
      </c>
      <c r="J75" s="551">
        <v>681</v>
      </c>
      <c r="K75" s="554">
        <v>680</v>
      </c>
    </row>
    <row r="76" spans="1:26">
      <c r="A76" s="553">
        <v>2.2000000000000002</v>
      </c>
      <c r="B76" s="551">
        <v>711</v>
      </c>
      <c r="C76" s="551">
        <v>709</v>
      </c>
      <c r="D76" s="551">
        <v>707</v>
      </c>
      <c r="E76" s="551">
        <v>705</v>
      </c>
      <c r="F76" s="551">
        <v>704</v>
      </c>
      <c r="G76" s="551">
        <v>702</v>
      </c>
      <c r="H76" s="551">
        <v>700</v>
      </c>
      <c r="I76" s="551">
        <v>699</v>
      </c>
      <c r="J76" s="551">
        <v>697</v>
      </c>
      <c r="K76" s="554">
        <v>696</v>
      </c>
    </row>
    <row r="77" spans="1:26">
      <c r="A77" s="553">
        <v>2.2999999999999998</v>
      </c>
      <c r="B77" s="551">
        <v>726</v>
      </c>
      <c r="C77" s="551">
        <v>724</v>
      </c>
      <c r="D77" s="551">
        <v>722</v>
      </c>
      <c r="E77" s="551">
        <v>721</v>
      </c>
      <c r="F77" s="551">
        <v>719</v>
      </c>
      <c r="G77" s="551">
        <v>717</v>
      </c>
      <c r="H77" s="551">
        <v>715</v>
      </c>
      <c r="I77" s="551">
        <v>714</v>
      </c>
      <c r="J77" s="551">
        <v>712</v>
      </c>
      <c r="K77" s="554">
        <v>711</v>
      </c>
    </row>
    <row r="78" spans="1:26">
      <c r="A78" s="553">
        <v>2.4</v>
      </c>
      <c r="B78" s="551">
        <v>740</v>
      </c>
      <c r="C78" s="551">
        <v>739</v>
      </c>
      <c r="D78" s="551">
        <v>737</v>
      </c>
      <c r="E78" s="551">
        <v>736</v>
      </c>
      <c r="F78" s="551">
        <v>734</v>
      </c>
      <c r="G78" s="551">
        <v>732</v>
      </c>
      <c r="H78" s="551">
        <v>731</v>
      </c>
      <c r="I78" s="551">
        <v>729</v>
      </c>
      <c r="J78" s="551">
        <v>727</v>
      </c>
      <c r="K78" s="554">
        <v>725</v>
      </c>
    </row>
    <row r="79" spans="1:26">
      <c r="A79" s="553">
        <v>2.5</v>
      </c>
      <c r="B79" s="551">
        <v>753</v>
      </c>
      <c r="C79" s="551">
        <v>752</v>
      </c>
      <c r="D79" s="551">
        <v>751</v>
      </c>
      <c r="E79" s="551">
        <v>750</v>
      </c>
      <c r="F79" s="551">
        <v>748</v>
      </c>
      <c r="G79" s="551">
        <v>747</v>
      </c>
      <c r="H79" s="551">
        <v>745</v>
      </c>
      <c r="I79" s="551">
        <v>743</v>
      </c>
      <c r="J79" s="551">
        <v>741</v>
      </c>
      <c r="K79" s="554">
        <v>739</v>
      </c>
    </row>
    <row r="80" spans="1:26">
      <c r="A80" s="553">
        <v>2.6</v>
      </c>
      <c r="B80" s="551">
        <v>766</v>
      </c>
      <c r="C80" s="551">
        <v>765</v>
      </c>
      <c r="D80" s="551">
        <v>764</v>
      </c>
      <c r="E80" s="551">
        <v>763</v>
      </c>
      <c r="F80" s="551">
        <v>762</v>
      </c>
      <c r="G80" s="551">
        <v>760</v>
      </c>
      <c r="H80" s="551">
        <v>758</v>
      </c>
      <c r="I80" s="551">
        <v>757</v>
      </c>
      <c r="J80" s="551">
        <v>755</v>
      </c>
      <c r="K80" s="554">
        <v>753</v>
      </c>
    </row>
    <row r="81" spans="1:20">
      <c r="A81" s="553">
        <v>2.7</v>
      </c>
      <c r="B81" s="551">
        <v>777</v>
      </c>
      <c r="C81" s="551">
        <v>777</v>
      </c>
      <c r="D81" s="551">
        <v>776</v>
      </c>
      <c r="E81" s="551">
        <v>775</v>
      </c>
      <c r="F81" s="551">
        <v>774</v>
      </c>
      <c r="G81" s="551">
        <v>773</v>
      </c>
      <c r="H81" s="551">
        <v>771</v>
      </c>
      <c r="I81" s="551">
        <v>770</v>
      </c>
      <c r="J81" s="551">
        <v>768</v>
      </c>
      <c r="K81" s="554">
        <v>766</v>
      </c>
    </row>
    <row r="82" spans="1:20">
      <c r="A82" s="553">
        <v>2.8</v>
      </c>
      <c r="B82" s="551">
        <v>788</v>
      </c>
      <c r="C82" s="551">
        <v>788</v>
      </c>
      <c r="D82" s="551">
        <v>787</v>
      </c>
      <c r="E82" s="551">
        <v>787</v>
      </c>
      <c r="F82" s="551">
        <v>786</v>
      </c>
      <c r="G82" s="551">
        <v>785</v>
      </c>
      <c r="H82" s="551">
        <v>783</v>
      </c>
      <c r="I82" s="551">
        <v>782</v>
      </c>
      <c r="J82" s="551">
        <v>780</v>
      </c>
      <c r="K82" s="554">
        <v>779</v>
      </c>
    </row>
    <row r="83" spans="1:20">
      <c r="A83" s="553">
        <v>2.9</v>
      </c>
      <c r="B83" s="551">
        <v>799</v>
      </c>
      <c r="C83" s="551">
        <v>799</v>
      </c>
      <c r="D83" s="551">
        <v>798</v>
      </c>
      <c r="E83" s="551">
        <v>798</v>
      </c>
      <c r="F83" s="551">
        <v>797</v>
      </c>
      <c r="G83" s="551">
        <v>796</v>
      </c>
      <c r="H83" s="551">
        <v>795</v>
      </c>
      <c r="I83" s="551">
        <v>794</v>
      </c>
      <c r="J83" s="551">
        <v>792</v>
      </c>
      <c r="K83" s="554">
        <v>791</v>
      </c>
    </row>
    <row r="84" spans="1:20">
      <c r="A84" s="553">
        <v>3</v>
      </c>
      <c r="B84" s="551">
        <v>809</v>
      </c>
      <c r="C84" s="551">
        <v>808</v>
      </c>
      <c r="D84" s="551">
        <v>808</v>
      </c>
      <c r="E84" s="551">
        <v>807</v>
      </c>
      <c r="F84" s="551">
        <v>807</v>
      </c>
      <c r="G84" s="551">
        <v>806</v>
      </c>
      <c r="H84" s="551">
        <v>805</v>
      </c>
      <c r="I84" s="551">
        <v>804</v>
      </c>
      <c r="J84" s="551">
        <v>803</v>
      </c>
      <c r="K84" s="554">
        <v>802</v>
      </c>
    </row>
    <row r="85" spans="1:20">
      <c r="A85" s="553">
        <v>3.1</v>
      </c>
      <c r="B85" s="551">
        <v>818</v>
      </c>
      <c r="C85" s="551">
        <v>818</v>
      </c>
      <c r="D85" s="551">
        <v>818</v>
      </c>
      <c r="E85" s="551">
        <v>817</v>
      </c>
      <c r="F85" s="551">
        <v>817</v>
      </c>
      <c r="G85" s="551">
        <v>816</v>
      </c>
      <c r="H85" s="551">
        <v>815</v>
      </c>
      <c r="I85" s="551">
        <v>814</v>
      </c>
      <c r="J85" s="551">
        <v>813</v>
      </c>
      <c r="K85" s="554">
        <v>812</v>
      </c>
    </row>
    <row r="86" spans="1:20">
      <c r="A86" s="553">
        <v>3.2</v>
      </c>
      <c r="B86" s="551">
        <v>827</v>
      </c>
      <c r="C86" s="551">
        <v>827</v>
      </c>
      <c r="D86" s="551">
        <v>827</v>
      </c>
      <c r="E86" s="551">
        <v>826</v>
      </c>
      <c r="F86" s="551">
        <v>826</v>
      </c>
      <c r="G86" s="551">
        <v>825</v>
      </c>
      <c r="H86" s="551">
        <v>824</v>
      </c>
      <c r="I86" s="551">
        <v>824</v>
      </c>
      <c r="J86" s="551">
        <v>823</v>
      </c>
      <c r="K86" s="554">
        <v>822</v>
      </c>
    </row>
    <row r="87" spans="1:20">
      <c r="A87" s="553">
        <v>3.3</v>
      </c>
      <c r="B87" s="551">
        <v>836</v>
      </c>
      <c r="C87" s="551">
        <v>836</v>
      </c>
      <c r="D87" s="551">
        <v>835</v>
      </c>
      <c r="E87" s="551">
        <v>835</v>
      </c>
      <c r="F87" s="551">
        <v>834</v>
      </c>
      <c r="G87" s="551">
        <v>834</v>
      </c>
      <c r="H87" s="551">
        <v>833</v>
      </c>
      <c r="I87" s="551">
        <v>833</v>
      </c>
      <c r="J87" s="551">
        <v>832</v>
      </c>
      <c r="K87" s="554">
        <v>831</v>
      </c>
    </row>
    <row r="88" spans="1:20">
      <c r="A88" s="553">
        <v>3.4</v>
      </c>
      <c r="B88" s="551">
        <v>843</v>
      </c>
      <c r="C88" s="551">
        <v>844</v>
      </c>
      <c r="D88" s="551">
        <v>844</v>
      </c>
      <c r="E88" s="551">
        <v>843</v>
      </c>
      <c r="F88" s="551">
        <v>843</v>
      </c>
      <c r="G88" s="551">
        <v>842</v>
      </c>
      <c r="H88" s="551">
        <v>842</v>
      </c>
      <c r="I88" s="551">
        <v>841</v>
      </c>
      <c r="J88" s="551">
        <v>840</v>
      </c>
      <c r="K88" s="554">
        <v>840</v>
      </c>
    </row>
    <row r="89" spans="1:20">
      <c r="A89" s="553">
        <v>3.5</v>
      </c>
      <c r="B89" s="551">
        <v>849</v>
      </c>
      <c r="C89" s="551">
        <v>851</v>
      </c>
      <c r="D89" s="551">
        <v>852</v>
      </c>
      <c r="E89" s="551">
        <v>851</v>
      </c>
      <c r="F89" s="551">
        <v>851</v>
      </c>
      <c r="G89" s="551">
        <v>850</v>
      </c>
      <c r="H89" s="551">
        <v>850</v>
      </c>
      <c r="I89" s="551">
        <v>849</v>
      </c>
      <c r="J89" s="551">
        <v>848</v>
      </c>
      <c r="K89" s="554">
        <v>848</v>
      </c>
    </row>
    <row r="90" spans="1:20">
      <c r="A90" s="553">
        <v>3.6</v>
      </c>
      <c r="B90" s="551">
        <v>854</v>
      </c>
      <c r="C90" s="551">
        <v>858</v>
      </c>
      <c r="D90" s="551">
        <v>859</v>
      </c>
      <c r="E90" s="551">
        <v>859</v>
      </c>
      <c r="F90" s="551">
        <v>859</v>
      </c>
      <c r="G90" s="551">
        <v>858</v>
      </c>
      <c r="H90" s="551">
        <v>857</v>
      </c>
      <c r="I90" s="551">
        <v>857</v>
      </c>
      <c r="J90" s="551">
        <v>856</v>
      </c>
      <c r="K90" s="554">
        <v>856</v>
      </c>
    </row>
    <row r="91" spans="1:20">
      <c r="A91" s="553">
        <v>3.7</v>
      </c>
      <c r="B91" s="551">
        <v>858</v>
      </c>
      <c r="C91" s="551">
        <v>863</v>
      </c>
      <c r="D91" s="551">
        <v>865</v>
      </c>
      <c r="E91" s="551">
        <v>866</v>
      </c>
      <c r="F91" s="551">
        <v>866</v>
      </c>
      <c r="G91" s="551">
        <v>865</v>
      </c>
      <c r="H91" s="551">
        <v>865</v>
      </c>
      <c r="I91" s="551">
        <v>864</v>
      </c>
      <c r="J91" s="551">
        <v>864</v>
      </c>
      <c r="K91" s="554">
        <v>863</v>
      </c>
    </row>
    <row r="92" spans="1:20">
      <c r="A92" s="553">
        <v>3.8</v>
      </c>
      <c r="B92" s="551">
        <v>862</v>
      </c>
      <c r="C92" s="551">
        <v>867</v>
      </c>
      <c r="D92" s="551">
        <v>871</v>
      </c>
      <c r="E92" s="551">
        <v>873</v>
      </c>
      <c r="F92" s="551">
        <v>873</v>
      </c>
      <c r="G92" s="551">
        <v>872</v>
      </c>
      <c r="H92" s="551">
        <v>872</v>
      </c>
      <c r="I92" s="551">
        <v>871</v>
      </c>
      <c r="J92" s="551">
        <v>871</v>
      </c>
      <c r="K92" s="554">
        <v>870</v>
      </c>
    </row>
    <row r="93" spans="1:20">
      <c r="A93" s="553">
        <v>3.9</v>
      </c>
      <c r="B93" s="551">
        <v>865</v>
      </c>
      <c r="C93" s="551">
        <v>871</v>
      </c>
      <c r="D93" s="551">
        <v>876</v>
      </c>
      <c r="E93" s="551">
        <v>878</v>
      </c>
      <c r="F93" s="551">
        <v>879</v>
      </c>
      <c r="G93" s="551">
        <v>879</v>
      </c>
      <c r="H93" s="551">
        <v>879</v>
      </c>
      <c r="I93" s="551">
        <v>878</v>
      </c>
      <c r="J93" s="551">
        <v>877</v>
      </c>
      <c r="K93" s="554">
        <v>877</v>
      </c>
    </row>
    <row r="94" spans="1:20" ht="16.5" thickBot="1">
      <c r="A94" s="555">
        <v>4</v>
      </c>
      <c r="B94" s="556">
        <v>868</v>
      </c>
      <c r="C94" s="556">
        <v>875</v>
      </c>
      <c r="D94" s="556">
        <v>880</v>
      </c>
      <c r="E94" s="556">
        <v>883</v>
      </c>
      <c r="F94" s="556">
        <v>885</v>
      </c>
      <c r="G94" s="556">
        <v>885</v>
      </c>
      <c r="H94" s="556">
        <v>885</v>
      </c>
      <c r="I94" s="556">
        <v>885</v>
      </c>
      <c r="J94" s="556">
        <v>884</v>
      </c>
      <c r="K94" s="557">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50">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50">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50">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v>34</v>
      </c>
      <c r="G101" s="117">
        <f>Sheet2!H23/Sheet2!B23</f>
        <v>0</v>
      </c>
      <c r="H101" s="117">
        <f>Sheet2!I23</f>
        <v>0</v>
      </c>
      <c r="J101" s="117">
        <f>Sheet2!A29</f>
        <v>34</v>
      </c>
      <c r="K101" s="117">
        <f>Sheet2!H29/Sheet2!B29</f>
        <v>0</v>
      </c>
      <c r="L101" s="117">
        <f>Sheet2!I29</f>
        <v>0</v>
      </c>
      <c r="N101" s="117">
        <f>Sheet2!A35</f>
        <v>45</v>
      </c>
      <c r="O101" s="117">
        <f>Sheet2!H35/Sheet2!B35</f>
        <v>0</v>
      </c>
      <c r="P101" s="550">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v>36</v>
      </c>
      <c r="G102" s="117">
        <f>Sheet2!H24/Sheet2!B24</f>
        <v>0</v>
      </c>
      <c r="H102" s="117">
        <f>Sheet2!I24</f>
        <v>0</v>
      </c>
      <c r="J102" s="117">
        <f>Sheet2!A30</f>
        <v>36</v>
      </c>
      <c r="K102" s="117">
        <f>Sheet2!H30/Sheet2!B30</f>
        <v>0</v>
      </c>
      <c r="L102" s="117">
        <f>Sheet2!I30</f>
        <v>0</v>
      </c>
      <c r="N102" s="117">
        <f>Sheet2!A36</f>
        <v>46</v>
      </c>
      <c r="O102" s="117">
        <f>Sheet2!H36/Sheet2!B36</f>
        <v>0</v>
      </c>
      <c r="P102" s="550">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v>38</v>
      </c>
      <c r="G103" s="117">
        <f>Sheet2!H25/Sheet2!B25</f>
        <v>0</v>
      </c>
      <c r="H103" s="117">
        <f>Sheet2!I25</f>
        <v>0</v>
      </c>
      <c r="J103" s="117">
        <f>Sheet2!A31</f>
        <v>38</v>
      </c>
      <c r="K103" s="117">
        <f>Sheet2!H31/Sheet2!B31</f>
        <v>0</v>
      </c>
      <c r="L103" s="117">
        <f>Sheet2!I31</f>
        <v>0</v>
      </c>
      <c r="N103" s="117">
        <f>Sheet2!A37</f>
        <v>48</v>
      </c>
      <c r="O103" s="117">
        <f>Sheet2!H37/Sheet2!B37</f>
        <v>0</v>
      </c>
      <c r="P103" s="550">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50">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50">
        <f>Sheet2!J4</f>
        <v>0</v>
      </c>
      <c r="D112" s="117" t="str">
        <f>E98</f>
        <v>W/Ag</v>
      </c>
      <c r="E112" s="117">
        <f>Sheet2!A20</f>
        <v>28</v>
      </c>
      <c r="F112" s="550">
        <f>Sheet2!J20</f>
        <v>0</v>
      </c>
      <c r="G112" s="117" t="str">
        <f>I98</f>
        <v>W/Al</v>
      </c>
      <c r="H112" s="117">
        <f>Sheet2!A26</f>
        <v>28</v>
      </c>
      <c r="I112" s="550">
        <f>Sheet2!J26</f>
        <v>0</v>
      </c>
      <c r="J112" s="117" t="str">
        <f>M98</f>
        <v>W/Cu</v>
      </c>
      <c r="K112" s="117">
        <f>Sheet2!A32</f>
        <v>40</v>
      </c>
      <c r="L112" s="550">
        <f>Sheet2!J32</f>
        <v>0</v>
      </c>
      <c r="T112" s="117" t="s">
        <v>572</v>
      </c>
      <c r="U112" s="117" t="s">
        <v>572</v>
      </c>
      <c r="V112" s="117" t="s">
        <v>572</v>
      </c>
      <c r="W112" s="117" t="s">
        <v>572</v>
      </c>
      <c r="X112" s="117" t="s">
        <v>572</v>
      </c>
      <c r="Y112" s="117" t="s">
        <v>572</v>
      </c>
    </row>
    <row r="113" spans="1:25">
      <c r="A113" s="117" t="s">
        <v>233</v>
      </c>
      <c r="B113" s="117">
        <f>Sheet2!A5</f>
        <v>25</v>
      </c>
      <c r="C113" s="550">
        <f>Sheet2!J5</f>
        <v>0</v>
      </c>
      <c r="D113" s="117" t="s">
        <v>233</v>
      </c>
      <c r="E113" s="117">
        <f>Sheet2!A21</f>
        <v>30</v>
      </c>
      <c r="F113" s="550">
        <f>Sheet2!J21</f>
        <v>0</v>
      </c>
      <c r="G113" s="117" t="s">
        <v>233</v>
      </c>
      <c r="H113" s="117">
        <f>Sheet2!A27</f>
        <v>30</v>
      </c>
      <c r="I113" s="550">
        <f>Sheet2!J27</f>
        <v>0</v>
      </c>
      <c r="J113" s="117" t="s">
        <v>233</v>
      </c>
      <c r="K113" s="117">
        <f>Sheet2!A33</f>
        <v>42</v>
      </c>
      <c r="L113" s="550">
        <f>Sheet2!J33</f>
        <v>0</v>
      </c>
      <c r="M113" s="550"/>
      <c r="T113" s="117" t="s">
        <v>572</v>
      </c>
      <c r="U113" s="117" t="s">
        <v>572</v>
      </c>
      <c r="V113" s="117" t="s">
        <v>572</v>
      </c>
      <c r="W113" s="117" t="s">
        <v>572</v>
      </c>
      <c r="X113" s="117" t="s">
        <v>572</v>
      </c>
      <c r="Y113" s="117" t="s">
        <v>572</v>
      </c>
    </row>
    <row r="114" spans="1:25">
      <c r="A114" s="117" t="str">
        <f>A100</f>
        <v>Rh</v>
      </c>
      <c r="B114" s="117">
        <f>Sheet2!A6</f>
        <v>26</v>
      </c>
      <c r="C114" s="550">
        <f>Sheet2!J6</f>
        <v>0</v>
      </c>
      <c r="D114" s="117" t="str">
        <f>E100</f>
        <v>Ag</v>
      </c>
      <c r="E114" s="117">
        <f>Sheet2!A22</f>
        <v>32</v>
      </c>
      <c r="F114" s="550">
        <f>Sheet2!J22</f>
        <v>0</v>
      </c>
      <c r="G114" s="117" t="str">
        <f>I100</f>
        <v>Al</v>
      </c>
      <c r="H114" s="117">
        <f>Sheet2!A28</f>
        <v>32</v>
      </c>
      <c r="I114" s="550">
        <f>Sheet2!J28</f>
        <v>0</v>
      </c>
      <c r="J114" s="117" t="str">
        <f>M100</f>
        <v>Cu</v>
      </c>
      <c r="K114" s="117">
        <f>Sheet2!A34</f>
        <v>44</v>
      </c>
      <c r="L114" s="550">
        <f>Sheet2!J34</f>
        <v>0</v>
      </c>
      <c r="T114" s="117" t="s">
        <v>572</v>
      </c>
      <c r="U114" s="117" t="s">
        <v>572</v>
      </c>
      <c r="V114" s="117" t="s">
        <v>572</v>
      </c>
      <c r="W114" s="117" t="s">
        <v>572</v>
      </c>
      <c r="X114" s="117" t="s">
        <v>572</v>
      </c>
      <c r="Y114" s="117" t="s">
        <v>572</v>
      </c>
    </row>
    <row r="115" spans="1:25">
      <c r="B115" s="117">
        <f>Sheet2!A8</f>
        <v>28</v>
      </c>
      <c r="C115" s="550" t="e">
        <f>AVERAGE(Sheet2!J7:J14)</f>
        <v>#DIV/0!</v>
      </c>
      <c r="E115" s="117">
        <f>Sheet2!A23</f>
        <v>34</v>
      </c>
      <c r="F115" s="550">
        <f>Sheet2!J23</f>
        <v>0</v>
      </c>
      <c r="H115" s="117">
        <f>Sheet2!A29</f>
        <v>34</v>
      </c>
      <c r="I115" s="550">
        <f>Sheet2!J29</f>
        <v>0</v>
      </c>
      <c r="K115" s="117">
        <f>Sheet2!A35</f>
        <v>45</v>
      </c>
      <c r="L115" s="550">
        <f>Sheet2!J35</f>
        <v>0</v>
      </c>
      <c r="T115" s="117" t="s">
        <v>572</v>
      </c>
      <c r="U115" s="117" t="s">
        <v>572</v>
      </c>
      <c r="V115" s="117" t="s">
        <v>572</v>
      </c>
      <c r="W115" s="117" t="s">
        <v>572</v>
      </c>
      <c r="X115" s="117" t="s">
        <v>572</v>
      </c>
      <c r="Y115" s="117" t="s">
        <v>572</v>
      </c>
    </row>
    <row r="116" spans="1:25">
      <c r="B116" s="117">
        <f>Sheet2!A15</f>
        <v>30</v>
      </c>
      <c r="C116" s="550">
        <f>Sheet2!J15</f>
        <v>0</v>
      </c>
      <c r="E116" s="117">
        <f>Sheet2!A24</f>
        <v>36</v>
      </c>
      <c r="F116" s="550">
        <f>Sheet2!J24</f>
        <v>0</v>
      </c>
      <c r="H116" s="117">
        <f>Sheet2!A30</f>
        <v>36</v>
      </c>
      <c r="I116" s="550">
        <f>Sheet2!J30</f>
        <v>0</v>
      </c>
      <c r="K116" s="117">
        <f>Sheet2!A36</f>
        <v>46</v>
      </c>
      <c r="L116" s="550">
        <f>Sheet2!J36</f>
        <v>0</v>
      </c>
      <c r="T116" s="117" t="s">
        <v>572</v>
      </c>
      <c r="U116" s="117" t="s">
        <v>572</v>
      </c>
      <c r="V116" s="117" t="s">
        <v>572</v>
      </c>
      <c r="W116" s="117" t="s">
        <v>572</v>
      </c>
      <c r="X116" s="117" t="s">
        <v>572</v>
      </c>
      <c r="Y116" s="117" t="s">
        <v>572</v>
      </c>
    </row>
    <row r="117" spans="1:25">
      <c r="B117" s="117">
        <f>Sheet2!A16</f>
        <v>32</v>
      </c>
      <c r="C117" s="550">
        <f>Sheet2!J16</f>
        <v>0</v>
      </c>
      <c r="E117" s="117">
        <f>Sheet2!A25</f>
        <v>38</v>
      </c>
      <c r="F117" s="550">
        <f>Sheet2!J25</f>
        <v>0</v>
      </c>
      <c r="H117" s="117">
        <f>Sheet2!A31</f>
        <v>38</v>
      </c>
      <c r="I117" s="550">
        <f>Sheet2!J31</f>
        <v>0</v>
      </c>
      <c r="K117" s="117">
        <f>Sheet2!A37</f>
        <v>48</v>
      </c>
      <c r="L117" s="550">
        <f>Sheet2!J37</f>
        <v>0</v>
      </c>
    </row>
    <row r="118" spans="1:25">
      <c r="B118" s="117">
        <f>Sheet2!A17</f>
        <v>34</v>
      </c>
      <c r="C118" s="550">
        <f>Sheet2!J17</f>
        <v>0</v>
      </c>
      <c r="F118" s="550"/>
      <c r="I118" s="550"/>
      <c r="K118" s="117">
        <f>Sheet2!A38</f>
        <v>49</v>
      </c>
      <c r="L118" s="550">
        <f>Sheet2!J38</f>
        <v>0</v>
      </c>
    </row>
    <row r="119" spans="1:25">
      <c r="B119" s="117">
        <f>Sheet2!A18</f>
        <v>36</v>
      </c>
      <c r="C119" s="550">
        <f>Sheet2!J18</f>
        <v>0</v>
      </c>
      <c r="F119" s="550"/>
      <c r="I119" s="550"/>
    </row>
    <row r="120" spans="1:25">
      <c r="B120" s="117">
        <f>Sheet2!A19</f>
        <v>38</v>
      </c>
      <c r="C120" s="550">
        <f>Sheet2!J19</f>
        <v>0</v>
      </c>
      <c r="F120" s="550"/>
      <c r="I120" s="550"/>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80" t="s">
        <v>390</v>
      </c>
      <c r="B124" s="480" t="s">
        <v>233</v>
      </c>
      <c r="C124" s="480" t="s">
        <v>579</v>
      </c>
      <c r="E124" s="117" t="s">
        <v>580</v>
      </c>
      <c r="F124" s="117" t="s">
        <v>581</v>
      </c>
      <c r="T124" s="117" t="s">
        <v>572</v>
      </c>
      <c r="U124" s="117" t="s">
        <v>572</v>
      </c>
      <c r="V124" s="117" t="s">
        <v>572</v>
      </c>
      <c r="W124" s="117" t="s">
        <v>572</v>
      </c>
      <c r="X124" s="117" t="s">
        <v>572</v>
      </c>
      <c r="Y124" s="117" t="s">
        <v>572</v>
      </c>
    </row>
    <row r="125" spans="1:25">
      <c r="A125" s="480" t="s">
        <v>582</v>
      </c>
      <c r="B125" s="480" t="s">
        <v>582</v>
      </c>
      <c r="C125" s="480">
        <v>0.12</v>
      </c>
      <c r="F125" s="117" t="s">
        <v>583</v>
      </c>
      <c r="T125" s="117" t="s">
        <v>572</v>
      </c>
      <c r="U125" s="117" t="s">
        <v>572</v>
      </c>
      <c r="V125" s="117" t="s">
        <v>572</v>
      </c>
      <c r="W125" s="117" t="s">
        <v>572</v>
      </c>
      <c r="X125" s="117" t="s">
        <v>572</v>
      </c>
      <c r="Y125" s="117" t="s">
        <v>572</v>
      </c>
    </row>
    <row r="126" spans="1:25">
      <c r="A126" s="480" t="s">
        <v>582</v>
      </c>
      <c r="B126" s="480" t="s">
        <v>584</v>
      </c>
      <c r="C126" s="480">
        <v>0.19</v>
      </c>
      <c r="F126" s="117" t="s">
        <v>585</v>
      </c>
      <c r="T126" s="117" t="s">
        <v>572</v>
      </c>
      <c r="U126" s="117" t="s">
        <v>572</v>
      </c>
      <c r="V126" s="117" t="s">
        <v>572</v>
      </c>
      <c r="W126" s="117" t="s">
        <v>572</v>
      </c>
      <c r="X126" s="117" t="s">
        <v>572</v>
      </c>
      <c r="Y126" s="117" t="s">
        <v>572</v>
      </c>
    </row>
    <row r="127" spans="1:25">
      <c r="A127" s="480" t="s">
        <v>584</v>
      </c>
      <c r="B127" s="480" t="s">
        <v>584</v>
      </c>
      <c r="C127" s="480">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7" t="s">
        <v>424</v>
      </c>
      <c r="H129" s="687"/>
      <c r="I129" s="687"/>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812</v>
      </c>
      <c r="T130" s="117" t="s">
        <v>572</v>
      </c>
      <c r="U130" s="117" t="s">
        <v>572</v>
      </c>
      <c r="V130" s="117" t="s">
        <v>572</v>
      </c>
      <c r="W130" s="117" t="s">
        <v>572</v>
      </c>
      <c r="X130" s="117" t="s">
        <v>572</v>
      </c>
      <c r="Y130" s="117" t="s">
        <v>572</v>
      </c>
    </row>
    <row r="131" spans="1:25">
      <c r="A131" s="117" t="e">
        <f>IF(ISERR(Sheet1!$T$292),"TBD",VLOOKUP(Sheet1!$X$295,A3:J23,MATCH(Sheet1!$T$292,A3:J3,0)))</f>
        <v>#DIV/0!</v>
      </c>
      <c r="B131" s="117" t="e">
        <f>IF(ISERR(Sheet1!$T$292),"TBD",VLOOKUP(Sheet1!$X$295,K3:T23,MATCH(Sheet1!$T$292,K3:T3,0)))</f>
        <v>#DIV/0!</v>
      </c>
      <c r="C131" s="117" t="e">
        <f>IF(ISERR(Sheet1!$T$292),"TBD",VLOOKUP(Sheet1!$X$295,U3:AD23,MATCH(Sheet1!$T$292,U3:AD3,0)))</f>
        <v>#DIV/0!</v>
      </c>
      <c r="D131" s="117" t="str">
        <f>IF(ISERR(Sheet1!$X$295),"TBD",VLOOKUP(Sheet1!$X$295,A27:M48,MATCH(Sheet1!$T$292,A27:M27,0)))</f>
        <v>TBD</v>
      </c>
      <c r="E131" s="117" t="str">
        <f>IF(ISERR(Sheet1!$X$295),"TBD",VLOOKUP(Sheet1!$X$295,N27:AA48,MATCH(Sheet1!$T$292,N27:AA27,0)))</f>
        <v>TBD</v>
      </c>
      <c r="F131" s="117" t="e">
        <f>IF(ISERR(Sheet1!$X$310),"TBD",VLOOKUP(Sheet1!$X$310,A52:Z69,MATCH(Sheet1!$T$307,A52:Z52,0)))</f>
        <v>#N/A</v>
      </c>
      <c r="G131" s="117" t="str">
        <f>IF(ISERR(Sheet1!$X$330),"TBD",VLOOKUP(Sheet1!$X$330,A27:M48,MATCH(Sheet1!$T$327,A27:M27,0)))</f>
        <v>TBD</v>
      </c>
      <c r="H131" s="117" t="str">
        <f>IF(ISERR(Sheet1!$X$330),"TBD",VLOOKUP(Sheet1!$X$330,N27:AA48,MATCH(Sheet1!$T$327,N27:AA27,0)))</f>
        <v>TBD</v>
      </c>
      <c r="I131" s="117" t="e">
        <f>IF(ISERR(Sheet1!$X$342),"TBD",VLOOKUP(Sheet1!$X$342,A52:Z69,MATCH(Sheet1!$T$339,A52:Z52,0)))</f>
        <v>#N/A</v>
      </c>
      <c r="J131" s="117" t="e">
        <f>IF(ISERR(Sheet1!$X$371),"TBD",VLOOKUP(Sheet1!$X$371,A73:K94,MATCH(Sheet1!$T$368,B73:K73,0)))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7" t="s">
        <v>680</v>
      </c>
      <c r="C215" s="687"/>
      <c r="E215" s="687" t="s">
        <v>681</v>
      </c>
      <c r="F215" s="687"/>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4.25"/>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4.25"/>
  <cols>
    <col min="1" max="23" width="8.2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4.25"/>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21" t="s">
        <v>705</v>
      </c>
    </row>
    <row r="28" spans="1:1">
      <c r="A28" s="521" t="s">
        <v>832</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20</vt:i4>
      </vt:variant>
    </vt:vector>
  </HeadingPairs>
  <TitlesOfParts>
    <vt:vector size="31"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2025-11-18T13:45:26Z</dcterms:modified>
</cp:coreProperties>
</file>