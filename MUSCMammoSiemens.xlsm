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MQSA Requirements" sheetId="12" r:id="rId3"/>
    <sheet name="Sheet1" sheetId="1" r:id="rId4"/>
    <sheet name="HVL Processing" sheetId="11" r:id="rId5"/>
    <sheet name="Tables" sheetId="4" r:id="rId6"/>
    <sheet name="Corrected kV" sheetId="5" r:id="rId7"/>
    <sheet name="dropdowns" sheetId="10" r:id="rId8"/>
  </sheets>
  <definedNames>
    <definedName name="_xlnm._FilterDatabase" localSheetId="7" hidden="1">dropdowns!#REF!</definedName>
    <definedName name="ESE">Sheet1!$X$263</definedName>
    <definedName name="FiberLst">dropdowns!$A$11:$A$22</definedName>
    <definedName name="MGD">Sheet1!$X$265</definedName>
    <definedName name="NA">dropdowns!$A$6:$A$8</definedName>
    <definedName name="PF">dropdowns!$A$2:$A$3</definedName>
    <definedName name="_xlnm.Print_Area" localSheetId="2">'MQSA Requirements'!$A$1:$E$40</definedName>
    <definedName name="_xlnm.Print_Area" localSheetId="0">'QC Test Summary-Siemens'!$A$1:$N$58</definedName>
    <definedName name="_xlnm.Print_Area" localSheetId="3">Sheet1!$B$1:$M$504</definedName>
    <definedName name="_xlnm.Print_Area" localSheetId="1">'Tech QC Eval-Siemens'!$A$1:$K$29</definedName>
    <definedName name="Siemens_Models">dropdowns!#REF!</definedName>
    <definedName name="SpeckMassLst">dropdowns!$A$13:$A$22</definedName>
  </definedNames>
  <calcPr calcId="152511" iterateCount="1"/>
</workbook>
</file>

<file path=xl/calcChain.xml><?xml version="1.0" encoding="utf-8"?>
<calcChain xmlns="http://schemas.openxmlformats.org/spreadsheetml/2006/main">
  <c r="B6" i="12" l="1"/>
  <c r="E7" i="12"/>
  <c r="E6" i="12"/>
  <c r="E5" i="12"/>
  <c r="E4" i="12"/>
  <c r="B5" i="12"/>
  <c r="B4" i="12"/>
  <c r="B3" i="12"/>
  <c r="C4" i="8"/>
  <c r="G281" i="1" l="1"/>
  <c r="G280" i="1"/>
  <c r="G279" i="1"/>
  <c r="L185" i="1"/>
  <c r="I185" i="1"/>
  <c r="L181" i="1"/>
  <c r="X175" i="1"/>
  <c r="L138" i="1" l="1"/>
  <c r="L137" i="1"/>
  <c r="L136" i="1"/>
  <c r="O85" i="1"/>
  <c r="S297" i="1" l="1"/>
  <c r="X299" i="1"/>
  <c r="X288" i="1"/>
  <c r="X269" i="1"/>
  <c r="L41" i="8" l="1"/>
  <c r="L40" i="8"/>
  <c r="L39" i="8"/>
  <c r="Y402" i="1" l="1"/>
  <c r="X402" i="1"/>
  <c r="U27" i="11" l="1"/>
  <c r="U19" i="11"/>
  <c r="U11" i="11"/>
  <c r="U3" i="11"/>
  <c r="U175" i="1" l="1"/>
  <c r="X296" i="1"/>
  <c r="X285" i="1"/>
  <c r="Q305" i="1"/>
  <c r="Q304" i="1"/>
  <c r="K280" i="1" s="1"/>
  <c r="X264" i="1" l="1"/>
  <c r="N56" i="4"/>
  <c r="N55" i="4"/>
  <c r="N54" i="4"/>
  <c r="N53" i="4"/>
  <c r="Q319" i="1" l="1"/>
  <c r="D417" i="1" l="1"/>
  <c r="D410" i="1"/>
  <c r="J384" i="1"/>
  <c r="J383" i="1"/>
  <c r="E425" i="1"/>
  <c r="C429" i="1"/>
  <c r="C428" i="1"/>
  <c r="C427" i="1"/>
  <c r="K281" i="1"/>
  <c r="J277" i="1"/>
  <c r="S298" i="1" l="1"/>
  <c r="R297" i="1"/>
  <c r="R298" i="1" s="1"/>
  <c r="Q297" i="1"/>
  <c r="T296" i="1"/>
  <c r="T295" i="1"/>
  <c r="T294" i="1"/>
  <c r="T293" i="1"/>
  <c r="S286" i="1"/>
  <c r="S287" i="1" s="1"/>
  <c r="R286" i="1"/>
  <c r="R287" i="1" s="1"/>
  <c r="Q286" i="1"/>
  <c r="T285" i="1"/>
  <c r="T284" i="1"/>
  <c r="T283" i="1"/>
  <c r="T282" i="1"/>
  <c r="Q298" i="1" l="1"/>
  <c r="R305" i="1"/>
  <c r="L281" i="1" s="1"/>
  <c r="Q287" i="1"/>
  <c r="R304" i="1"/>
  <c r="L280" i="1" s="1"/>
  <c r="T286" i="1"/>
  <c r="T287" i="1" s="1"/>
  <c r="T297" i="1"/>
  <c r="T298" i="1" s="1"/>
  <c r="S360" i="1"/>
  <c r="R360" i="1"/>
  <c r="Q360" i="1"/>
  <c r="P360" i="1"/>
  <c r="Q344" i="1" l="1"/>
  <c r="P344" i="1"/>
  <c r="R344" i="1" s="1"/>
  <c r="X219" i="1"/>
  <c r="X218" i="1"/>
  <c r="X220" i="1" s="1"/>
  <c r="AD129" i="1" l="1"/>
  <c r="AD128" i="1"/>
  <c r="AD127" i="1"/>
  <c r="AD126" i="1"/>
  <c r="AD125" i="1"/>
  <c r="AD124" i="1"/>
  <c r="Q351" i="1"/>
  <c r="O61" i="1"/>
  <c r="D416" i="1" l="1"/>
  <c r="D415" i="1"/>
  <c r="S422" i="1"/>
  <c r="S421" i="1"/>
  <c r="S419" i="1"/>
  <c r="R422" i="1"/>
  <c r="R421" i="1"/>
  <c r="R419" i="1"/>
  <c r="Q422" i="1"/>
  <c r="Q421" i="1"/>
  <c r="Q419" i="1"/>
  <c r="S387" i="1"/>
  <c r="S386" i="1"/>
  <c r="S385" i="1"/>
  <c r="S384" i="1"/>
  <c r="S381" i="1"/>
  <c r="S380" i="1"/>
  <c r="S379" i="1"/>
  <c r="S378" i="1"/>
  <c r="S377" i="1"/>
  <c r="S376" i="1"/>
  <c r="S374" i="1"/>
  <c r="S372" i="1"/>
  <c r="S371" i="1"/>
  <c r="E27" i="11"/>
  <c r="B78" i="4" s="1"/>
  <c r="E19" i="11"/>
  <c r="B77" i="4" s="1"/>
  <c r="E11" i="11"/>
  <c r="B76" i="4" s="1"/>
  <c r="E3" i="11"/>
  <c r="B75" i="4" s="1"/>
  <c r="S393" i="1"/>
  <c r="Q3" i="11"/>
  <c r="U35" i="11" l="1"/>
  <c r="H78" i="4"/>
  <c r="H77" i="4"/>
  <c r="H76" i="4"/>
  <c r="H75" i="4"/>
  <c r="M27" i="11"/>
  <c r="E78" i="4" s="1"/>
  <c r="M19" i="11"/>
  <c r="E77" i="4" s="1"/>
  <c r="M11" i="11"/>
  <c r="E76" i="4" s="1"/>
  <c r="Y319" i="1"/>
  <c r="Y327" i="1"/>
  <c r="W319" i="1"/>
  <c r="W327" i="1"/>
  <c r="Q327" i="1"/>
  <c r="S319" i="1"/>
  <c r="S327" i="1"/>
  <c r="Y334" i="1" l="1"/>
  <c r="W334" i="1"/>
  <c r="S334" i="1"/>
  <c r="Q334" i="1"/>
  <c r="W348" i="1"/>
  <c r="W347" i="1"/>
  <c r="W346" i="1"/>
  <c r="W345" i="1"/>
  <c r="W344" i="1"/>
  <c r="V348" i="1"/>
  <c r="V347" i="1"/>
  <c r="V346" i="1"/>
  <c r="V345" i="1"/>
  <c r="V344" i="1"/>
  <c r="T348" i="1"/>
  <c r="T347" i="1"/>
  <c r="T346" i="1"/>
  <c r="T345" i="1"/>
  <c r="T344" i="1"/>
  <c r="S348" i="1"/>
  <c r="S347" i="1"/>
  <c r="S346" i="1"/>
  <c r="S345" i="1"/>
  <c r="S344" i="1"/>
  <c r="P348" i="1"/>
  <c r="P347" i="1"/>
  <c r="P346" i="1"/>
  <c r="P345" i="1"/>
  <c r="M3" i="11"/>
  <c r="E75" i="4" s="1"/>
  <c r="B38" i="11"/>
  <c r="C38" i="11" s="1"/>
  <c r="A38" i="11"/>
  <c r="B37" i="11"/>
  <c r="A37" i="11"/>
  <c r="B36" i="11"/>
  <c r="A36" i="11"/>
  <c r="E35" i="11"/>
  <c r="B79" i="4" s="1"/>
  <c r="B35" i="11"/>
  <c r="A30" i="11"/>
  <c r="A29" i="11"/>
  <c r="A28" i="11"/>
  <c r="C37" i="11" l="1"/>
  <c r="U344"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51" i="1"/>
  <c r="AD150" i="1"/>
  <c r="AD149" i="1"/>
  <c r="AD147" i="1"/>
  <c r="AD146" i="1"/>
  <c r="AD145" i="1"/>
  <c r="AD143" i="1"/>
  <c r="AD142" i="1"/>
  <c r="AD141" i="1"/>
  <c r="AD139" i="1"/>
  <c r="AD138" i="1"/>
  <c r="AD137" i="1"/>
  <c r="AD123" i="1"/>
  <c r="AD122" i="1"/>
  <c r="AD121" i="1"/>
  <c r="Q345" i="1"/>
  <c r="R345" i="1" s="1"/>
  <c r="X344" i="1"/>
  <c r="Y359" i="1"/>
  <c r="Y358" i="1"/>
  <c r="Y357" i="1"/>
  <c r="X359" i="1"/>
  <c r="X358" i="1"/>
  <c r="X357" i="1"/>
  <c r="W359" i="1"/>
  <c r="W358" i="1"/>
  <c r="W357" i="1"/>
  <c r="V359" i="1"/>
  <c r="V358" i="1"/>
  <c r="V357" i="1"/>
  <c r="W352" i="1"/>
  <c r="W351" i="1"/>
  <c r="T352" i="1"/>
  <c r="T351" i="1"/>
  <c r="Q352" i="1"/>
  <c r="T315" i="1"/>
  <c r="S315" i="1"/>
  <c r="T314" i="1"/>
  <c r="S314" i="1"/>
  <c r="T313" i="1"/>
  <c r="S313" i="1"/>
  <c r="T276" i="1"/>
  <c r="T275" i="1"/>
  <c r="T274" i="1"/>
  <c r="X348" i="1" l="1"/>
  <c r="W350" i="1" s="1"/>
  <c r="X347" i="1"/>
  <c r="X345" i="1"/>
  <c r="U348" i="1"/>
  <c r="T350" i="1" s="1"/>
  <c r="U347" i="1"/>
  <c r="U345" i="1"/>
  <c r="Q348" i="1"/>
  <c r="R348" i="1" s="1"/>
  <c r="Q350" i="1" s="1"/>
  <c r="Q347" i="1"/>
  <c r="R347" i="1" s="1"/>
  <c r="Q349" i="1" s="1"/>
  <c r="Q346" i="1"/>
  <c r="AD131" i="1" l="1"/>
  <c r="W349" i="1"/>
  <c r="AD134" i="1" s="1"/>
  <c r="T349" i="1"/>
  <c r="E415" i="1" s="1"/>
  <c r="X350" i="1"/>
  <c r="F416" i="1"/>
  <c r="AD135" i="1"/>
  <c r="U350" i="1"/>
  <c r="F415" i="1"/>
  <c r="AD133" i="1"/>
  <c r="R315" i="1"/>
  <c r="F409" i="1" s="1"/>
  <c r="R314" i="1"/>
  <c r="F408" i="1" s="1"/>
  <c r="R313" i="1"/>
  <c r="V276" i="1"/>
  <c r="H281" i="1" s="1"/>
  <c r="V275" i="1"/>
  <c r="H280" i="1" s="1"/>
  <c r="V274" i="1"/>
  <c r="L135" i="1" s="1"/>
  <c r="E416" i="1" l="1"/>
  <c r="AD132" i="1"/>
  <c r="U349" i="1"/>
  <c r="F414" i="1"/>
  <c r="X349" i="1"/>
  <c r="G416" i="1" s="1"/>
  <c r="R350" i="1"/>
  <c r="G415" i="1"/>
  <c r="R349" i="1"/>
  <c r="E414" i="1"/>
  <c r="AD130" i="1"/>
  <c r="F407" i="1"/>
  <c r="M137" i="1"/>
  <c r="M135" i="1"/>
  <c r="H279" i="1"/>
  <c r="G34" i="11"/>
  <c r="G26" i="11"/>
  <c r="D375" i="1"/>
  <c r="F375" i="1"/>
  <c r="E375" i="1"/>
  <c r="S424" i="1"/>
  <c r="F377" i="1" s="1"/>
  <c r="Q424" i="1"/>
  <c r="D377" i="1" s="1"/>
  <c r="P412" i="1"/>
  <c r="P411" i="1"/>
  <c r="P410" i="1"/>
  <c r="P409"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24" i="1"/>
  <c r="E377" i="1" s="1"/>
  <c r="G414" i="1"/>
  <c r="M138" i="1" s="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3" i="1"/>
  <c r="S412" i="1"/>
  <c r="R412" i="1"/>
  <c r="Q412" i="1"/>
  <c r="S411" i="1"/>
  <c r="R411" i="1"/>
  <c r="Q411" i="1"/>
  <c r="S409" i="1"/>
  <c r="R409" i="1"/>
  <c r="Q409" i="1"/>
  <c r="R398" i="1"/>
  <c r="Q398" i="1"/>
  <c r="P398" i="1"/>
  <c r="R397" i="1"/>
  <c r="S397" i="1" s="1"/>
  <c r="Q397" i="1"/>
  <c r="P397" i="1"/>
  <c r="R396" i="1"/>
  <c r="Q396" i="1"/>
  <c r="T396" i="1" s="1"/>
  <c r="P396" i="1"/>
  <c r="R395" i="1"/>
  <c r="S395" i="1" s="1"/>
  <c r="Q395" i="1"/>
  <c r="S392" i="1"/>
  <c r="P395" i="1"/>
  <c r="U374" i="1"/>
  <c r="T374" i="1"/>
  <c r="R374" i="1"/>
  <c r="Q374" i="1"/>
  <c r="S407" i="1"/>
  <c r="W398" i="1"/>
  <c r="V398" i="1"/>
  <c r="U398" i="1"/>
  <c r="W397" i="1"/>
  <c r="X397" i="1" s="1"/>
  <c r="V397" i="1"/>
  <c r="U397" i="1"/>
  <c r="W396" i="1"/>
  <c r="V396" i="1"/>
  <c r="U396" i="1"/>
  <c r="W395" i="1"/>
  <c r="X395" i="1" s="1"/>
  <c r="V395" i="1"/>
  <c r="U395" i="1"/>
  <c r="X393" i="1"/>
  <c r="X392" i="1"/>
  <c r="U388" i="1"/>
  <c r="T388" i="1"/>
  <c r="S388" i="1"/>
  <c r="R388" i="1"/>
  <c r="Q388" i="1"/>
  <c r="U387" i="1"/>
  <c r="T387" i="1"/>
  <c r="R387" i="1"/>
  <c r="Q387" i="1"/>
  <c r="U386" i="1"/>
  <c r="T386" i="1"/>
  <c r="R386" i="1"/>
  <c r="Q386" i="1"/>
  <c r="U385" i="1"/>
  <c r="T385" i="1"/>
  <c r="R385" i="1"/>
  <c r="Q385" i="1"/>
  <c r="U384" i="1"/>
  <c r="T384" i="1"/>
  <c r="R384" i="1"/>
  <c r="Q384" i="1"/>
  <c r="Q383" i="1"/>
  <c r="U383" i="1"/>
  <c r="W383" i="1" s="1"/>
  <c r="T383" i="1"/>
  <c r="S383" i="1"/>
  <c r="X383" i="1" s="1"/>
  <c r="R383" i="1"/>
  <c r="U382" i="1"/>
  <c r="T382" i="1"/>
  <c r="S382" i="1"/>
  <c r="R382" i="1"/>
  <c r="Q382" i="1"/>
  <c r="U381" i="1"/>
  <c r="T381" i="1"/>
  <c r="R381" i="1"/>
  <c r="Q381" i="1"/>
  <c r="U380" i="1"/>
  <c r="T380" i="1"/>
  <c r="R380" i="1"/>
  <c r="Q380" i="1"/>
  <c r="U379" i="1"/>
  <c r="T379" i="1"/>
  <c r="R379" i="1"/>
  <c r="Q379" i="1"/>
  <c r="U378" i="1"/>
  <c r="T378" i="1"/>
  <c r="R378" i="1"/>
  <c r="Q378" i="1"/>
  <c r="U377" i="1"/>
  <c r="V377" i="1" s="1"/>
  <c r="T377" i="1"/>
  <c r="X377" i="1"/>
  <c r="R377" i="1"/>
  <c r="Q377" i="1"/>
  <c r="U376" i="1"/>
  <c r="T376" i="1"/>
  <c r="R376" i="1"/>
  <c r="Q376" i="1"/>
  <c r="U375" i="1"/>
  <c r="T375" i="1"/>
  <c r="S375" i="1"/>
  <c r="R375" i="1"/>
  <c r="Q375" i="1"/>
  <c r="U373" i="1"/>
  <c r="T373" i="1"/>
  <c r="S373" i="1"/>
  <c r="R373" i="1"/>
  <c r="Q373" i="1"/>
  <c r="R372" i="1"/>
  <c r="U372" i="1"/>
  <c r="T372" i="1"/>
  <c r="Q372" i="1"/>
  <c r="U371" i="1"/>
  <c r="W371" i="1" s="1"/>
  <c r="T371" i="1"/>
  <c r="V21" i="1"/>
  <c r="X396" i="1"/>
  <c r="S402" i="1"/>
  <c r="T402" i="1"/>
  <c r="T28" i="11" l="1"/>
  <c r="T32" i="11" s="1"/>
  <c r="U32" i="11" s="1"/>
  <c r="L19" i="11"/>
  <c r="L23" i="11" s="1"/>
  <c r="M23" i="11" s="1"/>
  <c r="L4" i="11"/>
  <c r="L8" i="11" s="1"/>
  <c r="M8" i="11" s="1"/>
  <c r="T20" i="11"/>
  <c r="T24" i="11" s="1"/>
  <c r="U24" i="11" s="1"/>
  <c r="L20" i="11"/>
  <c r="L24" i="11" s="1"/>
  <c r="M24" i="11" s="1"/>
  <c r="T12" i="11"/>
  <c r="T16" i="11" s="1"/>
  <c r="U16" i="11" s="1"/>
  <c r="C20" i="11"/>
  <c r="W377" i="1"/>
  <c r="T397" i="1"/>
  <c r="C21" i="11"/>
  <c r="T4" i="11"/>
  <c r="T8" i="11" s="1"/>
  <c r="U8" i="11" s="1"/>
  <c r="AK88" i="1"/>
  <c r="AK89" i="1"/>
  <c r="X398" i="1"/>
  <c r="X400" i="1" s="1"/>
  <c r="L11" i="11"/>
  <c r="L15" i="11" s="1"/>
  <c r="M15" i="11" s="1"/>
  <c r="T19" i="11"/>
  <c r="T23" i="11" s="1"/>
  <c r="U23" i="11" s="1"/>
  <c r="D4" i="11"/>
  <c r="D8" i="11" s="1"/>
  <c r="E8" i="11" s="1"/>
  <c r="D3" i="11"/>
  <c r="D7" i="11" s="1"/>
  <c r="E7" i="11" s="1"/>
  <c r="Y398" i="1"/>
  <c r="U400" i="1"/>
  <c r="Y396" i="1"/>
  <c r="T398" i="1"/>
  <c r="R400" i="1"/>
  <c r="P400" i="1"/>
  <c r="P399" i="1"/>
  <c r="Q410" i="1" s="1"/>
  <c r="T395" i="1"/>
  <c r="C12" i="11"/>
  <c r="C13" i="1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23" i="1" s="1"/>
  <c r="R425" i="1" s="1"/>
  <c r="C19" i="11"/>
  <c r="V400" i="1"/>
  <c r="W399" i="1"/>
  <c r="V399" i="1"/>
  <c r="U399" i="1"/>
  <c r="U401" i="1" s="1"/>
  <c r="Q400" i="1"/>
  <c r="Q399" i="1"/>
  <c r="V383"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400" i="1"/>
  <c r="S398" i="1"/>
  <c r="Y397" i="1"/>
  <c r="S396" i="1"/>
  <c r="Y395" i="1"/>
  <c r="R399" i="1"/>
  <c r="R401" i="1" s="1"/>
  <c r="M193" i="1"/>
  <c r="L193" i="1"/>
  <c r="K193" i="1"/>
  <c r="M192" i="1"/>
  <c r="L192" i="1"/>
  <c r="K192" i="1"/>
  <c r="M191" i="1"/>
  <c r="L191" i="1"/>
  <c r="K191" i="1"/>
  <c r="M190" i="1"/>
  <c r="L190" i="1"/>
  <c r="K190" i="1"/>
  <c r="M189" i="1"/>
  <c r="L189" i="1"/>
  <c r="K189" i="1"/>
  <c r="M188" i="1"/>
  <c r="L188" i="1"/>
  <c r="K188" i="1"/>
  <c r="J193" i="1"/>
  <c r="I193" i="1"/>
  <c r="H193" i="1"/>
  <c r="J192" i="1"/>
  <c r="I192" i="1"/>
  <c r="H192"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H195" i="1" l="1"/>
  <c r="H196" i="1"/>
  <c r="W11" i="11"/>
  <c r="I76" i="4" s="1"/>
  <c r="W19" i="11"/>
  <c r="I77" i="4" s="1"/>
  <c r="O19" i="11"/>
  <c r="F77" i="4" s="1"/>
  <c r="X399" i="1"/>
  <c r="D20" i="11"/>
  <c r="D24" i="11" s="1"/>
  <c r="E24" i="11" s="1"/>
  <c r="D19" i="11"/>
  <c r="D23" i="11" s="1"/>
  <c r="E23" i="11" s="1"/>
  <c r="T400" i="1"/>
  <c r="O11" i="11"/>
  <c r="F76" i="4" s="1"/>
  <c r="W3" i="11"/>
  <c r="Q7" i="11" s="1"/>
  <c r="D11" i="11"/>
  <c r="D15" i="11" s="1"/>
  <c r="E15" i="11" s="1"/>
  <c r="F75" i="4"/>
  <c r="F78" i="4"/>
  <c r="D12" i="11"/>
  <c r="D16" i="11" s="1"/>
  <c r="E16" i="11" s="1"/>
  <c r="W401" i="1"/>
  <c r="T399" i="1"/>
  <c r="P401" i="1"/>
  <c r="I23" i="11"/>
  <c r="J23" i="11" s="1"/>
  <c r="R39" i="11"/>
  <c r="Q31" i="11"/>
  <c r="R31" i="11" s="1"/>
  <c r="V401" i="1"/>
  <c r="Q401" i="1"/>
  <c r="G3" i="11"/>
  <c r="I31" i="11"/>
  <c r="J31" i="11" s="1"/>
  <c r="I7" i="11"/>
  <c r="J7" i="11" s="1"/>
  <c r="S399" i="1"/>
  <c r="X401" i="1"/>
  <c r="Y400" i="1"/>
  <c r="Y399" i="1"/>
  <c r="S400" i="1"/>
  <c r="J396" i="1"/>
  <c r="I396" i="1"/>
  <c r="H396" i="1"/>
  <c r="J395" i="1"/>
  <c r="I395" i="1"/>
  <c r="H395" i="1"/>
  <c r="J394" i="1"/>
  <c r="I394" i="1"/>
  <c r="H394" i="1"/>
  <c r="J393" i="1"/>
  <c r="I393" i="1"/>
  <c r="H393" i="1"/>
  <c r="J392" i="1"/>
  <c r="I392" i="1"/>
  <c r="H392" i="1"/>
  <c r="J391" i="1"/>
  <c r="I391" i="1"/>
  <c r="H391" i="1"/>
  <c r="S247" i="1"/>
  <c r="R247" i="1"/>
  <c r="Q247" i="1"/>
  <c r="D185" i="1"/>
  <c r="S401" i="1" l="1"/>
  <c r="Q23" i="11"/>
  <c r="R23" i="11" s="1"/>
  <c r="Q15" i="11"/>
  <c r="R15" i="11" s="1"/>
  <c r="E83" i="4"/>
  <c r="E81" i="4"/>
  <c r="E82" i="4"/>
  <c r="G19" i="11"/>
  <c r="Q423" i="1" s="1"/>
  <c r="Q425" i="1" s="1"/>
  <c r="D378" i="1" s="1"/>
  <c r="I15" i="11"/>
  <c r="J15" i="11" s="1"/>
  <c r="T401" i="1"/>
  <c r="I75" i="4"/>
  <c r="S423" i="1"/>
  <c r="S425" i="1" s="1"/>
  <c r="F378" i="1" s="1"/>
  <c r="G11" i="11"/>
  <c r="C76" i="4" s="1"/>
  <c r="R7" i="11"/>
  <c r="C75" i="4"/>
  <c r="Y401" i="1"/>
  <c r="A7" i="11"/>
  <c r="B7" i="11" s="1"/>
  <c r="E378" i="1"/>
  <c r="E376" i="1"/>
  <c r="F376" i="1"/>
  <c r="A23" i="11"/>
  <c r="B23" i="11" s="1"/>
  <c r="S446" i="1"/>
  <c r="D376" i="1" l="1"/>
  <c r="C77" i="4"/>
  <c r="F81" i="4"/>
  <c r="F82" i="4"/>
  <c r="F83" i="4"/>
  <c r="D82" i="4"/>
  <c r="D83" i="4"/>
  <c r="D81" i="4"/>
  <c r="A15" i="11"/>
  <c r="B15" i="11" s="1"/>
  <c r="L5" i="8"/>
  <c r="D459" i="1" l="1"/>
  <c r="D458" i="1"/>
  <c r="D457" i="1"/>
  <c r="D456" i="1"/>
  <c r="D455" i="1"/>
  <c r="D454" i="1"/>
  <c r="R485" i="1"/>
  <c r="S484" i="1"/>
  <c r="T485" i="1" s="1"/>
  <c r="R483" i="1"/>
  <c r="S482" i="1"/>
  <c r="T483" i="1" s="1"/>
  <c r="D451" i="1" l="1"/>
  <c r="D450" i="1"/>
  <c r="D449" i="1"/>
  <c r="D448" i="1"/>
  <c r="D447" i="1"/>
  <c r="D446" i="1"/>
  <c r="D445" i="1"/>
  <c r="D444" i="1"/>
  <c r="D443" i="1"/>
  <c r="D442" i="1"/>
  <c r="D441" i="1"/>
  <c r="D440" i="1"/>
  <c r="D439" i="1"/>
  <c r="D438" i="1"/>
  <c r="D437" i="1"/>
  <c r="D436" i="1"/>
  <c r="D452" i="1"/>
  <c r="D453" i="1"/>
  <c r="R481" i="1"/>
  <c r="S480" i="1"/>
  <c r="T481" i="1" s="1"/>
  <c r="R479" i="1"/>
  <c r="S478" i="1"/>
  <c r="T479" i="1" s="1"/>
  <c r="R477" i="1"/>
  <c r="S476" i="1"/>
  <c r="T477" i="1" s="1"/>
  <c r="R475" i="1"/>
  <c r="S474" i="1"/>
  <c r="T475" i="1" s="1"/>
  <c r="R473" i="1"/>
  <c r="S472" i="1"/>
  <c r="T473" i="1" s="1"/>
  <c r="R471" i="1"/>
  <c r="S470" i="1"/>
  <c r="T471"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91" i="1" l="1"/>
  <c r="L344" i="1" l="1"/>
  <c r="L343" i="1"/>
  <c r="X452" i="1"/>
  <c r="W452" i="1"/>
  <c r="V452" i="1"/>
  <c r="X451" i="1"/>
  <c r="W451" i="1"/>
  <c r="V451" i="1"/>
  <c r="X450" i="1"/>
  <c r="W450" i="1"/>
  <c r="V450" i="1"/>
  <c r="X449" i="1"/>
  <c r="W449" i="1"/>
  <c r="V449" i="1"/>
  <c r="X448" i="1"/>
  <c r="W448" i="1"/>
  <c r="V448" i="1"/>
  <c r="AD117" i="1"/>
  <c r="AD116" i="1"/>
  <c r="AD115" i="1"/>
  <c r="AD114" i="1"/>
  <c r="AD113" i="1"/>
  <c r="AD112" i="1"/>
  <c r="AD111" i="1"/>
  <c r="AD110" i="1"/>
  <c r="AD109" i="1"/>
  <c r="AD108" i="1"/>
  <c r="AD107" i="1"/>
  <c r="AD106" i="1"/>
  <c r="AD105" i="1"/>
  <c r="L347" i="1" l="1"/>
  <c r="L346" i="1"/>
  <c r="L348" i="1"/>
  <c r="L349" i="1"/>
  <c r="L351" i="1" l="1"/>
  <c r="L350" i="1"/>
  <c r="L352" i="1" l="1"/>
  <c r="AD90"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72" i="1"/>
  <c r="J297" i="1" s="1"/>
  <c r="W376" i="1"/>
  <c r="J301" i="1" s="1"/>
  <c r="W381" i="1"/>
  <c r="J305" i="1" s="1"/>
  <c r="W386" i="1"/>
  <c r="J309" i="1" s="1"/>
  <c r="H346" i="1"/>
  <c r="G346" i="1"/>
  <c r="H349" i="1"/>
  <c r="W374" i="1"/>
  <c r="J299" i="1" s="1"/>
  <c r="W379" i="1"/>
  <c r="J303" i="1" s="1"/>
  <c r="W384" i="1"/>
  <c r="J307" i="1" s="1"/>
  <c r="W388" i="1"/>
  <c r="J311" i="1" s="1"/>
  <c r="H348" i="1"/>
  <c r="G349" i="1"/>
  <c r="U412" i="1"/>
  <c r="H347" i="1"/>
  <c r="G348" i="1"/>
  <c r="U411" i="1"/>
  <c r="U409" i="1"/>
  <c r="W373" i="1"/>
  <c r="J298" i="1" s="1"/>
  <c r="W375" i="1"/>
  <c r="J300" i="1" s="1"/>
  <c r="W378" i="1"/>
  <c r="J302" i="1" s="1"/>
  <c r="W380" i="1"/>
  <c r="J304" i="1" s="1"/>
  <c r="W382" i="1"/>
  <c r="J306" i="1" s="1"/>
  <c r="W385" i="1"/>
  <c r="J308" i="1" s="1"/>
  <c r="W387" i="1"/>
  <c r="J310" i="1" s="1"/>
  <c r="J296" i="1"/>
  <c r="S238" i="1"/>
  <c r="G243" i="1" s="1"/>
  <c r="R238" i="1"/>
  <c r="F243" i="1" s="1"/>
  <c r="Q238" i="1"/>
  <c r="E243" i="1" s="1"/>
  <c r="P238" i="1"/>
  <c r="D243" i="1" s="1"/>
  <c r="R142" i="1" l="1"/>
  <c r="I148" i="1" s="1"/>
  <c r="F252" i="1" l="1"/>
  <c r="E252" i="1"/>
  <c r="D252" i="1"/>
  <c r="C18" i="5" l="1"/>
  <c r="C12" i="5"/>
  <c r="M56" i="4"/>
  <c r="L56" i="4"/>
  <c r="M55" i="4"/>
  <c r="L55" i="4"/>
  <c r="M54" i="4"/>
  <c r="L54" i="4"/>
  <c r="M53" i="4"/>
  <c r="L53" i="4"/>
  <c r="U462" i="1"/>
  <c r="I384" i="1" s="1"/>
  <c r="T462" i="1"/>
  <c r="U461" i="1"/>
  <c r="I383" i="1" s="1"/>
  <c r="T461" i="1"/>
  <c r="S453" i="1"/>
  <c r="J397" i="1" s="1"/>
  <c r="R453" i="1"/>
  <c r="I397" i="1" s="1"/>
  <c r="Q453" i="1"/>
  <c r="H397" i="1" s="1"/>
  <c r="R437" i="1"/>
  <c r="Q437" i="1"/>
  <c r="E396" i="1" s="1"/>
  <c r="R436" i="1"/>
  <c r="U435" i="1"/>
  <c r="R435" i="1"/>
  <c r="V434" i="1"/>
  <c r="R434" i="1"/>
  <c r="V433" i="1"/>
  <c r="R433" i="1"/>
  <c r="V432" i="1"/>
  <c r="R432" i="1"/>
  <c r="E370" i="1"/>
  <c r="O415"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71" i="1"/>
  <c r="V371" i="1" s="1"/>
  <c r="Q371" i="1"/>
  <c r="D296" i="1" s="1"/>
  <c r="M397" i="1"/>
  <c r="L397" i="1"/>
  <c r="E397" i="1"/>
  <c r="M396" i="1"/>
  <c r="M395" i="1"/>
  <c r="L395" i="1"/>
  <c r="E395" i="1"/>
  <c r="M394" i="1"/>
  <c r="L394" i="1"/>
  <c r="E394" i="1"/>
  <c r="M393" i="1"/>
  <c r="L393" i="1"/>
  <c r="E393" i="1"/>
  <c r="M392" i="1"/>
  <c r="E392" i="1"/>
  <c r="E391" i="1"/>
  <c r="S267" i="1"/>
  <c r="F272" i="1" s="1"/>
  <c r="R267" i="1"/>
  <c r="Q267" i="1"/>
  <c r="Q268" i="1" s="1"/>
  <c r="D273" i="1" s="1"/>
  <c r="X266" i="1"/>
  <c r="K271" i="1" s="1"/>
  <c r="T266" i="1"/>
  <c r="E385" i="1"/>
  <c r="T265" i="1"/>
  <c r="G270" i="1" s="1"/>
  <c r="E384" i="1"/>
  <c r="T264" i="1"/>
  <c r="G269" i="1" s="1"/>
  <c r="E383" i="1"/>
  <c r="E382" i="1"/>
  <c r="G271" i="1"/>
  <c r="F271" i="1"/>
  <c r="E271" i="1"/>
  <c r="D271" i="1"/>
  <c r="F270" i="1"/>
  <c r="E270" i="1"/>
  <c r="D270" i="1"/>
  <c r="F269" i="1"/>
  <c r="E269" i="1"/>
  <c r="D269" i="1"/>
  <c r="S253" i="1"/>
  <c r="R253" i="1"/>
  <c r="Q253" i="1"/>
  <c r="U251" i="1" s="1"/>
  <c r="H256" i="1" s="1"/>
  <c r="F268" i="1"/>
  <c r="E268" i="1"/>
  <c r="D268" i="1"/>
  <c r="G265" i="1"/>
  <c r="D265" i="1"/>
  <c r="G264" i="1"/>
  <c r="D264" i="1"/>
  <c r="S237" i="1"/>
  <c r="R237" i="1"/>
  <c r="F242" i="1" s="1"/>
  <c r="Q237" i="1"/>
  <c r="E242" i="1" s="1"/>
  <c r="P237" i="1"/>
  <c r="D242" i="1" s="1"/>
  <c r="U236" i="1"/>
  <c r="I241" i="1" s="1"/>
  <c r="T236" i="1"/>
  <c r="H241" i="1" s="1"/>
  <c r="U235" i="1"/>
  <c r="I240" i="1" s="1"/>
  <c r="T235" i="1"/>
  <c r="H240" i="1" s="1"/>
  <c r="U234" i="1"/>
  <c r="I239" i="1" s="1"/>
  <c r="T234" i="1"/>
  <c r="H239" i="1" s="1"/>
  <c r="U233" i="1"/>
  <c r="I238" i="1" s="1"/>
  <c r="T233" i="1"/>
  <c r="H238" i="1" s="1"/>
  <c r="U232" i="1"/>
  <c r="I237" i="1" s="1"/>
  <c r="T232" i="1"/>
  <c r="H237" i="1" s="1"/>
  <c r="C223" i="1"/>
  <c r="G220" i="1"/>
  <c r="D220" i="1"/>
  <c r="K224" i="1"/>
  <c r="M218" i="1"/>
  <c r="M217" i="1"/>
  <c r="D215" i="1"/>
  <c r="D208" i="1"/>
  <c r="D207" i="1"/>
  <c r="D206" i="1"/>
  <c r="R211" i="1"/>
  <c r="Q211" i="1"/>
  <c r="D205" i="1"/>
  <c r="D204" i="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I181" i="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4" i="1"/>
  <c r="X124" i="1"/>
  <c r="L38" i="1" s="1"/>
  <c r="W124" i="1"/>
  <c r="AD73" i="1" s="1"/>
  <c r="V124" i="1"/>
  <c r="U124" i="1"/>
  <c r="AD61" i="1" s="1"/>
  <c r="T124" i="1"/>
  <c r="H38" i="1" s="1"/>
  <c r="S124" i="1"/>
  <c r="G38" i="1" s="1"/>
  <c r="R124" i="1"/>
  <c r="Q124" i="1"/>
  <c r="AD47" i="1" s="1"/>
  <c r="P124" i="1"/>
  <c r="D38" i="1" s="1"/>
  <c r="M106" i="1"/>
  <c r="L106" i="1"/>
  <c r="AD103" i="1"/>
  <c r="M105" i="1"/>
  <c r="L105" i="1"/>
  <c r="M104" i="1"/>
  <c r="L104" i="1"/>
  <c r="AD101" i="1"/>
  <c r="M103" i="1"/>
  <c r="L103" i="1"/>
  <c r="AD100" i="1"/>
  <c r="M102" i="1"/>
  <c r="L102" i="1"/>
  <c r="AD99" i="1"/>
  <c r="M101" i="1"/>
  <c r="L101" i="1"/>
  <c r="M100" i="1"/>
  <c r="L100" i="1"/>
  <c r="AD97" i="1"/>
  <c r="M99" i="1"/>
  <c r="L99" i="1"/>
  <c r="AD96" i="1"/>
  <c r="M98" i="1"/>
  <c r="L98" i="1"/>
  <c r="AD95" i="1"/>
  <c r="M97" i="1"/>
  <c r="L97" i="1"/>
  <c r="AD94" i="1"/>
  <c r="M96" i="1"/>
  <c r="L96" i="1"/>
  <c r="AD93"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AD8" i="1"/>
  <c r="AC8" i="1" s="1"/>
  <c r="P8" i="1"/>
  <c r="AD7" i="1"/>
  <c r="AC7" i="1" s="1"/>
  <c r="X7" i="1"/>
  <c r="AA3" i="1"/>
  <c r="K223" i="1" l="1"/>
  <c r="U218" i="1"/>
  <c r="X221" i="1" s="1"/>
  <c r="K226" i="1" s="1"/>
  <c r="I30" i="8"/>
  <c r="AD119" i="1"/>
  <c r="V462" i="1"/>
  <c r="G30" i="8"/>
  <c r="AD118"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78"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4" i="1"/>
  <c r="E296" i="1"/>
  <c r="B64" i="4"/>
  <c r="C64" i="4" s="1"/>
  <c r="D297" i="1"/>
  <c r="V382" i="1"/>
  <c r="E306" i="1"/>
  <c r="AD74" i="1"/>
  <c r="V381" i="1"/>
  <c r="E305" i="1"/>
  <c r="S239" i="1"/>
  <c r="G244" i="1" s="1"/>
  <c r="G242" i="1"/>
  <c r="M215" i="1"/>
  <c r="M359" i="1"/>
  <c r="M287" i="1"/>
  <c r="M71" i="1"/>
  <c r="M143" i="1"/>
  <c r="D360" i="1"/>
  <c r="D288" i="1"/>
  <c r="D72" i="1"/>
  <c r="D144" i="1"/>
  <c r="U250" i="1"/>
  <c r="H255" i="1" s="1"/>
  <c r="D258" i="1"/>
  <c r="K38" i="1"/>
  <c r="K39" i="1"/>
  <c r="AD78" i="1"/>
  <c r="H205" i="1"/>
  <c r="V247" i="1"/>
  <c r="E258" i="1"/>
  <c r="M360" i="1"/>
  <c r="M72" i="1"/>
  <c r="M144" i="1"/>
  <c r="M288" i="1"/>
  <c r="W247" i="1"/>
  <c r="F258" i="1"/>
  <c r="J39" i="1"/>
  <c r="X371" i="1"/>
  <c r="K296" i="1" s="1"/>
  <c r="B63" i="4"/>
  <c r="C63" i="4" s="1"/>
  <c r="X373" i="1"/>
  <c r="K298" i="1" s="1"/>
  <c r="B65" i="4"/>
  <c r="C65" i="4" s="1"/>
  <c r="X374" i="1"/>
  <c r="K299" i="1" s="1"/>
  <c r="B66" i="4"/>
  <c r="C66" i="4" s="1"/>
  <c r="X378" i="1"/>
  <c r="K302" i="1" s="1"/>
  <c r="F63" i="4"/>
  <c r="G63" i="4" s="1"/>
  <c r="X382" i="1"/>
  <c r="K306" i="1" s="1"/>
  <c r="F67" i="4"/>
  <c r="G67" i="4" s="1"/>
  <c r="X388" i="1"/>
  <c r="K311" i="1" s="1"/>
  <c r="J67" i="4"/>
  <c r="K67" i="4" s="1"/>
  <c r="X381" i="1"/>
  <c r="K305" i="1" s="1"/>
  <c r="F66" i="4"/>
  <c r="G66" i="4" s="1"/>
  <c r="X387" i="1"/>
  <c r="K310" i="1" s="1"/>
  <c r="J66" i="4"/>
  <c r="K66" i="4" s="1"/>
  <c r="X379" i="1"/>
  <c r="K303" i="1" s="1"/>
  <c r="F64" i="4"/>
  <c r="G64" i="4" s="1"/>
  <c r="X380" i="1"/>
  <c r="K304" i="1" s="1"/>
  <c r="F65" i="4"/>
  <c r="G65" i="4" s="1"/>
  <c r="X386" i="1"/>
  <c r="K309" i="1" s="1"/>
  <c r="J65" i="4"/>
  <c r="K65" i="4" s="1"/>
  <c r="X375" i="1"/>
  <c r="K300" i="1" s="1"/>
  <c r="B67" i="4"/>
  <c r="C67" i="4" s="1"/>
  <c r="X376" i="1"/>
  <c r="K301" i="1" s="1"/>
  <c r="B68" i="4"/>
  <c r="C68" i="4" s="1"/>
  <c r="X384" i="1"/>
  <c r="K307" i="1" s="1"/>
  <c r="L311" i="1" s="1"/>
  <c r="J63" i="4"/>
  <c r="K63" i="4" s="1"/>
  <c r="X385" i="1"/>
  <c r="K308" i="1" s="1"/>
  <c r="J64" i="4"/>
  <c r="K64" i="4" s="1"/>
  <c r="F24" i="1"/>
  <c r="U248" i="1"/>
  <c r="H253" i="1" s="1"/>
  <c r="AD13" i="1"/>
  <c r="AC13" i="1" s="1"/>
  <c r="F13" i="1"/>
  <c r="K21" i="1"/>
  <c r="K23" i="1"/>
  <c r="K24" i="1"/>
  <c r="H41" i="1"/>
  <c r="F40" i="1"/>
  <c r="K40" i="1"/>
  <c r="AD70" i="1"/>
  <c r="G40" i="1"/>
  <c r="AD66" i="1"/>
  <c r="K28" i="1"/>
  <c r="W249" i="1"/>
  <c r="J254" i="1" s="1"/>
  <c r="W250" i="1"/>
  <c r="J255" i="1" s="1"/>
  <c r="F25" i="1"/>
  <c r="V372" i="1"/>
  <c r="V373" i="1"/>
  <c r="V384" i="1"/>
  <c r="C367" i="1"/>
  <c r="T409" i="1"/>
  <c r="F367" i="1" s="1"/>
  <c r="V374" i="1"/>
  <c r="V375" i="1"/>
  <c r="V378" i="1"/>
  <c r="V379" i="1"/>
  <c r="V385" i="1"/>
  <c r="I308" i="1" s="1"/>
  <c r="V386" i="1"/>
  <c r="V387" i="1"/>
  <c r="V388" i="1"/>
  <c r="V461" i="1"/>
  <c r="K383" i="1" s="1"/>
  <c r="F26" i="1"/>
  <c r="V380" i="1"/>
  <c r="C370" i="1"/>
  <c r="T412" i="1"/>
  <c r="F370" i="1" s="1"/>
  <c r="AD9" i="1"/>
  <c r="AC9" i="1" s="1"/>
  <c r="K29" i="1"/>
  <c r="X372" i="1"/>
  <c r="K297" i="1" s="1"/>
  <c r="V376" i="1"/>
  <c r="C369" i="1"/>
  <c r="T411" i="1"/>
  <c r="F369" i="1" s="1"/>
  <c r="K384" i="1"/>
  <c r="AD98" i="1"/>
  <c r="F39" i="1"/>
  <c r="E39" i="1"/>
  <c r="E38" i="1"/>
  <c r="AD49" i="1"/>
  <c r="AD46" i="1"/>
  <c r="K30" i="1"/>
  <c r="G367" i="1"/>
  <c r="D351" i="1"/>
  <c r="X232" i="1"/>
  <c r="K237" i="1" s="1"/>
  <c r="X236" i="1"/>
  <c r="K241" i="1" s="1"/>
  <c r="X234" i="1"/>
  <c r="K239" i="1" s="1"/>
  <c r="X235" i="1"/>
  <c r="K240" i="1" s="1"/>
  <c r="X233" i="1"/>
  <c r="K238" i="1" s="1"/>
  <c r="T238" i="1"/>
  <c r="H243" i="1" s="1"/>
  <c r="U238" i="1"/>
  <c r="I243" i="1" s="1"/>
  <c r="T267" i="1"/>
  <c r="T268" i="1" s="1"/>
  <c r="G273" i="1" s="1"/>
  <c r="H383" i="1"/>
  <c r="H384" i="1"/>
  <c r="G268" i="1"/>
  <c r="D272" i="1"/>
  <c r="E158" i="1"/>
  <c r="S156" i="1"/>
  <c r="J156" i="1" s="1"/>
  <c r="W251" i="1"/>
  <c r="J256" i="1" s="1"/>
  <c r="W248" i="1"/>
  <c r="J253" i="1" s="1"/>
  <c r="V251" i="1"/>
  <c r="I256" i="1" s="1"/>
  <c r="V250" i="1"/>
  <c r="I255" i="1" s="1"/>
  <c r="V249" i="1"/>
  <c r="I254" i="1" s="1"/>
  <c r="V248" i="1"/>
  <c r="I253" i="1" s="1"/>
  <c r="U247" i="1"/>
  <c r="U249" i="1"/>
  <c r="H254" i="1" s="1"/>
  <c r="K27" i="1"/>
  <c r="AD34" i="1"/>
  <c r="AC34" i="1" s="1"/>
  <c r="F28" i="1"/>
  <c r="AD29" i="1"/>
  <c r="AC29" i="1" s="1"/>
  <c r="F21" i="1"/>
  <c r="AD25" i="1"/>
  <c r="AC25" i="1" s="1"/>
  <c r="K18" i="1"/>
  <c r="K12" i="1"/>
  <c r="K11" i="1"/>
  <c r="AD14" i="1"/>
  <c r="AC14" i="1" s="1"/>
  <c r="E367" i="1"/>
  <c r="F11" i="1"/>
  <c r="AD12" i="1"/>
  <c r="AC12" i="1" s="1"/>
  <c r="AD21" i="1"/>
  <c r="AC21" i="1" s="1"/>
  <c r="M216" i="1"/>
  <c r="T237" i="1"/>
  <c r="P239" i="1"/>
  <c r="D244" i="1" s="1"/>
  <c r="G369" i="1"/>
  <c r="E369" i="1"/>
  <c r="AD39" i="1"/>
  <c r="AC39" i="1" s="1"/>
  <c r="Q239" i="1"/>
  <c r="E244" i="1" s="1"/>
  <c r="D367" i="1"/>
  <c r="K16" i="1"/>
  <c r="D216" i="1"/>
  <c r="S268" i="1"/>
  <c r="F273" i="1" s="1"/>
  <c r="E351" i="1"/>
  <c r="D350" i="1"/>
  <c r="F10" i="1"/>
  <c r="AD10" i="1"/>
  <c r="AC10" i="1" s="1"/>
  <c r="AD18" i="1"/>
  <c r="AC18" i="1" s="1"/>
  <c r="AD48" i="1"/>
  <c r="F38" i="1"/>
  <c r="AD72" i="1"/>
  <c r="J38" i="1"/>
  <c r="D40" i="1"/>
  <c r="AD52" i="1"/>
  <c r="AD80" i="1"/>
  <c r="L40" i="1"/>
  <c r="AD81" i="1"/>
  <c r="J41" i="1"/>
  <c r="F30" i="1"/>
  <c r="AD35" i="1"/>
  <c r="AC35" i="1" s="1"/>
  <c r="K225" i="1"/>
  <c r="V225" i="1"/>
  <c r="H223" i="1"/>
  <c r="U220" i="1"/>
  <c r="H225" i="1" s="1"/>
  <c r="U219" i="1"/>
  <c r="H224" i="1" s="1"/>
  <c r="U237" i="1"/>
  <c r="I242" i="1" s="1"/>
  <c r="R239" i="1"/>
  <c r="F244" i="1" s="1"/>
  <c r="R268" i="1"/>
  <c r="E273" i="1" s="1"/>
  <c r="E272" i="1"/>
  <c r="G370" i="1"/>
  <c r="AD23" i="1"/>
  <c r="AC23" i="1" s="1"/>
  <c r="F18" i="1"/>
  <c r="E155" i="1"/>
  <c r="E174" i="1"/>
  <c r="E176" i="1"/>
  <c r="K10" i="1"/>
  <c r="F17" i="1"/>
  <c r="L41" i="1"/>
  <c r="F351" i="1"/>
  <c r="C302" i="1" l="1"/>
  <c r="D75" i="4"/>
  <c r="E80" i="4" s="1"/>
  <c r="R418" i="1"/>
  <c r="L301" i="1"/>
  <c r="J252" i="1"/>
  <c r="S254" i="1"/>
  <c r="S255" i="1" s="1"/>
  <c r="I252" i="1"/>
  <c r="R254" i="1"/>
  <c r="R255" i="1" s="1"/>
  <c r="H252" i="1"/>
  <c r="Q254" i="1"/>
  <c r="Q255" i="1" s="1"/>
  <c r="P384" i="1"/>
  <c r="V392" i="1"/>
  <c r="J343" i="1" s="1"/>
  <c r="Q392" i="1"/>
  <c r="E343" i="1" s="1"/>
  <c r="P371" i="1"/>
  <c r="A75" i="4" s="1"/>
  <c r="D80" i="4" s="1"/>
  <c r="Q407" i="1"/>
  <c r="D364" i="1" s="1"/>
  <c r="R410" i="1"/>
  <c r="E350" i="1"/>
  <c r="D68" i="4"/>
  <c r="I301" i="1"/>
  <c r="L65" i="4"/>
  <c r="I309" i="1"/>
  <c r="D67" i="4"/>
  <c r="I300" i="1"/>
  <c r="L63" i="4"/>
  <c r="I307" i="1"/>
  <c r="H67" i="4"/>
  <c r="I306" i="1"/>
  <c r="D63" i="4"/>
  <c r="I296" i="1"/>
  <c r="D66" i="4"/>
  <c r="I299" i="1"/>
  <c r="D65" i="4"/>
  <c r="I298" i="1"/>
  <c r="S410" i="1"/>
  <c r="E368" i="1" s="1"/>
  <c r="F350" i="1"/>
  <c r="H65" i="4"/>
  <c r="I304" i="1"/>
  <c r="L67" i="4"/>
  <c r="I311" i="1"/>
  <c r="H64" i="4"/>
  <c r="I303" i="1"/>
  <c r="L66" i="4"/>
  <c r="I310" i="1"/>
  <c r="H63" i="4"/>
  <c r="I302" i="1"/>
  <c r="D64" i="4"/>
  <c r="I297" i="1"/>
  <c r="H66" i="4"/>
  <c r="I305" i="1"/>
  <c r="Y235" i="1"/>
  <c r="L240" i="1" s="1"/>
  <c r="H242" i="1"/>
  <c r="V234" i="1"/>
  <c r="J239" i="1" s="1"/>
  <c r="L64" i="4"/>
  <c r="G272" i="1"/>
  <c r="V232" i="1"/>
  <c r="J237" i="1" s="1"/>
  <c r="V235" i="1"/>
  <c r="J240" i="1" s="1"/>
  <c r="V233" i="1"/>
  <c r="J238" i="1" s="1"/>
  <c r="V236" i="1"/>
  <c r="J241" i="1" s="1"/>
  <c r="D368" i="1"/>
  <c r="Y236" i="1"/>
  <c r="L241" i="1" s="1"/>
  <c r="Y234" i="1"/>
  <c r="L239" i="1" s="1"/>
  <c r="Y233" i="1"/>
  <c r="L238" i="1" s="1"/>
  <c r="X237" i="1"/>
  <c r="X462" i="1"/>
  <c r="L384" i="1" s="1"/>
  <c r="X461" i="1"/>
  <c r="L383" i="1" s="1"/>
  <c r="D352" i="1"/>
  <c r="T239" i="1"/>
  <c r="H244" i="1" s="1"/>
  <c r="Y232" i="1"/>
  <c r="L237" i="1" s="1"/>
  <c r="P240" i="1"/>
  <c r="D245" i="1" s="1"/>
  <c r="U239" i="1"/>
  <c r="I244" i="1" s="1"/>
  <c r="H351" i="1"/>
  <c r="G351" i="1"/>
  <c r="F352" i="1"/>
  <c r="G75" i="4" l="1"/>
  <c r="S418" i="1"/>
  <c r="E71" i="4"/>
  <c r="E70" i="4"/>
  <c r="E72" i="4"/>
  <c r="D70" i="4"/>
  <c r="D72" i="4"/>
  <c r="D71" i="4"/>
  <c r="F72" i="4"/>
  <c r="F71" i="4"/>
  <c r="F70" i="4"/>
  <c r="Q418" i="1"/>
  <c r="C307" i="1"/>
  <c r="I63" i="4"/>
  <c r="F69" i="4" s="1"/>
  <c r="C296" i="1"/>
  <c r="A63" i="4"/>
  <c r="D69" i="4" s="1"/>
  <c r="F80" i="4"/>
  <c r="X281" i="1" s="1"/>
  <c r="U410" i="1"/>
  <c r="G368" i="1" s="1"/>
  <c r="H350" i="1"/>
  <c r="H353" i="1" s="1"/>
  <c r="T410" i="1"/>
  <c r="G350" i="1"/>
  <c r="F260" i="1"/>
  <c r="F259" i="1"/>
  <c r="X238" i="1"/>
  <c r="K243" i="1" s="1"/>
  <c r="K242" i="1"/>
  <c r="E260" i="1"/>
  <c r="E259" i="1"/>
  <c r="D260" i="1"/>
  <c r="D259" i="1"/>
  <c r="V238" i="1"/>
  <c r="J243" i="1" s="1"/>
  <c r="V237" i="1"/>
  <c r="J242" i="1" s="1"/>
  <c r="Y237" i="1"/>
  <c r="L242" i="1" s="1"/>
  <c r="G352" i="1"/>
  <c r="AD88" i="1"/>
  <c r="AD89" i="1"/>
  <c r="U295" i="1" l="1"/>
  <c r="U285" i="1"/>
  <c r="U284" i="1"/>
  <c r="U296" i="1"/>
  <c r="X292" i="1"/>
  <c r="U293" i="1"/>
  <c r="U283" i="1"/>
  <c r="U282" i="1"/>
  <c r="U294" i="1"/>
  <c r="X262" i="1"/>
  <c r="U266" i="1"/>
  <c r="H271" i="1" s="1"/>
  <c r="E374" i="1"/>
  <c r="F374" i="1"/>
  <c r="D374" i="1"/>
  <c r="U264" i="1"/>
  <c r="H269" i="1" s="1"/>
  <c r="U263" i="1"/>
  <c r="H268" i="1" s="1"/>
  <c r="U265" i="1"/>
  <c r="H270" i="1" s="1"/>
  <c r="V239" i="1"/>
  <c r="Y238" i="1"/>
  <c r="L243" i="1" s="1"/>
  <c r="T413" i="1"/>
  <c r="F371" i="1" s="1"/>
  <c r="I366" i="1" s="1"/>
  <c r="F368" i="1"/>
  <c r="A86" i="4" l="1"/>
  <c r="D86" i="4"/>
  <c r="U297" i="1"/>
  <c r="U286" i="1"/>
  <c r="E86" i="4"/>
  <c r="K267" i="1"/>
  <c r="B84" i="4"/>
  <c r="F86" i="4"/>
  <c r="C86" i="4"/>
  <c r="B86" i="4"/>
  <c r="U267" i="1"/>
  <c r="V240" i="1"/>
  <c r="J245" i="1" s="1"/>
  <c r="J244" i="1"/>
  <c r="H272" i="1" l="1"/>
  <c r="X263" i="1"/>
  <c r="X293" i="1"/>
  <c r="U298" i="1"/>
  <c r="U287" i="1"/>
  <c r="X282" i="1"/>
  <c r="K269" i="1"/>
  <c r="X294" i="1"/>
  <c r="X283" i="1"/>
  <c r="U268" i="1"/>
  <c r="H273" i="1" s="1"/>
  <c r="K268" i="1" l="1"/>
  <c r="X265" i="1" l="1"/>
  <c r="K270" i="1" s="1"/>
  <c r="X295" i="1"/>
  <c r="X284" i="1"/>
  <c r="S304" i="1" l="1"/>
  <c r="AD86" i="1"/>
  <c r="S305" i="1"/>
  <c r="M281" i="1" s="1"/>
  <c r="AD87" i="1"/>
  <c r="M280" i="1"/>
  <c r="X267" i="1"/>
  <c r="K272" i="1" s="1"/>
  <c r="X270" i="1"/>
  <c r="K275" i="1" s="1"/>
  <c r="X297" i="1"/>
  <c r="X300" i="1"/>
  <c r="K274" i="1"/>
  <c r="AD85" i="1"/>
  <c r="X286" i="1"/>
  <c r="X289" i="1"/>
  <c r="S306" i="1" l="1"/>
  <c r="V304" i="1" l="1"/>
  <c r="M283" i="1" s="1"/>
  <c r="M282" i="1"/>
  <c r="M136" i="1" l="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Eugene Mah</author>
    <author>EM</author>
  </authors>
  <commentList>
    <comment ref="L56" authorId="0" shapeId="0">
      <text>
        <r>
          <rPr>
            <b/>
            <sz val="9"/>
            <color indexed="81"/>
            <rFont val="Tahoma"/>
            <family val="2"/>
          </rPr>
          <t>Eugene Mah:</t>
        </r>
        <r>
          <rPr>
            <sz val="9"/>
            <color indexed="81"/>
            <rFont val="Tahoma"/>
            <family val="2"/>
          </rPr>
          <t xml:space="preserve">
Linear fit for this one is not good</t>
        </r>
      </text>
    </comment>
    <comment ref="A88"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<sst xmlns="http://schemas.openxmlformats.org/spreadsheetml/2006/main" count="1942" uniqueCount="760">
  <si>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</si>
  <si>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</si>
  <si>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</si>
  <si>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</si>
  <si>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</si>
  <si>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</si>
  <si>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</si>
  <si>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</si>
  <si>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</si>
  <si>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</si>
  <si>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</si>
  <si>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</si>
  <si>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</si>
  <si>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</si>
  <si>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</si>
  <si>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</si>
  <si>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</si>
  <si>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</si>
  <si>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</si>
  <si>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</si>
  <si>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</si>
  <si>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</si>
  <si>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</si>
  <si>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</si>
  <si>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</si>
  <si>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</si>
  <si>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</si>
  <si>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</si>
  <si>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</si>
  <si>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</si>
  <si>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</si>
  <si>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</si>
  <si>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</si>
  <si>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</si>
  <si>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</si>
  <si>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</si>
  <si>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</si>
  <si>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</si>
  <si>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</si>
  <si>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</si>
  <si>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</si>
  <si>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</si>
  <si>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</si>
  <si>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</si>
  <si>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</si>
  <si>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</si>
  <si>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</si>
  <si>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</si>
  <si>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</si>
  <si>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</si>
  <si>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</si>
  <si>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</si>
  <si>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</si>
  <si>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</si>
  <si>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</si>
  <si>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</si>
  <si>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</si>
  <si>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</si>
  <si>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</si>
  <si>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</si>
  <si>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</si>
  <si>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</si>
  <si>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</si>
  <si>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</si>
  <si>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</si>
  <si>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</si>
  <si>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</si>
  <si>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</si>
  <si>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</si>
  <si>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</si>
  <si>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</si>
  <si>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</si>
  <si>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</si>
  <si>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</si>
  <si>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</si>
  <si>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</si>
  <si>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</si>
  <si>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</si>
  <si>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</si>
  <si>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</si>
  <si>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</si>
  <si>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</si>
  <si>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</si>
  <si>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</si>
  <si>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</si>
  <si>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</si>
  <si>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</si>
  <si>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</si>
  <si>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</si>
  <si>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</si>
  <si>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</si>
  <si>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</si>
  <si>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</si>
  <si>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</si>
  <si>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</si>
  <si>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</si>
  <si>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</si>
  <si>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</si>
  <si>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</si>
  <si>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</si>
  <si>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</si>
  <si>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</si>
  <si>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</si>
  <si>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</si>
  <si>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</si>
  <si>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</si>
  <si>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</si>
  <si>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</si>
  <si>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</si>
  <si>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</si>
  <si>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</si>
  <si>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</si>
  <si>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</si>
  <si>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</si>
  <si>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</si>
  <si>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</si>
  <si>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</si>
  <si>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</si>
  <si>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</si>
  <si>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</si>
  <si>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</si>
  <si>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</si>
  <si>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</si>
  <si>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</si>
  <si>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</si>
  <si>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</si>
  <si>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</si>
  <si>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</si>
  <si>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</si>
  <si>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</si>
  <si>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</si>
  <si>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</si>
  <si>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</si>
  <si>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</si>
  <si>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</si>
  <si>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</si>
  <si>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</si>
  <si>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</si>
  <si>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</si>
  <si>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</si>
  <si>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</si>
  <si>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</si>
  <si>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</si>
  <si>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</si>
  <si>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</si>
  <si>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</si>
  <si>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</si>
  <si>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</si>
  <si>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</si>
  <si>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</si>
  <si>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</si>
  <si>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</si>
  <si>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</si>
  <si>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</si>
  <si>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</si>
  <si>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</si>
  <si>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</si>
  <si>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</si>
  <si>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</si>
  <si>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</si>
  <si>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</si>
  <si>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</si>
  <si>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</si>
  <si>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</si>
  <si>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</si>
  <si>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</si>
  <si>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</si>
  <si>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</si>
  <si>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</si>
  <si>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</si>
  <si>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</si>
  <si>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</si>
  <si>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</si>
  <si>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</si>
  <si>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</si>
  <si>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</si>
  <si>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</si>
  <si>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</si>
  <si>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</si>
  <si>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</si>
  <si>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</si>
  <si>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</si>
  <si>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</si>
  <si>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</si>
  <si>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</si>
  <si>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</si>
  <si>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</si>
  <si>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</si>
  <si>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</si>
  <si>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</si>
  <si>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</si>
  <si>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</si>
  <si>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</si>
  <si>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</si>
  <si>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</si>
  <si>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</si>
  <si>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</si>
  <si>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</si>
  <si>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</si>
  <si>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</si>
  <si>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</si>
  <si>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</si>
  <si>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</si>
  <si>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</si>
  <si>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</si>
  <si>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</si>
  <si>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</si>
  <si>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</si>
  <si>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</si>
  <si>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</si>
  <si>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</si>
  <si>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</si>
  <si>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</si>
  <si>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</si>
  <si>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</si>
  <si>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</si>
  <si>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</si>
  <si>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</si>
  <si>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</si>
  <si>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</si>
  <si>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</si>
  <si>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</si>
  <si>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</si>
  <si>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</si>
  <si>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</si>
  <si>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</si>
  <si>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</si>
  <si>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</si>
  <si>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</si>
  <si>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</si>
  <si>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</si>
  <si>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</si>
  <si>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</si>
  <si>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</si>
  <si>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</si>
  <si>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</si>
  <si>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</si>
  <si>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</si>
  <si>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</si>
  <si>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</si>
  <si>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</si>
  <si>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</si>
  <si>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</si>
  <si>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</si>
  <si>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</si>
  <si>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</si>
  <si>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</si>
  <si>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</si>
  <si>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</si>
  <si>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</si>
  <si>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</si>
  <si>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</si>
  <si>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</si>
  <si>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</si>
  <si>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</si>
  <si>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</si>
  <si>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</si>
  <si>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</si>
  <si>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</si>
  <si>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</si>
  <si>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</si>
  <si>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</si>
  <si>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</si>
  <si>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</si>
  <si>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</si>
  <si>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</si>
  <si>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</si>
  <si>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</si>
  <si>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</si>
  <si>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</si>
  <si>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</si>
  <si>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</si>
  <si>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</si>
  <si>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</si>
  <si>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</si>
  <si>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</si>
  <si>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</si>
  <si>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</si>
  <si>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</si>
  <si>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</si>
  <si>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</si>
  <si>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</si>
  <si>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</si>
  <si>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</si>
  <si>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</si>
  <si>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</si>
  <si>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</si>
  <si>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</si>
  <si>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</si>
  <si>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</si>
  <si>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</si>
  <si>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</si>
  <si>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</si>
  <si>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</si>
  <si>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</si>
  <si>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</si>
  <si>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</si>
  <si>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</si>
  <si>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</si>
  <si>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</si>
  <si>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</si>
  <si>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</si>
  <si>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</si>
  <si>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</si>
  <si>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</si>
  <si>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</si>
  <si>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</si>
  <si>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</si>
  <si>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</si>
  <si>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</si>
  <si>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</si>
  <si>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</si>
  <si>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</si>
  <si>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</si>
  <si>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</si>
  <si>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</si>
  <si>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</si>
  <si>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</si>
  <si>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</si>
  <si>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</si>
  <si>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</si>
  <si>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</si>
  <si>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</si>
  <si>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</si>
  <si>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</si>
  <si>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</si>
  <si>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</si>
  <si>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</si>
  <si>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</si>
  <si>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</si>
  <si>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</si>
  <si>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</si>
  <si>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</si>
  <si>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</si>
  <si>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</si>
  <si>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</si>
  <si>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</si>
  <si>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</si>
  <si>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</si>
  <si>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</si>
  <si>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</si>
  <si>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</si>
  <si>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</si>
  <si>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</si>
  <si>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</si>
  <si>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</si>
  <si>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</si>
  <si>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</si>
  <si>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</si>
  <si>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</si>
  <si>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</si>
  <si>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</si>
  <si>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</si>
  <si>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</si>
  <si>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</si>
  <si>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</si>
  <si>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</si>
  <si>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</si>
  <si>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</si>
  <si>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</si>
  <si>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</si>
  <si>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</si>
  <si>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</si>
  <si>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</si>
  <si>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</si>
  <si>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</si>
  <si>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</si>
  <si>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</si>
  <si>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</si>
  <si>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</si>
  <si>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</si>
  <si>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</si>
  <si>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</si>
  <si>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</si>
  <si>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</si>
  <si>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</si>
  <si>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</si>
  <si>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</si>
  <si>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</si>
  <si>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</si>
  <si>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</si>
  <si>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</si>
  <si>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</si>
  <si>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</si>
  <si>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</si>
  <si>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</si>
  <si>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</si>
  <si>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</si>
  <si>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</si>
  <si>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</si>
  <si>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</si>
  <si>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</si>
  <si>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</si>
  <si>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</si>
  <si>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</si>
  <si>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</si>
  <si>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</si>
  <si>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</si>
  <si>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</si>
  <si>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</si>
  <si>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</si>
  <si>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</si>
  <si>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</si>
  <si>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</si>
  <si>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</si>
  <si>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</si>
  <si>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</si>
  <si>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</si>
  <si>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</si>
  <si>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</si>
  <si>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</si>
  <si>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</si>
  <si>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</si>
  <si>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</si>
  <si>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</si>
  <si>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</si>
  <si>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</si>
  <si>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</si>
  <si>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</si>
  <si>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</si>
  <si>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</si>
  <si>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</si>
  <si>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</si>
  <si>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</si>
  <si>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</si>
  <si>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</si>
  <si>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</si>
  <si>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</si>
  <si>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</si>
  <si>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</si>
  <si>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</si>
  <si>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</si>
  <si>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</si>
  <si>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</si>
  <si>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</si>
  <si>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</si>
  <si>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</si>
  <si>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</si>
  <si>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</si>
  <si>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</si>
  <si>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</si>
  <si>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</si>
  <si>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</si>
  <si>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</si>
  <si>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</si>
  <si>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</si>
  <si>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</si>
  <si>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</si>
  <si>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</si>
  <si>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</si>
  <si>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</si>
  <si>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</si>
  <si>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</si>
  <si>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</si>
  <si>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</si>
  <si>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</si>
  <si>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</si>
  <si>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</si>
  <si>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</si>
  <si>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</si>
  <si>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</si>
  <si>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</si>
  <si>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</si>
  <si>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</si>
  <si>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</si>
  <si>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</si>
  <si>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</si>
  <si>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</si>
  <si>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</si>
  <si>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</si>
  <si>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</si>
  <si>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</si>
  <si>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</si>
  <si>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</si>
  <si>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</si>
  <si>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</si>
  <si>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</si>
  <si>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</si>
  <si>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</si>
  <si>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</si>
  <si>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</si>
  <si>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</si>
  <si>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</si>
  <si>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</si>
  <si>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</si>
  <si>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</si>
  <si>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</si>
  <si>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</si>
  <si>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</si>
  <si>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</si>
  <si>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</si>
  <si>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</si>
  <si>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</si>
  <si>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</si>
  <si>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</si>
  <si>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</si>
  <si>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</si>
  <si>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</si>
  <si>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</si>
  <si>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</si>
  <si>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</si>
  <si>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</si>
  <si>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</si>
  <si>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</si>
  <si>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</si>
  <si>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</si>
  <si>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</si>
  <si>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</si>
  <si>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</si>
  <si>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</si>
  <si>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</si>
  <si>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</si>
  <si>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</si>
  <si>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</si>
  <si>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</si>
  <si>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</si>
  <si>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</si>
  <si>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</si>
  <si>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</si>
  <si>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</si>
  <si>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</si>
  <si>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</si>
  <si>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</si>
  <si>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</si>
  <si>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</si>
  <si>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</si>
  <si>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</si>
  <si>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</si>
  <si>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</si>
  <si>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</si>
  <si>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</si>
  <si>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</si>
  <si>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</si>
  <si>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</si>
  <si>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</si>
  <si>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</si>
  <si>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</si>
  <si>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</si>
  <si>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</si>
  <si>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</si>
  <si>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</si>
  <si>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</si>
  <si>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</si>
  <si>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</si>
  <si>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</si>
  <si>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</si>
  <si>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</si>
  <si>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</si>
  <si>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</si>
  <si>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</si>
  <si>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</si>
  <si>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</si>
  <si>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</si>
  <si>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</si>
  <si>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</si>
  <si>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</si>
  <si>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</si>
  <si>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</si>
  <si>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</si>
  <si>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</si>
  <si>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</si>
  <si>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</si>
  <si>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</si>
  <si>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</si>
  <si>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</si>
  <si>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</si>
  <si>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</si>
  <si>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</si>
  <si>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</si>
  <si>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</si>
  <si>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</si>
  <si>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</si>
  <si>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</si>
  <si>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</si>
  <si>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</si>
  <si>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</si>
  <si>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</si>
  <si>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</si>
  <si>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</si>
  <si>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</si>
  <si>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</si>
  <si>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</si>
  <si>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</si>
  <si>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</si>
  <si>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</si>
  <si>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</si>
  <si>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</si>
  <si>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</si>
  <si>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</si>
  <si>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</si>
  <si>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</si>
  <si>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</si>
  <si>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</si>
  <si>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</si>
  <si>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</si>
  <si>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</si>
  <si>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</si>
  <si>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</si>
  <si>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</si>
  <si>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</si>
  <si>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</si>
  <si>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</si>
  <si>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</si>
  <si>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</si>
  <si>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</si>
  <si>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</si>
  <si>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</si>
  <si>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</si>
  <si>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</si>
  <si>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</si>
  <si>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</si>
  <si>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</si>
  <si>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</si>
  <si>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</si>
  <si>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</si>
  <si>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</si>
  <si>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</si>
  <si>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</si>
  <si>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</si>
  <si>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</si>
  <si>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</si>
  <si>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</si>
  <si>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</si>
  <si>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</si>
  <si>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</si>
  <si>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</si>
  <si>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</si>
  <si>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</si>
  <si>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</si>
  <si>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</si>
  <si>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</si>
  <si>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</si>
  <si>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</si>
  <si>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</si>
  <si>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</si>
  <si>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</si>
  <si>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</si>
  <si>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</si>
  <si>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</si>
  <si>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</si>
  <si>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</si>
  <si>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</si>
  <si>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</si>
  <si>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</si>
  <si>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</si>
  <si>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Tomo phantom image quality acceptable</t>
  </si>
  <si>
    <t>V5 07.11.2013</t>
  </si>
  <si>
    <t>HVL at 28 kVp is greater than 0.28 mm Al</t>
  </si>
  <si>
    <t>2D + Tomoscan</t>
  </si>
  <si>
    <t>2D</t>
  </si>
  <si>
    <t>Tomoscan</t>
  </si>
  <si>
    <t>Measured phantom thickness is 35-43 mm</t>
  </si>
  <si>
    <t>Conventional</t>
  </si>
  <si>
    <t>AGD (mGy)</t>
  </si>
  <si>
    <t>2D + Tomoscan:</t>
  </si>
  <si>
    <t>Calculate HVL as a function of kV</t>
  </si>
  <si>
    <t>Combo 2D</t>
  </si>
  <si>
    <t>Combo Tomo</t>
  </si>
  <si>
    <t>AGD for 20, 40, 60 mm PMMA thickness is below maximum allowed MGD</t>
  </si>
  <si>
    <t>AGD in 2D + Tomoscan mode is below 3 mGy</t>
  </si>
  <si>
    <t>Sum of left and right edge deviation is less than 2% SID (13 mm)</t>
  </si>
  <si>
    <t>Sum of anterior and chest wall edge deviation is less than 2% SID (13mm)</t>
  </si>
  <si>
    <t>Chest wall edge of the compression paddle does not extend beyond the detector by more than 6.5 mm</t>
  </si>
  <si>
    <t>RSQ</t>
  </si>
  <si>
    <t>X-ray field does not extend beyond the detector by more than 2% SID (13 mm) at any one side</t>
  </si>
  <si>
    <t>X-ray field does not extend beyond the detector by more than</t>
  </si>
  <si>
    <t xml:space="preserve">    2% SID (13 mm) at any one side</t>
  </si>
  <si>
    <t>Combo 2D MGD:</t>
  </si>
  <si>
    <t>Combo Tomo MGD:</t>
  </si>
  <si>
    <t>Mean Glandular Dose - Tomo</t>
  </si>
  <si>
    <t>Mean Glandular Dose - 2D + Tomo</t>
  </si>
  <si>
    <t>Is this a tomosynthesis unit?</t>
  </si>
  <si>
    <t xml:space="preserve">MEDICAL PHYSICIST'S CHECKLIST
MQSA REQUIREMENTS FOR MAMMOGRAPHY EQUIPMENT </t>
  </si>
  <si>
    <t>Facility Name:</t>
  </si>
  <si>
    <t>Unit Manufacturer:</t>
  </si>
  <si>
    <t>Serial number:</t>
  </si>
  <si>
    <t>Year Mfr:</t>
  </si>
  <si>
    <t>Medical Physicist:</t>
  </si>
  <si>
    <t>Room ID:</t>
  </si>
  <si>
    <t>Signature:</t>
  </si>
  <si>
    <t>Survey Date:</t>
  </si>
  <si>
    <t>Feature</t>
  </si>
  <si>
    <t>FDA Rule
Section</t>
  </si>
  <si>
    <t>Requirement</t>
  </si>
  <si>
    <t>Applies
to</t>
  </si>
  <si>
    <t>Meets FDA Requirements? (if NA, please explain)</t>
  </si>
  <si>
    <t>Motion of tube-image
receptor assembly</t>
  </si>
  <si>
    <t>3(i)</t>
  </si>
  <si>
    <t>The assembly shall be capable of being fixed in any position
where it is designed to operate. Once fixed in any such position, it shall not undergo unintended motion.</t>
  </si>
  <si>
    <t>S-F &amp;
FFDM</t>
  </si>
  <si>
    <t>3(ii)</t>
  </si>
  <si>
    <t>This mechanism shall not fail in the event of power interruption.</t>
  </si>
  <si>
    <t>Image receptor sizes</t>
  </si>
  <si>
    <t>4(i)</t>
  </si>
  <si>
    <t>Systems using screen-film image receptors shall provide, at a minimum, for operation with image receptors of 18 x 24 cm and 24 x 30 cm.</t>
  </si>
  <si>
    <t>S-F</t>
  </si>
  <si>
    <t>4(ii)</t>
  </si>
  <si>
    <t>Systems using screen-film image receptors shall be equipped
with moving grids matched to all image receptor sizes provided.</t>
  </si>
  <si>
    <t>4(iii)</t>
  </si>
  <si>
    <t>Systems used for magnification procedures shall be capable of operation with the grid removed from between the source and image receptor.</t>
  </si>
  <si>
    <t>Beam limitation and
light fields</t>
  </si>
  <si>
    <t>5(i)</t>
  </si>
  <si>
    <t>All systems shall have beam limiting devices that allow the
useful beam to extend to or beyond the chest wall edge of the 
image receptor.</t>
  </si>
  <si>
    <t>5(ii)</t>
  </si>
  <si>
    <t>S-F &amp;
FFDM (except Fischer)</t>
  </si>
  <si>
    <t>Magnification</t>
  </si>
  <si>
    <t>6(i)</t>
  </si>
  <si>
    <t>Systems used to perform noninterventional problem-solving
procedures shall have radiographic magnification capability
available for use by the operator.</t>
  </si>
  <si>
    <t>6(ii)</t>
  </si>
  <si>
    <t xml:space="preserve">Systems used for magnification procedures shall provide, at a minimum, at least one magnification value within the range of 1.4 to 2.0. </t>
  </si>
  <si>
    <t>Focal spot selection</t>
  </si>
  <si>
    <t>7(i)</t>
  </si>
  <si>
    <t>When more than one focal spot is provided, the system shall indicate, prior to exposure, which focal spot is selected.</t>
  </si>
  <si>
    <t>7(ii)</t>
  </si>
  <si>
    <t>When more than one target material is provided, the system shall indicate, prior to exposure, the preselected target material.</t>
  </si>
  <si>
    <t>7(iii)</t>
  </si>
  <si>
    <t>When the target material and/or focal spot is selected by a system algorithm that is based on the exposure or on a test exposure, the system shall display, after the exposure, the target material and/or focal spot actually used during the exposure.</t>
  </si>
  <si>
    <t>Application of compression</t>
  </si>
  <si>
    <t>8(i)(A)</t>
  </si>
  <si>
    <t>Each system shall provide an initial power-driven compression activated by hands-free controls operable from both sides of the patient.</t>
  </si>
  <si>
    <t>8(i)(B)</t>
  </si>
  <si>
    <t>Each system shall provide fine adjustment compression controls operable from both sides of the patient.</t>
  </si>
  <si>
    <t>Compression paddle</t>
  </si>
  <si>
    <t>8(ii)(A)</t>
  </si>
  <si>
    <t>Systems shall be equipped with different sized compression paddles that match the sizes of all full-field image receptors provided for the system.</t>
  </si>
  <si>
    <t>8(ii)(B)</t>
  </si>
  <si>
    <t>The compression paddle shall be flat and parallel to the breast support table and shall not deflect from parallel by more than 1.0 cm at any point on the surface of the compression paddle when compression is applied.</t>
  </si>
  <si>
    <t>8(ii)(C)</t>
  </si>
  <si>
    <t>Equipment intended by the manufacturer’s design to not be flat and parallel to the breast support table during compression shall meet the manufacturer’s design specifications and maintenance requirements.</t>
  </si>
  <si>
    <t>8(ii)(D)</t>
  </si>
  <si>
    <t>The chest wall edge of the compression paddle shall be straight and parallel to the edge of the image receptor.</t>
  </si>
  <si>
    <t>8(ii)(E)</t>
  </si>
  <si>
    <t>The chest wall edge may be bent upward to allow for patient comfort but shall not appear on the image.</t>
  </si>
  <si>
    <t>Technique factor selection and display</t>
  </si>
  <si>
    <t>9(i)</t>
  </si>
  <si>
    <t>Manual selection of mAs or at least one of its component parts (mA and/or time) shall be available.</t>
  </si>
  <si>
    <t>9(ii)</t>
  </si>
  <si>
    <t>The technique factors (kVp and either mA and seconds or mAs) to be used during an exposure shall be indicated before the exposure begins, except when AEC is used, in which case the technique factors that are set prior to the exposure shall be indicated.</t>
  </si>
  <si>
    <t>9(iii)</t>
  </si>
  <si>
    <t>Following AEC mode use, the system shall indicate the actual kVp and mAs (or mA and time) used during the exposure.</t>
  </si>
  <si>
    <t>Automatic exposure control</t>
  </si>
  <si>
    <t>10(i)</t>
  </si>
  <si>
    <t>Each screen-film system shall provide an AEC mode that is operable in all combinations of equipment configuration provided, e.g., grid, non-grid; magnification, nonmagnification; and various target-filter combinations.</t>
  </si>
  <si>
    <t>10(ii)</t>
  </si>
  <si>
    <t>10(iii)</t>
  </si>
  <si>
    <t>The system shall provide means for the operator to vary the selected optical density from the normal (zero) setting.</t>
  </si>
  <si>
    <t>X-ray film*</t>
  </si>
  <si>
    <t>The facility shall use X-ray film for mammography that has been designated by the film manufacturer as appropriate for mammography.</t>
  </si>
  <si>
    <t>Intensifying screens*</t>
  </si>
  <si>
    <t>The facility shall use intensifying screens for mammography that have been designated by the screen manufacturer as appropriate for mammography and shall use film that is matched to the screen’s spectral output as specified by the manufacturer.</t>
  </si>
  <si>
    <t>Film processing solutions*</t>
  </si>
  <si>
    <t>For processing mammography films, the facility shall use chemical solutions that are capable of developing the films used by the facility in a manner equivalent to the minimum requirements specified by the film manufacturer.</t>
  </si>
  <si>
    <t>Lighting*</t>
  </si>
  <si>
    <t>The facility shall make special lights for film illumination, i.e., hot-lights, capable of producing light levels greater than that provided by the view box, available to the interpreting physicians.</t>
  </si>
  <si>
    <t>S-F &amp;
FFDM (for hardcopy comparison)</t>
  </si>
  <si>
    <t>Film masking devices*</t>
  </si>
  <si>
    <t>Facilities shall ensure that film masking devices that can limit the illuminated area to a region equal to or smaller than the exposed portion of the film are available to all interpreting physicians interpreting for the facility.</t>
  </si>
  <si>
    <t>* NA is acceptable for new units at existing facilities if these were previously evaluated and have not changed</t>
  </si>
  <si>
    <t>For any mammography system with a light beam that passes through the X-ray beam-limiting device, the light shall provide an average illumination of not less than 160 lux (15 ft-candles) at 100 cm or the maximum source-image receptor distance (SID), whichever is less.</t>
  </si>
  <si>
    <t>The positioning or selection of the detector shall permit flexibility in the placement of the detector under the target tissue. The size and the available positions of the detector shall be clearly indicated at the X-ray input surface of the breast compression paddle.  The selected position of the detector shall be clearly indicated.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</si>
</sst>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7">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
      <sz val="9"/>
      <color indexed="81"/>
      <name val="Tahoma"/>
      <family val="2"/>
    </font>
    <font>
      <b/>
      <sz val="9"/>
      <color indexed="81"/>
      <name val="Tahoma"/>
      <family val="2"/>
    </font>
    <font>
      <b/>
      <sz val="10"/>
      <color theme="1"/>
      <name val="Arial"/>
      <family val="2"/>
    </font>
  </fonts>
  <fills count="27">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
      <patternFill patternType="solid">
        <fgColor rgb="FFFFFF00"/>
        <bgColor indexed="64"/>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
      <left/>
      <right style="medium">
        <color indexed="64"/>
      </right>
      <top style="thin">
        <color indexed="64"/>
      </top>
      <bottom style="thin">
        <color indexed="64"/>
      </bottom>
      <diagonal/>
    </border>
    <border>
      <left style="thin">
        <color rgb="FF000000"/>
      </left>
      <right/>
      <top style="thin">
        <color rgb="FF000000"/>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916">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2" xfId="0" applyFont="1" applyBorder="1" applyAlignment="1">
      <alignment horizontal="right" vertical="center"/>
    </xf>
    <xf numFmtId="0" fontId="7" fillId="0" borderId="154" xfId="0" applyFont="1" applyBorder="1" applyAlignment="1">
      <alignment vertical="center"/>
    </xf>
    <xf numFmtId="0" fontId="7" fillId="0" borderId="154" xfId="0" applyFont="1" applyBorder="1" applyAlignment="1">
      <alignment horizontal="center" vertical="center"/>
    </xf>
    <xf numFmtId="0" fontId="7" fillId="23" borderId="155" xfId="0" applyFont="1" applyFill="1" applyBorder="1" applyAlignment="1">
      <alignment horizontal="center" vertical="center"/>
    </xf>
    <xf numFmtId="0" fontId="7" fillId="0" borderId="152" xfId="0" applyFont="1" applyBorder="1" applyAlignment="1">
      <alignment vertical="center"/>
    </xf>
    <xf numFmtId="0" fontId="7" fillId="0" borderId="157" xfId="0" applyFont="1" applyBorder="1" applyAlignment="1">
      <alignment horizontal="center" vertical="center"/>
    </xf>
    <xf numFmtId="0" fontId="7" fillId="0" borderId="158" xfId="0" applyFont="1" applyBorder="1" applyAlignment="1">
      <alignment horizontal="center" vertical="center"/>
    </xf>
    <xf numFmtId="0" fontId="7" fillId="0" borderId="159" xfId="0" applyFont="1" applyBorder="1" applyAlignment="1">
      <alignment horizontal="center" vertical="center"/>
    </xf>
    <xf numFmtId="0" fontId="7" fillId="0" borderId="153" xfId="0" applyFont="1" applyBorder="1" applyAlignment="1">
      <alignment horizontal="center" vertical="center"/>
    </xf>
    <xf numFmtId="0" fontId="7" fillId="22" borderId="155" xfId="0" applyFont="1" applyFill="1" applyBorder="1" applyAlignment="1">
      <alignment vertical="center"/>
    </xf>
    <xf numFmtId="0" fontId="7" fillId="22" borderId="156"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5"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0" xfId="0" applyFont="1" applyBorder="1" applyAlignment="1">
      <alignment horizontal="center" vertical="center"/>
    </xf>
    <xf numFmtId="0" fontId="7" fillId="23" borderId="114" xfId="0" applyFont="1" applyFill="1" applyBorder="1" applyAlignment="1">
      <alignment horizontal="center" vertical="center"/>
    </xf>
    <xf numFmtId="0" fontId="7" fillId="23" borderId="161" xfId="0" applyFont="1" applyFill="1" applyBorder="1" applyAlignment="1">
      <alignment horizontal="center" vertical="center"/>
    </xf>
    <xf numFmtId="0" fontId="7" fillId="0" borderId="162" xfId="0" applyFont="1" applyBorder="1" applyAlignment="1">
      <alignment horizontal="center" vertical="center"/>
    </xf>
    <xf numFmtId="0" fontId="7" fillId="23" borderId="163" xfId="0" applyFont="1" applyFill="1" applyBorder="1" applyAlignment="1">
      <alignment horizontal="center" vertical="center"/>
    </xf>
    <xf numFmtId="0" fontId="7" fillId="22" borderId="163" xfId="0" applyFont="1" applyFill="1" applyBorder="1" applyAlignment="1">
      <alignment horizontal="center" vertical="center"/>
    </xf>
    <xf numFmtId="0" fontId="7" fillId="22" borderId="164"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5"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6"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7" fillId="0" borderId="0" xfId="0" applyFont="1" applyAlignment="1">
      <alignment horizontal="center" vertical="center"/>
    </xf>
    <xf numFmtId="0" fontId="7" fillId="0" borderId="94" xfId="0" applyFont="1" applyFill="1" applyBorder="1" applyAlignment="1">
      <alignment horizontal="center"/>
    </xf>
    <xf numFmtId="0" fontId="7" fillId="0" borderId="153" xfId="0" applyFont="1" applyFill="1" applyBorder="1" applyAlignment="1">
      <alignment horizontal="center"/>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7" fillId="0" borderId="95" xfId="0" applyFont="1" applyBorder="1" applyAlignment="1">
      <alignment horizontal="center" vertical="top"/>
    </xf>
    <xf numFmtId="0" fontId="7" fillId="0" borderId="85" xfId="0" applyFont="1" applyBorder="1" applyAlignment="1">
      <alignment horizontal="center" vertical="top"/>
    </xf>
    <xf numFmtId="2" fontId="7" fillId="0" borderId="85" xfId="0" applyNumberFormat="1" applyFont="1" applyBorder="1" applyAlignment="1">
      <alignment horizontal="center" vertical="top"/>
    </xf>
    <xf numFmtId="10" fontId="7" fillId="0" borderId="85" xfId="9" applyNumberFormat="1" applyFont="1" applyBorder="1" applyAlignment="1">
      <alignment horizontal="center" vertical="top"/>
    </xf>
    <xf numFmtId="171" fontId="7" fillId="26" borderId="0" xfId="0" applyNumberFormat="1" applyFont="1" applyFill="1" applyAlignment="1">
      <alignment horizontal="center" vertical="center"/>
    </xf>
    <xf numFmtId="2" fontId="7" fillId="0" borderId="44"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0" fontId="7" fillId="0" borderId="93" xfId="0" applyFont="1" applyFill="1" applyBorder="1" applyAlignment="1">
      <alignment horizontal="center" vertical="center"/>
    </xf>
    <xf numFmtId="164" fontId="7" fillId="0" borderId="94" xfId="0" applyNumberFormat="1" applyFont="1" applyFill="1" applyBorder="1" applyAlignment="1">
      <alignment horizontal="center" vertical="center"/>
    </xf>
    <xf numFmtId="164" fontId="7" fillId="0" borderId="87" xfId="0" applyNumberFormat="1" applyFont="1" applyFill="1" applyBorder="1" applyAlignment="1">
      <alignment horizontal="center" vertical="center"/>
    </xf>
    <xf numFmtId="2" fontId="7" fillId="0" borderId="95" xfId="0" applyNumberFormat="1" applyFont="1" applyFill="1" applyBorder="1" applyAlignment="1">
      <alignment horizontal="center" vertical="center"/>
    </xf>
    <xf numFmtId="2" fontId="7" fillId="0" borderId="88" xfId="0" applyNumberFormat="1" applyFont="1" applyFill="1" applyBorder="1" applyAlignment="1">
      <alignment horizontal="center" vertical="center"/>
    </xf>
    <xf numFmtId="0" fontId="7" fillId="0" borderId="117" xfId="0" applyFont="1" applyBorder="1" applyAlignment="1">
      <alignment vertical="center"/>
    </xf>
    <xf numFmtId="0" fontId="12" fillId="0" borderId="78" xfId="0" applyFont="1" applyBorder="1" applyAlignment="1">
      <alignment vertic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167" xfId="0" applyFont="1" applyBorder="1" applyAlignment="1">
      <alignment horizontal="center" vertical="top"/>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20" xfId="0" applyFont="1" applyFill="1" applyBorder="1" applyAlignment="1">
      <alignment horizontal="left"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30" xfId="0" applyFont="1" applyFill="1" applyBorder="1" applyAlignment="1">
      <alignment horizontal="center" vertical="center" wrapText="1"/>
    </xf>
    <xf numFmtId="0" fontId="7" fillId="0" borderId="47" xfId="0" applyFont="1" applyFill="1" applyBorder="1" applyAlignment="1">
      <alignment horizontal="center" vertical="center" wrapText="1"/>
    </xf>
    <xf numFmtId="0" fontId="7" fillId="0" borderId="168" xfId="0" applyFont="1" applyFill="1" applyBorder="1" applyAlignment="1">
      <alignment horizontal="center" vertical="center"/>
    </xf>
    <xf numFmtId="0" fontId="7" fillId="0" borderId="19" xfId="0" applyFont="1" applyFill="1" applyBorder="1" applyAlignment="1">
      <alignment horizontal="center" vertical="center"/>
    </xf>
    <xf numFmtId="0" fontId="7" fillId="0" borderId="71" xfId="0" applyFont="1" applyFill="1" applyBorder="1"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center" vertical="center" wrapText="1"/>
    </xf>
    <xf numFmtId="0" fontId="66" fillId="0" borderId="0" xfId="0" applyFont="1" applyAlignment="1">
      <alignment horizontal="center" vertical="center" wrapText="1"/>
    </xf>
    <xf numFmtId="0" fontId="2" fillId="0" borderId="94" xfId="0" applyFont="1" applyBorder="1" applyAlignment="1">
      <alignment horizontal="center" vertical="center" wrapText="1"/>
    </xf>
    <xf numFmtId="0" fontId="2" fillId="0" borderId="95" xfId="0" applyFont="1" applyBorder="1" applyAlignment="1">
      <alignment horizontal="center" vertical="center" wrapText="1"/>
    </xf>
    <xf numFmtId="0" fontId="2" fillId="0" borderId="84" xfId="0" applyFont="1" applyBorder="1" applyAlignment="1">
      <alignment horizontal="center" vertical="center" wrapText="1"/>
    </xf>
    <xf numFmtId="0" fontId="2" fillId="0" borderId="73" xfId="0" applyFont="1" applyBorder="1" applyAlignment="1">
      <alignment horizontal="center" vertical="center" wrapText="1"/>
    </xf>
    <xf numFmtId="0" fontId="2" fillId="0" borderId="73" xfId="0" applyFont="1" applyBorder="1" applyAlignment="1">
      <alignment horizontal="left" vertical="center" wrapText="1"/>
    </xf>
    <xf numFmtId="0" fontId="2" fillId="0" borderId="85" xfId="0" applyFont="1" applyBorder="1" applyAlignment="1">
      <alignment horizontal="center" vertical="center" wrapText="1"/>
    </xf>
    <xf numFmtId="0" fontId="2" fillId="0" borderId="87" xfId="0" applyFont="1" applyBorder="1" applyAlignment="1">
      <alignment horizontal="center" vertical="center" wrapText="1"/>
    </xf>
    <xf numFmtId="0" fontId="2" fillId="0" borderId="87" xfId="0" applyFont="1" applyBorder="1" applyAlignment="1">
      <alignment horizontal="left" vertical="center" wrapText="1"/>
    </xf>
    <xf numFmtId="0" fontId="2" fillId="0" borderId="88" xfId="0" applyFont="1" applyBorder="1" applyAlignment="1">
      <alignment horizontal="center" vertical="center" wrapText="1"/>
    </xf>
    <xf numFmtId="0" fontId="2" fillId="0" borderId="169" xfId="0" applyFont="1" applyBorder="1" applyAlignment="1">
      <alignment horizontal="center" vertical="center" wrapText="1"/>
    </xf>
    <xf numFmtId="0" fontId="2" fillId="0" borderId="170" xfId="0" applyFont="1" applyBorder="1" applyAlignment="1">
      <alignment horizontal="center" vertical="center" wrapText="1"/>
    </xf>
    <xf numFmtId="0" fontId="2" fillId="0" borderId="171" xfId="0" applyFont="1" applyBorder="1" applyAlignment="1">
      <alignment horizontal="center" vertical="center" wrapText="1"/>
    </xf>
    <xf numFmtId="0" fontId="2" fillId="0" borderId="172" xfId="0" applyFont="1" applyBorder="1" applyAlignment="1">
      <alignment horizontal="center" vertical="center" wrapText="1"/>
    </xf>
    <xf numFmtId="0" fontId="2" fillId="0" borderId="173" xfId="0" applyFont="1" applyBorder="1" applyAlignment="1">
      <alignment horizontal="center" vertical="center" wrapText="1"/>
    </xf>
    <xf numFmtId="0" fontId="2" fillId="0" borderId="173" xfId="0" applyFont="1" applyBorder="1" applyAlignment="1">
      <alignment horizontal="left" vertical="center" wrapText="1"/>
    </xf>
    <xf numFmtId="0" fontId="2" fillId="0" borderId="174" xfId="0" applyFont="1" applyBorder="1" applyAlignment="1">
      <alignment horizontal="center" vertical="center" wrapText="1"/>
    </xf>
    <xf numFmtId="0" fontId="2" fillId="0" borderId="86" xfId="0" applyFont="1" applyBorder="1" applyAlignment="1">
      <alignment horizontal="center" vertical="center" wrapText="1"/>
    </xf>
    <xf numFmtId="0" fontId="2" fillId="0" borderId="93" xfId="0" applyFont="1" applyBorder="1" applyAlignment="1">
      <alignment horizontal="center" vertical="center" wrapText="1"/>
    </xf>
    <xf numFmtId="0" fontId="2" fillId="0" borderId="94" xfId="0" applyFont="1" applyBorder="1" applyAlignment="1">
      <alignment horizontal="left" vertical="center" wrapText="1"/>
    </xf>
    <xf numFmtId="0" fontId="2" fillId="0" borderId="175" xfId="0" applyFont="1" applyBorder="1" applyAlignment="1">
      <alignment horizontal="center" vertical="center" wrapText="1"/>
    </xf>
    <xf numFmtId="0" fontId="2" fillId="0" borderId="176" xfId="0" applyFont="1" applyBorder="1" applyAlignment="1">
      <alignment horizontal="center" vertical="center" wrapText="1"/>
    </xf>
    <xf numFmtId="0" fontId="2" fillId="0" borderId="176" xfId="0" applyFont="1" applyBorder="1" applyAlignment="1">
      <alignment horizontal="left" vertical="center" wrapText="1"/>
    </xf>
    <xf numFmtId="0" fontId="2" fillId="0" borderId="177" xfId="0" applyFont="1" applyBorder="1" applyAlignment="1">
      <alignment horizontal="center" vertical="center" wrapText="1"/>
    </xf>
    <xf numFmtId="0" fontId="2" fillId="0" borderId="119" xfId="0" applyFont="1" applyBorder="1" applyAlignment="1">
      <alignment horizontal="center" vertical="center" wrapText="1"/>
    </xf>
    <xf numFmtId="0" fontId="2" fillId="0" borderId="120" xfId="0" applyFont="1" applyBorder="1" applyAlignment="1">
      <alignment horizontal="center" vertical="center" wrapText="1"/>
    </xf>
    <xf numFmtId="0" fontId="2" fillId="0" borderId="120" xfId="0" applyFont="1" applyBorder="1" applyAlignment="1">
      <alignment horizontal="left" vertical="center" wrapText="1"/>
    </xf>
    <xf numFmtId="0" fontId="2" fillId="0" borderId="121" xfId="0" applyFont="1" applyBorder="1" applyAlignment="1">
      <alignment horizontal="center" vertical="center" wrapText="1"/>
    </xf>
    <xf numFmtId="0" fontId="2" fillId="0" borderId="80" xfId="0" applyFont="1" applyBorder="1" applyAlignment="1">
      <alignment horizontal="center" vertical="center" wrapText="1"/>
    </xf>
    <xf numFmtId="0" fontId="2" fillId="0" borderId="92" xfId="0" applyFont="1" applyBorder="1" applyAlignment="1">
      <alignment horizontal="center" vertical="center" wrapText="1"/>
    </xf>
    <xf numFmtId="0" fontId="2" fillId="0" borderId="80" xfId="0" applyFont="1" applyBorder="1" applyAlignment="1">
      <alignment horizontal="center" vertical="center" wrapText="1"/>
    </xf>
    <xf numFmtId="175" fontId="2" fillId="0" borderId="92" xfId="0" applyNumberFormat="1" applyFont="1" applyBorder="1" applyAlignment="1">
      <alignment horizontal="center" vertical="center" wrapText="1"/>
    </xf>
    <xf numFmtId="0" fontId="2" fillId="0" borderId="92" xfId="0" applyFont="1" applyBorder="1" applyAlignment="1">
      <alignment horizontal="center" vertical="center" wrapText="1"/>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74">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227473576"/>
        <c:axId val="227473968"/>
      </c:scatterChart>
      <c:valAx>
        <c:axId val="227473576"/>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473968"/>
        <c:crosses val="autoZero"/>
        <c:crossBetween val="midCat"/>
      </c:valAx>
      <c:valAx>
        <c:axId val="227473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4735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(45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Tables!$D$53:$K$53</c:f>
              <c:numCache>
                <c:formatCode>General</c:formatCode>
                <c:ptCount val="8"/>
                <c:pt idx="0">
                  <c:v>0.13</c:v>
                </c:pt>
                <c:pt idx="1">
                  <c:v>0.155</c:v>
                </c:pt>
                <c:pt idx="2">
                  <c:v>0.17699999999999999</c:v>
                </c:pt>
                <c:pt idx="3">
                  <c:v>0.19800000000000001</c:v>
                </c:pt>
                <c:pt idx="4">
                  <c:v>0.22</c:v>
                </c:pt>
                <c:pt idx="5">
                  <c:v>0.245</c:v>
                </c:pt>
                <c:pt idx="6">
                  <c:v>0.27200000000000002</c:v>
                </c:pt>
                <c:pt idx="7">
                  <c:v>0.29499999999999998</c:v>
                </c:pt>
              </c:numCache>
            </c:numRef>
          </c:yVal>
          <c:smooth val="1"/>
        </c:ser>
        <c:dLbls>
          <c:showLegendKey val="0"/>
          <c:showVal val="0"/>
          <c:showCatName val="0"/>
          <c:showSerName val="0"/>
          <c:showPercent val="0"/>
          <c:showBubbleSize val="0"/>
        </c:dLbls>
        <c:axId val="176392456"/>
        <c:axId val="227474752"/>
      </c:scatterChart>
      <c:valAx>
        <c:axId val="176392456"/>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474752"/>
        <c:crosses val="autoZero"/>
        <c:crossBetween val="midCat"/>
      </c:valAx>
      <c:valAx>
        <c:axId val="227474752"/>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3924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a:t>
            </a:r>
            <a:r>
              <a:rPr lang="en-US" baseline="0"/>
              <a:t> (45 mm PMMA)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Tables!$E$54:$K$54</c:f>
              <c:numCache>
                <c:formatCode>General</c:formatCode>
                <c:ptCount val="7"/>
                <c:pt idx="0">
                  <c:v>1.109</c:v>
                </c:pt>
                <c:pt idx="1">
                  <c:v>1.105</c:v>
                </c:pt>
                <c:pt idx="2">
                  <c:v>1.1020000000000001</c:v>
                </c:pt>
                <c:pt idx="3">
                  <c:v>1.099</c:v>
                </c:pt>
                <c:pt idx="4">
                  <c:v>1.0960000000000001</c:v>
                </c:pt>
                <c:pt idx="5">
                  <c:v>1.091</c:v>
                </c:pt>
                <c:pt idx="6">
                  <c:v>1.0880000000000001</c:v>
                </c:pt>
              </c:numCache>
            </c:numRef>
          </c:yVal>
          <c:smooth val="1"/>
        </c:ser>
        <c:dLbls>
          <c:showLegendKey val="0"/>
          <c:showVal val="0"/>
          <c:showCatName val="0"/>
          <c:showSerName val="0"/>
          <c:showPercent val="0"/>
          <c:showBubbleSize val="0"/>
        </c:dLbls>
        <c:axId val="226002408"/>
        <c:axId val="226002800"/>
      </c:scatterChart>
      <c:valAx>
        <c:axId val="226002408"/>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2800"/>
        <c:crosses val="autoZero"/>
        <c:crossBetween val="midCat"/>
      </c:valAx>
      <c:valAx>
        <c:axId val="22600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2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Tables!$D$55:$K$55</c:f>
              <c:numCache>
                <c:formatCode>General</c:formatCode>
                <c:ptCount val="8"/>
                <c:pt idx="0">
                  <c:v>0.112</c:v>
                </c:pt>
                <c:pt idx="1">
                  <c:v>0.13500000000000001</c:v>
                </c:pt>
                <c:pt idx="2">
                  <c:v>0.154</c:v>
                </c:pt>
                <c:pt idx="3">
                  <c:v>0.17199999999999999</c:v>
                </c:pt>
                <c:pt idx="4">
                  <c:v>0.192</c:v>
                </c:pt>
                <c:pt idx="5">
                  <c:v>0.214</c:v>
                </c:pt>
                <c:pt idx="6">
                  <c:v>0.23599999999999999</c:v>
                </c:pt>
                <c:pt idx="7">
                  <c:v>0.26100000000000001</c:v>
                </c:pt>
              </c:numCache>
            </c:numRef>
          </c:yVal>
          <c:smooth val="1"/>
        </c:ser>
        <c:dLbls>
          <c:showLegendKey val="0"/>
          <c:showVal val="0"/>
          <c:showCatName val="0"/>
          <c:showSerName val="0"/>
          <c:showPercent val="0"/>
          <c:showBubbleSize val="0"/>
        </c:dLbls>
        <c:axId val="226003584"/>
        <c:axId val="226003976"/>
      </c:scatterChart>
      <c:valAx>
        <c:axId val="226003584"/>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3976"/>
        <c:crosses val="autoZero"/>
        <c:crossBetween val="midCat"/>
      </c:valAx>
      <c:valAx>
        <c:axId val="226003976"/>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3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Tables!$E$56:$K$56</c:f>
              <c:numCache>
                <c:formatCode>0.000</c:formatCode>
                <c:ptCount val="7"/>
                <c:pt idx="0">
                  <c:v>1.1639999999999999</c:v>
                </c:pt>
                <c:pt idx="1">
                  <c:v>1.1599999999999999</c:v>
                </c:pt>
                <c:pt idx="2">
                  <c:v>1.151</c:v>
                </c:pt>
                <c:pt idx="3">
                  <c:v>1.1499999999999999</c:v>
                </c:pt>
                <c:pt idx="4">
                  <c:v>1.1439999999999999</c:v>
                </c:pt>
                <c:pt idx="5">
                  <c:v>1.139</c:v>
                </c:pt>
                <c:pt idx="6">
                  <c:v>1.1339999999999999</c:v>
                </c:pt>
              </c:numCache>
            </c:numRef>
          </c:yVal>
          <c:smooth val="1"/>
        </c:ser>
        <c:dLbls>
          <c:showLegendKey val="0"/>
          <c:showVal val="0"/>
          <c:showCatName val="0"/>
          <c:showSerName val="0"/>
          <c:showPercent val="0"/>
          <c:showBubbleSize val="0"/>
        </c:dLbls>
        <c:axId val="226004760"/>
        <c:axId val="226005152"/>
      </c:scatterChart>
      <c:valAx>
        <c:axId val="226004760"/>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5152"/>
        <c:crosses val="autoZero"/>
        <c:crossBetween val="midCat"/>
      </c:valAx>
      <c:valAx>
        <c:axId val="22600515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047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2.tif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1276350</xdr:colOff>
      <xdr:row>6</xdr:row>
      <xdr:rowOff>9525</xdr:rowOff>
    </xdr:from>
    <xdr:to>
      <xdr:col>2</xdr:col>
      <xdr:colOff>1952625</xdr:colOff>
      <xdr:row>7</xdr:row>
      <xdr:rowOff>49355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1825" y="1162050"/>
          <a:ext cx="676275" cy="2017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49</xdr:row>
      <xdr:rowOff>0</xdr:rowOff>
    </xdr:from>
    <xdr:to>
      <xdr:col>20</xdr:col>
      <xdr:colOff>508000</xdr:colOff>
      <xdr:row>64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65</xdr:row>
      <xdr:rowOff>0</xdr:rowOff>
    </xdr:from>
    <xdr:to>
      <xdr:col>20</xdr:col>
      <xdr:colOff>508000</xdr:colOff>
      <xdr:row>80</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81</xdr:row>
      <xdr:rowOff>0</xdr:rowOff>
    </xdr:from>
    <xdr:to>
      <xdr:col>20</xdr:col>
      <xdr:colOff>508000</xdr:colOff>
      <xdr:row>96</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97</xdr:row>
      <xdr:rowOff>0</xdr:rowOff>
    </xdr:from>
    <xdr:to>
      <xdr:col>20</xdr:col>
      <xdr:colOff>508000</xdr:colOff>
      <xdr:row>112</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workbookViewId="0">
      <selection activeCell="E7" sqref="E7:H7"/>
    </sheetView>
  </sheetViews>
  <sheetFormatPr defaultRowHeight="12.75"/>
  <cols>
    <col min="1" max="1" width="5" style="500" customWidth="1"/>
    <col min="2" max="2" width="5.375" style="500" customWidth="1"/>
    <col min="3" max="3" width="5.875" style="500" customWidth="1"/>
    <col min="4" max="4" width="7.375" style="500" customWidth="1"/>
    <col min="5" max="5" width="5.875" style="500" customWidth="1"/>
    <col min="6" max="7" width="7.375" style="500" customWidth="1"/>
    <col min="8" max="10" width="7.625" style="500" customWidth="1"/>
    <col min="11" max="12" width="8.375" style="500" customWidth="1"/>
    <col min="13" max="13" width="6.625" style="500" customWidth="1"/>
    <col min="14" max="14" width="15.125" style="500" customWidth="1"/>
    <col min="15" max="16384" width="9" style="500"/>
  </cols>
  <sheetData>
    <row r="1" spans="1:14" ht="26.25">
      <c r="A1" s="787" t="s">
        <v>374</v>
      </c>
      <c r="B1" s="787"/>
      <c r="C1" s="787"/>
      <c r="D1" s="787"/>
      <c r="E1" s="787"/>
      <c r="F1" s="787"/>
      <c r="G1" s="787"/>
      <c r="H1" s="787"/>
      <c r="I1" s="787"/>
      <c r="J1" s="787"/>
      <c r="K1" s="787"/>
      <c r="L1" s="787"/>
      <c r="M1" s="787"/>
      <c r="N1" s="787"/>
    </row>
    <row r="2" spans="1:14" ht="26.25">
      <c r="A2" s="787" t="s">
        <v>375</v>
      </c>
      <c r="B2" s="787"/>
      <c r="C2" s="787"/>
      <c r="D2" s="787"/>
      <c r="E2" s="787"/>
      <c r="F2" s="787"/>
      <c r="G2" s="787"/>
      <c r="H2" s="787"/>
      <c r="I2" s="787"/>
      <c r="J2" s="787"/>
      <c r="K2" s="787"/>
      <c r="L2" s="787"/>
      <c r="M2" s="787"/>
      <c r="N2" s="787"/>
    </row>
    <row r="3" spans="1:14" ht="16.5" customHeight="1">
      <c r="A3" s="538"/>
      <c r="B3" s="538"/>
      <c r="C3" s="538"/>
      <c r="D3" s="538"/>
      <c r="E3" s="538"/>
      <c r="F3" s="538"/>
      <c r="G3" s="538"/>
      <c r="H3" s="538"/>
      <c r="I3" s="538"/>
      <c r="J3" s="538"/>
      <c r="K3" s="538"/>
      <c r="L3" s="538"/>
      <c r="M3" s="538"/>
      <c r="N3" s="538"/>
    </row>
    <row r="4" spans="1:14" ht="16.5" customHeight="1">
      <c r="A4" s="517" t="s">
        <v>376</v>
      </c>
      <c r="B4" s="517"/>
      <c r="C4" s="788" t="str">
        <f>Sheet1!R10</f>
        <v/>
      </c>
      <c r="D4" s="789"/>
      <c r="E4" s="789"/>
      <c r="F4" s="789"/>
      <c r="G4" s="789"/>
      <c r="H4" s="790"/>
      <c r="J4" s="536"/>
      <c r="K4" s="535" t="s">
        <v>377</v>
      </c>
      <c r="L4" s="794"/>
      <c r="M4" s="795"/>
      <c r="N4" s="796"/>
    </row>
    <row r="5" spans="1:14" ht="16.5" customHeight="1">
      <c r="A5" s="517" t="s">
        <v>378</v>
      </c>
      <c r="B5" s="517"/>
      <c r="C5" s="788"/>
      <c r="D5" s="789"/>
      <c r="E5" s="789"/>
      <c r="F5" s="789"/>
      <c r="G5" s="789"/>
      <c r="H5" s="790"/>
      <c r="J5" s="536"/>
      <c r="K5" s="535" t="s">
        <v>379</v>
      </c>
      <c r="L5" s="794">
        <f>Sheet1!P7</f>
        <v>0</v>
      </c>
      <c r="M5" s="795"/>
      <c r="N5" s="796"/>
    </row>
    <row r="6" spans="1:14" ht="16.5" customHeight="1">
      <c r="A6" s="517" t="s">
        <v>380</v>
      </c>
      <c r="B6" s="517"/>
      <c r="C6" s="517"/>
      <c r="D6" s="517"/>
      <c r="E6" s="806" t="s">
        <v>13</v>
      </c>
      <c r="F6" s="806"/>
      <c r="G6" s="806"/>
      <c r="H6" s="806"/>
      <c r="J6" s="536"/>
      <c r="K6" s="535" t="s">
        <v>381</v>
      </c>
      <c r="L6" s="788"/>
      <c r="M6" s="789"/>
      <c r="N6" s="790"/>
    </row>
    <row r="7" spans="1:14" ht="16.5" customHeight="1">
      <c r="A7" s="517" t="s">
        <v>382</v>
      </c>
      <c r="B7" s="517"/>
      <c r="C7" s="517"/>
      <c r="D7" s="517"/>
      <c r="E7" s="807" t="s">
        <v>383</v>
      </c>
      <c r="F7" s="808"/>
      <c r="G7" s="808"/>
      <c r="H7" s="809"/>
      <c r="J7" s="536"/>
      <c r="K7" s="535" t="s">
        <v>384</v>
      </c>
      <c r="L7" s="788" t="str">
        <f>Sheet1!R18</f>
        <v/>
      </c>
      <c r="M7" s="789"/>
      <c r="N7" s="790"/>
    </row>
    <row r="8" spans="1:14" ht="16.5" customHeight="1">
      <c r="A8" s="517" t="s">
        <v>385</v>
      </c>
      <c r="B8" s="517"/>
      <c r="C8" s="517"/>
      <c r="D8" s="517"/>
      <c r="E8" s="800" t="str">
        <f>Sheet1!V12</f>
        <v/>
      </c>
      <c r="F8" s="801"/>
      <c r="G8" s="801"/>
      <c r="H8" s="802"/>
      <c r="J8" s="536"/>
      <c r="K8" s="535" t="s">
        <v>386</v>
      </c>
      <c r="L8" s="788" t="str">
        <f>Sheet1!R14</f>
        <v/>
      </c>
      <c r="M8" s="789"/>
      <c r="N8" s="790"/>
    </row>
    <row r="9" spans="1:14" ht="11.25" customHeight="1">
      <c r="A9" s="517"/>
      <c r="B9" s="517"/>
      <c r="C9" s="517"/>
      <c r="D9" s="517"/>
      <c r="E9" s="537"/>
      <c r="F9" s="534"/>
      <c r="G9" s="534"/>
      <c r="H9" s="534"/>
      <c r="J9" s="536"/>
      <c r="K9" s="535"/>
      <c r="L9" s="534"/>
      <c r="M9" s="534"/>
      <c r="N9" s="534"/>
    </row>
    <row r="10" spans="1:14" ht="16.5" customHeight="1">
      <c r="A10" s="529" t="s">
        <v>569</v>
      </c>
      <c r="E10" s="797" t="s">
        <v>646</v>
      </c>
      <c r="F10" s="798"/>
      <c r="G10" s="798"/>
      <c r="H10" s="799"/>
      <c r="I10" s="533" t="s">
        <v>568</v>
      </c>
    </row>
    <row r="11" spans="1:14" ht="11.25" customHeight="1">
      <c r="C11" s="517"/>
      <c r="D11" s="517"/>
      <c r="E11" s="517"/>
      <c r="F11" s="517"/>
      <c r="G11" s="517"/>
      <c r="H11" s="532"/>
      <c r="I11" s="532"/>
      <c r="K11" s="531"/>
      <c r="L11" s="531"/>
      <c r="M11" s="531"/>
      <c r="N11" s="531"/>
    </row>
    <row r="12" spans="1:14" ht="16.5" customHeight="1" thickBot="1">
      <c r="A12" s="517" t="s">
        <v>388</v>
      </c>
      <c r="B12" s="517"/>
      <c r="C12" s="517"/>
      <c r="D12" s="517"/>
      <c r="E12" s="791" t="s">
        <v>389</v>
      </c>
      <c r="F12" s="793"/>
      <c r="G12" s="791" t="s">
        <v>384</v>
      </c>
      <c r="H12" s="793"/>
      <c r="I12" s="791" t="s">
        <v>17</v>
      </c>
      <c r="J12" s="793"/>
      <c r="K12" s="791" t="s">
        <v>387</v>
      </c>
      <c r="L12" s="792"/>
      <c r="M12" s="792"/>
      <c r="N12" s="793"/>
    </row>
    <row r="13" spans="1:14" ht="16.5" customHeight="1" thickTop="1">
      <c r="A13" s="517"/>
      <c r="B13" s="517"/>
      <c r="C13" s="517"/>
      <c r="D13" s="523" t="s">
        <v>390</v>
      </c>
      <c r="E13" s="803"/>
      <c r="F13" s="805"/>
      <c r="G13" s="803"/>
      <c r="H13" s="805"/>
      <c r="I13" s="819"/>
      <c r="J13" s="820"/>
      <c r="K13" s="803"/>
      <c r="L13" s="804"/>
      <c r="M13" s="804"/>
      <c r="N13" s="805"/>
    </row>
    <row r="14" spans="1:14" ht="16.5" customHeight="1">
      <c r="D14" s="523" t="s">
        <v>391</v>
      </c>
      <c r="E14" s="814"/>
      <c r="F14" s="816"/>
      <c r="G14" s="814"/>
      <c r="H14" s="816"/>
      <c r="I14" s="812"/>
      <c r="J14" s="813"/>
      <c r="K14" s="814"/>
      <c r="L14" s="815"/>
      <c r="M14" s="815"/>
      <c r="N14" s="816"/>
    </row>
    <row r="15" spans="1:14" s="530" customFormat="1" ht="36" customHeight="1">
      <c r="A15" s="818" t="s">
        <v>392</v>
      </c>
      <c r="B15" s="818"/>
      <c r="C15" s="818"/>
      <c r="D15" s="818"/>
      <c r="E15" s="818"/>
      <c r="F15" s="818"/>
      <c r="G15" s="818"/>
      <c r="H15" s="818"/>
      <c r="I15" s="818"/>
      <c r="J15" s="818"/>
      <c r="K15" s="818"/>
      <c r="L15" s="818"/>
      <c r="M15" s="818"/>
      <c r="N15" s="818"/>
    </row>
    <row r="16" spans="1:14" ht="16.5" customHeight="1">
      <c r="A16" s="529" t="s">
        <v>393</v>
      </c>
      <c r="B16" s="529"/>
      <c r="C16" s="528"/>
      <c r="D16" s="524" t="s">
        <v>394</v>
      </c>
      <c r="E16" s="524"/>
      <c r="F16" s="524"/>
      <c r="G16" s="525"/>
      <c r="H16" s="527"/>
      <c r="I16" s="526"/>
      <c r="J16" s="525"/>
      <c r="K16" s="524"/>
      <c r="L16" s="524"/>
      <c r="N16" s="523" t="s">
        <v>395</v>
      </c>
    </row>
    <row r="17" spans="1:14" ht="13.5" customHeight="1">
      <c r="A17" s="522"/>
      <c r="B17" s="522"/>
      <c r="C17" s="521"/>
      <c r="D17" s="520"/>
      <c r="E17" s="521"/>
      <c r="F17" s="521"/>
      <c r="G17" s="520"/>
      <c r="H17" s="519"/>
      <c r="I17" s="518"/>
      <c r="J17" s="518"/>
      <c r="K17" s="518"/>
      <c r="L17" s="518"/>
      <c r="M17" s="518"/>
    </row>
    <row r="18" spans="1:14" ht="21" customHeight="1">
      <c r="A18" s="817" t="s">
        <v>396</v>
      </c>
      <c r="B18" s="817"/>
      <c r="C18" s="817"/>
      <c r="D18" s="817"/>
      <c r="E18" s="817"/>
      <c r="F18" s="817"/>
      <c r="G18" s="817"/>
      <c r="H18" s="817"/>
      <c r="I18" s="817"/>
      <c r="J18" s="817"/>
      <c r="K18" s="817"/>
      <c r="L18" s="817"/>
      <c r="M18" s="817"/>
      <c r="N18" s="817"/>
    </row>
    <row r="19" spans="1:14" ht="15" customHeight="1">
      <c r="A19" s="811" t="s">
        <v>567</v>
      </c>
      <c r="B19" s="811"/>
      <c r="C19" s="811"/>
      <c r="D19" s="811"/>
      <c r="E19" s="811"/>
      <c r="F19" s="811"/>
      <c r="G19" s="811"/>
      <c r="H19" s="811"/>
      <c r="I19" s="811"/>
      <c r="J19" s="811"/>
      <c r="K19" s="811"/>
      <c r="L19" s="811"/>
      <c r="M19" s="811"/>
      <c r="N19" s="811"/>
    </row>
    <row r="20" spans="1:14" ht="15" customHeight="1">
      <c r="A20" s="517"/>
      <c r="B20" s="517"/>
      <c r="C20" s="517"/>
      <c r="D20" s="517"/>
      <c r="E20" s="517"/>
      <c r="F20" s="517"/>
      <c r="G20" s="517"/>
      <c r="H20" s="517"/>
      <c r="I20" s="517"/>
      <c r="J20" s="517"/>
      <c r="K20" s="517"/>
      <c r="L20" s="517"/>
      <c r="M20" s="517"/>
      <c r="N20" s="516" t="s">
        <v>397</v>
      </c>
    </row>
    <row r="21" spans="1:14" ht="15.75" customHeight="1">
      <c r="A21" s="502" t="s">
        <v>566</v>
      </c>
      <c r="B21" s="502"/>
      <c r="C21" s="502"/>
      <c r="D21" s="502"/>
      <c r="E21" s="502"/>
      <c r="F21" s="502"/>
      <c r="G21" s="502"/>
      <c r="H21" s="502"/>
      <c r="I21" s="502"/>
      <c r="J21" s="502"/>
      <c r="K21" s="502"/>
      <c r="L21" s="502"/>
      <c r="M21" s="502"/>
      <c r="N21" s="503"/>
    </row>
    <row r="22" spans="1:14" ht="15.75" customHeight="1">
      <c r="A22" s="502" t="s">
        <v>398</v>
      </c>
      <c r="B22" s="502"/>
      <c r="C22" s="502"/>
      <c r="D22" s="502"/>
      <c r="E22" s="502"/>
      <c r="F22" s="502"/>
      <c r="G22" s="502"/>
      <c r="H22" s="502"/>
      <c r="I22" s="502"/>
      <c r="J22" s="502"/>
      <c r="K22" s="502"/>
      <c r="L22" s="502"/>
      <c r="M22" s="502"/>
      <c r="N22" s="503"/>
    </row>
    <row r="23" spans="1:14" ht="15.75" customHeight="1">
      <c r="A23" s="502" t="s">
        <v>399</v>
      </c>
      <c r="B23" s="502"/>
      <c r="C23" s="502"/>
      <c r="D23" s="502"/>
      <c r="E23" s="502"/>
      <c r="F23" s="502"/>
      <c r="G23" s="502"/>
      <c r="H23" s="502"/>
      <c r="I23" s="502"/>
      <c r="J23" s="502"/>
      <c r="K23" s="502"/>
      <c r="L23" s="502"/>
      <c r="M23" s="502"/>
      <c r="N23" s="503"/>
    </row>
    <row r="24" spans="1:14" ht="15.75" customHeight="1">
      <c r="A24" s="502" t="s">
        <v>400</v>
      </c>
      <c r="B24" s="502"/>
      <c r="C24" s="502"/>
      <c r="D24" s="502"/>
      <c r="E24" s="502"/>
      <c r="F24" s="502"/>
      <c r="G24" s="502"/>
      <c r="H24" s="502"/>
      <c r="I24" s="502"/>
      <c r="J24" s="502"/>
      <c r="K24" s="502"/>
      <c r="L24" s="502"/>
      <c r="M24" s="502"/>
      <c r="N24" s="503"/>
    </row>
    <row r="25" spans="1:14" ht="15.75" customHeight="1">
      <c r="A25" s="502" t="s">
        <v>401</v>
      </c>
      <c r="B25" s="502"/>
      <c r="C25" s="502"/>
      <c r="D25" s="502"/>
      <c r="E25" s="502"/>
      <c r="F25" s="502"/>
      <c r="G25" s="502"/>
      <c r="H25" s="502"/>
      <c r="I25" s="502"/>
      <c r="J25" s="502"/>
      <c r="K25" s="502"/>
      <c r="L25" s="502"/>
      <c r="M25" s="502"/>
      <c r="N25" s="503"/>
    </row>
    <row r="26" spans="1:14" ht="15.75" customHeight="1">
      <c r="A26" s="502" t="s">
        <v>402</v>
      </c>
      <c r="B26" s="502"/>
      <c r="C26" s="502"/>
      <c r="D26" s="502"/>
      <c r="E26" s="502"/>
      <c r="F26" s="502"/>
      <c r="G26" s="502"/>
      <c r="H26" s="502"/>
      <c r="I26" s="502"/>
      <c r="J26" s="502"/>
      <c r="K26" s="502"/>
      <c r="L26" s="502"/>
      <c r="M26" s="502"/>
      <c r="N26" s="503"/>
    </row>
    <row r="27" spans="1:14" ht="15.75" customHeight="1">
      <c r="A27" s="502" t="s">
        <v>403</v>
      </c>
      <c r="B27" s="502"/>
      <c r="C27" s="502"/>
      <c r="D27" s="502"/>
      <c r="E27" s="502"/>
      <c r="F27" s="502"/>
      <c r="G27" s="502"/>
      <c r="H27" s="502"/>
      <c r="I27" s="502"/>
      <c r="J27" s="502"/>
      <c r="K27" s="502"/>
      <c r="L27" s="502"/>
      <c r="M27" s="502"/>
      <c r="N27" s="503"/>
    </row>
    <row r="28" spans="1:14" ht="15.75" customHeight="1">
      <c r="A28" s="502" t="s">
        <v>565</v>
      </c>
      <c r="B28" s="502"/>
      <c r="C28" s="502"/>
      <c r="D28" s="502"/>
      <c r="E28" s="502"/>
      <c r="F28" s="502"/>
      <c r="G28" s="502"/>
      <c r="H28" s="502"/>
      <c r="I28" s="502"/>
      <c r="J28" s="502"/>
      <c r="K28" s="502"/>
      <c r="L28" s="502"/>
      <c r="M28" s="502"/>
      <c r="N28" s="503"/>
    </row>
    <row r="29" spans="1:14" ht="15.75" customHeight="1">
      <c r="A29" s="502" t="s">
        <v>404</v>
      </c>
      <c r="B29" s="502"/>
      <c r="C29" s="502"/>
      <c r="D29" s="502"/>
      <c r="E29" s="502"/>
      <c r="F29" s="508"/>
      <c r="G29" s="514"/>
      <c r="H29" s="515"/>
      <c r="I29" s="514"/>
      <c r="J29" s="502"/>
      <c r="K29" s="502"/>
      <c r="L29" s="502"/>
      <c r="M29" s="502"/>
      <c r="N29" s="503"/>
    </row>
    <row r="30" spans="1:14" ht="15.75" customHeight="1">
      <c r="A30" s="502"/>
      <c r="B30" s="502"/>
      <c r="C30" s="505" t="s">
        <v>405</v>
      </c>
      <c r="D30" s="502"/>
      <c r="E30" s="502"/>
      <c r="F30" s="508" t="s">
        <v>286</v>
      </c>
      <c r="G30" s="570" t="str">
        <f>Sheet1!T461</f>
        <v/>
      </c>
      <c r="H30" s="508" t="s">
        <v>287</v>
      </c>
      <c r="I30" s="570" t="str">
        <f>Sheet1!T462</f>
        <v/>
      </c>
      <c r="J30" s="513"/>
      <c r="K30" s="502"/>
      <c r="L30" s="502"/>
      <c r="M30" s="502"/>
      <c r="N30" s="512"/>
    </row>
    <row r="31" spans="1:14" ht="15.75" customHeight="1">
      <c r="A31" s="502"/>
      <c r="B31" s="502"/>
      <c r="C31" s="505" t="s">
        <v>564</v>
      </c>
      <c r="D31" s="502"/>
      <c r="E31" s="502"/>
      <c r="F31" s="502"/>
      <c r="G31" s="502"/>
      <c r="H31" s="502"/>
      <c r="I31" s="502"/>
      <c r="J31" s="502"/>
      <c r="K31" s="502"/>
      <c r="L31" s="502"/>
      <c r="M31" s="502"/>
      <c r="N31" s="503"/>
    </row>
    <row r="32" spans="1:14" ht="15.75" customHeight="1">
      <c r="A32" s="502"/>
      <c r="B32" s="502"/>
      <c r="C32" s="505" t="s">
        <v>406</v>
      </c>
      <c r="D32" s="502"/>
      <c r="E32" s="502"/>
      <c r="F32" s="502"/>
      <c r="G32" s="502"/>
      <c r="H32" s="502"/>
      <c r="I32" s="502"/>
      <c r="J32" s="502"/>
      <c r="K32" s="502"/>
      <c r="L32" s="502"/>
      <c r="M32" s="502"/>
      <c r="N32" s="503"/>
    </row>
    <row r="33" spans="1:14" ht="15.75" customHeight="1">
      <c r="A33" s="502" t="s">
        <v>407</v>
      </c>
      <c r="B33" s="502"/>
      <c r="C33" s="502"/>
      <c r="D33" s="502"/>
      <c r="E33" s="502"/>
      <c r="F33" s="502"/>
      <c r="G33" s="502"/>
      <c r="H33" s="502"/>
      <c r="I33" s="502"/>
      <c r="J33" s="502"/>
      <c r="K33" s="502"/>
      <c r="L33" s="502"/>
      <c r="M33" s="502"/>
      <c r="N33" s="511"/>
    </row>
    <row r="34" spans="1:14" ht="15.75" customHeight="1">
      <c r="A34" s="502"/>
      <c r="B34" s="502"/>
      <c r="C34" s="505" t="s">
        <v>563</v>
      </c>
      <c r="D34" s="502"/>
      <c r="E34" s="502"/>
      <c r="F34" s="502"/>
      <c r="G34" s="502"/>
      <c r="H34" s="502"/>
      <c r="I34" s="502"/>
      <c r="J34" s="502"/>
      <c r="K34" s="502"/>
      <c r="L34" s="502"/>
      <c r="M34" s="502"/>
      <c r="N34" s="503"/>
    </row>
    <row r="35" spans="1:14" ht="15.75" customHeight="1">
      <c r="A35" s="502"/>
      <c r="B35" s="502"/>
      <c r="C35" s="510" t="s">
        <v>562</v>
      </c>
      <c r="D35" s="502"/>
      <c r="E35" s="502"/>
      <c r="F35" s="502"/>
      <c r="G35" s="502"/>
      <c r="H35" s="502"/>
      <c r="I35" s="502"/>
      <c r="J35" s="502"/>
      <c r="K35" s="502"/>
      <c r="L35" s="502"/>
      <c r="M35" s="502"/>
      <c r="N35" s="501"/>
    </row>
    <row r="36" spans="1:14" ht="15.75" customHeight="1">
      <c r="A36" s="504"/>
      <c r="B36" s="504"/>
      <c r="C36" s="509" t="s">
        <v>408</v>
      </c>
      <c r="D36" s="505"/>
      <c r="E36" s="505"/>
      <c r="F36" s="508"/>
      <c r="G36" s="508" t="s">
        <v>362</v>
      </c>
      <c r="H36" s="507"/>
      <c r="I36" s="508" t="s">
        <v>363</v>
      </c>
      <c r="J36" s="507"/>
      <c r="K36" s="508" t="s">
        <v>364</v>
      </c>
      <c r="L36" s="507"/>
      <c r="M36" s="506"/>
      <c r="N36" s="504"/>
    </row>
    <row r="37" spans="1:14" ht="15.75" customHeight="1">
      <c r="A37" s="502" t="s">
        <v>409</v>
      </c>
      <c r="B37" s="502"/>
      <c r="C37" s="502"/>
      <c r="D37" s="502"/>
      <c r="E37" s="502"/>
      <c r="F37" s="502"/>
      <c r="G37" s="502"/>
      <c r="H37" s="502"/>
      <c r="I37" s="502"/>
      <c r="J37" s="502"/>
      <c r="K37" s="502"/>
      <c r="L37" s="502"/>
      <c r="M37" s="502"/>
      <c r="N37" s="503"/>
    </row>
    <row r="38" spans="1:14" ht="15.75" customHeight="1">
      <c r="A38" s="502"/>
      <c r="B38" s="502"/>
      <c r="C38" s="505" t="s">
        <v>561</v>
      </c>
      <c r="D38" s="505"/>
      <c r="E38" s="505"/>
      <c r="F38" s="502"/>
      <c r="G38" s="502"/>
      <c r="H38" s="502"/>
      <c r="I38" s="502"/>
      <c r="J38" s="502"/>
      <c r="K38" s="502"/>
      <c r="N38" s="504"/>
    </row>
    <row r="39" spans="1:14" ht="15.75" customHeight="1">
      <c r="A39" s="502"/>
      <c r="B39" s="502"/>
      <c r="C39" s="505"/>
      <c r="D39" s="505"/>
      <c r="E39" s="505"/>
      <c r="F39" s="502"/>
      <c r="G39" s="502"/>
      <c r="H39" s="502"/>
      <c r="I39" s="502"/>
      <c r="J39" s="502"/>
      <c r="K39" s="508" t="s">
        <v>652</v>
      </c>
      <c r="L39" s="570" t="str">
        <f>IF(MGD="","",MGD)</f>
        <v/>
      </c>
      <c r="M39" s="505" t="s">
        <v>342</v>
      </c>
      <c r="N39" s="504"/>
    </row>
    <row r="40" spans="1:14" ht="15.75" customHeight="1">
      <c r="A40" s="502"/>
      <c r="B40" s="502"/>
      <c r="C40" s="505"/>
      <c r="D40" s="505"/>
      <c r="E40" s="505"/>
      <c r="F40" s="502"/>
      <c r="G40" s="502"/>
      <c r="H40" s="502"/>
      <c r="I40" s="502"/>
      <c r="J40" s="502"/>
      <c r="K40" s="508" t="s">
        <v>650</v>
      </c>
      <c r="L40" s="570" t="str">
        <f>IF(Sheet1!S275="","",Sheet1!S275)</f>
        <v/>
      </c>
      <c r="M40" s="505" t="s">
        <v>342</v>
      </c>
      <c r="N40" s="504"/>
    </row>
    <row r="41" spans="1:14" ht="15.75" customHeight="1">
      <c r="A41" s="502"/>
      <c r="B41" s="502"/>
      <c r="C41" s="505"/>
      <c r="D41" s="505"/>
      <c r="E41" s="505"/>
      <c r="F41" s="502"/>
      <c r="G41" s="502"/>
      <c r="H41" s="502"/>
      <c r="I41" s="502"/>
      <c r="J41" s="502"/>
      <c r="K41" s="508" t="s">
        <v>648</v>
      </c>
      <c r="L41" s="570" t="str">
        <f>IF(Sheet1!S306="","",Sheet1!S306)</f>
        <v/>
      </c>
      <c r="M41" s="505" t="s">
        <v>342</v>
      </c>
      <c r="N41" s="504"/>
    </row>
    <row r="42" spans="1:14" ht="15.75" customHeight="1">
      <c r="A42" s="502" t="s">
        <v>560</v>
      </c>
      <c r="B42" s="502"/>
      <c r="C42" s="502"/>
      <c r="D42" s="502"/>
      <c r="E42" s="502"/>
      <c r="F42" s="502"/>
      <c r="G42" s="502"/>
      <c r="H42" s="502"/>
      <c r="I42" s="502"/>
      <c r="J42" s="502"/>
      <c r="K42" s="502"/>
      <c r="L42" s="502"/>
      <c r="M42" s="502"/>
      <c r="N42" s="503"/>
    </row>
    <row r="43" spans="1:14" ht="15.75" customHeight="1">
      <c r="A43" s="502" t="s">
        <v>410</v>
      </c>
      <c r="B43" s="502"/>
      <c r="C43" s="502"/>
      <c r="D43" s="502"/>
      <c r="E43" s="502"/>
      <c r="F43" s="502"/>
      <c r="G43" s="502"/>
      <c r="H43" s="502"/>
      <c r="I43" s="502"/>
      <c r="J43" s="502"/>
      <c r="K43" s="502"/>
      <c r="L43" s="502"/>
      <c r="M43" s="502"/>
      <c r="N43" s="503"/>
    </row>
    <row r="44" spans="1:14" ht="15.75" customHeight="1">
      <c r="A44" s="502" t="s">
        <v>411</v>
      </c>
      <c r="B44" s="502"/>
      <c r="C44" s="502"/>
      <c r="D44" s="502"/>
      <c r="E44" s="502"/>
      <c r="F44" s="502"/>
      <c r="G44" s="502"/>
      <c r="H44" s="502"/>
      <c r="I44" s="502"/>
      <c r="J44" s="502"/>
      <c r="K44" s="502"/>
      <c r="L44" s="502"/>
      <c r="M44" s="502"/>
      <c r="N44" s="503"/>
    </row>
    <row r="45" spans="1:14" ht="15.75" customHeight="1">
      <c r="A45" s="502" t="s">
        <v>559</v>
      </c>
      <c r="B45" s="502"/>
      <c r="C45" s="502"/>
      <c r="D45" s="502"/>
      <c r="E45" s="502"/>
      <c r="F45" s="502"/>
      <c r="G45" s="502"/>
      <c r="H45" s="502"/>
      <c r="I45" s="502"/>
      <c r="J45" s="502"/>
      <c r="K45" s="502"/>
      <c r="L45" s="502"/>
      <c r="M45" s="502"/>
      <c r="N45" s="503"/>
    </row>
    <row r="46" spans="1:14" ht="15.75" customHeight="1">
      <c r="A46" s="502"/>
      <c r="B46" s="502"/>
      <c r="C46" s="502"/>
      <c r="D46" s="502"/>
      <c r="E46" s="502"/>
      <c r="F46" s="502"/>
      <c r="G46" s="502"/>
      <c r="H46" s="502"/>
      <c r="I46" s="502"/>
      <c r="J46" s="502"/>
      <c r="K46" s="502"/>
      <c r="L46" s="502"/>
      <c r="M46" s="502"/>
      <c r="N46" s="501"/>
    </row>
    <row r="47" spans="1:14" ht="15.75" customHeight="1">
      <c r="A47" s="502"/>
      <c r="B47" s="502"/>
      <c r="C47" s="502"/>
      <c r="D47" s="502"/>
      <c r="E47" s="502"/>
      <c r="F47" s="502"/>
      <c r="G47" s="502"/>
      <c r="H47" s="502"/>
      <c r="I47" s="502"/>
      <c r="J47" s="502"/>
      <c r="K47" s="502"/>
      <c r="L47" s="502"/>
      <c r="M47" s="502"/>
      <c r="N47" s="501"/>
    </row>
    <row r="48" spans="1:14" ht="15.75" customHeight="1">
      <c r="A48" s="502"/>
      <c r="B48" s="502"/>
      <c r="C48" s="502"/>
      <c r="D48" s="502"/>
      <c r="E48" s="502"/>
      <c r="F48" s="502"/>
      <c r="G48" s="502"/>
      <c r="H48" s="502"/>
      <c r="I48" s="502"/>
      <c r="J48" s="502"/>
      <c r="K48" s="502"/>
      <c r="L48" s="502"/>
      <c r="M48" s="502"/>
      <c r="N48" s="501"/>
    </row>
    <row r="49" spans="1:14" ht="15.75" customHeight="1">
      <c r="A49" s="502"/>
      <c r="B49" s="502"/>
      <c r="C49" s="502"/>
      <c r="D49" s="502"/>
      <c r="E49" s="502"/>
      <c r="F49" s="502"/>
      <c r="G49" s="502"/>
      <c r="H49" s="502"/>
      <c r="I49" s="502"/>
      <c r="J49" s="502"/>
      <c r="K49" s="502"/>
      <c r="L49" s="502"/>
      <c r="M49" s="502"/>
      <c r="N49" s="501"/>
    </row>
    <row r="50" spans="1:14" ht="15.75" customHeight="1">
      <c r="A50" s="502"/>
      <c r="B50" s="502"/>
      <c r="C50" s="502"/>
      <c r="D50" s="502"/>
      <c r="E50" s="502"/>
      <c r="F50" s="502"/>
      <c r="G50" s="502"/>
      <c r="H50" s="502"/>
      <c r="I50" s="502"/>
      <c r="J50" s="502"/>
      <c r="K50" s="502"/>
      <c r="L50" s="502"/>
      <c r="M50" s="502"/>
      <c r="N50" s="501"/>
    </row>
    <row r="51" spans="1:14" ht="15.75" customHeight="1">
      <c r="A51" s="502"/>
      <c r="B51" s="502"/>
      <c r="C51" s="502"/>
      <c r="D51" s="502"/>
      <c r="E51" s="502"/>
      <c r="F51" s="502"/>
      <c r="G51" s="502"/>
      <c r="H51" s="502"/>
      <c r="I51" s="502"/>
      <c r="J51" s="502"/>
      <c r="K51" s="502"/>
      <c r="L51" s="502"/>
      <c r="M51" s="502"/>
      <c r="N51" s="501"/>
    </row>
    <row r="52" spans="1:14" ht="15.75" customHeight="1">
      <c r="A52" s="502"/>
      <c r="B52" s="502"/>
      <c r="C52" s="502"/>
      <c r="D52" s="502"/>
      <c r="E52" s="502"/>
      <c r="F52" s="502"/>
      <c r="G52" s="502"/>
      <c r="H52" s="502"/>
      <c r="I52" s="502"/>
      <c r="J52" s="502"/>
      <c r="K52" s="502"/>
      <c r="L52" s="502"/>
      <c r="M52" s="502"/>
      <c r="N52" s="501"/>
    </row>
    <row r="53" spans="1:14" ht="15.75" customHeight="1">
      <c r="A53" s="502"/>
      <c r="B53" s="502"/>
      <c r="C53" s="502"/>
      <c r="D53" s="502"/>
      <c r="E53" s="502"/>
      <c r="F53" s="502"/>
      <c r="G53" s="502"/>
      <c r="H53" s="502"/>
      <c r="I53" s="502"/>
      <c r="J53" s="502"/>
      <c r="K53" s="502"/>
      <c r="L53" s="502"/>
      <c r="M53" s="502"/>
      <c r="N53" s="501"/>
    </row>
    <row r="54" spans="1:14" ht="15.75" customHeight="1">
      <c r="A54" s="502"/>
      <c r="B54" s="502"/>
      <c r="C54" s="502"/>
      <c r="D54" s="502"/>
      <c r="E54" s="502"/>
      <c r="F54" s="502"/>
      <c r="G54" s="502"/>
      <c r="H54" s="502"/>
      <c r="I54" s="502"/>
      <c r="J54" s="502"/>
      <c r="K54" s="502"/>
      <c r="L54" s="502"/>
      <c r="M54" s="502"/>
      <c r="N54" s="501"/>
    </row>
    <row r="55" spans="1:14" ht="15.75" customHeight="1">
      <c r="A55" s="502"/>
      <c r="B55" s="502"/>
      <c r="C55" s="502"/>
      <c r="D55" s="502"/>
      <c r="E55" s="502"/>
      <c r="F55" s="502"/>
      <c r="G55" s="502"/>
      <c r="H55" s="502"/>
      <c r="I55" s="502"/>
      <c r="J55" s="502"/>
      <c r="K55" s="502"/>
      <c r="L55" s="502"/>
      <c r="M55" s="502"/>
      <c r="N55" s="501"/>
    </row>
    <row r="56" spans="1:14" ht="15.75" customHeight="1">
      <c r="A56" s="502"/>
      <c r="B56" s="502"/>
      <c r="C56" s="502"/>
      <c r="D56" s="502"/>
      <c r="E56" s="502"/>
      <c r="F56" s="502"/>
      <c r="G56" s="502"/>
      <c r="H56" s="502"/>
      <c r="I56" s="502"/>
      <c r="J56" s="502"/>
      <c r="K56" s="502"/>
      <c r="L56" s="502"/>
      <c r="M56" s="502"/>
      <c r="N56" s="501"/>
    </row>
    <row r="57" spans="1:14" ht="15.75" customHeight="1">
      <c r="A57" s="502"/>
      <c r="B57" s="502"/>
      <c r="C57" s="502"/>
      <c r="D57" s="502"/>
      <c r="E57" s="502"/>
      <c r="F57" s="502"/>
      <c r="G57" s="502"/>
      <c r="H57" s="502"/>
      <c r="I57" s="502"/>
      <c r="J57" s="502"/>
      <c r="K57" s="502"/>
      <c r="L57" s="502"/>
      <c r="M57" s="502"/>
      <c r="N57" s="501"/>
    </row>
    <row r="58" spans="1:14" ht="15.75" customHeight="1">
      <c r="A58" s="810" t="s">
        <v>558</v>
      </c>
      <c r="B58" s="810"/>
      <c r="C58" s="810"/>
      <c r="D58" s="810"/>
      <c r="E58" s="810"/>
      <c r="F58" s="810"/>
      <c r="G58" s="810"/>
      <c r="H58" s="810"/>
      <c r="I58" s="810"/>
      <c r="J58" s="810"/>
      <c r="K58" s="810"/>
      <c r="L58" s="810"/>
      <c r="M58" s="810"/>
      <c r="N58" s="810"/>
    </row>
  </sheetData>
  <mergeCells count="29">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7">
    <cfRule type="cellIs" dxfId="73" priority="5" stopIfTrue="1" operator="equal">
      <formula>"Fail"</formula>
    </cfRule>
  </conditionalFormatting>
  <conditionalFormatting sqref="N25">
    <cfRule type="cellIs" dxfId="72" priority="4" stopIfTrue="1" operator="equal">
      <formula>"Fail"</formula>
    </cfRule>
  </conditionalFormatting>
  <conditionalFormatting sqref="N26">
    <cfRule type="cellIs" dxfId="71" priority="3" stopIfTrue="1" operator="equal">
      <formula>"Fail"</formula>
    </cfRule>
  </conditionalFormatting>
  <conditionalFormatting sqref="N27">
    <cfRule type="cellIs" dxfId="70" priority="2" stopIfTrue="1" operator="equal">
      <formula>"Fail"</formula>
    </cfRule>
  </conditionalFormatting>
  <conditionalFormatting sqref="N31">
    <cfRule type="cellIs" dxfId="69"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0" customWidth="1"/>
    <col min="2" max="2" width="19.125" style="500" customWidth="1"/>
    <col min="3" max="4" width="8.625" style="500" customWidth="1"/>
    <col min="5" max="5" width="9" style="500" customWidth="1"/>
    <col min="6" max="6" width="3.25" style="500" customWidth="1"/>
    <col min="7" max="7" width="13.75" style="500" customWidth="1"/>
    <col min="8" max="8" width="8.5" style="500" customWidth="1"/>
    <col min="9" max="9" width="9.5" style="500" customWidth="1"/>
    <col min="10" max="10" width="8.375" style="500" customWidth="1"/>
    <col min="11" max="11" width="8.625" style="500" customWidth="1"/>
    <col min="12" max="16384" width="9" style="500"/>
  </cols>
  <sheetData>
    <row r="1" spans="1:12" ht="27" customHeight="1">
      <c r="A1" s="829" t="s">
        <v>374</v>
      </c>
      <c r="B1" s="829"/>
      <c r="C1" s="829"/>
      <c r="D1" s="829"/>
      <c r="E1" s="829"/>
      <c r="F1" s="829"/>
      <c r="G1" s="829"/>
      <c r="H1" s="829"/>
      <c r="I1" s="829"/>
      <c r="J1" s="829"/>
      <c r="K1" s="829"/>
    </row>
    <row r="2" spans="1:12" ht="18" customHeight="1">
      <c r="A2" s="566" t="s">
        <v>412</v>
      </c>
      <c r="B2" s="565"/>
      <c r="C2" s="565"/>
      <c r="D2" s="565"/>
      <c r="E2" s="565"/>
      <c r="F2" s="565"/>
      <c r="G2" s="565"/>
      <c r="H2" s="565"/>
      <c r="I2" s="565"/>
      <c r="J2" s="565"/>
      <c r="K2" s="565"/>
    </row>
    <row r="3" spans="1:12" ht="15.75" customHeight="1"/>
    <row r="4" spans="1:12" ht="24" customHeight="1">
      <c r="A4" s="564" t="s">
        <v>413</v>
      </c>
      <c r="B4" s="563"/>
      <c r="C4" s="561"/>
      <c r="D4" s="561"/>
      <c r="E4" s="561"/>
      <c r="F4" s="561"/>
      <c r="G4" s="561"/>
      <c r="H4" s="561"/>
      <c r="I4" s="561"/>
      <c r="J4" s="562"/>
      <c r="K4" s="561"/>
    </row>
    <row r="5" spans="1:12" ht="42" customHeight="1">
      <c r="A5" s="832" t="s">
        <v>574</v>
      </c>
      <c r="B5" s="832"/>
      <c r="C5" s="832"/>
      <c r="D5" s="832"/>
      <c r="E5" s="832"/>
      <c r="F5" s="832"/>
      <c r="G5" s="832"/>
      <c r="H5" s="832"/>
      <c r="I5" s="832"/>
      <c r="J5" s="832"/>
      <c r="K5" s="832"/>
    </row>
    <row r="6" spans="1:12" ht="15" customHeight="1">
      <c r="A6" s="560" t="s">
        <v>573</v>
      </c>
      <c r="B6" s="559"/>
      <c r="C6" s="559"/>
      <c r="D6" s="559"/>
      <c r="E6" s="559"/>
      <c r="F6" s="559"/>
      <c r="G6" s="559"/>
      <c r="H6" s="559"/>
      <c r="I6" s="558"/>
      <c r="J6" s="557"/>
      <c r="K6" s="557"/>
    </row>
    <row r="7" spans="1:12" ht="15" customHeight="1">
      <c r="A7" s="556" t="s">
        <v>572</v>
      </c>
      <c r="B7" s="555"/>
      <c r="C7" s="555"/>
      <c r="D7" s="555"/>
      <c r="E7" s="555"/>
      <c r="F7" s="555"/>
      <c r="G7" s="555"/>
      <c r="H7" s="555"/>
      <c r="I7" s="555"/>
      <c r="J7" s="555"/>
      <c r="K7" s="555"/>
    </row>
    <row r="8" spans="1:12" ht="15" customHeight="1">
      <c r="J8" s="831"/>
      <c r="K8" s="831"/>
    </row>
    <row r="9" spans="1:12" ht="15" customHeight="1">
      <c r="A9" s="541"/>
      <c r="E9" s="541"/>
      <c r="H9" s="516" t="s">
        <v>414</v>
      </c>
      <c r="I9" s="554"/>
      <c r="J9" s="830" t="s">
        <v>397</v>
      </c>
      <c r="K9" s="830"/>
    </row>
    <row r="10" spans="1:12" ht="15.75" customHeight="1">
      <c r="A10" s="553" t="s">
        <v>415</v>
      </c>
      <c r="B10" s="505" t="s">
        <v>416</v>
      </c>
      <c r="C10" s="504"/>
      <c r="E10" s="541"/>
      <c r="H10" s="552" t="s">
        <v>417</v>
      </c>
      <c r="J10" s="826"/>
      <c r="K10" s="827"/>
    </row>
    <row r="11" spans="1:12" ht="15.75" customHeight="1">
      <c r="A11" s="548" t="s">
        <v>418</v>
      </c>
      <c r="B11" s="505" t="s">
        <v>419</v>
      </c>
      <c r="C11" s="504"/>
      <c r="E11" s="541"/>
      <c r="H11" s="551" t="s">
        <v>420</v>
      </c>
      <c r="J11" s="826"/>
      <c r="K11" s="827"/>
    </row>
    <row r="12" spans="1:12" ht="15.75" customHeight="1">
      <c r="A12" s="548" t="s">
        <v>421</v>
      </c>
      <c r="B12" s="505" t="s">
        <v>422</v>
      </c>
      <c r="C12" s="504"/>
      <c r="E12" s="541"/>
      <c r="H12" s="549" t="s">
        <v>423</v>
      </c>
      <c r="J12" s="826"/>
      <c r="K12" s="827"/>
    </row>
    <row r="13" spans="1:12" ht="15.75" customHeight="1">
      <c r="A13" s="550" t="s">
        <v>424</v>
      </c>
      <c r="B13" s="505" t="s">
        <v>425</v>
      </c>
      <c r="C13" s="504"/>
      <c r="E13" s="541"/>
      <c r="H13" s="549" t="s">
        <v>423</v>
      </c>
      <c r="J13" s="826"/>
      <c r="K13" s="827"/>
    </row>
    <row r="14" spans="1:12" ht="15.75" customHeight="1">
      <c r="A14" s="550" t="s">
        <v>426</v>
      </c>
      <c r="B14" s="505" t="s">
        <v>427</v>
      </c>
      <c r="C14" s="504"/>
      <c r="E14" s="541"/>
      <c r="H14" s="549" t="s">
        <v>428</v>
      </c>
      <c r="J14" s="826"/>
      <c r="K14" s="827"/>
      <c r="L14" s="541"/>
    </row>
    <row r="15" spans="1:12" ht="15.75" customHeight="1">
      <c r="A15" s="548" t="s">
        <v>429</v>
      </c>
      <c r="B15" s="505" t="s">
        <v>430</v>
      </c>
      <c r="C15" s="504"/>
      <c r="E15" s="541"/>
      <c r="H15" s="549" t="s">
        <v>431</v>
      </c>
      <c r="J15" s="826"/>
      <c r="K15" s="827"/>
      <c r="L15" s="541"/>
    </row>
    <row r="16" spans="1:12" ht="15.75" customHeight="1">
      <c r="A16" s="548" t="s">
        <v>432</v>
      </c>
      <c r="B16" s="505" t="s">
        <v>433</v>
      </c>
      <c r="C16" s="504"/>
      <c r="E16" s="541"/>
      <c r="H16" s="549" t="s">
        <v>434</v>
      </c>
      <c r="J16" s="826"/>
      <c r="K16" s="827"/>
      <c r="L16" s="541"/>
    </row>
    <row r="17" spans="1:12" ht="15.75" customHeight="1">
      <c r="A17" s="548" t="s">
        <v>435</v>
      </c>
      <c r="B17" s="547" t="s">
        <v>571</v>
      </c>
      <c r="C17" s="504"/>
      <c r="H17" s="546" t="s">
        <v>436</v>
      </c>
      <c r="I17" s="501"/>
      <c r="J17" s="826"/>
      <c r="K17" s="827"/>
      <c r="L17" s="545"/>
    </row>
    <row r="18" spans="1:12" ht="15.75" customHeight="1">
      <c r="A18" s="517"/>
      <c r="B18" s="544"/>
      <c r="E18" s="541"/>
      <c r="H18" s="543"/>
      <c r="J18" s="542"/>
      <c r="K18" s="542"/>
      <c r="L18" s="541"/>
    </row>
    <row r="19" spans="1:12" ht="24" customHeight="1">
      <c r="A19" s="828" t="s">
        <v>437</v>
      </c>
      <c r="B19" s="828"/>
      <c r="C19" s="828"/>
      <c r="D19" s="828"/>
      <c r="E19" s="828"/>
      <c r="F19" s="828"/>
      <c r="G19" s="828"/>
      <c r="H19" s="828"/>
      <c r="I19" s="828"/>
      <c r="J19" s="828"/>
      <c r="K19" s="828"/>
    </row>
    <row r="20" spans="1:12" ht="15" customHeight="1">
      <c r="A20" s="540"/>
      <c r="B20" s="539"/>
      <c r="C20" s="539"/>
      <c r="D20" s="539"/>
      <c r="E20" s="539"/>
      <c r="F20" s="539"/>
      <c r="G20" s="539"/>
      <c r="H20" s="539"/>
      <c r="I20" s="539"/>
      <c r="J20" s="539"/>
      <c r="K20" s="539"/>
    </row>
    <row r="21" spans="1:12" ht="290.25" customHeight="1">
      <c r="A21" s="833"/>
      <c r="B21" s="834"/>
      <c r="C21" s="834"/>
      <c r="D21" s="834"/>
      <c r="E21" s="834"/>
      <c r="F21" s="834"/>
      <c r="G21" s="834"/>
      <c r="H21" s="834"/>
      <c r="I21" s="834"/>
      <c r="J21" s="834"/>
      <c r="K21" s="835"/>
    </row>
    <row r="22" spans="1:12" ht="15" customHeight="1" thickBot="1">
      <c r="A22" s="824"/>
      <c r="B22" s="824"/>
      <c r="C22" s="824"/>
      <c r="D22" s="824"/>
      <c r="E22" s="824"/>
      <c r="F22" s="824"/>
      <c r="G22" s="824"/>
      <c r="H22" s="824"/>
      <c r="I22" s="824"/>
      <c r="J22" s="824"/>
      <c r="K22" s="824"/>
    </row>
    <row r="23" spans="1:12" ht="13.5" hidden="1" thickBot="1">
      <c r="A23" s="825"/>
      <c r="B23" s="825"/>
      <c r="C23" s="825"/>
      <c r="D23" s="825"/>
      <c r="E23" s="825"/>
      <c r="F23" s="825"/>
      <c r="G23" s="825"/>
      <c r="H23" s="825"/>
      <c r="I23" s="825"/>
      <c r="J23" s="825"/>
      <c r="K23" s="825"/>
    </row>
    <row r="24" spans="1:12" ht="13.5" hidden="1" thickBot="1">
      <c r="A24" s="825"/>
      <c r="B24" s="825"/>
      <c r="C24" s="825"/>
      <c r="D24" s="825"/>
      <c r="E24" s="825"/>
      <c r="F24" s="825"/>
      <c r="G24" s="825"/>
      <c r="H24" s="825"/>
      <c r="I24" s="825"/>
      <c r="J24" s="825"/>
      <c r="K24" s="825"/>
    </row>
    <row r="25" spans="1:12" ht="13.5" hidden="1" thickBot="1">
      <c r="A25" s="825"/>
      <c r="B25" s="825"/>
      <c r="C25" s="825"/>
      <c r="D25" s="825"/>
      <c r="E25" s="825"/>
      <c r="F25" s="825"/>
      <c r="G25" s="825"/>
      <c r="H25" s="825"/>
      <c r="I25" s="825"/>
      <c r="J25" s="825"/>
      <c r="K25" s="825"/>
    </row>
    <row r="26" spans="1:12" ht="13.5" hidden="1" thickBot="1">
      <c r="A26" s="825"/>
      <c r="B26" s="825"/>
      <c r="C26" s="825"/>
      <c r="D26" s="825"/>
      <c r="E26" s="825"/>
      <c r="F26" s="825"/>
      <c r="G26" s="825"/>
      <c r="H26" s="825"/>
      <c r="I26" s="825"/>
      <c r="J26" s="825"/>
      <c r="K26" s="825"/>
    </row>
    <row r="27" spans="1:12" ht="13.5" hidden="1" thickBot="1">
      <c r="A27" s="825"/>
      <c r="B27" s="825"/>
      <c r="C27" s="825"/>
      <c r="D27" s="825"/>
      <c r="E27" s="825"/>
      <c r="F27" s="825"/>
      <c r="G27" s="825"/>
      <c r="H27" s="825"/>
      <c r="I27" s="825"/>
      <c r="J27" s="825"/>
      <c r="K27" s="825"/>
    </row>
    <row r="28" spans="1:12" ht="13.5" hidden="1" thickBot="1">
      <c r="A28" s="825"/>
      <c r="B28" s="825"/>
      <c r="C28" s="825"/>
      <c r="D28" s="825"/>
      <c r="E28" s="825"/>
      <c r="F28" s="825"/>
      <c r="G28" s="825"/>
      <c r="H28" s="825"/>
      <c r="I28" s="825"/>
      <c r="J28" s="825"/>
      <c r="K28" s="825"/>
    </row>
    <row r="29" spans="1:12" ht="201.75" customHeight="1" thickBot="1">
      <c r="A29" s="821" t="s">
        <v>570</v>
      </c>
      <c r="B29" s="822"/>
      <c r="C29" s="822"/>
      <c r="D29" s="822"/>
      <c r="E29" s="822"/>
      <c r="F29" s="822"/>
      <c r="G29" s="822"/>
      <c r="H29" s="822"/>
      <c r="I29" s="822"/>
      <c r="J29" s="822"/>
      <c r="K29" s="823"/>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68"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0"/>
  <sheetViews>
    <sheetView tabSelected="1" zoomScaleNormal="100" workbookViewId="0">
      <selection activeCell="B6" sqref="B6:C6"/>
    </sheetView>
  </sheetViews>
  <sheetFormatPr defaultRowHeight="28.5" customHeight="1"/>
  <cols>
    <col min="1" max="1" width="17" style="882" customWidth="1"/>
    <col min="2" max="2" width="7.875" style="882" bestFit="1" customWidth="1"/>
    <col min="3" max="3" width="51.5" style="882" customWidth="1"/>
    <col min="4" max="4" width="11.875" style="882" customWidth="1"/>
    <col min="5" max="5" width="17.375" style="882" customWidth="1"/>
    <col min="6" max="16384" width="9" style="882"/>
  </cols>
  <sheetData>
    <row r="1" spans="1:5" ht="27" customHeight="1">
      <c r="A1" s="883" t="s">
        <v>672</v>
      </c>
      <c r="B1" s="883"/>
      <c r="C1" s="883"/>
      <c r="D1" s="883"/>
      <c r="E1" s="883"/>
    </row>
    <row r="2" spans="1:5" ht="12.75"/>
    <row r="3" spans="1:5" ht="12.75">
      <c r="A3" s="882" t="s">
        <v>673</v>
      </c>
      <c r="B3" s="911" t="str">
        <f>Sheet1!R10</f>
        <v/>
      </c>
      <c r="C3" s="911"/>
    </row>
    <row r="4" spans="1:5" ht="12.75">
      <c r="A4" s="882" t="s">
        <v>674</v>
      </c>
      <c r="B4" s="912" t="str">
        <f>Sheet1!R17</f>
        <v/>
      </c>
      <c r="C4" s="912"/>
      <c r="D4" s="882" t="s">
        <v>44</v>
      </c>
      <c r="E4" s="913" t="str">
        <f>Sheet1!R18</f>
        <v/>
      </c>
    </row>
    <row r="5" spans="1:5" ht="12.75">
      <c r="A5" s="882" t="s">
        <v>675</v>
      </c>
      <c r="B5" s="912" t="str">
        <f>Sheet1!V18</f>
        <v/>
      </c>
      <c r="C5" s="912"/>
      <c r="D5" s="882" t="s">
        <v>676</v>
      </c>
      <c r="E5" s="914" t="str">
        <f>Sheet1!V17</f>
        <v/>
      </c>
    </row>
    <row r="6" spans="1:5" ht="12.75">
      <c r="A6" s="882" t="s">
        <v>677</v>
      </c>
      <c r="B6" s="912" t="str">
        <f>Sheet1!X7</f>
        <v>Eugene Mah</v>
      </c>
      <c r="C6" s="912"/>
      <c r="D6" s="882" t="s">
        <v>678</v>
      </c>
      <c r="E6" s="915" t="str">
        <f>Sheet1!R14</f>
        <v/>
      </c>
    </row>
    <row r="7" spans="1:5" ht="12.75">
      <c r="A7" s="882" t="s">
        <v>679</v>
      </c>
      <c r="B7" s="912"/>
      <c r="C7" s="912"/>
      <c r="D7" s="882" t="s">
        <v>680</v>
      </c>
      <c r="E7" s="914">
        <f>Sheet1!P7</f>
        <v>0</v>
      </c>
    </row>
    <row r="8" spans="1:5" ht="12" customHeight="1" thickBot="1"/>
    <row r="9" spans="1:5" ht="39" thickBot="1">
      <c r="A9" s="893" t="s">
        <v>681</v>
      </c>
      <c r="B9" s="894" t="s">
        <v>682</v>
      </c>
      <c r="C9" s="894" t="s">
        <v>683</v>
      </c>
      <c r="D9" s="894" t="s">
        <v>684</v>
      </c>
      <c r="E9" s="895" t="s">
        <v>685</v>
      </c>
    </row>
    <row r="10" spans="1:5" ht="39" thickTop="1">
      <c r="A10" s="896" t="s">
        <v>686</v>
      </c>
      <c r="B10" s="897" t="s">
        <v>687</v>
      </c>
      <c r="C10" s="898" t="s">
        <v>688</v>
      </c>
      <c r="D10" s="897" t="s">
        <v>689</v>
      </c>
      <c r="E10" s="899"/>
    </row>
    <row r="11" spans="1:5" ht="26.25" thickBot="1">
      <c r="A11" s="900"/>
      <c r="B11" s="890" t="s">
        <v>690</v>
      </c>
      <c r="C11" s="891" t="s">
        <v>691</v>
      </c>
      <c r="D11" s="890" t="s">
        <v>689</v>
      </c>
      <c r="E11" s="892"/>
    </row>
    <row r="12" spans="1:5" ht="38.25">
      <c r="A12" s="901" t="s">
        <v>692</v>
      </c>
      <c r="B12" s="884" t="s">
        <v>693</v>
      </c>
      <c r="C12" s="902" t="s">
        <v>694</v>
      </c>
      <c r="D12" s="884" t="s">
        <v>695</v>
      </c>
      <c r="E12" s="885"/>
    </row>
    <row r="13" spans="1:5" ht="25.5">
      <c r="A13" s="886"/>
      <c r="B13" s="887" t="s">
        <v>696</v>
      </c>
      <c r="C13" s="888" t="s">
        <v>697</v>
      </c>
      <c r="D13" s="887" t="s">
        <v>695</v>
      </c>
      <c r="E13" s="889"/>
    </row>
    <row r="14" spans="1:5" ht="39" thickBot="1">
      <c r="A14" s="900"/>
      <c r="B14" s="890" t="s">
        <v>698</v>
      </c>
      <c r="C14" s="891" t="s">
        <v>699</v>
      </c>
      <c r="D14" s="890" t="s">
        <v>689</v>
      </c>
      <c r="E14" s="892"/>
    </row>
    <row r="15" spans="1:5" ht="38.25">
      <c r="A15" s="901" t="s">
        <v>700</v>
      </c>
      <c r="B15" s="884" t="s">
        <v>701</v>
      </c>
      <c r="C15" s="902" t="s">
        <v>702</v>
      </c>
      <c r="D15" s="884" t="s">
        <v>689</v>
      </c>
      <c r="E15" s="885"/>
    </row>
    <row r="16" spans="1:5" ht="64.5" thickBot="1">
      <c r="A16" s="900"/>
      <c r="B16" s="890" t="s">
        <v>703</v>
      </c>
      <c r="C16" s="891" t="s">
        <v>758</v>
      </c>
      <c r="D16" s="890" t="s">
        <v>704</v>
      </c>
      <c r="E16" s="892"/>
    </row>
    <row r="17" spans="1:5" ht="38.25">
      <c r="A17" s="901" t="s">
        <v>705</v>
      </c>
      <c r="B17" s="884" t="s">
        <v>706</v>
      </c>
      <c r="C17" s="902" t="s">
        <v>707</v>
      </c>
      <c r="D17" s="884" t="s">
        <v>689</v>
      </c>
      <c r="E17" s="885"/>
    </row>
    <row r="18" spans="1:5" ht="39" thickBot="1">
      <c r="A18" s="900"/>
      <c r="B18" s="890" t="s">
        <v>708</v>
      </c>
      <c r="C18" s="891" t="s">
        <v>709</v>
      </c>
      <c r="D18" s="890" t="s">
        <v>689</v>
      </c>
      <c r="E18" s="892"/>
    </row>
    <row r="19" spans="1:5" ht="25.5">
      <c r="A19" s="901" t="s">
        <v>710</v>
      </c>
      <c r="B19" s="884" t="s">
        <v>711</v>
      </c>
      <c r="C19" s="902" t="s">
        <v>712</v>
      </c>
      <c r="D19" s="884" t="s">
        <v>689</v>
      </c>
      <c r="E19" s="885"/>
    </row>
    <row r="20" spans="1:5" ht="25.5">
      <c r="A20" s="886"/>
      <c r="B20" s="887" t="s">
        <v>713</v>
      </c>
      <c r="C20" s="888" t="s">
        <v>714</v>
      </c>
      <c r="D20" s="887" t="s">
        <v>689</v>
      </c>
      <c r="E20" s="889"/>
    </row>
    <row r="21" spans="1:5" ht="51.75" thickBot="1">
      <c r="A21" s="900"/>
      <c r="B21" s="890" t="s">
        <v>715</v>
      </c>
      <c r="C21" s="891" t="s">
        <v>716</v>
      </c>
      <c r="D21" s="890" t="s">
        <v>689</v>
      </c>
      <c r="E21" s="892"/>
    </row>
    <row r="22" spans="1:5" ht="38.25">
      <c r="A22" s="901" t="s">
        <v>717</v>
      </c>
      <c r="B22" s="884" t="s">
        <v>718</v>
      </c>
      <c r="C22" s="902" t="s">
        <v>719</v>
      </c>
      <c r="D22" s="884" t="s">
        <v>689</v>
      </c>
      <c r="E22" s="885"/>
    </row>
    <row r="23" spans="1:5" ht="26.25" thickBot="1">
      <c r="A23" s="900"/>
      <c r="B23" s="890" t="s">
        <v>720</v>
      </c>
      <c r="C23" s="891" t="s">
        <v>721</v>
      </c>
      <c r="D23" s="890" t="s">
        <v>689</v>
      </c>
      <c r="E23" s="892"/>
    </row>
    <row r="24" spans="1:5" ht="38.25">
      <c r="A24" s="901" t="s">
        <v>722</v>
      </c>
      <c r="B24" s="884" t="s">
        <v>723</v>
      </c>
      <c r="C24" s="902" t="s">
        <v>724</v>
      </c>
      <c r="D24" s="884" t="s">
        <v>689</v>
      </c>
      <c r="E24" s="885"/>
    </row>
    <row r="25" spans="1:5" ht="51">
      <c r="A25" s="886"/>
      <c r="B25" s="887" t="s">
        <v>725</v>
      </c>
      <c r="C25" s="888" t="s">
        <v>726</v>
      </c>
      <c r="D25" s="887" t="s">
        <v>704</v>
      </c>
      <c r="E25" s="889"/>
    </row>
    <row r="26" spans="1:5" ht="51">
      <c r="A26" s="886"/>
      <c r="B26" s="887" t="s">
        <v>727</v>
      </c>
      <c r="C26" s="888" t="s">
        <v>728</v>
      </c>
      <c r="D26" s="887" t="s">
        <v>689</v>
      </c>
      <c r="E26" s="889"/>
    </row>
    <row r="27" spans="1:5" ht="25.5">
      <c r="A27" s="886"/>
      <c r="B27" s="887" t="s">
        <v>729</v>
      </c>
      <c r="C27" s="888" t="s">
        <v>730</v>
      </c>
      <c r="D27" s="887" t="s">
        <v>689</v>
      </c>
      <c r="E27" s="889"/>
    </row>
    <row r="28" spans="1:5" ht="26.25" thickBot="1">
      <c r="A28" s="900"/>
      <c r="B28" s="890" t="s">
        <v>731</v>
      </c>
      <c r="C28" s="891" t="s">
        <v>732</v>
      </c>
      <c r="D28" s="890" t="s">
        <v>689</v>
      </c>
      <c r="E28" s="892"/>
    </row>
    <row r="29" spans="1:5" ht="25.5">
      <c r="A29" s="901" t="s">
        <v>733</v>
      </c>
      <c r="B29" s="884" t="s">
        <v>734</v>
      </c>
      <c r="C29" s="902" t="s">
        <v>735</v>
      </c>
      <c r="D29" s="884" t="s">
        <v>689</v>
      </c>
      <c r="E29" s="885"/>
    </row>
    <row r="30" spans="1:5" ht="51">
      <c r="A30" s="886"/>
      <c r="B30" s="887" t="s">
        <v>736</v>
      </c>
      <c r="C30" s="888" t="s">
        <v>737</v>
      </c>
      <c r="D30" s="887" t="s">
        <v>689</v>
      </c>
      <c r="E30" s="889"/>
    </row>
    <row r="31" spans="1:5" ht="26.25" thickBot="1">
      <c r="A31" s="900"/>
      <c r="B31" s="890" t="s">
        <v>738</v>
      </c>
      <c r="C31" s="891" t="s">
        <v>739</v>
      </c>
      <c r="D31" s="890" t="s">
        <v>689</v>
      </c>
      <c r="E31" s="892"/>
    </row>
    <row r="32" spans="1:5" ht="51">
      <c r="A32" s="901" t="s">
        <v>740</v>
      </c>
      <c r="B32" s="884" t="s">
        <v>741</v>
      </c>
      <c r="C32" s="902" t="s">
        <v>742</v>
      </c>
      <c r="D32" s="884" t="s">
        <v>695</v>
      </c>
      <c r="E32" s="885"/>
    </row>
    <row r="33" spans="1:5" ht="63.75">
      <c r="A33" s="886"/>
      <c r="B33" s="887" t="s">
        <v>743</v>
      </c>
      <c r="C33" s="888" t="s">
        <v>759</v>
      </c>
      <c r="D33" s="887" t="s">
        <v>695</v>
      </c>
      <c r="E33" s="889"/>
    </row>
    <row r="34" spans="1:5" ht="26.25" thickBot="1">
      <c r="A34" s="900"/>
      <c r="B34" s="890" t="s">
        <v>744</v>
      </c>
      <c r="C34" s="891" t="s">
        <v>745</v>
      </c>
      <c r="D34" s="890" t="s">
        <v>695</v>
      </c>
      <c r="E34" s="892"/>
    </row>
    <row r="35" spans="1:5" ht="39" thickBot="1">
      <c r="A35" s="903" t="s">
        <v>746</v>
      </c>
      <c r="B35" s="904">
        <v>11</v>
      </c>
      <c r="C35" s="905" t="s">
        <v>747</v>
      </c>
      <c r="D35" s="904" t="s">
        <v>695</v>
      </c>
      <c r="E35" s="906"/>
    </row>
    <row r="36" spans="1:5" ht="51.75" thickBot="1">
      <c r="A36" s="903" t="s">
        <v>748</v>
      </c>
      <c r="B36" s="904">
        <v>12</v>
      </c>
      <c r="C36" s="905" t="s">
        <v>749</v>
      </c>
      <c r="D36" s="904" t="s">
        <v>695</v>
      </c>
      <c r="E36" s="906"/>
    </row>
    <row r="37" spans="1:5" ht="51.75" thickBot="1">
      <c r="A37" s="903" t="s">
        <v>750</v>
      </c>
      <c r="B37" s="904">
        <v>13</v>
      </c>
      <c r="C37" s="905" t="s">
        <v>751</v>
      </c>
      <c r="D37" s="904" t="s">
        <v>695</v>
      </c>
      <c r="E37" s="906"/>
    </row>
    <row r="38" spans="1:5" ht="51.75" thickBot="1">
      <c r="A38" s="903" t="s">
        <v>752</v>
      </c>
      <c r="B38" s="904">
        <v>14</v>
      </c>
      <c r="C38" s="905" t="s">
        <v>753</v>
      </c>
      <c r="D38" s="904" t="s">
        <v>754</v>
      </c>
      <c r="E38" s="906"/>
    </row>
    <row r="39" spans="1:5" ht="51.75" thickBot="1">
      <c r="A39" s="907" t="s">
        <v>755</v>
      </c>
      <c r="B39" s="908">
        <v>15</v>
      </c>
      <c r="C39" s="909" t="s">
        <v>756</v>
      </c>
      <c r="D39" s="908" t="s">
        <v>754</v>
      </c>
      <c r="E39" s="910"/>
    </row>
    <row r="40" spans="1:5" ht="12.75">
      <c r="A40" s="881" t="s">
        <v>757</v>
      </c>
      <c r="B40" s="881"/>
      <c r="C40" s="881"/>
      <c r="D40" s="881"/>
    </row>
  </sheetData>
  <mergeCells count="16">
    <mergeCell ref="A17:A18"/>
    <mergeCell ref="A19:A21"/>
    <mergeCell ref="A22:A23"/>
    <mergeCell ref="A24:A28"/>
    <mergeCell ref="A29:A31"/>
    <mergeCell ref="A32:A34"/>
    <mergeCell ref="A1:E1"/>
    <mergeCell ref="A40:D40"/>
    <mergeCell ref="B3:C3"/>
    <mergeCell ref="B4:C4"/>
    <mergeCell ref="B5:C5"/>
    <mergeCell ref="B6:C6"/>
    <mergeCell ref="B7:C7"/>
    <mergeCell ref="A10:A11"/>
    <mergeCell ref="A12:A14"/>
    <mergeCell ref="A15:A16"/>
  </mergeCells>
  <pageMargins left="0.7" right="0.7" top="0.75" bottom="0.75" header="0.3" footer="0.3"/>
  <pageSetup scale="78" orientation="portrait" horizontalDpi="1200" verticalDpi="1200" r:id="rId1"/>
  <rowBreaks count="1" manualBreakCount="1">
    <brk id="28" max="4"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opLeftCell="D1" zoomScale="75" zoomScaleNormal="75" workbookViewId="0">
      <selection activeCell="G279" sqref="G279:G281"/>
    </sheetView>
  </sheetViews>
  <sheetFormatPr defaultRowHeight="14.1" customHeight="1"/>
  <cols>
    <col min="1" max="1" width="2.375" style="585" customWidth="1"/>
    <col min="2" max="2" width="2.375" style="21" customWidth="1"/>
    <col min="3" max="13" width="10.625" style="21" customWidth="1"/>
    <col min="14" max="14" width="2.375" style="21" customWidth="1"/>
    <col min="15" max="35" width="10.625" style="21" customWidth="1"/>
    <col min="36" max="36" width="10.625" style="603"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85"/>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85" t="s">
        <v>20</v>
      </c>
      <c r="AI9" s="585" t="s">
        <v>21</v>
      </c>
      <c r="AJ9" s="604" t="s">
        <v>22</v>
      </c>
      <c r="AK9" s="585" t="s">
        <v>23</v>
      </c>
      <c r="AL9" s="585" t="s">
        <v>24</v>
      </c>
      <c r="AM9" s="585" t="s">
        <v>25</v>
      </c>
      <c r="AN9" s="585" t="s">
        <v>26</v>
      </c>
      <c r="AO9" s="585" t="s">
        <v>27</v>
      </c>
      <c r="AP9" s="585" t="s">
        <v>28</v>
      </c>
      <c r="AQ9" s="585" t="s">
        <v>29</v>
      </c>
    </row>
    <row r="10" spans="1:43" ht="14.1" customHeight="1">
      <c r="A10" s="17">
        <v>10</v>
      </c>
      <c r="B10" s="67"/>
      <c r="C10" s="68"/>
      <c r="E10" s="35" t="s">
        <v>30</v>
      </c>
      <c r="F10" s="851" t="str">
        <f>IF(R10="","",R10)</f>
        <v/>
      </c>
      <c r="G10" s="851"/>
      <c r="J10" s="35" t="s">
        <v>31</v>
      </c>
      <c r="K10" s="842" t="str">
        <f>IF(V10="","",V10)</f>
        <v/>
      </c>
      <c r="L10" s="842"/>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89">
        <v>24</v>
      </c>
      <c r="AI10" s="587">
        <v>50</v>
      </c>
      <c r="AJ10" s="210">
        <v>0</v>
      </c>
      <c r="AK10" s="587" t="str">
        <f>IF($V$21="","",$V$21)</f>
        <v/>
      </c>
      <c r="AL10" s="587" t="str">
        <f>IF($V$24="","",$V$24)</f>
        <v/>
      </c>
      <c r="AM10" s="587"/>
      <c r="AN10" s="587"/>
      <c r="AO10" s="587"/>
      <c r="AP10" s="587"/>
      <c r="AQ10" s="590"/>
    </row>
    <row r="11" spans="1:43" ht="14.1" customHeight="1">
      <c r="A11" s="17">
        <v>11</v>
      </c>
      <c r="B11" s="67"/>
      <c r="C11" s="68"/>
      <c r="E11" s="35" t="s">
        <v>33</v>
      </c>
      <c r="F11" s="849" t="str">
        <f>IF(R11="","",R11)</f>
        <v/>
      </c>
      <c r="G11" s="849"/>
      <c r="J11" s="35" t="s">
        <v>34</v>
      </c>
      <c r="K11" s="842" t="str">
        <f>IF(V11="","",V11)</f>
        <v/>
      </c>
      <c r="L11" s="842"/>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595">
        <v>24</v>
      </c>
      <c r="AI11" s="596">
        <v>50</v>
      </c>
      <c r="AJ11" s="597">
        <v>0</v>
      </c>
      <c r="AK11" s="596" t="str">
        <f t="shared" ref="AK11:AK74" si="1">IF($V$21="","",$V$21)</f>
        <v/>
      </c>
      <c r="AL11" s="596" t="str">
        <f t="shared" ref="AL11:AL56" si="2">IF($V$24="","",$V$24)</f>
        <v/>
      </c>
      <c r="AM11" s="596"/>
      <c r="AN11" s="596"/>
      <c r="AO11" s="596"/>
      <c r="AP11" s="596"/>
      <c r="AQ11" s="598"/>
    </row>
    <row r="12" spans="1:43" ht="14.1" customHeight="1">
      <c r="A12" s="17">
        <v>12</v>
      </c>
      <c r="B12" s="67"/>
      <c r="C12" s="68"/>
      <c r="E12" s="35" t="s">
        <v>35</v>
      </c>
      <c r="F12" s="849" t="str">
        <f>IF(R12="","",R12)</f>
        <v/>
      </c>
      <c r="G12" s="849"/>
      <c r="J12" s="35" t="s">
        <v>36</v>
      </c>
      <c r="K12" s="848" t="str">
        <f>IF(V12="","",V12)</f>
        <v/>
      </c>
      <c r="L12" s="848"/>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595">
        <v>24</v>
      </c>
      <c r="AI12" s="596">
        <v>50</v>
      </c>
      <c r="AJ12" s="597">
        <v>0.3</v>
      </c>
      <c r="AK12" s="596" t="str">
        <f t="shared" si="1"/>
        <v/>
      </c>
      <c r="AL12" s="596" t="str">
        <f t="shared" si="2"/>
        <v/>
      </c>
      <c r="AM12" s="596"/>
      <c r="AN12" s="596"/>
      <c r="AO12" s="596"/>
      <c r="AP12" s="596"/>
      <c r="AQ12" s="598"/>
    </row>
    <row r="13" spans="1:43" ht="14.1" customHeight="1">
      <c r="A13" s="17">
        <v>13</v>
      </c>
      <c r="B13" s="67"/>
      <c r="C13" s="68"/>
      <c r="E13" s="35" t="s">
        <v>37</v>
      </c>
      <c r="F13" s="849" t="str">
        <f>IF(R13="","",R13)</f>
        <v/>
      </c>
      <c r="G13" s="849"/>
      <c r="J13" s="35" t="s">
        <v>38</v>
      </c>
      <c r="K13" s="842" t="str">
        <f>IF(V13="","",V13)</f>
        <v/>
      </c>
      <c r="L13" s="842"/>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595">
        <v>24</v>
      </c>
      <c r="AI13" s="596">
        <v>50</v>
      </c>
      <c r="AJ13" s="597">
        <v>0.3</v>
      </c>
      <c r="AK13" s="596" t="str">
        <f t="shared" si="1"/>
        <v/>
      </c>
      <c r="AL13" s="596" t="str">
        <f t="shared" si="2"/>
        <v/>
      </c>
      <c r="AM13" s="596"/>
      <c r="AN13" s="596"/>
      <c r="AO13" s="596"/>
      <c r="AP13" s="596"/>
      <c r="AQ13" s="598"/>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595">
        <v>24</v>
      </c>
      <c r="AI14" s="596">
        <v>50</v>
      </c>
      <c r="AJ14" s="597">
        <v>0.4</v>
      </c>
      <c r="AK14" s="596" t="str">
        <f t="shared" si="1"/>
        <v/>
      </c>
      <c r="AL14" s="596" t="str">
        <f t="shared" si="2"/>
        <v/>
      </c>
      <c r="AM14" s="596"/>
      <c r="AN14" s="596"/>
      <c r="AO14" s="596"/>
      <c r="AP14" s="596"/>
      <c r="AQ14" s="598"/>
    </row>
    <row r="15" spans="1:43" ht="14.1" customHeight="1">
      <c r="A15" s="17">
        <v>15</v>
      </c>
      <c r="B15" s="67"/>
      <c r="C15" s="68"/>
      <c r="D15" s="75" t="s">
        <v>41</v>
      </c>
      <c r="M15" s="69"/>
      <c r="O15" s="30"/>
      <c r="Y15" s="32"/>
      <c r="AA15" s="35" t="s">
        <v>31</v>
      </c>
      <c r="AB15" s="65"/>
      <c r="AC15" s="49" t="str">
        <f t="shared" si="0"/>
        <v/>
      </c>
      <c r="AD15" s="66" t="str">
        <f>IF(V10="","",V10)</f>
        <v/>
      </c>
      <c r="AH15" s="595">
        <v>24</v>
      </c>
      <c r="AI15" s="596">
        <v>50</v>
      </c>
      <c r="AJ15" s="597">
        <v>0.4</v>
      </c>
      <c r="AK15" s="596" t="str">
        <f t="shared" si="1"/>
        <v/>
      </c>
      <c r="AL15" s="596" t="str">
        <f t="shared" si="2"/>
        <v/>
      </c>
      <c r="AM15" s="596"/>
      <c r="AN15" s="596"/>
      <c r="AO15" s="596"/>
      <c r="AP15" s="596"/>
      <c r="AQ15" s="598"/>
    </row>
    <row r="16" spans="1:43" ht="14.1" customHeight="1">
      <c r="A16" s="17">
        <v>16</v>
      </c>
      <c r="B16" s="67"/>
      <c r="C16" s="68"/>
      <c r="E16" s="35" t="s">
        <v>42</v>
      </c>
      <c r="F16" s="842" t="str">
        <f>IF(R17="","",R17)</f>
        <v/>
      </c>
      <c r="G16" s="842"/>
      <c r="J16" s="35" t="s">
        <v>43</v>
      </c>
      <c r="K16" s="848" t="str">
        <f>IF(V17="","",V17)</f>
        <v/>
      </c>
      <c r="L16" s="848"/>
      <c r="M16" s="69"/>
      <c r="O16" s="30"/>
      <c r="P16" s="75" t="s">
        <v>41</v>
      </c>
      <c r="Y16" s="32"/>
      <c r="AA16" s="35" t="s">
        <v>34</v>
      </c>
      <c r="AB16" s="65"/>
      <c r="AC16" s="49" t="str">
        <f t="shared" si="0"/>
        <v/>
      </c>
      <c r="AD16" s="66" t="str">
        <f>IF(V11="","",V11)</f>
        <v/>
      </c>
      <c r="AH16" s="595">
        <v>24</v>
      </c>
      <c r="AI16" s="596">
        <v>50</v>
      </c>
      <c r="AJ16" s="597">
        <v>0.5</v>
      </c>
      <c r="AK16" s="596" t="str">
        <f t="shared" si="1"/>
        <v/>
      </c>
      <c r="AL16" s="596" t="str">
        <f t="shared" si="2"/>
        <v/>
      </c>
      <c r="AM16" s="596"/>
      <c r="AN16" s="596"/>
      <c r="AO16" s="596"/>
      <c r="AP16" s="596"/>
      <c r="AQ16" s="598"/>
    </row>
    <row r="17" spans="1:43" ht="14.1" customHeight="1">
      <c r="A17" s="17">
        <v>17</v>
      </c>
      <c r="B17" s="67"/>
      <c r="C17" s="68"/>
      <c r="E17" s="35" t="s">
        <v>44</v>
      </c>
      <c r="F17" s="842" t="str">
        <f>IF(R18="","",R18)</f>
        <v/>
      </c>
      <c r="G17" s="842"/>
      <c r="J17" s="35" t="s">
        <v>45</v>
      </c>
      <c r="K17" s="850" t="str">
        <f>IF(V18="","",V18)</f>
        <v/>
      </c>
      <c r="L17" s="850"/>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595">
        <v>24</v>
      </c>
      <c r="AI17" s="596">
        <v>50</v>
      </c>
      <c r="AJ17" s="597">
        <v>0.5</v>
      </c>
      <c r="AK17" s="596" t="str">
        <f t="shared" si="1"/>
        <v/>
      </c>
      <c r="AL17" s="596" t="str">
        <f t="shared" si="2"/>
        <v/>
      </c>
      <c r="AM17" s="596"/>
      <c r="AN17" s="596"/>
      <c r="AO17" s="596"/>
      <c r="AP17" s="596"/>
      <c r="AQ17" s="598"/>
    </row>
    <row r="18" spans="1:43" ht="14.1" customHeight="1">
      <c r="A18" s="17">
        <v>18</v>
      </c>
      <c r="B18" s="67"/>
      <c r="C18" s="68"/>
      <c r="E18" s="35" t="s">
        <v>46</v>
      </c>
      <c r="F18" s="842" t="str">
        <f>IF(R19="","",R19)</f>
        <v/>
      </c>
      <c r="G18" s="842"/>
      <c r="J18" s="35" t="s">
        <v>47</v>
      </c>
      <c r="K18" s="842" t="str">
        <f>IF(V19="","",V19)</f>
        <v/>
      </c>
      <c r="L18" s="842"/>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1">
        <v>25</v>
      </c>
      <c r="AI18" s="16">
        <v>50</v>
      </c>
      <c r="AJ18" s="70">
        <v>0</v>
      </c>
      <c r="AK18" s="16" t="str">
        <f t="shared" si="1"/>
        <v/>
      </c>
      <c r="AL18" s="16" t="str">
        <f t="shared" si="2"/>
        <v/>
      </c>
      <c r="AM18" s="16"/>
      <c r="AN18" s="16"/>
      <c r="AO18" s="16"/>
      <c r="AP18" s="16"/>
      <c r="AQ18" s="592"/>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595">
        <v>25</v>
      </c>
      <c r="AI19" s="596">
        <v>50</v>
      </c>
      <c r="AJ19" s="597">
        <v>0</v>
      </c>
      <c r="AK19" s="596" t="str">
        <f t="shared" si="1"/>
        <v/>
      </c>
      <c r="AL19" s="596" t="str">
        <f t="shared" si="2"/>
        <v/>
      </c>
      <c r="AM19" s="596"/>
      <c r="AN19" s="596"/>
      <c r="AO19" s="596"/>
      <c r="AP19" s="596"/>
      <c r="AQ19" s="598"/>
    </row>
    <row r="20" spans="1:43" ht="14.1" customHeight="1">
      <c r="A20" s="17">
        <v>20</v>
      </c>
      <c r="B20" s="67"/>
      <c r="C20" s="68"/>
      <c r="D20" s="75" t="s">
        <v>49</v>
      </c>
      <c r="J20" s="79"/>
      <c r="M20" s="69"/>
      <c r="O20" s="30"/>
      <c r="Y20" s="32"/>
      <c r="AA20" s="43" t="s">
        <v>41</v>
      </c>
      <c r="AH20" s="595">
        <v>25</v>
      </c>
      <c r="AI20" s="596">
        <v>50</v>
      </c>
      <c r="AJ20" s="597">
        <v>0.3</v>
      </c>
      <c r="AK20" s="596" t="str">
        <f t="shared" si="1"/>
        <v/>
      </c>
      <c r="AL20" s="596" t="str">
        <f t="shared" si="2"/>
        <v/>
      </c>
      <c r="AM20" s="596"/>
      <c r="AN20" s="596"/>
      <c r="AO20" s="596"/>
      <c r="AP20" s="596"/>
      <c r="AQ20" s="598"/>
    </row>
    <row r="21" spans="1:43" ht="14.1" customHeight="1">
      <c r="A21" s="17">
        <v>21</v>
      </c>
      <c r="B21" s="67"/>
      <c r="C21" s="68"/>
      <c r="E21" s="35" t="s">
        <v>50</v>
      </c>
      <c r="F21" s="842" t="str">
        <f>IF(R22="","",R22)</f>
        <v/>
      </c>
      <c r="G21" s="842"/>
      <c r="J21" s="35" t="s">
        <v>51</v>
      </c>
      <c r="K21" s="842" t="str">
        <f>IF(V21="","",V21)</f>
        <v/>
      </c>
      <c r="L21" s="842"/>
      <c r="M21" s="69"/>
      <c r="O21" s="30"/>
      <c r="P21" s="75" t="s">
        <v>49</v>
      </c>
      <c r="U21" s="75" t="s">
        <v>51</v>
      </c>
      <c r="V21" s="46" t="str">
        <f>IF(W21&lt;&gt;"",W21,IF(AB38="","",AB38))</f>
        <v/>
      </c>
      <c r="W21" s="47"/>
      <c r="Y21" s="32"/>
      <c r="AA21" s="35" t="s">
        <v>42</v>
      </c>
      <c r="AB21" s="65"/>
      <c r="AC21" s="49" t="str">
        <f t="shared" ref="AC21:AC26" si="3">IF(AB21&lt;&gt;AD21,"Change","")</f>
        <v/>
      </c>
      <c r="AD21" s="66" t="str">
        <f>IF(R17="","",R17)</f>
        <v/>
      </c>
      <c r="AH21" s="595">
        <v>25</v>
      </c>
      <c r="AI21" s="596">
        <v>50</v>
      </c>
      <c r="AJ21" s="597">
        <v>0.3</v>
      </c>
      <c r="AK21" s="596" t="str">
        <f t="shared" si="1"/>
        <v/>
      </c>
      <c r="AL21" s="596" t="str">
        <f t="shared" si="2"/>
        <v/>
      </c>
      <c r="AM21" s="596"/>
      <c r="AN21" s="596"/>
      <c r="AO21" s="596"/>
      <c r="AP21" s="596"/>
      <c r="AQ21" s="598"/>
    </row>
    <row r="22" spans="1:43" ht="14.1" customHeight="1">
      <c r="A22" s="17">
        <v>22</v>
      </c>
      <c r="B22" s="67"/>
      <c r="C22" s="68"/>
      <c r="E22" s="35" t="s">
        <v>43</v>
      </c>
      <c r="F22" s="848" t="str">
        <f>IF(R23="","",R23)</f>
        <v/>
      </c>
      <c r="G22" s="848"/>
      <c r="J22" s="35"/>
      <c r="K22" s="842" t="str">
        <f>IF(V22="","",V22)</f>
        <v/>
      </c>
      <c r="L22" s="842"/>
      <c r="M22" s="69"/>
      <c r="O22" s="30"/>
      <c r="Q22" s="35" t="s">
        <v>50</v>
      </c>
      <c r="R22" s="46" t="str">
        <f>IF(S22&lt;&gt;"",S22,IF(AB28="","",AB28))</f>
        <v/>
      </c>
      <c r="S22" s="47"/>
      <c r="V22" s="46" t="str">
        <f>IF(W22&lt;&gt;"",W22,IF(AB39="","",AB39))</f>
        <v/>
      </c>
      <c r="W22" s="47"/>
      <c r="Y22" s="32"/>
      <c r="AA22" s="35" t="s">
        <v>44</v>
      </c>
      <c r="AB22" s="65"/>
      <c r="AC22" s="49" t="str">
        <f t="shared" si="3"/>
        <v/>
      </c>
      <c r="AD22" s="66" t="str">
        <f>IF(R18="","",R18)</f>
        <v/>
      </c>
      <c r="AH22" s="595">
        <v>25</v>
      </c>
      <c r="AI22" s="596">
        <v>50</v>
      </c>
      <c r="AJ22" s="597">
        <v>0.4</v>
      </c>
      <c r="AK22" s="596" t="str">
        <f t="shared" si="1"/>
        <v/>
      </c>
      <c r="AL22" s="596" t="str">
        <f t="shared" si="2"/>
        <v/>
      </c>
      <c r="AM22" s="596"/>
      <c r="AN22" s="596"/>
      <c r="AO22" s="596"/>
      <c r="AP22" s="596"/>
      <c r="AQ22" s="598"/>
    </row>
    <row r="23" spans="1:43" ht="14.1" customHeight="1">
      <c r="A23" s="17">
        <v>23</v>
      </c>
      <c r="B23" s="67"/>
      <c r="C23" s="68"/>
      <c r="D23" s="75" t="s">
        <v>53</v>
      </c>
      <c r="J23" s="35" t="s">
        <v>54</v>
      </c>
      <c r="K23" s="842" t="str">
        <f>IF(V24="","",V24)</f>
        <v/>
      </c>
      <c r="L23" s="842"/>
      <c r="M23" s="69"/>
      <c r="O23" s="30"/>
      <c r="Q23" s="35" t="s">
        <v>43</v>
      </c>
      <c r="R23" s="72" t="str">
        <f>IF(S23&lt;&gt;"",S23,IF(AB29="","",AB29))</f>
        <v/>
      </c>
      <c r="S23" s="76"/>
      <c r="V23" s="4"/>
      <c r="W23" s="4"/>
      <c r="Y23" s="32"/>
      <c r="AA23" s="35" t="s">
        <v>46</v>
      </c>
      <c r="AB23" s="65"/>
      <c r="AC23" s="49" t="str">
        <f t="shared" si="3"/>
        <v/>
      </c>
      <c r="AD23" s="66" t="str">
        <f>IF(R19="","",R19)</f>
        <v/>
      </c>
      <c r="AH23" s="595">
        <v>25</v>
      </c>
      <c r="AI23" s="596">
        <v>50</v>
      </c>
      <c r="AJ23" s="597">
        <v>0.4</v>
      </c>
      <c r="AK23" s="596" t="str">
        <f t="shared" si="1"/>
        <v/>
      </c>
      <c r="AL23" s="596" t="str">
        <f t="shared" si="2"/>
        <v/>
      </c>
      <c r="AM23" s="596"/>
      <c r="AN23" s="596"/>
      <c r="AO23" s="596"/>
      <c r="AP23" s="596"/>
      <c r="AQ23" s="598"/>
    </row>
    <row r="24" spans="1:43" ht="14.1" customHeight="1">
      <c r="A24" s="17">
        <v>24</v>
      </c>
      <c r="B24" s="67"/>
      <c r="C24" s="68"/>
      <c r="E24" s="35" t="s">
        <v>42</v>
      </c>
      <c r="F24" s="842" t="str">
        <f>IF(R25="","",R25)</f>
        <v/>
      </c>
      <c r="G24" s="842"/>
      <c r="K24" s="842" t="str">
        <f>IF(V25="","",V25)</f>
        <v/>
      </c>
      <c r="L24" s="842"/>
      <c r="M24" s="69"/>
      <c r="O24" s="30"/>
      <c r="P24" s="75" t="s">
        <v>53</v>
      </c>
      <c r="U24" s="75" t="s">
        <v>54</v>
      </c>
      <c r="V24" s="46" t="str">
        <f>IF(W24&lt;&gt;"",W24,IF(AB40="","",AB40))</f>
        <v/>
      </c>
      <c r="W24" s="47"/>
      <c r="Y24" s="32"/>
      <c r="AA24" s="35" t="s">
        <v>43</v>
      </c>
      <c r="AB24" s="77"/>
      <c r="AC24" s="49" t="str">
        <f t="shared" si="3"/>
        <v/>
      </c>
      <c r="AD24" s="78" t="str">
        <f>IF(V17="","",V17)</f>
        <v/>
      </c>
      <c r="AH24" s="595">
        <v>25</v>
      </c>
      <c r="AI24" s="596">
        <v>50</v>
      </c>
      <c r="AJ24" s="597">
        <v>0.5</v>
      </c>
      <c r="AK24" s="596" t="str">
        <f t="shared" si="1"/>
        <v/>
      </c>
      <c r="AL24" s="596" t="str">
        <f t="shared" si="2"/>
        <v/>
      </c>
      <c r="AM24" s="596"/>
      <c r="AN24" s="596"/>
      <c r="AO24" s="596"/>
      <c r="AP24" s="596"/>
      <c r="AQ24" s="598"/>
    </row>
    <row r="25" spans="1:43" ht="14.1" customHeight="1">
      <c r="A25" s="17">
        <v>25</v>
      </c>
      <c r="B25" s="67"/>
      <c r="C25" s="68"/>
      <c r="E25" s="35" t="s">
        <v>44</v>
      </c>
      <c r="F25" s="842" t="str">
        <f>IF(R26="","",R26)</f>
        <v/>
      </c>
      <c r="G25" s="842"/>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595">
        <v>25</v>
      </c>
      <c r="AI25" s="596">
        <v>50</v>
      </c>
      <c r="AJ25" s="597">
        <v>0.5</v>
      </c>
      <c r="AK25" s="596" t="str">
        <f t="shared" si="1"/>
        <v/>
      </c>
      <c r="AL25" s="596" t="str">
        <f t="shared" si="2"/>
        <v/>
      </c>
      <c r="AM25" s="596"/>
      <c r="AN25" s="596"/>
      <c r="AO25" s="596"/>
      <c r="AP25" s="596"/>
      <c r="AQ25" s="598"/>
    </row>
    <row r="26" spans="1:43" ht="14.1" customHeight="1">
      <c r="A26" s="17">
        <v>26</v>
      </c>
      <c r="B26" s="67"/>
      <c r="C26" s="68"/>
      <c r="E26" s="35" t="s">
        <v>45</v>
      </c>
      <c r="F26" s="842" t="str">
        <f>IF(R27="","",R27)</f>
        <v/>
      </c>
      <c r="G26" s="842"/>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1">
        <v>26</v>
      </c>
      <c r="AI26" s="16">
        <v>50</v>
      </c>
      <c r="AJ26" s="70">
        <v>0</v>
      </c>
      <c r="AK26" s="16" t="str">
        <f t="shared" si="1"/>
        <v/>
      </c>
      <c r="AL26" s="16" t="str">
        <f t="shared" si="2"/>
        <v/>
      </c>
      <c r="AM26" s="16"/>
      <c r="AN26" s="16"/>
      <c r="AO26" s="16"/>
      <c r="AP26" s="16"/>
      <c r="AQ26" s="592"/>
    </row>
    <row r="27" spans="1:43" ht="14.1" customHeight="1">
      <c r="A27" s="17">
        <v>27</v>
      </c>
      <c r="B27" s="67"/>
      <c r="C27" s="68"/>
      <c r="D27" s="75" t="s">
        <v>57</v>
      </c>
      <c r="J27" s="35" t="s">
        <v>58</v>
      </c>
      <c r="K27" s="842" t="str">
        <f>IF(V28="","",V28)</f>
        <v/>
      </c>
      <c r="L27" s="842"/>
      <c r="M27" s="69"/>
      <c r="O27" s="30"/>
      <c r="Q27" s="35" t="s">
        <v>45</v>
      </c>
      <c r="R27" s="46" t="str">
        <f>IF(S27&lt;&gt;"",S27,IF(AB32="","",AB32))</f>
        <v/>
      </c>
      <c r="S27" s="47"/>
      <c r="U27" s="79" t="s">
        <v>56</v>
      </c>
      <c r="Y27" s="32"/>
      <c r="AA27" s="75" t="s">
        <v>49</v>
      </c>
      <c r="AH27" s="591">
        <v>28</v>
      </c>
      <c r="AI27" s="16">
        <v>20</v>
      </c>
      <c r="AJ27" s="70">
        <v>0</v>
      </c>
      <c r="AK27" s="16" t="str">
        <f t="shared" si="1"/>
        <v/>
      </c>
      <c r="AL27" s="16" t="str">
        <f t="shared" si="2"/>
        <v/>
      </c>
      <c r="AM27" s="16"/>
      <c r="AN27" s="16"/>
      <c r="AO27" s="16"/>
      <c r="AP27" s="16"/>
      <c r="AQ27" s="592"/>
    </row>
    <row r="28" spans="1:43" ht="14.1" customHeight="1">
      <c r="A28" s="17">
        <v>28</v>
      </c>
      <c r="B28" s="67"/>
      <c r="C28" s="68"/>
      <c r="E28" s="35" t="s">
        <v>42</v>
      </c>
      <c r="F28" s="842" t="str">
        <f>IF(R29="","",R29)</f>
        <v/>
      </c>
      <c r="G28" s="842"/>
      <c r="I28" s="4"/>
      <c r="J28" s="35" t="s">
        <v>59</v>
      </c>
      <c r="K28" s="842" t="str">
        <f>IF(V29="","",V29)</f>
        <v/>
      </c>
      <c r="L28" s="842"/>
      <c r="M28" s="69"/>
      <c r="O28" s="30"/>
      <c r="P28" s="75" t="s">
        <v>57</v>
      </c>
      <c r="U28" s="35" t="s">
        <v>58</v>
      </c>
      <c r="V28" s="46" t="str">
        <f>IF(W28&lt;&gt;"",W28,IF(AB36="","",AB36))</f>
        <v/>
      </c>
      <c r="W28" s="47"/>
      <c r="Y28" s="32"/>
      <c r="AA28" s="35" t="s">
        <v>50</v>
      </c>
      <c r="AB28" s="65"/>
      <c r="AC28" s="49" t="str">
        <f t="shared" ref="AC28:AC43" si="4">IF(AB28&lt;&gt;AD28,"Change","")</f>
        <v/>
      </c>
      <c r="AD28" s="66" t="str">
        <f>IF(R22="","",R22)</f>
        <v/>
      </c>
      <c r="AH28" s="591">
        <v>28</v>
      </c>
      <c r="AI28" s="16">
        <v>50</v>
      </c>
      <c r="AJ28" s="70">
        <v>0</v>
      </c>
      <c r="AK28" s="16" t="str">
        <f t="shared" si="1"/>
        <v/>
      </c>
      <c r="AL28" s="16" t="str">
        <f t="shared" si="2"/>
        <v/>
      </c>
      <c r="AM28" s="16"/>
      <c r="AN28" s="16"/>
      <c r="AO28" s="16"/>
      <c r="AP28" s="16"/>
      <c r="AQ28" s="592"/>
    </row>
    <row r="29" spans="1:43" ht="14.1" customHeight="1">
      <c r="A29" s="17">
        <v>29</v>
      </c>
      <c r="B29" s="67"/>
      <c r="C29" s="68"/>
      <c r="E29" s="35" t="s">
        <v>44</v>
      </c>
      <c r="F29" s="842" t="str">
        <f>IF(R30="","",R30)</f>
        <v/>
      </c>
      <c r="G29" s="842"/>
      <c r="I29" s="75" t="s">
        <v>60</v>
      </c>
      <c r="J29" s="35" t="s">
        <v>61</v>
      </c>
      <c r="K29" s="842" t="str">
        <f>IF(V32="","",V32)</f>
        <v/>
      </c>
      <c r="L29" s="842"/>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1">
        <v>28</v>
      </c>
      <c r="AI29" s="16">
        <v>50</v>
      </c>
      <c r="AJ29" s="70">
        <v>0</v>
      </c>
      <c r="AK29" s="16" t="str">
        <f t="shared" si="1"/>
        <v/>
      </c>
      <c r="AL29" s="16" t="str">
        <f t="shared" si="2"/>
        <v/>
      </c>
      <c r="AM29" s="16"/>
      <c r="AN29" s="16"/>
      <c r="AO29" s="16"/>
      <c r="AP29" s="16"/>
      <c r="AQ29" s="592"/>
    </row>
    <row r="30" spans="1:43" ht="14.1" customHeight="1">
      <c r="A30" s="17">
        <v>30</v>
      </c>
      <c r="B30" s="67"/>
      <c r="C30" s="68"/>
      <c r="E30" s="35" t="s">
        <v>45</v>
      </c>
      <c r="F30" s="842" t="str">
        <f>IF(R31="","",R31)</f>
        <v/>
      </c>
      <c r="G30" s="842"/>
      <c r="J30" s="35" t="s">
        <v>62</v>
      </c>
      <c r="K30" s="842" t="str">
        <f>IF(V33="","",V33)</f>
        <v/>
      </c>
      <c r="L30" s="842"/>
      <c r="M30" s="69"/>
      <c r="O30" s="30"/>
      <c r="Q30" s="35" t="s">
        <v>44</v>
      </c>
      <c r="R30" s="46" t="str">
        <f>IF(S30&lt;&gt;"",S30,IF(AB34="","",AB34))</f>
        <v/>
      </c>
      <c r="S30" s="47"/>
      <c r="Y30" s="32"/>
      <c r="AA30" s="35" t="s">
        <v>42</v>
      </c>
      <c r="AB30" s="65"/>
      <c r="AC30" s="49" t="str">
        <f t="shared" si="4"/>
        <v/>
      </c>
      <c r="AD30" s="66" t="str">
        <f>IF(R25="","",R25)</f>
        <v/>
      </c>
      <c r="AH30" s="591">
        <v>28</v>
      </c>
      <c r="AI30" s="16">
        <v>50</v>
      </c>
      <c r="AJ30" s="70">
        <v>0</v>
      </c>
      <c r="AK30" s="16" t="str">
        <f t="shared" si="1"/>
        <v/>
      </c>
      <c r="AL30" s="16" t="str">
        <f t="shared" si="2"/>
        <v/>
      </c>
      <c r="AM30" s="16"/>
      <c r="AN30" s="16"/>
      <c r="AO30" s="16"/>
      <c r="AP30" s="16"/>
      <c r="AQ30" s="592"/>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595">
        <v>28</v>
      </c>
      <c r="AI31" s="596">
        <v>50</v>
      </c>
      <c r="AJ31" s="597">
        <v>0</v>
      </c>
      <c r="AK31" s="596" t="str">
        <f t="shared" si="1"/>
        <v/>
      </c>
      <c r="AL31" s="596" t="str">
        <f t="shared" si="2"/>
        <v/>
      </c>
      <c r="AM31" s="596"/>
      <c r="AN31" s="596"/>
      <c r="AO31" s="596"/>
      <c r="AP31" s="596"/>
      <c r="AQ31" s="598"/>
    </row>
    <row r="32" spans="1:43" ht="14.1" customHeight="1" thickTop="1">
      <c r="A32" s="17">
        <v>32</v>
      </c>
      <c r="O32" s="30"/>
      <c r="U32" s="35" t="s">
        <v>61</v>
      </c>
      <c r="V32" s="46" t="str">
        <f>IF(W32&lt;&gt;"",W32,IF(AB45="","",AB45))</f>
        <v/>
      </c>
      <c r="W32" s="47"/>
      <c r="Y32" s="32"/>
      <c r="AA32" s="35" t="s">
        <v>45</v>
      </c>
      <c r="AB32" s="65"/>
      <c r="AC32" s="49" t="str">
        <f t="shared" si="4"/>
        <v/>
      </c>
      <c r="AD32" s="66" t="str">
        <f>IF(R27="","",R27)</f>
        <v/>
      </c>
      <c r="AH32" s="595">
        <v>28</v>
      </c>
      <c r="AI32" s="596">
        <v>50</v>
      </c>
      <c r="AJ32" s="597">
        <v>0.3</v>
      </c>
      <c r="AK32" s="596" t="str">
        <f t="shared" si="1"/>
        <v/>
      </c>
      <c r="AL32" s="596" t="str">
        <f t="shared" si="2"/>
        <v/>
      </c>
      <c r="AM32" s="596"/>
      <c r="AN32" s="596"/>
      <c r="AO32" s="596"/>
      <c r="AP32" s="596"/>
      <c r="AQ32" s="598"/>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595">
        <v>28</v>
      </c>
      <c r="AI33" s="596">
        <v>50</v>
      </c>
      <c r="AJ33" s="597">
        <v>0.3</v>
      </c>
      <c r="AK33" s="596" t="str">
        <f t="shared" si="1"/>
        <v/>
      </c>
      <c r="AL33" s="596" t="str">
        <f t="shared" si="2"/>
        <v/>
      </c>
      <c r="AM33" s="596"/>
      <c r="AN33" s="596"/>
      <c r="AO33" s="596"/>
      <c r="AP33" s="596"/>
      <c r="AQ33" s="598"/>
    </row>
    <row r="34" spans="1:43" ht="14.1" customHeight="1" thickTop="1" thickBot="1">
      <c r="A34" s="17">
        <v>34</v>
      </c>
      <c r="B34" s="58"/>
      <c r="C34" s="59"/>
      <c r="D34" s="59"/>
      <c r="E34" s="59"/>
      <c r="F34" s="59"/>
      <c r="G34" s="59"/>
      <c r="H34" s="59"/>
      <c r="I34" s="59"/>
      <c r="J34" s="59"/>
      <c r="K34" s="59"/>
      <c r="L34" s="59"/>
      <c r="M34" s="61"/>
      <c r="O34" s="96"/>
      <c r="P34" s="21" t="s">
        <v>671</v>
      </c>
      <c r="U34" s="4"/>
      <c r="V34" s="4"/>
      <c r="W34" s="4"/>
      <c r="Y34" s="32"/>
      <c r="AA34" s="35" t="s">
        <v>44</v>
      </c>
      <c r="AB34" s="65"/>
      <c r="AC34" s="49" t="str">
        <f t="shared" si="4"/>
        <v/>
      </c>
      <c r="AD34" s="66" t="str">
        <f>IF(R30="","",R30)</f>
        <v/>
      </c>
      <c r="AH34" s="595">
        <v>28</v>
      </c>
      <c r="AI34" s="596">
        <v>50</v>
      </c>
      <c r="AJ34" s="597">
        <v>0.4</v>
      </c>
      <c r="AK34" s="596" t="str">
        <f t="shared" si="1"/>
        <v/>
      </c>
      <c r="AL34" s="596" t="str">
        <f t="shared" si="2"/>
        <v/>
      </c>
      <c r="AM34" s="596"/>
      <c r="AN34" s="596"/>
      <c r="AO34" s="596"/>
      <c r="AP34" s="596"/>
      <c r="AQ34" s="598"/>
    </row>
    <row r="35" spans="1:43" ht="14.1" customHeight="1" thickBot="1">
      <c r="A35" s="17">
        <v>35</v>
      </c>
      <c r="B35" s="67"/>
      <c r="C35" s="83" t="s">
        <v>64</v>
      </c>
      <c r="D35" s="852" t="s">
        <v>65</v>
      </c>
      <c r="E35" s="852"/>
      <c r="F35" s="852"/>
      <c r="G35" s="852" t="s">
        <v>66</v>
      </c>
      <c r="H35" s="852"/>
      <c r="I35" s="852"/>
      <c r="J35" s="852" t="s">
        <v>67</v>
      </c>
      <c r="K35" s="852"/>
      <c r="L35" s="852"/>
      <c r="M35" s="69"/>
      <c r="O35" s="40"/>
      <c r="P35" s="41"/>
      <c r="Q35" s="41"/>
      <c r="R35" s="41"/>
      <c r="S35" s="41"/>
      <c r="T35" s="41"/>
      <c r="U35" s="41"/>
      <c r="V35" s="41"/>
      <c r="W35" s="41"/>
      <c r="X35" s="41"/>
      <c r="Y35" s="42"/>
      <c r="AA35" s="35" t="s">
        <v>45</v>
      </c>
      <c r="AB35" s="65"/>
      <c r="AC35" s="49" t="str">
        <f t="shared" si="4"/>
        <v/>
      </c>
      <c r="AD35" s="66" t="str">
        <f>IF(R31="","",R31)</f>
        <v/>
      </c>
      <c r="AH35" s="595">
        <v>28</v>
      </c>
      <c r="AI35" s="596">
        <v>50</v>
      </c>
      <c r="AJ35" s="597">
        <v>0.4</v>
      </c>
      <c r="AK35" s="596" t="str">
        <f t="shared" si="1"/>
        <v/>
      </c>
      <c r="AL35" s="596" t="str">
        <f t="shared" si="2"/>
        <v/>
      </c>
      <c r="AM35" s="596"/>
      <c r="AN35" s="596"/>
      <c r="AO35" s="596"/>
      <c r="AP35" s="596"/>
      <c r="AQ35" s="598"/>
    </row>
    <row r="36" spans="1:43" ht="14.1" customHeight="1">
      <c r="A36" s="17">
        <v>36</v>
      </c>
      <c r="B36" s="67"/>
      <c r="C36" s="84" t="s">
        <v>68</v>
      </c>
      <c r="D36" s="580"/>
      <c r="E36" s="581"/>
      <c r="F36" s="586"/>
      <c r="G36" s="853" t="s">
        <v>69</v>
      </c>
      <c r="H36" s="853"/>
      <c r="I36" s="853"/>
      <c r="J36" s="580"/>
      <c r="K36" s="581"/>
      <c r="L36" s="586"/>
      <c r="M36" s="69"/>
      <c r="AA36" s="35" t="s">
        <v>58</v>
      </c>
      <c r="AB36" s="65"/>
      <c r="AC36" s="49" t="str">
        <f t="shared" si="4"/>
        <v/>
      </c>
      <c r="AD36" s="66" t="str">
        <f>IF(V28="","",V28)</f>
        <v/>
      </c>
      <c r="AH36" s="595">
        <v>28</v>
      </c>
      <c r="AI36" s="596">
        <v>50</v>
      </c>
      <c r="AJ36" s="597">
        <v>0.5</v>
      </c>
      <c r="AK36" s="596" t="str">
        <f t="shared" si="1"/>
        <v/>
      </c>
      <c r="AL36" s="596" t="str">
        <f t="shared" si="2"/>
        <v/>
      </c>
      <c r="AM36" s="596"/>
      <c r="AN36" s="596"/>
      <c r="AO36" s="596"/>
      <c r="AP36" s="596"/>
      <c r="AQ36" s="598"/>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595">
        <v>28</v>
      </c>
      <c r="AI37" s="596">
        <v>50</v>
      </c>
      <c r="AJ37" s="597">
        <v>0.5</v>
      </c>
      <c r="AK37" s="596" t="str">
        <f t="shared" si="1"/>
        <v/>
      </c>
      <c r="AL37" s="596" t="str">
        <f t="shared" si="2"/>
        <v/>
      </c>
      <c r="AM37" s="596"/>
      <c r="AN37" s="596"/>
      <c r="AO37" s="596"/>
      <c r="AP37" s="596"/>
      <c r="AQ37" s="598"/>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1">
        <v>28</v>
      </c>
      <c r="AI38" s="16">
        <v>100</v>
      </c>
      <c r="AJ38" s="70">
        <v>0</v>
      </c>
      <c r="AK38" s="16" t="str">
        <f t="shared" si="1"/>
        <v/>
      </c>
      <c r="AL38" s="16" t="str">
        <f t="shared" si="2"/>
        <v/>
      </c>
      <c r="AM38" s="16"/>
      <c r="AN38" s="16"/>
      <c r="AO38" s="16"/>
      <c r="AP38" s="16"/>
      <c r="AQ38" s="592"/>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1">
        <v>28</v>
      </c>
      <c r="AI39" s="16">
        <v>320</v>
      </c>
      <c r="AJ39" s="70">
        <v>0</v>
      </c>
      <c r="AK39" s="16" t="str">
        <f t="shared" si="1"/>
        <v/>
      </c>
      <c r="AL39" s="16" t="str">
        <f t="shared" si="2"/>
        <v/>
      </c>
      <c r="AM39" s="16"/>
      <c r="AN39" s="16"/>
      <c r="AO39" s="16"/>
      <c r="AP39" s="16"/>
      <c r="AQ39" s="592"/>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1">
        <v>30</v>
      </c>
      <c r="AI40" s="16">
        <v>50</v>
      </c>
      <c r="AJ40" s="70">
        <v>0</v>
      </c>
      <c r="AK40" s="16" t="str">
        <f t="shared" si="1"/>
        <v/>
      </c>
      <c r="AL40" s="16" t="str">
        <f t="shared" si="2"/>
        <v/>
      </c>
      <c r="AM40" s="16"/>
      <c r="AN40" s="16"/>
      <c r="AO40" s="16"/>
      <c r="AP40" s="16"/>
      <c r="AQ40" s="592"/>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1">
        <v>32</v>
      </c>
      <c r="AI41" s="16">
        <v>50</v>
      </c>
      <c r="AJ41" s="70">
        <v>0</v>
      </c>
      <c r="AK41" s="16" t="str">
        <f t="shared" si="1"/>
        <v/>
      </c>
      <c r="AL41" s="16" t="str">
        <f t="shared" si="2"/>
        <v/>
      </c>
      <c r="AM41" s="16"/>
      <c r="AN41" s="16"/>
      <c r="AO41" s="16"/>
      <c r="AP41" s="16"/>
      <c r="AQ41" s="592"/>
    </row>
    <row r="42" spans="1:43" ht="14.1" customHeight="1">
      <c r="A42" s="17">
        <v>42</v>
      </c>
      <c r="B42" s="67"/>
      <c r="M42" s="69"/>
      <c r="O42" s="96"/>
      <c r="P42" s="36" t="s">
        <v>86</v>
      </c>
      <c r="Y42" s="32"/>
      <c r="AA42" s="35" t="s">
        <v>61</v>
      </c>
      <c r="AB42" s="65"/>
      <c r="AC42" s="49" t="str">
        <f t="shared" si="4"/>
        <v/>
      </c>
      <c r="AD42" s="66" t="str">
        <f>IF(V32="","",V32)</f>
        <v/>
      </c>
      <c r="AH42" s="595">
        <v>32</v>
      </c>
      <c r="AI42" s="596">
        <v>50</v>
      </c>
      <c r="AJ42" s="597">
        <v>0</v>
      </c>
      <c r="AK42" s="596" t="str">
        <f t="shared" si="1"/>
        <v/>
      </c>
      <c r="AL42" s="596" t="str">
        <f t="shared" si="2"/>
        <v/>
      </c>
      <c r="AM42" s="596"/>
      <c r="AN42" s="596"/>
      <c r="AO42" s="596"/>
      <c r="AP42" s="596"/>
      <c r="AQ42" s="598"/>
    </row>
    <row r="43" spans="1:43" ht="14.1" customHeight="1">
      <c r="A43" s="17">
        <v>43</v>
      </c>
      <c r="B43" s="67"/>
      <c r="H43" s="51" t="s">
        <v>73</v>
      </c>
      <c r="M43" s="69"/>
      <c r="O43" s="96"/>
      <c r="P43" s="36" t="s">
        <v>87</v>
      </c>
      <c r="Y43" s="32"/>
      <c r="AA43" s="35" t="s">
        <v>88</v>
      </c>
      <c r="AB43" s="65"/>
      <c r="AC43" s="49" t="str">
        <f t="shared" si="4"/>
        <v/>
      </c>
      <c r="AD43" s="66" t="str">
        <f>IF(V33="","",V33)</f>
        <v/>
      </c>
      <c r="AH43" s="595">
        <v>32</v>
      </c>
      <c r="AI43" s="596">
        <v>50</v>
      </c>
      <c r="AJ43" s="597">
        <v>0.4</v>
      </c>
      <c r="AK43" s="596" t="str">
        <f t="shared" si="1"/>
        <v/>
      </c>
      <c r="AL43" s="596" t="str">
        <f t="shared" si="2"/>
        <v/>
      </c>
      <c r="AM43" s="596"/>
      <c r="AN43" s="596"/>
      <c r="AO43" s="596"/>
      <c r="AP43" s="596"/>
      <c r="AQ43" s="598"/>
    </row>
    <row r="44" spans="1:43" ht="14.1" customHeight="1">
      <c r="A44" s="17">
        <v>44</v>
      </c>
      <c r="B44" s="67"/>
      <c r="C44" s="101" t="s">
        <v>89</v>
      </c>
      <c r="L44" s="854" t="s">
        <v>90</v>
      </c>
      <c r="M44" s="854"/>
      <c r="O44" s="30"/>
      <c r="Y44" s="32"/>
      <c r="AA44" s="75" t="s">
        <v>63</v>
      </c>
      <c r="AH44" s="595">
        <v>32</v>
      </c>
      <c r="AI44" s="596">
        <v>50</v>
      </c>
      <c r="AJ44" s="597">
        <v>0.4</v>
      </c>
      <c r="AK44" s="596" t="str">
        <f t="shared" si="1"/>
        <v/>
      </c>
      <c r="AL44" s="596" t="str">
        <f t="shared" si="2"/>
        <v/>
      </c>
      <c r="AM44" s="596"/>
      <c r="AN44" s="596"/>
      <c r="AO44" s="596"/>
      <c r="AP44" s="596"/>
      <c r="AQ44" s="598"/>
    </row>
    <row r="45" spans="1:43" ht="14.1" customHeight="1">
      <c r="A45" s="17">
        <v>45</v>
      </c>
      <c r="B45" s="67"/>
      <c r="C45" s="102" t="s">
        <v>91</v>
      </c>
      <c r="E45" s="36" t="s">
        <v>78</v>
      </c>
      <c r="L45" s="103" t="str">
        <f>IF(O39="","TBD",IF(O39=1,"YES",IF(O39=3,"NA","")))</f>
        <v>TBD</v>
      </c>
      <c r="M45" s="104" t="str">
        <f>IF(O39=2,"NO","")</f>
        <v/>
      </c>
      <c r="O45" s="96"/>
      <c r="P45" s="21" t="s">
        <v>516</v>
      </c>
      <c r="Y45" s="32"/>
      <c r="AA45" s="43" t="s">
        <v>65</v>
      </c>
      <c r="AH45" s="595">
        <v>32</v>
      </c>
      <c r="AI45" s="596">
        <v>50</v>
      </c>
      <c r="AJ45" s="597">
        <v>0.5</v>
      </c>
      <c r="AK45" s="596" t="str">
        <f t="shared" si="1"/>
        <v/>
      </c>
      <c r="AL45" s="596" t="str">
        <f t="shared" si="2"/>
        <v/>
      </c>
      <c r="AM45" s="596"/>
      <c r="AN45" s="596"/>
      <c r="AO45" s="596"/>
      <c r="AP45" s="596"/>
      <c r="AQ45" s="598"/>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595">
        <v>32</v>
      </c>
      <c r="AI46" s="596">
        <v>50</v>
      </c>
      <c r="AJ46" s="597">
        <v>0.5</v>
      </c>
      <c r="AK46" s="596" t="str">
        <f t="shared" si="1"/>
        <v/>
      </c>
      <c r="AL46" s="596" t="str">
        <f t="shared" si="2"/>
        <v/>
      </c>
      <c r="AM46" s="596"/>
      <c r="AN46" s="596"/>
      <c r="AO46" s="596"/>
      <c r="AP46" s="596"/>
      <c r="AQ46" s="598"/>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595">
        <v>32</v>
      </c>
      <c r="AI47" s="596">
        <v>50</v>
      </c>
      <c r="AJ47" s="597">
        <v>0.6</v>
      </c>
      <c r="AK47" s="596" t="str">
        <f t="shared" si="1"/>
        <v/>
      </c>
      <c r="AL47" s="596" t="str">
        <f t="shared" si="2"/>
        <v/>
      </c>
      <c r="AM47" s="596"/>
      <c r="AN47" s="596"/>
      <c r="AO47" s="596"/>
      <c r="AP47" s="596"/>
      <c r="AQ47" s="598"/>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595">
        <v>32</v>
      </c>
      <c r="AI48" s="596">
        <v>50</v>
      </c>
      <c r="AJ48" s="597">
        <v>0.6</v>
      </c>
      <c r="AK48" s="596" t="str">
        <f t="shared" si="1"/>
        <v/>
      </c>
      <c r="AL48" s="596" t="str">
        <f t="shared" si="2"/>
        <v/>
      </c>
      <c r="AM48" s="596"/>
      <c r="AN48" s="596"/>
      <c r="AO48" s="596"/>
      <c r="AP48" s="596"/>
      <c r="AQ48" s="598"/>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1">
        <v>34</v>
      </c>
      <c r="AI49" s="16">
        <v>50</v>
      </c>
      <c r="AJ49" s="70">
        <v>0</v>
      </c>
      <c r="AK49" s="16" t="str">
        <f t="shared" si="1"/>
        <v/>
      </c>
      <c r="AL49" s="16" t="str">
        <f t="shared" si="2"/>
        <v/>
      </c>
      <c r="AM49" s="16"/>
      <c r="AN49" s="16"/>
      <c r="AO49" s="16"/>
      <c r="AP49" s="16"/>
      <c r="AQ49" s="592"/>
    </row>
    <row r="50" spans="1:43" ht="14.1" customHeight="1">
      <c r="A50" s="17">
        <v>50</v>
      </c>
      <c r="B50" s="67"/>
      <c r="H50" s="259" t="s">
        <v>92</v>
      </c>
      <c r="M50" s="69"/>
      <c r="O50" s="96"/>
      <c r="P50" s="21" t="s">
        <v>521</v>
      </c>
      <c r="Y50" s="32"/>
      <c r="AA50" s="35" t="s">
        <v>98</v>
      </c>
      <c r="AB50" s="65"/>
      <c r="AD50" s="66" t="str">
        <f>IF(Q125="","",Q125)</f>
        <v/>
      </c>
      <c r="AH50" s="595">
        <v>34</v>
      </c>
      <c r="AI50" s="596">
        <v>50</v>
      </c>
      <c r="AJ50" s="597">
        <v>0</v>
      </c>
      <c r="AK50" s="596" t="str">
        <f t="shared" si="1"/>
        <v/>
      </c>
      <c r="AL50" s="596" t="str">
        <f t="shared" si="2"/>
        <v/>
      </c>
      <c r="AM50" s="596"/>
      <c r="AN50" s="596"/>
      <c r="AO50" s="596"/>
      <c r="AP50" s="596"/>
      <c r="AQ50" s="598"/>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595">
        <v>34</v>
      </c>
      <c r="AI51" s="596">
        <v>50</v>
      </c>
      <c r="AJ51" s="597">
        <v>0.4</v>
      </c>
      <c r="AK51" s="596" t="str">
        <f t="shared" si="1"/>
        <v/>
      </c>
      <c r="AL51" s="596" t="str">
        <f t="shared" si="2"/>
        <v/>
      </c>
      <c r="AM51" s="596"/>
      <c r="AN51" s="596"/>
      <c r="AO51" s="596"/>
      <c r="AP51" s="596"/>
      <c r="AQ51" s="598"/>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595">
        <v>34</v>
      </c>
      <c r="AI52" s="596">
        <v>50</v>
      </c>
      <c r="AJ52" s="597">
        <v>0.4</v>
      </c>
      <c r="AK52" s="596" t="str">
        <f t="shared" si="1"/>
        <v/>
      </c>
      <c r="AL52" s="596" t="str">
        <f t="shared" si="2"/>
        <v/>
      </c>
      <c r="AM52" s="596"/>
      <c r="AN52" s="596"/>
      <c r="AO52" s="596"/>
      <c r="AP52" s="596"/>
      <c r="AQ52" s="598"/>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595">
        <v>34</v>
      </c>
      <c r="AI53" s="596">
        <v>50</v>
      </c>
      <c r="AJ53" s="597">
        <v>0.5</v>
      </c>
      <c r="AK53" s="596" t="str">
        <f t="shared" si="1"/>
        <v/>
      </c>
      <c r="AL53" s="596" t="str">
        <f t="shared" si="2"/>
        <v/>
      </c>
      <c r="AM53" s="596"/>
      <c r="AN53" s="596"/>
      <c r="AO53" s="596"/>
      <c r="AP53" s="596"/>
      <c r="AQ53" s="598"/>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595">
        <v>34</v>
      </c>
      <c r="AI54" s="596">
        <v>50</v>
      </c>
      <c r="AJ54" s="597">
        <v>0.5</v>
      </c>
      <c r="AK54" s="596" t="str">
        <f t="shared" si="1"/>
        <v/>
      </c>
      <c r="AL54" s="596" t="str">
        <f t="shared" si="2"/>
        <v/>
      </c>
      <c r="AM54" s="596"/>
      <c r="AN54" s="596"/>
      <c r="AO54" s="596"/>
      <c r="AP54" s="596"/>
      <c r="AQ54" s="598"/>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595">
        <v>34</v>
      </c>
      <c r="AI55" s="596">
        <v>50</v>
      </c>
      <c r="AJ55" s="597">
        <v>0.6</v>
      </c>
      <c r="AK55" s="596" t="str">
        <f t="shared" si="1"/>
        <v/>
      </c>
      <c r="AL55" s="596" t="str">
        <f t="shared" si="2"/>
        <v/>
      </c>
      <c r="AM55" s="596"/>
      <c r="AN55" s="596"/>
      <c r="AO55" s="596"/>
      <c r="AP55" s="596"/>
      <c r="AQ55" s="598"/>
    </row>
    <row r="56" spans="1:43" ht="14.1" customHeight="1" thickBot="1">
      <c r="A56" s="17">
        <v>56</v>
      </c>
      <c r="B56" s="67"/>
      <c r="E56" s="68" t="s">
        <v>103</v>
      </c>
      <c r="L56" s="103" t="str">
        <f t="shared" si="6"/>
        <v>TBD</v>
      </c>
      <c r="M56" s="104" t="str">
        <f t="shared" si="7"/>
        <v/>
      </c>
      <c r="O56" s="96"/>
      <c r="P56" s="21" t="s">
        <v>527</v>
      </c>
      <c r="Y56" s="32"/>
      <c r="AA56" s="35" t="s">
        <v>98</v>
      </c>
      <c r="AB56" s="65"/>
      <c r="AD56" s="66"/>
      <c r="AH56" s="599">
        <v>34</v>
      </c>
      <c r="AI56" s="600">
        <v>50</v>
      </c>
      <c r="AJ56" s="601">
        <v>0.6</v>
      </c>
      <c r="AK56" s="600" t="str">
        <f t="shared" si="1"/>
        <v/>
      </c>
      <c r="AL56" s="600" t="str">
        <f t="shared" si="2"/>
        <v/>
      </c>
      <c r="AM56" s="600"/>
      <c r="AN56" s="600"/>
      <c r="AO56" s="600"/>
      <c r="AP56" s="600"/>
      <c r="AQ56" s="602"/>
    </row>
    <row r="57" spans="1:43" ht="14.1" customHeight="1">
      <c r="A57" s="17">
        <v>57</v>
      </c>
      <c r="B57" s="67"/>
      <c r="E57" s="68" t="s">
        <v>109</v>
      </c>
      <c r="L57" s="103" t="str">
        <f t="shared" si="6"/>
        <v>TBD</v>
      </c>
      <c r="M57" s="104" t="str">
        <f t="shared" si="7"/>
        <v/>
      </c>
      <c r="O57" s="96"/>
      <c r="P57" s="21" t="s">
        <v>528</v>
      </c>
      <c r="Y57" s="32"/>
      <c r="AA57" s="35" t="s">
        <v>100</v>
      </c>
      <c r="AB57" s="65"/>
      <c r="AD57" s="66"/>
      <c r="AH57" s="589">
        <v>28</v>
      </c>
      <c r="AI57" s="587">
        <v>50</v>
      </c>
      <c r="AJ57" s="210">
        <v>0</v>
      </c>
      <c r="AK57" s="587" t="str">
        <f t="shared" si="1"/>
        <v/>
      </c>
      <c r="AL57" s="587" t="str">
        <f>IF($V$25="","",$V$25)</f>
        <v/>
      </c>
      <c r="AM57" s="587"/>
      <c r="AN57" s="587"/>
      <c r="AO57" s="587"/>
      <c r="AP57" s="587"/>
      <c r="AQ57" s="590"/>
    </row>
    <row r="58" spans="1:43" ht="14.1" customHeight="1">
      <c r="A58" s="17">
        <v>58</v>
      </c>
      <c r="B58" s="67"/>
      <c r="E58" s="68" t="s">
        <v>105</v>
      </c>
      <c r="L58" s="103" t="str">
        <f t="shared" si="6"/>
        <v>TBD</v>
      </c>
      <c r="M58" s="104" t="str">
        <f t="shared" si="7"/>
        <v/>
      </c>
      <c r="O58" s="96"/>
      <c r="P58" s="21" t="s">
        <v>529</v>
      </c>
      <c r="Y58" s="32"/>
      <c r="AA58" s="43" t="s">
        <v>112</v>
      </c>
      <c r="AH58" s="606">
        <v>28</v>
      </c>
      <c r="AI58" s="607">
        <v>50</v>
      </c>
      <c r="AJ58" s="608">
        <v>0</v>
      </c>
      <c r="AK58" s="607" t="str">
        <f t="shared" si="1"/>
        <v/>
      </c>
      <c r="AL58" s="607" t="str">
        <f t="shared" ref="AL58:AL90" si="8">IF($V$25="","",$V$25)</f>
        <v/>
      </c>
      <c r="AM58" s="607"/>
      <c r="AN58" s="607"/>
      <c r="AO58" s="607"/>
      <c r="AP58" s="607"/>
      <c r="AQ58" s="609"/>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06">
        <v>28</v>
      </c>
      <c r="AI59" s="607">
        <v>50</v>
      </c>
      <c r="AJ59" s="608">
        <v>0.4</v>
      </c>
      <c r="AK59" s="607" t="str">
        <f t="shared" si="1"/>
        <v/>
      </c>
      <c r="AL59" s="607" t="str">
        <f t="shared" si="8"/>
        <v/>
      </c>
      <c r="AM59" s="607"/>
      <c r="AN59" s="607"/>
      <c r="AO59" s="607"/>
      <c r="AP59" s="607"/>
      <c r="AQ59" s="609"/>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06">
        <v>28</v>
      </c>
      <c r="AI60" s="607">
        <v>50</v>
      </c>
      <c r="AJ60" s="608">
        <v>0.4</v>
      </c>
      <c r="AK60" s="607" t="str">
        <f t="shared" si="1"/>
        <v/>
      </c>
      <c r="AL60" s="607" t="str">
        <f t="shared" si="8"/>
        <v/>
      </c>
      <c r="AM60" s="607"/>
      <c r="AN60" s="607"/>
      <c r="AO60" s="607"/>
      <c r="AP60" s="607"/>
      <c r="AQ60" s="609"/>
    </row>
    <row r="61" spans="1:43" ht="14.1" customHeight="1">
      <c r="A61" s="17">
        <v>61</v>
      </c>
      <c r="B61" s="67"/>
      <c r="E61" s="68" t="s">
        <v>108</v>
      </c>
      <c r="L61" s="103" t="str">
        <f t="shared" si="6"/>
        <v>TBD</v>
      </c>
      <c r="M61" s="104" t="str">
        <f t="shared" si="7"/>
        <v/>
      </c>
      <c r="O61" s="273" t="str">
        <f>IF(Q149="","",IF(AND(AVERAGE(Q149:Q152)&gt;=3.5,AVERAGE(Q149:Q152)&lt;=4.3),1,2))</f>
        <v/>
      </c>
      <c r="P61" s="21" t="s">
        <v>651</v>
      </c>
      <c r="Y61" s="32"/>
      <c r="AA61" s="35" t="s">
        <v>100</v>
      </c>
      <c r="AB61" s="65"/>
      <c r="AD61" s="66" t="str">
        <f>IF(U124="","",U124)</f>
        <v/>
      </c>
      <c r="AH61" s="606">
        <v>28</v>
      </c>
      <c r="AI61" s="607">
        <v>50</v>
      </c>
      <c r="AJ61" s="608">
        <v>0.5</v>
      </c>
      <c r="AK61" s="607" t="str">
        <f t="shared" si="1"/>
        <v/>
      </c>
      <c r="AL61" s="607" t="str">
        <f t="shared" si="8"/>
        <v/>
      </c>
      <c r="AM61" s="607"/>
      <c r="AN61" s="607"/>
      <c r="AO61" s="607"/>
      <c r="AP61" s="607"/>
      <c r="AQ61" s="609"/>
    </row>
    <row r="62" spans="1:43" ht="14.1" customHeight="1">
      <c r="A62" s="17">
        <v>62</v>
      </c>
      <c r="B62" s="67"/>
      <c r="E62" s="68" t="s">
        <v>115</v>
      </c>
      <c r="L62" s="103" t="str">
        <f t="shared" si="6"/>
        <v>TBD</v>
      </c>
      <c r="M62" s="104" t="str">
        <f t="shared" si="7"/>
        <v/>
      </c>
      <c r="O62" s="30"/>
      <c r="Y62" s="32"/>
      <c r="AA62" s="35" t="s">
        <v>95</v>
      </c>
      <c r="AB62" s="65"/>
      <c r="AD62" s="66" t="str">
        <f>IF(S125="","",S125)</f>
        <v/>
      </c>
      <c r="AH62" s="606">
        <v>28</v>
      </c>
      <c r="AI62" s="607">
        <v>50</v>
      </c>
      <c r="AJ62" s="608">
        <v>0.5</v>
      </c>
      <c r="AK62" s="607" t="str">
        <f t="shared" si="1"/>
        <v/>
      </c>
      <c r="AL62" s="607" t="str">
        <f t="shared" si="8"/>
        <v/>
      </c>
      <c r="AM62" s="607"/>
      <c r="AN62" s="607"/>
      <c r="AO62" s="607"/>
      <c r="AP62" s="607"/>
      <c r="AQ62" s="609"/>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06">
        <v>28</v>
      </c>
      <c r="AI63" s="607">
        <v>50</v>
      </c>
      <c r="AJ63" s="608">
        <v>0.6</v>
      </c>
      <c r="AK63" s="607" t="str">
        <f t="shared" si="1"/>
        <v/>
      </c>
      <c r="AL63" s="607" t="str">
        <f t="shared" si="8"/>
        <v/>
      </c>
      <c r="AM63" s="607"/>
      <c r="AN63" s="607"/>
      <c r="AO63" s="607"/>
      <c r="AP63" s="607"/>
      <c r="AQ63" s="610"/>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06">
        <v>28</v>
      </c>
      <c r="AI64" s="607">
        <v>50</v>
      </c>
      <c r="AJ64" s="608">
        <v>0.6</v>
      </c>
      <c r="AK64" s="607" t="str">
        <f t="shared" si="1"/>
        <v/>
      </c>
      <c r="AL64" s="607" t="str">
        <f t="shared" si="8"/>
        <v/>
      </c>
      <c r="AM64" s="607"/>
      <c r="AN64" s="607"/>
      <c r="AO64" s="607"/>
      <c r="AP64" s="607"/>
      <c r="AQ64" s="610"/>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06">
        <v>30</v>
      </c>
      <c r="AI66" s="607">
        <v>50</v>
      </c>
      <c r="AJ66" s="608">
        <v>0</v>
      </c>
      <c r="AK66" s="607" t="str">
        <f t="shared" si="1"/>
        <v/>
      </c>
      <c r="AL66" s="607" t="str">
        <f t="shared" si="8"/>
        <v/>
      </c>
      <c r="AM66" s="607"/>
      <c r="AN66" s="607"/>
      <c r="AO66" s="607"/>
      <c r="AP66" s="607"/>
      <c r="AQ66" s="610"/>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06">
        <v>30</v>
      </c>
      <c r="AI67" s="607">
        <v>50</v>
      </c>
      <c r="AJ67" s="608">
        <v>0.4</v>
      </c>
      <c r="AK67" s="607" t="str">
        <f t="shared" si="1"/>
        <v/>
      </c>
      <c r="AL67" s="607" t="str">
        <f t="shared" si="8"/>
        <v/>
      </c>
      <c r="AM67" s="607"/>
      <c r="AN67" s="607"/>
      <c r="AO67" s="607"/>
      <c r="AP67" s="607"/>
      <c r="AQ67" s="610"/>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06">
        <v>30</v>
      </c>
      <c r="AI68" s="607">
        <v>50</v>
      </c>
      <c r="AJ68" s="608">
        <v>0.4</v>
      </c>
      <c r="AK68" s="607" t="str">
        <f t="shared" si="1"/>
        <v/>
      </c>
      <c r="AL68" s="607" t="str">
        <f t="shared" si="8"/>
        <v/>
      </c>
      <c r="AM68" s="607"/>
      <c r="AN68" s="607"/>
      <c r="AO68" s="607"/>
      <c r="AP68" s="607"/>
      <c r="AQ68" s="610"/>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06">
        <v>30</v>
      </c>
      <c r="AI69" s="607">
        <v>50</v>
      </c>
      <c r="AJ69" s="608">
        <v>0.5</v>
      </c>
      <c r="AK69" s="607" t="str">
        <f t="shared" si="1"/>
        <v/>
      </c>
      <c r="AL69" s="607" t="str">
        <f t="shared" si="8"/>
        <v/>
      </c>
      <c r="AM69" s="607"/>
      <c r="AN69" s="607"/>
      <c r="AO69" s="607"/>
      <c r="AP69" s="607"/>
      <c r="AQ69" s="610"/>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06">
        <v>30</v>
      </c>
      <c r="AI70" s="607">
        <v>50</v>
      </c>
      <c r="AJ70" s="608">
        <v>0.5</v>
      </c>
      <c r="AK70" s="607" t="str">
        <f t="shared" si="1"/>
        <v/>
      </c>
      <c r="AL70" s="607" t="str">
        <f t="shared" si="8"/>
        <v/>
      </c>
      <c r="AM70" s="607"/>
      <c r="AN70" s="607"/>
      <c r="AO70" s="607"/>
      <c r="AP70" s="607"/>
      <c r="AQ70" s="610"/>
    </row>
    <row r="71" spans="1:43" ht="14.1" customHeight="1" thickTop="1">
      <c r="A71" s="17">
        <v>71</v>
      </c>
      <c r="C71" s="109" t="s">
        <v>11</v>
      </c>
      <c r="D71" s="375" t="str">
        <f>IF($P$7="","",$P$7)</f>
        <v/>
      </c>
      <c r="E71" s="27"/>
      <c r="F71" s="27"/>
      <c r="G71" s="27"/>
      <c r="H71" s="27"/>
      <c r="I71" s="27"/>
      <c r="J71" s="27"/>
      <c r="K71" s="27"/>
      <c r="L71" s="109" t="s">
        <v>12</v>
      </c>
      <c r="M71" s="376" t="str">
        <f>IF($X$7="","",$X$7)</f>
        <v>Eugene Mah</v>
      </c>
      <c r="O71" s="96"/>
      <c r="P71" s="68" t="s">
        <v>105</v>
      </c>
      <c r="Y71" s="32"/>
      <c r="AA71" s="43" t="s">
        <v>67</v>
      </c>
      <c r="AH71" s="606">
        <v>30</v>
      </c>
      <c r="AI71" s="607">
        <v>50</v>
      </c>
      <c r="AJ71" s="608">
        <v>0.6</v>
      </c>
      <c r="AK71" s="607" t="str">
        <f t="shared" si="1"/>
        <v/>
      </c>
      <c r="AL71" s="607" t="str">
        <f t="shared" si="8"/>
        <v/>
      </c>
      <c r="AM71" s="607"/>
      <c r="AN71" s="607"/>
      <c r="AO71" s="607"/>
      <c r="AP71" s="607"/>
      <c r="AQ71" s="610"/>
    </row>
    <row r="72" spans="1:43" ht="14.1" customHeight="1">
      <c r="A72" s="17">
        <v>72</v>
      </c>
      <c r="C72" s="109" t="s">
        <v>121</v>
      </c>
      <c r="D72" s="376" t="str">
        <f>IF($R$14="","",$R$14)</f>
        <v/>
      </c>
      <c r="E72" s="27"/>
      <c r="F72" s="27"/>
      <c r="G72" s="27"/>
      <c r="H72" s="27"/>
      <c r="I72" s="27"/>
      <c r="J72" s="27"/>
      <c r="K72" s="27"/>
      <c r="L72" s="109" t="s">
        <v>37</v>
      </c>
      <c r="M72" s="376" t="str">
        <f>IF($R$13="","",$R$13)</f>
        <v/>
      </c>
      <c r="O72" s="96"/>
      <c r="P72" s="68" t="s">
        <v>106</v>
      </c>
      <c r="Y72" s="32"/>
      <c r="AA72" s="35" t="s">
        <v>95</v>
      </c>
      <c r="AB72" s="65"/>
      <c r="AD72" s="66" t="str">
        <f>IF(V124="","",V124)</f>
        <v/>
      </c>
      <c r="AH72" s="606">
        <v>30</v>
      </c>
      <c r="AI72" s="607">
        <v>50</v>
      </c>
      <c r="AJ72" s="608">
        <v>0.6</v>
      </c>
      <c r="AK72" s="607" t="str">
        <f t="shared" si="1"/>
        <v/>
      </c>
      <c r="AL72" s="607" t="str">
        <f t="shared" si="8"/>
        <v/>
      </c>
      <c r="AM72" s="607"/>
      <c r="AN72" s="607"/>
      <c r="AO72" s="607"/>
      <c r="AP72" s="607"/>
      <c r="AQ72" s="610"/>
    </row>
    <row r="73" spans="1:43" ht="14.1" customHeight="1">
      <c r="A73" s="17">
        <v>1</v>
      </c>
      <c r="M73" s="112" t="str">
        <f>$H$2</f>
        <v>Medical University of South Carolina</v>
      </c>
      <c r="O73" s="96"/>
      <c r="P73" s="68" t="s">
        <v>107</v>
      </c>
      <c r="Y73" s="32"/>
      <c r="AA73" s="35" t="s">
        <v>98</v>
      </c>
      <c r="AB73" s="65"/>
      <c r="AD73" s="66" t="str">
        <f>IF(W124="","",W124)</f>
        <v/>
      </c>
      <c r="AH73" s="593">
        <v>32</v>
      </c>
      <c r="AI73" s="588">
        <v>50</v>
      </c>
      <c r="AJ73" s="605">
        <v>0</v>
      </c>
      <c r="AK73" s="588" t="str">
        <f t="shared" si="1"/>
        <v/>
      </c>
      <c r="AL73" s="588" t="str">
        <f t="shared" si="8"/>
        <v/>
      </c>
      <c r="AM73" s="588"/>
      <c r="AN73" s="588"/>
      <c r="AO73" s="588"/>
      <c r="AP73" s="588"/>
      <c r="AQ73" s="594"/>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06">
        <v>32</v>
      </c>
      <c r="AI74" s="607">
        <v>50</v>
      </c>
      <c r="AJ74" s="608">
        <v>0</v>
      </c>
      <c r="AK74" s="607" t="str">
        <f t="shared" si="1"/>
        <v/>
      </c>
      <c r="AL74" s="607" t="str">
        <f t="shared" si="8"/>
        <v/>
      </c>
      <c r="AM74" s="607"/>
      <c r="AN74" s="607"/>
      <c r="AO74" s="607"/>
      <c r="AP74" s="607"/>
      <c r="AQ74" s="610"/>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06">
        <v>32</v>
      </c>
      <c r="AI75" s="607">
        <v>50</v>
      </c>
      <c r="AJ75" s="608">
        <v>0.4</v>
      </c>
      <c r="AK75" s="607" t="str">
        <f t="shared" ref="AK75:AK90" si="9">IF($V$21="","",$V$21)</f>
        <v/>
      </c>
      <c r="AL75" s="607" t="str">
        <f t="shared" si="8"/>
        <v/>
      </c>
      <c r="AM75" s="607"/>
      <c r="AN75" s="607"/>
      <c r="AO75" s="607"/>
      <c r="AP75" s="607"/>
      <c r="AQ75" s="610"/>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06">
        <v>32</v>
      </c>
      <c r="AI76" s="607">
        <v>50</v>
      </c>
      <c r="AJ76" s="608">
        <v>0.4</v>
      </c>
      <c r="AK76" s="607" t="str">
        <f t="shared" si="9"/>
        <v/>
      </c>
      <c r="AL76" s="607" t="str">
        <f t="shared" si="8"/>
        <v/>
      </c>
      <c r="AM76" s="607"/>
      <c r="AN76" s="607"/>
      <c r="AO76" s="607"/>
      <c r="AP76" s="607"/>
      <c r="AQ76" s="610"/>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06">
        <v>32</v>
      </c>
      <c r="AI77" s="607">
        <v>50</v>
      </c>
      <c r="AJ77" s="608">
        <v>0.5</v>
      </c>
      <c r="AK77" s="607" t="str">
        <f t="shared" si="9"/>
        <v/>
      </c>
      <c r="AL77" s="607" t="str">
        <f t="shared" si="8"/>
        <v/>
      </c>
      <c r="AM77" s="607"/>
      <c r="AN77" s="607"/>
      <c r="AO77" s="607"/>
      <c r="AP77" s="607"/>
      <c r="AQ77" s="610"/>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06">
        <v>32</v>
      </c>
      <c r="AI78" s="607">
        <v>50</v>
      </c>
      <c r="AJ78" s="608">
        <v>0.5</v>
      </c>
      <c r="AK78" s="607" t="str">
        <f t="shared" si="9"/>
        <v/>
      </c>
      <c r="AL78" s="607" t="str">
        <f t="shared" si="8"/>
        <v/>
      </c>
      <c r="AM78" s="607"/>
      <c r="AN78" s="607"/>
      <c r="AO78" s="607"/>
      <c r="AP78" s="607"/>
      <c r="AQ78" s="610"/>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06">
        <v>32</v>
      </c>
      <c r="AI79" s="607">
        <v>50</v>
      </c>
      <c r="AJ79" s="608">
        <v>0.6</v>
      </c>
      <c r="AK79" s="607" t="str">
        <f t="shared" si="9"/>
        <v/>
      </c>
      <c r="AL79" s="607" t="str">
        <f t="shared" si="8"/>
        <v/>
      </c>
      <c r="AM79" s="607"/>
      <c r="AN79" s="607"/>
      <c r="AO79" s="607"/>
      <c r="AP79" s="607"/>
      <c r="AQ79" s="610"/>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06">
        <v>32</v>
      </c>
      <c r="AI80" s="607">
        <v>50</v>
      </c>
      <c r="AJ80" s="608">
        <v>0.6</v>
      </c>
      <c r="AK80" s="607" t="str">
        <f t="shared" si="9"/>
        <v/>
      </c>
      <c r="AL80" s="607" t="str">
        <f t="shared" si="8"/>
        <v/>
      </c>
      <c r="AM80" s="607"/>
      <c r="AN80" s="607"/>
      <c r="AO80" s="607"/>
      <c r="AP80" s="607"/>
      <c r="AQ80" s="610"/>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YES</v>
      </c>
      <c r="M82" s="104" t="str">
        <f t="shared" si="11"/>
        <v/>
      </c>
      <c r="O82" s="96"/>
      <c r="P82" s="21" t="s">
        <v>119</v>
      </c>
      <c r="Y82" s="32"/>
      <c r="AA82" s="35" t="s">
        <v>98</v>
      </c>
      <c r="AB82" s="65"/>
      <c r="AD82" s="66" t="str">
        <f>IF(W127="","",W127)</f>
        <v/>
      </c>
      <c r="AH82" s="606">
        <v>34</v>
      </c>
      <c r="AI82" s="607">
        <v>50</v>
      </c>
      <c r="AJ82" s="608">
        <v>0</v>
      </c>
      <c r="AK82" s="607" t="str">
        <f t="shared" si="9"/>
        <v/>
      </c>
      <c r="AL82" s="607" t="str">
        <f t="shared" si="8"/>
        <v/>
      </c>
      <c r="AM82" s="607"/>
      <c r="AN82" s="607"/>
      <c r="AO82" s="607"/>
      <c r="AP82" s="607"/>
      <c r="AQ82" s="610"/>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06">
        <v>34</v>
      </c>
      <c r="AI83" s="607">
        <v>50</v>
      </c>
      <c r="AJ83" s="608">
        <v>0.4</v>
      </c>
      <c r="AK83" s="607" t="str">
        <f t="shared" si="9"/>
        <v/>
      </c>
      <c r="AL83" s="607" t="str">
        <f t="shared" si="8"/>
        <v/>
      </c>
      <c r="AM83" s="607"/>
      <c r="AN83" s="607"/>
      <c r="AO83" s="607"/>
      <c r="AP83" s="607"/>
      <c r="AQ83" s="610"/>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06">
        <v>34</v>
      </c>
      <c r="AI84" s="607">
        <v>50</v>
      </c>
      <c r="AJ84" s="608">
        <v>0.4</v>
      </c>
      <c r="AK84" s="607" t="str">
        <f t="shared" si="9"/>
        <v/>
      </c>
      <c r="AL84" s="607" t="str">
        <f t="shared" si="8"/>
        <v/>
      </c>
      <c r="AM84" s="607"/>
      <c r="AN84" s="607"/>
      <c r="AO84" s="607"/>
      <c r="AP84" s="607"/>
      <c r="AQ84" s="610"/>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f>IF(OR(R172="",R172=1),IF(U175&gt;=160,1,2),3)</f>
        <v>1</v>
      </c>
      <c r="P85" s="21" t="s">
        <v>123</v>
      </c>
      <c r="Y85" s="32"/>
      <c r="AA85" s="35" t="s">
        <v>161</v>
      </c>
      <c r="AB85" s="65"/>
      <c r="AD85" s="116" t="str">
        <f>IF(X265="","",X265)</f>
        <v/>
      </c>
      <c r="AH85" s="606">
        <v>34</v>
      </c>
      <c r="AI85" s="607">
        <v>50</v>
      </c>
      <c r="AJ85" s="608">
        <v>0.5</v>
      </c>
      <c r="AK85" s="607" t="str">
        <f t="shared" si="9"/>
        <v/>
      </c>
      <c r="AL85" s="607" t="str">
        <f t="shared" si="8"/>
        <v/>
      </c>
      <c r="AM85" s="607"/>
      <c r="AN85" s="607"/>
      <c r="AO85" s="607"/>
      <c r="AP85" s="607"/>
      <c r="AQ85" s="610"/>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667</v>
      </c>
      <c r="AB86" s="65"/>
      <c r="AD86" s="116" t="str">
        <f>IF(X284="","",X284)</f>
        <v/>
      </c>
      <c r="AH86" s="606">
        <v>34</v>
      </c>
      <c r="AI86" s="607">
        <v>50</v>
      </c>
      <c r="AJ86" s="608">
        <v>0.5</v>
      </c>
      <c r="AK86" s="607" t="str">
        <f t="shared" si="9"/>
        <v/>
      </c>
      <c r="AL86" s="607" t="str">
        <f t="shared" si="8"/>
        <v/>
      </c>
      <c r="AM86" s="607"/>
      <c r="AN86" s="607"/>
      <c r="AO86" s="607"/>
      <c r="AP86" s="607"/>
      <c r="AQ86" s="610"/>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668</v>
      </c>
      <c r="AB87" s="65"/>
      <c r="AD87" s="116" t="str">
        <f>IF(X295="","",X295)</f>
        <v/>
      </c>
      <c r="AH87" s="606">
        <v>34</v>
      </c>
      <c r="AI87" s="607">
        <v>50</v>
      </c>
      <c r="AJ87" s="608">
        <v>0.6</v>
      </c>
      <c r="AK87" s="607" t="str">
        <f t="shared" si="9"/>
        <v/>
      </c>
      <c r="AL87" s="607" t="str">
        <f t="shared" si="8"/>
        <v/>
      </c>
      <c r="AM87" s="607"/>
      <c r="AN87" s="607"/>
      <c r="AO87" s="607"/>
      <c r="AP87" s="607"/>
      <c r="AQ87" s="610"/>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534</v>
      </c>
      <c r="AB88" s="65"/>
      <c r="AD88" s="117" t="str">
        <f>IF(S399="","",S399)</f>
        <v/>
      </c>
      <c r="AH88" s="606">
        <v>34</v>
      </c>
      <c r="AI88" s="607">
        <v>50</v>
      </c>
      <c r="AJ88" s="608">
        <v>0.6</v>
      </c>
      <c r="AK88" s="607" t="str">
        <f t="shared" si="9"/>
        <v/>
      </c>
      <c r="AL88" s="607" t="str">
        <f t="shared" si="8"/>
        <v/>
      </c>
      <c r="AM88" s="607"/>
      <c r="AN88" s="607"/>
      <c r="AO88" s="607"/>
      <c r="AP88" s="607"/>
      <c r="AQ88" s="610"/>
    </row>
    <row r="89" spans="1:43" ht="14.1" customHeight="1">
      <c r="A89" s="17">
        <v>17</v>
      </c>
      <c r="B89" s="67"/>
      <c r="C89" s="333"/>
      <c r="D89" s="68"/>
      <c r="E89" s="68" t="s">
        <v>138</v>
      </c>
      <c r="F89" s="68"/>
      <c r="G89" s="68"/>
      <c r="H89" s="68"/>
      <c r="I89" s="68"/>
      <c r="J89" s="68"/>
      <c r="K89" s="68"/>
      <c r="L89" s="148" t="str">
        <f t="shared" si="10"/>
        <v>TBD</v>
      </c>
      <c r="M89" s="104" t="str">
        <f t="shared" si="11"/>
        <v/>
      </c>
      <c r="O89" s="96"/>
      <c r="P89" s="21" t="s">
        <v>131</v>
      </c>
      <c r="Y89" s="32"/>
      <c r="AA89" s="35" t="s">
        <v>535</v>
      </c>
      <c r="AB89" s="65"/>
      <c r="AD89" s="116" t="str">
        <f>IF(T399="","",T399)</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35" t="s">
        <v>536</v>
      </c>
      <c r="AB90" s="65"/>
      <c r="AD90" s="117" t="str">
        <f>IF(X399="","",X399)</f>
        <v/>
      </c>
      <c r="AH90" s="207">
        <v>38</v>
      </c>
      <c r="AI90" s="208">
        <v>50</v>
      </c>
      <c r="AJ90" s="579">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537</v>
      </c>
      <c r="AB91" s="65"/>
      <c r="AD91" s="116" t="str">
        <f>IF(Y399="","",Y399)</f>
        <v/>
      </c>
      <c r="AH91" s="204">
        <v>28</v>
      </c>
      <c r="AI91" s="205">
        <v>50</v>
      </c>
      <c r="AJ91" s="578">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75" t="s">
        <v>170</v>
      </c>
      <c r="AH92" s="611">
        <v>28</v>
      </c>
      <c r="AI92" s="612">
        <v>50</v>
      </c>
      <c r="AJ92" s="613">
        <v>0</v>
      </c>
      <c r="AK92" s="612" t="str">
        <f t="shared" ref="AK92:AK132" si="12">IF($V$22="","",$V$22)</f>
        <v/>
      </c>
      <c r="AL92" s="612" t="str">
        <f t="shared" ref="AL92:AL132" si="13">IF($V$25="","",$V$25)</f>
        <v/>
      </c>
      <c r="AM92" s="612"/>
      <c r="AN92" s="612"/>
      <c r="AO92" s="612"/>
      <c r="AP92" s="612"/>
      <c r="AQ92" s="614"/>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173</v>
      </c>
      <c r="AB93" s="65"/>
      <c r="AD93" s="66" t="str">
        <f t="shared" ref="AD93:AD98" si="14">IF(Q432="","",Q432)</f>
        <v/>
      </c>
      <c r="AH93" s="611">
        <v>28</v>
      </c>
      <c r="AI93" s="612">
        <v>50</v>
      </c>
      <c r="AJ93" s="613">
        <v>0</v>
      </c>
      <c r="AK93" s="612" t="str">
        <f t="shared" si="12"/>
        <v/>
      </c>
      <c r="AL93" s="612" t="str">
        <f t="shared" si="13"/>
        <v/>
      </c>
      <c r="AM93" s="612"/>
      <c r="AN93" s="612"/>
      <c r="AO93" s="612"/>
      <c r="AP93" s="612"/>
      <c r="AQ93" s="614"/>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176</v>
      </c>
      <c r="AB94" s="65"/>
      <c r="AD94" s="66" t="str">
        <f t="shared" si="14"/>
        <v/>
      </c>
      <c r="AH94" s="611">
        <v>28</v>
      </c>
      <c r="AI94" s="612">
        <v>50</v>
      </c>
      <c r="AJ94" s="613">
        <v>0</v>
      </c>
      <c r="AK94" s="612" t="str">
        <f t="shared" si="12"/>
        <v/>
      </c>
      <c r="AL94" s="612" t="str">
        <f t="shared" si="13"/>
        <v/>
      </c>
      <c r="AM94" s="612"/>
      <c r="AN94" s="612"/>
      <c r="AO94" s="612"/>
      <c r="AP94" s="612"/>
      <c r="AQ94" s="614"/>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179</v>
      </c>
      <c r="AB95" s="65"/>
      <c r="AD95" s="66" t="str">
        <f t="shared" si="14"/>
        <v/>
      </c>
      <c r="AH95" s="611">
        <v>28</v>
      </c>
      <c r="AI95" s="612">
        <v>50</v>
      </c>
      <c r="AJ95" s="613">
        <v>0.5</v>
      </c>
      <c r="AK95" s="612" t="str">
        <f t="shared" si="12"/>
        <v/>
      </c>
      <c r="AL95" s="612" t="str">
        <f t="shared" si="13"/>
        <v/>
      </c>
      <c r="AM95" s="612"/>
      <c r="AN95" s="612"/>
      <c r="AO95" s="612"/>
      <c r="AP95" s="612"/>
      <c r="AQ95" s="614"/>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182</v>
      </c>
      <c r="AB96" s="65"/>
      <c r="AD96" s="66" t="str">
        <f t="shared" si="14"/>
        <v/>
      </c>
      <c r="AH96" s="611">
        <v>28</v>
      </c>
      <c r="AI96" s="612">
        <v>50</v>
      </c>
      <c r="AJ96" s="613">
        <v>0.5</v>
      </c>
      <c r="AK96" s="612" t="str">
        <f t="shared" si="12"/>
        <v/>
      </c>
      <c r="AL96" s="612" t="str">
        <f t="shared" si="13"/>
        <v/>
      </c>
      <c r="AM96" s="612"/>
      <c r="AN96" s="612"/>
      <c r="AO96" s="612"/>
      <c r="AP96" s="612"/>
      <c r="AQ96" s="614"/>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184</v>
      </c>
      <c r="AB97" s="65"/>
      <c r="AD97" s="66" t="str">
        <f t="shared" si="14"/>
        <v/>
      </c>
      <c r="AH97" s="611">
        <v>28</v>
      </c>
      <c r="AI97" s="612">
        <v>50</v>
      </c>
      <c r="AJ97" s="613">
        <v>0.6</v>
      </c>
      <c r="AK97" s="612" t="str">
        <f t="shared" si="12"/>
        <v/>
      </c>
      <c r="AL97" s="612" t="str">
        <f t="shared" si="13"/>
        <v/>
      </c>
      <c r="AM97" s="612"/>
      <c r="AN97" s="612"/>
      <c r="AO97" s="612"/>
      <c r="AP97" s="612"/>
      <c r="AQ97" s="614"/>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185</v>
      </c>
      <c r="AB98" s="65"/>
      <c r="AD98" s="66" t="str">
        <f t="shared" si="14"/>
        <v/>
      </c>
      <c r="AH98" s="611">
        <v>28</v>
      </c>
      <c r="AI98" s="612">
        <v>50</v>
      </c>
      <c r="AJ98" s="613">
        <v>0.6</v>
      </c>
      <c r="AK98" s="612" t="str">
        <f t="shared" si="12"/>
        <v/>
      </c>
      <c r="AL98" s="612" t="str">
        <f t="shared" si="13"/>
        <v/>
      </c>
      <c r="AM98" s="612"/>
      <c r="AN98" s="612"/>
      <c r="AO98" s="612"/>
      <c r="AP98" s="612"/>
      <c r="AQ98" s="614"/>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187</v>
      </c>
      <c r="AB99" s="65"/>
      <c r="AD99" s="66" t="str">
        <f>IF(U432="","",U432)</f>
        <v/>
      </c>
      <c r="AH99" s="611">
        <v>28</v>
      </c>
      <c r="AI99" s="612">
        <v>50</v>
      </c>
      <c r="AJ99" s="613">
        <v>0.7</v>
      </c>
      <c r="AK99" s="612" t="str">
        <f t="shared" si="12"/>
        <v/>
      </c>
      <c r="AL99" s="612" t="str">
        <f t="shared" si="13"/>
        <v/>
      </c>
      <c r="AM99" s="612"/>
      <c r="AN99" s="612"/>
      <c r="AO99" s="612"/>
      <c r="AP99" s="612"/>
      <c r="AQ99" s="614"/>
    </row>
    <row r="100" spans="1:43" ht="14.1" customHeight="1">
      <c r="A100" s="17">
        <v>28</v>
      </c>
      <c r="B100" s="67"/>
      <c r="C100" s="333"/>
      <c r="D100" s="68"/>
      <c r="E100" s="68" t="s">
        <v>160</v>
      </c>
      <c r="F100" s="68"/>
      <c r="G100" s="68"/>
      <c r="H100" s="68"/>
      <c r="I100" s="68"/>
      <c r="J100" s="68"/>
      <c r="K100" s="68"/>
      <c r="L100" s="148" t="str">
        <f t="shared" si="10"/>
        <v>TBD</v>
      </c>
      <c r="M100" s="104" t="str">
        <f t="shared" si="11"/>
        <v/>
      </c>
      <c r="O100" s="96"/>
      <c r="P100" s="21" t="s">
        <v>155</v>
      </c>
      <c r="Y100" s="32"/>
      <c r="AA100" s="35" t="s">
        <v>189</v>
      </c>
      <c r="AB100" s="65"/>
      <c r="AD100" s="66" t="str">
        <f>IF(U433="","",U433)</f>
        <v/>
      </c>
      <c r="AH100" s="611">
        <v>28</v>
      </c>
      <c r="AI100" s="612">
        <v>50</v>
      </c>
      <c r="AJ100" s="613">
        <v>0.7</v>
      </c>
      <c r="AK100" s="612" t="str">
        <f t="shared" si="12"/>
        <v/>
      </c>
      <c r="AL100" s="612" t="str">
        <f t="shared" si="13"/>
        <v/>
      </c>
      <c r="AM100" s="612"/>
      <c r="AN100" s="612"/>
      <c r="AO100" s="612"/>
      <c r="AP100" s="612"/>
      <c r="AQ100" s="614"/>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191</v>
      </c>
      <c r="AB101" s="65"/>
      <c r="AD101" s="66" t="str">
        <f>IF(U434="","",U434)</f>
        <v/>
      </c>
      <c r="AH101" s="206">
        <v>30</v>
      </c>
      <c r="AI101" s="11">
        <v>50</v>
      </c>
      <c r="AJ101" s="106">
        <v>0</v>
      </c>
      <c r="AK101" s="11" t="str">
        <f t="shared" si="12"/>
        <v/>
      </c>
      <c r="AL101" s="11" t="str">
        <f t="shared" si="13"/>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75" t="s">
        <v>194</v>
      </c>
      <c r="AH102" s="611">
        <v>30</v>
      </c>
      <c r="AI102" s="612">
        <v>50</v>
      </c>
      <c r="AJ102" s="613">
        <v>0</v>
      </c>
      <c r="AK102" s="612" t="str">
        <f t="shared" si="12"/>
        <v/>
      </c>
      <c r="AL102" s="612" t="str">
        <f t="shared" si="13"/>
        <v/>
      </c>
      <c r="AM102" s="612"/>
      <c r="AN102" s="612"/>
      <c r="AO102" s="612"/>
      <c r="AP102" s="612"/>
      <c r="AQ102" s="614"/>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173</v>
      </c>
      <c r="AB103" s="65"/>
      <c r="AD103" s="66" t="str">
        <f>IF(Q448="","",Q448)</f>
        <v/>
      </c>
      <c r="AH103" s="611">
        <v>30</v>
      </c>
      <c r="AI103" s="612">
        <v>50</v>
      </c>
      <c r="AJ103" s="613">
        <v>0.5</v>
      </c>
      <c r="AK103" s="612" t="str">
        <f t="shared" si="12"/>
        <v/>
      </c>
      <c r="AL103" s="612" t="str">
        <f t="shared" si="13"/>
        <v/>
      </c>
      <c r="AM103" s="612"/>
      <c r="AN103" s="612"/>
      <c r="AO103" s="612"/>
      <c r="AP103" s="612"/>
      <c r="AQ103" s="614"/>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176</v>
      </c>
      <c r="AB104" s="65"/>
      <c r="AD104" s="66" t="str">
        <f>IF(Q449="","",Q449)</f>
        <v/>
      </c>
      <c r="AH104" s="611">
        <v>30</v>
      </c>
      <c r="AI104" s="612">
        <v>50</v>
      </c>
      <c r="AJ104" s="613">
        <v>0.5</v>
      </c>
      <c r="AK104" s="612" t="str">
        <f t="shared" si="12"/>
        <v/>
      </c>
      <c r="AL104" s="612" t="str">
        <f t="shared" si="13"/>
        <v/>
      </c>
      <c r="AM104" s="612"/>
      <c r="AN104" s="612"/>
      <c r="AO104" s="612"/>
      <c r="AP104" s="612"/>
      <c r="AQ104" s="614"/>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187</v>
      </c>
      <c r="AB105" s="65"/>
      <c r="AD105" s="66" t="str">
        <f>IF(Q450="","",Q450)</f>
        <v/>
      </c>
      <c r="AH105" s="611">
        <v>30</v>
      </c>
      <c r="AI105" s="612">
        <v>50</v>
      </c>
      <c r="AJ105" s="613">
        <v>0.6</v>
      </c>
      <c r="AK105" s="612" t="str">
        <f t="shared" si="12"/>
        <v/>
      </c>
      <c r="AL105" s="612" t="str">
        <f t="shared" si="13"/>
        <v/>
      </c>
      <c r="AM105" s="612"/>
      <c r="AN105" s="612"/>
      <c r="AO105" s="612"/>
      <c r="AP105" s="612"/>
      <c r="AQ105" s="614"/>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189</v>
      </c>
      <c r="AB106" s="65"/>
      <c r="AD106" s="66" t="str">
        <f>IF(Q451="","",Q451)</f>
        <v/>
      </c>
      <c r="AH106" s="611">
        <v>30</v>
      </c>
      <c r="AI106" s="612">
        <v>50</v>
      </c>
      <c r="AJ106" s="613">
        <v>0.6</v>
      </c>
      <c r="AK106" s="612" t="str">
        <f t="shared" si="12"/>
        <v/>
      </c>
      <c r="AL106" s="612" t="str">
        <f t="shared" si="13"/>
        <v/>
      </c>
      <c r="AM106" s="612"/>
      <c r="AN106" s="612"/>
      <c r="AO106" s="612"/>
      <c r="AP106" s="612"/>
      <c r="AQ106" s="614"/>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191</v>
      </c>
      <c r="AB107" s="65"/>
      <c r="AD107" s="66" t="str">
        <f>IF(Q452="","",Q452)</f>
        <v/>
      </c>
      <c r="AH107" s="611">
        <v>30</v>
      </c>
      <c r="AI107" s="612">
        <v>50</v>
      </c>
      <c r="AJ107" s="613">
        <v>0.7</v>
      </c>
      <c r="AK107" s="612" t="str">
        <f t="shared" si="12"/>
        <v/>
      </c>
      <c r="AL107" s="612" t="str">
        <f t="shared" si="13"/>
        <v/>
      </c>
      <c r="AM107" s="612"/>
      <c r="AN107" s="612"/>
      <c r="AO107" s="612"/>
      <c r="AP107" s="612"/>
      <c r="AQ107" s="614"/>
    </row>
    <row r="108" spans="1:43" ht="14.1" customHeight="1">
      <c r="A108" s="17">
        <v>36</v>
      </c>
      <c r="B108" s="67"/>
      <c r="C108" s="68"/>
      <c r="D108" s="68"/>
      <c r="E108" s="68"/>
      <c r="F108" s="68"/>
      <c r="G108" s="68"/>
      <c r="H108" s="68"/>
      <c r="I108" s="68"/>
      <c r="J108" s="68"/>
      <c r="K108" s="68"/>
      <c r="L108" s="68"/>
      <c r="M108" s="69"/>
      <c r="O108" s="96"/>
      <c r="P108" s="21" t="s">
        <v>175</v>
      </c>
      <c r="Y108" s="32"/>
      <c r="AA108" s="35" t="s">
        <v>173</v>
      </c>
      <c r="AB108" s="65"/>
      <c r="AD108" s="66" t="str">
        <f>IF(R448="","",R448)</f>
        <v/>
      </c>
      <c r="AH108" s="611">
        <v>30</v>
      </c>
      <c r="AI108" s="612">
        <v>50</v>
      </c>
      <c r="AJ108" s="613">
        <v>0.7</v>
      </c>
      <c r="AK108" s="612" t="str">
        <f t="shared" si="12"/>
        <v/>
      </c>
      <c r="AL108" s="612" t="str">
        <f t="shared" si="13"/>
        <v/>
      </c>
      <c r="AM108" s="612"/>
      <c r="AN108" s="612"/>
      <c r="AO108" s="612"/>
      <c r="AP108" s="612"/>
      <c r="AQ108" s="614"/>
    </row>
    <row r="109" spans="1:43" ht="14.1" customHeight="1">
      <c r="A109" s="17">
        <v>37</v>
      </c>
      <c r="B109" s="67"/>
      <c r="C109" s="68"/>
      <c r="D109" s="68"/>
      <c r="E109" s="68" t="s">
        <v>516</v>
      </c>
      <c r="F109" s="68"/>
      <c r="G109" s="68"/>
      <c r="H109" s="68"/>
      <c r="I109" s="68"/>
      <c r="J109" s="68"/>
      <c r="K109" s="68"/>
      <c r="L109" s="148" t="str">
        <f t="shared" ref="L109:L125" si="15">IF(O45="","TBD",IF(O45=1,"YES",IF(O45=3,"NA","")))</f>
        <v>TBD</v>
      </c>
      <c r="M109" s="104" t="str">
        <f t="shared" ref="M109:M125" si="16">IF(O45=2,"NO","")</f>
        <v/>
      </c>
      <c r="O109" s="96"/>
      <c r="P109" s="21" t="s">
        <v>178</v>
      </c>
      <c r="Y109" s="32"/>
      <c r="AA109" s="35" t="s">
        <v>176</v>
      </c>
      <c r="AB109" s="65"/>
      <c r="AD109" s="66" t="str">
        <f>IF(R449="","",R449)</f>
        <v/>
      </c>
      <c r="AH109" s="206">
        <v>32</v>
      </c>
      <c r="AI109" s="11">
        <v>50</v>
      </c>
      <c r="AJ109" s="106">
        <v>0</v>
      </c>
      <c r="AK109" s="11" t="str">
        <f t="shared" si="12"/>
        <v/>
      </c>
      <c r="AL109" s="11" t="str">
        <f t="shared" si="13"/>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5"/>
        <v>TBD</v>
      </c>
      <c r="M110" s="104" t="str">
        <f t="shared" si="16"/>
        <v/>
      </c>
      <c r="O110" s="96"/>
      <c r="P110" s="21" t="s">
        <v>181</v>
      </c>
      <c r="Y110" s="32"/>
      <c r="AA110" s="35" t="s">
        <v>187</v>
      </c>
      <c r="AB110" s="65"/>
      <c r="AD110" s="66" t="str">
        <f>IF(R450="","",R450)</f>
        <v/>
      </c>
      <c r="AH110" s="611">
        <v>32</v>
      </c>
      <c r="AI110" s="612">
        <v>50</v>
      </c>
      <c r="AJ110" s="613">
        <v>0</v>
      </c>
      <c r="AK110" s="612" t="str">
        <f t="shared" si="12"/>
        <v/>
      </c>
      <c r="AL110" s="612" t="str">
        <f t="shared" si="13"/>
        <v/>
      </c>
      <c r="AM110" s="612"/>
      <c r="AN110" s="612"/>
      <c r="AO110" s="612"/>
      <c r="AP110" s="612"/>
      <c r="AQ110" s="614"/>
    </row>
    <row r="111" spans="1:43" ht="14.1" customHeight="1">
      <c r="A111" s="17">
        <v>39</v>
      </c>
      <c r="B111" s="67"/>
      <c r="C111" s="68"/>
      <c r="D111" s="68"/>
      <c r="E111" s="68" t="s">
        <v>518</v>
      </c>
      <c r="F111" s="68"/>
      <c r="G111" s="68"/>
      <c r="H111" s="68"/>
      <c r="I111" s="68"/>
      <c r="J111" s="68"/>
      <c r="K111" s="68"/>
      <c r="L111" s="148" t="str">
        <f t="shared" si="15"/>
        <v>TBD</v>
      </c>
      <c r="M111" s="104" t="str">
        <f t="shared" si="16"/>
        <v/>
      </c>
      <c r="O111" s="488"/>
      <c r="T111" s="75" t="s">
        <v>546</v>
      </c>
      <c r="Y111" s="32"/>
      <c r="AA111" s="35" t="s">
        <v>189</v>
      </c>
      <c r="AB111" s="65"/>
      <c r="AD111" s="66" t="str">
        <f>IF(R451="","",R451)</f>
        <v/>
      </c>
      <c r="AH111" s="611">
        <v>32</v>
      </c>
      <c r="AI111" s="612">
        <v>50</v>
      </c>
      <c r="AJ111" s="613">
        <v>0.5</v>
      </c>
      <c r="AK111" s="612" t="str">
        <f t="shared" si="12"/>
        <v/>
      </c>
      <c r="AL111" s="612" t="str">
        <f t="shared" si="13"/>
        <v/>
      </c>
      <c r="AM111" s="612"/>
      <c r="AN111" s="612"/>
      <c r="AO111" s="612"/>
      <c r="AP111" s="612"/>
      <c r="AQ111" s="614"/>
    </row>
    <row r="112" spans="1:43" ht="14.1" customHeight="1">
      <c r="A112" s="17">
        <v>40</v>
      </c>
      <c r="B112" s="67"/>
      <c r="C112" s="68"/>
      <c r="D112" s="68"/>
      <c r="E112" s="68" t="s">
        <v>519</v>
      </c>
      <c r="F112" s="68"/>
      <c r="G112" s="68"/>
      <c r="H112" s="68"/>
      <c r="I112" s="68"/>
      <c r="J112" s="68"/>
      <c r="K112" s="68"/>
      <c r="L112" s="148" t="str">
        <f t="shared" si="15"/>
        <v>TBD</v>
      </c>
      <c r="M112" s="104" t="str">
        <f t="shared" si="16"/>
        <v/>
      </c>
      <c r="O112" s="96"/>
      <c r="P112" s="68" t="s">
        <v>547</v>
      </c>
      <c r="Y112" s="32"/>
      <c r="AA112" s="35" t="s">
        <v>191</v>
      </c>
      <c r="AB112" s="65"/>
      <c r="AD112" s="66" t="str">
        <f>IF(R452="","",R452)</f>
        <v/>
      </c>
      <c r="AH112" s="611">
        <v>32</v>
      </c>
      <c r="AI112" s="612">
        <v>50</v>
      </c>
      <c r="AJ112" s="613">
        <v>0.5</v>
      </c>
      <c r="AK112" s="612" t="str">
        <f t="shared" si="12"/>
        <v/>
      </c>
      <c r="AL112" s="612" t="str">
        <f t="shared" si="13"/>
        <v/>
      </c>
      <c r="AM112" s="612"/>
      <c r="AN112" s="612"/>
      <c r="AO112" s="612"/>
      <c r="AP112" s="612"/>
      <c r="AQ112" s="614"/>
    </row>
    <row r="113" spans="1:43" ht="14.1" customHeight="1">
      <c r="A113" s="17">
        <v>41</v>
      </c>
      <c r="B113" s="67"/>
      <c r="C113" s="68"/>
      <c r="D113" s="68"/>
      <c r="E113" s="68" t="s">
        <v>520</v>
      </c>
      <c r="F113" s="68"/>
      <c r="G113" s="68"/>
      <c r="H113" s="68"/>
      <c r="I113" s="68"/>
      <c r="J113" s="68"/>
      <c r="K113" s="68"/>
      <c r="L113" s="148" t="str">
        <f t="shared" si="15"/>
        <v>TBD</v>
      </c>
      <c r="M113" s="104" t="str">
        <f t="shared" si="16"/>
        <v/>
      </c>
      <c r="O113" s="96"/>
      <c r="P113" s="68" t="s">
        <v>548</v>
      </c>
      <c r="Y113" s="32"/>
      <c r="AA113" s="35" t="s">
        <v>173</v>
      </c>
      <c r="AB113" s="65"/>
      <c r="AD113" s="66" t="str">
        <f>IF(S448="","",S448)</f>
        <v/>
      </c>
      <c r="AH113" s="611">
        <v>32</v>
      </c>
      <c r="AI113" s="612">
        <v>50</v>
      </c>
      <c r="AJ113" s="613">
        <v>0.6</v>
      </c>
      <c r="AK113" s="612" t="str">
        <f t="shared" si="12"/>
        <v/>
      </c>
      <c r="AL113" s="612" t="str">
        <f t="shared" si="13"/>
        <v/>
      </c>
      <c r="AM113" s="612"/>
      <c r="AN113" s="612"/>
      <c r="AO113" s="612"/>
      <c r="AP113" s="612"/>
      <c r="AQ113" s="614"/>
    </row>
    <row r="114" spans="1:43" ht="14.1" customHeight="1">
      <c r="A114" s="17">
        <v>42</v>
      </c>
      <c r="B114" s="67"/>
      <c r="C114" s="68"/>
      <c r="D114" s="68"/>
      <c r="E114" s="68" t="s">
        <v>521</v>
      </c>
      <c r="F114" s="68"/>
      <c r="G114" s="68"/>
      <c r="H114" s="68"/>
      <c r="I114" s="68"/>
      <c r="J114" s="68"/>
      <c r="K114" s="68"/>
      <c r="L114" s="148" t="str">
        <f t="shared" si="15"/>
        <v>TBD</v>
      </c>
      <c r="M114" s="104" t="str">
        <f t="shared" si="16"/>
        <v/>
      </c>
      <c r="O114" s="96"/>
      <c r="P114" s="68" t="s">
        <v>549</v>
      </c>
      <c r="Y114" s="32"/>
      <c r="AA114" s="35" t="s">
        <v>176</v>
      </c>
      <c r="AB114" s="65"/>
      <c r="AD114" s="66" t="str">
        <f>IF(S449="","",S449)</f>
        <v/>
      </c>
      <c r="AH114" s="611">
        <v>32</v>
      </c>
      <c r="AI114" s="612">
        <v>50</v>
      </c>
      <c r="AJ114" s="613">
        <v>0.6</v>
      </c>
      <c r="AK114" s="612" t="str">
        <f t="shared" si="12"/>
        <v/>
      </c>
      <c r="AL114" s="612" t="str">
        <f t="shared" si="13"/>
        <v/>
      </c>
      <c r="AM114" s="612"/>
      <c r="AN114" s="612"/>
      <c r="AO114" s="612"/>
      <c r="AP114" s="612"/>
      <c r="AQ114" s="614"/>
    </row>
    <row r="115" spans="1:43" ht="14.1" customHeight="1">
      <c r="A115" s="17">
        <v>43</v>
      </c>
      <c r="B115" s="67"/>
      <c r="C115" s="68"/>
      <c r="D115" s="68"/>
      <c r="E115" s="68" t="s">
        <v>522</v>
      </c>
      <c r="F115" s="68"/>
      <c r="G115" s="68"/>
      <c r="H115" s="68"/>
      <c r="I115" s="68"/>
      <c r="J115" s="68"/>
      <c r="K115" s="68"/>
      <c r="L115" s="148" t="str">
        <f t="shared" si="15"/>
        <v>TBD</v>
      </c>
      <c r="M115" s="104" t="str">
        <f t="shared" si="16"/>
        <v/>
      </c>
      <c r="O115" s="96"/>
      <c r="P115" s="68" t="s">
        <v>550</v>
      </c>
      <c r="Y115" s="32"/>
      <c r="AA115" s="35" t="s">
        <v>187</v>
      </c>
      <c r="AB115" s="65"/>
      <c r="AD115" s="66" t="str">
        <f>IF(S450="","",S450)</f>
        <v/>
      </c>
      <c r="AH115" s="611">
        <v>32</v>
      </c>
      <c r="AI115" s="612">
        <v>50</v>
      </c>
      <c r="AJ115" s="613">
        <v>0.7</v>
      </c>
      <c r="AK115" s="612" t="str">
        <f t="shared" si="12"/>
        <v/>
      </c>
      <c r="AL115" s="612" t="str">
        <f t="shared" si="13"/>
        <v/>
      </c>
      <c r="AM115" s="612"/>
      <c r="AN115" s="612"/>
      <c r="AO115" s="612"/>
      <c r="AP115" s="612"/>
      <c r="AQ115" s="614"/>
    </row>
    <row r="116" spans="1:43" ht="14.1" customHeight="1">
      <c r="A116" s="17">
        <v>44</v>
      </c>
      <c r="B116" s="67"/>
      <c r="C116" s="68"/>
      <c r="D116" s="68"/>
      <c r="E116" s="68" t="s">
        <v>523</v>
      </c>
      <c r="F116" s="68"/>
      <c r="G116" s="68"/>
      <c r="H116" s="68"/>
      <c r="I116" s="68"/>
      <c r="J116" s="68"/>
      <c r="K116" s="68"/>
      <c r="L116" s="148" t="str">
        <f t="shared" si="15"/>
        <v>TBD</v>
      </c>
      <c r="M116" s="104" t="str">
        <f t="shared" si="16"/>
        <v/>
      </c>
      <c r="O116" s="96"/>
      <c r="P116" s="68" t="s">
        <v>551</v>
      </c>
      <c r="Y116" s="32"/>
      <c r="AA116" s="35" t="s">
        <v>189</v>
      </c>
      <c r="AB116" s="65"/>
      <c r="AD116" s="66" t="str">
        <f>IF(S451="","",S451)</f>
        <v/>
      </c>
      <c r="AH116" s="611">
        <v>32</v>
      </c>
      <c r="AI116" s="612">
        <v>50</v>
      </c>
      <c r="AJ116" s="613">
        <v>0.7</v>
      </c>
      <c r="AK116" s="612" t="str">
        <f t="shared" si="12"/>
        <v/>
      </c>
      <c r="AL116" s="612" t="str">
        <f t="shared" si="13"/>
        <v/>
      </c>
      <c r="AM116" s="612"/>
      <c r="AN116" s="612"/>
      <c r="AO116" s="612"/>
      <c r="AP116" s="612"/>
      <c r="AQ116" s="614"/>
    </row>
    <row r="117" spans="1:43" ht="14.1" customHeight="1" thickBot="1">
      <c r="A117" s="17">
        <v>45</v>
      </c>
      <c r="B117" s="67"/>
      <c r="C117" s="68"/>
      <c r="D117" s="68"/>
      <c r="E117" s="68" t="s">
        <v>524</v>
      </c>
      <c r="F117" s="68"/>
      <c r="G117" s="68"/>
      <c r="H117" s="68"/>
      <c r="I117" s="68"/>
      <c r="J117" s="68"/>
      <c r="K117" s="68"/>
      <c r="L117" s="148" t="str">
        <f t="shared" si="15"/>
        <v>TBD</v>
      </c>
      <c r="M117" s="104" t="str">
        <f t="shared" si="16"/>
        <v/>
      </c>
      <c r="O117" s="40"/>
      <c r="P117" s="41"/>
      <c r="Q117" s="41"/>
      <c r="R117" s="41"/>
      <c r="S117" s="41"/>
      <c r="T117" s="41"/>
      <c r="U117" s="41"/>
      <c r="V117" s="41"/>
      <c r="W117" s="41"/>
      <c r="X117" s="41"/>
      <c r="Y117" s="42"/>
      <c r="AA117" s="35" t="s">
        <v>191</v>
      </c>
      <c r="AB117" s="65"/>
      <c r="AD117" s="66" t="str">
        <f>IF(S452="","",S452)</f>
        <v/>
      </c>
      <c r="AH117" s="206">
        <v>34</v>
      </c>
      <c r="AI117" s="11">
        <v>50</v>
      </c>
      <c r="AJ117" s="106">
        <v>0</v>
      </c>
      <c r="AK117" s="11" t="str">
        <f t="shared" si="12"/>
        <v/>
      </c>
      <c r="AL117" s="11" t="str">
        <f t="shared" si="13"/>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5"/>
        <v>TBD</v>
      </c>
      <c r="M118" s="104" t="str">
        <f t="shared" si="16"/>
        <v/>
      </c>
      <c r="AA118" s="35" t="s">
        <v>198</v>
      </c>
      <c r="AB118" s="65"/>
      <c r="AD118" s="66" t="str">
        <f>IF(T461="","",T461)</f>
        <v/>
      </c>
      <c r="AH118" s="611">
        <v>34</v>
      </c>
      <c r="AI118" s="612">
        <v>50</v>
      </c>
      <c r="AJ118" s="613">
        <v>0</v>
      </c>
      <c r="AK118" s="612" t="str">
        <f t="shared" si="12"/>
        <v/>
      </c>
      <c r="AL118" s="612" t="str">
        <f t="shared" si="13"/>
        <v/>
      </c>
      <c r="AM118" s="612"/>
      <c r="AN118" s="612"/>
      <c r="AO118" s="612"/>
      <c r="AP118" s="612"/>
      <c r="AQ118" s="614"/>
    </row>
    <row r="119" spans="1:43" ht="14.1" customHeight="1" thickBot="1">
      <c r="A119" s="17">
        <v>47</v>
      </c>
      <c r="B119" s="67"/>
      <c r="C119" s="68"/>
      <c r="D119" s="68"/>
      <c r="E119" s="68" t="s">
        <v>526</v>
      </c>
      <c r="F119" s="68"/>
      <c r="G119" s="68"/>
      <c r="H119" s="68"/>
      <c r="I119" s="68"/>
      <c r="J119" s="68"/>
      <c r="K119" s="68"/>
      <c r="L119" s="148" t="str">
        <f t="shared" si="15"/>
        <v>TBD</v>
      </c>
      <c r="M119" s="104" t="str">
        <f t="shared" si="16"/>
        <v/>
      </c>
      <c r="T119" s="259" t="s">
        <v>186</v>
      </c>
      <c r="AA119" s="35" t="s">
        <v>199</v>
      </c>
      <c r="AB119" s="65"/>
      <c r="AD119" s="66" t="str">
        <f>IF(T462="","",T462)</f>
        <v/>
      </c>
      <c r="AH119" s="611">
        <v>34</v>
      </c>
      <c r="AI119" s="612">
        <v>50</v>
      </c>
      <c r="AJ119" s="613">
        <v>0.5</v>
      </c>
      <c r="AK119" s="612" t="str">
        <f t="shared" si="12"/>
        <v/>
      </c>
      <c r="AL119" s="612" t="str">
        <f t="shared" si="13"/>
        <v/>
      </c>
      <c r="AM119" s="612"/>
      <c r="AN119" s="612"/>
      <c r="AO119" s="612"/>
      <c r="AP119" s="612"/>
      <c r="AQ119" s="614"/>
    </row>
    <row r="120" spans="1:43" ht="14.1" customHeight="1" thickBot="1">
      <c r="A120" s="17">
        <v>48</v>
      </c>
      <c r="B120" s="67"/>
      <c r="C120" s="68"/>
      <c r="D120" s="68"/>
      <c r="E120" s="68" t="s">
        <v>527</v>
      </c>
      <c r="F120" s="68"/>
      <c r="G120" s="68"/>
      <c r="H120" s="68"/>
      <c r="I120" s="68"/>
      <c r="J120" s="68"/>
      <c r="K120" s="68"/>
      <c r="L120" s="148" t="str">
        <f t="shared" si="15"/>
        <v>TBD</v>
      </c>
      <c r="M120" s="104" t="str">
        <f t="shared" si="16"/>
        <v/>
      </c>
      <c r="O120" s="62"/>
      <c r="P120" s="23"/>
      <c r="Q120" s="23"/>
      <c r="R120" s="23"/>
      <c r="S120" s="23"/>
      <c r="T120" s="23"/>
      <c r="U120" s="23"/>
      <c r="V120" s="23"/>
      <c r="W120" s="23"/>
      <c r="X120" s="23"/>
      <c r="Y120" s="24"/>
      <c r="AA120" s="75" t="s">
        <v>623</v>
      </c>
      <c r="AH120" s="611">
        <v>34</v>
      </c>
      <c r="AI120" s="612">
        <v>50</v>
      </c>
      <c r="AJ120" s="613">
        <v>0.5</v>
      </c>
      <c r="AK120" s="612" t="str">
        <f t="shared" si="12"/>
        <v/>
      </c>
      <c r="AL120" s="612" t="str">
        <f t="shared" si="13"/>
        <v/>
      </c>
      <c r="AM120" s="612"/>
      <c r="AN120" s="612"/>
      <c r="AO120" s="612"/>
      <c r="AP120" s="612"/>
      <c r="AQ120" s="614"/>
    </row>
    <row r="121" spans="1:43" ht="14.1" customHeight="1">
      <c r="A121" s="17">
        <v>49</v>
      </c>
      <c r="B121" s="67"/>
      <c r="C121" s="68"/>
      <c r="D121" s="68"/>
      <c r="E121" s="68" t="s">
        <v>528</v>
      </c>
      <c r="F121" s="68"/>
      <c r="G121" s="68"/>
      <c r="H121" s="68"/>
      <c r="I121" s="68"/>
      <c r="J121" s="68"/>
      <c r="K121" s="68"/>
      <c r="L121" s="148" t="str">
        <f t="shared" si="15"/>
        <v>TBD</v>
      </c>
      <c r="M121" s="104" t="str">
        <f t="shared" si="16"/>
        <v/>
      </c>
      <c r="O121" s="83" t="s">
        <v>64</v>
      </c>
      <c r="P121" s="855" t="s">
        <v>65</v>
      </c>
      <c r="Q121" s="856"/>
      <c r="R121" s="857"/>
      <c r="S121" s="855" t="s">
        <v>533</v>
      </c>
      <c r="T121" s="856"/>
      <c r="U121" s="857"/>
      <c r="V121" s="855" t="s">
        <v>67</v>
      </c>
      <c r="W121" s="856"/>
      <c r="X121" s="861"/>
      <c r="Y121" s="32"/>
      <c r="AA121" s="35" t="s">
        <v>625</v>
      </c>
      <c r="AB121" s="65"/>
      <c r="AD121" s="66" t="str">
        <f>IF(S274="","",S274)</f>
        <v/>
      </c>
      <c r="AH121" s="611">
        <v>34</v>
      </c>
      <c r="AI121" s="612">
        <v>50</v>
      </c>
      <c r="AJ121" s="613">
        <v>0.6</v>
      </c>
      <c r="AK121" s="612" t="str">
        <f t="shared" si="12"/>
        <v/>
      </c>
      <c r="AL121" s="612" t="str">
        <f t="shared" si="13"/>
        <v/>
      </c>
      <c r="AM121" s="612"/>
      <c r="AN121" s="612"/>
      <c r="AO121" s="612"/>
      <c r="AP121" s="612"/>
      <c r="AQ121" s="614"/>
    </row>
    <row r="122" spans="1:43" ht="14.1" customHeight="1">
      <c r="A122" s="17">
        <v>50</v>
      </c>
      <c r="B122" s="67"/>
      <c r="C122" s="68"/>
      <c r="D122" s="68"/>
      <c r="E122" s="68" t="s">
        <v>529</v>
      </c>
      <c r="F122" s="68"/>
      <c r="G122" s="68"/>
      <c r="H122" s="68"/>
      <c r="I122" s="68"/>
      <c r="J122" s="68"/>
      <c r="K122" s="68"/>
      <c r="L122" s="148" t="str">
        <f t="shared" si="15"/>
        <v>TBD</v>
      </c>
      <c r="M122" s="104" t="str">
        <f t="shared" si="16"/>
        <v/>
      </c>
      <c r="O122" s="84" t="s">
        <v>68</v>
      </c>
      <c r="P122" s="858"/>
      <c r="Q122" s="859"/>
      <c r="R122" s="860"/>
      <c r="S122" s="858"/>
      <c r="T122" s="859"/>
      <c r="U122" s="860"/>
      <c r="V122" s="858"/>
      <c r="W122" s="859"/>
      <c r="X122" s="862"/>
      <c r="Y122" s="32"/>
      <c r="AA122" s="35" t="s">
        <v>626</v>
      </c>
      <c r="AB122" s="65"/>
      <c r="AD122" s="66" t="str">
        <f>IF(S275="","",S275)</f>
        <v/>
      </c>
      <c r="AH122" s="611">
        <v>34</v>
      </c>
      <c r="AI122" s="612">
        <v>50</v>
      </c>
      <c r="AJ122" s="613">
        <v>0.6</v>
      </c>
      <c r="AK122" s="612" t="str">
        <f t="shared" si="12"/>
        <v/>
      </c>
      <c r="AL122" s="612" t="str">
        <f t="shared" si="13"/>
        <v/>
      </c>
      <c r="AM122" s="612"/>
      <c r="AN122" s="612"/>
      <c r="AO122" s="612"/>
      <c r="AP122" s="612"/>
      <c r="AQ122" s="614"/>
    </row>
    <row r="123" spans="1:43" ht="14.1" customHeight="1" thickBot="1">
      <c r="A123" s="17">
        <v>51</v>
      </c>
      <c r="B123" s="67"/>
      <c r="C123" s="68"/>
      <c r="D123" s="68"/>
      <c r="E123" s="68" t="s">
        <v>530</v>
      </c>
      <c r="F123" s="68"/>
      <c r="G123" s="68"/>
      <c r="H123" s="68"/>
      <c r="I123" s="68"/>
      <c r="J123" s="68"/>
      <c r="K123" s="68"/>
      <c r="L123" s="148" t="str">
        <f t="shared" si="15"/>
        <v>TBD</v>
      </c>
      <c r="M123" s="104" t="str">
        <f t="shared" si="16"/>
        <v/>
      </c>
      <c r="O123" s="84" t="s">
        <v>70</v>
      </c>
      <c r="P123" s="85" t="s">
        <v>71</v>
      </c>
      <c r="Q123" s="86" t="s">
        <v>25</v>
      </c>
      <c r="R123" s="87" t="s">
        <v>72</v>
      </c>
      <c r="S123" s="85" t="s">
        <v>71</v>
      </c>
      <c r="T123" s="86" t="s">
        <v>25</v>
      </c>
      <c r="U123" s="87" t="s">
        <v>72</v>
      </c>
      <c r="V123" s="85" t="s">
        <v>71</v>
      </c>
      <c r="W123" s="86" t="s">
        <v>25</v>
      </c>
      <c r="X123" s="87" t="s">
        <v>72</v>
      </c>
      <c r="Y123" s="32"/>
      <c r="AA123" s="35" t="s">
        <v>627</v>
      </c>
      <c r="AB123" s="65"/>
      <c r="AD123" s="66" t="str">
        <f>IF(S276="","",S276)</f>
        <v/>
      </c>
      <c r="AH123" s="611">
        <v>34</v>
      </c>
      <c r="AI123" s="612">
        <v>50</v>
      </c>
      <c r="AJ123" s="613">
        <v>0.7</v>
      </c>
      <c r="AK123" s="612" t="str">
        <f t="shared" si="12"/>
        <v/>
      </c>
      <c r="AL123" s="612" t="str">
        <f t="shared" si="13"/>
        <v/>
      </c>
      <c r="AM123" s="612"/>
      <c r="AN123" s="612"/>
      <c r="AO123" s="612"/>
      <c r="AP123" s="612"/>
      <c r="AQ123" s="614"/>
    </row>
    <row r="124" spans="1:43" ht="14.1" customHeight="1" thickTop="1">
      <c r="A124" s="17">
        <v>52</v>
      </c>
      <c r="B124" s="67"/>
      <c r="C124" s="68"/>
      <c r="D124" s="68"/>
      <c r="E124" s="68" t="s">
        <v>531</v>
      </c>
      <c r="F124" s="68"/>
      <c r="G124" s="68"/>
      <c r="H124" s="68"/>
      <c r="I124" s="68"/>
      <c r="J124" s="68"/>
      <c r="K124" s="68"/>
      <c r="L124" s="148" t="str">
        <f t="shared" si="15"/>
        <v>TBD</v>
      </c>
      <c r="M124" s="104" t="str">
        <f t="shared" si="16"/>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628</v>
      </c>
      <c r="AB124" s="65"/>
      <c r="AD124" s="66" t="str">
        <f>IF(P313="","",P313)</f>
        <v/>
      </c>
      <c r="AH124" s="611">
        <v>34</v>
      </c>
      <c r="AI124" s="612">
        <v>50</v>
      </c>
      <c r="AJ124" s="613">
        <v>0.7</v>
      </c>
      <c r="AK124" s="612" t="str">
        <f t="shared" si="12"/>
        <v/>
      </c>
      <c r="AL124" s="612" t="str">
        <f t="shared" si="13"/>
        <v/>
      </c>
      <c r="AM124" s="612"/>
      <c r="AN124" s="612"/>
      <c r="AO124" s="612"/>
      <c r="AP124" s="612"/>
      <c r="AQ124" s="614"/>
    </row>
    <row r="125" spans="1:43" ht="14.1" customHeight="1">
      <c r="A125" s="17">
        <v>53</v>
      </c>
      <c r="B125" s="67"/>
      <c r="C125" s="68"/>
      <c r="D125" s="68"/>
      <c r="E125" s="68" t="s">
        <v>532</v>
      </c>
      <c r="F125" s="68"/>
      <c r="G125" s="68"/>
      <c r="H125" s="68"/>
      <c r="I125" s="68"/>
      <c r="J125" s="68"/>
      <c r="K125" s="68"/>
      <c r="L125" s="148" t="str">
        <f t="shared" si="15"/>
        <v>TBD</v>
      </c>
      <c r="M125" s="104" t="str">
        <f t="shared" si="16"/>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629</v>
      </c>
      <c r="AB125" s="65"/>
      <c r="AD125" s="66" t="str">
        <f>IF(Q313="","",Q313)</f>
        <v/>
      </c>
      <c r="AH125" s="206">
        <v>38</v>
      </c>
      <c r="AI125" s="11">
        <v>50</v>
      </c>
      <c r="AJ125" s="106">
        <v>0</v>
      </c>
      <c r="AK125" s="11" t="str">
        <f t="shared" si="12"/>
        <v/>
      </c>
      <c r="AL125" s="11" t="str">
        <f t="shared" si="13"/>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630</v>
      </c>
      <c r="AB126" s="65"/>
      <c r="AD126" s="66" t="str">
        <f>IF(P314="","",P314)</f>
        <v/>
      </c>
      <c r="AH126" s="611">
        <v>38</v>
      </c>
      <c r="AI126" s="612">
        <v>50</v>
      </c>
      <c r="AJ126" s="613">
        <v>0</v>
      </c>
      <c r="AK126" s="612" t="str">
        <f t="shared" si="12"/>
        <v/>
      </c>
      <c r="AL126" s="612" t="str">
        <f t="shared" si="13"/>
        <v/>
      </c>
      <c r="AM126" s="612"/>
      <c r="AN126" s="612"/>
      <c r="AO126" s="612"/>
      <c r="AP126" s="612"/>
      <c r="AQ126" s="614"/>
    </row>
    <row r="127" spans="1:43" ht="14.1" customHeight="1" thickBot="1">
      <c r="A127" s="17">
        <v>55</v>
      </c>
      <c r="B127" s="67"/>
      <c r="C127" s="68"/>
      <c r="D127" s="68"/>
      <c r="E127" s="333"/>
      <c r="F127" s="68"/>
      <c r="G127" s="68"/>
      <c r="H127" s="491"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631</v>
      </c>
      <c r="AB127" s="65"/>
      <c r="AD127" s="66" t="str">
        <f>IF(Q314="","",Q314)</f>
        <v/>
      </c>
      <c r="AH127" s="611">
        <v>38</v>
      </c>
      <c r="AI127" s="612">
        <v>50</v>
      </c>
      <c r="AJ127" s="613">
        <v>0.6</v>
      </c>
      <c r="AK127" s="612" t="str">
        <f t="shared" si="12"/>
        <v/>
      </c>
      <c r="AL127" s="612" t="str">
        <f t="shared" si="13"/>
        <v/>
      </c>
      <c r="AM127" s="612"/>
      <c r="AN127" s="612"/>
      <c r="AO127" s="612"/>
      <c r="AP127" s="612"/>
      <c r="AQ127" s="614"/>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35" t="s">
        <v>632</v>
      </c>
      <c r="AB128" s="65"/>
      <c r="AD128" s="66" t="str">
        <f>IF(P315="","",P315)</f>
        <v/>
      </c>
      <c r="AH128" s="611">
        <v>38</v>
      </c>
      <c r="AI128" s="612">
        <v>50</v>
      </c>
      <c r="AJ128" s="613">
        <v>0.6</v>
      </c>
      <c r="AK128" s="612" t="str">
        <f t="shared" si="12"/>
        <v/>
      </c>
      <c r="AL128" s="612" t="str">
        <f t="shared" si="13"/>
        <v/>
      </c>
      <c r="AM128" s="612"/>
      <c r="AN128" s="612"/>
      <c r="AO128" s="612"/>
      <c r="AP128" s="612"/>
      <c r="AQ128" s="614"/>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55" t="s">
        <v>65</v>
      </c>
      <c r="Q129" s="856"/>
      <c r="R129" s="857"/>
      <c r="S129" s="855" t="s">
        <v>533</v>
      </c>
      <c r="T129" s="856"/>
      <c r="U129" s="857"/>
      <c r="V129" s="863" t="s">
        <v>67</v>
      </c>
      <c r="W129" s="864"/>
      <c r="X129" s="865"/>
      <c r="Y129" s="32"/>
      <c r="AA129" s="35" t="s">
        <v>633</v>
      </c>
      <c r="AB129" s="65"/>
      <c r="AD129" s="66" t="str">
        <f>IF(Q315="","",Q315)</f>
        <v/>
      </c>
      <c r="AH129" s="611">
        <v>38</v>
      </c>
      <c r="AI129" s="612">
        <v>50</v>
      </c>
      <c r="AJ129" s="613">
        <v>0.7</v>
      </c>
      <c r="AK129" s="612" t="str">
        <f t="shared" si="12"/>
        <v/>
      </c>
      <c r="AL129" s="612" t="str">
        <f t="shared" si="13"/>
        <v/>
      </c>
      <c r="AM129" s="612"/>
      <c r="AN129" s="612"/>
      <c r="AO129" s="612"/>
      <c r="AP129" s="612"/>
      <c r="AQ129" s="614"/>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58"/>
      <c r="Q130" s="859"/>
      <c r="R130" s="860"/>
      <c r="S130" s="858"/>
      <c r="T130" s="859"/>
      <c r="U130" s="860"/>
      <c r="V130" s="866"/>
      <c r="W130" s="842"/>
      <c r="X130" s="867"/>
      <c r="Y130" s="32"/>
      <c r="AA130" s="21" t="s">
        <v>634</v>
      </c>
      <c r="AB130" s="65"/>
      <c r="AD130" s="66" t="str">
        <f>IF(Q349="","",Q349)</f>
        <v/>
      </c>
      <c r="AH130" s="611">
        <v>38</v>
      </c>
      <c r="AI130" s="612">
        <v>50</v>
      </c>
      <c r="AJ130" s="613">
        <v>0.7</v>
      </c>
      <c r="AK130" s="612" t="str">
        <f t="shared" si="12"/>
        <v/>
      </c>
      <c r="AL130" s="612" t="str">
        <f t="shared" si="13"/>
        <v/>
      </c>
      <c r="AM130" s="612"/>
      <c r="AN130" s="612"/>
      <c r="AO130" s="612"/>
      <c r="AP130" s="612"/>
      <c r="AQ130" s="614"/>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635</v>
      </c>
      <c r="AB131" s="65"/>
      <c r="AD131" s="66" t="str">
        <f>IF(Q350="","",Q350)</f>
        <v/>
      </c>
      <c r="AH131" s="611">
        <v>38</v>
      </c>
      <c r="AI131" s="612">
        <v>50</v>
      </c>
      <c r="AJ131" s="613">
        <v>0.8</v>
      </c>
      <c r="AK131" s="612" t="str">
        <f t="shared" si="12"/>
        <v/>
      </c>
      <c r="AL131" s="612" t="str">
        <f t="shared" si="13"/>
        <v/>
      </c>
      <c r="AM131" s="612"/>
      <c r="AN131" s="612"/>
      <c r="AO131" s="612"/>
      <c r="AP131" s="612"/>
      <c r="AQ131" s="614"/>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636</v>
      </c>
      <c r="AB132" s="65"/>
      <c r="AD132" s="66" t="str">
        <f>IF(T349="","",T349)</f>
        <v/>
      </c>
      <c r="AH132" s="615">
        <v>38</v>
      </c>
      <c r="AI132" s="616">
        <v>50</v>
      </c>
      <c r="AJ132" s="617">
        <v>0.8</v>
      </c>
      <c r="AK132" s="616" t="str">
        <f t="shared" si="12"/>
        <v/>
      </c>
      <c r="AL132" s="616" t="str">
        <f t="shared" si="13"/>
        <v/>
      </c>
      <c r="AM132" s="616"/>
      <c r="AN132" s="616"/>
      <c r="AO132" s="616"/>
      <c r="AP132" s="616"/>
      <c r="AQ132" s="618"/>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637</v>
      </c>
      <c r="AB133" s="65"/>
      <c r="AD133" s="66" t="str">
        <f>IF(T350="","",T350)</f>
        <v/>
      </c>
    </row>
    <row r="134" spans="1:43" ht="14.1" customHeight="1">
      <c r="A134" s="17">
        <v>62</v>
      </c>
      <c r="B134" s="67"/>
      <c r="C134" s="68"/>
      <c r="D134" s="68"/>
      <c r="E134" s="68"/>
      <c r="F134" s="68"/>
      <c r="G134" s="68"/>
      <c r="H134" s="491" t="s">
        <v>641</v>
      </c>
      <c r="I134" s="68"/>
      <c r="J134" s="68"/>
      <c r="K134" s="68"/>
      <c r="L134" s="68"/>
      <c r="M134" s="69"/>
      <c r="O134" s="93" t="s">
        <v>80</v>
      </c>
      <c r="P134" s="130"/>
      <c r="Q134" s="131"/>
      <c r="R134" s="132"/>
      <c r="S134" s="130"/>
      <c r="T134" s="131"/>
      <c r="U134" s="132"/>
      <c r="V134" s="130"/>
      <c r="W134" s="131"/>
      <c r="X134" s="132"/>
      <c r="Y134" s="32"/>
      <c r="AA134" s="21" t="s">
        <v>638</v>
      </c>
      <c r="AB134" s="65"/>
      <c r="AD134" s="66" t="str">
        <f>IF(W349="","",W349)</f>
        <v/>
      </c>
    </row>
    <row r="135" spans="1:43" ht="14.1" customHeight="1" thickBot="1">
      <c r="A135" s="17">
        <v>63</v>
      </c>
      <c r="B135" s="67"/>
      <c r="C135" s="68"/>
      <c r="D135" s="68"/>
      <c r="E135" s="68" t="s">
        <v>658</v>
      </c>
      <c r="F135" s="68"/>
      <c r="G135" s="68"/>
      <c r="H135" s="68"/>
      <c r="I135" s="68"/>
      <c r="J135" s="68"/>
      <c r="K135" s="68"/>
      <c r="L135" s="148" t="str">
        <f>IF(O34=2,"NA",IF(V274="","TBD",IF(AND(V274="Pass",V275="Pass",V276="Pass"),"YES","")))</f>
        <v>TBD</v>
      </c>
      <c r="M135" s="104" t="str">
        <f>IF(OR(V274="Fail",V275="Fail",V276="Fail"),"NO","")</f>
        <v/>
      </c>
      <c r="O135" s="97" t="s">
        <v>83</v>
      </c>
      <c r="P135" s="133"/>
      <c r="Q135" s="134"/>
      <c r="R135" s="135"/>
      <c r="S135" s="133"/>
      <c r="T135" s="134"/>
      <c r="U135" s="135"/>
      <c r="V135" s="133"/>
      <c r="W135" s="134"/>
      <c r="X135" s="135"/>
      <c r="Y135" s="42"/>
      <c r="AA135" s="21" t="s">
        <v>639</v>
      </c>
      <c r="AB135" s="65"/>
      <c r="AD135" s="66" t="str">
        <f>IF(W350="","",W350)</f>
        <v/>
      </c>
    </row>
    <row r="136" spans="1:43" ht="14.1" customHeight="1">
      <c r="A136" s="17">
        <v>64</v>
      </c>
      <c r="B136" s="67"/>
      <c r="C136" s="68"/>
      <c r="D136" s="68"/>
      <c r="E136" s="21" t="s">
        <v>659</v>
      </c>
      <c r="L136" s="148" t="str">
        <f>IF(O34=2,"NA",IF(V304="","TBD",IF(V304="Pass","YES","")))</f>
        <v>TBD</v>
      </c>
      <c r="M136" s="104" t="str">
        <f>IF(V304="Fail","NO","")</f>
        <v/>
      </c>
      <c r="O136" s="4"/>
      <c r="P136" s="4"/>
      <c r="Q136" s="4"/>
      <c r="R136" s="4"/>
      <c r="S136" s="4"/>
      <c r="T136" s="4"/>
      <c r="U136" s="4"/>
      <c r="V136" s="4"/>
      <c r="W136" s="4"/>
      <c r="X136" s="4"/>
      <c r="AA136" s="35" t="s">
        <v>616</v>
      </c>
    </row>
    <row r="137" spans="1:43" ht="14.1" customHeight="1" thickBot="1">
      <c r="A137" s="17">
        <v>65</v>
      </c>
      <c r="B137" s="67"/>
      <c r="C137" s="68"/>
      <c r="D137" s="68"/>
      <c r="E137" s="68" t="s">
        <v>642</v>
      </c>
      <c r="F137" s="68"/>
      <c r="G137" s="68"/>
      <c r="H137" s="68"/>
      <c r="I137" s="68"/>
      <c r="J137" s="68"/>
      <c r="K137" s="68"/>
      <c r="L137" s="148" t="str">
        <f>IF(O34=2,"NA",IF(R313="","TBD",IF(AND(R313="Pass",R314="Pass",R315="Pass"),"YES","")))</f>
        <v>TBD</v>
      </c>
      <c r="M137" s="104" t="str">
        <f>IF(OR(R313="Fail",R314="Fail",R315="Fail"),"NO","")</f>
        <v/>
      </c>
      <c r="T137" s="259" t="s">
        <v>73</v>
      </c>
      <c r="AA137" s="35" t="s">
        <v>187</v>
      </c>
      <c r="AB137" s="65"/>
      <c r="AD137" s="66" t="str">
        <f>IF(P357="","",P357)</f>
        <v/>
      </c>
    </row>
    <row r="138" spans="1:43" ht="14.1" customHeight="1">
      <c r="A138" s="17">
        <v>66</v>
      </c>
      <c r="B138" s="67"/>
      <c r="C138" s="68"/>
      <c r="D138" s="68"/>
      <c r="E138" s="68" t="s">
        <v>643</v>
      </c>
      <c r="F138" s="68"/>
      <c r="G138" s="68"/>
      <c r="H138" s="68"/>
      <c r="I138" s="68"/>
      <c r="J138" s="68"/>
      <c r="K138" s="68"/>
      <c r="L138" s="148" t="str">
        <f>IF(O34=2,"NA",IF(G414="","TBD",IF(AND(G414="Pass",G415="Pass",G416="Pass"),"YES","")))</f>
        <v>TBD</v>
      </c>
      <c r="M138" s="104" t="str">
        <f>IF(OR(G414="Fail",G415="Fail",G416="Fail"),"NO","")</f>
        <v/>
      </c>
      <c r="O138" s="136" t="s">
        <v>200</v>
      </c>
      <c r="P138" s="23"/>
      <c r="Q138" s="23"/>
      <c r="R138" s="23"/>
      <c r="S138" s="23"/>
      <c r="T138" s="23"/>
      <c r="U138" s="23"/>
      <c r="V138" s="23"/>
      <c r="W138" s="23"/>
      <c r="X138" s="23"/>
      <c r="Y138" s="24"/>
      <c r="AA138" s="35" t="s">
        <v>189</v>
      </c>
      <c r="AB138" s="65"/>
      <c r="AD138" s="66" t="str">
        <f>IF(P358="","",P358)</f>
        <v/>
      </c>
    </row>
    <row r="139" spans="1:43" ht="14.1" customHeight="1">
      <c r="A139" s="17">
        <v>67</v>
      </c>
      <c r="B139" s="67"/>
      <c r="C139" s="68"/>
      <c r="D139" s="68"/>
      <c r="E139" s="68" t="s">
        <v>644</v>
      </c>
      <c r="F139" s="68"/>
      <c r="G139" s="68"/>
      <c r="H139" s="68"/>
      <c r="I139" s="68"/>
      <c r="J139" s="68"/>
      <c r="K139" s="68"/>
      <c r="L139" s="148" t="str">
        <f>IF(O362="","TBD",IF(O362=1,"YES",IF(O362=3,"NA","")))</f>
        <v>TBD</v>
      </c>
      <c r="M139" s="104" t="str">
        <f>IF(O362=2,"NO","")</f>
        <v/>
      </c>
      <c r="O139" s="30"/>
      <c r="P139" s="4"/>
      <c r="Q139" s="35" t="s">
        <v>201</v>
      </c>
      <c r="R139" s="137"/>
      <c r="S139" s="4"/>
      <c r="T139" s="4"/>
      <c r="Y139" s="32"/>
      <c r="AA139" s="35" t="s">
        <v>191</v>
      </c>
      <c r="AB139" s="65"/>
      <c r="AD139" s="66" t="str">
        <f>IF(P359="","",P359)</f>
        <v/>
      </c>
    </row>
    <row r="140" spans="1:43" ht="14.1" customHeight="1">
      <c r="A140" s="17">
        <v>68</v>
      </c>
      <c r="B140" s="67"/>
      <c r="C140" s="68"/>
      <c r="D140" s="68"/>
      <c r="E140" s="68" t="s">
        <v>614</v>
      </c>
      <c r="F140" s="68"/>
      <c r="G140" s="68"/>
      <c r="H140" s="68"/>
      <c r="I140" s="68"/>
      <c r="J140" s="68"/>
      <c r="K140" s="68"/>
      <c r="L140" s="148" t="str">
        <f>IF(O363="","TBD",IF(O363=1,"YES",IF(O363=3,"NA","")))</f>
        <v>TBD</v>
      </c>
      <c r="M140" s="104" t="str">
        <f>IF(O363=2,"NO","")</f>
        <v/>
      </c>
      <c r="O140" s="30"/>
      <c r="P140" s="4"/>
      <c r="Q140" s="35" t="s">
        <v>202</v>
      </c>
      <c r="R140" s="137"/>
      <c r="S140" s="4"/>
      <c r="T140" s="4"/>
      <c r="Y140" s="32"/>
      <c r="AA140" s="35" t="s">
        <v>617</v>
      </c>
    </row>
    <row r="141" spans="1:43" ht="14.1" customHeight="1">
      <c r="A141" s="17">
        <v>69</v>
      </c>
      <c r="B141" s="67"/>
      <c r="C141" s="68"/>
      <c r="D141" s="68"/>
      <c r="E141" s="68" t="s">
        <v>622</v>
      </c>
      <c r="F141" s="68"/>
      <c r="G141" s="68"/>
      <c r="H141" s="68"/>
      <c r="I141" s="68"/>
      <c r="J141" s="68"/>
      <c r="K141" s="68"/>
      <c r="L141" s="148" t="str">
        <f>IF(O364="","TBD",IF(O364=1,"YES",IF(O364=3,"NA","")))</f>
        <v>TBD</v>
      </c>
      <c r="M141" s="104" t="str">
        <f>IF(O364=2,"NO","")</f>
        <v/>
      </c>
      <c r="O141" s="30"/>
      <c r="P141" s="4"/>
      <c r="Q141" s="35" t="s">
        <v>203</v>
      </c>
      <c r="R141" s="137"/>
      <c r="S141" s="4"/>
      <c r="T141" s="4"/>
      <c r="Y141" s="32"/>
      <c r="AA141" s="35" t="s">
        <v>187</v>
      </c>
      <c r="AB141" s="65"/>
      <c r="AD141" s="66" t="str">
        <f>IF(Q357="","",Q357)</f>
        <v/>
      </c>
    </row>
    <row r="142" spans="1:43" ht="14.1" customHeight="1" thickBot="1">
      <c r="A142" s="17">
        <v>70</v>
      </c>
      <c r="B142" s="80"/>
      <c r="C142" s="81"/>
      <c r="D142" s="81"/>
      <c r="E142" s="331"/>
      <c r="F142" s="81"/>
      <c r="G142" s="81"/>
      <c r="H142" s="81"/>
      <c r="I142" s="81"/>
      <c r="J142" s="81"/>
      <c r="K142" s="81"/>
      <c r="L142" s="81"/>
      <c r="M142" s="82"/>
      <c r="O142" s="30"/>
      <c r="P142" s="4"/>
      <c r="Q142" s="4"/>
      <c r="R142" s="2" t="str">
        <f>IF(R140="","",IF(AND(R140&gt;=120,R140&lt;=200),"Pass","Fail"))</f>
        <v/>
      </c>
      <c r="Y142" s="32"/>
      <c r="AA142" s="35" t="s">
        <v>189</v>
      </c>
      <c r="AB142" s="65"/>
      <c r="AD142" s="66" t="str">
        <f>IF(Q358="","",Q358)</f>
        <v/>
      </c>
    </row>
    <row r="143" spans="1:43" ht="14.1" customHeight="1" thickTop="1">
      <c r="A143" s="17">
        <v>71</v>
      </c>
      <c r="C143" s="109" t="s">
        <v>11</v>
      </c>
      <c r="D143" s="375" t="str">
        <f>IF($P$7="","",$P$7)</f>
        <v/>
      </c>
      <c r="E143" s="27"/>
      <c r="F143" s="27"/>
      <c r="G143" s="27"/>
      <c r="H143" s="27"/>
      <c r="I143" s="27"/>
      <c r="J143" s="27"/>
      <c r="K143" s="27"/>
      <c r="L143" s="109" t="s">
        <v>12</v>
      </c>
      <c r="M143" s="376" t="str">
        <f>IF($X$7="","",$X$7)</f>
        <v>Eugene Mah</v>
      </c>
      <c r="O143" s="30"/>
      <c r="P143" s="113" t="s">
        <v>204</v>
      </c>
      <c r="Q143" s="138" t="s">
        <v>205</v>
      </c>
      <c r="Y143" s="32"/>
      <c r="AA143" s="35" t="s">
        <v>191</v>
      </c>
      <c r="AB143" s="65"/>
      <c r="AD143" s="66" t="str">
        <f>IF(Q359="","",Q359)</f>
        <v/>
      </c>
    </row>
    <row r="144" spans="1:43" ht="14.1" customHeight="1">
      <c r="A144" s="17">
        <v>72</v>
      </c>
      <c r="C144" s="109" t="s">
        <v>121</v>
      </c>
      <c r="D144" s="376" t="str">
        <f>IF($R$14="","",$R$14)</f>
        <v/>
      </c>
      <c r="E144" s="27"/>
      <c r="F144" s="27"/>
      <c r="G144" s="27"/>
      <c r="H144" s="27"/>
      <c r="I144" s="27"/>
      <c r="J144" s="27"/>
      <c r="K144" s="27"/>
      <c r="L144" s="109" t="s">
        <v>37</v>
      </c>
      <c r="M144" s="376" t="str">
        <f>IF($R$13="","",$R$13)</f>
        <v/>
      </c>
      <c r="O144" s="30"/>
      <c r="Y144" s="32"/>
      <c r="AA144" s="35" t="s">
        <v>618</v>
      </c>
    </row>
    <row r="145" spans="1:30" ht="14.1" customHeight="1">
      <c r="A145" s="17">
        <v>1</v>
      </c>
      <c r="M145" s="112" t="str">
        <f>$H$2</f>
        <v>Medical University of South Carolina</v>
      </c>
      <c r="O145" s="139" t="s">
        <v>206</v>
      </c>
      <c r="Y145" s="32"/>
      <c r="AA145" s="35" t="s">
        <v>187</v>
      </c>
      <c r="AB145" s="65"/>
      <c r="AD145" s="66" t="str">
        <f>IF(R357="","",R357)</f>
        <v/>
      </c>
    </row>
    <row r="146" spans="1:30" ht="14.1" customHeight="1" thickBot="1">
      <c r="A146" s="17">
        <v>2</v>
      </c>
      <c r="H146" s="51" t="s">
        <v>73</v>
      </c>
      <c r="M146" s="113" t="str">
        <f>$H$5</f>
        <v>Mammography System Compliance Inspection</v>
      </c>
      <c r="O146" s="30"/>
      <c r="P146" s="21" t="s">
        <v>207</v>
      </c>
      <c r="Q146" s="585" t="s">
        <v>208</v>
      </c>
      <c r="R146" s="585" t="s">
        <v>209</v>
      </c>
      <c r="Y146" s="32"/>
      <c r="AA146" s="35" t="s">
        <v>189</v>
      </c>
      <c r="AB146" s="65"/>
      <c r="AD146" s="66" t="str">
        <f>IF(R358="","",R358)</f>
        <v/>
      </c>
    </row>
    <row r="147" spans="1:30" ht="14.1" customHeight="1" thickTop="1" thickBot="1">
      <c r="A147" s="17">
        <v>3</v>
      </c>
      <c r="B147" s="58"/>
      <c r="C147" s="60" t="s">
        <v>200</v>
      </c>
      <c r="D147" s="59"/>
      <c r="E147" s="59"/>
      <c r="F147" s="59"/>
      <c r="G147" s="59"/>
      <c r="H147" s="59"/>
      <c r="I147" s="59"/>
      <c r="J147" s="59"/>
      <c r="K147" s="59"/>
      <c r="L147" s="59"/>
      <c r="M147" s="61"/>
      <c r="O147" s="30"/>
      <c r="P147" s="585">
        <v>1</v>
      </c>
      <c r="Q147" s="137"/>
      <c r="R147" s="140" t="str">
        <f t="shared" ref="R147:R154" si="17">IF(Q147="","",ABS(Q147-P147))</f>
        <v/>
      </c>
      <c r="Y147" s="32"/>
      <c r="AA147" s="35" t="s">
        <v>191</v>
      </c>
      <c r="AB147" s="65"/>
      <c r="AD147" s="66" t="str">
        <f>IF(R359="","",R359)</f>
        <v/>
      </c>
    </row>
    <row r="148" spans="1:30" ht="14.1" customHeight="1" thickBot="1">
      <c r="A148" s="17">
        <v>4</v>
      </c>
      <c r="B148" s="67"/>
      <c r="C148" s="68"/>
      <c r="D148" s="68"/>
      <c r="E148" s="162" t="s">
        <v>201</v>
      </c>
      <c r="F148" s="335" t="str">
        <f>IF(R139="","",R139)</f>
        <v/>
      </c>
      <c r="G148" s="68"/>
      <c r="H148" s="162" t="s">
        <v>218</v>
      </c>
      <c r="I148" s="144" t="str">
        <f>IF(R142="","",R142)</f>
        <v/>
      </c>
      <c r="J148" s="68"/>
      <c r="K148" s="68"/>
      <c r="L148" s="68"/>
      <c r="M148" s="69"/>
      <c r="O148" s="30"/>
      <c r="P148" s="585">
        <v>2</v>
      </c>
      <c r="Q148" s="137"/>
      <c r="R148" s="140" t="str">
        <f t="shared" si="17"/>
        <v/>
      </c>
      <c r="Y148" s="32"/>
      <c r="AA148" s="35" t="s">
        <v>619</v>
      </c>
    </row>
    <row r="149" spans="1:30" ht="14.1" customHeight="1" thickBot="1">
      <c r="A149" s="17">
        <v>5</v>
      </c>
      <c r="B149" s="67"/>
      <c r="C149" s="68"/>
      <c r="D149" s="68"/>
      <c r="E149" s="162" t="s">
        <v>202</v>
      </c>
      <c r="F149" s="433" t="str">
        <f>IF(R140="","",R140)</f>
        <v/>
      </c>
      <c r="G149" s="584"/>
      <c r="H149" s="584"/>
      <c r="I149" s="68"/>
      <c r="J149" s="68"/>
      <c r="K149" s="68"/>
      <c r="L149" s="68"/>
      <c r="M149" s="69"/>
      <c r="O149" s="30"/>
      <c r="P149" s="585">
        <v>4</v>
      </c>
      <c r="Q149" s="137"/>
      <c r="R149" s="140" t="str">
        <f t="shared" si="17"/>
        <v/>
      </c>
      <c r="S149" s="35" t="s">
        <v>210</v>
      </c>
      <c r="T149" s="141" t="str">
        <f>IF(OR(Q149="",Q150="",Q151="",Q152=""),"",AVERAGE(Q149:Q152))</f>
        <v/>
      </c>
      <c r="Y149" s="32"/>
      <c r="AA149" s="35" t="s">
        <v>187</v>
      </c>
      <c r="AB149" s="65"/>
      <c r="AD149" s="66" t="str">
        <f>IF(S357="","",S357)</f>
        <v/>
      </c>
    </row>
    <row r="150" spans="1:30" ht="14.1" customHeight="1" thickBot="1">
      <c r="A150" s="17">
        <v>6</v>
      </c>
      <c r="B150" s="67"/>
      <c r="C150" s="68"/>
      <c r="D150" s="68"/>
      <c r="E150" s="162" t="s">
        <v>203</v>
      </c>
      <c r="F150" s="434" t="str">
        <f>IF(R141="","",IF(R141=1,"Pass","Fail"))</f>
        <v/>
      </c>
      <c r="G150" s="584"/>
      <c r="H150" s="68"/>
      <c r="I150" s="68"/>
      <c r="J150" s="68"/>
      <c r="K150" s="68"/>
      <c r="L150" s="68"/>
      <c r="M150" s="69"/>
      <c r="O150" s="30"/>
      <c r="P150" s="585">
        <v>4</v>
      </c>
      <c r="Q150" s="137"/>
      <c r="R150" s="140" t="str">
        <f t="shared" si="17"/>
        <v/>
      </c>
      <c r="S150" s="35" t="s">
        <v>211</v>
      </c>
      <c r="T150" s="142" t="str">
        <f>IF(OR(Q149="",Q150="",Q151="",Q152=""),"",_xlfn.STDEV.S(Q149:Q152))</f>
        <v/>
      </c>
      <c r="Y150" s="32"/>
      <c r="AA150" s="35" t="s">
        <v>189</v>
      </c>
      <c r="AB150" s="65"/>
      <c r="AD150" s="66" t="str">
        <f>IF(S358="","",S358)</f>
        <v/>
      </c>
    </row>
    <row r="151" spans="1:30" ht="14.1" customHeight="1">
      <c r="A151" s="17">
        <v>7</v>
      </c>
      <c r="B151" s="67"/>
      <c r="C151" s="68"/>
      <c r="D151" s="3" t="s">
        <v>204</v>
      </c>
      <c r="E151" s="101" t="s">
        <v>205</v>
      </c>
      <c r="F151" s="68"/>
      <c r="G151" s="68"/>
      <c r="H151" s="68"/>
      <c r="I151" s="68"/>
      <c r="J151" s="68"/>
      <c r="K151" s="68"/>
      <c r="L151" s="68"/>
      <c r="M151" s="69"/>
      <c r="O151" s="30"/>
      <c r="P151" s="585">
        <v>4</v>
      </c>
      <c r="Q151" s="137"/>
      <c r="R151" s="140" t="str">
        <f t="shared" si="17"/>
        <v/>
      </c>
      <c r="Y151" s="32"/>
      <c r="AA151" s="35" t="s">
        <v>191</v>
      </c>
      <c r="AB151" s="65"/>
      <c r="AD151" s="66" t="str">
        <f>IF(S359="","",S359)</f>
        <v/>
      </c>
    </row>
    <row r="152" spans="1:30" ht="14.1" customHeight="1">
      <c r="A152" s="17">
        <v>8</v>
      </c>
      <c r="B152" s="67"/>
      <c r="C152" s="68"/>
      <c r="D152" s="193"/>
      <c r="E152" s="193"/>
      <c r="F152" s="68"/>
      <c r="G152" s="68"/>
      <c r="H152" s="68"/>
      <c r="I152" s="68"/>
      <c r="J152" s="68"/>
      <c r="K152" s="68"/>
      <c r="L152" s="68"/>
      <c r="M152" s="69"/>
      <c r="O152" s="30"/>
      <c r="P152" s="585">
        <v>4</v>
      </c>
      <c r="Q152" s="137"/>
      <c r="R152" s="140" t="str">
        <f t="shared" si="17"/>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85">
        <v>6</v>
      </c>
      <c r="Q153" s="137"/>
      <c r="R153" s="140" t="str">
        <f t="shared" si="17"/>
        <v/>
      </c>
      <c r="U153" s="138" t="s">
        <v>213</v>
      </c>
      <c r="Y153" s="32"/>
    </row>
    <row r="154" spans="1:30" ht="14.1" customHeight="1" thickBot="1">
      <c r="A154" s="17">
        <v>10</v>
      </c>
      <c r="B154" s="67"/>
      <c r="C154" s="386" t="s">
        <v>207</v>
      </c>
      <c r="D154" s="418" t="s">
        <v>208</v>
      </c>
      <c r="E154" s="419" t="s">
        <v>209</v>
      </c>
      <c r="F154" s="68"/>
      <c r="G154" s="68"/>
      <c r="H154" s="333"/>
      <c r="I154" s="162" t="s">
        <v>222</v>
      </c>
      <c r="J154" s="377" t="str">
        <f>IF(O156="","TBD",IF(O156=1,"YES",IF(O156=3,"NA","")))</f>
        <v>TBD</v>
      </c>
      <c r="K154" s="68"/>
      <c r="L154" s="148" t="str">
        <f>IF(O156=2,"NO","")</f>
        <v/>
      </c>
      <c r="M154" s="69"/>
      <c r="O154" s="30"/>
      <c r="P154" s="585">
        <v>8</v>
      </c>
      <c r="Q154" s="137"/>
      <c r="R154" s="140" t="str">
        <f t="shared" si="17"/>
        <v/>
      </c>
      <c r="Y154" s="32"/>
    </row>
    <row r="155" spans="1:30" ht="14.1" customHeight="1" thickBot="1">
      <c r="A155" s="17">
        <v>11</v>
      </c>
      <c r="B155" s="67"/>
      <c r="C155" s="338">
        <v>1</v>
      </c>
      <c r="D155" s="310" t="str">
        <f t="shared" ref="D155:E162" si="18">IF(Q147="","",Q147)</f>
        <v/>
      </c>
      <c r="E155" s="339" t="str">
        <f t="shared" si="18"/>
        <v/>
      </c>
      <c r="F155" s="68"/>
      <c r="G155" s="68"/>
      <c r="H155" s="333"/>
      <c r="I155" s="162" t="s">
        <v>223</v>
      </c>
      <c r="J155" s="377" t="str">
        <f>IF(O157="","TBD",IF(O157=1,"YES",IF(O157=3,"NA","")))</f>
        <v>TBD</v>
      </c>
      <c r="K155" s="68"/>
      <c r="L155" s="148" t="str">
        <f>IF(O157=2,"NO","")</f>
        <v/>
      </c>
      <c r="M155" s="69"/>
      <c r="O155" s="30"/>
      <c r="Y155" s="32"/>
    </row>
    <row r="156" spans="1:30" ht="14.1" customHeight="1" thickBot="1">
      <c r="A156" s="17">
        <v>12</v>
      </c>
      <c r="B156" s="67"/>
      <c r="C156" s="338">
        <v>2</v>
      </c>
      <c r="D156" s="310" t="str">
        <f t="shared" si="18"/>
        <v/>
      </c>
      <c r="E156" s="339" t="str">
        <f t="shared" si="18"/>
        <v/>
      </c>
      <c r="F156" s="68"/>
      <c r="G156" s="68"/>
      <c r="H156" s="68"/>
      <c r="I156" s="162" t="s">
        <v>215</v>
      </c>
      <c r="J156" s="377"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38">
        <v>4</v>
      </c>
      <c r="D157" s="310" t="str">
        <f t="shared" si="18"/>
        <v/>
      </c>
      <c r="E157" s="339" t="str">
        <f t="shared" si="18"/>
        <v/>
      </c>
      <c r="F157" s="68"/>
      <c r="G157" s="68"/>
      <c r="H157" s="68"/>
      <c r="I157" s="162" t="s">
        <v>210</v>
      </c>
      <c r="J157" s="141" t="str">
        <f>IF(T149="","",T149)</f>
        <v/>
      </c>
      <c r="K157" s="68"/>
      <c r="L157" s="68"/>
      <c r="M157" s="69"/>
      <c r="O157" s="96"/>
      <c r="P157" s="21" t="s">
        <v>216</v>
      </c>
      <c r="Y157" s="32"/>
    </row>
    <row r="158" spans="1:30" ht="14.1" customHeight="1">
      <c r="A158" s="17">
        <v>14</v>
      </c>
      <c r="B158" s="67"/>
      <c r="C158" s="338">
        <v>4</v>
      </c>
      <c r="D158" s="310" t="str">
        <f t="shared" si="18"/>
        <v/>
      </c>
      <c r="E158" s="339" t="str">
        <f t="shared" si="18"/>
        <v/>
      </c>
      <c r="F158" s="68"/>
      <c r="G158" s="68"/>
      <c r="H158" s="68"/>
      <c r="I158" s="162" t="s">
        <v>211</v>
      </c>
      <c r="J158" s="142" t="str">
        <f>IF(T150="","",T150)</f>
        <v/>
      </c>
      <c r="K158" s="68"/>
      <c r="L158" s="68"/>
      <c r="M158" s="69"/>
      <c r="O158" s="30"/>
      <c r="Y158" s="32"/>
    </row>
    <row r="159" spans="1:30" ht="14.1" customHeight="1">
      <c r="A159" s="17">
        <v>15</v>
      </c>
      <c r="B159" s="67"/>
      <c r="C159" s="338">
        <v>4</v>
      </c>
      <c r="D159" s="310" t="str">
        <f t="shared" si="18"/>
        <v/>
      </c>
      <c r="E159" s="339" t="str">
        <f t="shared" si="18"/>
        <v/>
      </c>
      <c r="F159" s="68"/>
      <c r="G159" s="68"/>
      <c r="H159" s="68"/>
      <c r="I159" s="68"/>
      <c r="J159" s="68"/>
      <c r="K159" s="68"/>
      <c r="L159" s="68"/>
      <c r="M159" s="69"/>
      <c r="O159" s="139" t="s">
        <v>217</v>
      </c>
      <c r="Y159" s="32"/>
    </row>
    <row r="160" spans="1:30" ht="14.1" customHeight="1">
      <c r="A160" s="17">
        <v>16</v>
      </c>
      <c r="B160" s="67"/>
      <c r="C160" s="338">
        <v>4</v>
      </c>
      <c r="D160" s="310" t="str">
        <f t="shared" si="18"/>
        <v/>
      </c>
      <c r="E160" s="339" t="str">
        <f t="shared" si="18"/>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38">
        <v>6</v>
      </c>
      <c r="D161" s="310" t="str">
        <f t="shared" si="18"/>
        <v/>
      </c>
      <c r="E161" s="339" t="str">
        <f t="shared" si="18"/>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87">
        <v>8</v>
      </c>
      <c r="D162" s="352" t="str">
        <f t="shared" si="18"/>
        <v/>
      </c>
      <c r="E162" s="388" t="str">
        <f t="shared" si="18"/>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78" t="str">
        <f t="shared" ref="D165:F167" si="19">IF(Q160="","",Q160)</f>
        <v>Mo</v>
      </c>
      <c r="E165" s="379" t="str">
        <f t="shared" si="19"/>
        <v>Mo</v>
      </c>
      <c r="F165" s="380" t="str">
        <f t="shared" si="19"/>
        <v>W</v>
      </c>
      <c r="G165" s="68"/>
      <c r="H165" s="584"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1" t="str">
        <f t="shared" si="19"/>
        <v>Mo</v>
      </c>
      <c r="E166" s="16" t="str">
        <f t="shared" si="19"/>
        <v>Rh</v>
      </c>
      <c r="F166" s="382" t="str">
        <f t="shared" si="19"/>
        <v>Rh</v>
      </c>
      <c r="G166" s="68"/>
      <c r="H166" s="584"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1" t="str">
        <f t="shared" si="19"/>
        <v/>
      </c>
      <c r="E167" s="16" t="str">
        <f t="shared" si="19"/>
        <v/>
      </c>
      <c r="F167" s="382" t="str">
        <f t="shared" si="19"/>
        <v/>
      </c>
      <c r="G167" s="68"/>
      <c r="H167" s="584" t="str">
        <f>IF(T161="","",T161)</f>
        <v/>
      </c>
      <c r="I167" s="68"/>
      <c r="J167" s="68"/>
      <c r="K167" s="68"/>
      <c r="L167" s="68"/>
      <c r="M167" s="69"/>
      <c r="O167" s="30"/>
      <c r="P167" s="4"/>
      <c r="Q167" s="4"/>
      <c r="R167" s="4"/>
      <c r="S167" s="4"/>
      <c r="T167" s="4"/>
      <c r="Y167" s="32"/>
    </row>
    <row r="168" spans="1:25" ht="14.1" customHeight="1">
      <c r="A168" s="17">
        <v>24</v>
      </c>
      <c r="B168" s="67"/>
      <c r="C168" s="162" t="s">
        <v>173</v>
      </c>
      <c r="D168" s="381" t="str">
        <f t="shared" ref="D168:F171" si="20">IF(Q162="","",Q162)</f>
        <v/>
      </c>
      <c r="E168" s="16" t="str">
        <f t="shared" si="20"/>
        <v/>
      </c>
      <c r="F168" s="382" t="str">
        <f t="shared" si="20"/>
        <v/>
      </c>
      <c r="G168" s="68"/>
      <c r="H168" s="584"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1" t="str">
        <f t="shared" si="20"/>
        <v/>
      </c>
      <c r="E169" s="16" t="str">
        <f t="shared" si="20"/>
        <v/>
      </c>
      <c r="F169" s="382" t="str">
        <f t="shared" si="20"/>
        <v/>
      </c>
      <c r="G169" s="68"/>
      <c r="H169" s="584"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1" t="str">
        <f t="shared" si="20"/>
        <v/>
      </c>
      <c r="E170" s="16" t="str">
        <f t="shared" si="20"/>
        <v/>
      </c>
      <c r="F170" s="382" t="str">
        <f t="shared" si="20"/>
        <v/>
      </c>
      <c r="G170" s="68"/>
      <c r="H170" s="584"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3" t="str">
        <f t="shared" si="20"/>
        <v/>
      </c>
      <c r="E171" s="384" t="str">
        <f t="shared" si="20"/>
        <v/>
      </c>
      <c r="F171" s="385" t="str">
        <f t="shared" si="20"/>
        <v/>
      </c>
      <c r="G171" s="68"/>
      <c r="H171" s="584"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84" t="str">
        <f>IF(T165="","",T165)</f>
        <v/>
      </c>
      <c r="I172" s="68"/>
      <c r="J172" s="68"/>
      <c r="K172" s="68"/>
      <c r="L172" s="68"/>
      <c r="M172" s="69"/>
      <c r="O172" s="139" t="s">
        <v>227</v>
      </c>
      <c r="R172" s="137"/>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46" t="s">
        <v>228</v>
      </c>
      <c r="Q173" s="846"/>
      <c r="R173" s="846"/>
      <c r="S173" s="846"/>
      <c r="U173" s="584" t="s">
        <v>229</v>
      </c>
      <c r="V173" s="584"/>
      <c r="Y173" s="32"/>
    </row>
    <row r="174" spans="1:25" ht="14.1" customHeight="1">
      <c r="A174" s="17">
        <v>30</v>
      </c>
      <c r="B174" s="67"/>
      <c r="C174" s="68"/>
      <c r="D174" s="493"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4" t="s">
        <v>234</v>
      </c>
      <c r="V174" s="584"/>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3" t="str">
        <f>IF(OR(R172=2,R172=3),"NA",IF(OR(P175="",Q175="",R175="",S175=""),"",AVERAGE(P175:S175)))</f>
        <v/>
      </c>
      <c r="V175" s="312"/>
      <c r="W175" s="162" t="s">
        <v>218</v>
      </c>
      <c r="X175" s="296" t="str">
        <f>IF($R$172=1,IF(U175&gt;=160,"PASS","FAIL"),"NA")</f>
        <v>NA</v>
      </c>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46" t="s">
        <v>228</v>
      </c>
      <c r="E179" s="846"/>
      <c r="F179" s="846"/>
      <c r="G179" s="846"/>
      <c r="H179" s="68"/>
      <c r="I179" s="584" t="s">
        <v>229</v>
      </c>
      <c r="J179" s="584"/>
      <c r="K179" s="68"/>
      <c r="L179" s="68"/>
      <c r="M179" s="69"/>
      <c r="O179" s="161"/>
      <c r="P179" s="162" t="s">
        <v>95</v>
      </c>
      <c r="Q179" s="137"/>
      <c r="T179" s="162" t="s">
        <v>95</v>
      </c>
      <c r="U179" s="137"/>
      <c r="V179" s="4"/>
      <c r="X179" s="4"/>
      <c r="Y179" s="32"/>
    </row>
    <row r="180" spans="1:25" ht="14.1" customHeight="1" thickBot="1">
      <c r="A180" s="17">
        <v>36</v>
      </c>
      <c r="B180" s="67"/>
      <c r="C180" s="68"/>
      <c r="D180" s="155" t="s">
        <v>230</v>
      </c>
      <c r="E180" s="155" t="s">
        <v>231</v>
      </c>
      <c r="F180" s="155" t="s">
        <v>232</v>
      </c>
      <c r="G180" s="156" t="s">
        <v>233</v>
      </c>
      <c r="H180" s="68"/>
      <c r="I180" s="309" t="s">
        <v>234</v>
      </c>
      <c r="J180" s="143"/>
      <c r="K180" s="68"/>
      <c r="L180" s="68"/>
      <c r="M180" s="69"/>
      <c r="O180" s="161"/>
      <c r="P180" s="162" t="s">
        <v>173</v>
      </c>
      <c r="Q180" s="137"/>
      <c r="R180" s="4"/>
      <c r="S180" s="4"/>
      <c r="T180" s="162" t="s">
        <v>173</v>
      </c>
      <c r="U180" s="137"/>
      <c r="V180" s="4"/>
      <c r="W180" s="4"/>
      <c r="X180" s="4"/>
      <c r="Y180" s="32"/>
    </row>
    <row r="181" spans="1:25" ht="14.1" customHeight="1" thickBot="1">
      <c r="A181" s="17">
        <v>37</v>
      </c>
      <c r="B181" s="67"/>
      <c r="C181" s="68"/>
      <c r="D181" s="178" t="str">
        <f>IF(P175="","",P175)</f>
        <v/>
      </c>
      <c r="E181" s="178" t="str">
        <f>IF(Q175="","",Q175)</f>
        <v/>
      </c>
      <c r="F181" s="178" t="str">
        <f>IF(R175="","",R175)</f>
        <v/>
      </c>
      <c r="G181" s="179" t="str">
        <f>IF(S175="","",S175)</f>
        <v/>
      </c>
      <c r="H181" s="68"/>
      <c r="I181" s="180" t="str">
        <f>IF(U175="","",U175)</f>
        <v/>
      </c>
      <c r="J181" s="370"/>
      <c r="K181" s="162" t="s">
        <v>218</v>
      </c>
      <c r="L181" s="144" t="str">
        <f>IF(X175="","",X175)</f>
        <v>NA</v>
      </c>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39" t="s">
        <v>240</v>
      </c>
      <c r="R182" s="839"/>
      <c r="S182" s="839"/>
      <c r="T182" s="4"/>
      <c r="U182" s="839" t="s">
        <v>240</v>
      </c>
      <c r="V182" s="839"/>
      <c r="W182" s="839"/>
      <c r="X182" s="4"/>
      <c r="Y182" s="32"/>
    </row>
    <row r="183" spans="1:25" ht="14.1" customHeight="1" thickBot="1">
      <c r="A183" s="17">
        <v>39</v>
      </c>
      <c r="B183" s="159"/>
      <c r="C183" s="41"/>
      <c r="D183" s="41"/>
      <c r="E183" s="41"/>
      <c r="F183" s="41"/>
      <c r="G183" s="41"/>
      <c r="H183" s="41"/>
      <c r="I183" s="41"/>
      <c r="J183" s="41"/>
      <c r="K183" s="41"/>
      <c r="L183" s="41"/>
      <c r="M183" s="160"/>
      <c r="O183" s="30"/>
      <c r="P183" s="68"/>
      <c r="Q183" s="585" t="s">
        <v>241</v>
      </c>
      <c r="R183" s="585" t="s">
        <v>242</v>
      </c>
      <c r="S183" s="107" t="s">
        <v>243</v>
      </c>
      <c r="T183" s="4"/>
      <c r="U183" s="585" t="s">
        <v>241</v>
      </c>
      <c r="V183" s="585" t="s">
        <v>242</v>
      </c>
      <c r="W183" s="107" t="s">
        <v>243</v>
      </c>
      <c r="X183" s="4"/>
      <c r="Y183" s="32"/>
    </row>
    <row r="184" spans="1:25" ht="14.1" customHeight="1">
      <c r="A184" s="17">
        <v>40</v>
      </c>
      <c r="B184" s="494"/>
      <c r="C184" s="63" t="s">
        <v>236</v>
      </c>
      <c r="D184" s="23"/>
      <c r="E184" s="23"/>
      <c r="F184" s="23"/>
      <c r="G184" s="63"/>
      <c r="H184" s="63" t="s">
        <v>252</v>
      </c>
      <c r="I184" s="23"/>
      <c r="J184" s="23"/>
      <c r="K184" s="23"/>
      <c r="L184" s="23"/>
      <c r="M184" s="472"/>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739" t="str">
        <f>IF(Q179="","",Q179)</f>
        <v/>
      </c>
      <c r="J185" s="68"/>
      <c r="K185" s="162" t="s">
        <v>95</v>
      </c>
      <c r="L185" s="739" t="str">
        <f>IF(U179="","",U179)</f>
        <v/>
      </c>
      <c r="M185" s="69"/>
      <c r="O185" s="161"/>
      <c r="P185" s="162" t="s">
        <v>245</v>
      </c>
      <c r="Q185" s="166"/>
      <c r="R185" s="167"/>
      <c r="S185" s="168"/>
      <c r="T185" s="4"/>
      <c r="U185" s="166"/>
      <c r="V185" s="167"/>
      <c r="W185" s="168"/>
      <c r="X185" s="4"/>
      <c r="Y185" s="32"/>
    </row>
    <row r="186" spans="1:25" ht="14.1" customHeight="1">
      <c r="A186" s="17">
        <v>42</v>
      </c>
      <c r="B186" s="67"/>
      <c r="C186" s="107"/>
      <c r="D186" s="843" t="s">
        <v>240</v>
      </c>
      <c r="E186" s="844"/>
      <c r="F186" s="845"/>
      <c r="G186" s="162"/>
      <c r="H186" s="843" t="s">
        <v>240</v>
      </c>
      <c r="I186" s="844"/>
      <c r="J186" s="845"/>
      <c r="K186" s="843" t="s">
        <v>240</v>
      </c>
      <c r="L186" s="844"/>
      <c r="M186" s="847"/>
      <c r="O186" s="161"/>
      <c r="P186" s="162" t="s">
        <v>246</v>
      </c>
      <c r="Q186" s="166"/>
      <c r="R186" s="167"/>
      <c r="S186" s="168"/>
      <c r="T186" s="4"/>
      <c r="U186" s="166"/>
      <c r="V186" s="167"/>
      <c r="W186" s="168"/>
      <c r="X186" s="4"/>
      <c r="Y186" s="32"/>
    </row>
    <row r="187" spans="1:25" ht="14.1" customHeight="1" thickBot="1">
      <c r="A187" s="17">
        <v>43</v>
      </c>
      <c r="B187" s="67"/>
      <c r="C187" s="333"/>
      <c r="D187" s="338" t="s">
        <v>241</v>
      </c>
      <c r="E187" s="296" t="s">
        <v>242</v>
      </c>
      <c r="F187" s="339" t="s">
        <v>243</v>
      </c>
      <c r="G187" s="107"/>
      <c r="H187" s="338" t="s">
        <v>241</v>
      </c>
      <c r="I187" s="296" t="s">
        <v>242</v>
      </c>
      <c r="J187" s="339" t="s">
        <v>243</v>
      </c>
      <c r="K187" s="338" t="s">
        <v>241</v>
      </c>
      <c r="L187" s="296" t="s">
        <v>242</v>
      </c>
      <c r="M187" s="495" t="s">
        <v>243</v>
      </c>
      <c r="O187" s="161"/>
      <c r="P187" s="162" t="s">
        <v>247</v>
      </c>
      <c r="Q187" s="170"/>
      <c r="R187" s="171"/>
      <c r="S187" s="172"/>
      <c r="T187" s="4"/>
      <c r="U187" s="170"/>
      <c r="V187" s="171"/>
      <c r="W187" s="172"/>
      <c r="Y187" s="32"/>
    </row>
    <row r="188" spans="1:25" ht="14.1" customHeight="1">
      <c r="A188" s="17">
        <v>44</v>
      </c>
      <c r="B188" s="67"/>
      <c r="C188" s="162" t="s">
        <v>244</v>
      </c>
      <c r="D188" s="349" t="str">
        <f>IF(Q184="","",Q184)</f>
        <v/>
      </c>
      <c r="E188" s="310" t="str">
        <f t="shared" ref="E188:F188" si="21">IF(R184="","",R184)</f>
        <v/>
      </c>
      <c r="F188" s="350" t="str">
        <f t="shared" si="21"/>
        <v/>
      </c>
      <c r="G188" s="348" t="s">
        <v>244</v>
      </c>
      <c r="H188" s="340" t="str">
        <f t="shared" ref="H188:J193" si="22">IF(Q196="","",Q196)</f>
        <v/>
      </c>
      <c r="I188" s="337" t="str">
        <f t="shared" si="22"/>
        <v/>
      </c>
      <c r="J188" s="341" t="str">
        <f t="shared" si="22"/>
        <v/>
      </c>
      <c r="K188" s="345" t="str">
        <f t="shared" ref="K188:M193" si="23">IF(U196="","",U196)</f>
        <v/>
      </c>
      <c r="L188" s="336" t="str">
        <f t="shared" si="23"/>
        <v/>
      </c>
      <c r="M188" s="496" t="str">
        <f t="shared" si="23"/>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49" t="str">
        <f t="shared" ref="D189:F193" si="24">IF(Q185="","",Q185)</f>
        <v/>
      </c>
      <c r="E189" s="310" t="str">
        <f t="shared" si="24"/>
        <v/>
      </c>
      <c r="F189" s="350" t="str">
        <f t="shared" si="24"/>
        <v/>
      </c>
      <c r="G189" s="348" t="s">
        <v>245</v>
      </c>
      <c r="H189" s="340" t="str">
        <f t="shared" si="22"/>
        <v/>
      </c>
      <c r="I189" s="337" t="str">
        <f t="shared" si="22"/>
        <v/>
      </c>
      <c r="J189" s="341" t="str">
        <f t="shared" si="22"/>
        <v/>
      </c>
      <c r="K189" s="345" t="str">
        <f t="shared" si="23"/>
        <v/>
      </c>
      <c r="L189" s="336" t="str">
        <f t="shared" si="23"/>
        <v/>
      </c>
      <c r="M189" s="496" t="str">
        <f t="shared" si="23"/>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49" t="str">
        <f t="shared" si="24"/>
        <v/>
      </c>
      <c r="E190" s="310" t="str">
        <f t="shared" si="24"/>
        <v/>
      </c>
      <c r="F190" s="350" t="str">
        <f t="shared" si="24"/>
        <v/>
      </c>
      <c r="G190" s="348" t="s">
        <v>246</v>
      </c>
      <c r="H190" s="340" t="str">
        <f t="shared" si="22"/>
        <v/>
      </c>
      <c r="I190" s="337" t="str">
        <f t="shared" si="22"/>
        <v/>
      </c>
      <c r="J190" s="341" t="str">
        <f t="shared" si="22"/>
        <v/>
      </c>
      <c r="K190" s="345" t="str">
        <f t="shared" si="23"/>
        <v/>
      </c>
      <c r="L190" s="336" t="str">
        <f t="shared" si="23"/>
        <v/>
      </c>
      <c r="M190" s="496" t="str">
        <f t="shared" si="23"/>
        <v/>
      </c>
      <c r="O190" s="30"/>
      <c r="P190" s="113" t="s">
        <v>204</v>
      </c>
      <c r="Q190" s="138" t="s">
        <v>660</v>
      </c>
      <c r="R190" s="4"/>
      <c r="X190" s="4"/>
      <c r="Y190" s="32"/>
    </row>
    <row r="191" spans="1:25" ht="14.1" customHeight="1" thickBot="1">
      <c r="A191" s="17">
        <v>47</v>
      </c>
      <c r="B191" s="67"/>
      <c r="C191" s="162" t="s">
        <v>247</v>
      </c>
      <c r="D191" s="351" t="str">
        <f t="shared" si="24"/>
        <v/>
      </c>
      <c r="E191" s="352" t="str">
        <f t="shared" si="24"/>
        <v/>
      </c>
      <c r="F191" s="353" t="str">
        <f t="shared" si="24"/>
        <v/>
      </c>
      <c r="G191" s="348" t="s">
        <v>247</v>
      </c>
      <c r="H191" s="342" t="str">
        <f t="shared" si="22"/>
        <v/>
      </c>
      <c r="I191" s="343" t="str">
        <f t="shared" si="22"/>
        <v/>
      </c>
      <c r="J191" s="344" t="str">
        <f t="shared" si="22"/>
        <v/>
      </c>
      <c r="K191" s="346" t="str">
        <f t="shared" si="23"/>
        <v/>
      </c>
      <c r="L191" s="347" t="str">
        <f t="shared" si="23"/>
        <v/>
      </c>
      <c r="M191" s="497" t="str">
        <f t="shared" si="23"/>
        <v/>
      </c>
      <c r="O191" s="30"/>
      <c r="P191" s="27"/>
      <c r="Q191" s="138" t="s">
        <v>661</v>
      </c>
      <c r="R191" s="4"/>
      <c r="S191" s="4"/>
      <c r="T191" s="4"/>
      <c r="U191" s="4"/>
      <c r="V191" s="4"/>
      <c r="W191" s="4"/>
      <c r="X191" s="4"/>
      <c r="Y191" s="32"/>
    </row>
    <row r="192" spans="1:25" ht="14.1" customHeight="1">
      <c r="A192" s="17">
        <v>48</v>
      </c>
      <c r="B192" s="67"/>
      <c r="C192" s="162" t="s">
        <v>248</v>
      </c>
      <c r="D192" s="359" t="str">
        <f t="shared" si="24"/>
        <v/>
      </c>
      <c r="E192" s="360" t="str">
        <f t="shared" si="24"/>
        <v/>
      </c>
      <c r="F192" s="361" t="str">
        <f t="shared" si="24"/>
        <v/>
      </c>
      <c r="G192" s="348" t="s">
        <v>257</v>
      </c>
      <c r="H192" s="365" t="str">
        <f t="shared" si="22"/>
        <v/>
      </c>
      <c r="I192" s="366" t="str">
        <f t="shared" si="22"/>
        <v/>
      </c>
      <c r="J192" s="367" t="str">
        <f t="shared" si="22"/>
        <v/>
      </c>
      <c r="K192" s="362" t="str">
        <f t="shared" si="23"/>
        <v/>
      </c>
      <c r="L192" s="363" t="str">
        <f t="shared" si="23"/>
        <v/>
      </c>
      <c r="M192" s="498" t="str">
        <f t="shared" si="23"/>
        <v/>
      </c>
      <c r="O192" s="30"/>
      <c r="P192" s="4"/>
      <c r="Q192" s="4"/>
      <c r="R192" s="4"/>
      <c r="S192" s="4"/>
      <c r="T192" s="4"/>
      <c r="U192" s="4"/>
      <c r="V192" s="4"/>
      <c r="W192" s="4"/>
      <c r="Y192" s="32"/>
    </row>
    <row r="193" spans="1:29" ht="14.1" customHeight="1" thickBot="1">
      <c r="A193" s="17">
        <v>49</v>
      </c>
      <c r="B193" s="67"/>
      <c r="C193" s="162" t="s">
        <v>249</v>
      </c>
      <c r="D193" s="351" t="str">
        <f t="shared" si="24"/>
        <v/>
      </c>
      <c r="E193" s="352" t="str">
        <f t="shared" si="24"/>
        <v/>
      </c>
      <c r="F193" s="353" t="str">
        <f t="shared" si="24"/>
        <v/>
      </c>
      <c r="G193" s="348" t="s">
        <v>258</v>
      </c>
      <c r="H193" s="342" t="str">
        <f t="shared" si="22"/>
        <v/>
      </c>
      <c r="I193" s="343" t="str">
        <f t="shared" si="22"/>
        <v/>
      </c>
      <c r="J193" s="344" t="str">
        <f t="shared" si="22"/>
        <v/>
      </c>
      <c r="K193" s="346" t="str">
        <f t="shared" si="23"/>
        <v/>
      </c>
      <c r="L193" s="347" t="str">
        <f t="shared" si="23"/>
        <v/>
      </c>
      <c r="M193" s="497" t="str">
        <f t="shared" si="23"/>
        <v/>
      </c>
      <c r="O193" s="139" t="s">
        <v>252</v>
      </c>
      <c r="Y193" s="32"/>
    </row>
    <row r="194" spans="1:29" ht="14.1" customHeight="1" thickBot="1">
      <c r="A194" s="17">
        <v>50</v>
      </c>
      <c r="B194" s="67"/>
      <c r="C194" s="162" t="s">
        <v>95</v>
      </c>
      <c r="D194" s="107" t="str">
        <f>IF(U179="","",U179)</f>
        <v/>
      </c>
      <c r="E194" s="68"/>
      <c r="F194" s="68"/>
      <c r="G194" s="68"/>
      <c r="H194" s="335" t="str">
        <f>IF(MAX(D192:F193,D199:F200)&gt;13,"Fail","Pass")</f>
        <v>Pass</v>
      </c>
      <c r="I194" s="68" t="s">
        <v>538</v>
      </c>
      <c r="J194" s="68"/>
      <c r="K194" s="68"/>
      <c r="L194" s="68"/>
      <c r="M194" s="69"/>
      <c r="O194" s="161"/>
      <c r="P194" s="68"/>
      <c r="Q194" s="839" t="s">
        <v>240</v>
      </c>
      <c r="R194" s="839"/>
      <c r="S194" s="839"/>
      <c r="T194" s="4"/>
      <c r="U194" s="839" t="s">
        <v>240</v>
      </c>
      <c r="V194" s="839"/>
      <c r="W194" s="839"/>
      <c r="X194" s="4"/>
      <c r="Y194" s="32"/>
    </row>
    <row r="195" spans="1:29" ht="14.1" customHeight="1" thickBot="1">
      <c r="A195" s="17">
        <v>51</v>
      </c>
      <c r="B195" s="67"/>
      <c r="C195" s="162" t="s">
        <v>244</v>
      </c>
      <c r="D195" s="354" t="str">
        <f>IF(U184="","",U184)</f>
        <v/>
      </c>
      <c r="E195" s="355" t="str">
        <f t="shared" ref="E195:F200" si="25">IF(V184="","",V184)</f>
        <v/>
      </c>
      <c r="F195" s="356" t="str">
        <f t="shared" si="25"/>
        <v/>
      </c>
      <c r="G195" s="68"/>
      <c r="H195" s="335" t="str">
        <f>IF(MAX(H188:M191)&gt;13,"Fail","Pass")</f>
        <v>Pass</v>
      </c>
      <c r="I195" s="68" t="s">
        <v>539</v>
      </c>
      <c r="J195" s="68"/>
      <c r="K195" s="68"/>
      <c r="L195" s="68"/>
      <c r="M195" s="69"/>
      <c r="O195" s="161"/>
      <c r="P195" s="68"/>
      <c r="Q195" s="765" t="s">
        <v>241</v>
      </c>
      <c r="R195" s="765" t="s">
        <v>242</v>
      </c>
      <c r="S195" s="739" t="s">
        <v>243</v>
      </c>
      <c r="T195" s="4"/>
      <c r="U195" s="765" t="s">
        <v>241</v>
      </c>
      <c r="V195" s="765" t="s">
        <v>242</v>
      </c>
      <c r="W195" s="739" t="s">
        <v>243</v>
      </c>
      <c r="X195" s="4"/>
      <c r="Y195" s="32"/>
    </row>
    <row r="196" spans="1:29" ht="14.1" customHeight="1">
      <c r="A196" s="17">
        <v>52</v>
      </c>
      <c r="B196" s="67"/>
      <c r="C196" s="162" t="s">
        <v>245</v>
      </c>
      <c r="D196" s="345" t="str">
        <f t="shared" ref="D196:D200" si="26">IF(U185="","",U185)</f>
        <v/>
      </c>
      <c r="E196" s="336" t="str">
        <f t="shared" si="25"/>
        <v/>
      </c>
      <c r="F196" s="357" t="str">
        <f t="shared" si="25"/>
        <v/>
      </c>
      <c r="G196" s="68"/>
      <c r="H196" s="335" t="str">
        <f>IF(OR(MAX(H192:M192)&gt;6.5,MAX(H193:M193)&gt;5),"Fail","Pass")</f>
        <v>Pass</v>
      </c>
      <c r="I196" s="68" t="s">
        <v>540</v>
      </c>
      <c r="J196" s="68"/>
      <c r="K196" s="68"/>
      <c r="L196" s="68"/>
      <c r="M196" s="69"/>
      <c r="O196" s="161"/>
      <c r="P196" s="162" t="s">
        <v>244</v>
      </c>
      <c r="Q196" s="163"/>
      <c r="R196" s="164"/>
      <c r="S196" s="165"/>
      <c r="T196" s="4"/>
      <c r="U196" s="163"/>
      <c r="V196" s="164"/>
      <c r="W196" s="165"/>
      <c r="X196" s="4"/>
      <c r="Y196" s="32"/>
    </row>
    <row r="197" spans="1:29" ht="14.1" customHeight="1">
      <c r="A197" s="17">
        <v>53</v>
      </c>
      <c r="B197" s="67"/>
      <c r="C197" s="162" t="s">
        <v>246</v>
      </c>
      <c r="D197" s="345" t="str">
        <f t="shared" si="26"/>
        <v/>
      </c>
      <c r="E197" s="336" t="str">
        <f t="shared" si="25"/>
        <v/>
      </c>
      <c r="F197" s="357" t="str">
        <f t="shared" si="25"/>
        <v/>
      </c>
      <c r="G197" s="3" t="s">
        <v>204</v>
      </c>
      <c r="H197" s="101" t="s">
        <v>250</v>
      </c>
      <c r="M197" s="69"/>
      <c r="O197" s="30"/>
      <c r="P197" s="162" t="s">
        <v>245</v>
      </c>
      <c r="Q197" s="166"/>
      <c r="R197" s="167"/>
      <c r="S197" s="168"/>
      <c r="T197" s="4"/>
      <c r="U197" s="166"/>
      <c r="V197" s="167"/>
      <c r="W197" s="168"/>
      <c r="X197" s="4"/>
      <c r="Y197" s="32"/>
    </row>
    <row r="198" spans="1:29" ht="14.1" customHeight="1" thickBot="1">
      <c r="A198" s="17">
        <v>54</v>
      </c>
      <c r="B198" s="67"/>
      <c r="C198" s="162" t="s">
        <v>247</v>
      </c>
      <c r="D198" s="346" t="str">
        <f t="shared" si="26"/>
        <v/>
      </c>
      <c r="E198" s="347" t="str">
        <f t="shared" si="25"/>
        <v/>
      </c>
      <c r="F198" s="358" t="str">
        <f t="shared" si="25"/>
        <v/>
      </c>
      <c r="H198" s="101" t="s">
        <v>251</v>
      </c>
      <c r="M198" s="69"/>
      <c r="O198" s="30"/>
      <c r="P198" s="162" t="s">
        <v>246</v>
      </c>
      <c r="Q198" s="166"/>
      <c r="R198" s="167"/>
      <c r="S198" s="168"/>
      <c r="T198" s="4"/>
      <c r="U198" s="166"/>
      <c r="V198" s="167"/>
      <c r="W198" s="168"/>
      <c r="X198" s="4"/>
      <c r="Y198" s="32"/>
    </row>
    <row r="199" spans="1:29" ht="14.1" customHeight="1" thickBot="1">
      <c r="A199" s="17">
        <v>55</v>
      </c>
      <c r="B199" s="67"/>
      <c r="C199" s="162" t="s">
        <v>248</v>
      </c>
      <c r="D199" s="362" t="str">
        <f t="shared" si="26"/>
        <v/>
      </c>
      <c r="E199" s="363" t="str">
        <f t="shared" si="25"/>
        <v/>
      </c>
      <c r="F199" s="364" t="str">
        <f t="shared" si="25"/>
        <v/>
      </c>
      <c r="G199" s="371"/>
      <c r="H199" s="101" t="s">
        <v>259</v>
      </c>
      <c r="I199" s="68"/>
      <c r="J199" s="68"/>
      <c r="K199" s="68"/>
      <c r="L199" s="68"/>
      <c r="M199" s="69"/>
      <c r="O199" s="161"/>
      <c r="P199" s="162" t="s">
        <v>247</v>
      </c>
      <c r="Q199" s="170"/>
      <c r="R199" s="171"/>
      <c r="S199" s="172"/>
      <c r="T199" s="4"/>
      <c r="U199" s="170"/>
      <c r="V199" s="171"/>
      <c r="W199" s="172"/>
      <c r="X199" s="4"/>
      <c r="Y199" s="32"/>
    </row>
    <row r="200" spans="1:29" ht="14.1" customHeight="1" thickBot="1">
      <c r="A200" s="17">
        <v>56</v>
      </c>
      <c r="B200" s="67"/>
      <c r="C200" s="162" t="s">
        <v>249</v>
      </c>
      <c r="D200" s="346" t="str">
        <f t="shared" si="26"/>
        <v/>
      </c>
      <c r="E200" s="347" t="str">
        <f t="shared" si="25"/>
        <v/>
      </c>
      <c r="F200" s="358" t="str">
        <f t="shared" si="25"/>
        <v/>
      </c>
      <c r="G200" s="3"/>
      <c r="H200" s="101" t="s">
        <v>260</v>
      </c>
      <c r="I200" s="68"/>
      <c r="J200" s="68"/>
      <c r="K200" s="68"/>
      <c r="L200" s="68"/>
      <c r="M200" s="69"/>
      <c r="O200" s="161"/>
      <c r="P200" s="162" t="s">
        <v>256</v>
      </c>
      <c r="Q200" s="163"/>
      <c r="R200" s="164"/>
      <c r="S200" s="165"/>
      <c r="U200" s="163"/>
      <c r="V200" s="164"/>
      <c r="W200" s="165"/>
      <c r="X200" s="4"/>
      <c r="Y200" s="32"/>
    </row>
    <row r="201" spans="1:29" ht="14.1" customHeight="1" thickBot="1">
      <c r="A201" s="17">
        <v>57</v>
      </c>
      <c r="B201" s="67"/>
      <c r="C201" s="68"/>
      <c r="D201" s="68"/>
      <c r="E201" s="193"/>
      <c r="F201" s="68"/>
      <c r="H201" s="138" t="s">
        <v>665</v>
      </c>
      <c r="I201" s="68"/>
      <c r="J201" s="68"/>
      <c r="K201" s="68"/>
      <c r="L201" s="68"/>
      <c r="M201" s="69"/>
      <c r="O201" s="161"/>
      <c r="P201" s="162" t="s">
        <v>258</v>
      </c>
      <c r="Q201" s="187"/>
      <c r="R201" s="188"/>
      <c r="S201" s="189"/>
      <c r="U201" s="187"/>
      <c r="V201" s="188"/>
      <c r="W201" s="189"/>
      <c r="X201" s="68"/>
      <c r="Y201" s="32"/>
    </row>
    <row r="202" spans="1:29" ht="14.1" customHeight="1" thickBot="1">
      <c r="A202" s="17">
        <v>58</v>
      </c>
      <c r="B202" s="372"/>
      <c r="C202" s="373"/>
      <c r="D202" s="373"/>
      <c r="E202" s="373"/>
      <c r="F202" s="373"/>
      <c r="G202" s="368"/>
      <c r="H202" s="368" t="s">
        <v>666</v>
      </c>
      <c r="I202" s="373"/>
      <c r="J202" s="373"/>
      <c r="K202" s="373"/>
      <c r="L202" s="373"/>
      <c r="M202" s="374"/>
      <c r="O202" s="161"/>
      <c r="P202" s="113" t="s">
        <v>204</v>
      </c>
      <c r="Q202" s="138" t="s">
        <v>664</v>
      </c>
      <c r="R202" s="4"/>
      <c r="X202" s="68"/>
      <c r="Y202" s="32"/>
    </row>
    <row r="203" spans="1:29" ht="14.1" customHeight="1" thickBot="1">
      <c r="A203" s="17">
        <v>59</v>
      </c>
      <c r="B203" s="67"/>
      <c r="C203" s="146" t="s">
        <v>261</v>
      </c>
      <c r="D203" s="68"/>
      <c r="E203" s="68"/>
      <c r="F203" s="68"/>
      <c r="G203" s="68"/>
      <c r="H203" s="68"/>
      <c r="I203" s="68"/>
      <c r="J203" s="68"/>
      <c r="K203" s="68"/>
      <c r="L203" s="68"/>
      <c r="M203" s="69"/>
      <c r="O203" s="161"/>
      <c r="P203" s="27"/>
      <c r="Q203" s="138" t="s">
        <v>662</v>
      </c>
      <c r="R203" s="4"/>
      <c r="Y203" s="32"/>
    </row>
    <row r="204" spans="1:29" ht="14.1" customHeight="1" thickBot="1">
      <c r="A204" s="17">
        <v>60</v>
      </c>
      <c r="B204" s="67"/>
      <c r="C204" s="162" t="s">
        <v>51</v>
      </c>
      <c r="D204" s="389" t="str">
        <f t="shared" ref="D204:E207" si="27">IF(Q207="","",Q207)</f>
        <v>Mo/Mo</v>
      </c>
      <c r="E204" s="390" t="str">
        <f t="shared" si="27"/>
        <v>W/Rh</v>
      </c>
      <c r="F204" s="68"/>
      <c r="G204" s="68"/>
      <c r="H204" s="68"/>
      <c r="I204" s="68"/>
      <c r="J204" s="68"/>
      <c r="K204" s="68"/>
      <c r="L204" s="68"/>
      <c r="M204" s="69"/>
      <c r="O204" s="161"/>
      <c r="P204" s="4"/>
      <c r="Q204" s="138" t="s">
        <v>260</v>
      </c>
      <c r="R204" s="4"/>
      <c r="Y204" s="32"/>
    </row>
    <row r="205" spans="1:29" ht="14.1" customHeight="1" thickBot="1">
      <c r="A205" s="17">
        <v>61</v>
      </c>
      <c r="B205" s="67"/>
      <c r="C205" s="162" t="s">
        <v>173</v>
      </c>
      <c r="D205" s="391" t="str">
        <f t="shared" si="27"/>
        <v/>
      </c>
      <c r="E205" s="392" t="str">
        <f t="shared" si="27"/>
        <v/>
      </c>
      <c r="F205" s="68"/>
      <c r="G205" s="162" t="s">
        <v>218</v>
      </c>
      <c r="H205" s="144" t="str">
        <f>IF(AND(Q211="",R211=""),"",IF(OR(Q211="Fail",R211="Fail"),"Fail","Pass"))</f>
        <v/>
      </c>
      <c r="I205" s="68"/>
      <c r="J205" s="68"/>
      <c r="K205" s="68"/>
      <c r="L205" s="68"/>
      <c r="M205" s="69"/>
      <c r="O205" s="40"/>
      <c r="P205" s="192"/>
      <c r="Q205" s="192"/>
      <c r="R205" s="41"/>
      <c r="S205" s="41"/>
      <c r="T205" s="41"/>
      <c r="U205" s="41"/>
      <c r="V205" s="41"/>
      <c r="W205" s="41"/>
      <c r="X205" s="41"/>
      <c r="Y205" s="42"/>
    </row>
    <row r="206" spans="1:29" ht="14.1" customHeight="1">
      <c r="A206" s="17">
        <v>62</v>
      </c>
      <c r="B206" s="67"/>
      <c r="C206" s="162" t="s">
        <v>219</v>
      </c>
      <c r="D206" s="391" t="str">
        <f t="shared" si="27"/>
        <v/>
      </c>
      <c r="E206" s="392" t="str">
        <f t="shared" si="27"/>
        <v/>
      </c>
      <c r="F206" s="68"/>
      <c r="G206" s="3"/>
      <c r="H206" s="193"/>
      <c r="I206" s="68"/>
      <c r="J206" s="68"/>
      <c r="K206" s="68"/>
      <c r="L206" s="68"/>
      <c r="M206" s="69"/>
      <c r="O206" s="139" t="s">
        <v>261</v>
      </c>
      <c r="Y206" s="32"/>
    </row>
    <row r="207" spans="1:29" ht="14.1" customHeight="1" thickBot="1">
      <c r="A207" s="17">
        <v>63</v>
      </c>
      <c r="B207" s="67"/>
      <c r="C207" s="162" t="s">
        <v>263</v>
      </c>
      <c r="D207" s="393" t="str">
        <f t="shared" si="27"/>
        <v/>
      </c>
      <c r="E207" s="394" t="str">
        <f t="shared" si="27"/>
        <v/>
      </c>
      <c r="F207" s="68"/>
      <c r="G207" s="68"/>
      <c r="H207" s="68"/>
      <c r="I207" s="68"/>
      <c r="J207" s="68"/>
      <c r="K207" s="68"/>
      <c r="L207" s="68"/>
      <c r="M207" s="69"/>
      <c r="O207" s="30"/>
      <c r="P207" s="35" t="s">
        <v>95</v>
      </c>
      <c r="Q207" s="16" t="s">
        <v>237</v>
      </c>
      <c r="R207" s="16" t="s">
        <v>238</v>
      </c>
      <c r="Y207" s="32"/>
    </row>
    <row r="208" spans="1:29" ht="14.1" customHeight="1">
      <c r="A208" s="17">
        <v>64</v>
      </c>
      <c r="B208" s="67"/>
      <c r="C208" s="3" t="s">
        <v>204</v>
      </c>
      <c r="D208" s="101" t="str">
        <f>Q212</f>
        <v>Limiting system resolution must be 6 lp/mm or higher</v>
      </c>
      <c r="E208" s="68"/>
      <c r="F208" s="68"/>
      <c r="G208" s="68"/>
      <c r="H208" s="68"/>
      <c r="I208" s="68"/>
      <c r="J208" s="68"/>
      <c r="K208" s="68"/>
      <c r="L208" s="68"/>
      <c r="M208" s="69"/>
      <c r="O208" s="30"/>
      <c r="P208" s="35" t="s">
        <v>173</v>
      </c>
      <c r="Q208" s="145"/>
      <c r="R208" s="145"/>
      <c r="Y208" s="32"/>
      <c r="AA208" s="585"/>
      <c r="AB208" s="585"/>
      <c r="AC208" s="585"/>
    </row>
    <row r="209" spans="1:29" ht="14.1" customHeight="1">
      <c r="A209" s="17">
        <v>65</v>
      </c>
      <c r="B209" s="67"/>
      <c r="C209" s="68"/>
      <c r="D209" s="68"/>
      <c r="E209" s="68"/>
      <c r="F209" s="68"/>
      <c r="G209" s="68"/>
      <c r="H209" s="68"/>
      <c r="I209" s="68"/>
      <c r="J209" s="68"/>
      <c r="K209" s="68"/>
      <c r="L209" s="68"/>
      <c r="M209" s="69"/>
      <c r="O209" s="30"/>
      <c r="P209" s="35" t="s">
        <v>219</v>
      </c>
      <c r="Q209" s="145"/>
      <c r="R209" s="145"/>
      <c r="Y209" s="32"/>
      <c r="AA209" s="585"/>
      <c r="AB209" s="585"/>
      <c r="AC209" s="585"/>
    </row>
    <row r="210" spans="1:29" ht="14.1" customHeight="1">
      <c r="A210" s="17">
        <v>66</v>
      </c>
      <c r="B210" s="67"/>
      <c r="C210" s="68"/>
      <c r="D210" s="68"/>
      <c r="E210" s="68"/>
      <c r="F210" s="68"/>
      <c r="G210" s="68"/>
      <c r="H210" s="68"/>
      <c r="I210" s="68"/>
      <c r="J210" s="68"/>
      <c r="K210" s="68"/>
      <c r="L210" s="68"/>
      <c r="M210" s="69"/>
      <c r="O210" s="30"/>
      <c r="P210" s="35" t="s">
        <v>263</v>
      </c>
      <c r="Q210" s="145"/>
      <c r="R210" s="145"/>
      <c r="Y210" s="32"/>
      <c r="AA210" s="585"/>
      <c r="AB210" s="585"/>
      <c r="AC210" s="585"/>
    </row>
    <row r="211" spans="1:29" ht="14.1" customHeight="1">
      <c r="A211" s="17">
        <v>67</v>
      </c>
      <c r="B211" s="67"/>
      <c r="C211" s="68"/>
      <c r="D211" s="68"/>
      <c r="E211" s="68"/>
      <c r="F211" s="68"/>
      <c r="G211" s="68"/>
      <c r="H211" s="68"/>
      <c r="I211" s="68"/>
      <c r="J211" s="68"/>
      <c r="K211" s="68"/>
      <c r="L211" s="68"/>
      <c r="M211" s="69"/>
      <c r="O211" s="30"/>
      <c r="P211" s="35" t="s">
        <v>218</v>
      </c>
      <c r="Q211" s="11" t="str">
        <f>IF(Q210="","",IF(Q210&gt;=7,"Pass","Fail"))</f>
        <v/>
      </c>
      <c r="R211" s="11" t="str">
        <f>IF(R210="","",IF(R210&gt;=7,"Pass","Fail"))</f>
        <v/>
      </c>
      <c r="Y211" s="32"/>
      <c r="AA211" s="585"/>
      <c r="AB211" s="585"/>
      <c r="AC211" s="585"/>
    </row>
    <row r="212" spans="1:29" ht="14.1" customHeight="1">
      <c r="A212" s="17">
        <v>68</v>
      </c>
      <c r="B212" s="67"/>
      <c r="C212" s="68"/>
      <c r="D212" s="68"/>
      <c r="E212" s="68"/>
      <c r="F212" s="68"/>
      <c r="G212" s="68"/>
      <c r="H212" s="68"/>
      <c r="I212" s="68"/>
      <c r="J212" s="68"/>
      <c r="K212" s="68"/>
      <c r="L212" s="68"/>
      <c r="M212" s="69"/>
      <c r="O212" s="30"/>
      <c r="P212" s="3" t="s">
        <v>204</v>
      </c>
      <c r="Q212" s="193" t="s">
        <v>264</v>
      </c>
      <c r="R212" s="68"/>
      <c r="S212" s="68"/>
      <c r="T212" s="68"/>
      <c r="U212" s="68"/>
      <c r="V212" s="68"/>
      <c r="W212" s="68"/>
      <c r="X212" s="68"/>
      <c r="Y212" s="32"/>
      <c r="AA212" s="585"/>
      <c r="AB212" s="585"/>
      <c r="AC212" s="585"/>
    </row>
    <row r="213" spans="1:29" ht="14.1" customHeight="1" thickBot="1">
      <c r="A213" s="17">
        <v>69</v>
      </c>
      <c r="B213" s="67"/>
      <c r="C213" s="68"/>
      <c r="D213" s="68"/>
      <c r="E213" s="68"/>
      <c r="F213" s="68"/>
      <c r="G213" s="68"/>
      <c r="H213" s="68"/>
      <c r="I213" s="68"/>
      <c r="J213" s="68"/>
      <c r="K213" s="68"/>
      <c r="L213" s="68"/>
      <c r="M213" s="69"/>
      <c r="O213" s="40"/>
      <c r="P213" s="41"/>
      <c r="Q213" s="41"/>
      <c r="R213" s="41"/>
      <c r="S213" s="41"/>
      <c r="T213" s="41"/>
      <c r="U213" s="41"/>
      <c r="V213" s="41"/>
      <c r="W213" s="41"/>
      <c r="X213" s="41"/>
      <c r="Y213" s="42"/>
      <c r="AA213" s="585"/>
      <c r="AB213" s="585"/>
      <c r="AC213" s="585"/>
    </row>
    <row r="214" spans="1:29" ht="14.1" customHeight="1" thickBot="1">
      <c r="A214" s="17">
        <v>70</v>
      </c>
      <c r="B214" s="80"/>
      <c r="C214" s="81"/>
      <c r="D214" s="81"/>
      <c r="E214" s="81"/>
      <c r="F214" s="81"/>
      <c r="G214" s="81"/>
      <c r="H214" s="81"/>
      <c r="I214" s="81"/>
      <c r="J214" s="81"/>
      <c r="K214" s="81"/>
      <c r="L214" s="81"/>
      <c r="M214" s="82"/>
      <c r="O214" s="139" t="s">
        <v>265</v>
      </c>
      <c r="Y214" s="32"/>
      <c r="AA214" s="585"/>
      <c r="AB214" s="585"/>
      <c r="AC214" s="585"/>
    </row>
    <row r="215" spans="1:29" ht="14.1" customHeight="1" thickTop="1">
      <c r="A215" s="17">
        <v>71</v>
      </c>
      <c r="C215" s="109" t="s">
        <v>11</v>
      </c>
      <c r="D215" s="375" t="str">
        <f>IF($P$7="","",$P$7)</f>
        <v/>
      </c>
      <c r="E215" s="27"/>
      <c r="F215" s="27"/>
      <c r="G215" s="27"/>
      <c r="H215" s="27"/>
      <c r="I215" s="27"/>
      <c r="J215" s="27"/>
      <c r="K215" s="27"/>
      <c r="L215" s="109" t="s">
        <v>12</v>
      </c>
      <c r="M215" s="376" t="str">
        <f>IF($X$7="","",$X$7)</f>
        <v>Eugene Mah</v>
      </c>
      <c r="O215" s="30" t="s">
        <v>266</v>
      </c>
      <c r="P215" s="137"/>
      <c r="R215" s="35" t="s">
        <v>267</v>
      </c>
      <c r="S215" s="137"/>
      <c r="U215" s="21" t="s">
        <v>95</v>
      </c>
      <c r="V215" s="137"/>
      <c r="Y215" s="32"/>
      <c r="AA215" s="585"/>
      <c r="AB215" s="585"/>
      <c r="AC215" s="585"/>
    </row>
    <row r="216" spans="1:29" ht="14.1" customHeight="1">
      <c r="A216" s="17">
        <v>72</v>
      </c>
      <c r="C216" s="109" t="s">
        <v>121</v>
      </c>
      <c r="D216" s="376" t="str">
        <f>IF($R$14="","",$R$14)</f>
        <v/>
      </c>
      <c r="E216" s="27"/>
      <c r="F216" s="27"/>
      <c r="G216" s="27"/>
      <c r="H216" s="27"/>
      <c r="I216" s="27"/>
      <c r="J216" s="27"/>
      <c r="K216" s="27"/>
      <c r="L216" s="109" t="s">
        <v>37</v>
      </c>
      <c r="M216" s="376" t="str">
        <f>IF($R$13="","",$R$13)</f>
        <v/>
      </c>
      <c r="O216" s="30"/>
      <c r="P216" s="768" t="s">
        <v>70</v>
      </c>
      <c r="U216" s="768"/>
      <c r="W216" s="4"/>
      <c r="Y216" s="32"/>
      <c r="AA216" s="585"/>
      <c r="AB216" s="585"/>
      <c r="AC216" s="585"/>
    </row>
    <row r="217" spans="1:29" ht="14.1" customHeight="1" thickBot="1">
      <c r="A217" s="17">
        <v>1</v>
      </c>
      <c r="M217" s="112" t="str">
        <f>$H$2</f>
        <v>Medical University of South Carolina</v>
      </c>
      <c r="O217" s="30"/>
      <c r="P217" s="768" t="s">
        <v>268</v>
      </c>
      <c r="Q217" s="768" t="s">
        <v>512</v>
      </c>
      <c r="R217" s="768" t="s">
        <v>269</v>
      </c>
      <c r="S217" s="768" t="s">
        <v>72</v>
      </c>
      <c r="T217" s="768" t="s">
        <v>270</v>
      </c>
      <c r="U217" s="768" t="s">
        <v>271</v>
      </c>
      <c r="V217" s="4"/>
      <c r="W217" s="4"/>
      <c r="Y217" s="32"/>
    </row>
    <row r="218" spans="1:29" ht="14.1" customHeight="1" thickBot="1">
      <c r="A218" s="17">
        <v>2</v>
      </c>
      <c r="H218" s="51" t="s">
        <v>73</v>
      </c>
      <c r="M218" s="113" t="str">
        <f>$H$5</f>
        <v>Mammography System Compliance Inspection</v>
      </c>
      <c r="O218" s="30"/>
      <c r="P218" s="194">
        <v>2</v>
      </c>
      <c r="Q218" s="195"/>
      <c r="R218" s="196"/>
      <c r="S218" s="196"/>
      <c r="T218" s="196"/>
      <c r="U218" s="183" t="str">
        <f>IF(OR(T218="",$X$218=""),"",(T218-$X$218)/$X$218)</f>
        <v/>
      </c>
      <c r="V218" s="4"/>
      <c r="W218" s="35" t="s">
        <v>272</v>
      </c>
      <c r="X218" s="197" t="str">
        <f>IF(T218="","",AVERAGE(T218:T220))</f>
        <v/>
      </c>
      <c r="Y218" s="32"/>
    </row>
    <row r="219" spans="1:29" ht="14.1" customHeight="1" thickTop="1" thickBot="1">
      <c r="A219" s="17">
        <v>3</v>
      </c>
      <c r="B219" s="58"/>
      <c r="C219" s="60" t="s">
        <v>265</v>
      </c>
      <c r="D219" s="59"/>
      <c r="E219" s="59"/>
      <c r="F219" s="59"/>
      <c r="G219" s="59"/>
      <c r="H219" s="59"/>
      <c r="I219" s="59"/>
      <c r="J219" s="59"/>
      <c r="K219" s="59"/>
      <c r="L219" s="59"/>
      <c r="M219" s="61"/>
      <c r="O219" s="30"/>
      <c r="P219" s="198">
        <v>4</v>
      </c>
      <c r="Q219" s="199"/>
      <c r="R219" s="145"/>
      <c r="S219" s="145"/>
      <c r="T219" s="145"/>
      <c r="U219" s="182" t="str">
        <f>IF(OR(T219="",$X$218=""),"",(T219-$X$218)/$X$218)</f>
        <v/>
      </c>
      <c r="V219" s="4"/>
      <c r="W219" s="35" t="s">
        <v>273</v>
      </c>
      <c r="X219" s="197" t="str">
        <f>IF(T218="","",_xlfn.STDEV.S(T218:T220))</f>
        <v/>
      </c>
      <c r="Y219" s="32"/>
    </row>
    <row r="220" spans="1:29" ht="14.1" customHeight="1" thickBot="1">
      <c r="A220" s="17">
        <v>4</v>
      </c>
      <c r="B220" s="67"/>
      <c r="C220" s="162" t="s">
        <v>266</v>
      </c>
      <c r="D220" s="140" t="str">
        <f>IF(P215="","",P215)</f>
        <v/>
      </c>
      <c r="E220" s="68"/>
      <c r="F220" s="162" t="s">
        <v>267</v>
      </c>
      <c r="G220" s="140" t="str">
        <f>IF(S215="","",S215)</f>
        <v/>
      </c>
      <c r="H220" s="68"/>
      <c r="I220" s="68" t="s">
        <v>95</v>
      </c>
      <c r="J220" s="140" t="str">
        <f>IF(V215="","",V215)</f>
        <v/>
      </c>
      <c r="K220" s="68"/>
      <c r="L220" s="68"/>
      <c r="M220" s="69"/>
      <c r="O220" s="30"/>
      <c r="P220" s="201">
        <v>6</v>
      </c>
      <c r="Q220" s="202"/>
      <c r="R220" s="203"/>
      <c r="S220" s="203"/>
      <c r="T220" s="203"/>
      <c r="U220" s="185" t="str">
        <f>IF(OR(T220="",$X$218=""),"",(T220-$X$218)/$X$218)</f>
        <v/>
      </c>
      <c r="V220" s="4"/>
      <c r="W220" s="35" t="s">
        <v>274</v>
      </c>
      <c r="X220" s="200" t="str">
        <f>IF(OR(X218="",X219=""),"",X219/X218)</f>
        <v/>
      </c>
      <c r="Y220" s="32"/>
    </row>
    <row r="221" spans="1:29" ht="14.1" customHeight="1" thickBot="1">
      <c r="A221" s="17">
        <v>5</v>
      </c>
      <c r="B221" s="67"/>
      <c r="C221" s="107" t="s">
        <v>70</v>
      </c>
      <c r="D221" s="68"/>
      <c r="E221" s="68"/>
      <c r="F221" s="68"/>
      <c r="G221" s="68"/>
      <c r="H221" s="107"/>
      <c r="I221" s="68"/>
      <c r="J221" s="333"/>
      <c r="K221" s="68"/>
      <c r="L221" s="68"/>
      <c r="M221" s="69"/>
      <c r="O221" s="30"/>
      <c r="P221"/>
      <c r="Q221"/>
      <c r="R221"/>
      <c r="S221"/>
      <c r="T221"/>
      <c r="U221"/>
      <c r="V221" s="4"/>
      <c r="W221" s="68" t="s">
        <v>218</v>
      </c>
      <c r="X221" s="377" t="str">
        <f>IF(U218="","",IF(AND(ABS(U218)&lt;0.1,ABS(U219)&lt;0.1,ABS(U220)&lt;0.1,X220&lt;0.5),"Pass","Fail"))</f>
        <v/>
      </c>
      <c r="Y221" s="32"/>
    </row>
    <row r="222" spans="1:29" ht="14.1" customHeight="1" thickBot="1">
      <c r="A222" s="17">
        <v>6</v>
      </c>
      <c r="B222" s="67"/>
      <c r="C222" s="107" t="s">
        <v>268</v>
      </c>
      <c r="D222" s="107" t="s">
        <v>512</v>
      </c>
      <c r="E222" s="107" t="s">
        <v>269</v>
      </c>
      <c r="F222" s="107" t="s">
        <v>72</v>
      </c>
      <c r="G222" s="107" t="s">
        <v>270</v>
      </c>
      <c r="H222" s="107" t="s">
        <v>271</v>
      </c>
      <c r="I222" s="107"/>
      <c r="J222" s="333"/>
      <c r="K222" s="68"/>
      <c r="L222" s="68"/>
      <c r="M222" s="69"/>
      <c r="O222" s="30"/>
      <c r="P222" s="113" t="s">
        <v>204</v>
      </c>
      <c r="Q222" s="138" t="s">
        <v>277</v>
      </c>
      <c r="S222" s="4"/>
      <c r="T222" s="4"/>
      <c r="W222" s="4"/>
      <c r="Y222" s="32"/>
    </row>
    <row r="223" spans="1:29" ht="14.1" customHeight="1">
      <c r="A223" s="17">
        <v>7</v>
      </c>
      <c r="B223" s="67"/>
      <c r="C223" s="389">
        <f t="shared" ref="C223:H225" si="28">IF(P218="","",P218)</f>
        <v>2</v>
      </c>
      <c r="D223" s="395" t="str">
        <f t="shared" si="28"/>
        <v/>
      </c>
      <c r="E223" s="395" t="str">
        <f t="shared" si="28"/>
        <v/>
      </c>
      <c r="F223" s="395" t="str">
        <f t="shared" si="28"/>
        <v/>
      </c>
      <c r="G223" s="395" t="str">
        <f t="shared" si="28"/>
        <v/>
      </c>
      <c r="H223" s="396" t="str">
        <f t="shared" si="28"/>
        <v/>
      </c>
      <c r="I223" s="334"/>
      <c r="J223" s="162" t="s">
        <v>272</v>
      </c>
      <c r="K223" s="303" t="str">
        <f>IF(X218="","",X218)</f>
        <v/>
      </c>
      <c r="L223" s="68"/>
      <c r="M223" s="69"/>
      <c r="O223" s="30"/>
      <c r="P223" s="4"/>
      <c r="Q223" s="138" t="s">
        <v>278</v>
      </c>
      <c r="S223" s="4"/>
      <c r="T223" s="4"/>
      <c r="W223" s="4"/>
      <c r="Y223" s="32"/>
    </row>
    <row r="224" spans="1:29" ht="14.1" customHeight="1">
      <c r="A224" s="17">
        <v>8</v>
      </c>
      <c r="B224" s="67"/>
      <c r="C224" s="391">
        <f t="shared" si="28"/>
        <v>4</v>
      </c>
      <c r="D224" s="11" t="str">
        <f t="shared" si="28"/>
        <v/>
      </c>
      <c r="E224" s="11" t="str">
        <f t="shared" si="28"/>
        <v/>
      </c>
      <c r="F224" s="11" t="str">
        <f t="shared" si="28"/>
        <v/>
      </c>
      <c r="G224" s="11" t="str">
        <f t="shared" si="28"/>
        <v/>
      </c>
      <c r="H224" s="397" t="str">
        <f t="shared" si="28"/>
        <v/>
      </c>
      <c r="I224" s="334"/>
      <c r="J224" s="162" t="s">
        <v>273</v>
      </c>
      <c r="K224" s="303" t="str">
        <f>IF(X219="","",X219)</f>
        <v/>
      </c>
      <c r="L224" s="68"/>
      <c r="M224" s="69"/>
      <c r="O224" s="96"/>
      <c r="P224" s="21" t="s">
        <v>279</v>
      </c>
      <c r="Q224" s="4"/>
      <c r="R224" s="4"/>
      <c r="S224" s="4"/>
      <c r="T224" s="4"/>
      <c r="U224" s="4"/>
      <c r="V224" s="4"/>
      <c r="W224" s="4"/>
      <c r="Y224" s="32"/>
    </row>
    <row r="225" spans="1:27" ht="14.1" customHeight="1" thickBot="1">
      <c r="A225" s="17">
        <v>9</v>
      </c>
      <c r="B225" s="67"/>
      <c r="C225" s="393">
        <f t="shared" si="28"/>
        <v>6</v>
      </c>
      <c r="D225" s="398" t="str">
        <f t="shared" si="28"/>
        <v/>
      </c>
      <c r="E225" s="756" t="str">
        <f t="shared" si="28"/>
        <v/>
      </c>
      <c r="F225" s="756" t="str">
        <f t="shared" si="28"/>
        <v/>
      </c>
      <c r="G225" s="756" t="str">
        <f t="shared" si="28"/>
        <v/>
      </c>
      <c r="H225" s="757" t="str">
        <f t="shared" si="28"/>
        <v/>
      </c>
      <c r="I225" s="334"/>
      <c r="J225" s="162" t="s">
        <v>274</v>
      </c>
      <c r="K225" s="399" t="str">
        <f>IF(X220="","",X220)</f>
        <v/>
      </c>
      <c r="L225" s="68"/>
      <c r="M225" s="69"/>
      <c r="O225" s="96"/>
      <c r="P225" s="21" t="s">
        <v>280</v>
      </c>
      <c r="Q225" s="4"/>
      <c r="R225" s="4"/>
      <c r="S225" s="4"/>
      <c r="T225" s="4"/>
      <c r="U225" s="4"/>
      <c r="V225" s="4" t="str">
        <f>IF(OR(T225="",$X$218=""),"",(T225-$X$218)/$X$218)</f>
        <v/>
      </c>
      <c r="W225" s="4"/>
      <c r="Y225" s="32"/>
    </row>
    <row r="226" spans="1:27" ht="14.1" customHeight="1" thickBot="1">
      <c r="A226" s="17">
        <v>10</v>
      </c>
      <c r="B226" s="67"/>
      <c r="C226" s="3" t="s">
        <v>204</v>
      </c>
      <c r="D226" s="101" t="s">
        <v>277</v>
      </c>
      <c r="E226" s="369"/>
      <c r="F226" s="369"/>
      <c r="G226" s="369"/>
      <c r="H226" s="758"/>
      <c r="I226" s="334"/>
      <c r="J226" s="68" t="s">
        <v>218</v>
      </c>
      <c r="K226" s="377" t="str">
        <f>IF(X221="","",X221)</f>
        <v/>
      </c>
      <c r="L226" s="68"/>
      <c r="M226" s="69"/>
      <c r="O226" s="30"/>
      <c r="P226" s="4"/>
      <c r="Q226" s="4"/>
      <c r="R226" s="4"/>
      <c r="S226" s="4"/>
      <c r="T226" s="4"/>
      <c r="U226" s="4"/>
      <c r="V226" s="4"/>
      <c r="W226" s="4"/>
      <c r="Y226" s="32"/>
    </row>
    <row r="227" spans="1:27" ht="14.1" customHeight="1">
      <c r="A227" s="17">
        <v>11</v>
      </c>
      <c r="B227" s="67"/>
      <c r="C227" s="107"/>
      <c r="D227" s="101" t="s">
        <v>278</v>
      </c>
      <c r="E227" s="107"/>
      <c r="F227" s="107"/>
      <c r="G227" s="107"/>
      <c r="H227" s="107"/>
      <c r="I227" s="334"/>
      <c r="J227" s="333"/>
      <c r="K227" s="68"/>
      <c r="L227" s="68"/>
      <c r="M227" s="69"/>
      <c r="O227" s="139" t="s">
        <v>281</v>
      </c>
      <c r="P227" s="4"/>
      <c r="Q227" s="4"/>
      <c r="R227" s="4"/>
      <c r="S227" s="4"/>
      <c r="T227" s="4"/>
      <c r="U227" s="4"/>
      <c r="V227" s="4"/>
      <c r="Y227" s="32"/>
    </row>
    <row r="228" spans="1:27" ht="14.1" customHeight="1" thickBot="1">
      <c r="A228" s="17">
        <v>12</v>
      </c>
      <c r="B228" s="67"/>
      <c r="E228" s="107"/>
      <c r="F228" s="107"/>
      <c r="G228" s="107"/>
      <c r="H228" s="107"/>
      <c r="I228" s="334"/>
      <c r="J228" s="333"/>
      <c r="K228" s="68"/>
      <c r="L228" s="68"/>
      <c r="M228" s="69"/>
      <c r="O228" s="30" t="s">
        <v>266</v>
      </c>
      <c r="P228" s="137"/>
      <c r="R228" s="21" t="s">
        <v>95</v>
      </c>
      <c r="S228" s="137"/>
      <c r="T228" s="162" t="s">
        <v>173</v>
      </c>
      <c r="U228" s="137"/>
      <c r="Y228" s="32"/>
    </row>
    <row r="229" spans="1:27" ht="14.1" customHeight="1" thickBot="1">
      <c r="A229" s="17">
        <v>13</v>
      </c>
      <c r="B229" s="67"/>
      <c r="C229" s="377" t="str">
        <f>IF(O224="","TBD",IF(O224=1,"YES",IF(O224=3,"NA","")))</f>
        <v>TBD</v>
      </c>
      <c r="D229" s="68" t="s">
        <v>279</v>
      </c>
      <c r="E229" s="107"/>
      <c r="F229" s="107"/>
      <c r="G229" s="107"/>
      <c r="H229" s="107"/>
      <c r="I229" s="107"/>
      <c r="J229" s="334"/>
      <c r="K229" s="333"/>
      <c r="L229" s="68"/>
      <c r="M229" s="69"/>
      <c r="O229" s="30"/>
      <c r="Y229" s="32"/>
    </row>
    <row r="230" spans="1:27" ht="14.1" customHeight="1" thickBot="1">
      <c r="A230" s="17">
        <v>14</v>
      </c>
      <c r="B230" s="67"/>
      <c r="C230" s="377" t="str">
        <f>IF(O225="","TBD",IF(O225=1,"YES",IF(O225=3,"NA","")))</f>
        <v>TBD</v>
      </c>
      <c r="D230" s="68" t="s">
        <v>280</v>
      </c>
      <c r="E230" s="107"/>
      <c r="F230" s="107"/>
      <c r="G230" s="107"/>
      <c r="H230" s="107"/>
      <c r="I230" s="107"/>
      <c r="J230" s="334"/>
      <c r="K230" s="333"/>
      <c r="L230" s="68"/>
      <c r="M230" s="69"/>
      <c r="O230" s="30"/>
      <c r="P230" s="770"/>
      <c r="R230" s="35"/>
      <c r="S230" s="770"/>
      <c r="T230" s="768"/>
      <c r="U230" s="4"/>
      <c r="V230" s="768" t="s">
        <v>282</v>
      </c>
      <c r="Y230" s="32"/>
    </row>
    <row r="231" spans="1:27" ht="14.1" customHeight="1" thickBot="1">
      <c r="A231" s="17">
        <v>15</v>
      </c>
      <c r="B231" s="372"/>
      <c r="C231" s="373"/>
      <c r="D231" s="373"/>
      <c r="E231" s="373"/>
      <c r="F231" s="373"/>
      <c r="G231" s="429"/>
      <c r="H231" s="430"/>
      <c r="I231" s="373"/>
      <c r="J231" s="373"/>
      <c r="K231" s="431"/>
      <c r="L231" s="373"/>
      <c r="M231" s="374"/>
      <c r="O231" s="30"/>
      <c r="P231" s="768" t="s">
        <v>72</v>
      </c>
      <c r="Q231" s="768" t="s">
        <v>283</v>
      </c>
      <c r="R231" s="768" t="s">
        <v>284</v>
      </c>
      <c r="S231" s="768" t="s">
        <v>285</v>
      </c>
      <c r="T231" s="768" t="s">
        <v>286</v>
      </c>
      <c r="U231" s="768" t="s">
        <v>287</v>
      </c>
      <c r="V231" s="21" t="s">
        <v>27</v>
      </c>
      <c r="X231" s="768" t="s">
        <v>288</v>
      </c>
      <c r="Y231" s="209" t="s">
        <v>289</v>
      </c>
    </row>
    <row r="232" spans="1:27" ht="14.1" customHeight="1">
      <c r="A232" s="17">
        <v>16</v>
      </c>
      <c r="B232" s="67"/>
      <c r="C232" s="146" t="s">
        <v>281</v>
      </c>
      <c r="D232" s="68"/>
      <c r="E232" s="68"/>
      <c r="F232" s="68"/>
      <c r="G232" s="68"/>
      <c r="H232" s="68"/>
      <c r="I232" s="68"/>
      <c r="J232" s="68"/>
      <c r="K232" s="68"/>
      <c r="L232" s="68"/>
      <c r="M232" s="69"/>
      <c r="O232" s="30"/>
      <c r="P232" s="163"/>
      <c r="Q232" s="164"/>
      <c r="R232" s="164"/>
      <c r="S232" s="164"/>
      <c r="T232" s="210" t="str">
        <f>IF(OR(R232="",S232=""),"",(R232-50)/S232)</f>
        <v/>
      </c>
      <c r="U232" s="211" t="str">
        <f>IF(OR(Q232="",R232="",S232=""),"",(R232-Q232)/S232)</f>
        <v/>
      </c>
      <c r="V232" s="733" t="str">
        <f>IF($V$385="","",$V$385*P232)</f>
        <v/>
      </c>
      <c r="X232" s="212" t="str">
        <f>IF(OR(Q232="",$Q$237=""),"",ABS(Q232-$Q$237)/$Q$237)</f>
        <v/>
      </c>
      <c r="Y232" s="213" t="str">
        <f>IF(OR(T232="",$T$237=""),"",ABS(T232-$T$237)/$T$237)</f>
        <v/>
      </c>
      <c r="AA232" s="236"/>
    </row>
    <row r="233" spans="1:27" ht="14.1" customHeight="1">
      <c r="A233" s="17">
        <v>17</v>
      </c>
      <c r="B233" s="67"/>
      <c r="C233" s="162" t="s">
        <v>266</v>
      </c>
      <c r="D233" s="140" t="str">
        <f>IF(P228="","",P228)</f>
        <v/>
      </c>
      <c r="E233" s="68"/>
      <c r="F233" s="68" t="s">
        <v>95</v>
      </c>
      <c r="G233" s="140" t="str">
        <f>IF(S228="","",S228)</f>
        <v/>
      </c>
      <c r="H233" s="162" t="s">
        <v>173</v>
      </c>
      <c r="I233" s="140" t="str">
        <f>IF(U228="","",U228)</f>
        <v/>
      </c>
      <c r="J233" s="68"/>
      <c r="K233" s="68"/>
      <c r="L233" s="68"/>
      <c r="M233" s="69"/>
      <c r="O233" s="30"/>
      <c r="P233" s="166"/>
      <c r="Q233" s="167"/>
      <c r="R233" s="167"/>
      <c r="S233" s="167"/>
      <c r="T233" s="70" t="str">
        <f>IF(OR(R233="",S233=""),"",(R233-50)/S233)</f>
        <v/>
      </c>
      <c r="U233" s="71" t="str">
        <f>IF(OR(Q233="",R233="",S233=""),"",(R233-Q233)/S233)</f>
        <v/>
      </c>
      <c r="V233" s="734" t="str">
        <f>IF($V$385="","",$V$385*P233)</f>
        <v/>
      </c>
      <c r="X233" s="212" t="str">
        <f>IF(OR(Q233="",$Q$237=""),"",ABS(Q233-$Q$237)/$Q$237)</f>
        <v/>
      </c>
      <c r="Y233" s="213" t="str">
        <f>IF(OR(T233="",$T$237=""),"",ABS(T233-$T$237)/$T$237)</f>
        <v/>
      </c>
      <c r="AA233" s="236"/>
    </row>
    <row r="234" spans="1:27" ht="14.1" customHeight="1">
      <c r="A234" s="17">
        <v>18</v>
      </c>
      <c r="B234" s="67"/>
      <c r="C234" s="68"/>
      <c r="D234" s="68"/>
      <c r="E234" s="68"/>
      <c r="F234" s="68"/>
      <c r="G234" s="68"/>
      <c r="H234" s="68"/>
      <c r="I234" s="107"/>
      <c r="J234" s="68"/>
      <c r="K234" s="68"/>
      <c r="L234" s="68"/>
      <c r="M234" s="69"/>
      <c r="O234" s="30"/>
      <c r="P234" s="166"/>
      <c r="Q234" s="167"/>
      <c r="R234" s="167"/>
      <c r="S234" s="167"/>
      <c r="T234" s="70" t="str">
        <f>IF(OR(R234="",S234=""),"",(R234-50)/S234)</f>
        <v/>
      </c>
      <c r="U234" s="71" t="str">
        <f>IF(OR(Q234="",R234="",S234=""),"",(R234-Q234)/S234)</f>
        <v/>
      </c>
      <c r="V234" s="734" t="str">
        <f>IF($V$385="","",$V$385*P234)</f>
        <v/>
      </c>
      <c r="X234" s="212" t="str">
        <f>IF(OR(Q234="",$Q$237=""),"",ABS(Q234-$Q$237)/$Q$237)</f>
        <v/>
      </c>
      <c r="Y234" s="213" t="str">
        <f>IF(OR(T234="",$T$237=""),"",ABS(T234-$T$237)/$T$237)</f>
        <v/>
      </c>
      <c r="AA234" s="236"/>
    </row>
    <row r="235" spans="1:27" ht="14.1" customHeight="1" thickBot="1">
      <c r="A235" s="17">
        <v>19</v>
      </c>
      <c r="B235" s="67"/>
      <c r="C235" s="68"/>
      <c r="D235" s="584"/>
      <c r="E235" s="68"/>
      <c r="F235" s="162"/>
      <c r="G235" s="584"/>
      <c r="H235" s="107"/>
      <c r="I235" s="333"/>
      <c r="J235" s="68" t="s">
        <v>282</v>
      </c>
      <c r="K235" s="68"/>
      <c r="L235" s="68"/>
      <c r="M235" s="69"/>
      <c r="O235" s="30"/>
      <c r="P235" s="166"/>
      <c r="Q235" s="167"/>
      <c r="R235" s="167"/>
      <c r="S235" s="167"/>
      <c r="T235" s="70" t="str">
        <f>IF(OR(R235="",S235=""),"",(R235-50)/S235)</f>
        <v/>
      </c>
      <c r="U235" s="71" t="str">
        <f>IF(OR(Q235="",R235="",S235=""),"",(R235-Q235)/S235)</f>
        <v/>
      </c>
      <c r="V235" s="734" t="str">
        <f>IF($V$385="","",$V$385*P235)</f>
        <v/>
      </c>
      <c r="X235" s="212" t="str">
        <f>IF(OR(Q235="",$Q$237=""),"",ABS(Q235-$Q$237)/$Q$237)</f>
        <v/>
      </c>
      <c r="Y235" s="213" t="str">
        <f>IF(OR(T235="",$T$237=""),"",ABS(T235-$T$237)/$T$237)</f>
        <v/>
      </c>
      <c r="AA235" s="236"/>
    </row>
    <row r="236" spans="1:27" ht="14.1" customHeight="1" thickBot="1">
      <c r="A236" s="17">
        <v>20</v>
      </c>
      <c r="B236" s="67"/>
      <c r="C236" s="68"/>
      <c r="D236" s="449" t="s">
        <v>72</v>
      </c>
      <c r="E236" s="427" t="s">
        <v>283</v>
      </c>
      <c r="F236" s="427" t="s">
        <v>284</v>
      </c>
      <c r="G236" s="427" t="s">
        <v>285</v>
      </c>
      <c r="H236" s="427" t="s">
        <v>286</v>
      </c>
      <c r="I236" s="427" t="s">
        <v>287</v>
      </c>
      <c r="J236" s="428" t="s">
        <v>27</v>
      </c>
      <c r="K236" s="386" t="s">
        <v>288</v>
      </c>
      <c r="L236" s="401" t="s">
        <v>289</v>
      </c>
      <c r="M236" s="69"/>
      <c r="O236" s="30"/>
      <c r="P236" s="214"/>
      <c r="Q236" s="215"/>
      <c r="R236" s="215"/>
      <c r="S236" s="215"/>
      <c r="T236" s="216" t="str">
        <f>IF(OR(R236="",S236=""),"",(R236-50)/S236)</f>
        <v/>
      </c>
      <c r="U236" s="217" t="str">
        <f>IF(OR(Q236="",R236="",S236=""),"",(R236-Q236)/S236)</f>
        <v/>
      </c>
      <c r="V236" s="735" t="str">
        <f>IF($V$385="","",$V$385*P236)</f>
        <v/>
      </c>
      <c r="X236" s="212" t="str">
        <f>IF(OR(Q236="",$Q$237=""),"",ABS(Q236-$Q$237)/$Q$237)</f>
        <v/>
      </c>
      <c r="Y236" s="213" t="str">
        <f>IF(OR(T236="",$T$237=""),"",ABS(T236-$T$237)/$T$237)</f>
        <v/>
      </c>
      <c r="AA236" s="236"/>
    </row>
    <row r="237" spans="1:27" ht="14.1" customHeight="1" thickBot="1">
      <c r="A237" s="17">
        <v>21</v>
      </c>
      <c r="B237" s="67"/>
      <c r="C237" s="68"/>
      <c r="D237" s="424" t="str">
        <f t="shared" ref="D237:J244" si="29">IF(P232="","",P232)</f>
        <v/>
      </c>
      <c r="E237" s="425" t="str">
        <f t="shared" si="29"/>
        <v/>
      </c>
      <c r="F237" s="425" t="str">
        <f t="shared" si="29"/>
        <v/>
      </c>
      <c r="G237" s="425" t="str">
        <f t="shared" si="29"/>
        <v/>
      </c>
      <c r="H237" s="425" t="str">
        <f t="shared" si="29"/>
        <v/>
      </c>
      <c r="I237" s="425" t="str">
        <f t="shared" si="29"/>
        <v/>
      </c>
      <c r="J237" s="426" t="str">
        <f t="shared" si="29"/>
        <v/>
      </c>
      <c r="K237" s="415" t="str">
        <f t="shared" ref="K237:L243" si="30">IF(X232="","",X232)</f>
        <v/>
      </c>
      <c r="L237" s="420" t="str">
        <f t="shared" si="30"/>
        <v/>
      </c>
      <c r="M237" s="69"/>
      <c r="O237" s="161" t="s">
        <v>272</v>
      </c>
      <c r="P237" s="219" t="str">
        <f t="shared" ref="P237:V237" si="31">IF(P232="","",AVERAGE(P232:P236))</f>
        <v/>
      </c>
      <c r="Q237" s="210" t="str">
        <f t="shared" si="31"/>
        <v/>
      </c>
      <c r="R237" s="210" t="str">
        <f t="shared" si="31"/>
        <v/>
      </c>
      <c r="S237" s="210" t="str">
        <f t="shared" si="31"/>
        <v/>
      </c>
      <c r="T237" s="210" t="str">
        <f t="shared" si="31"/>
        <v/>
      </c>
      <c r="U237" s="211" t="str">
        <f t="shared" si="31"/>
        <v/>
      </c>
      <c r="V237" s="220" t="str">
        <f t="shared" si="31"/>
        <v/>
      </c>
      <c r="W237" s="35" t="s">
        <v>292</v>
      </c>
      <c r="X237" s="200" t="str">
        <f>IF(X232="","",MAX(X232:X236))</f>
        <v/>
      </c>
      <c r="Y237" s="200" t="str">
        <f>IF(Y232="","",MAX(Y232:Y236))</f>
        <v/>
      </c>
      <c r="AA237" s="236"/>
    </row>
    <row r="238" spans="1:27" ht="14.1" customHeight="1" thickBot="1">
      <c r="A238" s="17">
        <v>22</v>
      </c>
      <c r="B238" s="67"/>
      <c r="C238" s="68"/>
      <c r="D238" s="402" t="str">
        <f t="shared" si="29"/>
        <v/>
      </c>
      <c r="E238" s="400" t="str">
        <f t="shared" si="29"/>
        <v/>
      </c>
      <c r="F238" s="400" t="str">
        <f t="shared" si="29"/>
        <v/>
      </c>
      <c r="G238" s="400" t="str">
        <f t="shared" si="29"/>
        <v/>
      </c>
      <c r="H238" s="400" t="str">
        <f t="shared" si="29"/>
        <v/>
      </c>
      <c r="I238" s="400" t="str">
        <f t="shared" si="29"/>
        <v/>
      </c>
      <c r="J238" s="403" t="str">
        <f t="shared" si="29"/>
        <v/>
      </c>
      <c r="K238" s="415" t="str">
        <f t="shared" si="30"/>
        <v/>
      </c>
      <c r="L238" s="420" t="str">
        <f t="shared" si="30"/>
        <v/>
      </c>
      <c r="M238" s="69"/>
      <c r="O238" s="161" t="s">
        <v>273</v>
      </c>
      <c r="P238" s="222" t="str">
        <f>IF(P232="","",STDEV(P232:P236))</f>
        <v/>
      </c>
      <c r="Q238" s="70" t="str">
        <f t="shared" ref="Q238:V238" si="32">IF(Q232="","",STDEV(Q232:Q236))</f>
        <v/>
      </c>
      <c r="R238" s="70" t="str">
        <f t="shared" si="32"/>
        <v/>
      </c>
      <c r="S238" s="70" t="str">
        <f t="shared" si="32"/>
        <v/>
      </c>
      <c r="T238" s="70" t="str">
        <f t="shared" si="32"/>
        <v/>
      </c>
      <c r="U238" s="71" t="str">
        <f t="shared" si="32"/>
        <v/>
      </c>
      <c r="V238" s="223" t="str">
        <f t="shared" si="32"/>
        <v/>
      </c>
      <c r="X238" s="144" t="str">
        <f>IF(X237="","",IF(X237&lt;=0.15,"Pass","Fail"))</f>
        <v/>
      </c>
      <c r="Y238" s="144" t="str">
        <f>IF(Y237="","",IF(Y237&lt;=0.15,"Pass","Fail"))</f>
        <v/>
      </c>
      <c r="AA238" s="236"/>
    </row>
    <row r="239" spans="1:27" ht="14.1" customHeight="1" thickBot="1">
      <c r="A239" s="17">
        <v>23</v>
      </c>
      <c r="B239" s="67"/>
      <c r="C239" s="68"/>
      <c r="D239" s="402" t="str">
        <f t="shared" si="29"/>
        <v/>
      </c>
      <c r="E239" s="400" t="str">
        <f t="shared" si="29"/>
        <v/>
      </c>
      <c r="F239" s="400" t="str">
        <f t="shared" si="29"/>
        <v/>
      </c>
      <c r="G239" s="400" t="str">
        <f t="shared" si="29"/>
        <v/>
      </c>
      <c r="H239" s="400" t="str">
        <f t="shared" si="29"/>
        <v/>
      </c>
      <c r="I239" s="400" t="str">
        <f t="shared" si="29"/>
        <v/>
      </c>
      <c r="J239" s="403" t="str">
        <f t="shared" si="29"/>
        <v/>
      </c>
      <c r="K239" s="415" t="str">
        <f t="shared" si="30"/>
        <v/>
      </c>
      <c r="L239" s="420" t="str">
        <f t="shared" si="30"/>
        <v/>
      </c>
      <c r="M239" s="69"/>
      <c r="O239" s="161" t="s">
        <v>274</v>
      </c>
      <c r="P239" s="224" t="str">
        <f t="shared" ref="P239:V239" si="33">IF(OR(P237="",P238=""),"",P238/P237)</f>
        <v/>
      </c>
      <c r="Q239" s="225" t="str">
        <f t="shared" si="33"/>
        <v/>
      </c>
      <c r="R239" s="225" t="str">
        <f t="shared" si="33"/>
        <v/>
      </c>
      <c r="S239" s="225" t="str">
        <f t="shared" si="33"/>
        <v/>
      </c>
      <c r="T239" s="225" t="str">
        <f t="shared" si="33"/>
        <v/>
      </c>
      <c r="U239" s="225" t="str">
        <f t="shared" si="33"/>
        <v/>
      </c>
      <c r="V239" s="226" t="str">
        <f t="shared" si="33"/>
        <v/>
      </c>
      <c r="X239" s="768"/>
      <c r="Y239" s="209"/>
      <c r="AA239" s="236"/>
    </row>
    <row r="240" spans="1:27" ht="14.1" customHeight="1" thickBot="1">
      <c r="A240" s="17">
        <v>24</v>
      </c>
      <c r="B240" s="67"/>
      <c r="C240" s="68"/>
      <c r="D240" s="402" t="str">
        <f t="shared" si="29"/>
        <v/>
      </c>
      <c r="E240" s="400" t="str">
        <f t="shared" si="29"/>
        <v/>
      </c>
      <c r="F240" s="400" t="str">
        <f t="shared" si="29"/>
        <v/>
      </c>
      <c r="G240" s="400" t="str">
        <f t="shared" si="29"/>
        <v/>
      </c>
      <c r="H240" s="400" t="str">
        <f t="shared" si="29"/>
        <v/>
      </c>
      <c r="I240" s="400" t="str">
        <f t="shared" si="29"/>
        <v/>
      </c>
      <c r="J240" s="403" t="str">
        <f t="shared" si="29"/>
        <v/>
      </c>
      <c r="K240" s="415" t="str">
        <f t="shared" si="30"/>
        <v/>
      </c>
      <c r="L240" s="420" t="str">
        <f t="shared" si="30"/>
        <v/>
      </c>
      <c r="M240" s="69"/>
      <c r="O240" s="30"/>
      <c r="P240" s="144" t="str">
        <f>IF(P239="","",IF(P239&lt;=0.05,"Pass","Fail"))</f>
        <v/>
      </c>
      <c r="Q240" s="4"/>
      <c r="R240" s="4"/>
      <c r="S240" s="4"/>
      <c r="T240" s="4"/>
      <c r="U240" s="4"/>
      <c r="V240" s="144" t="str">
        <f>IF(V239="","",IF(V239&lt;=0.05,"Pass","Fail"))</f>
        <v/>
      </c>
      <c r="Y240" s="32"/>
      <c r="AA240" s="236"/>
    </row>
    <row r="241" spans="1:27" ht="14.1" customHeight="1" thickBot="1">
      <c r="A241" s="17">
        <v>25</v>
      </c>
      <c r="B241" s="67"/>
      <c r="C241" s="68"/>
      <c r="D241" s="404" t="str">
        <f t="shared" si="29"/>
        <v/>
      </c>
      <c r="E241" s="405" t="str">
        <f t="shared" si="29"/>
        <v/>
      </c>
      <c r="F241" s="405" t="str">
        <f t="shared" si="29"/>
        <v/>
      </c>
      <c r="G241" s="405" t="str">
        <f t="shared" si="29"/>
        <v/>
      </c>
      <c r="H241" s="405" t="str">
        <f t="shared" si="29"/>
        <v/>
      </c>
      <c r="I241" s="405" t="str">
        <f t="shared" si="29"/>
        <v/>
      </c>
      <c r="J241" s="406" t="str">
        <f t="shared" si="29"/>
        <v/>
      </c>
      <c r="K241" s="416" t="str">
        <f t="shared" si="30"/>
        <v/>
      </c>
      <c r="L241" s="432" t="str">
        <f t="shared" si="30"/>
        <v/>
      </c>
      <c r="M241" s="69"/>
      <c r="O241" s="30"/>
      <c r="P241" s="3" t="s">
        <v>204</v>
      </c>
      <c r="Q241" s="101" t="s">
        <v>293</v>
      </c>
      <c r="R241" s="68"/>
      <c r="S241" s="68"/>
      <c r="T241" s="68"/>
      <c r="U241" s="68"/>
      <c r="V241" s="68"/>
      <c r="W241" s="68"/>
      <c r="X241" s="68"/>
      <c r="Y241" s="32"/>
    </row>
    <row r="242" spans="1:27" ht="14.1" customHeight="1" thickBot="1">
      <c r="A242" s="17">
        <v>26</v>
      </c>
      <c r="B242" s="67"/>
      <c r="C242" s="451" t="s">
        <v>272</v>
      </c>
      <c r="D242" s="407" t="str">
        <f t="shared" si="29"/>
        <v/>
      </c>
      <c r="E242" s="408" t="str">
        <f t="shared" si="29"/>
        <v/>
      </c>
      <c r="F242" s="408" t="str">
        <f t="shared" si="29"/>
        <v/>
      </c>
      <c r="G242" s="408" t="str">
        <f t="shared" si="29"/>
        <v/>
      </c>
      <c r="H242" s="408" t="str">
        <f t="shared" si="29"/>
        <v/>
      </c>
      <c r="I242" s="408" t="str">
        <f t="shared" si="29"/>
        <v/>
      </c>
      <c r="J242" s="409" t="str">
        <f t="shared" si="29"/>
        <v/>
      </c>
      <c r="K242" s="417" t="str">
        <f t="shared" si="30"/>
        <v/>
      </c>
      <c r="L242" s="417" t="str">
        <f t="shared" si="30"/>
        <v/>
      </c>
      <c r="M242" s="69"/>
      <c r="O242" s="30"/>
      <c r="P242" s="68"/>
      <c r="Q242" s="101" t="s">
        <v>294</v>
      </c>
      <c r="R242" s="68"/>
      <c r="S242" s="68"/>
      <c r="T242" s="68"/>
      <c r="U242" s="68"/>
      <c r="V242" s="68"/>
      <c r="W242" s="68"/>
      <c r="X242" s="68"/>
      <c r="Y242" s="32"/>
    </row>
    <row r="243" spans="1:27" ht="14.1" customHeight="1" thickBot="1">
      <c r="A243" s="17">
        <v>27</v>
      </c>
      <c r="B243" s="67"/>
      <c r="C243" s="451" t="s">
        <v>273</v>
      </c>
      <c r="D243" s="402" t="str">
        <f t="shared" si="29"/>
        <v/>
      </c>
      <c r="E243" s="400" t="str">
        <f t="shared" si="29"/>
        <v/>
      </c>
      <c r="F243" s="400" t="str">
        <f t="shared" si="29"/>
        <v/>
      </c>
      <c r="G243" s="400" t="str">
        <f t="shared" si="29"/>
        <v/>
      </c>
      <c r="H243" s="400" t="str">
        <f t="shared" si="29"/>
        <v/>
      </c>
      <c r="I243" s="400" t="str">
        <f t="shared" si="29"/>
        <v/>
      </c>
      <c r="J243" s="403" t="str">
        <f t="shared" si="29"/>
        <v/>
      </c>
      <c r="K243" s="417" t="str">
        <f t="shared" si="30"/>
        <v/>
      </c>
      <c r="L243" s="417" t="str">
        <f t="shared" si="30"/>
        <v/>
      </c>
      <c r="M243" s="69"/>
      <c r="O243" s="227"/>
      <c r="P243" s="192"/>
      <c r="Q243" s="192"/>
      <c r="R243" s="192"/>
      <c r="S243" s="192"/>
      <c r="T243" s="192"/>
      <c r="U243" s="192"/>
      <c r="V243" s="192"/>
      <c r="W243" s="192"/>
      <c r="X243" s="192"/>
      <c r="Y243" s="228"/>
    </row>
    <row r="244" spans="1:27" ht="14.1" customHeight="1" thickBot="1">
      <c r="A244" s="17">
        <v>28</v>
      </c>
      <c r="B244" s="67"/>
      <c r="C244" s="161" t="s">
        <v>274</v>
      </c>
      <c r="D244" s="410" t="str">
        <f t="shared" si="29"/>
        <v/>
      </c>
      <c r="E244" s="411" t="str">
        <f t="shared" si="29"/>
        <v/>
      </c>
      <c r="F244" s="411" t="str">
        <f t="shared" si="29"/>
        <v/>
      </c>
      <c r="G244" s="411" t="str">
        <f t="shared" si="29"/>
        <v/>
      </c>
      <c r="H244" s="411" t="str">
        <f t="shared" si="29"/>
        <v/>
      </c>
      <c r="I244" s="411" t="str">
        <f t="shared" si="29"/>
        <v/>
      </c>
      <c r="J244" s="412" t="str">
        <f t="shared" si="29"/>
        <v/>
      </c>
      <c r="K244" s="68"/>
      <c r="L244" s="68"/>
      <c r="M244" s="69"/>
      <c r="O244" s="136" t="s">
        <v>295</v>
      </c>
      <c r="P244" s="229"/>
      <c r="Q244" s="229"/>
      <c r="R244" s="229"/>
      <c r="S244" s="229"/>
      <c r="T244" s="229"/>
      <c r="U244" s="229"/>
      <c r="V244" s="229"/>
      <c r="W244" s="229"/>
      <c r="X244" s="229"/>
      <c r="Y244" s="230"/>
    </row>
    <row r="245" spans="1:27" ht="14.1" customHeight="1" thickBot="1">
      <c r="A245" s="17">
        <v>29</v>
      </c>
      <c r="B245" s="67"/>
      <c r="C245" s="68"/>
      <c r="D245" s="413" t="str">
        <f>IF(P240="","",P240)</f>
        <v/>
      </c>
      <c r="E245" s="108"/>
      <c r="F245" s="108"/>
      <c r="G245" s="108"/>
      <c r="H245" s="108"/>
      <c r="I245" s="108"/>
      <c r="J245" s="413" t="str">
        <f>IF(V240="","",V240)</f>
        <v/>
      </c>
      <c r="K245" s="68"/>
      <c r="L245" s="68"/>
      <c r="M245" s="69"/>
      <c r="O245" s="186"/>
      <c r="P245" s="232" t="s">
        <v>71</v>
      </c>
      <c r="Q245" s="233" t="s">
        <v>237</v>
      </c>
      <c r="R245" s="233" t="s">
        <v>262</v>
      </c>
      <c r="S245" s="233" t="s">
        <v>238</v>
      </c>
      <c r="T245" s="4"/>
      <c r="U245" s="839" t="s">
        <v>296</v>
      </c>
      <c r="V245" s="839"/>
      <c r="W245" s="839"/>
      <c r="X245" s="4"/>
      <c r="Y245" s="234"/>
      <c r="Z245" s="585"/>
      <c r="AA245" s="4"/>
    </row>
    <row r="246" spans="1:27" ht="14.1" customHeight="1">
      <c r="A246" s="17">
        <v>30</v>
      </c>
      <c r="B246" s="67"/>
      <c r="C246" s="3" t="s">
        <v>204</v>
      </c>
      <c r="D246" s="101" t="s">
        <v>293</v>
      </c>
      <c r="E246" s="68"/>
      <c r="F246" s="68"/>
      <c r="G246" s="68"/>
      <c r="H246" s="68"/>
      <c r="I246" s="68"/>
      <c r="J246" s="68"/>
      <c r="K246" s="68"/>
      <c r="L246" s="68"/>
      <c r="M246" s="69"/>
      <c r="O246" s="186"/>
      <c r="P246" s="235" t="s">
        <v>269</v>
      </c>
      <c r="Q246" s="11">
        <v>28</v>
      </c>
      <c r="R246" s="11">
        <v>28</v>
      </c>
      <c r="S246" s="11">
        <v>28</v>
      </c>
      <c r="T246" s="4"/>
      <c r="U246" s="233" t="s">
        <v>237</v>
      </c>
      <c r="V246" s="233" t="s">
        <v>262</v>
      </c>
      <c r="W246" s="233" t="s">
        <v>238</v>
      </c>
      <c r="X246" s="4"/>
      <c r="Y246" s="234"/>
      <c r="Z246" s="585"/>
      <c r="AA246" s="4"/>
    </row>
    <row r="247" spans="1:27" ht="14.1" customHeight="1">
      <c r="A247" s="17">
        <v>31</v>
      </c>
      <c r="B247" s="67"/>
      <c r="C247" s="68"/>
      <c r="D247" s="101" t="s">
        <v>294</v>
      </c>
      <c r="E247" s="68"/>
      <c r="F247" s="68"/>
      <c r="G247" s="68"/>
      <c r="H247" s="68"/>
      <c r="I247" s="68"/>
      <c r="J247" s="68"/>
      <c r="K247" s="68"/>
      <c r="L247" s="68"/>
      <c r="M247" s="69"/>
      <c r="O247" s="186"/>
      <c r="P247" s="235" t="s">
        <v>72</v>
      </c>
      <c r="Q247" s="576" t="str">
        <f>IF(Q163="","",Q163)</f>
        <v/>
      </c>
      <c r="R247" s="576" t="str">
        <f>IF(R163="","",R163)</f>
        <v/>
      </c>
      <c r="S247" s="576" t="str">
        <f>IF(S163="","",S163)</f>
        <v/>
      </c>
      <c r="T247" s="4"/>
      <c r="U247" s="181" t="str">
        <f t="shared" ref="U247:W251" si="34">IF(Q248="","",(Q248-Q$253)/Q$253)</f>
        <v/>
      </c>
      <c r="V247" s="181" t="str">
        <f t="shared" si="34"/>
        <v/>
      </c>
      <c r="W247" s="181" t="str">
        <f t="shared" si="34"/>
        <v/>
      </c>
      <c r="X247" s="4"/>
      <c r="Y247" s="234"/>
      <c r="Z247" s="585"/>
      <c r="AA247" s="27"/>
    </row>
    <row r="248" spans="1:27" ht="14.1" customHeight="1" thickBot="1">
      <c r="A248" s="17">
        <v>32</v>
      </c>
      <c r="B248" s="159"/>
      <c r="C248" s="41"/>
      <c r="D248" s="41"/>
      <c r="E248" s="41"/>
      <c r="F248" s="41"/>
      <c r="G248" s="41"/>
      <c r="H248" s="41"/>
      <c r="I248" s="41"/>
      <c r="J248" s="41"/>
      <c r="K248" s="41"/>
      <c r="L248" s="41"/>
      <c r="M248" s="160"/>
      <c r="O248" s="186"/>
      <c r="P248" s="232" t="s">
        <v>297</v>
      </c>
      <c r="Q248" s="746"/>
      <c r="R248" s="746"/>
      <c r="S248" s="746"/>
      <c r="T248" s="4"/>
      <c r="U248" s="181" t="str">
        <f t="shared" si="34"/>
        <v/>
      </c>
      <c r="V248" s="181" t="str">
        <f t="shared" si="34"/>
        <v/>
      </c>
      <c r="W248" s="181" t="str">
        <f t="shared" si="34"/>
        <v/>
      </c>
      <c r="X248" s="4"/>
      <c r="Y248" s="234"/>
    </row>
    <row r="249" spans="1:27" ht="14.1" customHeight="1" thickBot="1">
      <c r="A249" s="17">
        <v>33</v>
      </c>
      <c r="B249" s="67"/>
      <c r="C249" s="146" t="s">
        <v>295</v>
      </c>
      <c r="D249" s="68"/>
      <c r="E249" s="68"/>
      <c r="F249" s="68"/>
      <c r="G249" s="68"/>
      <c r="H249" s="68"/>
      <c r="I249" s="68"/>
      <c r="J249" s="68"/>
      <c r="K249" s="68"/>
      <c r="L249" s="68"/>
      <c r="M249" s="69"/>
      <c r="O249" s="186"/>
      <c r="P249" s="235" t="s">
        <v>299</v>
      </c>
      <c r="Q249" s="747"/>
      <c r="R249" s="747"/>
      <c r="S249" s="747"/>
      <c r="T249" s="4"/>
      <c r="U249" s="181" t="str">
        <f t="shared" si="34"/>
        <v/>
      </c>
      <c r="V249" s="181" t="str">
        <f t="shared" si="34"/>
        <v/>
      </c>
      <c r="W249" s="181" t="str">
        <f t="shared" si="34"/>
        <v/>
      </c>
      <c r="X249" s="4"/>
      <c r="Y249" s="234"/>
    </row>
    <row r="250" spans="1:27" ht="14.1" customHeight="1">
      <c r="A250" s="17">
        <v>34</v>
      </c>
      <c r="B250" s="67"/>
      <c r="C250" s="421" t="s">
        <v>71</v>
      </c>
      <c r="D250" s="418" t="s">
        <v>237</v>
      </c>
      <c r="E250" s="418" t="s">
        <v>262</v>
      </c>
      <c r="F250" s="419" t="s">
        <v>238</v>
      </c>
      <c r="G250" s="68"/>
      <c r="H250" s="843" t="s">
        <v>296</v>
      </c>
      <c r="I250" s="844"/>
      <c r="J250" s="845"/>
      <c r="K250" s="68"/>
      <c r="L250" s="68"/>
      <c r="M250" s="69"/>
      <c r="O250" s="186"/>
      <c r="P250" s="235" t="s">
        <v>300</v>
      </c>
      <c r="Q250" s="747"/>
      <c r="R250" s="747"/>
      <c r="S250" s="747"/>
      <c r="T250" s="4"/>
      <c r="U250" s="181" t="str">
        <f t="shared" si="34"/>
        <v/>
      </c>
      <c r="V250" s="181" t="str">
        <f t="shared" si="34"/>
        <v/>
      </c>
      <c r="W250" s="181" t="str">
        <f t="shared" si="34"/>
        <v/>
      </c>
      <c r="X250" s="4"/>
      <c r="Y250" s="234"/>
    </row>
    <row r="251" spans="1:27" ht="14.1" customHeight="1">
      <c r="A251" s="17">
        <v>35</v>
      </c>
      <c r="B251" s="67"/>
      <c r="C251" s="422" t="s">
        <v>269</v>
      </c>
      <c r="D251" s="296">
        <v>28</v>
      </c>
      <c r="E251" s="296">
        <v>28</v>
      </c>
      <c r="F251" s="339">
        <v>28</v>
      </c>
      <c r="G251" s="68"/>
      <c r="H251" s="338" t="s">
        <v>237</v>
      </c>
      <c r="I251" s="296" t="s">
        <v>262</v>
      </c>
      <c r="J251" s="339" t="s">
        <v>238</v>
      </c>
      <c r="K251" s="68"/>
      <c r="L251" s="68"/>
      <c r="M251" s="69"/>
      <c r="O251" s="186"/>
      <c r="P251" s="235" t="s">
        <v>302</v>
      </c>
      <c r="Q251" s="747"/>
      <c r="R251" s="747"/>
      <c r="S251" s="747"/>
      <c r="T251" s="4"/>
      <c r="U251" s="181" t="str">
        <f t="shared" si="34"/>
        <v/>
      </c>
      <c r="V251" s="181" t="str">
        <f t="shared" si="34"/>
        <v/>
      </c>
      <c r="W251" s="181" t="str">
        <f t="shared" si="34"/>
        <v/>
      </c>
      <c r="X251" s="4"/>
      <c r="Y251" s="234"/>
    </row>
    <row r="252" spans="1:27" ht="14.1" customHeight="1">
      <c r="A252" s="17">
        <v>36</v>
      </c>
      <c r="B252" s="67"/>
      <c r="C252" s="422" t="s">
        <v>72</v>
      </c>
      <c r="D252" s="296" t="str">
        <f t="shared" ref="D252:D260" si="35">IF(Q247="","",Q247)</f>
        <v/>
      </c>
      <c r="E252" s="296" t="str">
        <f t="shared" ref="E252:E260" si="36">IF(R247="","",R247)</f>
        <v/>
      </c>
      <c r="F252" s="339" t="str">
        <f t="shared" ref="F252:F260" si="37">IF(S247="","",S247)</f>
        <v/>
      </c>
      <c r="G252" s="68"/>
      <c r="H252" s="415" t="str">
        <f t="shared" ref="H252:J256" si="38">IF(U247="","",U247)</f>
        <v/>
      </c>
      <c r="I252" s="15" t="str">
        <f t="shared" si="38"/>
        <v/>
      </c>
      <c r="J252" s="420" t="str">
        <f t="shared" si="38"/>
        <v/>
      </c>
      <c r="K252" s="68"/>
      <c r="L252" s="68"/>
      <c r="M252" s="69"/>
      <c r="O252" s="186"/>
      <c r="P252" s="235" t="s">
        <v>306</v>
      </c>
      <c r="Q252" s="747"/>
      <c r="R252" s="747"/>
      <c r="S252" s="747"/>
      <c r="T252" s="4"/>
      <c r="U252" s="4"/>
      <c r="V252" s="4"/>
      <c r="W252" s="4"/>
      <c r="X252" s="4"/>
      <c r="Y252" s="234"/>
    </row>
    <row r="253" spans="1:27" ht="14.1" customHeight="1">
      <c r="A253" s="17">
        <v>37</v>
      </c>
      <c r="B253" s="67"/>
      <c r="C253" s="422" t="s">
        <v>297</v>
      </c>
      <c r="D253" s="400" t="str">
        <f t="shared" si="35"/>
        <v/>
      </c>
      <c r="E253" s="296" t="str">
        <f t="shared" si="36"/>
        <v/>
      </c>
      <c r="F253" s="339" t="str">
        <f t="shared" si="37"/>
        <v/>
      </c>
      <c r="G253" s="68"/>
      <c r="H253" s="415" t="str">
        <f t="shared" si="38"/>
        <v/>
      </c>
      <c r="I253" s="15" t="str">
        <f t="shared" si="38"/>
        <v/>
      </c>
      <c r="J253" s="420" t="str">
        <f t="shared" si="38"/>
        <v/>
      </c>
      <c r="K253" s="68"/>
      <c r="L253" s="68"/>
      <c r="M253" s="69"/>
      <c r="O253" s="186"/>
      <c r="P253" s="235" t="s">
        <v>308</v>
      </c>
      <c r="Q253" s="106" t="str">
        <f>IF(Q248="","",AVERAGE(Q248:Q252))</f>
        <v/>
      </c>
      <c r="R253" s="106" t="str">
        <f>IF(R248="","",AVERAGE(R248:R252))</f>
        <v/>
      </c>
      <c r="S253" s="106" t="str">
        <f>IF(S248="","",AVERAGE(S248:S252))</f>
        <v/>
      </c>
      <c r="T253" s="4"/>
      <c r="U253" s="4"/>
      <c r="V253" s="4"/>
      <c r="W253" s="4"/>
      <c r="X253" s="4"/>
      <c r="Y253" s="234"/>
    </row>
    <row r="254" spans="1:27" ht="14.1" customHeight="1">
      <c r="A254" s="17">
        <v>38</v>
      </c>
      <c r="B254" s="67"/>
      <c r="C254" s="422" t="s">
        <v>299</v>
      </c>
      <c r="D254" s="400" t="str">
        <f t="shared" si="35"/>
        <v/>
      </c>
      <c r="E254" s="296" t="str">
        <f t="shared" si="36"/>
        <v/>
      </c>
      <c r="F254" s="339" t="str">
        <f t="shared" si="37"/>
        <v/>
      </c>
      <c r="G254" s="68"/>
      <c r="H254" s="415" t="str">
        <f t="shared" si="38"/>
        <v/>
      </c>
      <c r="I254" s="15" t="str">
        <f t="shared" si="38"/>
        <v/>
      </c>
      <c r="J254" s="420" t="str">
        <f t="shared" si="38"/>
        <v/>
      </c>
      <c r="K254" s="68"/>
      <c r="L254" s="68"/>
      <c r="M254" s="69"/>
      <c r="O254" s="186"/>
      <c r="P254" s="235" t="s">
        <v>310</v>
      </c>
      <c r="Q254" s="243" t="str">
        <f>IF(U247="","",MAX(U247:U251))</f>
        <v/>
      </c>
      <c r="R254" s="243" t="str">
        <f t="shared" ref="R254:S254" si="39">IF(V247="","",MAX(V247:V251))</f>
        <v/>
      </c>
      <c r="S254" s="243" t="str">
        <f t="shared" si="39"/>
        <v/>
      </c>
      <c r="T254" s="4"/>
      <c r="U254" s="4"/>
      <c r="V254" s="4"/>
      <c r="W254" s="4"/>
      <c r="X254" s="4"/>
      <c r="Y254" s="234"/>
    </row>
    <row r="255" spans="1:27" ht="14.1" customHeight="1">
      <c r="A255" s="17">
        <v>39</v>
      </c>
      <c r="B255" s="67"/>
      <c r="C255" s="422" t="s">
        <v>300</v>
      </c>
      <c r="D255" s="400" t="str">
        <f t="shared" si="35"/>
        <v/>
      </c>
      <c r="E255" s="296" t="str">
        <f t="shared" si="36"/>
        <v/>
      </c>
      <c r="F255" s="339" t="str">
        <f t="shared" si="37"/>
        <v/>
      </c>
      <c r="G255" s="68"/>
      <c r="H255" s="415" t="str">
        <f t="shared" si="38"/>
        <v/>
      </c>
      <c r="I255" s="15" t="str">
        <f t="shared" si="38"/>
        <v/>
      </c>
      <c r="J255" s="420" t="str">
        <f t="shared" si="38"/>
        <v/>
      </c>
      <c r="K255" s="68"/>
      <c r="L255" s="68"/>
      <c r="M255" s="69"/>
      <c r="O255" s="186"/>
      <c r="Q255" s="2" t="str">
        <f>IF(Q254="","",IF(Q254&lt;=0.07,"Pass","Fail"))</f>
        <v/>
      </c>
      <c r="R255" s="2" t="str">
        <f t="shared" ref="R255:S255" si="40">IF(R254="","",IF(R254&lt;=0.07,"Pass","Fail"))</f>
        <v/>
      </c>
      <c r="S255" s="2" t="str">
        <f t="shared" si="40"/>
        <v/>
      </c>
      <c r="T255" s="4"/>
      <c r="U255" s="4"/>
      <c r="V255" s="4"/>
      <c r="W255" s="4"/>
      <c r="X255" s="4"/>
      <c r="Y255" s="234"/>
    </row>
    <row r="256" spans="1:27" ht="14.1" customHeight="1" thickBot="1">
      <c r="A256" s="17">
        <v>40</v>
      </c>
      <c r="B256" s="67"/>
      <c r="C256" s="422" t="s">
        <v>302</v>
      </c>
      <c r="D256" s="400" t="str">
        <f t="shared" si="35"/>
        <v/>
      </c>
      <c r="E256" s="296" t="str">
        <f t="shared" si="36"/>
        <v/>
      </c>
      <c r="F256" s="339" t="str">
        <f t="shared" si="37"/>
        <v/>
      </c>
      <c r="G256" s="68"/>
      <c r="H256" s="410" t="str">
        <f t="shared" si="38"/>
        <v/>
      </c>
      <c r="I256" s="411" t="str">
        <f t="shared" si="38"/>
        <v/>
      </c>
      <c r="J256" s="412" t="str">
        <f t="shared" si="38"/>
        <v/>
      </c>
      <c r="K256" s="68"/>
      <c r="L256" s="68"/>
      <c r="M256" s="69"/>
      <c r="O256" s="186"/>
      <c r="P256" s="3" t="s">
        <v>204</v>
      </c>
      <c r="Q256" s="138" t="s">
        <v>313</v>
      </c>
      <c r="T256" s="4"/>
      <c r="U256" s="4"/>
      <c r="V256" s="4"/>
      <c r="W256" s="4"/>
      <c r="X256" s="4"/>
      <c r="Y256" s="234"/>
    </row>
    <row r="257" spans="1:37" ht="14.1" customHeight="1" thickBot="1">
      <c r="A257" s="17">
        <v>41</v>
      </c>
      <c r="B257" s="67"/>
      <c r="C257" s="422" t="s">
        <v>306</v>
      </c>
      <c r="D257" s="400" t="str">
        <f t="shared" si="35"/>
        <v/>
      </c>
      <c r="E257" s="296" t="str">
        <f t="shared" si="36"/>
        <v/>
      </c>
      <c r="F257" s="339" t="str">
        <f t="shared" si="37"/>
        <v/>
      </c>
      <c r="G257" s="68"/>
      <c r="H257" s="68"/>
      <c r="I257" s="68"/>
      <c r="J257" s="68"/>
      <c r="K257" s="68"/>
      <c r="L257" s="68"/>
      <c r="M257" s="69"/>
      <c r="O257" s="227"/>
      <c r="P257" s="192"/>
      <c r="Q257" s="192"/>
      <c r="R257" s="192"/>
      <c r="S257" s="192"/>
      <c r="T257" s="192"/>
      <c r="U257" s="192"/>
      <c r="V257" s="192"/>
      <c r="W257" s="192"/>
      <c r="X257" s="192"/>
      <c r="Y257" s="228"/>
    </row>
    <row r="258" spans="1:37" ht="14.1" customHeight="1">
      <c r="A258" s="17">
        <v>42</v>
      </c>
      <c r="B258" s="67"/>
      <c r="C258" s="422" t="s">
        <v>308</v>
      </c>
      <c r="D258" s="400" t="str">
        <f t="shared" si="35"/>
        <v/>
      </c>
      <c r="E258" s="296" t="str">
        <f t="shared" si="36"/>
        <v/>
      </c>
      <c r="F258" s="339" t="str">
        <f t="shared" si="37"/>
        <v/>
      </c>
      <c r="G258" s="68"/>
      <c r="H258" s="68"/>
      <c r="I258" s="68"/>
      <c r="J258" s="68"/>
      <c r="K258" s="68"/>
      <c r="L258" s="68"/>
      <c r="M258" s="69"/>
      <c r="O258" s="136" t="s">
        <v>582</v>
      </c>
      <c r="P258" s="23"/>
      <c r="Q258" s="23"/>
      <c r="R258" s="23"/>
      <c r="S258" s="23"/>
      <c r="T258" s="23"/>
      <c r="U258" s="23"/>
      <c r="V258" s="23"/>
      <c r="W258" s="23"/>
      <c r="X258" s="23"/>
      <c r="Y258" s="24"/>
    </row>
    <row r="259" spans="1:37" ht="14.1" customHeight="1" thickBot="1">
      <c r="A259" s="17">
        <v>43</v>
      </c>
      <c r="B259" s="67"/>
      <c r="C259" s="423" t="s">
        <v>310</v>
      </c>
      <c r="D259" s="411" t="str">
        <f t="shared" si="35"/>
        <v/>
      </c>
      <c r="E259" s="411" t="str">
        <f t="shared" si="36"/>
        <v/>
      </c>
      <c r="F259" s="412" t="str">
        <f t="shared" si="37"/>
        <v/>
      </c>
      <c r="G259" s="68"/>
      <c r="H259" s="68"/>
      <c r="I259" s="68"/>
      <c r="J259" s="68"/>
      <c r="K259" s="68"/>
      <c r="L259" s="68"/>
      <c r="M259" s="69"/>
      <c r="O259" s="30"/>
      <c r="P259" s="162" t="s">
        <v>298</v>
      </c>
      <c r="Q259" s="1"/>
      <c r="R259" s="68"/>
      <c r="S259" s="162" t="s">
        <v>173</v>
      </c>
      <c r="T259" s="137"/>
      <c r="U259" s="68"/>
      <c r="V259" s="333"/>
      <c r="W259" s="333"/>
      <c r="X259" s="68"/>
      <c r="Y259" s="32"/>
      <c r="AA259" s="4"/>
    </row>
    <row r="260" spans="1:37" ht="14.1" customHeight="1" thickBot="1">
      <c r="A260" s="17">
        <v>44</v>
      </c>
      <c r="B260" s="67"/>
      <c r="C260" s="68"/>
      <c r="D260" s="377" t="str">
        <f t="shared" si="35"/>
        <v/>
      </c>
      <c r="E260" s="377" t="str">
        <f t="shared" si="36"/>
        <v/>
      </c>
      <c r="F260" s="377" t="str">
        <f t="shared" si="37"/>
        <v/>
      </c>
      <c r="G260" s="68"/>
      <c r="H260" s="68"/>
      <c r="I260" s="68"/>
      <c r="J260" s="68"/>
      <c r="K260" s="68"/>
      <c r="L260" s="68"/>
      <c r="M260" s="69"/>
      <c r="O260" s="30"/>
      <c r="P260" s="162" t="s">
        <v>95</v>
      </c>
      <c r="Q260" s="137"/>
      <c r="R260" s="68"/>
      <c r="S260" s="162" t="s">
        <v>176</v>
      </c>
      <c r="T260" s="137"/>
      <c r="U260" s="68"/>
      <c r="V260" s="68"/>
      <c r="W260" s="68"/>
      <c r="X260" s="68"/>
      <c r="Y260" s="32"/>
      <c r="AA260" s="4"/>
      <c r="AD260" s="585"/>
      <c r="AE260" s="585"/>
      <c r="AF260" s="585"/>
      <c r="AG260" s="585"/>
      <c r="AH260" s="585"/>
    </row>
    <row r="261" spans="1:37" ht="14.1" customHeight="1">
      <c r="A261" s="17">
        <v>45</v>
      </c>
      <c r="B261" s="67"/>
      <c r="C261" s="3" t="s">
        <v>204</v>
      </c>
      <c r="D261" s="101" t="s">
        <v>313</v>
      </c>
      <c r="E261" s="68"/>
      <c r="F261" s="68"/>
      <c r="G261" s="68"/>
      <c r="H261" s="68"/>
      <c r="I261" s="68"/>
      <c r="J261" s="68"/>
      <c r="K261" s="68"/>
      <c r="L261" s="68"/>
      <c r="M261" s="69"/>
      <c r="O261" s="30"/>
      <c r="P261" s="68"/>
      <c r="Q261" s="68"/>
      <c r="R261" s="68"/>
      <c r="S261" s="739" t="s">
        <v>275</v>
      </c>
      <c r="T261" s="68"/>
      <c r="U261" s="68" t="s">
        <v>301</v>
      </c>
      <c r="V261" s="68"/>
      <c r="W261" s="68"/>
      <c r="X261" s="68"/>
      <c r="Y261" s="32"/>
      <c r="AA261" s="4"/>
    </row>
    <row r="262" spans="1:37" ht="14.1" customHeight="1" thickBot="1">
      <c r="A262" s="17">
        <v>46</v>
      </c>
      <c r="B262" s="159"/>
      <c r="C262" s="41"/>
      <c r="D262" s="41"/>
      <c r="E262" s="41"/>
      <c r="F262" s="41"/>
      <c r="G262" s="41"/>
      <c r="H262" s="41"/>
      <c r="I262" s="41"/>
      <c r="J262" s="41"/>
      <c r="K262" s="41"/>
      <c r="L262" s="41"/>
      <c r="M262" s="160"/>
      <c r="O262" s="186"/>
      <c r="P262" s="68"/>
      <c r="Q262" s="739" t="s">
        <v>72</v>
      </c>
      <c r="R262" s="739" t="s">
        <v>284</v>
      </c>
      <c r="S262" s="739" t="s">
        <v>276</v>
      </c>
      <c r="T262" s="739" t="s">
        <v>303</v>
      </c>
      <c r="U262" s="739" t="s">
        <v>304</v>
      </c>
      <c r="V262" s="68"/>
      <c r="W262" s="162" t="s">
        <v>305</v>
      </c>
      <c r="X262" s="270" t="str">
        <f>IF($T$259="","",$T$259*HLOOKUP($Q$260,Tables!$D$80:$F$82,2)+HLOOKUP(Sheet1!$Q$260,Tables!$D$80:$F$82,3))</f>
        <v/>
      </c>
      <c r="Y262" s="32"/>
      <c r="AA262" s="4"/>
    </row>
    <row r="263" spans="1:37" ht="14.1" customHeight="1">
      <c r="A263" s="17">
        <v>47</v>
      </c>
      <c r="B263" s="67"/>
      <c r="C263" s="146" t="str">
        <f>O258</f>
        <v>Mean Glandular Dose - 2D</v>
      </c>
      <c r="D263" s="68"/>
      <c r="E263" s="68"/>
      <c r="F263" s="68"/>
      <c r="G263" s="68"/>
      <c r="H263" s="68"/>
      <c r="I263" s="68"/>
      <c r="J263" s="68"/>
      <c r="K263" s="68"/>
      <c r="L263" s="68"/>
      <c r="M263" s="69"/>
      <c r="O263" s="186"/>
      <c r="P263" s="68"/>
      <c r="Q263" s="145"/>
      <c r="R263" s="145"/>
      <c r="S263" s="145"/>
      <c r="T263" s="301" t="str">
        <f>IF(Q263="","",Q263/$T$260)</f>
        <v/>
      </c>
      <c r="U263" s="303" t="str">
        <f>IF(Q263="","",($T$259^2*HLOOKUP($Q$260,Tables!$D$69:$F$71,2)+HLOOKUP(Sheet1!$Q$260,Tables!$D$69:$F$71,3))*Q263)</f>
        <v/>
      </c>
      <c r="V263" s="68"/>
      <c r="W263" s="162" t="s">
        <v>307</v>
      </c>
      <c r="X263" s="270" t="str">
        <f>IF(U267="","",U267)</f>
        <v/>
      </c>
      <c r="Y263" s="32"/>
      <c r="AA263" s="4"/>
    </row>
    <row r="264" spans="1:37" ht="14.1" customHeight="1">
      <c r="A264" s="17">
        <v>48</v>
      </c>
      <c r="B264" s="67"/>
      <c r="C264" s="162" t="s">
        <v>298</v>
      </c>
      <c r="D264" s="764" t="str">
        <f>IF(Q259="","",Q259)</f>
        <v/>
      </c>
      <c r="E264" s="68"/>
      <c r="F264" s="162" t="s">
        <v>173</v>
      </c>
      <c r="G264" s="140" t="str">
        <f>IF(T259="","",T259)</f>
        <v/>
      </c>
      <c r="H264" s="68"/>
      <c r="I264" s="68"/>
      <c r="J264" s="68"/>
      <c r="K264" s="68"/>
      <c r="L264" s="68"/>
      <c r="M264" s="69"/>
      <c r="O264" s="186"/>
      <c r="P264" s="68"/>
      <c r="Q264" s="145"/>
      <c r="R264" s="145"/>
      <c r="S264" s="145"/>
      <c r="T264" s="301" t="str">
        <f>IF(Q264="","",Q264/$T$260)</f>
        <v/>
      </c>
      <c r="U264" s="303" t="str">
        <f>IF(Q264="","",($T$259^2*HLOOKUP($Q$260,Tables!$D$69:$F$71,2)+HLOOKUP(Sheet1!$Q$260,Tables!$D$69:$F$71,3))*Q264)</f>
        <v/>
      </c>
      <c r="V264" s="68"/>
      <c r="W264" s="162" t="s">
        <v>309</v>
      </c>
      <c r="X264" s="253" t="str">
        <f>IF($Q$260="","",HLOOKUP($Q$260,Tables!$A$85:$F$86,2))</f>
        <v/>
      </c>
      <c r="Y264" s="32"/>
      <c r="AA264" s="4"/>
    </row>
    <row r="265" spans="1:37" ht="14.1" customHeight="1">
      <c r="A265" s="17">
        <v>49</v>
      </c>
      <c r="B265" s="67"/>
      <c r="C265" s="162" t="s">
        <v>95</v>
      </c>
      <c r="D265" s="140" t="str">
        <f>IF(Q260="","",Q260)</f>
        <v/>
      </c>
      <c r="E265" s="68"/>
      <c r="F265" s="162" t="s">
        <v>176</v>
      </c>
      <c r="G265" s="140" t="str">
        <f>IF(T260="","",T260)</f>
        <v/>
      </c>
      <c r="H265" s="68"/>
      <c r="I265" s="68"/>
      <c r="J265" s="68"/>
      <c r="K265" s="68"/>
      <c r="L265" s="68"/>
      <c r="M265" s="69"/>
      <c r="O265" s="186"/>
      <c r="P265" s="68"/>
      <c r="Q265" s="145"/>
      <c r="R265" s="145"/>
      <c r="S265" s="145"/>
      <c r="T265" s="301" t="str">
        <f>IF(Q265="","",Q265/$T$260)</f>
        <v/>
      </c>
      <c r="U265" s="303" t="str">
        <f>IF(Q265="","",($T$259^2*HLOOKUP($Q$260,Tables!$D$69:$F$71,2)+HLOOKUP(Sheet1!$Q$260,Tables!$D$69:$F$71,3))*Q265)</f>
        <v/>
      </c>
      <c r="V265" s="68"/>
      <c r="W265" s="162" t="s">
        <v>311</v>
      </c>
      <c r="X265" s="254" t="str">
        <f>IF(ESE="","",ESE*Tables!$D$86)</f>
        <v/>
      </c>
      <c r="Y265" s="32"/>
      <c r="AA265" s="4"/>
    </row>
    <row r="266" spans="1:37" ht="14.1" customHeight="1">
      <c r="A266" s="17">
        <v>50</v>
      </c>
      <c r="B266" s="67"/>
      <c r="C266" s="68"/>
      <c r="D266" s="68"/>
      <c r="E266" s="68"/>
      <c r="F266" s="107" t="s">
        <v>275</v>
      </c>
      <c r="G266" s="68"/>
      <c r="H266" s="68" t="s">
        <v>301</v>
      </c>
      <c r="I266" s="68"/>
      <c r="J266" s="68"/>
      <c r="K266" s="68"/>
      <c r="L266" s="68"/>
      <c r="M266" s="69"/>
      <c r="O266" s="186"/>
      <c r="P266" s="68"/>
      <c r="Q266" s="145"/>
      <c r="R266" s="145"/>
      <c r="S266" s="145"/>
      <c r="T266" s="301" t="str">
        <f>IF(Q266="","",Q266/$T$260)</f>
        <v/>
      </c>
      <c r="U266" s="303" t="str">
        <f>IF(Q266="","",($T$259^2*HLOOKUP($Q$260,Tables!$D$69:$F$71,2)+HLOOKUP(Sheet1!$Q$260,Tables!$D$69:$F$71,3))*Q266)</f>
        <v/>
      </c>
      <c r="V266" s="68"/>
      <c r="W266" s="162" t="s">
        <v>312</v>
      </c>
      <c r="X266" s="255" t="str">
        <f>IF(AB85="","",AB85)</f>
        <v/>
      </c>
      <c r="Y266" s="32"/>
      <c r="AA266" s="4"/>
    </row>
    <row r="267" spans="1:37" ht="14.1" customHeight="1" thickBot="1">
      <c r="A267" s="17">
        <v>51</v>
      </c>
      <c r="B267" s="67"/>
      <c r="C267" s="107"/>
      <c r="D267" s="107" t="s">
        <v>72</v>
      </c>
      <c r="E267" s="107" t="s">
        <v>284</v>
      </c>
      <c r="F267" s="107" t="s">
        <v>276</v>
      </c>
      <c r="G267" s="107" t="s">
        <v>303</v>
      </c>
      <c r="H267" s="107" t="s">
        <v>304</v>
      </c>
      <c r="I267" s="68"/>
      <c r="J267" s="162" t="s">
        <v>305</v>
      </c>
      <c r="K267" s="141" t="str">
        <f t="shared" ref="K267:K272" si="41">IF(X262="","",X262)</f>
        <v/>
      </c>
      <c r="L267" s="68"/>
      <c r="M267" s="69"/>
      <c r="O267" s="186"/>
      <c r="P267" s="162" t="s">
        <v>272</v>
      </c>
      <c r="Q267" s="70" t="str">
        <f>IF(OR(Q263="",Q264="",Q265="",Q266=""),"",AVERAGE(Q263:Q266))</f>
        <v/>
      </c>
      <c r="R267" s="256" t="str">
        <f>IF(OR(R263="",R264="",R265="",R266=""),"",AVERAGE(R263:R266))</f>
        <v/>
      </c>
      <c r="S267" s="71" t="str">
        <f>IF(OR(S263="",S264="",S265="",S266=""),"",AVERAGE(S263:S266))</f>
        <v/>
      </c>
      <c r="T267" s="257" t="str">
        <f>IF(OR(T263="",T264="",T265="",T266=""),"",AVERAGE(T263:T266))</f>
        <v/>
      </c>
      <c r="U267" s="302" t="str">
        <f>IF(OR(U263="",U264="",U265="",U266=""),"",AVERAGE(U263:U266))</f>
        <v/>
      </c>
      <c r="V267" s="68"/>
      <c r="W267" s="162" t="s">
        <v>314</v>
      </c>
      <c r="X267" s="258" t="str">
        <f>IF(OR(X265="",X266=""),"",(X265-X266)/X266)</f>
        <v/>
      </c>
      <c r="Y267" s="32"/>
    </row>
    <row r="268" spans="1:37" ht="14.1" customHeight="1">
      <c r="A268" s="17">
        <v>52</v>
      </c>
      <c r="B268" s="67"/>
      <c r="C268" s="68"/>
      <c r="D268" s="237" t="str">
        <f t="shared" ref="D268:H273" si="42">IF(Q263="","",Q263)</f>
        <v/>
      </c>
      <c r="E268" s="578" t="str">
        <f t="shared" si="42"/>
        <v/>
      </c>
      <c r="F268" s="205" t="str">
        <f t="shared" si="42"/>
        <v/>
      </c>
      <c r="G268" s="238" t="str">
        <f t="shared" si="42"/>
        <v/>
      </c>
      <c r="H268" s="239" t="str">
        <f t="shared" si="42"/>
        <v/>
      </c>
      <c r="I268" s="68"/>
      <c r="J268" s="162" t="s">
        <v>307</v>
      </c>
      <c r="K268" s="142" t="str">
        <f t="shared" si="41"/>
        <v/>
      </c>
      <c r="L268" s="68"/>
      <c r="M268" s="69"/>
      <c r="O268" s="186"/>
      <c r="P268" s="162" t="s">
        <v>274</v>
      </c>
      <c r="Q268" s="251" t="str">
        <f>IF(Q267="","",_xlfn.STDEV.S(Q263:Q266)/Q267)</f>
        <v/>
      </c>
      <c r="R268" s="251" t="str">
        <f>IF(R267="","",_xlfn.STDEV.S(R263:R266)/R267)</f>
        <v/>
      </c>
      <c r="S268" s="251" t="str">
        <f>IF(S267="","",_xlfn.STDEV.S(S263:S266)/S267)</f>
        <v/>
      </c>
      <c r="T268" s="251" t="str">
        <f>IF(T267="","",_xlfn.STDEV.S(T263:T266)/T267)</f>
        <v/>
      </c>
      <c r="U268" s="251" t="str">
        <f>IF(U267="","",_xlfn.STDEV.S(U263:U266)/U267)</f>
        <v/>
      </c>
      <c r="V268" s="68"/>
      <c r="W268" s="333"/>
      <c r="X268" s="333"/>
      <c r="Y268" s="32"/>
    </row>
    <row r="269" spans="1:37" ht="14.1" customHeight="1">
      <c r="A269" s="17">
        <v>53</v>
      </c>
      <c r="B269" s="67"/>
      <c r="C269" s="68"/>
      <c r="D269" s="240" t="str">
        <f t="shared" si="42"/>
        <v/>
      </c>
      <c r="E269" s="106" t="str">
        <f t="shared" si="42"/>
        <v/>
      </c>
      <c r="F269" s="11" t="str">
        <f t="shared" si="42"/>
        <v/>
      </c>
      <c r="G269" s="13" t="str">
        <f t="shared" si="42"/>
        <v/>
      </c>
      <c r="H269" s="241" t="str">
        <f t="shared" si="42"/>
        <v/>
      </c>
      <c r="I269" s="68"/>
      <c r="J269" s="162" t="s">
        <v>309</v>
      </c>
      <c r="K269" s="242" t="str">
        <f t="shared" si="41"/>
        <v/>
      </c>
      <c r="L269" s="68"/>
      <c r="M269" s="69"/>
      <c r="O269" s="30"/>
      <c r="P269" s="3" t="s">
        <v>204</v>
      </c>
      <c r="Q269" s="101" t="s">
        <v>315</v>
      </c>
      <c r="R269" s="68"/>
      <c r="S269" s="68"/>
      <c r="T269" s="68"/>
      <c r="U269" s="68"/>
      <c r="V269" s="68"/>
      <c r="W269" s="162" t="s">
        <v>316</v>
      </c>
      <c r="X269" s="248" t="str">
        <f>IF(X265="","",(X265-S267)/S267)</f>
        <v/>
      </c>
      <c r="Y269" s="32"/>
    </row>
    <row r="270" spans="1:37" ht="14.1" customHeight="1">
      <c r="A270" s="17">
        <v>54</v>
      </c>
      <c r="B270" s="67"/>
      <c r="C270" s="68"/>
      <c r="D270" s="240" t="str">
        <f t="shared" si="42"/>
        <v/>
      </c>
      <c r="E270" s="106" t="str">
        <f t="shared" si="42"/>
        <v/>
      </c>
      <c r="F270" s="11" t="str">
        <f t="shared" si="42"/>
        <v/>
      </c>
      <c r="G270" s="13" t="str">
        <f t="shared" si="42"/>
        <v/>
      </c>
      <c r="H270" s="241" t="str">
        <f t="shared" si="42"/>
        <v/>
      </c>
      <c r="I270" s="68"/>
      <c r="J270" s="162" t="s">
        <v>311</v>
      </c>
      <c r="K270" s="142" t="str">
        <f t="shared" si="41"/>
        <v/>
      </c>
      <c r="L270" s="68"/>
      <c r="M270" s="69"/>
      <c r="O270" s="30"/>
      <c r="P270" s="193"/>
      <c r="Q270" s="101" t="s">
        <v>515</v>
      </c>
      <c r="R270" s="68"/>
      <c r="S270" s="68"/>
      <c r="T270" s="68"/>
      <c r="U270" s="68"/>
      <c r="V270" s="68"/>
      <c r="W270" s="162" t="s">
        <v>318</v>
      </c>
      <c r="X270" s="249" t="str">
        <f>IF(OR(X265="",Q267=""),"",3/(X265/Q267))</f>
        <v/>
      </c>
      <c r="Y270" s="32"/>
    </row>
    <row r="271" spans="1:37" ht="14.1" customHeight="1" thickBot="1">
      <c r="A271" s="17">
        <v>55</v>
      </c>
      <c r="B271" s="67"/>
      <c r="C271" s="68"/>
      <c r="D271" s="244" t="str">
        <f t="shared" si="42"/>
        <v/>
      </c>
      <c r="E271" s="579" t="str">
        <f t="shared" si="42"/>
        <v/>
      </c>
      <c r="F271" s="208" t="str">
        <f t="shared" si="42"/>
        <v/>
      </c>
      <c r="G271" s="245" t="str">
        <f t="shared" si="42"/>
        <v/>
      </c>
      <c r="H271" s="246" t="str">
        <f t="shared" si="42"/>
        <v/>
      </c>
      <c r="I271" s="68"/>
      <c r="J271" s="162" t="s">
        <v>312</v>
      </c>
      <c r="K271" s="142" t="str">
        <f t="shared" si="41"/>
        <v/>
      </c>
      <c r="L271" s="68"/>
      <c r="M271" s="69"/>
      <c r="O271" s="30"/>
      <c r="Y271" s="32"/>
      <c r="Z271"/>
      <c r="AA271"/>
      <c r="AB271"/>
      <c r="AC271"/>
      <c r="AD271"/>
      <c r="AE271"/>
      <c r="AF271"/>
      <c r="AG271"/>
      <c r="AH271"/>
      <c r="AI271"/>
      <c r="AJ271"/>
      <c r="AK271"/>
    </row>
    <row r="272" spans="1:37" ht="14.1" customHeight="1" thickBot="1">
      <c r="A272" s="17">
        <v>56</v>
      </c>
      <c r="B272" s="67"/>
      <c r="C272" s="162" t="s">
        <v>272</v>
      </c>
      <c r="D272" s="240" t="str">
        <f t="shared" si="42"/>
        <v/>
      </c>
      <c r="E272" s="106" t="str">
        <f t="shared" si="42"/>
        <v/>
      </c>
      <c r="F272" s="12" t="str">
        <f t="shared" si="42"/>
        <v/>
      </c>
      <c r="G272" s="13" t="str">
        <f t="shared" si="42"/>
        <v/>
      </c>
      <c r="H272" s="241" t="str">
        <f t="shared" si="42"/>
        <v/>
      </c>
      <c r="I272" s="68"/>
      <c r="J272" s="162" t="s">
        <v>314</v>
      </c>
      <c r="K272" s="247" t="str">
        <f t="shared" si="41"/>
        <v/>
      </c>
      <c r="L272" s="68"/>
      <c r="M272" s="69"/>
      <c r="O272" s="139" t="s">
        <v>669</v>
      </c>
      <c r="P272" s="68"/>
      <c r="Q272" s="68"/>
      <c r="R272" s="68"/>
      <c r="S272" s="68"/>
      <c r="T272" s="68"/>
      <c r="U272" s="68"/>
      <c r="V272" s="68"/>
      <c r="W272" s="68"/>
      <c r="X272" s="68"/>
      <c r="Y272" s="32"/>
      <c r="Z272"/>
      <c r="AA272"/>
      <c r="AB272"/>
      <c r="AC272"/>
      <c r="AD272"/>
      <c r="AE272"/>
      <c r="AF272"/>
      <c r="AG272"/>
      <c r="AH272"/>
      <c r="AI272"/>
      <c r="AJ272"/>
      <c r="AK272"/>
    </row>
    <row r="273" spans="1:37" ht="14.1" customHeight="1" thickBot="1">
      <c r="A273" s="17">
        <v>57</v>
      </c>
      <c r="B273" s="67"/>
      <c r="C273" s="162" t="s">
        <v>274</v>
      </c>
      <c r="D273" s="190" t="str">
        <f t="shared" si="42"/>
        <v/>
      </c>
      <c r="E273" s="184" t="str">
        <f t="shared" si="42"/>
        <v/>
      </c>
      <c r="F273" s="184" t="str">
        <f t="shared" si="42"/>
        <v/>
      </c>
      <c r="G273" s="184" t="str">
        <f t="shared" si="42"/>
        <v/>
      </c>
      <c r="H273" s="185" t="str">
        <f t="shared" si="42"/>
        <v/>
      </c>
      <c r="I273" s="68"/>
      <c r="J273" s="68"/>
      <c r="K273" s="68"/>
      <c r="L273" s="68"/>
      <c r="M273" s="69"/>
      <c r="O273" s="30"/>
      <c r="P273" s="736" t="s">
        <v>583</v>
      </c>
      <c r="Q273" s="737" t="s">
        <v>269</v>
      </c>
      <c r="R273" s="737" t="s">
        <v>72</v>
      </c>
      <c r="S273" s="737" t="s">
        <v>276</v>
      </c>
      <c r="T273" s="684" t="s">
        <v>624</v>
      </c>
      <c r="U273" s="737" t="s">
        <v>584</v>
      </c>
      <c r="V273" s="738" t="s">
        <v>291</v>
      </c>
      <c r="W273" s="68"/>
      <c r="X273" s="68"/>
      <c r="Y273" s="32"/>
      <c r="Z273"/>
      <c r="AA273"/>
      <c r="AB273"/>
      <c r="AC273"/>
      <c r="AD273"/>
      <c r="AE273"/>
      <c r="AF273"/>
      <c r="AG273"/>
      <c r="AH273"/>
      <c r="AI273"/>
      <c r="AJ273"/>
      <c r="AK273"/>
    </row>
    <row r="274" spans="1:37" ht="14.1" customHeight="1">
      <c r="A274" s="17">
        <v>58</v>
      </c>
      <c r="B274" s="67"/>
      <c r="C274" s="3" t="s">
        <v>204</v>
      </c>
      <c r="D274" s="101" t="s">
        <v>315</v>
      </c>
      <c r="E274" s="68"/>
      <c r="F274" s="68"/>
      <c r="G274" s="68"/>
      <c r="H274" s="68"/>
      <c r="I274" s="68"/>
      <c r="J274" s="162" t="s">
        <v>316</v>
      </c>
      <c r="K274" s="248" t="str">
        <f>IF(X269="","",X269)</f>
        <v/>
      </c>
      <c r="L274" s="68"/>
      <c r="M274" s="69"/>
      <c r="O274" s="30"/>
      <c r="P274" s="338">
        <v>20</v>
      </c>
      <c r="Q274" s="296">
        <v>26</v>
      </c>
      <c r="R274" s="693"/>
      <c r="S274" s="693"/>
      <c r="T274" s="707" t="str">
        <f>IF(AB121="","",AB121)</f>
        <v/>
      </c>
      <c r="U274" s="400">
        <v>1.1000000000000001</v>
      </c>
      <c r="V274" s="339" t="str">
        <f>IF(S274="","",IF(S274&lt;=U274, "Pass","Fail"))</f>
        <v/>
      </c>
      <c r="W274" s="68"/>
      <c r="X274" s="68"/>
      <c r="Y274" s="32"/>
      <c r="Z274"/>
      <c r="AA274"/>
      <c r="AB274"/>
      <c r="AC274"/>
      <c r="AD274"/>
      <c r="AE274"/>
      <c r="AF274"/>
      <c r="AG274"/>
      <c r="AH274"/>
      <c r="AI274"/>
      <c r="AJ274"/>
      <c r="AK274"/>
    </row>
    <row r="275" spans="1:37" ht="14.1" customHeight="1">
      <c r="A275" s="17">
        <v>59</v>
      </c>
      <c r="B275" s="67"/>
      <c r="C275" s="68"/>
      <c r="D275" s="101" t="s">
        <v>317</v>
      </c>
      <c r="E275" s="68"/>
      <c r="F275" s="68"/>
      <c r="G275" s="68"/>
      <c r="H275" s="68"/>
      <c r="I275" s="68"/>
      <c r="J275" s="162" t="s">
        <v>318</v>
      </c>
      <c r="K275" s="249" t="str">
        <f>IF(X270="","",X270)</f>
        <v/>
      </c>
      <c r="L275" s="68"/>
      <c r="M275" s="69"/>
      <c r="O275" s="30"/>
      <c r="P275" s="338">
        <v>40</v>
      </c>
      <c r="Q275" s="296">
        <v>28</v>
      </c>
      <c r="R275" s="693"/>
      <c r="S275" s="693"/>
      <c r="T275" s="707" t="str">
        <f>IF(AB122="","",AB122)</f>
        <v/>
      </c>
      <c r="U275" s="400">
        <v>2.2000000000000002</v>
      </c>
      <c r="V275" s="339" t="str">
        <f>IF(S275="","",IF(S275&lt;=U275, "Pass","Fail"))</f>
        <v/>
      </c>
      <c r="W275" s="68"/>
      <c r="X275" s="68"/>
      <c r="Y275" s="32"/>
      <c r="Z275"/>
      <c r="AA275"/>
      <c r="AB275"/>
      <c r="AC275"/>
      <c r="AD275"/>
      <c r="AE275"/>
      <c r="AF275"/>
      <c r="AG275"/>
      <c r="AH275"/>
      <c r="AI275"/>
      <c r="AJ275"/>
      <c r="AK275"/>
    </row>
    <row r="276" spans="1:37" ht="14.1" customHeight="1" thickBot="1">
      <c r="A276" s="17">
        <v>60</v>
      </c>
      <c r="B276" s="67"/>
      <c r="C276" s="68"/>
      <c r="D276" s="68"/>
      <c r="E276" s="68"/>
      <c r="F276" s="68"/>
      <c r="G276" s="68"/>
      <c r="H276" s="68"/>
      <c r="I276" s="68"/>
      <c r="J276" s="68"/>
      <c r="K276" s="68"/>
      <c r="L276" s="68"/>
      <c r="M276" s="69"/>
      <c r="O276" s="30"/>
      <c r="P276" s="387">
        <v>60</v>
      </c>
      <c r="Q276" s="443">
        <v>30</v>
      </c>
      <c r="R276" s="694"/>
      <c r="S276" s="694"/>
      <c r="T276" s="708" t="str">
        <f>IF(AB123="","",AB123)</f>
        <v/>
      </c>
      <c r="U276" s="686">
        <v>4.7</v>
      </c>
      <c r="V276" s="388" t="str">
        <f>IF(S276="","",IF(S276&lt;=U276, "Pass","Fail"))</f>
        <v/>
      </c>
      <c r="W276" s="68"/>
      <c r="X276" s="68"/>
      <c r="Y276" s="32"/>
      <c r="Z276"/>
      <c r="AA276"/>
      <c r="AB276"/>
      <c r="AC276"/>
      <c r="AD276"/>
      <c r="AE276"/>
      <c r="AF276"/>
      <c r="AG276"/>
      <c r="AH276"/>
      <c r="AI276"/>
      <c r="AJ276"/>
      <c r="AK276"/>
    </row>
    <row r="277" spans="1:37" ht="14.1" customHeight="1" thickBot="1">
      <c r="A277" s="17">
        <v>61</v>
      </c>
      <c r="B277" s="67"/>
      <c r="C277" s="146" t="str">
        <f>O272</f>
        <v>Mean Glandular Dose - Tomo</v>
      </c>
      <c r="D277" s="68"/>
      <c r="E277" s="68"/>
      <c r="F277" s="68"/>
      <c r="G277" s="68"/>
      <c r="H277" s="68"/>
      <c r="I277" s="68"/>
      <c r="J277" s="146" t="str">
        <f>O279</f>
        <v>Mean Glandular Dose - 2D + Tomo</v>
      </c>
      <c r="K277" s="68"/>
      <c r="L277" s="68"/>
      <c r="M277" s="69"/>
      <c r="O277" s="30"/>
      <c r="P277" s="3" t="s">
        <v>204</v>
      </c>
      <c r="Q277" s="101" t="s">
        <v>585</v>
      </c>
      <c r="R277" s="68"/>
      <c r="S277" s="68"/>
      <c r="T277" s="68"/>
      <c r="U277" s="68"/>
      <c r="V277" s="68"/>
      <c r="W277" s="68"/>
      <c r="X277" s="68"/>
      <c r="Y277" s="32"/>
      <c r="Z277"/>
      <c r="AA277"/>
      <c r="AB277"/>
      <c r="AC277"/>
      <c r="AD277"/>
      <c r="AE277"/>
      <c r="AF277"/>
      <c r="AG277"/>
      <c r="AH277"/>
      <c r="AI277"/>
      <c r="AJ277"/>
      <c r="AK277"/>
    </row>
    <row r="278" spans="1:37" ht="14.1" customHeight="1">
      <c r="A278" s="17">
        <v>62</v>
      </c>
      <c r="B278" s="67"/>
      <c r="C278" s="695" t="s">
        <v>583</v>
      </c>
      <c r="D278" s="696" t="s">
        <v>269</v>
      </c>
      <c r="E278" s="696" t="s">
        <v>72</v>
      </c>
      <c r="F278" s="696" t="s">
        <v>276</v>
      </c>
      <c r="G278" s="696" t="s">
        <v>584</v>
      </c>
      <c r="H278" s="697" t="s">
        <v>291</v>
      </c>
      <c r="I278" s="68"/>
      <c r="J278" s="162"/>
      <c r="K278" s="739"/>
      <c r="L278" s="68"/>
      <c r="M278" s="69" t="s">
        <v>275</v>
      </c>
      <c r="O278" s="462"/>
      <c r="P278" s="68"/>
      <c r="Q278" s="68"/>
      <c r="R278" s="68"/>
      <c r="S278" s="68"/>
      <c r="T278" s="68"/>
      <c r="U278" s="68"/>
      <c r="V278" s="68"/>
      <c r="W278" s="68"/>
      <c r="X278" s="68"/>
      <c r="Y278" s="785"/>
      <c r="Z278"/>
      <c r="AA278"/>
      <c r="AB278"/>
      <c r="AC278"/>
      <c r="AD278"/>
      <c r="AE278"/>
      <c r="AF278"/>
      <c r="AG278"/>
      <c r="AH278"/>
      <c r="AI278"/>
      <c r="AJ278"/>
      <c r="AK278"/>
    </row>
    <row r="279" spans="1:37" ht="14.1" customHeight="1" thickBot="1">
      <c r="A279" s="17">
        <v>63</v>
      </c>
      <c r="B279" s="67"/>
      <c r="C279" s="338">
        <v>20</v>
      </c>
      <c r="D279" s="296">
        <v>26</v>
      </c>
      <c r="E279" s="296" t="str">
        <f t="shared" ref="E279:F281" si="43">IF(R274="","",R274)</f>
        <v/>
      </c>
      <c r="F279" s="296" t="str">
        <f t="shared" si="43"/>
        <v/>
      </c>
      <c r="G279" s="400">
        <f>IF(U274="","",U274)</f>
        <v>1.1000000000000001</v>
      </c>
      <c r="H279" s="339" t="str">
        <f>IF(V274="","",V274)</f>
        <v/>
      </c>
      <c r="I279" s="68"/>
      <c r="J279" s="68"/>
      <c r="K279" s="739" t="s">
        <v>269</v>
      </c>
      <c r="L279" s="739" t="s">
        <v>72</v>
      </c>
      <c r="M279" s="260" t="s">
        <v>653</v>
      </c>
      <c r="O279" s="786" t="s">
        <v>670</v>
      </c>
      <c r="P279" s="162"/>
      <c r="Q279" s="739"/>
      <c r="R279" s="68"/>
      <c r="S279" s="68"/>
      <c r="T279" s="68"/>
      <c r="U279" s="68"/>
      <c r="V279" s="68"/>
      <c r="W279" s="68"/>
      <c r="X279" s="68"/>
      <c r="Y279" s="785"/>
      <c r="Z279"/>
      <c r="AA279"/>
      <c r="AB279"/>
      <c r="AC279"/>
      <c r="AD279"/>
      <c r="AE279"/>
      <c r="AF279"/>
      <c r="AG279"/>
      <c r="AH279"/>
      <c r="AI279"/>
      <c r="AJ279"/>
      <c r="AK279"/>
    </row>
    <row r="280" spans="1:37" ht="14.1" customHeight="1">
      <c r="A280" s="17">
        <v>64</v>
      </c>
      <c r="B280" s="67"/>
      <c r="C280" s="338">
        <v>40</v>
      </c>
      <c r="D280" s="296">
        <v>28</v>
      </c>
      <c r="E280" s="296" t="str">
        <f t="shared" si="43"/>
        <v/>
      </c>
      <c r="F280" s="296" t="str">
        <f t="shared" si="43"/>
        <v/>
      </c>
      <c r="G280" s="400">
        <f t="shared" ref="G280:G281" si="44">IF(U275="","",U275)</f>
        <v>2.2000000000000002</v>
      </c>
      <c r="H280" s="339" t="str">
        <f>IF(V275="","",V275)</f>
        <v/>
      </c>
      <c r="I280" s="68"/>
      <c r="J280" s="162" t="s">
        <v>649</v>
      </c>
      <c r="K280" s="736">
        <f t="shared" ref="K280:M281" si="45">IF(Q304="","",Q304)</f>
        <v>0</v>
      </c>
      <c r="L280" s="737" t="str">
        <f t="shared" si="45"/>
        <v/>
      </c>
      <c r="M280" s="760" t="str">
        <f t="shared" si="45"/>
        <v/>
      </c>
      <c r="O280" s="462"/>
      <c r="P280" s="146" t="s">
        <v>656</v>
      </c>
      <c r="Q280" s="68"/>
      <c r="R280" s="68"/>
      <c r="S280" s="739" t="s">
        <v>275</v>
      </c>
      <c r="T280" s="68"/>
      <c r="U280" s="68" t="s">
        <v>301</v>
      </c>
      <c r="V280" s="739"/>
      <c r="W280" s="68"/>
      <c r="X280" s="68"/>
      <c r="Y280" s="785"/>
      <c r="Z280"/>
      <c r="AA280"/>
      <c r="AB280"/>
      <c r="AC280"/>
      <c r="AD280"/>
      <c r="AE280"/>
      <c r="AF280"/>
      <c r="AG280"/>
      <c r="AH280"/>
      <c r="AI280"/>
      <c r="AJ280"/>
      <c r="AK280"/>
    </row>
    <row r="281" spans="1:37" ht="14.1" customHeight="1" thickBot="1">
      <c r="A281" s="17">
        <v>65</v>
      </c>
      <c r="B281" s="67"/>
      <c r="C281" s="387">
        <v>60</v>
      </c>
      <c r="D281" s="443">
        <v>30</v>
      </c>
      <c r="E281" s="443" t="str">
        <f t="shared" si="43"/>
        <v/>
      </c>
      <c r="F281" s="443" t="str">
        <f t="shared" si="43"/>
        <v/>
      </c>
      <c r="G281" s="686">
        <f t="shared" si="44"/>
        <v>4.7</v>
      </c>
      <c r="H281" s="388" t="str">
        <f>IF(V276="","",V276)</f>
        <v/>
      </c>
      <c r="I281" s="68"/>
      <c r="J281" s="162" t="s">
        <v>650</v>
      </c>
      <c r="K281" s="387">
        <f t="shared" si="45"/>
        <v>0</v>
      </c>
      <c r="L281" s="443" t="str">
        <f t="shared" si="45"/>
        <v/>
      </c>
      <c r="M281" s="761" t="str">
        <f t="shared" si="45"/>
        <v/>
      </c>
      <c r="O281" s="462"/>
      <c r="P281" s="68"/>
      <c r="Q281" s="739" t="s">
        <v>72</v>
      </c>
      <c r="R281" s="739" t="s">
        <v>284</v>
      </c>
      <c r="S281" s="739" t="s">
        <v>276</v>
      </c>
      <c r="T281" s="739" t="s">
        <v>303</v>
      </c>
      <c r="U281" s="739" t="s">
        <v>304</v>
      </c>
      <c r="V281" s="739"/>
      <c r="W281" s="162" t="s">
        <v>305</v>
      </c>
      <c r="X281" s="270" t="str">
        <f>IF($T$259="","",$T$259*HLOOKUP($Q$260,Tables!$D$80:$F$82,2)+HLOOKUP(Sheet1!$Q$260,Tables!$D$80:$F$82,3))</f>
        <v/>
      </c>
      <c r="Y281" s="785"/>
      <c r="Z281"/>
      <c r="AA281"/>
      <c r="AB281"/>
      <c r="AC281"/>
      <c r="AD281"/>
      <c r="AE281"/>
      <c r="AF281"/>
      <c r="AG281"/>
      <c r="AH281"/>
      <c r="AI281"/>
      <c r="AJ281"/>
      <c r="AK281"/>
    </row>
    <row r="282" spans="1:37" ht="14.1" customHeight="1" thickBot="1">
      <c r="A282" s="17">
        <v>66</v>
      </c>
      <c r="B282" s="67"/>
      <c r="C282" s="3" t="s">
        <v>204</v>
      </c>
      <c r="D282" s="101" t="s">
        <v>585</v>
      </c>
      <c r="E282" s="68"/>
      <c r="F282" s="68"/>
      <c r="G282" s="68"/>
      <c r="H282" s="68"/>
      <c r="I282" s="68"/>
      <c r="J282" s="68"/>
      <c r="K282" s="68"/>
      <c r="L282" s="162" t="s">
        <v>654</v>
      </c>
      <c r="M282" s="479" t="str">
        <f>IF(S306="","",S306)</f>
        <v/>
      </c>
      <c r="O282" s="462"/>
      <c r="P282" s="68"/>
      <c r="Q282" s="145"/>
      <c r="R282" s="145"/>
      <c r="S282" s="145"/>
      <c r="T282" s="301" t="str">
        <f>IF(Q282="","",Q282/$T$260)</f>
        <v/>
      </c>
      <c r="U282" s="303" t="str">
        <f>IF(Q282="","",($T$259^2*HLOOKUP($Q$260,Tables!$D$69:$F$71,2)+HLOOKUP(Sheet1!$Q$260,Tables!$D$69:$F$71,3))*Q282)</f>
        <v/>
      </c>
      <c r="V282" s="68"/>
      <c r="W282" s="162" t="s">
        <v>307</v>
      </c>
      <c r="X282" s="270" t="str">
        <f>IF(U286="","",U286)</f>
        <v/>
      </c>
      <c r="Y282" s="785"/>
      <c r="Z282"/>
      <c r="AA282"/>
      <c r="AB282"/>
      <c r="AC282"/>
      <c r="AD282"/>
      <c r="AE282"/>
      <c r="AF282"/>
      <c r="AG282"/>
      <c r="AH282"/>
      <c r="AI282"/>
      <c r="AJ282"/>
      <c r="AK282"/>
    </row>
    <row r="283" spans="1:37" ht="14.1" customHeight="1" thickBot="1">
      <c r="A283" s="17">
        <v>67</v>
      </c>
      <c r="B283" s="67"/>
      <c r="I283" s="68"/>
      <c r="J283" s="68"/>
      <c r="K283" s="68"/>
      <c r="L283" s="162" t="s">
        <v>218</v>
      </c>
      <c r="M283" s="479" t="str">
        <f>IF(V304="","",V304)</f>
        <v/>
      </c>
      <c r="O283" s="462"/>
      <c r="P283" s="68"/>
      <c r="Q283" s="145"/>
      <c r="R283" s="145"/>
      <c r="S283" s="145"/>
      <c r="T283" s="301" t="str">
        <f>IF(Q283="","",Q283/$T$260)</f>
        <v/>
      </c>
      <c r="U283" s="303" t="str">
        <f>IF(Q283="","",($T$259^2*HLOOKUP($Q$260,Tables!$D$69:$F$71,2)+HLOOKUP(Sheet1!$Q$260,Tables!$D$69:$F$71,3))*Q283)</f>
        <v/>
      </c>
      <c r="V283" s="68"/>
      <c r="W283" s="162" t="s">
        <v>309</v>
      </c>
      <c r="X283" s="253" t="str">
        <f>IF($Q$260="","",HLOOKUP($Q$260,Tables!$A$85:$F$86,2))</f>
        <v/>
      </c>
      <c r="Y283" s="785"/>
      <c r="Z283"/>
      <c r="AA283"/>
      <c r="AB283"/>
      <c r="AC283"/>
      <c r="AD283"/>
      <c r="AE283"/>
      <c r="AF283"/>
      <c r="AG283"/>
      <c r="AH283"/>
      <c r="AI283"/>
      <c r="AJ283"/>
      <c r="AK283"/>
    </row>
    <row r="284" spans="1:37" ht="14.1" customHeight="1">
      <c r="A284" s="17">
        <v>68</v>
      </c>
      <c r="B284" s="67"/>
      <c r="I284" s="68"/>
      <c r="M284" s="69"/>
      <c r="O284" s="462"/>
      <c r="P284" s="68"/>
      <c r="Q284" s="145"/>
      <c r="R284" s="145"/>
      <c r="S284" s="145"/>
      <c r="T284" s="301" t="str">
        <f>IF(Q284="","",Q284/$T$260)</f>
        <v/>
      </c>
      <c r="U284" s="303" t="str">
        <f>IF(Q284="","",($T$259^2*HLOOKUP($Q$260,Tables!$D$69:$F$71,2)+HLOOKUP(Sheet1!$Q$260,Tables!$D$69:$F$71,3))*Q284)</f>
        <v/>
      </c>
      <c r="V284" s="68"/>
      <c r="W284" s="162" t="s">
        <v>311</v>
      </c>
      <c r="X284" s="254" t="str">
        <f>IF(X282="","",X282*Tables!$D$86)</f>
        <v/>
      </c>
      <c r="Y284" s="785"/>
      <c r="Z284"/>
      <c r="AA284"/>
      <c r="AB284"/>
      <c r="AC284"/>
      <c r="AD284"/>
      <c r="AE284"/>
      <c r="AF284"/>
      <c r="AG284"/>
      <c r="AH284"/>
      <c r="AI284"/>
      <c r="AJ284"/>
      <c r="AK284"/>
    </row>
    <row r="285" spans="1:37" ht="14.1" customHeight="1">
      <c r="A285" s="17">
        <v>69</v>
      </c>
      <c r="B285" s="67"/>
      <c r="C285" s="68"/>
      <c r="D285" s="68"/>
      <c r="E285" s="68"/>
      <c r="F285" s="68"/>
      <c r="G285" s="68"/>
      <c r="H285" s="68"/>
      <c r="I285" s="68"/>
      <c r="J285" s="68"/>
      <c r="K285" s="68"/>
      <c r="L285" s="68"/>
      <c r="M285" s="69"/>
      <c r="O285" s="462"/>
      <c r="P285" s="68"/>
      <c r="Q285" s="145"/>
      <c r="R285" s="145"/>
      <c r="S285" s="145"/>
      <c r="T285" s="301" t="str">
        <f>IF(Q285="","",Q285/$T$260)</f>
        <v/>
      </c>
      <c r="U285" s="303" t="str">
        <f>IF(Q285="","",($T$259^2*HLOOKUP($Q$260,Tables!$D$69:$F$71,2)+HLOOKUP(Sheet1!$Q$260,Tables!$D$69:$F$71,3))*Q285)</f>
        <v/>
      </c>
      <c r="V285" s="68"/>
      <c r="W285" s="162" t="s">
        <v>312</v>
      </c>
      <c r="X285" s="255" t="str">
        <f>IF(AB86="","",AB86)</f>
        <v/>
      </c>
      <c r="Y285" s="785"/>
      <c r="Z285"/>
      <c r="AA285"/>
      <c r="AB285"/>
      <c r="AC285"/>
      <c r="AD285"/>
      <c r="AE285"/>
      <c r="AF285"/>
      <c r="AG285"/>
      <c r="AH285"/>
      <c r="AI285"/>
      <c r="AJ285"/>
      <c r="AK285"/>
    </row>
    <row r="286" spans="1:37" ht="14.1" customHeight="1" thickBot="1">
      <c r="A286" s="17">
        <v>70</v>
      </c>
      <c r="B286" s="80"/>
      <c r="C286" s="81"/>
      <c r="D286" s="81"/>
      <c r="E286" s="81"/>
      <c r="F286" s="81"/>
      <c r="G286" s="81"/>
      <c r="H286" s="81"/>
      <c r="I286" s="81"/>
      <c r="J286" s="81"/>
      <c r="K286" s="81"/>
      <c r="L286" s="81"/>
      <c r="M286" s="82"/>
      <c r="O286" s="462"/>
      <c r="P286" s="162" t="s">
        <v>272</v>
      </c>
      <c r="Q286" s="70" t="str">
        <f t="shared" ref="Q286:U286" si="46">IF(OR(Q282="",Q283="",Q284="",Q285=""),"",AVERAGE(Q282:Q285))</f>
        <v/>
      </c>
      <c r="R286" s="256" t="str">
        <f t="shared" si="46"/>
        <v/>
      </c>
      <c r="S286" s="71" t="str">
        <f t="shared" si="46"/>
        <v/>
      </c>
      <c r="T286" s="257" t="str">
        <f t="shared" si="46"/>
        <v/>
      </c>
      <c r="U286" s="302" t="str">
        <f t="shared" si="46"/>
        <v/>
      </c>
      <c r="V286" s="778"/>
      <c r="W286" s="162" t="s">
        <v>314</v>
      </c>
      <c r="X286" s="258" t="str">
        <f>IF(OR(X284="",X285=""),"",(X284-X285)/X285)</f>
        <v/>
      </c>
      <c r="Y286" s="785"/>
      <c r="Z286"/>
      <c r="AA286"/>
      <c r="AB286"/>
      <c r="AC286"/>
      <c r="AD286"/>
      <c r="AE286"/>
      <c r="AF286"/>
      <c r="AG286"/>
      <c r="AH286"/>
      <c r="AI286"/>
      <c r="AJ286"/>
      <c r="AK286"/>
    </row>
    <row r="287" spans="1:37" ht="14.1" customHeight="1" thickTop="1">
      <c r="A287" s="17">
        <v>71</v>
      </c>
      <c r="C287" s="109" t="s">
        <v>11</v>
      </c>
      <c r="D287" s="375" t="str">
        <f>IF($P$7="","",$P$7)</f>
        <v/>
      </c>
      <c r="E287" s="27"/>
      <c r="F287" s="27"/>
      <c r="G287" s="27"/>
      <c r="H287" s="27"/>
      <c r="I287" s="27"/>
      <c r="J287" s="27"/>
      <c r="K287" s="27"/>
      <c r="L287" s="109" t="s">
        <v>12</v>
      </c>
      <c r="M287" s="376" t="str">
        <f>IF($X$7="","",$X$7)</f>
        <v>Eugene Mah</v>
      </c>
      <c r="O287" s="462"/>
      <c r="P287" s="162" t="s">
        <v>274</v>
      </c>
      <c r="Q287" s="251" t="str">
        <f t="shared" ref="Q287:U287" si="47">IF(Q286="","",_xlfn.STDEV.S(Q282:Q285)/Q286)</f>
        <v/>
      </c>
      <c r="R287" s="251" t="str">
        <f t="shared" si="47"/>
        <v/>
      </c>
      <c r="S287" s="251" t="str">
        <f t="shared" si="47"/>
        <v/>
      </c>
      <c r="T287" s="251" t="str">
        <f t="shared" si="47"/>
        <v/>
      </c>
      <c r="U287" s="251" t="str">
        <f t="shared" si="47"/>
        <v/>
      </c>
      <c r="V287" s="779"/>
      <c r="W287" s="333"/>
      <c r="X287" s="333"/>
      <c r="Y287" s="785"/>
      <c r="Z287"/>
      <c r="AA287"/>
      <c r="AB287"/>
      <c r="AC287"/>
      <c r="AD287"/>
      <c r="AE287"/>
      <c r="AF287"/>
      <c r="AG287"/>
      <c r="AH287"/>
      <c r="AI287"/>
      <c r="AJ287"/>
      <c r="AK287"/>
    </row>
    <row r="288" spans="1:37" ht="14.1" customHeight="1">
      <c r="A288" s="17">
        <v>72</v>
      </c>
      <c r="C288" s="109" t="s">
        <v>121</v>
      </c>
      <c r="D288" s="376" t="str">
        <f>IF($R$14="","",$R$14)</f>
        <v/>
      </c>
      <c r="E288" s="27"/>
      <c r="F288" s="27"/>
      <c r="G288" s="27"/>
      <c r="H288" s="27"/>
      <c r="I288" s="27"/>
      <c r="J288" s="27"/>
      <c r="K288" s="27"/>
      <c r="L288" s="109" t="s">
        <v>37</v>
      </c>
      <c r="M288" s="376" t="str">
        <f>IF($R$13="","",$R$13)</f>
        <v/>
      </c>
      <c r="O288" s="462"/>
      <c r="P288" s="3" t="s">
        <v>204</v>
      </c>
      <c r="Q288" s="101" t="s">
        <v>315</v>
      </c>
      <c r="R288" s="68"/>
      <c r="S288" s="68"/>
      <c r="T288" s="68"/>
      <c r="U288" s="68"/>
      <c r="V288" s="68"/>
      <c r="W288" s="162" t="s">
        <v>316</v>
      </c>
      <c r="X288" s="248" t="str">
        <f>IF(X284="","",(X284-S286)/S286)</f>
        <v/>
      </c>
      <c r="Y288" s="785"/>
      <c r="Z288"/>
      <c r="AA288"/>
      <c r="AB288"/>
      <c r="AC288"/>
      <c r="AD288"/>
      <c r="AE288"/>
      <c r="AF288"/>
      <c r="AG288"/>
      <c r="AH288"/>
      <c r="AI288"/>
      <c r="AJ288"/>
      <c r="AK288"/>
    </row>
    <row r="289" spans="1:37" ht="14.1" customHeight="1">
      <c r="A289" s="17">
        <v>1</v>
      </c>
      <c r="M289" s="112" t="str">
        <f>$H$2</f>
        <v>Medical University of South Carolina</v>
      </c>
      <c r="O289" s="462"/>
      <c r="P289" s="193"/>
      <c r="Q289" s="101" t="s">
        <v>515</v>
      </c>
      <c r="R289" s="68"/>
      <c r="S289" s="68"/>
      <c r="T289" s="68"/>
      <c r="U289" s="68"/>
      <c r="V289" s="68"/>
      <c r="W289" s="162" t="s">
        <v>318</v>
      </c>
      <c r="X289" s="249" t="str">
        <f>IF(OR(X284="",Q286=""),"",3/(X284/Q286))</f>
        <v/>
      </c>
      <c r="Y289" s="785"/>
      <c r="Z289"/>
      <c r="AA289"/>
      <c r="AB289"/>
      <c r="AC289"/>
      <c r="AD289"/>
      <c r="AE289"/>
      <c r="AF289"/>
      <c r="AG289"/>
      <c r="AH289"/>
      <c r="AI289"/>
      <c r="AJ289"/>
      <c r="AK289"/>
    </row>
    <row r="290" spans="1:37" ht="14.1" customHeight="1" thickBot="1">
      <c r="A290" s="17">
        <v>2</v>
      </c>
      <c r="H290" s="51" t="s">
        <v>73</v>
      </c>
      <c r="M290" s="113" t="str">
        <f>$H$5</f>
        <v>Mammography System Compliance Inspection</v>
      </c>
      <c r="O290" s="462"/>
      <c r="P290" s="68"/>
      <c r="Q290" s="68"/>
      <c r="R290" s="68"/>
      <c r="S290" s="68"/>
      <c r="T290" s="68"/>
      <c r="U290" s="68"/>
      <c r="V290" s="68"/>
      <c r="W290" s="68"/>
      <c r="X290" s="68"/>
      <c r="Y290" s="785"/>
      <c r="Z290"/>
      <c r="AA290"/>
      <c r="AB290"/>
      <c r="AC290"/>
      <c r="AD290"/>
      <c r="AE290"/>
      <c r="AF290"/>
      <c r="AG290"/>
      <c r="AH290"/>
      <c r="AI290"/>
      <c r="AJ290"/>
      <c r="AK290"/>
    </row>
    <row r="291" spans="1:37" ht="14.1" customHeight="1" thickTop="1">
      <c r="A291" s="17">
        <v>3</v>
      </c>
      <c r="B291" s="58"/>
      <c r="C291" s="267" t="s">
        <v>330</v>
      </c>
      <c r="D291" s="268" t="str">
        <f>IF(P367="","",P367)</f>
        <v/>
      </c>
      <c r="E291" s="267" t="s">
        <v>337</v>
      </c>
      <c r="F291" s="499" t="str">
        <f>IF(P368="","",P368)</f>
        <v/>
      </c>
      <c r="G291" s="59"/>
      <c r="H291" s="267" t="s">
        <v>331</v>
      </c>
      <c r="I291" s="840" t="str">
        <f>IF(S367="","",S367)</f>
        <v/>
      </c>
      <c r="J291" s="840"/>
      <c r="K291" s="59"/>
      <c r="L291" s="59"/>
      <c r="M291" s="61"/>
      <c r="O291" s="462"/>
      <c r="P291" s="146" t="s">
        <v>657</v>
      </c>
      <c r="Q291" s="68"/>
      <c r="R291" s="68"/>
      <c r="S291" s="739" t="s">
        <v>275</v>
      </c>
      <c r="T291" s="68"/>
      <c r="U291" s="68" t="s">
        <v>301</v>
      </c>
      <c r="V291" s="739"/>
      <c r="W291" s="68"/>
      <c r="X291" s="68"/>
      <c r="Y291" s="785"/>
      <c r="Z291"/>
      <c r="AA291"/>
      <c r="AB291"/>
      <c r="AC291"/>
      <c r="AD291"/>
      <c r="AE291"/>
      <c r="AF291"/>
      <c r="AG291"/>
      <c r="AH291"/>
      <c r="AI291"/>
      <c r="AJ291"/>
      <c r="AK291"/>
    </row>
    <row r="292" spans="1:37" ht="14.1" customHeight="1">
      <c r="A292" s="17">
        <v>4</v>
      </c>
      <c r="B292" s="67"/>
      <c r="C292" s="4"/>
      <c r="D292" s="4"/>
      <c r="E292" s="4"/>
      <c r="F292" s="4"/>
      <c r="G292" s="4"/>
      <c r="H292" s="162" t="s">
        <v>333</v>
      </c>
      <c r="I292" s="841" t="str">
        <f>IF(S368="","",S368)</f>
        <v/>
      </c>
      <c r="J292" s="841"/>
      <c r="K292" s="4"/>
      <c r="M292" s="69"/>
      <c r="O292" s="462"/>
      <c r="P292" s="68"/>
      <c r="Q292" s="739" t="s">
        <v>72</v>
      </c>
      <c r="R292" s="739" t="s">
        <v>284</v>
      </c>
      <c r="S292" s="739" t="s">
        <v>276</v>
      </c>
      <c r="T292" s="739" t="s">
        <v>303</v>
      </c>
      <c r="U292" s="739" t="s">
        <v>304</v>
      </c>
      <c r="V292" s="739"/>
      <c r="W292" s="162" t="s">
        <v>305</v>
      </c>
      <c r="X292" s="270" t="str">
        <f>IF($T$259="","",$T$259*HLOOKUP($Q$260,Tables!$D$80:$F$82,2)+HLOOKUP(Sheet1!$Q$260,Tables!$D$80:$F$82,3))</f>
        <v/>
      </c>
      <c r="Y292" s="785"/>
      <c r="Z292"/>
      <c r="AA292"/>
      <c r="AB292"/>
      <c r="AC292"/>
      <c r="AD292"/>
      <c r="AE292"/>
      <c r="AF292"/>
      <c r="AG292"/>
      <c r="AH292"/>
      <c r="AI292"/>
      <c r="AJ292"/>
      <c r="AK292"/>
    </row>
    <row r="293" spans="1:37" ht="14.1" customHeight="1">
      <c r="A293" s="17">
        <v>5</v>
      </c>
      <c r="B293" s="67"/>
      <c r="C293" s="146" t="s">
        <v>328</v>
      </c>
      <c r="D293" s="68"/>
      <c r="E293" s="68"/>
      <c r="F293" s="68"/>
      <c r="G293" s="68"/>
      <c r="H293" s="68"/>
      <c r="I293" s="68"/>
      <c r="J293" s="68"/>
      <c r="K293" s="68"/>
      <c r="M293" s="69"/>
      <c r="O293" s="462"/>
      <c r="P293" s="68"/>
      <c r="Q293" s="145"/>
      <c r="R293" s="145"/>
      <c r="S293" s="145"/>
      <c r="T293" s="301" t="str">
        <f>IF(Q293="","",Q293/$T$260)</f>
        <v/>
      </c>
      <c r="U293" s="303" t="str">
        <f>IF(Q293="","",($T$259^2*HLOOKUP($Q$260,Tables!$D$69:$F$71,2)+HLOOKUP(Sheet1!$Q$260,Tables!$D$69:$F$71,3))*Q293)</f>
        <v/>
      </c>
      <c r="V293" s="68"/>
      <c r="W293" s="162" t="s">
        <v>307</v>
      </c>
      <c r="X293" s="270" t="str">
        <f>IF(U297="","",U297)</f>
        <v/>
      </c>
      <c r="Y293" s="785"/>
      <c r="Z293"/>
      <c r="AA293"/>
      <c r="AB293"/>
      <c r="AC293"/>
      <c r="AD293"/>
      <c r="AE293"/>
      <c r="AF293"/>
      <c r="AG293"/>
      <c r="AH293"/>
      <c r="AI293"/>
      <c r="AJ293"/>
      <c r="AK293"/>
    </row>
    <row r="294" spans="1:37" ht="14.1" customHeight="1">
      <c r="A294" s="17">
        <v>6</v>
      </c>
      <c r="B294" s="67"/>
      <c r="C294" s="162"/>
      <c r="F294" s="839" t="s">
        <v>334</v>
      </c>
      <c r="G294" s="839"/>
      <c r="H294" s="839"/>
      <c r="I294" s="585"/>
      <c r="J294" s="585"/>
      <c r="K294" s="107"/>
      <c r="M294" s="69"/>
      <c r="O294" s="462"/>
      <c r="P294" s="68"/>
      <c r="Q294" s="145"/>
      <c r="R294" s="145"/>
      <c r="S294" s="145"/>
      <c r="T294" s="301" t="str">
        <f>IF(Q294="","",Q294/$T$260)</f>
        <v/>
      </c>
      <c r="U294" s="303" t="str">
        <f>IF(Q294="","",($T$259^2*HLOOKUP($Q$260,Tables!$D$69:$F$71,2)+HLOOKUP(Sheet1!$Q$260,Tables!$D$69:$F$71,3))*Q294)</f>
        <v/>
      </c>
      <c r="V294" s="68"/>
      <c r="W294" s="162" t="s">
        <v>309</v>
      </c>
      <c r="X294" s="253" t="str">
        <f>IF($Q$260="","",HLOOKUP($Q$260,Tables!$A$85:$F$86,2))</f>
        <v/>
      </c>
      <c r="Y294" s="785"/>
      <c r="Z294"/>
      <c r="AA294"/>
      <c r="AB294"/>
      <c r="AC294"/>
      <c r="AD294"/>
      <c r="AE294"/>
      <c r="AF294"/>
      <c r="AG294"/>
      <c r="AH294"/>
      <c r="AI294"/>
      <c r="AJ294"/>
      <c r="AK294"/>
    </row>
    <row r="295" spans="1:37" ht="14.1" customHeight="1" thickBot="1">
      <c r="A295" s="17">
        <v>7</v>
      </c>
      <c r="B295" s="67"/>
      <c r="C295" s="21" t="s">
        <v>71</v>
      </c>
      <c r="D295" s="585" t="s">
        <v>269</v>
      </c>
      <c r="E295" s="585" t="s">
        <v>72</v>
      </c>
      <c r="F295" s="585" t="s">
        <v>25</v>
      </c>
      <c r="G295" s="585" t="s">
        <v>26</v>
      </c>
      <c r="H295" s="585" t="s">
        <v>27</v>
      </c>
      <c r="I295" s="585" t="s">
        <v>335</v>
      </c>
      <c r="J295" s="585" t="s">
        <v>336</v>
      </c>
      <c r="K295" s="585" t="s">
        <v>513</v>
      </c>
      <c r="M295" s="69"/>
      <c r="O295" s="462"/>
      <c r="P295" s="68"/>
      <c r="Q295" s="145"/>
      <c r="R295" s="145"/>
      <c r="S295" s="145"/>
      <c r="T295" s="301" t="str">
        <f>IF(Q295="","",Q295/$T$260)</f>
        <v/>
      </c>
      <c r="U295" s="303" t="str">
        <f>IF(Q295="","",($T$259^2*HLOOKUP($Q$260,Tables!$D$69:$F$71,2)+HLOOKUP(Sheet1!$Q$260,Tables!$D$69:$F$71,3))*Q295)</f>
        <v/>
      </c>
      <c r="V295" s="68"/>
      <c r="W295" s="162" t="s">
        <v>311</v>
      </c>
      <c r="X295" s="254" t="str">
        <f>IF(X293="","",X293*Tables!$D$86)</f>
        <v/>
      </c>
      <c r="Y295" s="785"/>
      <c r="Z295"/>
      <c r="AA295"/>
      <c r="AB295"/>
      <c r="AC295"/>
      <c r="AD295"/>
      <c r="AE295"/>
      <c r="AF295"/>
      <c r="AG295"/>
      <c r="AH295"/>
      <c r="AI295"/>
      <c r="AJ295"/>
      <c r="AK295"/>
    </row>
    <row r="296" spans="1:37" ht="14.1" customHeight="1">
      <c r="A296" s="17">
        <v>8</v>
      </c>
      <c r="B296" s="67"/>
      <c r="C296" s="436" t="str">
        <f>P371</f>
        <v>/</v>
      </c>
      <c r="D296" s="418">
        <f t="shared" ref="D296:K301" si="48">IF(Q371="","",Q371)</f>
        <v>24</v>
      </c>
      <c r="E296" s="418">
        <f t="shared" si="48"/>
        <v>50</v>
      </c>
      <c r="F296" s="437" t="str">
        <f t="shared" si="48"/>
        <v/>
      </c>
      <c r="G296" s="437" t="str">
        <f t="shared" si="48"/>
        <v/>
      </c>
      <c r="H296" s="437" t="str">
        <f t="shared" si="48"/>
        <v/>
      </c>
      <c r="I296" s="438" t="str">
        <f t="shared" si="48"/>
        <v/>
      </c>
      <c r="J296" s="437" t="str">
        <f t="shared" si="48"/>
        <v/>
      </c>
      <c r="K296" s="439" t="str">
        <f t="shared" si="48"/>
        <v/>
      </c>
      <c r="M296" s="69"/>
      <c r="O296" s="462"/>
      <c r="P296" s="68"/>
      <c r="Q296" s="145"/>
      <c r="R296" s="145"/>
      <c r="S296" s="145"/>
      <c r="T296" s="301" t="str">
        <f>IF(Q296="","",Q296/$T$260)</f>
        <v/>
      </c>
      <c r="U296" s="303" t="str">
        <f>IF(Q296="","",($T$259^2*HLOOKUP($Q$260,Tables!$D$69:$F$71,2)+HLOOKUP(Sheet1!$Q$260,Tables!$D$69:$F$71,3))*Q296)</f>
        <v/>
      </c>
      <c r="V296" s="68"/>
      <c r="W296" s="162" t="s">
        <v>312</v>
      </c>
      <c r="X296" s="255" t="str">
        <f>IF(AB87="","",AB87)</f>
        <v/>
      </c>
      <c r="Y296" s="785"/>
      <c r="Z296"/>
      <c r="AA296"/>
      <c r="AB296"/>
      <c r="AC296"/>
      <c r="AD296"/>
      <c r="AE296"/>
      <c r="AF296"/>
      <c r="AG296"/>
      <c r="AH296"/>
      <c r="AI296"/>
      <c r="AJ296"/>
      <c r="AK296"/>
    </row>
    <row r="297" spans="1:37" ht="14.1" customHeight="1">
      <c r="A297" s="17">
        <v>9</v>
      </c>
      <c r="B297" s="67"/>
      <c r="C297" s="440"/>
      <c r="D297" s="296">
        <f t="shared" si="48"/>
        <v>25</v>
      </c>
      <c r="E297" s="296">
        <f t="shared" si="48"/>
        <v>50</v>
      </c>
      <c r="F297" s="303" t="str">
        <f t="shared" si="48"/>
        <v/>
      </c>
      <c r="G297" s="303" t="str">
        <f t="shared" si="48"/>
        <v/>
      </c>
      <c r="H297" s="303" t="str">
        <f t="shared" si="48"/>
        <v/>
      </c>
      <c r="I297" s="297" t="str">
        <f t="shared" si="48"/>
        <v/>
      </c>
      <c r="J297" s="303" t="str">
        <f t="shared" si="48"/>
        <v/>
      </c>
      <c r="K297" s="420" t="str">
        <f t="shared" si="48"/>
        <v/>
      </c>
      <c r="M297" s="69"/>
      <c r="O297" s="462"/>
      <c r="P297" s="162" t="s">
        <v>272</v>
      </c>
      <c r="Q297" s="70" t="str">
        <f t="shared" ref="Q297:U297" si="49">IF(OR(Q293="",Q294="",Q295="",Q296=""),"",AVERAGE(Q293:Q296))</f>
        <v/>
      </c>
      <c r="R297" s="256" t="str">
        <f t="shared" si="49"/>
        <v/>
      </c>
      <c r="S297" s="71" t="str">
        <f>IF(OR(S293="",S294="",S295="",S296=""),"",AVERAGE(S293:S296))</f>
        <v/>
      </c>
      <c r="T297" s="257" t="str">
        <f t="shared" si="49"/>
        <v/>
      </c>
      <c r="U297" s="302" t="str">
        <f t="shared" si="49"/>
        <v/>
      </c>
      <c r="V297" s="778"/>
      <c r="W297" s="162" t="s">
        <v>314</v>
      </c>
      <c r="X297" s="258" t="str">
        <f>IF(OR(X295="",X296=""),"",(X295-X296)/X296)</f>
        <v/>
      </c>
      <c r="Y297" s="785"/>
      <c r="Z297"/>
      <c r="AA297"/>
      <c r="AB297"/>
      <c r="AC297"/>
      <c r="AD297"/>
      <c r="AE297"/>
      <c r="AF297"/>
      <c r="AG297"/>
      <c r="AH297"/>
      <c r="AI297"/>
      <c r="AJ297"/>
      <c r="AK297"/>
    </row>
    <row r="298" spans="1:37" ht="14.1" customHeight="1">
      <c r="A298" s="17">
        <v>10</v>
      </c>
      <c r="B298" s="67"/>
      <c r="C298" s="440"/>
      <c r="D298" s="296">
        <f t="shared" si="48"/>
        <v>26</v>
      </c>
      <c r="E298" s="296">
        <f t="shared" si="48"/>
        <v>50</v>
      </c>
      <c r="F298" s="303" t="str">
        <f t="shared" si="48"/>
        <v/>
      </c>
      <c r="G298" s="303" t="str">
        <f t="shared" si="48"/>
        <v/>
      </c>
      <c r="H298" s="303" t="str">
        <f t="shared" si="48"/>
        <v/>
      </c>
      <c r="I298" s="297" t="str">
        <f t="shared" si="48"/>
        <v/>
      </c>
      <c r="J298" s="303" t="str">
        <f t="shared" si="48"/>
        <v/>
      </c>
      <c r="K298" s="420" t="str">
        <f t="shared" si="48"/>
        <v/>
      </c>
      <c r="M298" s="69"/>
      <c r="O298" s="462"/>
      <c r="P298" s="162" t="s">
        <v>274</v>
      </c>
      <c r="Q298" s="251" t="str">
        <f t="shared" ref="Q298:U298" si="50">IF(Q297="","",_xlfn.STDEV.S(Q293:Q296)/Q297)</f>
        <v/>
      </c>
      <c r="R298" s="251" t="str">
        <f t="shared" si="50"/>
        <v/>
      </c>
      <c r="S298" s="251" t="str">
        <f t="shared" si="50"/>
        <v/>
      </c>
      <c r="T298" s="251" t="str">
        <f t="shared" si="50"/>
        <v/>
      </c>
      <c r="U298" s="251" t="str">
        <f t="shared" si="50"/>
        <v/>
      </c>
      <c r="V298" s="779"/>
      <c r="W298" s="333"/>
      <c r="X298" s="333"/>
      <c r="Y298" s="785"/>
      <c r="Z298"/>
      <c r="AA298"/>
      <c r="AB298"/>
      <c r="AC298"/>
      <c r="AD298"/>
      <c r="AE298"/>
      <c r="AF298"/>
      <c r="AG298"/>
      <c r="AH298"/>
      <c r="AI298"/>
      <c r="AJ298"/>
      <c r="AK298"/>
    </row>
    <row r="299" spans="1:37" ht="14.1" customHeight="1">
      <c r="A299" s="17">
        <v>11</v>
      </c>
      <c r="B299" s="67"/>
      <c r="C299" s="440"/>
      <c r="D299" s="296">
        <f t="shared" si="48"/>
        <v>28</v>
      </c>
      <c r="E299" s="296">
        <f t="shared" si="48"/>
        <v>50</v>
      </c>
      <c r="F299" s="303" t="str">
        <f t="shared" si="48"/>
        <v/>
      </c>
      <c r="G299" s="303" t="str">
        <f t="shared" si="48"/>
        <v/>
      </c>
      <c r="H299" s="303" t="str">
        <f t="shared" si="48"/>
        <v/>
      </c>
      <c r="I299" s="297" t="str">
        <f t="shared" si="48"/>
        <v/>
      </c>
      <c r="J299" s="303" t="str">
        <f t="shared" si="48"/>
        <v/>
      </c>
      <c r="K299" s="420" t="str">
        <f t="shared" si="48"/>
        <v/>
      </c>
      <c r="M299" s="69"/>
      <c r="O299" s="462"/>
      <c r="P299" s="3" t="s">
        <v>204</v>
      </c>
      <c r="Q299" s="101" t="s">
        <v>315</v>
      </c>
      <c r="R299" s="68"/>
      <c r="S299" s="68"/>
      <c r="T299" s="68"/>
      <c r="U299" s="68"/>
      <c r="V299" s="68"/>
      <c r="W299" s="162" t="s">
        <v>316</v>
      </c>
      <c r="X299" s="248" t="str">
        <f>IF(X295="","",(X295-S297)/S297)</f>
        <v/>
      </c>
      <c r="Y299" s="785"/>
      <c r="Z299"/>
      <c r="AA299"/>
      <c r="AB299"/>
      <c r="AC299"/>
      <c r="AD299"/>
      <c r="AE299"/>
      <c r="AF299"/>
      <c r="AG299"/>
      <c r="AH299"/>
      <c r="AI299"/>
      <c r="AJ299"/>
      <c r="AK299"/>
    </row>
    <row r="300" spans="1:37" ht="14.1" customHeight="1" thickBot="1">
      <c r="A300" s="17">
        <v>12</v>
      </c>
      <c r="B300" s="67"/>
      <c r="C300" s="440"/>
      <c r="D300" s="296">
        <f t="shared" si="48"/>
        <v>30</v>
      </c>
      <c r="E300" s="296">
        <f t="shared" si="48"/>
        <v>50</v>
      </c>
      <c r="F300" s="303" t="str">
        <f t="shared" si="48"/>
        <v/>
      </c>
      <c r="G300" s="303" t="str">
        <f t="shared" si="48"/>
        <v/>
      </c>
      <c r="H300" s="303" t="str">
        <f t="shared" si="48"/>
        <v/>
      </c>
      <c r="I300" s="297" t="str">
        <f t="shared" si="48"/>
        <v/>
      </c>
      <c r="J300" s="303" t="str">
        <f t="shared" si="48"/>
        <v/>
      </c>
      <c r="K300" s="420" t="str">
        <f t="shared" si="48"/>
        <v/>
      </c>
      <c r="M300" s="69"/>
      <c r="O300" s="462"/>
      <c r="P300" s="193"/>
      <c r="Q300" s="101" t="s">
        <v>515</v>
      </c>
      <c r="R300" s="68"/>
      <c r="S300" s="68"/>
      <c r="T300" s="68"/>
      <c r="U300" s="68"/>
      <c r="V300" s="68"/>
      <c r="W300" s="162" t="s">
        <v>318</v>
      </c>
      <c r="X300" s="249" t="str">
        <f>IF(OR(X295="",Q297=""),"",3/(X295/Q297))</f>
        <v/>
      </c>
      <c r="Y300" s="785"/>
      <c r="Z300"/>
      <c r="AA300"/>
      <c r="AB300"/>
      <c r="AC300"/>
      <c r="AD300"/>
      <c r="AE300"/>
      <c r="AF300"/>
      <c r="AG300"/>
      <c r="AH300"/>
      <c r="AI300"/>
      <c r="AJ300"/>
      <c r="AK300"/>
    </row>
    <row r="301" spans="1:37" ht="14.1" customHeight="1" thickBot="1">
      <c r="A301" s="17">
        <v>13</v>
      </c>
      <c r="B301" s="67"/>
      <c r="C301" s="449"/>
      <c r="D301" s="443">
        <f t="shared" si="48"/>
        <v>32</v>
      </c>
      <c r="E301" s="443">
        <f t="shared" si="48"/>
        <v>50</v>
      </c>
      <c r="F301" s="444" t="str">
        <f t="shared" si="48"/>
        <v/>
      </c>
      <c r="G301" s="444" t="str">
        <f t="shared" si="48"/>
        <v/>
      </c>
      <c r="H301" s="444" t="str">
        <f t="shared" si="48"/>
        <v/>
      </c>
      <c r="I301" s="445" t="str">
        <f t="shared" si="48"/>
        <v/>
      </c>
      <c r="J301" s="444" t="str">
        <f t="shared" si="48"/>
        <v/>
      </c>
      <c r="K301" s="412" t="str">
        <f t="shared" si="48"/>
        <v/>
      </c>
      <c r="L301" s="377" t="str">
        <f>IF(K296="","",IF(MAX(K296:K301)&lt;0.05,"Pass","Fail"))</f>
        <v/>
      </c>
      <c r="M301" s="69"/>
      <c r="O301" s="462"/>
      <c r="P301" s="68"/>
      <c r="Q301" s="68"/>
      <c r="R301" s="68"/>
      <c r="S301" s="68"/>
      <c r="T301" s="68"/>
      <c r="U301" s="68"/>
      <c r="V301" s="68"/>
      <c r="W301" s="68"/>
      <c r="X301" s="68"/>
      <c r="Y301" s="785"/>
      <c r="Z301"/>
      <c r="AA301"/>
      <c r="AB301"/>
      <c r="AC301"/>
      <c r="AD301"/>
      <c r="AE301"/>
      <c r="AF301"/>
      <c r="AG301"/>
      <c r="AH301"/>
      <c r="AI301"/>
      <c r="AJ301"/>
      <c r="AK301"/>
    </row>
    <row r="302" spans="1:37" ht="14.1" customHeight="1">
      <c r="A302" s="17">
        <v>14</v>
      </c>
      <c r="B302" s="67"/>
      <c r="C302" s="450" t="str">
        <f>P378</f>
        <v>/</v>
      </c>
      <c r="D302" s="418">
        <f t="shared" ref="D302:K306" si="51">IF(Q378="","",Q378)</f>
        <v>28</v>
      </c>
      <c r="E302" s="418">
        <f t="shared" si="51"/>
        <v>50</v>
      </c>
      <c r="F302" s="437" t="str">
        <f t="shared" si="51"/>
        <v/>
      </c>
      <c r="G302" s="437" t="str">
        <f t="shared" si="51"/>
        <v/>
      </c>
      <c r="H302" s="437" t="str">
        <f t="shared" si="51"/>
        <v/>
      </c>
      <c r="I302" s="438" t="str">
        <f t="shared" si="51"/>
        <v/>
      </c>
      <c r="J302" s="437" t="str">
        <f t="shared" si="51"/>
        <v/>
      </c>
      <c r="K302" s="439" t="str">
        <f t="shared" si="51"/>
        <v/>
      </c>
      <c r="M302" s="69"/>
      <c r="O302" s="462"/>
      <c r="P302" s="68"/>
      <c r="Q302" s="68"/>
      <c r="R302" s="68"/>
      <c r="S302" s="739" t="s">
        <v>275</v>
      </c>
      <c r="T302" s="68"/>
      <c r="U302" s="68"/>
      <c r="V302" s="68"/>
      <c r="W302" s="68"/>
      <c r="X302" s="68"/>
      <c r="Y302" s="785"/>
      <c r="Z302"/>
      <c r="AA302"/>
      <c r="AB302"/>
      <c r="AC302"/>
      <c r="AD302"/>
      <c r="AE302"/>
      <c r="AF302"/>
      <c r="AG302"/>
      <c r="AH302"/>
      <c r="AI302"/>
      <c r="AJ302"/>
      <c r="AK302"/>
    </row>
    <row r="303" spans="1:37" ht="14.1" customHeight="1" thickBot="1">
      <c r="A303" s="17">
        <v>15</v>
      </c>
      <c r="B303" s="67"/>
      <c r="C303" s="441"/>
      <c r="D303" s="296">
        <f t="shared" si="51"/>
        <v>30</v>
      </c>
      <c r="E303" s="296">
        <f t="shared" si="51"/>
        <v>50</v>
      </c>
      <c r="F303" s="303" t="str">
        <f t="shared" si="51"/>
        <v/>
      </c>
      <c r="G303" s="303" t="str">
        <f t="shared" si="51"/>
        <v/>
      </c>
      <c r="H303" s="303" t="str">
        <f t="shared" si="51"/>
        <v/>
      </c>
      <c r="I303" s="297" t="str">
        <f t="shared" si="51"/>
        <v/>
      </c>
      <c r="J303" s="303" t="str">
        <f t="shared" si="51"/>
        <v/>
      </c>
      <c r="K303" s="420" t="str">
        <f t="shared" si="51"/>
        <v/>
      </c>
      <c r="M303" s="69"/>
      <c r="O303" s="462"/>
      <c r="P303" s="68"/>
      <c r="Q303" s="68" t="s">
        <v>269</v>
      </c>
      <c r="R303" s="68" t="s">
        <v>72</v>
      </c>
      <c r="S303" s="68" t="s">
        <v>653</v>
      </c>
      <c r="T303" s="68"/>
      <c r="U303" s="68"/>
      <c r="V303" s="68"/>
      <c r="W303" s="68"/>
      <c r="X303" s="68"/>
      <c r="Y303" s="785"/>
      <c r="Z303"/>
      <c r="AA303"/>
      <c r="AB303"/>
      <c r="AC303"/>
      <c r="AD303"/>
      <c r="AE303"/>
      <c r="AF303"/>
      <c r="AG303"/>
      <c r="AH303"/>
      <c r="AI303"/>
      <c r="AJ303"/>
      <c r="AK303"/>
    </row>
    <row r="304" spans="1:37" ht="14.1" customHeight="1" thickBot="1">
      <c r="A304" s="17">
        <v>16</v>
      </c>
      <c r="B304" s="67"/>
      <c r="C304" s="441"/>
      <c r="D304" s="296">
        <f t="shared" si="51"/>
        <v>32</v>
      </c>
      <c r="E304" s="296">
        <f t="shared" si="51"/>
        <v>50</v>
      </c>
      <c r="F304" s="303" t="str">
        <f t="shared" si="51"/>
        <v/>
      </c>
      <c r="G304" s="303" t="str">
        <f t="shared" si="51"/>
        <v/>
      </c>
      <c r="H304" s="303" t="str">
        <f t="shared" si="51"/>
        <v/>
      </c>
      <c r="I304" s="297" t="str">
        <f t="shared" si="51"/>
        <v/>
      </c>
      <c r="J304" s="303" t="str">
        <f t="shared" si="51"/>
        <v/>
      </c>
      <c r="K304" s="420" t="str">
        <f t="shared" si="51"/>
        <v/>
      </c>
      <c r="M304" s="69"/>
      <c r="O304" s="462"/>
      <c r="P304" s="162" t="s">
        <v>649</v>
      </c>
      <c r="Q304" s="780">
        <f>T259</f>
        <v>0</v>
      </c>
      <c r="R304" s="781" t="str">
        <f>Q286</f>
        <v/>
      </c>
      <c r="S304" s="783" t="str">
        <f>X284</f>
        <v/>
      </c>
      <c r="T304" s="270"/>
      <c r="U304" s="162" t="s">
        <v>218</v>
      </c>
      <c r="V304" s="377" t="str">
        <f>IF(S306="","",IF(S306&lt;=3,"Pass","Fail"))</f>
        <v/>
      </c>
      <c r="W304" s="68"/>
      <c r="X304" s="68"/>
      <c r="Y304" s="785"/>
      <c r="Z304"/>
      <c r="AA304"/>
      <c r="AB304"/>
      <c r="AC304"/>
      <c r="AD304"/>
      <c r="AE304"/>
      <c r="AF304"/>
      <c r="AG304"/>
      <c r="AH304"/>
      <c r="AI304"/>
      <c r="AJ304"/>
      <c r="AK304"/>
    </row>
    <row r="305" spans="1:37" ht="14.1" customHeight="1" thickBot="1">
      <c r="A305" s="17">
        <v>17</v>
      </c>
      <c r="B305" s="67"/>
      <c r="C305" s="441"/>
      <c r="D305" s="296">
        <f t="shared" si="51"/>
        <v>34</v>
      </c>
      <c r="E305" s="296">
        <f t="shared" si="51"/>
        <v>50</v>
      </c>
      <c r="F305" s="303" t="str">
        <f t="shared" si="51"/>
        <v/>
      </c>
      <c r="G305" s="303" t="str">
        <f t="shared" si="51"/>
        <v/>
      </c>
      <c r="H305" s="303" t="str">
        <f t="shared" si="51"/>
        <v/>
      </c>
      <c r="I305" s="297" t="str">
        <f t="shared" si="51"/>
        <v/>
      </c>
      <c r="J305" s="303" t="str">
        <f t="shared" si="51"/>
        <v/>
      </c>
      <c r="K305" s="420" t="str">
        <f t="shared" si="51"/>
        <v/>
      </c>
      <c r="M305" s="69"/>
      <c r="O305" s="462"/>
      <c r="P305" s="162" t="s">
        <v>650</v>
      </c>
      <c r="Q305" s="351">
        <f>T259</f>
        <v>0</v>
      </c>
      <c r="R305" s="782" t="str">
        <f>Q297</f>
        <v/>
      </c>
      <c r="S305" s="784" t="str">
        <f>X295</f>
        <v/>
      </c>
      <c r="T305" s="68"/>
      <c r="U305" s="68"/>
      <c r="V305" s="68"/>
      <c r="W305" s="68"/>
      <c r="X305" s="68"/>
      <c r="Y305" s="785"/>
      <c r="Z305"/>
      <c r="AA305"/>
      <c r="AB305"/>
      <c r="AC305"/>
      <c r="AD305"/>
      <c r="AE305"/>
      <c r="AF305"/>
      <c r="AG305"/>
      <c r="AH305"/>
      <c r="AI305"/>
      <c r="AJ305"/>
      <c r="AK305"/>
    </row>
    <row r="306" spans="1:37" ht="14.1" customHeight="1" thickBot="1">
      <c r="A306" s="17">
        <v>18</v>
      </c>
      <c r="B306" s="67"/>
      <c r="C306" s="442"/>
      <c r="D306" s="443">
        <f t="shared" si="51"/>
        <v>36</v>
      </c>
      <c r="E306" s="443">
        <f t="shared" si="51"/>
        <v>50</v>
      </c>
      <c r="F306" s="444" t="str">
        <f t="shared" si="51"/>
        <v/>
      </c>
      <c r="G306" s="444" t="str">
        <f t="shared" si="51"/>
        <v/>
      </c>
      <c r="H306" s="444" t="str">
        <f t="shared" si="51"/>
        <v/>
      </c>
      <c r="I306" s="445" t="str">
        <f t="shared" si="51"/>
        <v/>
      </c>
      <c r="J306" s="444" t="str">
        <f t="shared" si="51"/>
        <v/>
      </c>
      <c r="K306" s="412" t="str">
        <f t="shared" si="51"/>
        <v/>
      </c>
      <c r="L306" s="739"/>
      <c r="M306" s="69"/>
      <c r="O306" s="462"/>
      <c r="P306" s="68"/>
      <c r="Q306" s="68"/>
      <c r="R306" s="162" t="s">
        <v>654</v>
      </c>
      <c r="S306" s="759" t="str">
        <f>IF(OR(S304="",S305=""),"",S304+S305)</f>
        <v/>
      </c>
      <c r="T306" s="68" t="s">
        <v>342</v>
      </c>
      <c r="U306" s="68"/>
      <c r="V306" s="68"/>
      <c r="W306" s="68"/>
      <c r="X306" s="68"/>
      <c r="Y306" s="785"/>
      <c r="Z306"/>
      <c r="AA306"/>
      <c r="AB306"/>
      <c r="AC306"/>
      <c r="AD306"/>
      <c r="AE306"/>
      <c r="AF306"/>
      <c r="AG306"/>
      <c r="AH306"/>
      <c r="AI306"/>
      <c r="AJ306"/>
      <c r="AK306"/>
    </row>
    <row r="307" spans="1:37" ht="14.1" customHeight="1">
      <c r="A307" s="17">
        <v>19</v>
      </c>
      <c r="B307" s="67"/>
      <c r="C307" s="441" t="str">
        <f>P384</f>
        <v>/</v>
      </c>
      <c r="D307" s="414">
        <f t="shared" ref="D307:K311" si="52">IF(Q384="","",Q384)</f>
        <v>28</v>
      </c>
      <c r="E307" s="414">
        <f t="shared" si="52"/>
        <v>50</v>
      </c>
      <c r="F307" s="446" t="str">
        <f t="shared" si="52"/>
        <v/>
      </c>
      <c r="G307" s="446" t="str">
        <f t="shared" si="52"/>
        <v/>
      </c>
      <c r="H307" s="446" t="str">
        <f t="shared" si="52"/>
        <v/>
      </c>
      <c r="I307" s="447" t="str">
        <f t="shared" si="52"/>
        <v/>
      </c>
      <c r="J307" s="446" t="str">
        <f t="shared" si="52"/>
        <v/>
      </c>
      <c r="K307" s="448" t="str">
        <f t="shared" si="52"/>
        <v/>
      </c>
      <c r="M307" s="69"/>
      <c r="O307" s="462"/>
      <c r="P307" s="3" t="s">
        <v>204</v>
      </c>
      <c r="Q307" s="101" t="s">
        <v>315</v>
      </c>
      <c r="R307" s="68"/>
      <c r="S307" s="68"/>
      <c r="T307" s="68"/>
      <c r="U307" s="68"/>
      <c r="V307" s="68"/>
      <c r="W307" s="68"/>
      <c r="X307" s="68"/>
      <c r="Y307" s="785"/>
      <c r="Z307"/>
      <c r="AA307"/>
      <c r="AB307"/>
      <c r="AC307"/>
      <c r="AD307"/>
      <c r="AE307"/>
      <c r="AF307"/>
      <c r="AG307"/>
      <c r="AH307"/>
      <c r="AI307"/>
      <c r="AJ307"/>
      <c r="AK307"/>
    </row>
    <row r="308" spans="1:37" ht="14.1" customHeight="1" thickBot="1">
      <c r="A308" s="17">
        <v>20</v>
      </c>
      <c r="B308" s="67"/>
      <c r="C308" s="441"/>
      <c r="D308" s="296">
        <f t="shared" si="52"/>
        <v>30</v>
      </c>
      <c r="E308" s="296">
        <f t="shared" si="52"/>
        <v>50</v>
      </c>
      <c r="F308" s="303" t="str">
        <f t="shared" si="52"/>
        <v/>
      </c>
      <c r="G308" s="303" t="str">
        <f t="shared" si="52"/>
        <v/>
      </c>
      <c r="H308" s="303" t="str">
        <f t="shared" si="52"/>
        <v/>
      </c>
      <c r="I308" s="297" t="str">
        <f t="shared" si="52"/>
        <v/>
      </c>
      <c r="J308" s="303" t="str">
        <f t="shared" si="52"/>
        <v/>
      </c>
      <c r="K308" s="420" t="str">
        <f t="shared" si="52"/>
        <v/>
      </c>
      <c r="M308" s="69"/>
      <c r="O308" s="40"/>
      <c r="R308" s="41"/>
      <c r="S308" s="41"/>
      <c r="T308" s="41"/>
      <c r="U308" s="41"/>
      <c r="V308" s="41"/>
      <c r="W308" s="41"/>
      <c r="X308" s="41"/>
      <c r="Y308" s="42"/>
      <c r="Z308"/>
      <c r="AA308"/>
      <c r="AB308"/>
      <c r="AC308"/>
      <c r="AD308"/>
      <c r="AE308"/>
      <c r="AF308"/>
      <c r="AG308"/>
      <c r="AH308"/>
      <c r="AI308"/>
      <c r="AJ308"/>
      <c r="AK308"/>
    </row>
    <row r="309" spans="1:37" ht="14.1" customHeight="1">
      <c r="A309" s="17">
        <v>21</v>
      </c>
      <c r="B309" s="67"/>
      <c r="C309" s="441"/>
      <c r="D309" s="296">
        <f t="shared" si="52"/>
        <v>32</v>
      </c>
      <c r="E309" s="296">
        <f t="shared" si="52"/>
        <v>50</v>
      </c>
      <c r="F309" s="303" t="str">
        <f t="shared" si="52"/>
        <v/>
      </c>
      <c r="G309" s="303" t="str">
        <f t="shared" si="52"/>
        <v/>
      </c>
      <c r="H309" s="303" t="str">
        <f t="shared" si="52"/>
        <v/>
      </c>
      <c r="I309" s="297" t="str">
        <f t="shared" si="52"/>
        <v/>
      </c>
      <c r="J309" s="303" t="str">
        <f t="shared" si="52"/>
        <v/>
      </c>
      <c r="K309" s="420" t="str">
        <f t="shared" si="52"/>
        <v/>
      </c>
      <c r="M309" s="69"/>
      <c r="O309" s="136" t="s">
        <v>586</v>
      </c>
      <c r="P309" s="23"/>
      <c r="Q309" s="23"/>
      <c r="R309" s="23"/>
      <c r="S309" s="23"/>
      <c r="T309" s="23"/>
      <c r="U309" s="23"/>
      <c r="V309" s="23"/>
      <c r="W309" s="23"/>
      <c r="X309" s="23"/>
      <c r="Y309" s="24"/>
      <c r="Z309"/>
      <c r="AA309"/>
      <c r="AB309"/>
      <c r="AC309"/>
      <c r="AD309"/>
      <c r="AE309"/>
      <c r="AF309"/>
      <c r="AG309"/>
      <c r="AH309"/>
      <c r="AI309"/>
      <c r="AJ309"/>
      <c r="AK309"/>
    </row>
    <row r="310" spans="1:37" ht="14.1" customHeight="1" thickBot="1">
      <c r="A310" s="17">
        <v>22</v>
      </c>
      <c r="B310" s="67"/>
      <c r="C310" s="441"/>
      <c r="D310" s="296">
        <f t="shared" si="52"/>
        <v>34</v>
      </c>
      <c r="E310" s="296">
        <f t="shared" si="52"/>
        <v>50</v>
      </c>
      <c r="F310" s="303" t="str">
        <f t="shared" si="52"/>
        <v/>
      </c>
      <c r="G310" s="303" t="str">
        <f t="shared" si="52"/>
        <v/>
      </c>
      <c r="H310" s="303" t="str">
        <f t="shared" si="52"/>
        <v/>
      </c>
      <c r="I310" s="297" t="str">
        <f t="shared" si="52"/>
        <v/>
      </c>
      <c r="J310" s="303" t="str">
        <f t="shared" si="52"/>
        <v/>
      </c>
      <c r="K310" s="420" t="str">
        <f t="shared" si="52"/>
        <v/>
      </c>
      <c r="M310" s="69"/>
      <c r="O310" s="30"/>
      <c r="P310" s="162" t="s">
        <v>592</v>
      </c>
      <c r="Q310" s="162" t="s">
        <v>589</v>
      </c>
      <c r="R310" s="1">
        <v>101.3</v>
      </c>
      <c r="S310" s="68"/>
      <c r="T310" s="68"/>
      <c r="U310" s="68"/>
      <c r="V310" s="68"/>
      <c r="W310" s="68"/>
      <c r="X310" s="68"/>
      <c r="Y310" s="32"/>
      <c r="Z310"/>
      <c r="AA310"/>
      <c r="AB310"/>
      <c r="AC310"/>
      <c r="AD310"/>
      <c r="AE310"/>
      <c r="AF310"/>
      <c r="AG310"/>
      <c r="AH310"/>
      <c r="AI310"/>
      <c r="AJ310"/>
      <c r="AK310"/>
    </row>
    <row r="311" spans="1:37" ht="14.1" customHeight="1" thickBot="1">
      <c r="A311" s="17">
        <v>23</v>
      </c>
      <c r="B311" s="67"/>
      <c r="C311" s="442"/>
      <c r="D311" s="443">
        <f t="shared" si="52"/>
        <v>38</v>
      </c>
      <c r="E311" s="443">
        <f t="shared" si="52"/>
        <v>50</v>
      </c>
      <c r="F311" s="444" t="str">
        <f t="shared" si="52"/>
        <v/>
      </c>
      <c r="G311" s="444" t="str">
        <f t="shared" si="52"/>
        <v/>
      </c>
      <c r="H311" s="444" t="str">
        <f t="shared" si="52"/>
        <v/>
      </c>
      <c r="I311" s="445" t="str">
        <f t="shared" si="52"/>
        <v/>
      </c>
      <c r="J311" s="444" t="str">
        <f t="shared" si="52"/>
        <v/>
      </c>
      <c r="K311" s="412" t="str">
        <f t="shared" si="52"/>
        <v/>
      </c>
      <c r="L311" s="377" t="str">
        <f>IF(K307="","",IF(MAX(K307:K311)&lt;0.05,"Pass","Fail"))</f>
        <v/>
      </c>
      <c r="M311" s="69"/>
      <c r="O311" s="30"/>
      <c r="P311" s="68"/>
      <c r="Q311" s="162" t="s">
        <v>590</v>
      </c>
      <c r="R311" s="687">
        <v>108</v>
      </c>
      <c r="S311" s="739" t="s">
        <v>321</v>
      </c>
      <c r="T311" s="739"/>
      <c r="U311" s="68"/>
      <c r="V311" s="68"/>
      <c r="W311" s="68"/>
      <c r="X311" s="68"/>
      <c r="Y311" s="32"/>
      <c r="Z311"/>
      <c r="AA311"/>
      <c r="AB311"/>
      <c r="AC311"/>
      <c r="AD311"/>
      <c r="AE311"/>
      <c r="AF311"/>
      <c r="AG311"/>
      <c r="AH311"/>
      <c r="AI311"/>
      <c r="AJ311"/>
      <c r="AK311"/>
    </row>
    <row r="312" spans="1:37" ht="14.1" customHeight="1">
      <c r="A312" s="17">
        <v>24</v>
      </c>
      <c r="B312" s="67"/>
      <c r="J312" s="452"/>
      <c r="K312" s="369"/>
      <c r="M312" s="69"/>
      <c r="O312" s="30"/>
      <c r="P312" s="736" t="s">
        <v>588</v>
      </c>
      <c r="Q312" s="737" t="s">
        <v>587</v>
      </c>
      <c r="R312" s="738" t="s">
        <v>291</v>
      </c>
      <c r="S312" s="736" t="s">
        <v>588</v>
      </c>
      <c r="T312" s="738" t="s">
        <v>587</v>
      </c>
      <c r="U312" s="68"/>
      <c r="V312" s="68"/>
      <c r="W312" s="68"/>
      <c r="X312" s="68"/>
      <c r="Y312" s="32"/>
      <c r="Z312"/>
      <c r="AA312"/>
      <c r="AB312"/>
      <c r="AC312"/>
      <c r="AD312"/>
      <c r="AE312"/>
      <c r="AF312"/>
      <c r="AG312"/>
      <c r="AH312"/>
      <c r="AI312"/>
      <c r="AJ312"/>
      <c r="AK312"/>
    </row>
    <row r="313" spans="1:37" ht="14.1" customHeight="1">
      <c r="A313" s="17">
        <v>25</v>
      </c>
      <c r="B313" s="67"/>
      <c r="M313" s="69"/>
      <c r="O313" s="161" t="s">
        <v>603</v>
      </c>
      <c r="P313" s="688"/>
      <c r="Q313" s="145"/>
      <c r="R313" s="339" t="str">
        <f>IF(OR(P313="",Q313=""),"",IF(AND(ABS($R$310-P313)&lt;=$R$310*0.02,ABS($R$311-Q313)&lt;=$R$311*0.02),"Pass","Fail"))</f>
        <v/>
      </c>
      <c r="S313" s="702" t="str">
        <f>IF(AB124="","",AB124)</f>
        <v/>
      </c>
      <c r="T313" s="703" t="str">
        <f>IF(AB125="","",AB125)</f>
        <v/>
      </c>
      <c r="U313" s="68"/>
      <c r="V313" s="68"/>
      <c r="W313" s="68"/>
      <c r="X313" s="68"/>
      <c r="Y313" s="32"/>
      <c r="Z313"/>
      <c r="AA313"/>
      <c r="AB313"/>
      <c r="AC313"/>
      <c r="AD313"/>
      <c r="AE313"/>
      <c r="AF313"/>
      <c r="AG313"/>
      <c r="AH313"/>
      <c r="AI313"/>
      <c r="AJ313"/>
      <c r="AK313"/>
    </row>
    <row r="314" spans="1:37" ht="14.1" customHeight="1">
      <c r="A314" s="17">
        <v>26</v>
      </c>
      <c r="B314" s="67"/>
      <c r="M314" s="69"/>
      <c r="O314" s="161" t="s">
        <v>604</v>
      </c>
      <c r="P314" s="688"/>
      <c r="Q314" s="145"/>
      <c r="R314" s="339" t="str">
        <f>IF(OR(P314="",Q314=""),"",IF(AND(ABS($R$310-P314)&lt;=$R$310*0.02,ABS($R$311-Q314)&lt;=$R$311*0.02),"Pass","Fail"))</f>
        <v/>
      </c>
      <c r="S314" s="702" t="str">
        <f>IF(AB126="","",AB126)</f>
        <v/>
      </c>
      <c r="T314" s="703" t="str">
        <f>IF(AB127="","",AB127)</f>
        <v/>
      </c>
      <c r="U314" s="68"/>
      <c r="V314" s="68"/>
      <c r="W314" s="68"/>
      <c r="X314" s="68"/>
      <c r="Y314" s="32"/>
      <c r="Z314"/>
      <c r="AA314"/>
      <c r="AB314"/>
      <c r="AC314"/>
      <c r="AD314"/>
      <c r="AE314"/>
      <c r="AF314"/>
      <c r="AG314"/>
      <c r="AH314"/>
      <c r="AI314"/>
      <c r="AJ314"/>
      <c r="AK314"/>
    </row>
    <row r="315" spans="1:37" ht="14.1" customHeight="1" thickBot="1">
      <c r="A315" s="17">
        <v>27</v>
      </c>
      <c r="B315" s="67"/>
      <c r="I315" s="4"/>
      <c r="J315" s="4"/>
      <c r="M315" s="69"/>
      <c r="O315" s="161" t="s">
        <v>605</v>
      </c>
      <c r="P315" s="689"/>
      <c r="Q315" s="690"/>
      <c r="R315" s="388" t="str">
        <f>IF(OR(P315="",Q315=""),"",IF(AND(ABS($R$310-P315)&lt;=$R$310*0.02,ABS($R$311-Q315)&lt;=$R$311*0.02),"Pass","Fail"))</f>
        <v/>
      </c>
      <c r="S315" s="704" t="str">
        <f>IF(AB128="","",AB128)</f>
        <v/>
      </c>
      <c r="T315" s="705" t="str">
        <f>IF(AB129="","",AB129)</f>
        <v/>
      </c>
      <c r="U315" s="68"/>
      <c r="V315" s="68"/>
      <c r="W315" s="68"/>
      <c r="X315" s="68"/>
      <c r="Y315" s="32"/>
      <c r="Z315"/>
      <c r="AA315"/>
      <c r="AB315"/>
      <c r="AC315"/>
      <c r="AD315"/>
      <c r="AE315"/>
      <c r="AF315"/>
      <c r="AG315"/>
      <c r="AH315"/>
      <c r="AI315"/>
      <c r="AJ315"/>
      <c r="AK315"/>
    </row>
    <row r="316" spans="1:37" ht="14.1" customHeight="1">
      <c r="A316" s="17">
        <v>28</v>
      </c>
      <c r="B316" s="67"/>
      <c r="I316" s="4"/>
      <c r="J316" s="4"/>
      <c r="M316" s="69"/>
      <c r="O316" s="30"/>
      <c r="P316" s="3" t="s">
        <v>204</v>
      </c>
      <c r="Q316" s="101" t="s">
        <v>591</v>
      </c>
      <c r="R316" s="68"/>
      <c r="S316" s="68"/>
      <c r="T316" s="68"/>
      <c r="U316" s="68"/>
      <c r="V316" s="68"/>
      <c r="W316" s="68"/>
      <c r="X316" s="68"/>
      <c r="Y316" s="32"/>
      <c r="Z316"/>
      <c r="AA316"/>
      <c r="AB316"/>
      <c r="AC316"/>
      <c r="AD316"/>
      <c r="AE316"/>
      <c r="AF316"/>
      <c r="AG316"/>
      <c r="AH316"/>
      <c r="AI316"/>
      <c r="AJ316"/>
      <c r="AK316"/>
    </row>
    <row r="317" spans="1:37" ht="14.1" customHeight="1">
      <c r="A317" s="17">
        <v>29</v>
      </c>
      <c r="B317" s="67"/>
      <c r="I317" s="4"/>
      <c r="J317" s="4"/>
      <c r="M317" s="69"/>
      <c r="O317" s="30"/>
      <c r="P317" s="68"/>
      <c r="Q317" s="68"/>
      <c r="R317" s="68"/>
      <c r="S317" s="68"/>
      <c r="T317" s="68"/>
      <c r="U317" s="68"/>
      <c r="V317" s="68"/>
      <c r="W317" s="68"/>
      <c r="X317" s="68"/>
      <c r="Y317" s="32"/>
      <c r="Z317"/>
      <c r="AA317"/>
      <c r="AB317"/>
      <c r="AC317"/>
      <c r="AD317"/>
      <c r="AE317"/>
      <c r="AF317"/>
      <c r="AG317"/>
      <c r="AH317"/>
      <c r="AI317"/>
      <c r="AJ317"/>
      <c r="AK317"/>
    </row>
    <row r="318" spans="1:37" ht="14.1" customHeight="1" thickBot="1">
      <c r="A318" s="17">
        <v>30</v>
      </c>
      <c r="B318" s="67"/>
      <c r="M318" s="69"/>
      <c r="O318" s="139" t="s">
        <v>593</v>
      </c>
      <c r="P318" s="68"/>
      <c r="Q318" s="68"/>
      <c r="R318" s="68"/>
      <c r="S318" s="68"/>
      <c r="T318" s="68"/>
      <c r="U318" s="68"/>
      <c r="V318" s="68"/>
      <c r="W318" s="68"/>
      <c r="X318" s="68"/>
      <c r="Y318" s="32"/>
      <c r="Z318"/>
      <c r="AA318"/>
      <c r="AB318"/>
      <c r="AC318"/>
      <c r="AD318"/>
      <c r="AE318"/>
      <c r="AF318"/>
      <c r="AG318"/>
      <c r="AH318"/>
      <c r="AI318"/>
      <c r="AJ318"/>
      <c r="AK318"/>
    </row>
    <row r="319" spans="1:37" ht="14.1" customHeight="1">
      <c r="A319" s="17">
        <v>31</v>
      </c>
      <c r="B319" s="67"/>
      <c r="M319" s="69"/>
      <c r="O319" s="709" t="s">
        <v>611</v>
      </c>
      <c r="P319" s="691" t="s">
        <v>607</v>
      </c>
      <c r="Q319" s="766">
        <f>U319-2</f>
        <v>-2</v>
      </c>
      <c r="R319" s="691" t="s">
        <v>606</v>
      </c>
      <c r="S319" s="766">
        <f>U319-1</f>
        <v>-1</v>
      </c>
      <c r="T319" s="691" t="s">
        <v>608</v>
      </c>
      <c r="U319" s="692"/>
      <c r="V319" s="691" t="s">
        <v>609</v>
      </c>
      <c r="W319" s="766">
        <f>U319+1</f>
        <v>1</v>
      </c>
      <c r="X319" s="691" t="s">
        <v>610</v>
      </c>
      <c r="Y319" s="767">
        <f>U319+2</f>
        <v>2</v>
      </c>
      <c r="Z319"/>
      <c r="AA319"/>
      <c r="AB319"/>
      <c r="AC319"/>
      <c r="AD319"/>
      <c r="AE319"/>
      <c r="AF319"/>
      <c r="AG319"/>
      <c r="AH319"/>
      <c r="AI319"/>
      <c r="AJ319"/>
      <c r="AK319"/>
    </row>
    <row r="320" spans="1:37" ht="14.1" customHeight="1">
      <c r="A320" s="17">
        <v>32</v>
      </c>
      <c r="B320" s="67"/>
      <c r="M320" s="69"/>
      <c r="O320" s="710" t="s">
        <v>603</v>
      </c>
      <c r="P320" s="296" t="s">
        <v>599</v>
      </c>
      <c r="Q320" s="296" t="s">
        <v>284</v>
      </c>
      <c r="R320" s="296" t="s">
        <v>599</v>
      </c>
      <c r="S320" s="296" t="s">
        <v>284</v>
      </c>
      <c r="T320" s="296" t="s">
        <v>599</v>
      </c>
      <c r="U320" s="296" t="s">
        <v>284</v>
      </c>
      <c r="V320" s="296" t="s">
        <v>599</v>
      </c>
      <c r="W320" s="296" t="s">
        <v>284</v>
      </c>
      <c r="X320" s="296" t="s">
        <v>599</v>
      </c>
      <c r="Y320" s="722" t="s">
        <v>284</v>
      </c>
      <c r="Z320"/>
      <c r="AA320"/>
      <c r="AB320"/>
      <c r="AC320"/>
      <c r="AD320"/>
      <c r="AE320"/>
      <c r="AF320"/>
      <c r="AG320"/>
      <c r="AH320"/>
      <c r="AI320"/>
      <c r="AJ320"/>
      <c r="AK320"/>
    </row>
    <row r="321" spans="1:37" ht="14.1" customHeight="1">
      <c r="A321" s="17">
        <v>33</v>
      </c>
      <c r="B321" s="67"/>
      <c r="M321" s="69"/>
      <c r="O321" s="711">
        <v>1</v>
      </c>
      <c r="P321" s="693"/>
      <c r="Q321" s="693"/>
      <c r="R321" s="693"/>
      <c r="S321" s="693"/>
      <c r="T321" s="693"/>
      <c r="U321" s="693"/>
      <c r="V321" s="693"/>
      <c r="W321" s="693"/>
      <c r="X321" s="693"/>
      <c r="Y321" s="712"/>
      <c r="Z321"/>
      <c r="AA321"/>
      <c r="AB321"/>
      <c r="AC321"/>
      <c r="AD321"/>
      <c r="AE321"/>
      <c r="AF321"/>
      <c r="AG321"/>
      <c r="AH321"/>
      <c r="AI321"/>
      <c r="AJ321"/>
      <c r="AK321"/>
    </row>
    <row r="322" spans="1:37" ht="14.1" customHeight="1">
      <c r="A322" s="17">
        <v>34</v>
      </c>
      <c r="B322" s="67"/>
      <c r="C322" s="68"/>
      <c r="D322" s="68"/>
      <c r="E322" s="68"/>
      <c r="F322" s="68"/>
      <c r="G322" s="68"/>
      <c r="H322" s="68"/>
      <c r="I322" s="68"/>
      <c r="J322" s="68"/>
      <c r="K322" s="68"/>
      <c r="L322" s="68"/>
      <c r="M322" s="69"/>
      <c r="O322" s="711">
        <v>2</v>
      </c>
      <c r="P322" s="693"/>
      <c r="Q322" s="693"/>
      <c r="R322" s="693"/>
      <c r="S322" s="693"/>
      <c r="T322" s="693"/>
      <c r="U322" s="693"/>
      <c r="V322" s="693"/>
      <c r="W322" s="693"/>
      <c r="X322" s="693"/>
      <c r="Y322" s="712"/>
      <c r="Z322"/>
      <c r="AA322"/>
      <c r="AB322"/>
      <c r="AC322"/>
      <c r="AD322"/>
      <c r="AE322"/>
      <c r="AF322"/>
      <c r="AG322"/>
      <c r="AH322"/>
      <c r="AI322"/>
      <c r="AJ322"/>
      <c r="AK322"/>
    </row>
    <row r="323" spans="1:37" ht="14.1" customHeight="1">
      <c r="A323" s="17">
        <v>35</v>
      </c>
      <c r="B323" s="67"/>
      <c r="C323" s="68"/>
      <c r="D323" s="68"/>
      <c r="E323" s="68"/>
      <c r="F323" s="68"/>
      <c r="G323" s="68"/>
      <c r="H323" s="68"/>
      <c r="I323" s="68"/>
      <c r="J323" s="68"/>
      <c r="K323" s="68"/>
      <c r="L323" s="68"/>
      <c r="M323" s="69"/>
      <c r="O323" s="711">
        <v>3</v>
      </c>
      <c r="P323" s="693"/>
      <c r="Q323" s="693"/>
      <c r="R323" s="693"/>
      <c r="S323" s="693"/>
      <c r="T323" s="693"/>
      <c r="U323" s="693"/>
      <c r="V323" s="693"/>
      <c r="W323" s="693"/>
      <c r="X323" s="693"/>
      <c r="Y323" s="712"/>
      <c r="Z323"/>
      <c r="AA323"/>
      <c r="AB323"/>
      <c r="AC323"/>
      <c r="AD323"/>
      <c r="AE323"/>
      <c r="AF323"/>
      <c r="AG323"/>
      <c r="AH323"/>
      <c r="AI323"/>
      <c r="AJ323"/>
      <c r="AK323"/>
    </row>
    <row r="324" spans="1:37" ht="14.1" customHeight="1">
      <c r="A324" s="17">
        <v>36</v>
      </c>
      <c r="B324" s="67"/>
      <c r="C324" s="68"/>
      <c r="D324" s="68"/>
      <c r="E324" s="68"/>
      <c r="F324" s="68"/>
      <c r="G324" s="68"/>
      <c r="H324" s="68"/>
      <c r="I324" s="68"/>
      <c r="J324" s="68"/>
      <c r="K324" s="68"/>
      <c r="L324" s="68"/>
      <c r="M324" s="69"/>
      <c r="O324" s="711">
        <v>4</v>
      </c>
      <c r="P324" s="693"/>
      <c r="Q324" s="693"/>
      <c r="R324" s="693"/>
      <c r="S324" s="693"/>
      <c r="T324" s="693"/>
      <c r="U324" s="693"/>
      <c r="V324" s="693"/>
      <c r="W324" s="693"/>
      <c r="X324" s="693"/>
      <c r="Y324" s="712"/>
      <c r="Z324"/>
      <c r="AA324"/>
      <c r="AB324"/>
      <c r="AC324"/>
      <c r="AD324"/>
      <c r="AE324"/>
      <c r="AF324"/>
      <c r="AG324"/>
      <c r="AH324"/>
      <c r="AI324"/>
      <c r="AJ324"/>
      <c r="AK324"/>
    </row>
    <row r="325" spans="1:37" ht="14.1" customHeight="1">
      <c r="A325" s="17">
        <v>37</v>
      </c>
      <c r="B325" s="67"/>
      <c r="C325" s="68"/>
      <c r="D325" s="68"/>
      <c r="E325" s="68"/>
      <c r="F325" s="68"/>
      <c r="G325" s="68"/>
      <c r="H325" s="68"/>
      <c r="I325" s="68"/>
      <c r="J325" s="68"/>
      <c r="K325" s="68"/>
      <c r="L325" s="68"/>
      <c r="M325" s="69"/>
      <c r="O325" s="748">
        <v>5</v>
      </c>
      <c r="P325" s="749"/>
      <c r="Q325" s="749"/>
      <c r="R325" s="749"/>
      <c r="S325" s="749"/>
      <c r="T325" s="749"/>
      <c r="U325" s="749"/>
      <c r="V325" s="749"/>
      <c r="W325" s="749"/>
      <c r="X325" s="749"/>
      <c r="Y325" s="750"/>
      <c r="Z325"/>
      <c r="AA325"/>
      <c r="AB325"/>
      <c r="AC325"/>
      <c r="AD325"/>
      <c r="AE325"/>
      <c r="AF325"/>
      <c r="AG325"/>
      <c r="AH325"/>
      <c r="AI325"/>
      <c r="AJ325"/>
      <c r="AK325"/>
    </row>
    <row r="326" spans="1:37" ht="14.1" customHeight="1" thickBot="1">
      <c r="A326" s="17">
        <v>38</v>
      </c>
      <c r="B326" s="67"/>
      <c r="C326" s="68"/>
      <c r="D326" s="68"/>
      <c r="E326" s="68"/>
      <c r="F326" s="68"/>
      <c r="G326" s="68"/>
      <c r="H326" s="68"/>
      <c r="I326" s="68"/>
      <c r="J326" s="68"/>
      <c r="K326" s="68"/>
      <c r="L326" s="68"/>
      <c r="M326" s="69"/>
      <c r="O326" s="751">
        <v>6</v>
      </c>
      <c r="P326" s="752"/>
      <c r="Q326" s="753"/>
      <c r="R326" s="752"/>
      <c r="S326" s="753"/>
      <c r="T326" s="752"/>
      <c r="U326" s="753"/>
      <c r="V326" s="752"/>
      <c r="W326" s="753"/>
      <c r="X326" s="752"/>
      <c r="Y326" s="754"/>
    </row>
    <row r="327" spans="1:37" ht="14.1" customHeight="1">
      <c r="A327" s="17">
        <v>39</v>
      </c>
      <c r="B327" s="67"/>
      <c r="C327" s="68"/>
      <c r="D327" s="68"/>
      <c r="E327" s="68"/>
      <c r="F327" s="68"/>
      <c r="G327" s="68"/>
      <c r="H327" s="68"/>
      <c r="I327" s="68"/>
      <c r="J327" s="68"/>
      <c r="K327" s="68"/>
      <c r="L327" s="68"/>
      <c r="M327" s="69"/>
      <c r="O327" s="713" t="s">
        <v>604</v>
      </c>
      <c r="P327" s="691" t="s">
        <v>607</v>
      </c>
      <c r="Q327" s="766">
        <f>U327-2</f>
        <v>-2</v>
      </c>
      <c r="R327" s="691" t="s">
        <v>606</v>
      </c>
      <c r="S327" s="766">
        <f>U327-1</f>
        <v>-1</v>
      </c>
      <c r="T327" s="691" t="s">
        <v>608</v>
      </c>
      <c r="U327" s="692"/>
      <c r="V327" s="691" t="s">
        <v>609</v>
      </c>
      <c r="W327" s="766">
        <f>U327+1</f>
        <v>1</v>
      </c>
      <c r="X327" s="691" t="s">
        <v>610</v>
      </c>
      <c r="Y327" s="767">
        <f>U327+2</f>
        <v>2</v>
      </c>
    </row>
    <row r="328" spans="1:37" ht="14.1" customHeight="1">
      <c r="A328" s="17">
        <v>40</v>
      </c>
      <c r="B328" s="67"/>
      <c r="C328" s="68"/>
      <c r="D328" s="68"/>
      <c r="E328" s="68"/>
      <c r="F328" s="68"/>
      <c r="G328" s="68"/>
      <c r="H328" s="68"/>
      <c r="I328" s="68"/>
      <c r="J328" s="68"/>
      <c r="K328" s="68"/>
      <c r="L328" s="68"/>
      <c r="M328" s="69"/>
      <c r="O328" s="711">
        <v>1</v>
      </c>
      <c r="P328" s="693"/>
      <c r="Q328" s="693"/>
      <c r="R328" s="693"/>
      <c r="S328" s="693"/>
      <c r="T328" s="693"/>
      <c r="U328" s="693"/>
      <c r="V328" s="693"/>
      <c r="W328" s="693"/>
      <c r="X328" s="693"/>
      <c r="Y328" s="712"/>
    </row>
    <row r="329" spans="1:37" ht="14.1" customHeight="1">
      <c r="A329" s="17">
        <v>41</v>
      </c>
      <c r="B329" s="67"/>
      <c r="C329" s="68"/>
      <c r="D329" s="68"/>
      <c r="E329" s="68"/>
      <c r="F329" s="68"/>
      <c r="G329" s="68"/>
      <c r="H329" s="68"/>
      <c r="I329" s="68"/>
      <c r="J329" s="68"/>
      <c r="K329" s="68"/>
      <c r="L329" s="68"/>
      <c r="M329" s="69"/>
      <c r="O329" s="711">
        <v>2</v>
      </c>
      <c r="P329" s="693"/>
      <c r="Q329" s="693"/>
      <c r="R329" s="693"/>
      <c r="S329" s="693"/>
      <c r="T329" s="693"/>
      <c r="U329" s="693"/>
      <c r="V329" s="693"/>
      <c r="W329" s="693"/>
      <c r="X329" s="693"/>
      <c r="Y329" s="712"/>
    </row>
    <row r="330" spans="1:37" ht="14.1" customHeight="1">
      <c r="A330" s="17">
        <v>42</v>
      </c>
      <c r="B330" s="67"/>
      <c r="C330" s="68"/>
      <c r="D330" s="68"/>
      <c r="E330" s="68"/>
      <c r="F330" s="68"/>
      <c r="G330" s="68"/>
      <c r="H330" s="68"/>
      <c r="I330" s="68"/>
      <c r="J330" s="68"/>
      <c r="K330" s="68"/>
      <c r="L330" s="68"/>
      <c r="M330" s="69"/>
      <c r="O330" s="711">
        <v>3</v>
      </c>
      <c r="P330" s="693"/>
      <c r="Q330" s="693"/>
      <c r="R330" s="693"/>
      <c r="S330" s="693"/>
      <c r="T330" s="693"/>
      <c r="U330" s="693"/>
      <c r="V330" s="693"/>
      <c r="W330" s="693"/>
      <c r="X330" s="693"/>
      <c r="Y330" s="712"/>
    </row>
    <row r="331" spans="1:37" ht="14.1" customHeight="1">
      <c r="A331" s="17">
        <v>43</v>
      </c>
      <c r="B331" s="67"/>
      <c r="C331" s="68"/>
      <c r="D331" s="68"/>
      <c r="E331" s="68"/>
      <c r="F331" s="68"/>
      <c r="G331" s="68"/>
      <c r="H331" s="68"/>
      <c r="I331" s="68"/>
      <c r="J331" s="68"/>
      <c r="K331" s="68"/>
      <c r="L331" s="68"/>
      <c r="M331" s="69"/>
      <c r="O331" s="711">
        <v>4</v>
      </c>
      <c r="P331" s="693"/>
      <c r="Q331" s="693"/>
      <c r="R331" s="693"/>
      <c r="S331" s="693"/>
      <c r="T331" s="693"/>
      <c r="U331" s="693"/>
      <c r="V331" s="693"/>
      <c r="W331" s="693"/>
      <c r="X331" s="693"/>
      <c r="Y331" s="712"/>
    </row>
    <row r="332" spans="1:37" ht="14.1" customHeight="1">
      <c r="A332" s="17">
        <v>44</v>
      </c>
      <c r="B332" s="67"/>
      <c r="C332" s="68"/>
      <c r="D332" s="68"/>
      <c r="E332" s="68"/>
      <c r="F332" s="68"/>
      <c r="G332" s="68"/>
      <c r="H332" s="68"/>
      <c r="I332" s="68"/>
      <c r="J332" s="68"/>
      <c r="K332" s="68"/>
      <c r="L332" s="68"/>
      <c r="M332" s="69"/>
      <c r="O332" s="748">
        <v>5</v>
      </c>
      <c r="P332" s="749"/>
      <c r="Q332" s="749"/>
      <c r="R332" s="749"/>
      <c r="S332" s="749"/>
      <c r="T332" s="749"/>
      <c r="U332" s="749"/>
      <c r="V332" s="749"/>
      <c r="W332" s="749"/>
      <c r="X332" s="749"/>
      <c r="Y332" s="750"/>
    </row>
    <row r="333" spans="1:37" ht="14.1" customHeight="1" thickBot="1">
      <c r="A333" s="17">
        <v>45</v>
      </c>
      <c r="B333" s="67"/>
      <c r="C333" s="68"/>
      <c r="D333" s="68"/>
      <c r="E333" s="68"/>
      <c r="F333" s="68"/>
      <c r="G333" s="68"/>
      <c r="H333" s="68"/>
      <c r="I333" s="68"/>
      <c r="J333" s="68"/>
      <c r="K333" s="68"/>
      <c r="L333" s="68"/>
      <c r="M333" s="69"/>
      <c r="O333" s="751">
        <v>6</v>
      </c>
      <c r="P333" s="752"/>
      <c r="Q333" s="753"/>
      <c r="R333" s="752"/>
      <c r="S333" s="753"/>
      <c r="T333" s="752"/>
      <c r="U333" s="753"/>
      <c r="V333" s="752"/>
      <c r="W333" s="753"/>
      <c r="X333" s="752"/>
      <c r="Y333" s="754"/>
    </row>
    <row r="334" spans="1:37" ht="14.1" customHeight="1">
      <c r="A334" s="17">
        <v>46</v>
      </c>
      <c r="B334" s="67"/>
      <c r="C334" s="68"/>
      <c r="D334" s="68"/>
      <c r="E334" s="68"/>
      <c r="F334" s="68"/>
      <c r="G334" s="68"/>
      <c r="H334" s="68"/>
      <c r="I334" s="68"/>
      <c r="J334" s="68"/>
      <c r="K334" s="68"/>
      <c r="L334" s="68"/>
      <c r="M334" s="69"/>
      <c r="O334" s="713" t="s">
        <v>605</v>
      </c>
      <c r="P334" s="691" t="s">
        <v>607</v>
      </c>
      <c r="Q334" s="766">
        <f>U334-2</f>
        <v>-2</v>
      </c>
      <c r="R334" s="691" t="s">
        <v>606</v>
      </c>
      <c r="S334" s="766">
        <f>U334-1</f>
        <v>-1</v>
      </c>
      <c r="T334" s="691" t="s">
        <v>608</v>
      </c>
      <c r="U334" s="692"/>
      <c r="V334" s="691" t="s">
        <v>609</v>
      </c>
      <c r="W334" s="766">
        <f>U334+1</f>
        <v>1</v>
      </c>
      <c r="X334" s="691" t="s">
        <v>610</v>
      </c>
      <c r="Y334" s="767">
        <f>U334+2</f>
        <v>2</v>
      </c>
    </row>
    <row r="335" spans="1:37" ht="14.1" customHeight="1">
      <c r="A335" s="17">
        <v>47</v>
      </c>
      <c r="B335" s="67"/>
      <c r="C335" s="68"/>
      <c r="D335" s="68"/>
      <c r="E335" s="68"/>
      <c r="F335" s="68"/>
      <c r="G335" s="68"/>
      <c r="H335" s="68"/>
      <c r="I335" s="68"/>
      <c r="J335" s="68"/>
      <c r="K335" s="68"/>
      <c r="L335" s="68"/>
      <c r="M335" s="69"/>
      <c r="O335" s="711">
        <v>1</v>
      </c>
      <c r="P335" s="693"/>
      <c r="Q335" s="693"/>
      <c r="R335" s="693"/>
      <c r="S335" s="693"/>
      <c r="T335" s="693"/>
      <c r="U335" s="693"/>
      <c r="V335" s="693"/>
      <c r="W335" s="693"/>
      <c r="X335" s="693"/>
      <c r="Y335" s="712"/>
    </row>
    <row r="336" spans="1:37" ht="14.1" customHeight="1">
      <c r="A336" s="17">
        <v>48</v>
      </c>
      <c r="B336" s="67"/>
      <c r="C336" s="68"/>
      <c r="D336" s="68"/>
      <c r="E336" s="68"/>
      <c r="F336" s="68"/>
      <c r="G336" s="68"/>
      <c r="H336" s="68"/>
      <c r="I336" s="68"/>
      <c r="J336" s="68"/>
      <c r="K336" s="68"/>
      <c r="L336" s="68"/>
      <c r="M336" s="69"/>
      <c r="O336" s="711">
        <v>2</v>
      </c>
      <c r="P336" s="693"/>
      <c r="Q336" s="693"/>
      <c r="R336" s="693"/>
      <c r="S336" s="693"/>
      <c r="T336" s="693"/>
      <c r="U336" s="693"/>
      <c r="V336" s="693"/>
      <c r="W336" s="693"/>
      <c r="X336" s="693"/>
      <c r="Y336" s="712"/>
    </row>
    <row r="337" spans="1:25" ht="14.1" customHeight="1">
      <c r="A337" s="17">
        <v>49</v>
      </c>
      <c r="B337" s="67"/>
      <c r="M337" s="69"/>
      <c r="O337" s="711">
        <v>3</v>
      </c>
      <c r="P337" s="693"/>
      <c r="Q337" s="693"/>
      <c r="R337" s="693"/>
      <c r="S337" s="693"/>
      <c r="T337" s="693"/>
      <c r="U337" s="693"/>
      <c r="V337" s="693"/>
      <c r="W337" s="693"/>
      <c r="X337" s="693"/>
      <c r="Y337" s="712"/>
    </row>
    <row r="338" spans="1:25" ht="14.1" customHeight="1">
      <c r="A338" s="17">
        <v>50</v>
      </c>
      <c r="B338" s="67"/>
      <c r="M338" s="69"/>
      <c r="O338" s="711">
        <v>4</v>
      </c>
      <c r="P338" s="693"/>
      <c r="Q338" s="693"/>
      <c r="R338" s="693"/>
      <c r="S338" s="693"/>
      <c r="T338" s="693"/>
      <c r="U338" s="693"/>
      <c r="V338" s="693"/>
      <c r="W338" s="693"/>
      <c r="X338" s="693"/>
      <c r="Y338" s="712"/>
    </row>
    <row r="339" spans="1:25" ht="14.1" customHeight="1">
      <c r="A339" s="17">
        <v>51</v>
      </c>
      <c r="B339" s="67"/>
      <c r="M339" s="69"/>
      <c r="O339" s="748">
        <v>5</v>
      </c>
      <c r="P339" s="749"/>
      <c r="Q339" s="749"/>
      <c r="R339" s="749"/>
      <c r="S339" s="749"/>
      <c r="T339" s="749"/>
      <c r="U339" s="749"/>
      <c r="V339" s="749"/>
      <c r="W339" s="749"/>
      <c r="X339" s="749"/>
      <c r="Y339" s="750"/>
    </row>
    <row r="340" spans="1:25" ht="14.1" customHeight="1" thickBot="1">
      <c r="A340" s="17">
        <v>52</v>
      </c>
      <c r="B340" s="67"/>
      <c r="M340" s="69"/>
      <c r="O340" s="751">
        <v>6</v>
      </c>
      <c r="P340" s="752"/>
      <c r="Q340" s="753"/>
      <c r="R340" s="752"/>
      <c r="S340" s="753"/>
      <c r="T340" s="752"/>
      <c r="U340" s="753"/>
      <c r="V340" s="752"/>
      <c r="W340" s="753"/>
      <c r="X340" s="752"/>
      <c r="Y340" s="754"/>
    </row>
    <row r="341" spans="1:25" ht="14.1" customHeight="1" thickBot="1">
      <c r="A341" s="17">
        <v>53</v>
      </c>
      <c r="B341" s="67"/>
      <c r="M341" s="69"/>
    </row>
    <row r="342" spans="1:25" ht="14.1" customHeight="1" thickBot="1">
      <c r="A342" s="17">
        <v>54</v>
      </c>
      <c r="B342" s="67"/>
      <c r="C342" s="146" t="s">
        <v>340</v>
      </c>
      <c r="D342" s="68"/>
      <c r="E342" s="68"/>
      <c r="F342" s="68"/>
      <c r="G342" s="68"/>
      <c r="H342" s="68"/>
      <c r="I342" s="68"/>
      <c r="J342" s="68"/>
      <c r="K342" s="68"/>
      <c r="L342" s="68"/>
      <c r="M342" s="69"/>
      <c r="O342" s="30"/>
      <c r="P342" s="736" t="s">
        <v>603</v>
      </c>
      <c r="Q342" s="737"/>
      <c r="R342" s="737"/>
      <c r="S342" s="737" t="s">
        <v>604</v>
      </c>
      <c r="T342" s="737"/>
      <c r="U342" s="737"/>
      <c r="V342" s="737" t="s">
        <v>605</v>
      </c>
      <c r="W342" s="737"/>
      <c r="X342" s="738"/>
      <c r="Y342" s="32"/>
    </row>
    <row r="343" spans="1:25" ht="14.1" customHeight="1" thickBot="1">
      <c r="A343" s="17">
        <v>55</v>
      </c>
      <c r="B343" s="67"/>
      <c r="C343" s="162"/>
      <c r="D343" s="320" t="s">
        <v>95</v>
      </c>
      <c r="E343" s="321" t="str">
        <f>Q392</f>
        <v>/</v>
      </c>
      <c r="F343" s="452" t="s">
        <v>173</v>
      </c>
      <c r="G343" s="457">
        <f>S392</f>
        <v>28</v>
      </c>
      <c r="H343" s="24"/>
      <c r="I343" s="320" t="s">
        <v>95</v>
      </c>
      <c r="J343" s="321" t="str">
        <f>V392</f>
        <v>/</v>
      </c>
      <c r="K343" s="322" t="s">
        <v>173</v>
      </c>
      <c r="L343" s="582">
        <f>X392</f>
        <v>28</v>
      </c>
      <c r="M343" s="472"/>
      <c r="O343" s="30"/>
      <c r="P343" s="338" t="s">
        <v>600</v>
      </c>
      <c r="Q343" s="296" t="s">
        <v>601</v>
      </c>
      <c r="R343" s="296" t="s">
        <v>602</v>
      </c>
      <c r="S343" s="296" t="s">
        <v>600</v>
      </c>
      <c r="T343" s="296" t="s">
        <v>601</v>
      </c>
      <c r="U343" s="296" t="s">
        <v>602</v>
      </c>
      <c r="V343" s="296" t="s">
        <v>600</v>
      </c>
      <c r="W343" s="296" t="s">
        <v>601</v>
      </c>
      <c r="X343" s="339" t="s">
        <v>602</v>
      </c>
      <c r="Y343" s="32"/>
    </row>
    <row r="344" spans="1:25" ht="14.1" customHeight="1">
      <c r="A344" s="17">
        <v>56</v>
      </c>
      <c r="B344" s="67"/>
      <c r="C344" s="162"/>
      <c r="D344" s="462"/>
      <c r="E344" s="68"/>
      <c r="F344" s="162" t="s">
        <v>219</v>
      </c>
      <c r="G344" s="583">
        <f>S393</f>
        <v>50</v>
      </c>
      <c r="H344" s="209"/>
      <c r="I344" s="68"/>
      <c r="J344" s="68"/>
      <c r="K344" s="162" t="s">
        <v>219</v>
      </c>
      <c r="L344" s="583">
        <f>X393</f>
        <v>50</v>
      </c>
      <c r="M344" s="69"/>
      <c r="O344" s="714" t="s">
        <v>595</v>
      </c>
      <c r="P344" s="453" t="str">
        <f>IF(P321="","",AVERAGE(P321:P326))</f>
        <v/>
      </c>
      <c r="Q344" s="303" t="str">
        <f>IF(Q321="","",AVERAGE(Q321:Q325))</f>
        <v/>
      </c>
      <c r="R344" s="303" t="str">
        <f>IF(OR(P344="",Q344=""),"",((P344-Q344)/($P$346-$Q$346)))</f>
        <v/>
      </c>
      <c r="S344" s="303" t="str">
        <f>IF(P328="","",AVERAGE(P328:P333))</f>
        <v/>
      </c>
      <c r="T344" s="303" t="str">
        <f>IF(Q328="","",AVERAGE(Q328:Q332))</f>
        <v/>
      </c>
      <c r="U344" s="303" t="str">
        <f>IF(OR(S344="",T344=""),"",((S344-T344)/($S$346-$T$346)))</f>
        <v/>
      </c>
      <c r="V344" s="303" t="str">
        <f>IF(P335="","",AVERAGE(P335:P340))</f>
        <v/>
      </c>
      <c r="W344" s="303" t="str">
        <f>IF(Q335="","",AVERAGE(Q335:Q339))</f>
        <v/>
      </c>
      <c r="X344" s="454" t="str">
        <f>IF(OR(V344="",W344=""),"",((V344-W344)/($V$346-$W$346)))</f>
        <v/>
      </c>
      <c r="Y344" s="32"/>
    </row>
    <row r="345" spans="1:25" ht="14.1" customHeight="1" thickBot="1">
      <c r="A345" s="17">
        <v>57</v>
      </c>
      <c r="B345" s="67"/>
      <c r="C345" s="107"/>
      <c r="D345" s="328" t="s">
        <v>25</v>
      </c>
      <c r="E345" s="329" t="s">
        <v>26</v>
      </c>
      <c r="F345" s="329" t="s">
        <v>27</v>
      </c>
      <c r="G345" s="329" t="s">
        <v>335</v>
      </c>
      <c r="H345" s="330" t="s">
        <v>336</v>
      </c>
      <c r="I345" s="328" t="s">
        <v>25</v>
      </c>
      <c r="J345" s="329" t="s">
        <v>26</v>
      </c>
      <c r="K345" s="329" t="s">
        <v>27</v>
      </c>
      <c r="L345" s="329" t="s">
        <v>335</v>
      </c>
      <c r="M345" s="473" t="s">
        <v>336</v>
      </c>
      <c r="O345" s="715" t="s">
        <v>596</v>
      </c>
      <c r="P345" s="453" t="str">
        <f>IF(R321="","",AVERAGE(R321:R326))</f>
        <v/>
      </c>
      <c r="Q345" s="303" t="str">
        <f>IF(S321="","",AVERAGE(S321:S325))</f>
        <v/>
      </c>
      <c r="R345" s="303" t="str">
        <f>IF(OR(P345="",Q345=""),"",((P345-Q345)/($P$346-$Q$346)))</f>
        <v/>
      </c>
      <c r="S345" s="303" t="str">
        <f>IF(R328="","",AVERAGE(R328:R333))</f>
        <v/>
      </c>
      <c r="T345" s="303" t="str">
        <f>IF(S328="","",AVERAGE(S328:S332))</f>
        <v/>
      </c>
      <c r="U345" s="303" t="str">
        <f>IF(OR(S345="",T345=""),"",((S345-T345)/($S$346-$T$346)))</f>
        <v/>
      </c>
      <c r="V345" s="303" t="str">
        <f>IF(R335="","",AVERAGE(R335:R340))</f>
        <v/>
      </c>
      <c r="W345" s="303" t="str">
        <f>IF(S335="","",AVERAGE(S335:S339))</f>
        <v/>
      </c>
      <c r="X345" s="454" t="str">
        <f>IF(OR(V345="",W345=""),"",((V345-W345)/($V$346-$W$346)))</f>
        <v/>
      </c>
      <c r="Y345" s="32"/>
    </row>
    <row r="346" spans="1:25" ht="14.1" customHeight="1">
      <c r="A346" s="17">
        <v>58</v>
      </c>
      <c r="B346" s="67"/>
      <c r="C346" s="107"/>
      <c r="D346" s="456" t="str">
        <f t="shared" ref="D346:M351" si="53">IF(P395="","",P395)</f>
        <v/>
      </c>
      <c r="E346" s="446" t="str">
        <f t="shared" si="53"/>
        <v/>
      </c>
      <c r="F346" s="446" t="str">
        <f t="shared" si="53"/>
        <v/>
      </c>
      <c r="G346" s="447" t="str">
        <f t="shared" si="53"/>
        <v/>
      </c>
      <c r="H346" s="458" t="str">
        <f t="shared" si="53"/>
        <v/>
      </c>
      <c r="I346" s="461" t="str">
        <f t="shared" si="53"/>
        <v/>
      </c>
      <c r="J346" s="437" t="str">
        <f t="shared" si="53"/>
        <v/>
      </c>
      <c r="K346" s="437" t="str">
        <f t="shared" si="53"/>
        <v/>
      </c>
      <c r="L346" s="438" t="str">
        <f t="shared" si="53"/>
        <v/>
      </c>
      <c r="M346" s="474" t="str">
        <f t="shared" si="53"/>
        <v/>
      </c>
      <c r="O346" s="715" t="s">
        <v>594</v>
      </c>
      <c r="P346" s="453" t="str">
        <f>IF(T321="","",AVERAGE(T321:T326))</f>
        <v/>
      </c>
      <c r="Q346" s="303" t="str">
        <f>IF(U321="","",AVERAGE(U321:U325))</f>
        <v/>
      </c>
      <c r="R346" s="723"/>
      <c r="S346" s="303" t="str">
        <f>IF(T328="","",AVERAGE(T328:T333))</f>
        <v/>
      </c>
      <c r="T346" s="303" t="str">
        <f>IF(U328="","",AVERAGE(U328:U332))</f>
        <v/>
      </c>
      <c r="U346" s="723"/>
      <c r="V346" s="303" t="str">
        <f>IF(T335="","",AVERAGE(T335:T340))</f>
        <v/>
      </c>
      <c r="W346" s="303" t="str">
        <f>IF(U335="","",AVERAGE(U335:U339))</f>
        <v/>
      </c>
      <c r="X346" s="724"/>
      <c r="Y346" s="32"/>
    </row>
    <row r="347" spans="1:25" ht="14.1" customHeight="1">
      <c r="A347" s="17">
        <v>59</v>
      </c>
      <c r="B347" s="67"/>
      <c r="C347" s="107"/>
      <c r="D347" s="453" t="str">
        <f t="shared" si="53"/>
        <v/>
      </c>
      <c r="E347" s="303" t="str">
        <f t="shared" si="53"/>
        <v/>
      </c>
      <c r="F347" s="303" t="str">
        <f t="shared" si="53"/>
        <v/>
      </c>
      <c r="G347" s="297" t="str">
        <f t="shared" si="53"/>
        <v/>
      </c>
      <c r="H347" s="459" t="str">
        <f t="shared" si="53"/>
        <v/>
      </c>
      <c r="I347" s="453" t="str">
        <f t="shared" si="53"/>
        <v/>
      </c>
      <c r="J347" s="303" t="str">
        <f t="shared" si="53"/>
        <v/>
      </c>
      <c r="K347" s="303" t="str">
        <f t="shared" si="53"/>
        <v/>
      </c>
      <c r="L347" s="297" t="str">
        <f t="shared" si="53"/>
        <v/>
      </c>
      <c r="M347" s="475" t="str">
        <f t="shared" si="53"/>
        <v/>
      </c>
      <c r="O347" s="715" t="s">
        <v>597</v>
      </c>
      <c r="P347" s="453" t="str">
        <f>IF(V321="","",AVERAGE(V321:V326))</f>
        <v/>
      </c>
      <c r="Q347" s="303" t="str">
        <f>IF(W321="","",AVERAGE(W321:W325))</f>
        <v/>
      </c>
      <c r="R347" s="303" t="str">
        <f>IF(OR(P347="",Q347=""),"",((P347-Q347)/($P$346-$Q$346)))</f>
        <v/>
      </c>
      <c r="S347" s="303" t="str">
        <f>IF(V328="","",AVERAGE(V328:V333))</f>
        <v/>
      </c>
      <c r="T347" s="303" t="str">
        <f>IF(W328="","",AVERAGE(W328:W332))</f>
        <v/>
      </c>
      <c r="U347" s="303" t="str">
        <f>IF(OR(S347="",T347=""),"",((S347-T347)/($S$346-$T$346)))</f>
        <v/>
      </c>
      <c r="V347" s="303" t="str">
        <f>IF(V335="","",AVERAGE(V335:V340))</f>
        <v/>
      </c>
      <c r="W347" s="303" t="str">
        <f>IF(W335="","",AVERAGE(W335:W339))</f>
        <v/>
      </c>
      <c r="X347" s="454" t="str">
        <f>IF(OR(V347="",W347=""),"",((V347-W347)/($V$346-$W$346)))</f>
        <v/>
      </c>
      <c r="Y347" s="32"/>
    </row>
    <row r="348" spans="1:25" ht="14.1" customHeight="1" thickBot="1">
      <c r="A348" s="17">
        <v>60</v>
      </c>
      <c r="B348" s="67"/>
      <c r="C348" s="107"/>
      <c r="D348" s="453" t="str">
        <f t="shared" si="53"/>
        <v/>
      </c>
      <c r="E348" s="303" t="str">
        <f t="shared" si="53"/>
        <v/>
      </c>
      <c r="F348" s="303" t="str">
        <f t="shared" si="53"/>
        <v/>
      </c>
      <c r="G348" s="297" t="str">
        <f t="shared" si="53"/>
        <v/>
      </c>
      <c r="H348" s="459" t="str">
        <f t="shared" si="53"/>
        <v/>
      </c>
      <c r="I348" s="453" t="str">
        <f t="shared" si="53"/>
        <v/>
      </c>
      <c r="J348" s="303" t="str">
        <f t="shared" si="53"/>
        <v/>
      </c>
      <c r="K348" s="303" t="str">
        <f t="shared" si="53"/>
        <v/>
      </c>
      <c r="L348" s="297" t="str">
        <f t="shared" si="53"/>
        <v/>
      </c>
      <c r="M348" s="475" t="str">
        <f t="shared" si="53"/>
        <v/>
      </c>
      <c r="O348" s="716" t="s">
        <v>598</v>
      </c>
      <c r="P348" s="455" t="str">
        <f>IF(X321="","",AVERAGE(X321:X326))</f>
        <v/>
      </c>
      <c r="Q348" s="444" t="str">
        <f>IF(Y321="","",AVERAGE(Y321:Y325))</f>
        <v/>
      </c>
      <c r="R348" s="444" t="str">
        <f>IF(OR(P348="",Q348=""),"",((P348-Q348)/($P$346-$Q$346)))</f>
        <v/>
      </c>
      <c r="S348" s="444" t="str">
        <f>IF(X328="","",AVERAGE(X328:X333))</f>
        <v/>
      </c>
      <c r="T348" s="444" t="str">
        <f>IF(Y328="","",AVERAGE(Y328:Y332))</f>
        <v/>
      </c>
      <c r="U348" s="444" t="str">
        <f>IF(OR(S348="",T348=""),"",((S348-T348)/($S$346-$T$346)))</f>
        <v/>
      </c>
      <c r="V348" s="444" t="str">
        <f>IF(X335="","",AVERAGE(X335:X340))</f>
        <v/>
      </c>
      <c r="W348" s="444" t="str">
        <f>IF(Y335="","",AVERAGE(Y335:Y339))</f>
        <v/>
      </c>
      <c r="X348" s="725" t="str">
        <f>IF(OR(V348="",W348=""),"",((V348-W348)/($V$346-$W$346)))</f>
        <v/>
      </c>
      <c r="Y348" s="32"/>
    </row>
    <row r="349" spans="1:25" ht="14.1" customHeight="1" thickBot="1">
      <c r="A349" s="17">
        <v>61</v>
      </c>
      <c r="B349" s="67"/>
      <c r="C349" s="107"/>
      <c r="D349" s="455" t="str">
        <f t="shared" si="53"/>
        <v/>
      </c>
      <c r="E349" s="444" t="str">
        <f t="shared" si="53"/>
        <v/>
      </c>
      <c r="F349" s="444" t="str">
        <f t="shared" si="53"/>
        <v/>
      </c>
      <c r="G349" s="445" t="str">
        <f t="shared" si="53"/>
        <v/>
      </c>
      <c r="H349" s="460" t="str">
        <f t="shared" si="53"/>
        <v/>
      </c>
      <c r="I349" s="455" t="str">
        <f t="shared" si="53"/>
        <v/>
      </c>
      <c r="J349" s="444" t="str">
        <f t="shared" si="53"/>
        <v/>
      </c>
      <c r="K349" s="444" t="str">
        <f t="shared" si="53"/>
        <v/>
      </c>
      <c r="L349" s="445" t="str">
        <f t="shared" si="53"/>
        <v/>
      </c>
      <c r="M349" s="476" t="str">
        <f t="shared" si="53"/>
        <v/>
      </c>
      <c r="O349" s="30"/>
      <c r="P349" s="421" t="s">
        <v>612</v>
      </c>
      <c r="Q349" s="437" t="str">
        <f>IF(OR(R345="",R347=""),"",AVERAGE(R345,R347))</f>
        <v/>
      </c>
      <c r="R349" s="738" t="str">
        <f>IF(Q349="","",IF(Q349&lt;0.9,"Pass","Fail"))</f>
        <v/>
      </c>
      <c r="S349" s="421" t="s">
        <v>612</v>
      </c>
      <c r="T349" s="437" t="str">
        <f>IF(OR(U345="",U347=""),"",AVERAGE(U345,U347))</f>
        <v/>
      </c>
      <c r="U349" s="738" t="str">
        <f>IF(T349="","",IF(T349&lt;0.9,"Pass","Fail"))</f>
        <v/>
      </c>
      <c r="V349" s="421" t="s">
        <v>612</v>
      </c>
      <c r="W349" s="437" t="str">
        <f>IF(OR(X345="",X347=""),"",AVERAGE(X345,X347))</f>
        <v/>
      </c>
      <c r="X349" s="738" t="str">
        <f>IF(W349="","",IF(W349&lt;0.9,"Pass","Fail"))</f>
        <v/>
      </c>
      <c r="Y349" s="32"/>
    </row>
    <row r="350" spans="1:25" ht="14.1" customHeight="1" thickBot="1">
      <c r="A350" s="17">
        <v>62</v>
      </c>
      <c r="B350" s="67"/>
      <c r="C350" s="162" t="s">
        <v>210</v>
      </c>
      <c r="D350" s="456" t="str">
        <f t="shared" si="53"/>
        <v/>
      </c>
      <c r="E350" s="446" t="str">
        <f t="shared" si="53"/>
        <v/>
      </c>
      <c r="F350" s="446" t="str">
        <f t="shared" si="53"/>
        <v/>
      </c>
      <c r="G350" s="447" t="str">
        <f t="shared" si="53"/>
        <v/>
      </c>
      <c r="H350" s="458" t="str">
        <f t="shared" si="53"/>
        <v/>
      </c>
      <c r="I350" s="456" t="str">
        <f t="shared" si="53"/>
        <v/>
      </c>
      <c r="J350" s="446" t="str">
        <f t="shared" si="53"/>
        <v/>
      </c>
      <c r="K350" s="446" t="str">
        <f t="shared" si="53"/>
        <v/>
      </c>
      <c r="L350" s="447" t="str">
        <f t="shared" si="53"/>
        <v/>
      </c>
      <c r="M350" s="477" t="str">
        <f t="shared" si="53"/>
        <v/>
      </c>
      <c r="O350" s="30"/>
      <c r="P350" s="423" t="s">
        <v>613</v>
      </c>
      <c r="Q350" s="444" t="str">
        <f>IF(OR(R344="",R348=""),"",AVERAGE(R344,R348))</f>
        <v/>
      </c>
      <c r="R350" s="388" t="str">
        <f>IF(Q350="","",IF(Q350&lt;0.6,"Pass","Fail"))</f>
        <v/>
      </c>
      <c r="S350" s="423" t="s">
        <v>613</v>
      </c>
      <c r="T350" s="444" t="str">
        <f>IF(OR(U344="",U348=""),"",AVERAGE(U344,U348))</f>
        <v/>
      </c>
      <c r="U350" s="388" t="str">
        <f>IF(T350="","",IF(T350&lt;0.6,"Pass","Fail"))</f>
        <v/>
      </c>
      <c r="V350" s="423" t="s">
        <v>613</v>
      </c>
      <c r="W350" s="444" t="str">
        <f>IF(OR(X344="",X348=""),"",AVERAGE(X344,X348))</f>
        <v/>
      </c>
      <c r="X350" s="388" t="str">
        <f>IF(W350="","",IF(W350&lt;0.6,"Pass","Fail"))</f>
        <v/>
      </c>
      <c r="Y350" s="32"/>
    </row>
    <row r="351" spans="1:25" ht="14.1" customHeight="1">
      <c r="A351" s="17">
        <v>63</v>
      </c>
      <c r="B351" s="67"/>
      <c r="C351" s="162" t="s">
        <v>341</v>
      </c>
      <c r="D351" s="453" t="str">
        <f t="shared" si="53"/>
        <v/>
      </c>
      <c r="E351" s="303" t="str">
        <f t="shared" si="53"/>
        <v/>
      </c>
      <c r="F351" s="303" t="str">
        <f t="shared" si="53"/>
        <v/>
      </c>
      <c r="G351" s="297" t="str">
        <f t="shared" si="53"/>
        <v/>
      </c>
      <c r="H351" s="459" t="str">
        <f t="shared" si="53"/>
        <v/>
      </c>
      <c r="I351" s="453" t="str">
        <f t="shared" si="53"/>
        <v/>
      </c>
      <c r="J351" s="303" t="str">
        <f t="shared" si="53"/>
        <v/>
      </c>
      <c r="K351" s="303" t="str">
        <f t="shared" si="53"/>
        <v/>
      </c>
      <c r="L351" s="297" t="str">
        <f t="shared" si="53"/>
        <v/>
      </c>
      <c r="M351" s="475" t="str">
        <f t="shared" si="53"/>
        <v/>
      </c>
      <c r="O351" s="30" t="s">
        <v>321</v>
      </c>
      <c r="P351" s="421" t="s">
        <v>612</v>
      </c>
      <c r="Q351" s="706" t="str">
        <f>IF(AB130="","",AB130)</f>
        <v/>
      </c>
      <c r="R351" s="68"/>
      <c r="S351" s="421" t="s">
        <v>612</v>
      </c>
      <c r="T351" s="706" t="str">
        <f>IF(AB132="","",AB132)</f>
        <v/>
      </c>
      <c r="U351" s="68"/>
      <c r="V351" s="421" t="s">
        <v>612</v>
      </c>
      <c r="W351" s="706" t="str">
        <f>IF(AB134="","",AB134)</f>
        <v/>
      </c>
      <c r="X351" s="68"/>
      <c r="Y351" s="32"/>
    </row>
    <row r="352" spans="1:25" ht="14.1" customHeight="1" thickBot="1">
      <c r="A352" s="17">
        <v>64</v>
      </c>
      <c r="B352" s="67"/>
      <c r="C352" s="318" t="s">
        <v>274</v>
      </c>
      <c r="D352" s="410" t="str">
        <f>IF(P401="","",P401)</f>
        <v/>
      </c>
      <c r="E352" s="471"/>
      <c r="F352" s="411" t="str">
        <f>IF(R401="","",R401)</f>
        <v/>
      </c>
      <c r="G352" s="411" t="str">
        <f>IF(S401="","",S401)</f>
        <v/>
      </c>
      <c r="H352" s="470"/>
      <c r="I352" s="410" t="str">
        <f>IF(U401="","",U401)</f>
        <v/>
      </c>
      <c r="J352" s="471"/>
      <c r="K352" s="411" t="str">
        <f>IF(W401="","",W401)</f>
        <v/>
      </c>
      <c r="L352" s="411" t="str">
        <f>IF(X401="","",X401)</f>
        <v/>
      </c>
      <c r="M352" s="478"/>
      <c r="O352" s="30"/>
      <c r="P352" s="423" t="s">
        <v>613</v>
      </c>
      <c r="Q352" s="705" t="str">
        <f>IF(AB131="","",AB131)</f>
        <v/>
      </c>
      <c r="R352" s="68"/>
      <c r="S352" s="423" t="s">
        <v>613</v>
      </c>
      <c r="T352" s="705" t="str">
        <f>IF(AB133="","",AB133)</f>
        <v/>
      </c>
      <c r="U352" s="68"/>
      <c r="V352" s="423" t="s">
        <v>613</v>
      </c>
      <c r="W352" s="705" t="str">
        <f>IF(AB135="","",AB135)</f>
        <v/>
      </c>
      <c r="X352" s="68"/>
      <c r="Y352" s="32"/>
    </row>
    <row r="353" spans="1:25" ht="14.1" customHeight="1" thickBot="1">
      <c r="A353" s="17">
        <v>65</v>
      </c>
      <c r="B353" s="67"/>
      <c r="C353" s="162"/>
      <c r="D353" s="334"/>
      <c r="E353" s="334"/>
      <c r="F353" s="334"/>
      <c r="G353" s="469" t="s">
        <v>541</v>
      </c>
      <c r="H353" s="377" t="str">
        <f>IF(H350="","",IF(H350&gt;7,"Pass","Fail"))</f>
        <v/>
      </c>
      <c r="I353" s="68"/>
      <c r="J353" s="68"/>
      <c r="K353" s="68"/>
      <c r="L353" s="162" t="s">
        <v>542</v>
      </c>
      <c r="M353" s="479" t="str">
        <f>IF(M350="","",IF(M350&gt;2,"Pass","Fail"))</f>
        <v/>
      </c>
      <c r="O353" s="30"/>
      <c r="P353" s="3" t="s">
        <v>204</v>
      </c>
      <c r="Q353" s="101" t="s">
        <v>620</v>
      </c>
      <c r="R353" s="68"/>
      <c r="S353" s="68"/>
      <c r="T353" s="68"/>
      <c r="U353" s="68"/>
      <c r="V353" s="68"/>
      <c r="W353" s="68"/>
      <c r="X353" s="68"/>
      <c r="Y353" s="32"/>
    </row>
    <row r="354" spans="1:25" ht="14.1" customHeight="1" thickBot="1">
      <c r="A354" s="17">
        <v>66</v>
      </c>
      <c r="B354" s="67"/>
      <c r="C354" s="162"/>
      <c r="D354" s="68"/>
      <c r="E354" s="68"/>
      <c r="F354" s="107"/>
      <c r="G354" s="107"/>
      <c r="H354" s="68"/>
      <c r="I354" s="68"/>
      <c r="J354" s="68"/>
      <c r="K354" s="68"/>
      <c r="L354" s="68"/>
      <c r="M354" s="69"/>
      <c r="O354" s="40"/>
      <c r="P354" s="41"/>
      <c r="Q354" s="41"/>
      <c r="R354" s="41"/>
      <c r="S354" s="41"/>
      <c r="T354" s="41"/>
      <c r="U354" s="41"/>
      <c r="V354" s="41"/>
      <c r="W354" s="41"/>
      <c r="X354" s="41"/>
      <c r="Y354" s="42"/>
    </row>
    <row r="355" spans="1:25" ht="14.1" customHeight="1" thickBot="1">
      <c r="A355" s="17">
        <v>67</v>
      </c>
      <c r="B355" s="67"/>
      <c r="C355" s="68"/>
      <c r="D355" s="3" t="s">
        <v>204</v>
      </c>
      <c r="E355" s="101" t="s">
        <v>344</v>
      </c>
      <c r="F355" s="68"/>
      <c r="G355" s="68"/>
      <c r="H355" s="68"/>
      <c r="I355" s="68"/>
      <c r="J355" s="68"/>
      <c r="K355" s="68"/>
      <c r="L355" s="68"/>
      <c r="M355" s="69"/>
      <c r="O355" s="136" t="s">
        <v>615</v>
      </c>
      <c r="P355" s="23"/>
      <c r="Q355" s="23"/>
      <c r="R355" s="23"/>
      <c r="S355" s="23"/>
      <c r="T355" s="23"/>
      <c r="U355" s="23"/>
      <c r="V355" s="23"/>
      <c r="W355" s="23"/>
      <c r="X355" s="23"/>
      <c r="Y355" s="24"/>
    </row>
    <row r="356" spans="1:25" ht="14.1" customHeight="1">
      <c r="A356" s="17">
        <v>68</v>
      </c>
      <c r="B356" s="67"/>
      <c r="C356" s="68"/>
      <c r="D356" s="68"/>
      <c r="E356" s="101" t="s">
        <v>345</v>
      </c>
      <c r="F356" s="68"/>
      <c r="G356" s="68"/>
      <c r="H356" s="68"/>
      <c r="I356" s="68"/>
      <c r="J356" s="68"/>
      <c r="K356" s="68"/>
      <c r="L356" s="68"/>
      <c r="M356" s="69"/>
      <c r="O356" s="30"/>
      <c r="P356" s="736" t="s">
        <v>616</v>
      </c>
      <c r="Q356" s="737" t="s">
        <v>617</v>
      </c>
      <c r="R356" s="737" t="s">
        <v>618</v>
      </c>
      <c r="S356" s="738" t="s">
        <v>619</v>
      </c>
      <c r="T356" s="68"/>
      <c r="U356" s="68" t="s">
        <v>321</v>
      </c>
      <c r="V356" s="736" t="s">
        <v>616</v>
      </c>
      <c r="W356" s="737" t="s">
        <v>617</v>
      </c>
      <c r="X356" s="737" t="s">
        <v>618</v>
      </c>
      <c r="Y356" s="717" t="s">
        <v>619</v>
      </c>
    </row>
    <row r="357" spans="1:25" ht="14.1" customHeight="1">
      <c r="A357" s="17">
        <v>69</v>
      </c>
      <c r="B357" s="67"/>
      <c r="C357" s="68"/>
      <c r="D357" s="68"/>
      <c r="E357" s="101" t="s">
        <v>346</v>
      </c>
      <c r="F357" s="68"/>
      <c r="G357" s="68"/>
      <c r="H357" s="68"/>
      <c r="I357" s="68"/>
      <c r="J357" s="68"/>
      <c r="K357" s="68"/>
      <c r="L357" s="68"/>
      <c r="M357" s="69"/>
      <c r="O357" s="161" t="s">
        <v>187</v>
      </c>
      <c r="P357" s="726"/>
      <c r="Q357" s="693"/>
      <c r="R357" s="693"/>
      <c r="S357" s="727"/>
      <c r="T357" s="68"/>
      <c r="U357" s="162" t="s">
        <v>187</v>
      </c>
      <c r="V357" s="702" t="str">
        <f>IF(AB137="","",AB137)</f>
        <v/>
      </c>
      <c r="W357" s="707" t="str">
        <f>IF(AB141="","",AB141)</f>
        <v/>
      </c>
      <c r="X357" s="707" t="str">
        <f>IF(AB145="","",AB145)</f>
        <v/>
      </c>
      <c r="Y357" s="718" t="str">
        <f>IF(AB149="","",AB149)</f>
        <v/>
      </c>
    </row>
    <row r="358" spans="1:25" ht="14.1" customHeight="1" thickBot="1">
      <c r="A358" s="17">
        <v>70</v>
      </c>
      <c r="B358" s="80"/>
      <c r="C358" s="81"/>
      <c r="D358" s="81"/>
      <c r="E358" s="81"/>
      <c r="F358" s="81"/>
      <c r="G358" s="81"/>
      <c r="H358" s="81"/>
      <c r="I358" s="81"/>
      <c r="J358" s="81"/>
      <c r="K358" s="81"/>
      <c r="L358" s="81"/>
      <c r="M358" s="82"/>
      <c r="O358" s="161" t="s">
        <v>189</v>
      </c>
      <c r="P358" s="726"/>
      <c r="Q358" s="693"/>
      <c r="R358" s="693"/>
      <c r="S358" s="727"/>
      <c r="T358" s="68"/>
      <c r="U358" s="162" t="s">
        <v>189</v>
      </c>
      <c r="V358" s="702" t="str">
        <f>IF(AB138="","",AB138)</f>
        <v/>
      </c>
      <c r="W358" s="707" t="str">
        <f>IF(AB142="","",AB142)</f>
        <v/>
      </c>
      <c r="X358" s="707" t="str">
        <f>IF(AB146="","",AB146)</f>
        <v/>
      </c>
      <c r="Y358" s="718" t="str">
        <f>IF(AB150="","",AB150)</f>
        <v/>
      </c>
    </row>
    <row r="359" spans="1:25" ht="14.1" customHeight="1" thickTop="1" thickBot="1">
      <c r="A359" s="17">
        <v>71</v>
      </c>
      <c r="C359" s="109" t="s">
        <v>11</v>
      </c>
      <c r="D359" s="375" t="str">
        <f>IF($P$7="","",$P$7)</f>
        <v/>
      </c>
      <c r="E359" s="27"/>
      <c r="F359" s="27"/>
      <c r="G359" s="27"/>
      <c r="H359" s="27"/>
      <c r="I359" s="27"/>
      <c r="J359" s="27"/>
      <c r="K359" s="27"/>
      <c r="L359" s="109" t="s">
        <v>12</v>
      </c>
      <c r="M359" s="376" t="str">
        <f>IF($X$7="","",$X$7)</f>
        <v>Eugene Mah</v>
      </c>
      <c r="O359" s="161" t="s">
        <v>191</v>
      </c>
      <c r="P359" s="726"/>
      <c r="Q359" s="693"/>
      <c r="R359" s="693"/>
      <c r="S359" s="727"/>
      <c r="T359" s="68"/>
      <c r="U359" s="162" t="s">
        <v>191</v>
      </c>
      <c r="V359" s="704" t="str">
        <f>IF(AB139="","",AB139)</f>
        <v/>
      </c>
      <c r="W359" s="708" t="str">
        <f>IF(AB143="","",AB143)</f>
        <v/>
      </c>
      <c r="X359" s="708" t="str">
        <f>IF(AB147="","",AB147)</f>
        <v/>
      </c>
      <c r="Y359" s="719" t="str">
        <f>IF(AB151="","",AB151)</f>
        <v/>
      </c>
    </row>
    <row r="360" spans="1:25" ht="14.1" customHeight="1" thickBot="1">
      <c r="A360" s="17">
        <v>72</v>
      </c>
      <c r="C360" s="109" t="s">
        <v>121</v>
      </c>
      <c r="D360" s="490" t="str">
        <f>IF($R$14="","",$R$14)</f>
        <v/>
      </c>
      <c r="E360" s="27"/>
      <c r="F360" s="27"/>
      <c r="G360" s="27"/>
      <c r="H360" s="27"/>
      <c r="I360" s="27"/>
      <c r="J360" s="27"/>
      <c r="K360" s="27"/>
      <c r="L360" s="109" t="s">
        <v>37</v>
      </c>
      <c r="M360" s="490" t="str">
        <f>IF($R$13="","",$R$13)</f>
        <v/>
      </c>
      <c r="O360" s="161" t="s">
        <v>218</v>
      </c>
      <c r="P360" s="387" t="str">
        <f>IF(OR(P357="",P358="",P359=""),"",IF(AND(P357&gt;=4,P358&gt;=3,P359&gt;=3),"Pass","Fail"))</f>
        <v/>
      </c>
      <c r="Q360" s="443" t="str">
        <f>IF(OR(Q357="",Q358="",Q359=""),"",IF(AND(Q357&gt;=4,Q358&gt;=3,Q359&gt;=3),"Pass","Fail"))</f>
        <v/>
      </c>
      <c r="R360" s="443" t="str">
        <f t="shared" ref="R360:S360" si="54">IF(OR(R357="",R358="",R359=""),"",IF(AND(R357&gt;=4,R358&gt;=3,R359&gt;=3),"Pass","Fail"))</f>
        <v/>
      </c>
      <c r="S360" s="388" t="str">
        <f t="shared" si="54"/>
        <v/>
      </c>
      <c r="T360" s="68"/>
      <c r="U360" s="720"/>
      <c r="V360" s="720"/>
      <c r="W360" s="720"/>
      <c r="X360" s="720"/>
      <c r="Y360" s="721"/>
    </row>
    <row r="361" spans="1:25" ht="14.1" customHeight="1">
      <c r="A361" s="17">
        <v>1</v>
      </c>
      <c r="B361" s="68"/>
      <c r="C361" s="68"/>
      <c r="D361" s="68"/>
      <c r="E361" s="68"/>
      <c r="F361" s="68"/>
      <c r="G361" s="68"/>
      <c r="H361" s="68"/>
      <c r="I361" s="68"/>
      <c r="J361" s="68"/>
      <c r="K361" s="68"/>
      <c r="L361" s="68"/>
      <c r="M361" s="571" t="str">
        <f>$H$2</f>
        <v>Medical University of South Carolina</v>
      </c>
      <c r="O361" s="30"/>
      <c r="P361" s="3" t="s">
        <v>204</v>
      </c>
      <c r="Q361" s="101" t="s">
        <v>621</v>
      </c>
      <c r="R361" s="68"/>
      <c r="S361" s="68"/>
      <c r="T361" s="68"/>
      <c r="U361" s="68"/>
      <c r="V361" s="68"/>
      <c r="W361" s="68"/>
      <c r="X361" s="68"/>
      <c r="Y361" s="32"/>
    </row>
    <row r="362" spans="1:25" ht="14.1" customHeight="1" thickBot="1">
      <c r="A362" s="17">
        <v>2</v>
      </c>
      <c r="B362" s="81"/>
      <c r="C362" s="81"/>
      <c r="D362" s="81"/>
      <c r="E362" s="81"/>
      <c r="F362" s="81"/>
      <c r="G362" s="81"/>
      <c r="H362" s="572" t="s">
        <v>73</v>
      </c>
      <c r="I362" s="81"/>
      <c r="J362" s="81"/>
      <c r="K362" s="81"/>
      <c r="L362" s="81"/>
      <c r="M362" s="573" t="str">
        <f>$H$5</f>
        <v>Mammography System Compliance Inspection</v>
      </c>
      <c r="O362" s="96"/>
      <c r="P362" s="68" t="s">
        <v>645</v>
      </c>
      <c r="Q362" s="68"/>
      <c r="R362" s="68"/>
      <c r="S362" s="68"/>
      <c r="T362" s="68"/>
      <c r="U362" s="68"/>
      <c r="V362" s="68"/>
      <c r="W362" s="68"/>
      <c r="X362" s="68"/>
      <c r="Y362" s="32"/>
    </row>
    <row r="363" spans="1:25" ht="14.1" customHeight="1" thickTop="1">
      <c r="A363" s="17">
        <v>3</v>
      </c>
      <c r="B363" s="67"/>
      <c r="C363" s="146" t="s">
        <v>347</v>
      </c>
      <c r="D363" s="68"/>
      <c r="E363" s="68"/>
      <c r="F363" s="68"/>
      <c r="G363" s="68"/>
      <c r="H363" s="68"/>
      <c r="I363" s="68"/>
      <c r="J363" s="68"/>
      <c r="K363" s="68"/>
      <c r="L363" s="68"/>
      <c r="M363" s="69"/>
      <c r="O363" s="96"/>
      <c r="P363" s="68" t="s">
        <v>614</v>
      </c>
      <c r="Q363" s="68"/>
      <c r="R363" s="68"/>
      <c r="S363" s="68"/>
      <c r="T363" s="68"/>
      <c r="U363" s="68"/>
      <c r="V363" s="68"/>
      <c r="W363" s="68"/>
      <c r="X363" s="68"/>
      <c r="Y363" s="32"/>
    </row>
    <row r="364" spans="1:25" ht="14.1" customHeight="1">
      <c r="A364" s="17">
        <v>4</v>
      </c>
      <c r="B364" s="67"/>
      <c r="C364" s="162" t="s">
        <v>51</v>
      </c>
      <c r="D364" s="140" t="str">
        <f>IF(Q407="","",Q407)</f>
        <v>/</v>
      </c>
      <c r="E364" s="162" t="s">
        <v>54</v>
      </c>
      <c r="F364" s="140">
        <f>IF(S407="","",S407)</f>
        <v>28</v>
      </c>
      <c r="G364" s="68"/>
      <c r="H364" s="68"/>
      <c r="I364" s="68"/>
      <c r="J364" s="68"/>
      <c r="K364" s="68"/>
      <c r="L364" s="68"/>
      <c r="M364" s="69"/>
      <c r="O364" s="96"/>
      <c r="P364" s="68" t="s">
        <v>622</v>
      </c>
      <c r="Q364" s="68"/>
      <c r="R364" s="68"/>
      <c r="S364" s="68"/>
      <c r="T364" s="68"/>
      <c r="U364" s="68"/>
      <c r="V364" s="68"/>
      <c r="W364" s="68"/>
      <c r="X364" s="68"/>
      <c r="Y364" s="32"/>
    </row>
    <row r="365" spans="1:25" ht="14.1" customHeight="1" thickBot="1">
      <c r="A365" s="17">
        <v>5</v>
      </c>
      <c r="B365" s="67"/>
      <c r="C365" s="68"/>
      <c r="D365" s="107"/>
      <c r="E365" s="68"/>
      <c r="F365" s="68"/>
      <c r="G365" s="68"/>
      <c r="H365" s="68"/>
      <c r="I365" s="68"/>
      <c r="J365" s="68"/>
      <c r="K365" s="68"/>
      <c r="L365" s="68"/>
      <c r="M365" s="69"/>
      <c r="O365" s="40"/>
      <c r="P365" s="192"/>
      <c r="Q365" s="192"/>
      <c r="R365" s="41"/>
      <c r="S365" s="41"/>
      <c r="T365" s="192"/>
      <c r="U365" s="192"/>
      <c r="V365" s="41"/>
      <c r="W365" s="261"/>
      <c r="X365" s="41"/>
      <c r="Y365" s="42"/>
    </row>
    <row r="366" spans="1:25" ht="14.1" customHeight="1" thickBot="1">
      <c r="A366" s="17">
        <v>6</v>
      </c>
      <c r="B366" s="67"/>
      <c r="C366" s="269" t="s">
        <v>351</v>
      </c>
      <c r="D366" s="269" t="s">
        <v>25</v>
      </c>
      <c r="E366" s="269" t="s">
        <v>342</v>
      </c>
      <c r="F366" s="269" t="s">
        <v>335</v>
      </c>
      <c r="G366" s="269" t="s">
        <v>336</v>
      </c>
      <c r="H366" s="68"/>
      <c r="I366" s="377" t="str">
        <f>IF(F371="","",IF(F371&lt;=0.1,"Pass","Fail"))</f>
        <v/>
      </c>
      <c r="J366" s="68" t="s">
        <v>543</v>
      </c>
      <c r="K366" s="68"/>
      <c r="L366" s="68"/>
      <c r="M366" s="69"/>
      <c r="O366" s="136" t="s">
        <v>328</v>
      </c>
      <c r="P366" s="229"/>
      <c r="Q366" s="229"/>
      <c r="R366" s="23"/>
      <c r="S366" s="23"/>
      <c r="T366" s="229"/>
      <c r="U366" s="229"/>
      <c r="V366" s="23"/>
      <c r="W366" s="23"/>
      <c r="X366" s="23"/>
      <c r="Y366" s="24"/>
    </row>
    <row r="367" spans="1:25" ht="14.1" customHeight="1" thickBot="1">
      <c r="A367" s="17">
        <v>7</v>
      </c>
      <c r="B367" s="67"/>
      <c r="C367" s="11">
        <f t="shared" ref="C367:D370" si="55">IF(P409="","",P409)</f>
        <v>20</v>
      </c>
      <c r="D367" s="12" t="str">
        <f t="shared" si="55"/>
        <v/>
      </c>
      <c r="E367" s="12" t="str">
        <f t="shared" ref="E367:G370" si="56">IF(S409="","",S409)</f>
        <v/>
      </c>
      <c r="F367" s="13" t="str">
        <f t="shared" si="56"/>
        <v/>
      </c>
      <c r="G367" s="12" t="str">
        <f t="shared" si="56"/>
        <v/>
      </c>
      <c r="H367" s="68"/>
      <c r="I367" s="377" t="str">
        <f>IF(O415="","",IF(O415=1,"Pass","Fail"))</f>
        <v/>
      </c>
      <c r="J367" s="68" t="s">
        <v>544</v>
      </c>
      <c r="K367" s="68"/>
      <c r="L367" s="68"/>
      <c r="M367" s="69"/>
      <c r="O367" s="30" t="s">
        <v>330</v>
      </c>
      <c r="P367" s="137"/>
      <c r="R367" s="35" t="s">
        <v>331</v>
      </c>
      <c r="S367" s="264"/>
      <c r="Y367" s="32"/>
    </row>
    <row r="368" spans="1:25" ht="14.1" customHeight="1">
      <c r="A368" s="17">
        <v>8</v>
      </c>
      <c r="B368" s="67"/>
      <c r="C368" s="11">
        <f t="shared" si="55"/>
        <v>50</v>
      </c>
      <c r="D368" s="12" t="str">
        <f t="shared" si="55"/>
        <v/>
      </c>
      <c r="E368" s="12" t="str">
        <f t="shared" si="56"/>
        <v/>
      </c>
      <c r="F368" s="13" t="str">
        <f t="shared" si="56"/>
        <v/>
      </c>
      <c r="G368" s="12" t="str">
        <f t="shared" si="56"/>
        <v/>
      </c>
      <c r="H368" s="68"/>
      <c r="I368" s="68"/>
      <c r="J368" s="68"/>
      <c r="K368" s="68"/>
      <c r="L368" s="68"/>
      <c r="M368" s="69"/>
      <c r="O368" s="30" t="s">
        <v>332</v>
      </c>
      <c r="P368" s="137"/>
      <c r="R368" s="35" t="s">
        <v>333</v>
      </c>
      <c r="S368" s="264"/>
      <c r="Y368" s="32"/>
    </row>
    <row r="369" spans="1:25" ht="14.1" customHeight="1">
      <c r="A369" s="17">
        <v>9</v>
      </c>
      <c r="B369" s="67"/>
      <c r="C369" s="11">
        <f t="shared" si="55"/>
        <v>100</v>
      </c>
      <c r="D369" s="12" t="str">
        <f t="shared" si="55"/>
        <v/>
      </c>
      <c r="E369" s="12" t="str">
        <f t="shared" si="56"/>
        <v/>
      </c>
      <c r="F369" s="13" t="str">
        <f t="shared" si="56"/>
        <v/>
      </c>
      <c r="G369" s="12" t="str">
        <f t="shared" si="56"/>
        <v/>
      </c>
      <c r="H369" s="68"/>
      <c r="I369" s="68"/>
      <c r="J369" s="68"/>
      <c r="K369" s="68"/>
      <c r="L369" s="68"/>
      <c r="M369" s="69"/>
      <c r="O369" s="30"/>
      <c r="S369" s="839" t="s">
        <v>334</v>
      </c>
      <c r="T369" s="839"/>
      <c r="U369" s="839"/>
      <c r="V369" s="839"/>
      <c r="W369" s="839"/>
      <c r="Y369" s="32"/>
    </row>
    <row r="370" spans="1:25" ht="14.1" customHeight="1" thickBot="1">
      <c r="A370" s="17">
        <v>10</v>
      </c>
      <c r="B370" s="67"/>
      <c r="C370" s="11">
        <f t="shared" si="55"/>
        <v>320</v>
      </c>
      <c r="D370" s="12" t="str">
        <f t="shared" si="55"/>
        <v/>
      </c>
      <c r="E370" s="12" t="str">
        <f t="shared" si="56"/>
        <v/>
      </c>
      <c r="F370" s="13" t="str">
        <f t="shared" si="56"/>
        <v/>
      </c>
      <c r="G370" s="12" t="str">
        <f t="shared" si="56"/>
        <v/>
      </c>
      <c r="H370" s="68"/>
      <c r="I370" s="68"/>
      <c r="J370" s="68"/>
      <c r="K370" s="68"/>
      <c r="L370" s="68"/>
      <c r="M370" s="69"/>
      <c r="O370" s="30"/>
      <c r="P370" s="21" t="s">
        <v>71</v>
      </c>
      <c r="Q370" s="768" t="s">
        <v>269</v>
      </c>
      <c r="R370" s="768" t="s">
        <v>72</v>
      </c>
      <c r="S370" s="768" t="s">
        <v>25</v>
      </c>
      <c r="T370" s="768" t="s">
        <v>26</v>
      </c>
      <c r="U370" s="768" t="s">
        <v>27</v>
      </c>
      <c r="V370" s="768" t="s">
        <v>335</v>
      </c>
      <c r="W370" s="768" t="s">
        <v>336</v>
      </c>
      <c r="X370" s="768" t="s">
        <v>513</v>
      </c>
      <c r="Y370" s="32"/>
    </row>
    <row r="371" spans="1:25" ht="14.1" customHeight="1" thickBot="1">
      <c r="A371" s="17">
        <v>11</v>
      </c>
      <c r="B371" s="67"/>
      <c r="C371" s="68"/>
      <c r="D371" s="68"/>
      <c r="E371" s="162" t="s">
        <v>348</v>
      </c>
      <c r="F371" s="274" t="str">
        <f>IF(T413="","",T413)</f>
        <v/>
      </c>
      <c r="G371" s="68"/>
      <c r="H371" s="68"/>
      <c r="I371" s="68"/>
      <c r="J371" s="68"/>
      <c r="K371" s="68"/>
      <c r="L371" s="68"/>
      <c r="M371" s="69"/>
      <c r="O371" s="30"/>
      <c r="P371" s="871" t="str">
        <f>AK10&amp;"/"&amp;AL10</f>
        <v>/</v>
      </c>
      <c r="Q371" s="307">
        <f>AH10</f>
        <v>24</v>
      </c>
      <c r="R371" s="11">
        <f>AI10</f>
        <v>50</v>
      </c>
      <c r="S371" s="12" t="str">
        <f>IF(AQ10="","",AVERAGE(AQ10,AQ11))</f>
        <v/>
      </c>
      <c r="T371" s="12" t="str">
        <f>IF(AN10="","",AN10)</f>
        <v/>
      </c>
      <c r="U371" s="12" t="str">
        <f>IF(AO10="","",AO10)</f>
        <v/>
      </c>
      <c r="V371" s="13" t="str">
        <f>IF(U371="","",U371/R371)</f>
        <v/>
      </c>
      <c r="W371" s="14" t="str">
        <f>IF(U371="","",U371/(T371/1000))</f>
        <v/>
      </c>
      <c r="X371" s="15" t="str">
        <f>IF(S371="","",(S371-Q371)/Q371)</f>
        <v/>
      </c>
      <c r="Y371" s="32"/>
    </row>
    <row r="372" spans="1:25" ht="14.1" customHeight="1">
      <c r="A372" s="17">
        <v>12</v>
      </c>
      <c r="B372" s="67"/>
      <c r="C372" s="68"/>
      <c r="D372" s="3" t="s">
        <v>204</v>
      </c>
      <c r="E372" s="101" t="s">
        <v>349</v>
      </c>
      <c r="F372" s="68"/>
      <c r="G372" s="68"/>
      <c r="H372" s="68"/>
      <c r="I372" s="68"/>
      <c r="J372" s="68"/>
      <c r="K372" s="68"/>
      <c r="L372" s="68"/>
      <c r="M372" s="69"/>
      <c r="O372" s="30"/>
      <c r="P372" s="872"/>
      <c r="Q372" s="308">
        <f>AH18</f>
        <v>25</v>
      </c>
      <c r="R372" s="11">
        <f>AI18</f>
        <v>50</v>
      </c>
      <c r="S372" s="12" t="str">
        <f>IF(AQ18="","",AVERAGE(AQ18,AQ19))</f>
        <v/>
      </c>
      <c r="T372" s="12" t="str">
        <f>IF(AN18="","",AN18)</f>
        <v/>
      </c>
      <c r="U372" s="12" t="str">
        <f>IF(AO18="","",AO18)</f>
        <v/>
      </c>
      <c r="V372" s="13" t="str">
        <f t="shared" ref="V372:V376" si="57">IF(U372="","",U372/R372)</f>
        <v/>
      </c>
      <c r="W372" s="12" t="str">
        <f t="shared" ref="W372:W376" si="58">IF(U372="","",U372/(T372/1000))</f>
        <v/>
      </c>
      <c r="X372" s="15" t="str">
        <f t="shared" ref="X372:X376" si="59">IF(S372="","",(S372-Q372)/Q372)</f>
        <v/>
      </c>
      <c r="Y372" s="32"/>
    </row>
    <row r="373" spans="1:25" ht="14.1" customHeight="1" thickBot="1">
      <c r="A373" s="17">
        <v>13</v>
      </c>
      <c r="B373" s="67"/>
      <c r="C373" s="146" t="s">
        <v>352</v>
      </c>
      <c r="D373" s="68"/>
      <c r="E373" s="68"/>
      <c r="F373" s="68"/>
      <c r="G373" s="68"/>
      <c r="H373" s="68"/>
      <c r="I373" s="68"/>
      <c r="J373" s="68"/>
      <c r="K373" s="68"/>
      <c r="L373" s="68"/>
      <c r="M373" s="69"/>
      <c r="O373" s="30"/>
      <c r="P373" s="872"/>
      <c r="Q373" s="307">
        <f>AH26</f>
        <v>26</v>
      </c>
      <c r="R373" s="11">
        <f>AI26</f>
        <v>50</v>
      </c>
      <c r="S373" s="12" t="str">
        <f>IF(AQ26="","",AQ26)</f>
        <v/>
      </c>
      <c r="T373" s="12" t="str">
        <f>IF(AN26="","",AN26)</f>
        <v/>
      </c>
      <c r="U373" s="12" t="str">
        <f>IF(AO26="","",AO26)</f>
        <v/>
      </c>
      <c r="V373" s="13" t="str">
        <f t="shared" si="57"/>
        <v/>
      </c>
      <c r="W373" s="12" t="str">
        <f t="shared" si="58"/>
        <v/>
      </c>
      <c r="X373" s="15" t="str">
        <f t="shared" si="59"/>
        <v/>
      </c>
      <c r="Y373" s="32"/>
    </row>
    <row r="374" spans="1:25" ht="14.1" customHeight="1">
      <c r="A374" s="17">
        <v>14</v>
      </c>
      <c r="B374" s="67"/>
      <c r="C374" s="729" t="s">
        <v>71</v>
      </c>
      <c r="D374" s="730" t="str">
        <f>Q418</f>
        <v>/</v>
      </c>
      <c r="E374" s="730" t="str">
        <f>R418</f>
        <v>/</v>
      </c>
      <c r="F374" s="731" t="str">
        <f>S418</f>
        <v>/</v>
      </c>
      <c r="G374"/>
      <c r="H374"/>
      <c r="I374"/>
      <c r="J374"/>
      <c r="K374"/>
      <c r="L374"/>
      <c r="M374" s="69"/>
      <c r="O374" s="30"/>
      <c r="P374" s="872"/>
      <c r="Q374" s="307">
        <f>AH28</f>
        <v>28</v>
      </c>
      <c r="R374" s="11">
        <f>AI28</f>
        <v>50</v>
      </c>
      <c r="S374" s="12" t="str">
        <f>IF(AQ28="","",AVERAGE(AQ27:AQ31))</f>
        <v/>
      </c>
      <c r="T374" s="12" t="str">
        <f>IF(AN28="","",AN28)</f>
        <v/>
      </c>
      <c r="U374" s="12" t="str">
        <f>IF(AO28="","",AO28)</f>
        <v/>
      </c>
      <c r="V374" s="13" t="str">
        <f t="shared" si="57"/>
        <v/>
      </c>
      <c r="W374" s="12" t="str">
        <f t="shared" si="58"/>
        <v/>
      </c>
      <c r="X374" s="15" t="str">
        <f t="shared" si="59"/>
        <v/>
      </c>
      <c r="Y374" s="32"/>
    </row>
    <row r="375" spans="1:25" ht="14.1" customHeight="1">
      <c r="A375" s="17">
        <v>15</v>
      </c>
      <c r="B375" s="67"/>
      <c r="C375" s="338" t="s">
        <v>25</v>
      </c>
      <c r="D375" s="336">
        <f>IF(Q419="","",Q419)</f>
        <v>28</v>
      </c>
      <c r="E375" s="336">
        <f>IF(R419="","",R419)</f>
        <v>28</v>
      </c>
      <c r="F375" s="357">
        <f>IF(S419="","",S419)</f>
        <v>28</v>
      </c>
      <c r="G375"/>
      <c r="H375"/>
      <c r="I375"/>
      <c r="J375"/>
      <c r="K375"/>
      <c r="L375"/>
      <c r="M375" s="69"/>
      <c r="O375" s="30"/>
      <c r="P375" s="872"/>
      <c r="Q375" s="307">
        <f>AH40</f>
        <v>30</v>
      </c>
      <c r="R375" s="11">
        <f>AI40</f>
        <v>50</v>
      </c>
      <c r="S375" s="12" t="str">
        <f>IF(AQ40="","",AQ40)</f>
        <v/>
      </c>
      <c r="T375" s="12" t="str">
        <f>IF(AN40="","",AN40)</f>
        <v/>
      </c>
      <c r="U375" s="12" t="str">
        <f>IF(AO40="","",AO40)</f>
        <v/>
      </c>
      <c r="V375" s="13" t="str">
        <f t="shared" si="57"/>
        <v/>
      </c>
      <c r="W375" s="12" t="str">
        <f t="shared" si="58"/>
        <v/>
      </c>
      <c r="X375" s="15" t="str">
        <f t="shared" si="59"/>
        <v/>
      </c>
      <c r="Y375" s="32"/>
    </row>
    <row r="376" spans="1:25" ht="14.1" customHeight="1">
      <c r="A376" s="17">
        <v>16</v>
      </c>
      <c r="B376" s="67"/>
      <c r="C376" s="422" t="s">
        <v>446</v>
      </c>
      <c r="D376" s="303" t="str">
        <f t="shared" ref="D376:F377" si="60">IF(Q423="","",Q423)</f>
        <v/>
      </c>
      <c r="E376" s="303" t="str">
        <f t="shared" si="60"/>
        <v/>
      </c>
      <c r="F376" s="454" t="str">
        <f t="shared" si="60"/>
        <v/>
      </c>
      <c r="G376"/>
      <c r="H376"/>
      <c r="I376"/>
      <c r="J376"/>
      <c r="K376"/>
      <c r="L376"/>
      <c r="M376" s="69"/>
      <c r="O376" s="30"/>
      <c r="P376" s="872"/>
      <c r="Q376" s="307">
        <f>AH41</f>
        <v>32</v>
      </c>
      <c r="R376" s="11">
        <f>AI41</f>
        <v>50</v>
      </c>
      <c r="S376" s="12" t="str">
        <f>IF(AQ41="","",AVERAGE(AQ41:AQ42))</f>
        <v/>
      </c>
      <c r="T376" s="12" t="str">
        <f>IF(AN41="","",AN41)</f>
        <v/>
      </c>
      <c r="U376" s="12" t="str">
        <f>IF(AO41="","",AO41)</f>
        <v/>
      </c>
      <c r="V376" s="13" t="str">
        <f t="shared" si="57"/>
        <v/>
      </c>
      <c r="W376" s="12" t="str">
        <f t="shared" si="58"/>
        <v/>
      </c>
      <c r="X376" s="15" t="str">
        <f t="shared" si="59"/>
        <v/>
      </c>
      <c r="Y376" s="32"/>
    </row>
    <row r="377" spans="1:25" ht="14.1" customHeight="1">
      <c r="A377" s="17">
        <v>17</v>
      </c>
      <c r="B377" s="67"/>
      <c r="C377" s="422" t="s">
        <v>545</v>
      </c>
      <c r="D377" s="15" t="str">
        <f t="shared" si="60"/>
        <v/>
      </c>
      <c r="E377" s="15" t="str">
        <f t="shared" si="60"/>
        <v/>
      </c>
      <c r="F377" s="420" t="str">
        <f t="shared" si="60"/>
        <v/>
      </c>
      <c r="G377"/>
      <c r="H377"/>
      <c r="I377"/>
      <c r="J377"/>
      <c r="K377"/>
      <c r="L377"/>
      <c r="M377" s="69"/>
      <c r="O377" s="30"/>
      <c r="P377" s="873"/>
      <c r="Q377" s="307">
        <f>AH49</f>
        <v>34</v>
      </c>
      <c r="R377" s="11">
        <f>AI49</f>
        <v>50</v>
      </c>
      <c r="S377" s="12" t="str">
        <f>IF(AQ49="","",AVERAGE(AQ49:AQ50))</f>
        <v/>
      </c>
      <c r="T377" s="12" t="str">
        <f>IF(AN49="","",AN49)</f>
        <v/>
      </c>
      <c r="U377" s="12" t="str">
        <f>IF(AO49="","",AO49)</f>
        <v/>
      </c>
      <c r="V377" s="13" t="str">
        <f t="shared" ref="V377" si="61">IF(U377="","",U377/R377)</f>
        <v/>
      </c>
      <c r="W377" s="12" t="str">
        <f t="shared" ref="W377" si="62">IF(U377="","",U377/(T377/1000))</f>
        <v/>
      </c>
      <c r="X377" s="15" t="str">
        <f t="shared" ref="X377" si="63">IF(S377="","",(S377-Q377)/Q377)</f>
        <v/>
      </c>
      <c r="Y377" s="32"/>
    </row>
    <row r="378" spans="1:25" ht="14.1" customHeight="1" thickBot="1">
      <c r="A378" s="17">
        <v>18</v>
      </c>
      <c r="B378" s="67"/>
      <c r="C378" s="685" t="s">
        <v>218</v>
      </c>
      <c r="D378" s="443" t="str">
        <f>Q425</f>
        <v/>
      </c>
      <c r="E378" s="443" t="str">
        <f>R425</f>
        <v/>
      </c>
      <c r="F378" s="388" t="str">
        <f>S425</f>
        <v/>
      </c>
      <c r="G378"/>
      <c r="H378"/>
      <c r="I378"/>
      <c r="J378"/>
      <c r="K378"/>
      <c r="L378"/>
      <c r="M378" s="69"/>
      <c r="O378" s="30"/>
      <c r="P378" s="868" t="str">
        <f>AK57&amp;"/"&amp;AL57</f>
        <v>/</v>
      </c>
      <c r="Q378" s="307">
        <f>AH57</f>
        <v>28</v>
      </c>
      <c r="R378" s="11">
        <f>AI57</f>
        <v>50</v>
      </c>
      <c r="S378" s="12" t="str">
        <f>IF(AQ57="","",AVERAGE(AQ57:AQ58))</f>
        <v/>
      </c>
      <c r="T378" s="12" t="str">
        <f>IF(AN57="","",AN57)</f>
        <v/>
      </c>
      <c r="U378" s="12" t="str">
        <f>IF(AO57="","",AO57)</f>
        <v/>
      </c>
      <c r="V378" s="13" t="str">
        <f t="shared" ref="V378:V388" si="64">IF(U378="","",U378/R378)</f>
        <v/>
      </c>
      <c r="W378" s="12" t="str">
        <f t="shared" ref="W378:W388" si="65">IF(U378="","",U378/(T378/1000))</f>
        <v/>
      </c>
      <c r="X378" s="15" t="str">
        <f t="shared" ref="X378:X388" si="66">IF(S378="","",(S378-Q378)/Q378)</f>
        <v/>
      </c>
      <c r="Y378" s="32"/>
    </row>
    <row r="379" spans="1:25" ht="14.1" customHeight="1">
      <c r="A379" s="17">
        <v>19</v>
      </c>
      <c r="B379" s="67"/>
      <c r="C379"/>
      <c r="D379" s="3" t="s">
        <v>204</v>
      </c>
      <c r="E379" s="435" t="s">
        <v>647</v>
      </c>
      <c r="F379"/>
      <c r="G379"/>
      <c r="H379"/>
      <c r="I379"/>
      <c r="J379"/>
      <c r="K379"/>
      <c r="L379"/>
      <c r="M379" s="69"/>
      <c r="O379" s="161"/>
      <c r="P379" s="869"/>
      <c r="Q379" s="307">
        <f>AH65</f>
        <v>30</v>
      </c>
      <c r="R379" s="11">
        <f>AI65</f>
        <v>50</v>
      </c>
      <c r="S379" s="12" t="str">
        <f>IF(AQ65="","",AVERAGE(AQ65:AQ66))</f>
        <v/>
      </c>
      <c r="T379" s="12" t="str">
        <f>IF(AN65="","",AN65)</f>
        <v/>
      </c>
      <c r="U379" s="12" t="str">
        <f>IF(AO65="","",AO65)</f>
        <v/>
      </c>
      <c r="V379" s="13" t="str">
        <f t="shared" si="64"/>
        <v/>
      </c>
      <c r="W379" s="12" t="str">
        <f t="shared" si="65"/>
        <v/>
      </c>
      <c r="X379" s="15" t="str">
        <f t="shared" si="66"/>
        <v/>
      </c>
      <c r="Y379" s="32"/>
    </row>
    <row r="380" spans="1:25" ht="14.1" customHeight="1">
      <c r="A380" s="17">
        <v>20</v>
      </c>
      <c r="B380" s="67"/>
      <c r="M380" s="69"/>
      <c r="O380" s="30"/>
      <c r="P380" s="869"/>
      <c r="Q380" s="307">
        <f>AH73</f>
        <v>32</v>
      </c>
      <c r="R380" s="11">
        <f>AI73</f>
        <v>50</v>
      </c>
      <c r="S380" s="12" t="str">
        <f>IF(AQ73="","",AVERAGE(AQ73:AQ74))</f>
        <v/>
      </c>
      <c r="T380" s="12" t="str">
        <f>IF(AN73="","",AN73)</f>
        <v/>
      </c>
      <c r="U380" s="12" t="str">
        <f>IF(AO73="","",AO73)</f>
        <v/>
      </c>
      <c r="V380" s="13" t="str">
        <f t="shared" si="64"/>
        <v/>
      </c>
      <c r="W380" s="12" t="str">
        <f t="shared" si="65"/>
        <v/>
      </c>
      <c r="X380" s="15" t="str">
        <f t="shared" si="66"/>
        <v/>
      </c>
      <c r="Y380" s="32"/>
    </row>
    <row r="381" spans="1:25" ht="14.1" customHeight="1">
      <c r="A381" s="17">
        <v>21</v>
      </c>
      <c r="B381" s="67"/>
      <c r="C381" s="146" t="s">
        <v>319</v>
      </c>
      <c r="D381" s="68"/>
      <c r="E381" s="68"/>
      <c r="F381" s="68"/>
      <c r="G381" s="68"/>
      <c r="H381" s="68"/>
      <c r="I381" s="68"/>
      <c r="J381" s="68"/>
      <c r="K381" s="68"/>
      <c r="L381" s="68"/>
      <c r="M381" s="69"/>
      <c r="O381" s="30"/>
      <c r="P381" s="869"/>
      <c r="Q381" s="307">
        <f>AH81</f>
        <v>34</v>
      </c>
      <c r="R381" s="11">
        <f>AI81</f>
        <v>50</v>
      </c>
      <c r="S381" s="12" t="str">
        <f>IF(AQ81="","",AVERAGE(AQ81:AQ82))</f>
        <v/>
      </c>
      <c r="T381" s="12" t="str">
        <f>IF(AN81="","",AN81)</f>
        <v/>
      </c>
      <c r="U381" s="12" t="str">
        <f>IF(AO81="","",AO81)</f>
        <v/>
      </c>
      <c r="V381" s="13" t="str">
        <f t="shared" si="64"/>
        <v/>
      </c>
      <c r="W381" s="12" t="str">
        <f t="shared" si="65"/>
        <v/>
      </c>
      <c r="X381" s="15" t="str">
        <f t="shared" si="66"/>
        <v/>
      </c>
      <c r="Y381" s="32"/>
    </row>
    <row r="382" spans="1:25" ht="14.1" customHeight="1" thickBot="1">
      <c r="A382" s="17">
        <v>22</v>
      </c>
      <c r="B382" s="67"/>
      <c r="C382" s="68"/>
      <c r="D382" s="162" t="s">
        <v>173</v>
      </c>
      <c r="E382" s="140" t="str">
        <f>IF(Q457="","",Q457)</f>
        <v/>
      </c>
      <c r="F382" s="68"/>
      <c r="G382" s="68"/>
      <c r="H382" s="739" t="s">
        <v>320</v>
      </c>
      <c r="I382" s="739" t="s">
        <v>321</v>
      </c>
      <c r="J382" s="739" t="s">
        <v>371</v>
      </c>
      <c r="K382" s="739" t="s">
        <v>290</v>
      </c>
      <c r="L382" s="739" t="s">
        <v>291</v>
      </c>
      <c r="M382" s="69"/>
      <c r="O382" s="30"/>
      <c r="P382" s="869"/>
      <c r="Q382" s="307">
        <f t="shared" ref="Q382:R384" si="67">AH89</f>
        <v>36</v>
      </c>
      <c r="R382" s="11">
        <f t="shared" si="67"/>
        <v>50</v>
      </c>
      <c r="S382" s="12" t="str">
        <f>IF(AQ89="","",AQ89)</f>
        <v/>
      </c>
      <c r="T382" s="12" t="str">
        <f t="shared" ref="T382:U384" si="68">IF(AN89="","",AN89)</f>
        <v/>
      </c>
      <c r="U382" s="12" t="str">
        <f t="shared" si="68"/>
        <v/>
      </c>
      <c r="V382" s="13" t="str">
        <f t="shared" si="64"/>
        <v/>
      </c>
      <c r="W382" s="12" t="str">
        <f t="shared" si="65"/>
        <v/>
      </c>
      <c r="X382" s="15" t="str">
        <f t="shared" si="66"/>
        <v/>
      </c>
      <c r="Y382" s="32"/>
    </row>
    <row r="383" spans="1:25" ht="14.1" customHeight="1" thickBot="1">
      <c r="A383" s="17">
        <v>23</v>
      </c>
      <c r="B383" s="67"/>
      <c r="C383" s="68"/>
      <c r="D383" s="162" t="s">
        <v>176</v>
      </c>
      <c r="E383" s="140" t="str">
        <f>IF(Q458="","",Q458)</f>
        <v/>
      </c>
      <c r="F383" s="68"/>
      <c r="G383" s="162" t="s">
        <v>198</v>
      </c>
      <c r="H383" s="480" t="str">
        <f>IF(T461="","",T461)</f>
        <v/>
      </c>
      <c r="I383" s="379" t="str">
        <f>IF(U461="","",U461)</f>
        <v/>
      </c>
      <c r="J383" s="379" t="str">
        <f>IF(W461="","",W461)</f>
        <v/>
      </c>
      <c r="K383" s="482" t="str">
        <f>IF(V461="","",V461)</f>
        <v/>
      </c>
      <c r="L383" s="483" t="str">
        <f>IF(X461="","",X461)</f>
        <v/>
      </c>
      <c r="M383" s="69"/>
      <c r="O383" s="30"/>
      <c r="P383" s="870"/>
      <c r="Q383" s="307">
        <f t="shared" si="67"/>
        <v>38</v>
      </c>
      <c r="R383" s="11">
        <f t="shared" si="67"/>
        <v>50</v>
      </c>
      <c r="S383" s="12" t="str">
        <f>IF(AQ90="","",AQ90)</f>
        <v/>
      </c>
      <c r="T383" s="12" t="str">
        <f t="shared" si="68"/>
        <v/>
      </c>
      <c r="U383" s="12" t="str">
        <f t="shared" si="68"/>
        <v/>
      </c>
      <c r="V383" s="13" t="str">
        <f t="shared" si="64"/>
        <v/>
      </c>
      <c r="W383" s="12" t="str">
        <f t="shared" si="65"/>
        <v/>
      </c>
      <c r="X383" s="15" t="str">
        <f t="shared" si="66"/>
        <v/>
      </c>
      <c r="Y383" s="32"/>
    </row>
    <row r="384" spans="1:25" ht="14.1" customHeight="1" thickBot="1">
      <c r="A384" s="17">
        <v>24</v>
      </c>
      <c r="B384" s="67"/>
      <c r="C384" s="68"/>
      <c r="D384" s="162" t="s">
        <v>51</v>
      </c>
      <c r="E384" s="140" t="str">
        <f>IF(Q459="","",Q459)</f>
        <v/>
      </c>
      <c r="F384" s="68"/>
      <c r="G384" s="162" t="s">
        <v>199</v>
      </c>
      <c r="H384" s="481" t="str">
        <f>IF(T462="","",T462)</f>
        <v/>
      </c>
      <c r="I384" s="384" t="str">
        <f>IF(U462="","",U462)</f>
        <v/>
      </c>
      <c r="J384" s="384" t="str">
        <f>IF(W462="","",W462)</f>
        <v/>
      </c>
      <c r="K384" s="484" t="str">
        <f>IF(V462="","",V462)</f>
        <v/>
      </c>
      <c r="L384" s="434" t="str">
        <f>IF(X462="","",X462)</f>
        <v/>
      </c>
      <c r="M384" s="69"/>
      <c r="O384" s="30"/>
      <c r="P384" s="868" t="str">
        <f>AK91&amp;"/"&amp;AL91</f>
        <v>/</v>
      </c>
      <c r="Q384" s="308">
        <f t="shared" si="67"/>
        <v>28</v>
      </c>
      <c r="R384" s="11">
        <f t="shared" si="67"/>
        <v>50</v>
      </c>
      <c r="S384" s="12" t="str">
        <f>IF(AQ91="","",AVERAGE(AQ91:AQ94))</f>
        <v/>
      </c>
      <c r="T384" s="12" t="str">
        <f t="shared" si="68"/>
        <v/>
      </c>
      <c r="U384" s="12" t="str">
        <f t="shared" si="68"/>
        <v/>
      </c>
      <c r="V384" s="13" t="str">
        <f t="shared" si="64"/>
        <v/>
      </c>
      <c r="W384" s="12" t="str">
        <f t="shared" si="65"/>
        <v/>
      </c>
      <c r="X384" s="15" t="str">
        <f t="shared" si="66"/>
        <v/>
      </c>
      <c r="Y384" s="32"/>
    </row>
    <row r="385" spans="1:25" ht="14.1" customHeight="1">
      <c r="A385" s="17">
        <v>25</v>
      </c>
      <c r="B385" s="67"/>
      <c r="C385" s="68"/>
      <c r="D385" s="162" t="s">
        <v>54</v>
      </c>
      <c r="E385" s="140" t="str">
        <f>IF(Q460="","",Q460)</f>
        <v/>
      </c>
      <c r="F385" s="68"/>
      <c r="G385" s="68"/>
      <c r="H385" s="68"/>
      <c r="I385" s="68"/>
      <c r="J385" s="68"/>
      <c r="K385" s="68"/>
      <c r="L385" s="68"/>
      <c r="M385" s="69"/>
      <c r="O385" s="30"/>
      <c r="P385" s="869"/>
      <c r="Q385" s="308">
        <f>AH101</f>
        <v>30</v>
      </c>
      <c r="R385" s="11">
        <f>AI101</f>
        <v>50</v>
      </c>
      <c r="S385" s="12" t="str">
        <f>IF(AQ101="","",AVERAGE(AQ101:AQ102))</f>
        <v/>
      </c>
      <c r="T385" s="12" t="str">
        <f>IF(AN101="","",AN101)</f>
        <v/>
      </c>
      <c r="U385" s="12" t="str">
        <f>IF(AO101="","",AO101)</f>
        <v/>
      </c>
      <c r="V385" s="13" t="str">
        <f t="shared" si="64"/>
        <v/>
      </c>
      <c r="W385" s="12" t="str">
        <f t="shared" si="65"/>
        <v/>
      </c>
      <c r="X385" s="15" t="str">
        <f t="shared" si="66"/>
        <v/>
      </c>
      <c r="Y385" s="32"/>
    </row>
    <row r="386" spans="1:25" ht="14.1" customHeight="1">
      <c r="A386" s="17">
        <v>26</v>
      </c>
      <c r="B386" s="67"/>
      <c r="C386" s="68"/>
      <c r="D386" s="3" t="s">
        <v>204</v>
      </c>
      <c r="E386" s="101" t="s">
        <v>372</v>
      </c>
      <c r="F386" s="68"/>
      <c r="G386" s="68"/>
      <c r="H386" s="68"/>
      <c r="I386" s="68"/>
      <c r="J386" s="68"/>
      <c r="K386" s="68"/>
      <c r="L386" s="68"/>
      <c r="M386" s="69"/>
      <c r="O386" s="30"/>
      <c r="P386" s="869"/>
      <c r="Q386" s="307">
        <f>AH109</f>
        <v>32</v>
      </c>
      <c r="R386" s="11">
        <f>AI109</f>
        <v>50</v>
      </c>
      <c r="S386" s="12" t="str">
        <f>IF(AQ109="","",AVERAGE(AQ109:AQ110))</f>
        <v/>
      </c>
      <c r="T386" s="12" t="str">
        <f>IF(AN109="","",AN109)</f>
        <v/>
      </c>
      <c r="U386" s="12" t="str">
        <f>IF(AO109="","",AO109)</f>
        <v/>
      </c>
      <c r="V386" s="13" t="str">
        <f t="shared" si="64"/>
        <v/>
      </c>
      <c r="W386" s="12" t="str">
        <f t="shared" si="65"/>
        <v/>
      </c>
      <c r="X386" s="15" t="str">
        <f t="shared" si="66"/>
        <v/>
      </c>
      <c r="Y386" s="32"/>
    </row>
    <row r="387" spans="1:25" ht="14.1" customHeight="1">
      <c r="A387" s="17">
        <v>27</v>
      </c>
      <c r="B387" s="67"/>
      <c r="C387" s="68"/>
      <c r="D387" s="68"/>
      <c r="E387" s="138" t="s">
        <v>373</v>
      </c>
      <c r="F387" s="68"/>
      <c r="G387" s="68"/>
      <c r="H387" s="68"/>
      <c r="I387" s="68"/>
      <c r="J387" s="68"/>
      <c r="K387" s="68"/>
      <c r="L387" s="68"/>
      <c r="M387" s="69"/>
      <c r="O387" s="30"/>
      <c r="P387" s="869"/>
      <c r="Q387" s="307">
        <f>AH117</f>
        <v>34</v>
      </c>
      <c r="R387" s="11">
        <f>AI117</f>
        <v>50</v>
      </c>
      <c r="S387" s="12" t="str">
        <f>IF(AQ117="","",AVERAGE(AQ117:AQ118))</f>
        <v/>
      </c>
      <c r="T387" s="12" t="str">
        <f>IF(AN117="","",AN117)</f>
        <v/>
      </c>
      <c r="U387" s="12" t="str">
        <f>IF(AO117="","",AO117)</f>
        <v/>
      </c>
      <c r="V387" s="13" t="str">
        <f t="shared" si="64"/>
        <v/>
      </c>
      <c r="W387" s="12" t="str">
        <f t="shared" si="65"/>
        <v/>
      </c>
      <c r="X387" s="15" t="str">
        <f t="shared" si="66"/>
        <v/>
      </c>
      <c r="Y387" s="32"/>
    </row>
    <row r="388" spans="1:25" ht="14.1" customHeight="1">
      <c r="A388" s="17">
        <v>28</v>
      </c>
      <c r="B388" s="67"/>
      <c r="C388" s="68"/>
      <c r="D388" s="68"/>
      <c r="E388" s="68"/>
      <c r="F388" s="68"/>
      <c r="G388" s="68"/>
      <c r="H388" s="68"/>
      <c r="I388" s="68"/>
      <c r="J388" s="68"/>
      <c r="K388" s="68"/>
      <c r="L388" s="68"/>
      <c r="M388" s="69"/>
      <c r="O388" s="30"/>
      <c r="P388" s="870"/>
      <c r="Q388" s="307">
        <f>AH125</f>
        <v>38</v>
      </c>
      <c r="R388" s="11">
        <f>AI125</f>
        <v>50</v>
      </c>
      <c r="S388" s="12" t="str">
        <f>IF(AQ125="","",AQ125)</f>
        <v/>
      </c>
      <c r="T388" s="12" t="str">
        <f>IF(AN125="","",AN125)</f>
        <v/>
      </c>
      <c r="U388" s="12" t="str">
        <f>IF(AO125="","",AO125)</f>
        <v/>
      </c>
      <c r="V388" s="13" t="str">
        <f t="shared" si="64"/>
        <v/>
      </c>
      <c r="W388" s="12" t="str">
        <f t="shared" si="65"/>
        <v/>
      </c>
      <c r="X388" s="15" t="str">
        <f t="shared" si="66"/>
        <v/>
      </c>
      <c r="Y388" s="32"/>
    </row>
    <row r="389" spans="1:25" ht="14.1" customHeight="1">
      <c r="A389" s="17">
        <v>29</v>
      </c>
      <c r="B389" s="67"/>
      <c r="C389" s="146" t="s">
        <v>322</v>
      </c>
      <c r="D389" s="68"/>
      <c r="E389" s="68"/>
      <c r="F389" s="68"/>
      <c r="G389" s="68"/>
      <c r="H389" s="68"/>
      <c r="I389" s="68"/>
      <c r="J389" s="68"/>
      <c r="K389" s="68"/>
      <c r="L389" s="68"/>
      <c r="M389" s="69"/>
      <c r="O389" s="30"/>
      <c r="P389" s="113" t="s">
        <v>204</v>
      </c>
      <c r="Q389" s="138" t="s">
        <v>338</v>
      </c>
      <c r="Y389" s="32"/>
    </row>
    <row r="390" spans="1:25" ht="14.1" customHeight="1" thickBot="1">
      <c r="A390" s="17">
        <v>30</v>
      </c>
      <c r="B390" s="67"/>
      <c r="C390" s="68"/>
      <c r="D390" s="491" t="s">
        <v>323</v>
      </c>
      <c r="E390" s="491"/>
      <c r="F390" s="333"/>
      <c r="G390" s="333"/>
      <c r="H390" s="491" t="s">
        <v>324</v>
      </c>
      <c r="I390" s="491"/>
      <c r="J390" s="68"/>
      <c r="K390" s="333"/>
      <c r="L390" s="311" t="s">
        <v>325</v>
      </c>
      <c r="M390" s="311"/>
      <c r="O390" s="40"/>
      <c r="P390" s="41"/>
      <c r="Q390" s="41"/>
      <c r="R390" s="41"/>
      <c r="S390" s="41"/>
      <c r="T390" s="41"/>
      <c r="U390" s="41"/>
      <c r="V390" s="41"/>
      <c r="W390" s="41"/>
      <c r="X390" s="41"/>
      <c r="Y390" s="42"/>
    </row>
    <row r="391" spans="1:25" ht="14.1" customHeight="1" thickBot="1">
      <c r="A391" s="17">
        <v>31</v>
      </c>
      <c r="B391" s="67"/>
      <c r="C391" s="333"/>
      <c r="D391" s="162" t="s">
        <v>173</v>
      </c>
      <c r="E391" s="485" t="str">
        <f t="shared" ref="E391:E396" si="69">IF(Q432="","",Q432)</f>
        <v/>
      </c>
      <c r="F391" s="333"/>
      <c r="G391" s="162" t="s">
        <v>71</v>
      </c>
      <c r="H391" s="338" t="str">
        <f t="shared" ref="H391:J396" si="70">IF(Q447="","",Q447)</f>
        <v>Mo/Mo</v>
      </c>
      <c r="I391" s="296" t="str">
        <f t="shared" si="70"/>
        <v>Mo/Rh</v>
      </c>
      <c r="J391" s="339" t="str">
        <f t="shared" si="70"/>
        <v>W/Rh</v>
      </c>
      <c r="K391" s="333"/>
      <c r="L391" s="107" t="s">
        <v>254</v>
      </c>
      <c r="M391" s="260" t="s">
        <v>255</v>
      </c>
      <c r="O391" s="136" t="s">
        <v>339</v>
      </c>
      <c r="P391" s="23"/>
      <c r="Q391" s="23"/>
      <c r="R391" s="23"/>
      <c r="S391" s="23"/>
      <c r="T391" s="23"/>
      <c r="U391" s="23"/>
      <c r="V391" s="23"/>
      <c r="W391" s="23"/>
      <c r="X391" s="23"/>
      <c r="Y391" s="24"/>
    </row>
    <row r="392" spans="1:25" ht="14.1" customHeight="1" thickBot="1">
      <c r="A392" s="17">
        <v>32</v>
      </c>
      <c r="B392" s="67"/>
      <c r="C392" s="333"/>
      <c r="D392" s="162" t="s">
        <v>176</v>
      </c>
      <c r="E392" s="486" t="str">
        <f t="shared" si="69"/>
        <v/>
      </c>
      <c r="F392" s="333"/>
      <c r="G392" s="162" t="s">
        <v>173</v>
      </c>
      <c r="H392" s="338" t="str">
        <f t="shared" si="70"/>
        <v/>
      </c>
      <c r="I392" s="296" t="str">
        <f t="shared" si="70"/>
        <v/>
      </c>
      <c r="J392" s="339" t="str">
        <f t="shared" si="70"/>
        <v/>
      </c>
      <c r="K392" s="333"/>
      <c r="L392" s="162" t="s">
        <v>327</v>
      </c>
      <c r="M392" s="262" t="str">
        <f>IF(R440="","",R440)</f>
        <v/>
      </c>
      <c r="O392" s="30"/>
      <c r="P392" s="320" t="s">
        <v>95</v>
      </c>
      <c r="Q392" s="321" t="str">
        <f>AK10&amp;"/"&amp;AL10</f>
        <v>/</v>
      </c>
      <c r="R392" s="452" t="s">
        <v>173</v>
      </c>
      <c r="S392" s="457">
        <f>AH28</f>
        <v>28</v>
      </c>
      <c r="T392" s="24"/>
      <c r="U392" s="320" t="s">
        <v>95</v>
      </c>
      <c r="V392" s="321" t="str">
        <f>AK91&amp;"/"&amp;AL91</f>
        <v>/</v>
      </c>
      <c r="W392" s="322" t="s">
        <v>173</v>
      </c>
      <c r="X392" s="772">
        <f>AH91</f>
        <v>28</v>
      </c>
      <c r="Y392" s="24"/>
    </row>
    <row r="393" spans="1:25" ht="14.1" customHeight="1">
      <c r="A393" s="17">
        <v>33</v>
      </c>
      <c r="B393" s="67"/>
      <c r="C393" s="333"/>
      <c r="D393" s="162" t="s">
        <v>329</v>
      </c>
      <c r="E393" s="486" t="str">
        <f t="shared" si="69"/>
        <v/>
      </c>
      <c r="F393" s="333"/>
      <c r="G393" s="162" t="s">
        <v>176</v>
      </c>
      <c r="H393" s="338" t="str">
        <f t="shared" si="70"/>
        <v/>
      </c>
      <c r="I393" s="296" t="str">
        <f t="shared" si="70"/>
        <v/>
      </c>
      <c r="J393" s="339" t="str">
        <f t="shared" si="70"/>
        <v/>
      </c>
      <c r="K393" s="162" t="s">
        <v>187</v>
      </c>
      <c r="L393" s="204" t="str">
        <f t="shared" ref="L393:M395" si="71">IF(Q442="","",Q442)</f>
        <v/>
      </c>
      <c r="M393" s="263" t="str">
        <f t="shared" si="71"/>
        <v/>
      </c>
      <c r="O393" s="318"/>
      <c r="P393" s="462"/>
      <c r="R393" s="162" t="s">
        <v>219</v>
      </c>
      <c r="S393" s="769">
        <f>AI28</f>
        <v>50</v>
      </c>
      <c r="T393" s="209"/>
      <c r="W393" s="162" t="s">
        <v>219</v>
      </c>
      <c r="X393" s="769">
        <f>AI91</f>
        <v>50</v>
      </c>
      <c r="Y393" s="32"/>
    </row>
    <row r="394" spans="1:25" ht="14.1" customHeight="1" thickBot="1">
      <c r="A394" s="17">
        <v>34</v>
      </c>
      <c r="B394" s="67"/>
      <c r="C394" s="333"/>
      <c r="D394" s="162" t="s">
        <v>182</v>
      </c>
      <c r="E394" s="486" t="str">
        <f t="shared" si="69"/>
        <v/>
      </c>
      <c r="F394" s="333"/>
      <c r="G394" s="162" t="s">
        <v>187</v>
      </c>
      <c r="H394" s="338" t="str">
        <f t="shared" si="70"/>
        <v/>
      </c>
      <c r="I394" s="296" t="str">
        <f t="shared" si="70"/>
        <v/>
      </c>
      <c r="J394" s="339" t="str">
        <f t="shared" si="70"/>
        <v/>
      </c>
      <c r="K394" s="162" t="s">
        <v>189</v>
      </c>
      <c r="L394" s="206" t="str">
        <f t="shared" si="71"/>
        <v/>
      </c>
      <c r="M394" s="265" t="str">
        <f t="shared" si="71"/>
        <v/>
      </c>
      <c r="O394" s="319"/>
      <c r="P394" s="323" t="s">
        <v>25</v>
      </c>
      <c r="Q394" s="739" t="s">
        <v>26</v>
      </c>
      <c r="R394" s="739" t="s">
        <v>27</v>
      </c>
      <c r="S394" s="739" t="s">
        <v>335</v>
      </c>
      <c r="T394" s="209" t="s">
        <v>336</v>
      </c>
      <c r="U394" s="328" t="s">
        <v>25</v>
      </c>
      <c r="V394" s="329" t="s">
        <v>26</v>
      </c>
      <c r="W394" s="329" t="s">
        <v>27</v>
      </c>
      <c r="X394" s="329" t="s">
        <v>335</v>
      </c>
      <c r="Y394" s="330" t="s">
        <v>336</v>
      </c>
    </row>
    <row r="395" spans="1:25" ht="14.1" customHeight="1" thickBot="1">
      <c r="A395" s="17">
        <v>35</v>
      </c>
      <c r="B395" s="67"/>
      <c r="C395" s="333"/>
      <c r="D395" s="162" t="s">
        <v>184</v>
      </c>
      <c r="E395" s="486" t="str">
        <f t="shared" si="69"/>
        <v/>
      </c>
      <c r="F395" s="333"/>
      <c r="G395" s="162" t="s">
        <v>189</v>
      </c>
      <c r="H395" s="338" t="str">
        <f t="shared" si="70"/>
        <v/>
      </c>
      <c r="I395" s="296" t="str">
        <f t="shared" si="70"/>
        <v/>
      </c>
      <c r="J395" s="339" t="str">
        <f t="shared" si="70"/>
        <v/>
      </c>
      <c r="K395" s="162" t="s">
        <v>191</v>
      </c>
      <c r="L395" s="207" t="str">
        <f t="shared" si="71"/>
        <v/>
      </c>
      <c r="M395" s="266" t="str">
        <f t="shared" si="71"/>
        <v/>
      </c>
      <c r="O395" s="319"/>
      <c r="P395" s="327" t="str">
        <f>IF(AQ28="","",AQ28)</f>
        <v/>
      </c>
      <c r="Q395" s="275" t="str">
        <f t="shared" ref="Q395:R398" si="72">IF(AN28="","",AN28)</f>
        <v/>
      </c>
      <c r="R395" s="275" t="str">
        <f t="shared" si="72"/>
        <v/>
      </c>
      <c r="S395" s="238" t="str">
        <f>IF(R395="","",R395/$S$393)</f>
        <v/>
      </c>
      <c r="T395" s="239" t="str">
        <f>IF(OR(R395="",Q395=""),"",R395/(Q395/1000))</f>
        <v/>
      </c>
      <c r="U395" s="327" t="str">
        <f>IF(AQ91="","",AQ91)</f>
        <v/>
      </c>
      <c r="V395" s="275" t="str">
        <f t="shared" ref="V395:W398" si="73">IF(AN91="","",AN91)</f>
        <v/>
      </c>
      <c r="W395" s="275" t="str">
        <f t="shared" si="73"/>
        <v/>
      </c>
      <c r="X395" s="238" t="str">
        <f>IF(W395="","",W395/$X$393)</f>
        <v/>
      </c>
      <c r="Y395" s="239" t="str">
        <f>IF(OR(W395="",V395=""),"",W395/(V395/1000))</f>
        <v/>
      </c>
    </row>
    <row r="396" spans="1:25" ht="14.1" customHeight="1" thickBot="1">
      <c r="A396" s="17">
        <v>36</v>
      </c>
      <c r="B396" s="67"/>
      <c r="C396" s="333"/>
      <c r="D396" s="162" t="s">
        <v>185</v>
      </c>
      <c r="E396" s="486" t="str">
        <f t="shared" si="69"/>
        <v/>
      </c>
      <c r="F396" s="333"/>
      <c r="G396" s="162" t="s">
        <v>191</v>
      </c>
      <c r="H396" s="449" t="str">
        <f t="shared" si="70"/>
        <v/>
      </c>
      <c r="I396" s="427" t="str">
        <f t="shared" si="70"/>
        <v/>
      </c>
      <c r="J396" s="577" t="str">
        <f t="shared" si="70"/>
        <v/>
      </c>
      <c r="K396" s="333"/>
      <c r="L396" s="162" t="s">
        <v>327</v>
      </c>
      <c r="M396" s="262" t="str">
        <f>IF(V440="","",V440)</f>
        <v/>
      </c>
      <c r="O396" s="319"/>
      <c r="P396" s="324" t="str">
        <f>IF(AQ29="","",AQ29)</f>
        <v/>
      </c>
      <c r="Q396" s="12" t="str">
        <f t="shared" si="72"/>
        <v/>
      </c>
      <c r="R396" s="12" t="str">
        <f t="shared" si="72"/>
        <v/>
      </c>
      <c r="S396" s="13" t="str">
        <f>IF(R396="","",R396/$S$393)</f>
        <v/>
      </c>
      <c r="T396" s="241" t="str">
        <f>IF(OR(R396="",Q396=""),"",R396/(Q396/1000))</f>
        <v/>
      </c>
      <c r="U396" s="324" t="str">
        <f>IF(AQ92="","",AQ92)</f>
        <v/>
      </c>
      <c r="V396" s="12" t="str">
        <f t="shared" si="73"/>
        <v/>
      </c>
      <c r="W396" s="12" t="str">
        <f t="shared" si="73"/>
        <v/>
      </c>
      <c r="X396" s="13" t="str">
        <f>IF(W396="","",W396/$X$393)</f>
        <v/>
      </c>
      <c r="Y396" s="241" t="str">
        <f t="shared" ref="Y396:Y398" si="74">IF(OR(W396="",V396=""),"",W396/(V396/1000))</f>
        <v/>
      </c>
    </row>
    <row r="397" spans="1:25" ht="14.1" customHeight="1" thickBot="1">
      <c r="A397" s="17">
        <v>37</v>
      </c>
      <c r="B397" s="67"/>
      <c r="C397" s="68"/>
      <c r="D397" s="162" t="s">
        <v>187</v>
      </c>
      <c r="E397" s="486" t="str">
        <f>IF(U432="","",U432)</f>
        <v/>
      </c>
      <c r="F397" s="333"/>
      <c r="G397" s="162"/>
      <c r="H397" s="449" t="str">
        <f>Q453</f>
        <v/>
      </c>
      <c r="I397" s="427" t="str">
        <f>R453</f>
        <v/>
      </c>
      <c r="J397" s="577" t="str">
        <f>S453</f>
        <v/>
      </c>
      <c r="K397" s="162" t="s">
        <v>187</v>
      </c>
      <c r="L397" s="204" t="str">
        <f t="shared" ref="L397:M399" si="75">IF(U442="","",U442)</f>
        <v/>
      </c>
      <c r="M397" s="263" t="str">
        <f t="shared" si="75"/>
        <v/>
      </c>
      <c r="O397" s="319"/>
      <c r="P397" s="324" t="str">
        <f>IF(AQ30="","",AQ30)</f>
        <v/>
      </c>
      <c r="Q397" s="12" t="str">
        <f t="shared" si="72"/>
        <v/>
      </c>
      <c r="R397" s="12" t="str">
        <f t="shared" si="72"/>
        <v/>
      </c>
      <c r="S397" s="13" t="str">
        <f>IF(R397="","",R397/$S$393)</f>
        <v/>
      </c>
      <c r="T397" s="241" t="str">
        <f>IF(OR(R397="",Q397=""),"",R397/(Q397/1000))</f>
        <v/>
      </c>
      <c r="U397" s="324" t="str">
        <f>IF(AQ93="","",AQ93)</f>
        <v/>
      </c>
      <c r="V397" s="12" t="str">
        <f t="shared" si="73"/>
        <v/>
      </c>
      <c r="W397" s="12" t="str">
        <f t="shared" si="73"/>
        <v/>
      </c>
      <c r="X397" s="13" t="str">
        <f>IF(W397="","",W397/$X$393)</f>
        <v/>
      </c>
      <c r="Y397" s="241" t="str">
        <f t="shared" si="74"/>
        <v/>
      </c>
    </row>
    <row r="398" spans="1:25" ht="14.1" customHeight="1" thickBot="1">
      <c r="A398" s="17">
        <v>38</v>
      </c>
      <c r="B398" s="67"/>
      <c r="C398" s="68"/>
      <c r="D398" s="162" t="s">
        <v>189</v>
      </c>
      <c r="E398" s="486" t="str">
        <f>IF(U433="","",U433)</f>
        <v/>
      </c>
      <c r="F398" s="68"/>
      <c r="G398" s="68"/>
      <c r="H398" s="68"/>
      <c r="I398" s="107"/>
      <c r="J398" s="107"/>
      <c r="K398" s="162" t="s">
        <v>189</v>
      </c>
      <c r="L398" s="206" t="str">
        <f t="shared" si="75"/>
        <v/>
      </c>
      <c r="M398" s="265" t="str">
        <f t="shared" si="75"/>
        <v/>
      </c>
      <c r="O398" s="319"/>
      <c r="P398" s="468" t="str">
        <f>IF(AQ31="","",AQ31)</f>
        <v/>
      </c>
      <c r="Q398" s="231" t="str">
        <f t="shared" si="72"/>
        <v/>
      </c>
      <c r="R398" s="231" t="str">
        <f t="shared" si="72"/>
        <v/>
      </c>
      <c r="S398" s="245" t="str">
        <f>IF(R398="","",R398/$S$393)</f>
        <v/>
      </c>
      <c r="T398" s="246" t="str">
        <f>IF(OR(R398="",Q398=""),"",R398/(Q398/1000))</f>
        <v/>
      </c>
      <c r="U398" s="468" t="str">
        <f>IF(AQ94="","",AQ94)</f>
        <v/>
      </c>
      <c r="V398" s="231" t="str">
        <f t="shared" si="73"/>
        <v/>
      </c>
      <c r="W398" s="231" t="str">
        <f t="shared" si="73"/>
        <v/>
      </c>
      <c r="X398" s="245" t="str">
        <f>IF(W398="","",W398/$X$393)</f>
        <v/>
      </c>
      <c r="Y398" s="246" t="str">
        <f t="shared" si="74"/>
        <v/>
      </c>
    </row>
    <row r="399" spans="1:25" ht="14.1" customHeight="1" thickBot="1">
      <c r="A399" s="17">
        <v>39</v>
      </c>
      <c r="B399" s="67"/>
      <c r="C399" s="68"/>
      <c r="D399" s="162" t="s">
        <v>191</v>
      </c>
      <c r="E399" s="487" t="str">
        <f>IF(U434="","",U434)</f>
        <v/>
      </c>
      <c r="F399" s="68"/>
      <c r="G399" s="68"/>
      <c r="H399" s="68"/>
      <c r="I399" s="68"/>
      <c r="J399" s="68"/>
      <c r="K399" s="162" t="s">
        <v>191</v>
      </c>
      <c r="L399" s="207" t="str">
        <f t="shared" si="75"/>
        <v/>
      </c>
      <c r="M399" s="266" t="str">
        <f t="shared" si="75"/>
        <v/>
      </c>
      <c r="O399" s="318" t="s">
        <v>210</v>
      </c>
      <c r="P399" s="463" t="str">
        <f t="shared" ref="P399:Y399" si="76">IF(OR(P395="",P396="",P397="",P398=""),"",AVERAGE(P395:P398))</f>
        <v/>
      </c>
      <c r="Q399" s="464" t="str">
        <f t="shared" si="76"/>
        <v/>
      </c>
      <c r="R399" s="465" t="str">
        <f t="shared" si="76"/>
        <v/>
      </c>
      <c r="S399" s="466" t="str">
        <f t="shared" si="76"/>
        <v/>
      </c>
      <c r="T399" s="467" t="str">
        <f t="shared" si="76"/>
        <v/>
      </c>
      <c r="U399" s="463" t="str">
        <f t="shared" si="76"/>
        <v/>
      </c>
      <c r="V399" s="464" t="str">
        <f t="shared" si="76"/>
        <v/>
      </c>
      <c r="W399" s="465" t="str">
        <f t="shared" si="76"/>
        <v/>
      </c>
      <c r="X399" s="466" t="str">
        <f t="shared" si="76"/>
        <v/>
      </c>
      <c r="Y399" s="467" t="str">
        <f t="shared" si="76"/>
        <v/>
      </c>
    </row>
    <row r="400" spans="1:25" ht="14.1" customHeight="1">
      <c r="A400" s="17">
        <v>40</v>
      </c>
      <c r="B400" s="67"/>
      <c r="D400" s="3" t="s">
        <v>204</v>
      </c>
      <c r="E400" s="10" t="s">
        <v>365</v>
      </c>
      <c r="M400" s="762"/>
      <c r="O400" s="318" t="s">
        <v>341</v>
      </c>
      <c r="P400" s="324" t="str">
        <f t="shared" ref="P400:Y400" si="77">IF(OR(P395="",P396="",P397="",P398=""),"",_xlfn.STDEV.S(P395:P398))</f>
        <v/>
      </c>
      <c r="Q400" s="12" t="str">
        <f t="shared" si="77"/>
        <v/>
      </c>
      <c r="R400" s="12" t="str">
        <f t="shared" si="77"/>
        <v/>
      </c>
      <c r="S400" s="13" t="str">
        <f t="shared" si="77"/>
        <v/>
      </c>
      <c r="T400" s="241" t="str">
        <f t="shared" si="77"/>
        <v/>
      </c>
      <c r="U400" s="324" t="str">
        <f t="shared" si="77"/>
        <v/>
      </c>
      <c r="V400" s="12" t="str">
        <f t="shared" si="77"/>
        <v/>
      </c>
      <c r="W400" s="12" t="str">
        <f t="shared" si="77"/>
        <v/>
      </c>
      <c r="X400" s="13" t="str">
        <f t="shared" si="77"/>
        <v/>
      </c>
      <c r="Y400" s="241" t="str">
        <f t="shared" si="77"/>
        <v/>
      </c>
    </row>
    <row r="401" spans="1:25" ht="14.1" customHeight="1" thickBot="1">
      <c r="A401" s="17">
        <v>41</v>
      </c>
      <c r="B401" s="372"/>
      <c r="C401" s="373"/>
      <c r="D401" s="373"/>
      <c r="E401" s="373"/>
      <c r="F401" s="373"/>
      <c r="G401" s="373"/>
      <c r="H401" s="373"/>
      <c r="I401" s="373"/>
      <c r="J401" s="373"/>
      <c r="K401" s="373"/>
      <c r="L401" s="373"/>
      <c r="M401" s="374"/>
      <c r="O401" s="318" t="s">
        <v>274</v>
      </c>
      <c r="P401" s="190" t="str">
        <f t="shared" ref="P401:Y401" si="78">IF(OR(P399="",P400=""),"",P400/P399)</f>
        <v/>
      </c>
      <c r="Q401" s="184" t="str">
        <f t="shared" si="78"/>
        <v/>
      </c>
      <c r="R401" s="184" t="str">
        <f t="shared" si="78"/>
        <v/>
      </c>
      <c r="S401" s="325" t="str">
        <f t="shared" si="78"/>
        <v/>
      </c>
      <c r="T401" s="326" t="str">
        <f t="shared" si="78"/>
        <v/>
      </c>
      <c r="U401" s="190" t="str">
        <f t="shared" si="78"/>
        <v/>
      </c>
      <c r="V401" s="184" t="str">
        <f t="shared" si="78"/>
        <v/>
      </c>
      <c r="W401" s="184" t="str">
        <f t="shared" si="78"/>
        <v/>
      </c>
      <c r="X401" s="325" t="str">
        <f t="shared" si="78"/>
        <v/>
      </c>
      <c r="Y401" s="326" t="str">
        <f t="shared" si="78"/>
        <v/>
      </c>
    </row>
    <row r="402" spans="1:25" ht="14.1" customHeight="1">
      <c r="A402" s="17">
        <v>42</v>
      </c>
      <c r="B402" s="67"/>
      <c r="C402" s="68"/>
      <c r="F402" s="68"/>
      <c r="G402" s="68"/>
      <c r="H402" s="68"/>
      <c r="I402" s="68"/>
      <c r="J402" s="68"/>
      <c r="K402" s="68"/>
      <c r="L402" s="68"/>
      <c r="M402" s="69"/>
      <c r="O402" s="318" t="s">
        <v>343</v>
      </c>
      <c r="P402" s="770"/>
      <c r="Q402" s="770"/>
      <c r="R402" s="315"/>
      <c r="S402" s="316" t="str">
        <f>IF(AB88="","",AB88)</f>
        <v/>
      </c>
      <c r="T402" s="317" t="str">
        <f>IF(AB89="","",AB89)</f>
        <v/>
      </c>
      <c r="U402" s="770"/>
      <c r="V402" s="770"/>
      <c r="W402" s="315"/>
      <c r="X402" s="316" t="str">
        <f>IF(AB90="","",AB90)</f>
        <v/>
      </c>
      <c r="Y402" s="317" t="str">
        <f>IF(AB91="","",AB91)</f>
        <v/>
      </c>
    </row>
    <row r="403" spans="1:25" ht="14.1" customHeight="1">
      <c r="A403" s="17">
        <v>43</v>
      </c>
      <c r="B403" s="67"/>
      <c r="C403" s="75" t="s">
        <v>586</v>
      </c>
      <c r="M403" s="69"/>
      <c r="O403" s="30"/>
      <c r="P403" s="113" t="s">
        <v>204</v>
      </c>
      <c r="Q403" s="138" t="s">
        <v>344</v>
      </c>
      <c r="Y403" s="32"/>
    </row>
    <row r="404" spans="1:25" ht="14.1" customHeight="1">
      <c r="A404" s="17">
        <v>44</v>
      </c>
      <c r="B404" s="67"/>
      <c r="D404" s="35" t="s">
        <v>592</v>
      </c>
      <c r="E404" s="35" t="s">
        <v>589</v>
      </c>
      <c r="F404" s="335">
        <f>IF(R310="","",R310)</f>
        <v>101.3</v>
      </c>
      <c r="M404" s="69"/>
      <c r="O404" s="30"/>
      <c r="Q404" s="138" t="s">
        <v>345</v>
      </c>
      <c r="Y404" s="32"/>
    </row>
    <row r="405" spans="1:25" ht="14.1" customHeight="1" thickBot="1">
      <c r="A405" s="17">
        <v>45</v>
      </c>
      <c r="B405" s="67"/>
      <c r="E405" s="35" t="s">
        <v>590</v>
      </c>
      <c r="F405" s="755">
        <f>IF(R311="","",R311)</f>
        <v>108</v>
      </c>
      <c r="M405" s="69"/>
      <c r="O405" s="40"/>
      <c r="P405" s="41"/>
      <c r="Q405" s="272" t="s">
        <v>346</v>
      </c>
      <c r="R405" s="41"/>
      <c r="S405" s="41"/>
      <c r="T405" s="41"/>
      <c r="U405" s="41"/>
      <c r="V405" s="41"/>
      <c r="W405" s="41"/>
      <c r="X405" s="41"/>
      <c r="Y405" s="42"/>
    </row>
    <row r="406" spans="1:25" ht="14.1" customHeight="1" thickBot="1">
      <c r="A406" s="17">
        <v>46</v>
      </c>
      <c r="B406" s="67"/>
      <c r="D406" s="698" t="s">
        <v>588</v>
      </c>
      <c r="E406" s="698" t="s">
        <v>587</v>
      </c>
      <c r="F406" s="698" t="s">
        <v>291</v>
      </c>
      <c r="M406" s="69"/>
      <c r="O406" s="136" t="s">
        <v>347</v>
      </c>
      <c r="P406" s="23"/>
      <c r="Q406" s="23"/>
      <c r="R406" s="23"/>
      <c r="S406" s="23"/>
      <c r="T406" s="23"/>
      <c r="U406" s="23"/>
      <c r="V406" s="23"/>
      <c r="W406" s="23"/>
      <c r="X406" s="23"/>
      <c r="Y406" s="24"/>
    </row>
    <row r="407" spans="1:25" ht="14.1" customHeight="1">
      <c r="A407" s="17">
        <v>47</v>
      </c>
      <c r="B407" s="67"/>
      <c r="C407" s="35" t="s">
        <v>603</v>
      </c>
      <c r="D407" s="699" t="str">
        <f t="shared" ref="D407:F409" si="79">IF(P313="","",P313)</f>
        <v/>
      </c>
      <c r="E407" s="700" t="str">
        <f t="shared" si="79"/>
        <v/>
      </c>
      <c r="F407" s="701" t="str">
        <f t="shared" si="79"/>
        <v/>
      </c>
      <c r="M407" s="69"/>
      <c r="O407" s="30"/>
      <c r="P407" s="35" t="s">
        <v>95</v>
      </c>
      <c r="Q407" s="769" t="str">
        <f>AK10&amp;"/"&amp;AL10</f>
        <v>/</v>
      </c>
      <c r="R407" s="35" t="s">
        <v>173</v>
      </c>
      <c r="S407" s="769">
        <f>AH27</f>
        <v>28</v>
      </c>
      <c r="T407" s="768"/>
      <c r="Y407" s="32"/>
    </row>
    <row r="408" spans="1:25" ht="14.1" customHeight="1">
      <c r="A408" s="17">
        <v>48</v>
      </c>
      <c r="B408" s="67"/>
      <c r="C408" s="35" t="s">
        <v>604</v>
      </c>
      <c r="D408" s="338" t="str">
        <f t="shared" si="79"/>
        <v/>
      </c>
      <c r="E408" s="296" t="str">
        <f t="shared" si="79"/>
        <v/>
      </c>
      <c r="F408" s="339" t="str">
        <f t="shared" si="79"/>
        <v/>
      </c>
      <c r="M408" s="69"/>
      <c r="O408" s="30"/>
      <c r="P408" s="768" t="s">
        <v>72</v>
      </c>
      <c r="Q408" s="768" t="s">
        <v>25</v>
      </c>
      <c r="R408" s="768" t="s">
        <v>26</v>
      </c>
      <c r="S408" s="768" t="s">
        <v>27</v>
      </c>
      <c r="T408" s="768" t="s">
        <v>335</v>
      </c>
      <c r="U408" s="768" t="s">
        <v>336</v>
      </c>
      <c r="V408" s="4"/>
      <c r="W408" s="4"/>
      <c r="X408" s="4"/>
      <c r="Y408" s="32"/>
    </row>
    <row r="409" spans="1:25" ht="14.1" customHeight="1" thickBot="1">
      <c r="A409" s="17">
        <v>49</v>
      </c>
      <c r="B409" s="67"/>
      <c r="C409" s="35" t="s">
        <v>605</v>
      </c>
      <c r="D409" s="387" t="str">
        <f t="shared" si="79"/>
        <v/>
      </c>
      <c r="E409" s="443" t="str">
        <f t="shared" si="79"/>
        <v/>
      </c>
      <c r="F409" s="388" t="str">
        <f t="shared" si="79"/>
        <v/>
      </c>
      <c r="M409" s="69"/>
      <c r="O409" s="30"/>
      <c r="P409" s="11">
        <f>IF(AI27="","",AI27)</f>
        <v>20</v>
      </c>
      <c r="Q409" s="12" t="str">
        <f>IF(AQ27="","",AQ27)</f>
        <v/>
      </c>
      <c r="R409" s="106" t="str">
        <f>IF(AN27="","",AN27)</f>
        <v/>
      </c>
      <c r="S409" s="12" t="str">
        <f>IF(AO27="","",AO27)</f>
        <v/>
      </c>
      <c r="T409" s="13" t="str">
        <f>IF(S409="","",S409/P409)</f>
        <v/>
      </c>
      <c r="U409" s="12" t="str">
        <f>IF(OR(S409="",R409=""),"",S409/(R409/1000))</f>
        <v/>
      </c>
      <c r="V409" s="4"/>
      <c r="W409" s="4"/>
      <c r="X409" s="4"/>
      <c r="Y409" s="32"/>
    </row>
    <row r="410" spans="1:25" ht="14.1" customHeight="1">
      <c r="A410" s="17">
        <v>50</v>
      </c>
      <c r="B410" s="67"/>
      <c r="D410" s="113" t="str">
        <f>P316</f>
        <v>Criteria:</v>
      </c>
      <c r="E410" s="138" t="str">
        <f>Q316</f>
        <v>x/y measurements within +/- 2% of actual phantom dimensions</v>
      </c>
      <c r="M410" s="69"/>
      <c r="O410" s="30"/>
      <c r="P410" s="11">
        <f>IF(AI28="","",AI28)</f>
        <v>50</v>
      </c>
      <c r="Q410" s="12" t="str">
        <f>P399</f>
        <v/>
      </c>
      <c r="R410" s="106" t="str">
        <f>Q399</f>
        <v/>
      </c>
      <c r="S410" s="12" t="str">
        <f>R399</f>
        <v/>
      </c>
      <c r="T410" s="13" t="str">
        <f>S399</f>
        <v/>
      </c>
      <c r="U410" s="12" t="str">
        <f>T399</f>
        <v/>
      </c>
      <c r="V410" s="4"/>
      <c r="W410" s="4"/>
      <c r="X410" s="4"/>
      <c r="Y410" s="32"/>
    </row>
    <row r="411" spans="1:25" ht="14.1" customHeight="1">
      <c r="A411" s="17">
        <v>51</v>
      </c>
      <c r="B411" s="67"/>
      <c r="M411" s="69"/>
      <c r="O411" s="30"/>
      <c r="P411" s="11">
        <f>IF(AI38="","",AI38)</f>
        <v>100</v>
      </c>
      <c r="Q411" s="12" t="str">
        <f>IF(AQ38="","",AQ38)</f>
        <v/>
      </c>
      <c r="R411" s="106" t="str">
        <f>IF(AN38="","",AN38)</f>
        <v/>
      </c>
      <c r="S411" s="12" t="str">
        <f>IF(AO38="","",AO38)</f>
        <v/>
      </c>
      <c r="T411" s="13" t="str">
        <f>IF(S411="","",S411/P411)</f>
        <v/>
      </c>
      <c r="U411" s="12" t="str">
        <f>IF(OR(S411="",R411=""),"",S411/(R411/1000))</f>
        <v/>
      </c>
      <c r="V411" s="4"/>
      <c r="W411" s="4"/>
      <c r="X411" s="4"/>
      <c r="Y411" s="32"/>
    </row>
    <row r="412" spans="1:25" ht="14.1" customHeight="1">
      <c r="A412" s="17">
        <v>52</v>
      </c>
      <c r="B412" s="67"/>
      <c r="C412" s="75" t="s">
        <v>593</v>
      </c>
      <c r="M412" s="69"/>
      <c r="O412" s="30"/>
      <c r="P412" s="11">
        <f>IF(AI39="","",AI39)</f>
        <v>320</v>
      </c>
      <c r="Q412" s="12" t="str">
        <f>IF(AQ39="","",AQ39)</f>
        <v/>
      </c>
      <c r="R412" s="106" t="str">
        <f>IF(AN39="","",AN39)</f>
        <v/>
      </c>
      <c r="S412" s="12" t="str">
        <f>IF(AO39="","",AO39)</f>
        <v/>
      </c>
      <c r="T412" s="13" t="str">
        <f>IF(S412="","",S412/P412)</f>
        <v/>
      </c>
      <c r="U412" s="12" t="str">
        <f>IF(OR(S412="",R412=""),"",S412/(R412/1000))</f>
        <v/>
      </c>
      <c r="V412" s="4"/>
      <c r="W412" s="4"/>
      <c r="X412" s="4"/>
      <c r="Y412" s="32"/>
    </row>
    <row r="413" spans="1:25" ht="14.1" customHeight="1" thickBot="1">
      <c r="A413" s="17">
        <v>53</v>
      </c>
      <c r="B413" s="67"/>
      <c r="D413" s="698" t="s">
        <v>640</v>
      </c>
      <c r="E413" s="698" t="s">
        <v>612</v>
      </c>
      <c r="F413" s="698" t="s">
        <v>613</v>
      </c>
      <c r="G413" s="698" t="s">
        <v>291</v>
      </c>
      <c r="M413" s="69"/>
      <c r="O413" s="30"/>
      <c r="S413" s="35" t="s">
        <v>348</v>
      </c>
      <c r="T413" s="181" t="str">
        <f>IF(OR(T409="",T410="",T411="",T412=""),"",(MAX(T409:T412)-MIN(T409:T412))/(MAX(T409:T412)+MIN(T409:T412)))</f>
        <v/>
      </c>
      <c r="V413" s="4"/>
      <c r="W413" s="4"/>
      <c r="X413" s="4"/>
      <c r="Y413" s="32"/>
    </row>
    <row r="414" spans="1:25" ht="14.1" customHeight="1">
      <c r="A414" s="17">
        <v>54</v>
      </c>
      <c r="B414" s="67"/>
      <c r="C414" s="35" t="s">
        <v>603</v>
      </c>
      <c r="D414" s="699" t="str">
        <f>IF(U319="","",U319)</f>
        <v/>
      </c>
      <c r="E414" s="437" t="str">
        <f>IF(Q349="","",Q349)</f>
        <v/>
      </c>
      <c r="F414" s="437" t="str">
        <f>IF(Q350="","",Q350)</f>
        <v/>
      </c>
      <c r="G414" s="701" t="str">
        <f>IF(OR(R349="",R350=""),"",IF(AND(R349="Pass",R350="Pass"),"Pass","Fail"))</f>
        <v/>
      </c>
      <c r="M414" s="69"/>
      <c r="O414" s="30"/>
      <c r="P414" s="113" t="s">
        <v>204</v>
      </c>
      <c r="Q414" s="138" t="s">
        <v>349</v>
      </c>
      <c r="Y414" s="32"/>
    </row>
    <row r="415" spans="1:25" ht="14.1" customHeight="1">
      <c r="A415" s="17">
        <v>55</v>
      </c>
      <c r="B415" s="67"/>
      <c r="C415" s="35" t="s">
        <v>604</v>
      </c>
      <c r="D415" s="338" t="str">
        <f>IF(U327="","",U327)</f>
        <v/>
      </c>
      <c r="E415" s="303" t="str">
        <f>IF(T349="","",T349)</f>
        <v/>
      </c>
      <c r="F415" s="303" t="str">
        <f>IF(T350="","",T350)</f>
        <v/>
      </c>
      <c r="G415" s="339" t="str">
        <f>IF(OR(U349="",U350=""),"",IF(AND(U349="Pass",U350="Pass"),"Pass","Fail"))</f>
        <v/>
      </c>
      <c r="M415" s="69"/>
      <c r="O415" s="273" t="str">
        <f>IF(R412="","",IF(R412/1000&gt;=3,1,2))</f>
        <v/>
      </c>
      <c r="P415" s="21" t="s">
        <v>350</v>
      </c>
      <c r="Y415" s="32"/>
    </row>
    <row r="416" spans="1:25" ht="14.1" customHeight="1" thickBot="1">
      <c r="A416" s="17">
        <v>56</v>
      </c>
      <c r="B416" s="67"/>
      <c r="C416" s="35" t="s">
        <v>605</v>
      </c>
      <c r="D416" s="387" t="str">
        <f>IF(U334="","",U334)</f>
        <v/>
      </c>
      <c r="E416" s="444" t="str">
        <f>IF(W349="","",W349)</f>
        <v/>
      </c>
      <c r="F416" s="444" t="str">
        <f>IF(W350="","",W350)</f>
        <v/>
      </c>
      <c r="G416" s="388" t="str">
        <f>IF(OR(X349="",X350=""),"",IF(AND(X349="Pass",X350="Pass"),"Pass","Fail"))</f>
        <v/>
      </c>
      <c r="M416" s="69"/>
      <c r="O416" s="40"/>
      <c r="P416" s="41"/>
      <c r="Q416" s="41"/>
      <c r="R416" s="41"/>
      <c r="S416" s="41"/>
      <c r="T416" s="41"/>
      <c r="U416" s="41"/>
      <c r="V416" s="41"/>
      <c r="W416" s="41"/>
      <c r="X416" s="41"/>
      <c r="Y416" s="42"/>
    </row>
    <row r="417" spans="1:25" ht="14.1" customHeight="1" thickBot="1">
      <c r="A417" s="17">
        <v>57</v>
      </c>
      <c r="B417" s="67"/>
      <c r="D417" s="113" t="str">
        <f>P316</f>
        <v>Criteria:</v>
      </c>
      <c r="E417" s="138" t="str">
        <f>Q353</f>
        <v>ASF(a) is &lt; 0.9 for all positions. ASF(b) is &lt; 0.6 for all positions</v>
      </c>
      <c r="M417" s="69"/>
      <c r="O417" s="136" t="s">
        <v>352</v>
      </c>
      <c r="P417" s="23"/>
      <c r="Q417" s="683">
        <v>1</v>
      </c>
      <c r="R417" s="23" t="s">
        <v>514</v>
      </c>
      <c r="S417" s="23"/>
      <c r="T417" s="23"/>
      <c r="U417" s="23"/>
      <c r="V417" s="23"/>
      <c r="W417" s="23"/>
      <c r="X417" s="23"/>
      <c r="Y417" s="24"/>
    </row>
    <row r="418" spans="1:25" ht="14.1" customHeight="1">
      <c r="A418" s="17">
        <v>58</v>
      </c>
      <c r="B418" s="67"/>
      <c r="M418" s="69"/>
      <c r="O418" s="30"/>
      <c r="P418" s="679" t="s">
        <v>71</v>
      </c>
      <c r="Q418" s="680" t="str">
        <f>$P$371</f>
        <v>/</v>
      </c>
      <c r="R418" s="680" t="str">
        <f>$P$378</f>
        <v>/</v>
      </c>
      <c r="S418" s="773" t="str">
        <f>$P$384</f>
        <v>/</v>
      </c>
      <c r="T418"/>
      <c r="U418"/>
      <c r="V418"/>
      <c r="W418"/>
      <c r="X418"/>
      <c r="Y418" s="32"/>
    </row>
    <row r="419" spans="1:25" ht="14.1" customHeight="1">
      <c r="A419" s="17">
        <v>59</v>
      </c>
      <c r="B419" s="67"/>
      <c r="C419" s="75" t="s">
        <v>615</v>
      </c>
      <c r="M419" s="69"/>
      <c r="O419" s="30"/>
      <c r="P419" s="681" t="s">
        <v>269</v>
      </c>
      <c r="Q419" s="682">
        <f>AH28</f>
        <v>28</v>
      </c>
      <c r="R419" s="682">
        <f>AH57</f>
        <v>28</v>
      </c>
      <c r="S419" s="774">
        <f>AH91</f>
        <v>28</v>
      </c>
      <c r="T419"/>
      <c r="U419"/>
      <c r="V419"/>
      <c r="W419"/>
      <c r="X419"/>
      <c r="Y419" s="32"/>
    </row>
    <row r="420" spans="1:25" ht="14.1" customHeight="1" thickBot="1">
      <c r="A420" s="17">
        <v>60</v>
      </c>
      <c r="B420" s="67"/>
      <c r="D420" s="698" t="s">
        <v>616</v>
      </c>
      <c r="E420" s="698" t="s">
        <v>617</v>
      </c>
      <c r="F420" s="698" t="s">
        <v>618</v>
      </c>
      <c r="G420" s="698" t="s">
        <v>619</v>
      </c>
      <c r="M420" s="69"/>
      <c r="O420" s="30"/>
      <c r="P420" s="681" t="s">
        <v>353</v>
      </c>
      <c r="Q420" s="836" t="s">
        <v>354</v>
      </c>
      <c r="R420" s="837"/>
      <c r="S420" s="838"/>
      <c r="T420"/>
      <c r="U420"/>
      <c r="V420"/>
      <c r="W420"/>
      <c r="X420"/>
      <c r="Y420" s="32"/>
    </row>
    <row r="421" spans="1:25" ht="14.1" customHeight="1">
      <c r="A421" s="17">
        <v>61</v>
      </c>
      <c r="B421" s="67"/>
      <c r="C421" s="162" t="s">
        <v>187</v>
      </c>
      <c r="D421" s="699" t="str">
        <f t="shared" ref="D421:G424" si="80">IF(P357="","",P357)</f>
        <v/>
      </c>
      <c r="E421" s="700" t="str">
        <f t="shared" si="80"/>
        <v/>
      </c>
      <c r="F421" s="700" t="str">
        <f t="shared" si="80"/>
        <v/>
      </c>
      <c r="G421" s="701" t="str">
        <f t="shared" si="80"/>
        <v/>
      </c>
      <c r="M421" s="69"/>
      <c r="O421" s="30"/>
      <c r="P421" s="681">
        <v>0</v>
      </c>
      <c r="Q421" s="741" t="str">
        <f>IF(AO28="","",AO28)</f>
        <v/>
      </c>
      <c r="R421" s="741" t="str">
        <f>IF(AO57="","",AO57)</f>
        <v/>
      </c>
      <c r="S421" s="775" t="str">
        <f>IF(AO91="","",AVERAGE(AO91:AO92))</f>
        <v/>
      </c>
      <c r="T421"/>
      <c r="U421"/>
      <c r="V421"/>
      <c r="W421"/>
      <c r="X421"/>
      <c r="Y421" s="32"/>
    </row>
    <row r="422" spans="1:25" ht="14.1" customHeight="1">
      <c r="A422" s="17">
        <v>62</v>
      </c>
      <c r="B422" s="67"/>
      <c r="C422" s="162" t="s">
        <v>189</v>
      </c>
      <c r="D422" s="338" t="str">
        <f t="shared" si="80"/>
        <v/>
      </c>
      <c r="E422" s="296" t="str">
        <f t="shared" si="80"/>
        <v/>
      </c>
      <c r="F422" s="296" t="str">
        <f t="shared" si="80"/>
        <v/>
      </c>
      <c r="G422" s="339" t="str">
        <f t="shared" si="80"/>
        <v/>
      </c>
      <c r="M422" s="69"/>
      <c r="O422" s="30"/>
      <c r="P422" s="681">
        <v>0</v>
      </c>
      <c r="Q422" s="741" t="str">
        <f>IF(AO29="","",AO29)</f>
        <v/>
      </c>
      <c r="R422" s="741" t="str">
        <f>IF(AO58="","",AO58)</f>
        <v/>
      </c>
      <c r="S422" s="775" t="str">
        <f>IF(AO93="","",AVERAGE(AO93:AO94))</f>
        <v/>
      </c>
      <c r="T422"/>
      <c r="U422"/>
      <c r="V422"/>
      <c r="W422"/>
      <c r="X422"/>
      <c r="Y422" s="32"/>
    </row>
    <row r="423" spans="1:25" ht="14.1" customHeight="1">
      <c r="A423" s="17">
        <v>63</v>
      </c>
      <c r="B423" s="67"/>
      <c r="C423" s="162" t="s">
        <v>191</v>
      </c>
      <c r="D423" s="338" t="str">
        <f t="shared" si="80"/>
        <v/>
      </c>
      <c r="E423" s="296" t="str">
        <f t="shared" si="80"/>
        <v/>
      </c>
      <c r="F423" s="296" t="str">
        <f t="shared" si="80"/>
        <v/>
      </c>
      <c r="G423" s="339" t="str">
        <f t="shared" si="80"/>
        <v/>
      </c>
      <c r="M423" s="69"/>
      <c r="O423" s="30"/>
      <c r="P423" s="681" t="s">
        <v>355</v>
      </c>
      <c r="Q423" s="741" t="str">
        <f>IF('HVL Processing'!G19="","",'HVL Processing'!G19)</f>
        <v/>
      </c>
      <c r="R423" s="741" t="str">
        <f>IF('HVL Processing'!O3="","",'HVL Processing'!O3)</f>
        <v/>
      </c>
      <c r="S423" s="775" t="str">
        <f>IF('HVL Processing'!W3="","",'HVL Processing'!W3)</f>
        <v/>
      </c>
      <c r="T423"/>
      <c r="U423"/>
      <c r="V423"/>
      <c r="W423"/>
      <c r="X423"/>
      <c r="Y423" s="32"/>
    </row>
    <row r="424" spans="1:25" ht="14.1" customHeight="1" thickBot="1">
      <c r="A424" s="17">
        <v>64</v>
      </c>
      <c r="B424" s="67"/>
      <c r="C424" s="162" t="s">
        <v>218</v>
      </c>
      <c r="D424" s="387" t="str">
        <f t="shared" si="80"/>
        <v/>
      </c>
      <c r="E424" s="443" t="str">
        <f t="shared" si="80"/>
        <v/>
      </c>
      <c r="F424" s="443" t="str">
        <f t="shared" si="80"/>
        <v/>
      </c>
      <c r="G424" s="388" t="str">
        <f t="shared" si="80"/>
        <v/>
      </c>
      <c r="M424" s="69"/>
      <c r="O424" s="30"/>
      <c r="P424" s="681" t="s">
        <v>356</v>
      </c>
      <c r="Q424" s="740" t="str">
        <f>IF(OR(Q421="",Q422=""),"",ABS(Q422-Q421)/Q421)</f>
        <v/>
      </c>
      <c r="R424" s="740" t="str">
        <f t="shared" ref="R424:S424" si="81">IF(OR(R421="",R422=""),"",ABS(R422-R421)/R421)</f>
        <v/>
      </c>
      <c r="S424" s="776" t="str">
        <f t="shared" si="81"/>
        <v/>
      </c>
      <c r="T424"/>
      <c r="U424"/>
      <c r="V424"/>
      <c r="W424"/>
      <c r="X424"/>
      <c r="Y424" s="32"/>
    </row>
    <row r="425" spans="1:25" ht="14.1" customHeight="1" thickBot="1">
      <c r="A425" s="17">
        <v>65</v>
      </c>
      <c r="B425" s="67"/>
      <c r="D425" s="113" t="str">
        <f>P353</f>
        <v>Criteria:</v>
      </c>
      <c r="E425" s="138" t="str">
        <f>Q361</f>
        <v>Must be able to see 4 fibers, 3 speck groups, 3 masses</v>
      </c>
      <c r="M425" s="69"/>
      <c r="O425" s="30"/>
      <c r="P425" s="387" t="s">
        <v>218</v>
      </c>
      <c r="Q425" s="443" t="str">
        <f t="shared" ref="Q425:R425" si="82">IF(Q423="","",IF(Q423&gt;=0.28,"Pass","Fail"))</f>
        <v/>
      </c>
      <c r="R425" s="443" t="str">
        <f t="shared" si="82"/>
        <v/>
      </c>
      <c r="S425" s="388" t="str">
        <f>IF(S423="","",IF(S423&gt;=0.28,"Pass","Fail"))</f>
        <v/>
      </c>
      <c r="T425"/>
      <c r="U425"/>
      <c r="V425"/>
      <c r="W425"/>
      <c r="X425"/>
      <c r="Y425" s="32"/>
    </row>
    <row r="426" spans="1:25" ht="14.1" customHeight="1">
      <c r="A426" s="17">
        <v>66</v>
      </c>
      <c r="B426" s="67"/>
      <c r="M426" s="69"/>
      <c r="O426" s="30"/>
      <c r="P426" s="113" t="s">
        <v>204</v>
      </c>
      <c r="Q426" s="191" t="s">
        <v>647</v>
      </c>
      <c r="R426" s="619"/>
      <c r="S426" s="619"/>
      <c r="T426" s="619"/>
      <c r="U426" s="619"/>
      <c r="V426" s="619" t="s">
        <v>575</v>
      </c>
      <c r="W426" s="306" t="s">
        <v>575</v>
      </c>
      <c r="X426" s="306" t="s">
        <v>575</v>
      </c>
      <c r="Y426" s="32"/>
    </row>
    <row r="427" spans="1:25" ht="14.1" customHeight="1" thickBot="1">
      <c r="A427" s="17">
        <v>67</v>
      </c>
      <c r="B427" s="67"/>
      <c r="C427" s="335" t="str">
        <f>IF(O362="","",IF(O362=1,"Pass",IF(O362=2,"Fail","NA")))</f>
        <v/>
      </c>
      <c r="D427" s="68" t="s">
        <v>645</v>
      </c>
      <c r="M427" s="69"/>
      <c r="O427" s="40"/>
      <c r="R427" s="4"/>
      <c r="S427" s="4"/>
      <c r="T427" s="4"/>
      <c r="U427" s="4"/>
      <c r="V427" s="4"/>
      <c r="W427" s="4"/>
      <c r="X427" s="4"/>
      <c r="Y427" s="42"/>
    </row>
    <row r="428" spans="1:25" ht="14.1" customHeight="1">
      <c r="A428" s="17">
        <v>68</v>
      </c>
      <c r="B428" s="67"/>
      <c r="C428" s="335" t="str">
        <f>IF(O363="","",IF(O363=1,"Pass",IF(O363=2,"Fail","NA")))</f>
        <v/>
      </c>
      <c r="D428" s="68" t="s">
        <v>614</v>
      </c>
      <c r="M428" s="69"/>
      <c r="O428" s="136" t="s">
        <v>322</v>
      </c>
      <c r="P428" s="23"/>
      <c r="Q428" s="23"/>
      <c r="R428" s="23"/>
      <c r="S428" s="23"/>
      <c r="T428" s="23"/>
      <c r="U428" s="23"/>
      <c r="V428" s="23"/>
      <c r="W428" s="23"/>
      <c r="X428" s="23"/>
      <c r="Y428" s="24"/>
    </row>
    <row r="429" spans="1:25" ht="14.1" customHeight="1">
      <c r="A429" s="17">
        <v>69</v>
      </c>
      <c r="B429" s="67"/>
      <c r="C429" s="335" t="str">
        <f>IF(O364="","",IF(O364=1,"Pass",IF(O364=2,"Fail","NA")))</f>
        <v/>
      </c>
      <c r="D429" s="68" t="s">
        <v>622</v>
      </c>
      <c r="J429" s="68"/>
      <c r="K429" s="68"/>
      <c r="L429" s="68"/>
      <c r="M429" s="69"/>
      <c r="O429" s="278" t="s">
        <v>323</v>
      </c>
      <c r="P429" s="35" t="s">
        <v>44</v>
      </c>
      <c r="Q429" s="264"/>
      <c r="R429" s="35" t="s">
        <v>337</v>
      </c>
      <c r="S429" s="264"/>
      <c r="U429" s="35" t="s">
        <v>357</v>
      </c>
      <c r="V429" s="264"/>
      <c r="Y429" s="32"/>
    </row>
    <row r="430" spans="1:25" ht="14.1" customHeight="1" thickBot="1">
      <c r="A430" s="17">
        <v>70</v>
      </c>
      <c r="B430" s="80"/>
      <c r="C430" s="677"/>
      <c r="D430" s="678"/>
      <c r="E430" s="672"/>
      <c r="F430" s="672"/>
      <c r="G430" s="672"/>
      <c r="H430" s="672"/>
      <c r="I430" s="672"/>
      <c r="J430" s="672"/>
      <c r="K430" s="672"/>
      <c r="L430" s="81"/>
      <c r="M430" s="82"/>
      <c r="O430" s="30"/>
      <c r="Y430" s="32"/>
    </row>
    <row r="431" spans="1:25" ht="14.1" customHeight="1" thickTop="1">
      <c r="A431" s="17">
        <v>71</v>
      </c>
      <c r="C431" s="109" t="s">
        <v>11</v>
      </c>
      <c r="D431" s="375" t="str">
        <f>IF($P$7="","",$P$7)</f>
        <v/>
      </c>
      <c r="E431" s="27"/>
      <c r="F431" s="27"/>
      <c r="G431" s="27"/>
      <c r="H431" s="27"/>
      <c r="I431" s="27"/>
      <c r="J431" s="27"/>
      <c r="K431" s="27"/>
      <c r="L431" s="109" t="s">
        <v>12</v>
      </c>
      <c r="M431" s="376" t="str">
        <f>IF($X$7="","",$X$7)</f>
        <v>Eugene Mah</v>
      </c>
      <c r="O431" s="30"/>
      <c r="P431" s="35"/>
      <c r="R431" s="21" t="s">
        <v>321</v>
      </c>
      <c r="V431" s="21" t="s">
        <v>321</v>
      </c>
      <c r="Y431" s="32"/>
    </row>
    <row r="432" spans="1:25" ht="14.1" customHeight="1">
      <c r="A432" s="17">
        <v>72</v>
      </c>
      <c r="C432" s="109" t="s">
        <v>121</v>
      </c>
      <c r="D432" s="376" t="str">
        <f>IF($R$14="","",$R$14)</f>
        <v/>
      </c>
      <c r="E432" s="27"/>
      <c r="F432" s="27"/>
      <c r="G432" s="27"/>
      <c r="H432" s="27"/>
      <c r="I432" s="27"/>
      <c r="J432" s="27"/>
      <c r="K432" s="27"/>
      <c r="L432" s="109" t="s">
        <v>37</v>
      </c>
      <c r="M432" s="376" t="str">
        <f>IF($R$13="","",$R$13)</f>
        <v/>
      </c>
      <c r="O432" s="30"/>
      <c r="P432" s="35" t="s">
        <v>173</v>
      </c>
      <c r="Q432" s="145"/>
      <c r="R432" s="122" t="str">
        <f t="shared" ref="R432:R437" si="83">IF(AB93="","",AB93)</f>
        <v/>
      </c>
      <c r="T432" s="35" t="s">
        <v>187</v>
      </c>
      <c r="U432" s="145"/>
      <c r="V432" s="122" t="str">
        <f>IF(AB99="","",AB99)</f>
        <v/>
      </c>
      <c r="Y432" s="32"/>
    </row>
    <row r="433" spans="1:25" ht="14.1" customHeight="1">
      <c r="A433" s="17">
        <v>1</v>
      </c>
      <c r="C433" s="68"/>
      <c r="D433" s="68"/>
      <c r="E433" s="68"/>
      <c r="F433" s="68"/>
      <c r="G433" s="68"/>
      <c r="H433" s="68"/>
      <c r="I433" s="68"/>
      <c r="J433" s="68"/>
      <c r="K433" s="68"/>
      <c r="L433" s="68"/>
      <c r="M433" s="571" t="str">
        <f>$H$2</f>
        <v>Medical University of South Carolina</v>
      </c>
      <c r="O433" s="30"/>
      <c r="P433" s="35" t="s">
        <v>176</v>
      </c>
      <c r="Q433" s="145"/>
      <c r="R433" s="122" t="str">
        <f t="shared" si="83"/>
        <v/>
      </c>
      <c r="T433" s="35" t="s">
        <v>189</v>
      </c>
      <c r="U433" s="145"/>
      <c r="V433" s="122" t="str">
        <f>IF(AB100="","",AB100)</f>
        <v/>
      </c>
      <c r="Y433" s="32"/>
    </row>
    <row r="434" spans="1:25" ht="14.1" customHeight="1" thickBot="1">
      <c r="A434" s="17">
        <v>2</v>
      </c>
      <c r="C434" s="68"/>
      <c r="D434" s="68"/>
      <c r="E434" s="68"/>
      <c r="F434" s="68"/>
      <c r="G434" s="68"/>
      <c r="H434" s="763" t="s">
        <v>73</v>
      </c>
      <c r="I434" s="68"/>
      <c r="J434" s="68"/>
      <c r="K434" s="68"/>
      <c r="L434" s="68"/>
      <c r="M434" s="3" t="str">
        <f>$H$5</f>
        <v>Mammography System Compliance Inspection</v>
      </c>
      <c r="O434" s="30"/>
      <c r="P434" s="35" t="s">
        <v>329</v>
      </c>
      <c r="Q434" s="145"/>
      <c r="R434" s="122" t="str">
        <f t="shared" si="83"/>
        <v/>
      </c>
      <c r="T434" s="35" t="s">
        <v>191</v>
      </c>
      <c r="U434" s="145"/>
      <c r="V434" s="122" t="str">
        <f>IF(AB101="","",AB101)</f>
        <v/>
      </c>
      <c r="Y434" s="32"/>
    </row>
    <row r="435" spans="1:25" ht="14.1" customHeight="1" thickTop="1" thickBot="1">
      <c r="A435" s="17">
        <v>3</v>
      </c>
      <c r="B435" s="58"/>
      <c r="C435" s="59"/>
      <c r="D435" s="59"/>
      <c r="E435" s="59"/>
      <c r="F435" s="59"/>
      <c r="G435" s="59"/>
      <c r="H435" s="59"/>
      <c r="I435" s="59"/>
      <c r="J435" s="59"/>
      <c r="K435" s="59"/>
      <c r="L435" s="59"/>
      <c r="M435" s="61"/>
      <c r="O435" s="30"/>
      <c r="P435" s="35" t="s">
        <v>182</v>
      </c>
      <c r="Q435" s="145"/>
      <c r="R435" s="122" t="str">
        <f t="shared" si="83"/>
        <v/>
      </c>
      <c r="T435" s="35" t="s">
        <v>218</v>
      </c>
      <c r="U435" s="144" t="str">
        <f>IF(OR(U432="",U433="",U434=""),"",IF(AND(U432&gt;=5,U433&gt;=4,U434&gt;=4),"Pass","Fail"))</f>
        <v/>
      </c>
      <c r="Y435" s="32"/>
    </row>
    <row r="436" spans="1:25" ht="14.1" customHeight="1">
      <c r="A436" s="17">
        <v>4</v>
      </c>
      <c r="B436" s="67"/>
      <c r="C436" s="651" t="s">
        <v>224</v>
      </c>
      <c r="D436" s="574" t="str">
        <f>IF(Q470="","",IF(LEN(Q470)&lt;=135,Q470,IF(LEN(Q470)&lt;=260,LEFT(Q470,SEARCH(" ",Q470,125)),LEFT(Q470,SEARCH(" ",Q470,130)))))</f>
        <v/>
      </c>
      <c r="E436" s="652"/>
      <c r="F436" s="652"/>
      <c r="G436" s="652"/>
      <c r="H436" s="652"/>
      <c r="I436" s="652"/>
      <c r="J436" s="652"/>
      <c r="K436" s="652"/>
      <c r="L436" s="652"/>
      <c r="M436" s="69"/>
      <c r="O436" s="30"/>
      <c r="P436" s="35" t="s">
        <v>184</v>
      </c>
      <c r="Q436" s="145"/>
      <c r="R436" s="122" t="str">
        <f t="shared" si="83"/>
        <v/>
      </c>
      <c r="T436" s="113" t="s">
        <v>204</v>
      </c>
      <c r="U436" s="138" t="s">
        <v>358</v>
      </c>
      <c r="Y436" s="32"/>
    </row>
    <row r="437" spans="1:25" ht="14.1" customHeight="1">
      <c r="A437" s="17">
        <v>5</v>
      </c>
      <c r="B437" s="67"/>
      <c r="C437" s="657"/>
      <c r="D437" s="575" t="str">
        <f>IF(LEN(Q470)&lt;=135,"",IF(LEN(Q470)&lt;=260,RIGHT(Q470,LEN(Q470)-SEARCH(" ",Q470,125)),MID(Q470,SEARCH(" ",Q470,130),IF(LEN(Q470)&lt;=265,LEN(Q470),SEARCH(" ",Q470,255)-SEARCH(" ",Q470,130)))))</f>
        <v/>
      </c>
      <c r="E437" s="658"/>
      <c r="F437" s="658"/>
      <c r="G437" s="658"/>
      <c r="H437" s="658"/>
      <c r="I437" s="658"/>
      <c r="J437" s="658"/>
      <c r="K437" s="658"/>
      <c r="L437" s="658"/>
      <c r="M437" s="69"/>
      <c r="O437" s="30"/>
      <c r="P437" s="35" t="s">
        <v>185</v>
      </c>
      <c r="Q437" s="16" t="str">
        <f>IF(OR(Q435="",Q436=""),"",Q436-Q435)</f>
        <v/>
      </c>
      <c r="R437" s="122" t="str">
        <f t="shared" si="83"/>
        <v/>
      </c>
      <c r="Y437" s="32"/>
    </row>
    <row r="438" spans="1:25" ht="14.1" customHeight="1">
      <c r="A438" s="17">
        <v>6</v>
      </c>
      <c r="B438" s="67"/>
      <c r="C438" s="657"/>
      <c r="D438" s="575" t="str">
        <f>IF(LEN(Q470)&lt;=265,"",RIGHT(Q470,LEN(Q470)-SEARCH(" ",Q470,255)))</f>
        <v/>
      </c>
      <c r="E438" s="658"/>
      <c r="F438" s="658"/>
      <c r="G438" s="658"/>
      <c r="H438" s="658"/>
      <c r="I438" s="658"/>
      <c r="J438" s="658"/>
      <c r="K438" s="658"/>
      <c r="L438" s="658"/>
      <c r="M438" s="69"/>
      <c r="O438" s="30"/>
      <c r="Y438" s="32"/>
    </row>
    <row r="439" spans="1:25" ht="14.1" customHeight="1">
      <c r="A439" s="17">
        <v>7</v>
      </c>
      <c r="B439" s="67"/>
      <c r="C439" s="667"/>
      <c r="D439" s="575" t="str">
        <f>IF(Q472="","",IF(LEN(Q472)&lt;=135,Q472,IF(LEN(Q472)&lt;=260,LEFT(Q472,SEARCH(" ",Q472,125)),LEFT(Q472,SEARCH(" ",Q472,130)))))</f>
        <v/>
      </c>
      <c r="E439" s="658"/>
      <c r="F439" s="658"/>
      <c r="G439" s="658"/>
      <c r="H439" s="658"/>
      <c r="I439" s="658"/>
      <c r="J439" s="658"/>
      <c r="K439" s="658"/>
      <c r="L439" s="658"/>
      <c r="M439" s="69"/>
      <c r="O439" s="278" t="s">
        <v>359</v>
      </c>
      <c r="Y439" s="32"/>
    </row>
    <row r="440" spans="1:25" ht="14.1" customHeight="1">
      <c r="A440" s="17">
        <v>8</v>
      </c>
      <c r="B440" s="67"/>
      <c r="C440" s="667"/>
      <c r="D440" s="575" t="str">
        <f>IF(LEN(Q472)&lt;=135,"",IF(LEN(Q472)&lt;=260,RIGHT(Q472,LEN(Q472)-SEARCH(" ",Q472,125)),MID(Q472,SEARCH(" ",Q472,130),IF(LEN(Q472)&lt;=265,LEN(Q472),SEARCH(" ",Q472,255)-SEARCH(" ",Q472,130)))))</f>
        <v/>
      </c>
      <c r="E440" s="658"/>
      <c r="F440" s="658"/>
      <c r="G440" s="658"/>
      <c r="H440" s="658"/>
      <c r="I440" s="658"/>
      <c r="J440" s="658"/>
      <c r="K440" s="658"/>
      <c r="L440" s="658"/>
      <c r="M440" s="69"/>
      <c r="O440" s="30"/>
      <c r="Q440" s="35" t="s">
        <v>327</v>
      </c>
      <c r="R440" s="264"/>
      <c r="U440" s="35" t="s">
        <v>327</v>
      </c>
      <c r="V440" s="264"/>
      <c r="Y440" s="32"/>
    </row>
    <row r="441" spans="1:25" ht="14.1" customHeight="1">
      <c r="A441" s="17">
        <v>9</v>
      </c>
      <c r="B441" s="67"/>
      <c r="C441" s="667"/>
      <c r="D441" s="575" t="str">
        <f>IF(LEN(Q472)&lt;=265,"",RIGHT(Q472,LEN(Q472)-SEARCH(" ",Q472,255)))</f>
        <v/>
      </c>
      <c r="E441" s="658"/>
      <c r="F441" s="658"/>
      <c r="G441" s="658"/>
      <c r="H441" s="658"/>
      <c r="I441" s="658"/>
      <c r="J441" s="658"/>
      <c r="K441" s="658"/>
      <c r="L441" s="658"/>
      <c r="M441" s="69"/>
      <c r="O441" s="30"/>
      <c r="Q441" s="768" t="s">
        <v>254</v>
      </c>
      <c r="R441" s="768" t="s">
        <v>255</v>
      </c>
      <c r="U441" s="768" t="s">
        <v>254</v>
      </c>
      <c r="V441" s="768" t="s">
        <v>255</v>
      </c>
      <c r="Y441" s="32"/>
    </row>
    <row r="442" spans="1:25" ht="14.1" customHeight="1">
      <c r="A442" s="17">
        <v>10</v>
      </c>
      <c r="B442" s="67"/>
      <c r="C442" s="669"/>
      <c r="D442" s="575" t="str">
        <f>IF(Q474="","",IF(LEN(Q474)&lt;=135,Q474,IF(LEN(Q474)&lt;=260,LEFT(Q474,SEARCH(" ",Q474,125)),LEFT(Q474,SEARCH(" ",Q474,130)))))</f>
        <v/>
      </c>
      <c r="E442" s="658"/>
      <c r="F442" s="658"/>
      <c r="G442" s="658"/>
      <c r="H442" s="658"/>
      <c r="I442" s="658"/>
      <c r="J442" s="658"/>
      <c r="K442" s="658"/>
      <c r="L442" s="658"/>
      <c r="M442" s="69"/>
      <c r="O442" s="161"/>
      <c r="P442" s="35" t="s">
        <v>187</v>
      </c>
      <c r="Q442" s="145"/>
      <c r="R442" s="145"/>
      <c r="T442" s="35" t="s">
        <v>187</v>
      </c>
      <c r="U442" s="145"/>
      <c r="V442" s="145"/>
      <c r="Y442" s="32"/>
    </row>
    <row r="443" spans="1:25" ht="14.1" customHeight="1">
      <c r="A443" s="17">
        <v>11</v>
      </c>
      <c r="B443" s="67"/>
      <c r="C443" s="669"/>
      <c r="D443" s="575" t="str">
        <f>IF(LEN(Q474)&lt;=135,"",IF(LEN(Q474)&lt;=260,RIGHT(Q474,LEN(Q474)-SEARCH(" ",Q474,125)),MID(Q474,SEARCH(" ",Q474,130),IF(LEN(Q474)&lt;=265,LEN(Q474),SEARCH(" ",Q474,255)-SEARCH(" ",Q474,130)))))</f>
        <v/>
      </c>
      <c r="E443" s="658"/>
      <c r="F443" s="658"/>
      <c r="G443" s="658"/>
      <c r="H443" s="658"/>
      <c r="I443" s="658"/>
      <c r="J443" s="658"/>
      <c r="K443" s="658"/>
      <c r="L443" s="658"/>
      <c r="M443" s="69"/>
      <c r="O443" s="161"/>
      <c r="P443" s="35" t="s">
        <v>189</v>
      </c>
      <c r="Q443" s="145"/>
      <c r="R443" s="145"/>
      <c r="T443" s="35" t="s">
        <v>189</v>
      </c>
      <c r="U443" s="145"/>
      <c r="V443" s="145"/>
      <c r="Y443" s="32"/>
    </row>
    <row r="444" spans="1:25" ht="14.1" customHeight="1">
      <c r="A444" s="17">
        <v>12</v>
      </c>
      <c r="B444" s="67"/>
      <c r="C444" s="669"/>
      <c r="D444" s="575" t="str">
        <f>IF(LEN(Q474)&lt;=265,"",RIGHT(Q474,LEN(Q474)-SEARCH(" ",Q474,255)))</f>
        <v/>
      </c>
      <c r="E444" s="658"/>
      <c r="F444" s="658"/>
      <c r="G444" s="658"/>
      <c r="H444" s="658"/>
      <c r="I444" s="658"/>
      <c r="J444" s="658"/>
      <c r="K444" s="658"/>
      <c r="L444" s="658"/>
      <c r="M444" s="69"/>
      <c r="O444" s="161"/>
      <c r="P444" s="35" t="s">
        <v>191</v>
      </c>
      <c r="Q444" s="145"/>
      <c r="R444" s="145"/>
      <c r="T444" s="35" t="s">
        <v>191</v>
      </c>
      <c r="U444" s="145"/>
      <c r="V444" s="145"/>
      <c r="Y444" s="32"/>
    </row>
    <row r="445" spans="1:25" ht="14.1" customHeight="1">
      <c r="A445" s="17">
        <v>13</v>
      </c>
      <c r="B445" s="67"/>
      <c r="C445" s="629"/>
      <c r="D445" s="575" t="str">
        <f>IF(Q476="","",IF(LEN(Q476)&lt;=135,Q476,IF(LEN(Q476)&lt;=260,LEFT(Q476,SEARCH(" ",Q476,125)),LEFT(Q476,SEARCH(" ",Q476,130)))))</f>
        <v/>
      </c>
      <c r="E445" s="658"/>
      <c r="F445" s="658"/>
      <c r="G445" s="658"/>
      <c r="H445" s="658"/>
      <c r="I445" s="658"/>
      <c r="J445" s="658"/>
      <c r="K445" s="658"/>
      <c r="L445" s="658"/>
      <c r="M445" s="69"/>
      <c r="O445" s="30"/>
      <c r="Y445" s="32"/>
    </row>
    <row r="446" spans="1:25" ht="14.1" customHeight="1">
      <c r="A446" s="17">
        <v>14</v>
      </c>
      <c r="B446" s="67"/>
      <c r="C446" s="657"/>
      <c r="D446" s="575" t="str">
        <f>IF(LEN(Q476)&lt;=135,"",IF(LEN(Q476)&lt;=260,RIGHT(Q476,LEN(Q476)-SEARCH(" ",Q476,125)),MID(Q476,SEARCH(" ",Q476,130),IF(LEN(Q476)&lt;=265,LEN(Q476),SEARCH(" ",Q476,255)-SEARCH(" ",Q476,130)))))</f>
        <v/>
      </c>
      <c r="E446" s="658"/>
      <c r="F446" s="658"/>
      <c r="G446" s="658"/>
      <c r="H446" s="658"/>
      <c r="I446" s="658"/>
      <c r="J446" s="658"/>
      <c r="K446" s="658"/>
      <c r="L446" s="658"/>
      <c r="M446" s="69"/>
      <c r="O446" s="278" t="s">
        <v>360</v>
      </c>
      <c r="Q446" s="4"/>
      <c r="R446" s="35" t="s">
        <v>361</v>
      </c>
      <c r="S446" s="771">
        <f>Q259</f>
        <v>0</v>
      </c>
      <c r="Y446" s="32"/>
    </row>
    <row r="447" spans="1:25" ht="14.1" customHeight="1">
      <c r="A447" s="17">
        <v>15</v>
      </c>
      <c r="B447" s="67"/>
      <c r="C447" s="657"/>
      <c r="D447" s="575" t="str">
        <f>IF(LEN(Q476)&lt;=265,"",RIGHT(Q476,LEN(Q476)-SEARCH(" ",Q476,255)))</f>
        <v/>
      </c>
      <c r="E447" s="658"/>
      <c r="F447" s="658"/>
      <c r="G447" s="658"/>
      <c r="H447" s="658"/>
      <c r="I447" s="658"/>
      <c r="J447" s="658"/>
      <c r="K447" s="658"/>
      <c r="L447" s="658"/>
      <c r="M447" s="69"/>
      <c r="O447" s="30"/>
      <c r="P447" s="35" t="s">
        <v>71</v>
      </c>
      <c r="Q447" s="279" t="s">
        <v>237</v>
      </c>
      <c r="R447" s="279" t="s">
        <v>262</v>
      </c>
      <c r="S447" s="279" t="s">
        <v>238</v>
      </c>
      <c r="T447" s="35" t="s">
        <v>321</v>
      </c>
      <c r="U447" s="35" t="s">
        <v>71</v>
      </c>
      <c r="V447" s="279" t="s">
        <v>237</v>
      </c>
      <c r="W447" s="279" t="s">
        <v>262</v>
      </c>
      <c r="X447" s="279" t="s">
        <v>238</v>
      </c>
      <c r="Y447" s="32"/>
    </row>
    <row r="448" spans="1:25" ht="14.1" customHeight="1">
      <c r="A448" s="17">
        <v>16</v>
      </c>
      <c r="B448" s="67"/>
      <c r="C448" s="629"/>
      <c r="D448" s="575" t="str">
        <f>IF(Q478="","",IF(LEN(Q478)&lt;=135,Q478,IF(LEN(Q478)&lt;=260,LEFT(Q478,SEARCH(" ",Q478,125)),LEFT(Q478,SEARCH(" ",Q478,130)))))</f>
        <v/>
      </c>
      <c r="E448" s="658"/>
      <c r="F448" s="658"/>
      <c r="G448" s="658"/>
      <c r="H448" s="658"/>
      <c r="I448" s="658"/>
      <c r="J448" s="658"/>
      <c r="K448" s="658"/>
      <c r="L448" s="658"/>
      <c r="M448" s="69"/>
      <c r="O448" s="30"/>
      <c r="P448" s="35" t="s">
        <v>269</v>
      </c>
      <c r="Q448" s="280"/>
      <c r="R448" s="281"/>
      <c r="S448" s="282"/>
      <c r="T448" s="4"/>
      <c r="U448" s="35" t="s">
        <v>269</v>
      </c>
      <c r="V448" s="283" t="str">
        <f>IF(AB103="","",AB103)</f>
        <v/>
      </c>
      <c r="W448" s="284" t="str">
        <f>IF(AB108="","",AB108)</f>
        <v/>
      </c>
      <c r="X448" s="285" t="str">
        <f>IF(AB113="","",AB113)</f>
        <v/>
      </c>
      <c r="Y448" s="32"/>
    </row>
    <row r="449" spans="1:25" ht="14.1" customHeight="1">
      <c r="A449" s="17">
        <v>17</v>
      </c>
      <c r="B449" s="67"/>
      <c r="C449" s="657"/>
      <c r="D449" s="575" t="str">
        <f>IF(LEN(Q478)&lt;=135,"",IF(LEN(Q478)&lt;=260,RIGHT(Q478,LEN(Q478)-SEARCH(" ",Q478,125)),MID(Q478,SEARCH(" ",Q478,130),IF(LEN(Q478)&lt;=265,LEN(Q478),SEARCH(" ",Q478,255)-SEARCH(" ",Q478,130)))))</f>
        <v/>
      </c>
      <c r="E449" s="658"/>
      <c r="F449" s="658"/>
      <c r="G449" s="658"/>
      <c r="H449" s="658"/>
      <c r="I449" s="658"/>
      <c r="J449" s="658"/>
      <c r="K449" s="658"/>
      <c r="L449" s="658"/>
      <c r="M449" s="69"/>
      <c r="O449" s="30"/>
      <c r="P449" s="35" t="s">
        <v>72</v>
      </c>
      <c r="Q449" s="286"/>
      <c r="R449" s="287"/>
      <c r="S449" s="288"/>
      <c r="T449" s="4"/>
      <c r="U449" s="35" t="s">
        <v>72</v>
      </c>
      <c r="V449" s="289" t="str">
        <f>IF(AB104="","",AB104)</f>
        <v/>
      </c>
      <c r="W449" s="290" t="str">
        <f>IF(AB109="","",AB109)</f>
        <v/>
      </c>
      <c r="X449" s="291" t="str">
        <f>IF(AB114="","",AB114)</f>
        <v/>
      </c>
      <c r="Y449" s="32"/>
    </row>
    <row r="450" spans="1:25" ht="14.1" customHeight="1">
      <c r="A450" s="17">
        <v>18</v>
      </c>
      <c r="B450" s="67"/>
      <c r="C450" s="657"/>
      <c r="D450" s="575" t="str">
        <f>IF(LEN(Q478)&lt;=265,"",RIGHT(Q478,LEN(Q478)-SEARCH(" ",Q478,255)))</f>
        <v/>
      </c>
      <c r="E450" s="658"/>
      <c r="F450" s="658"/>
      <c r="G450" s="658"/>
      <c r="H450" s="658"/>
      <c r="I450" s="658"/>
      <c r="J450" s="658"/>
      <c r="K450" s="658"/>
      <c r="L450" s="658"/>
      <c r="M450" s="69"/>
      <c r="O450" s="30"/>
      <c r="P450" s="35" t="s">
        <v>362</v>
      </c>
      <c r="Q450" s="286"/>
      <c r="R450" s="287"/>
      <c r="S450" s="288"/>
      <c r="T450" s="4"/>
      <c r="U450" s="35" t="s">
        <v>362</v>
      </c>
      <c r="V450" s="289" t="str">
        <f>IF(AB105="","",AB105)</f>
        <v/>
      </c>
      <c r="W450" s="290" t="str">
        <f>IF(AB110="","",AB110)</f>
        <v/>
      </c>
      <c r="X450" s="291" t="str">
        <f>IF(AB115="","",AB115)</f>
        <v/>
      </c>
      <c r="Y450" s="32"/>
    </row>
    <row r="451" spans="1:25" ht="14.1" customHeight="1">
      <c r="A451" s="17">
        <v>19</v>
      </c>
      <c r="B451" s="67"/>
      <c r="C451" s="629"/>
      <c r="D451" s="575" t="str">
        <f>IF(Q480="","",IF(LEN(Q480)&lt;=135,Q480,IF(LEN(Q480)&lt;=260,LEFT(Q480,SEARCH(" ",Q480,125)),LEFT(Q480,SEARCH(" ",Q480,130)))))</f>
        <v/>
      </c>
      <c r="E451" s="658"/>
      <c r="F451" s="658"/>
      <c r="G451" s="658"/>
      <c r="H451" s="658"/>
      <c r="I451" s="658"/>
      <c r="J451" s="658"/>
      <c r="K451" s="658"/>
      <c r="L451" s="658"/>
      <c r="M451" s="69"/>
      <c r="O451" s="30"/>
      <c r="P451" s="35" t="s">
        <v>363</v>
      </c>
      <c r="Q451" s="286"/>
      <c r="R451" s="287"/>
      <c r="S451" s="288"/>
      <c r="T451" s="4"/>
      <c r="U451" s="35" t="s">
        <v>363</v>
      </c>
      <c r="V451" s="289" t="str">
        <f>IF(AB106="","",AB106)</f>
        <v/>
      </c>
      <c r="W451" s="290" t="str">
        <f>IF(AB111="","",AB111)</f>
        <v/>
      </c>
      <c r="X451" s="291" t="str">
        <f>IF(AB116="","",AB116)</f>
        <v/>
      </c>
      <c r="Y451" s="32"/>
    </row>
    <row r="452" spans="1:25" ht="14.1" customHeight="1">
      <c r="A452" s="17">
        <v>20</v>
      </c>
      <c r="B452" s="67"/>
      <c r="C452" s="657"/>
      <c r="D452" s="575" t="str">
        <f>IF(LEN(Q480)&lt;=135,"",IF(LEN(Q480)&lt;=260,RIGHT(Q480,LEN(Q480)-SEARCH(" ",Q480,125)),MID(Q480,SEARCH(" ",Q480,130),IF(LEN(Q480)&lt;=265,LEN(Q480),SEARCH(" ",Q480,255)-SEARCH(" ",Q480,130)))))</f>
        <v/>
      </c>
      <c r="E452" s="658"/>
      <c r="F452" s="658"/>
      <c r="G452" s="658"/>
      <c r="H452" s="658"/>
      <c r="I452" s="658"/>
      <c r="J452" s="658"/>
      <c r="K452" s="658"/>
      <c r="L452" s="658"/>
      <c r="M452" s="69"/>
      <c r="O452" s="30"/>
      <c r="P452" s="35" t="s">
        <v>364</v>
      </c>
      <c r="Q452" s="286"/>
      <c r="R452" s="287"/>
      <c r="S452" s="288"/>
      <c r="T452" s="4"/>
      <c r="U452" s="35" t="s">
        <v>364</v>
      </c>
      <c r="V452" s="289" t="str">
        <f>IF(AB107="","",AB107)</f>
        <v/>
      </c>
      <c r="W452" s="290" t="str">
        <f>IF(AB112="","",AB112)</f>
        <v/>
      </c>
      <c r="X452" s="291" t="str">
        <f>IF(AB117="","",AB117)</f>
        <v/>
      </c>
      <c r="Y452" s="32"/>
    </row>
    <row r="453" spans="1:25" ht="14.1" customHeight="1">
      <c r="A453" s="17">
        <v>21</v>
      </c>
      <c r="B453" s="67"/>
      <c r="C453" s="657"/>
      <c r="D453" s="575" t="str">
        <f>IF(LEN(Q480)&lt;=265,"",RIGHT(Q480,LEN(Q480)-SEARCH(" ",Q480,255)))</f>
        <v/>
      </c>
      <c r="E453" s="658"/>
      <c r="F453" s="658"/>
      <c r="G453" s="658"/>
      <c r="H453" s="658"/>
      <c r="I453" s="658"/>
      <c r="J453" s="658"/>
      <c r="K453" s="658"/>
      <c r="L453" s="492"/>
      <c r="M453" s="69"/>
      <c r="O453" s="30"/>
      <c r="P453" s="292"/>
      <c r="Q453" s="2" t="str">
        <f>IF(Q450="","",IF(AND(Q450&gt;=5,Q451&gt;=4,Q452&gt;=4),"Pass","Fail"))</f>
        <v/>
      </c>
      <c r="R453" s="2" t="str">
        <f>IF(R450="","",IF(AND(R450&gt;=5,R451&gt;=4,R452&gt;=4),"Pass","Fail"))</f>
        <v/>
      </c>
      <c r="S453" s="2" t="str">
        <f>IF(S450="","",IF(AND(S450&gt;=5,S451&gt;=4,S452&gt;=4),"Pass","Fail"))</f>
        <v/>
      </c>
      <c r="T453" s="4"/>
      <c r="U453" s="4"/>
      <c r="V453" s="4"/>
      <c r="Y453" s="32"/>
    </row>
    <row r="454" spans="1:25" ht="14.1" customHeight="1" thickBot="1">
      <c r="A454" s="17">
        <v>22</v>
      </c>
      <c r="B454" s="67"/>
      <c r="C454" s="629"/>
      <c r="D454" s="575" t="str">
        <f>IF(Q482="","",IF(LEN(Q482)&lt;=135,Q482,IF(LEN(Q482)&lt;=260,LEFT(Q482,SEARCH(" ",Q482,125)),LEFT(Q482,SEARCH(" ",Q482,130)))))</f>
        <v/>
      </c>
      <c r="E454" s="658"/>
      <c r="F454" s="658"/>
      <c r="G454" s="658"/>
      <c r="H454" s="658"/>
      <c r="I454" s="658"/>
      <c r="J454" s="658"/>
      <c r="K454" s="658"/>
      <c r="L454" s="492"/>
      <c r="M454" s="69"/>
      <c r="O454" s="40"/>
      <c r="P454" s="293" t="s">
        <v>204</v>
      </c>
      <c r="Q454" s="294" t="s">
        <v>365</v>
      </c>
      <c r="R454" s="192"/>
      <c r="S454" s="192"/>
      <c r="T454" s="41"/>
      <c r="U454" s="41"/>
      <c r="V454" s="41"/>
      <c r="W454" s="41"/>
      <c r="X454" s="41"/>
      <c r="Y454" s="42"/>
    </row>
    <row r="455" spans="1:25" ht="14.1" customHeight="1">
      <c r="A455" s="17">
        <v>23</v>
      </c>
      <c r="B455" s="67"/>
      <c r="C455" s="68"/>
      <c r="D455" s="575" t="str">
        <f>IF(LEN(Q482)&lt;=135,"",IF(LEN(Q482)&lt;=260,RIGHT(Q482,LEN(Q482)-SEARCH(" ",Q482,125)),MID(Q482,SEARCH(" ",Q482,130),IF(LEN(Q482)&lt;=265,LEN(Q482),SEARCH(" ",Q482,255)-SEARCH(" ",Q482,130)))))</f>
        <v/>
      </c>
      <c r="E455" s="492"/>
      <c r="F455" s="492"/>
      <c r="G455" s="492"/>
      <c r="H455" s="492"/>
      <c r="I455" s="492"/>
      <c r="J455" s="492"/>
      <c r="K455" s="492"/>
      <c r="L455" s="492"/>
      <c r="M455" s="69"/>
      <c r="O455" s="139" t="s">
        <v>366</v>
      </c>
      <c r="Y455" s="32"/>
    </row>
    <row r="456" spans="1:25" ht="14.1" customHeight="1">
      <c r="A456" s="17">
        <v>24</v>
      </c>
      <c r="B456" s="67"/>
      <c r="C456" s="68"/>
      <c r="D456" s="575" t="str">
        <f>IF(LEN(Q482)&lt;=265,"",RIGHT(Q482,LEN(Q482)-SEARCH(" ",Q482,255)))</f>
        <v/>
      </c>
      <c r="E456" s="492"/>
      <c r="F456" s="492"/>
      <c r="G456" s="492"/>
      <c r="H456" s="492"/>
      <c r="I456" s="492"/>
      <c r="J456" s="492"/>
      <c r="K456" s="492"/>
      <c r="L456" s="492"/>
      <c r="M456" s="69"/>
      <c r="O456" s="30"/>
      <c r="T456" s="768" t="s">
        <v>367</v>
      </c>
      <c r="U456" s="768" t="s">
        <v>368</v>
      </c>
      <c r="Y456" s="32"/>
    </row>
    <row r="457" spans="1:25" ht="14.1" customHeight="1">
      <c r="A457" s="17">
        <v>25</v>
      </c>
      <c r="B457" s="67"/>
      <c r="C457" s="68"/>
      <c r="D457" s="575" t="str">
        <f>IF(Q484="","",IF(LEN(Q484)&lt;=135,Q484,IF(LEN(Q484)&lt;=260,LEFT(Q484,SEARCH(" ",Q484,125)),LEFT(Q484,SEARCH(" ",Q484,130)))))</f>
        <v/>
      </c>
      <c r="E457" s="492"/>
      <c r="F457" s="492"/>
      <c r="G457" s="492"/>
      <c r="H457" s="492"/>
      <c r="I457" s="492"/>
      <c r="J457" s="492"/>
      <c r="K457" s="492"/>
      <c r="L457" s="492"/>
      <c r="M457" s="69"/>
      <c r="O457" s="30"/>
      <c r="P457" s="35" t="s">
        <v>173</v>
      </c>
      <c r="Q457" s="137"/>
      <c r="R457" s="35"/>
      <c r="S457" s="35" t="s">
        <v>369</v>
      </c>
      <c r="T457" s="145"/>
      <c r="U457" s="145"/>
      <c r="Y457" s="32"/>
    </row>
    <row r="458" spans="1:25" ht="14.1" customHeight="1">
      <c r="A458" s="17">
        <v>26</v>
      </c>
      <c r="B458" s="67"/>
      <c r="C458" s="657"/>
      <c r="D458" s="575" t="str">
        <f>IF(LEN(Q484)&lt;=135,"",IF(LEN(Q484)&lt;=260,RIGHT(Q484,LEN(Q484)-SEARCH(" ",Q484,125)),MID(Q484,SEARCH(" ",Q484,130),IF(LEN(Q484)&lt;=265,LEN(Q484),SEARCH(" ",Q484,255)-SEARCH(" ",Q484,130)))))</f>
        <v/>
      </c>
      <c r="E458" s="658"/>
      <c r="F458" s="658"/>
      <c r="G458" s="658"/>
      <c r="H458" s="658"/>
      <c r="I458" s="658"/>
      <c r="J458" s="658"/>
      <c r="K458" s="658"/>
      <c r="L458" s="676"/>
      <c r="M458" s="69"/>
      <c r="O458" s="30"/>
      <c r="P458" s="35" t="s">
        <v>176</v>
      </c>
      <c r="Q458" s="137"/>
      <c r="R458" s="35"/>
      <c r="S458" s="35" t="s">
        <v>370</v>
      </c>
      <c r="T458" s="145"/>
      <c r="U458" s="145"/>
      <c r="Y458" s="32"/>
    </row>
    <row r="459" spans="1:25" ht="14.1" customHeight="1">
      <c r="A459" s="17">
        <v>27</v>
      </c>
      <c r="B459" s="67"/>
      <c r="C459" s="68"/>
      <c r="D459" s="575" t="str">
        <f>IF(LEN(Q484)&lt;=265,"",RIGHT(Q484,LEN(Q484)-SEARCH(" ",Q484,255)))</f>
        <v/>
      </c>
      <c r="E459" s="492"/>
      <c r="F459" s="492"/>
      <c r="G459" s="492"/>
      <c r="H459" s="492"/>
      <c r="I459" s="492"/>
      <c r="J459" s="492"/>
      <c r="K459" s="492"/>
      <c r="L459" s="492"/>
      <c r="M459" s="69"/>
      <c r="O459" s="30"/>
      <c r="P459" s="35" t="s">
        <v>51</v>
      </c>
      <c r="Q459" s="264"/>
      <c r="Y459" s="32"/>
    </row>
    <row r="460" spans="1:25" ht="14.1" customHeight="1">
      <c r="A460" s="17">
        <v>28</v>
      </c>
      <c r="B460" s="67"/>
      <c r="C460" s="68"/>
      <c r="D460" s="68"/>
      <c r="E460" s="68"/>
      <c r="F460" s="68"/>
      <c r="G460" s="68"/>
      <c r="H460" s="68"/>
      <c r="I460" s="68"/>
      <c r="J460" s="68"/>
      <c r="K460" s="68"/>
      <c r="L460" s="68"/>
      <c r="M460" s="69"/>
      <c r="O460" s="30"/>
      <c r="P460" s="35" t="s">
        <v>54</v>
      </c>
      <c r="Q460" s="264"/>
      <c r="T460" s="768" t="s">
        <v>320</v>
      </c>
      <c r="U460" s="768" t="s">
        <v>321</v>
      </c>
      <c r="V460" s="768" t="s">
        <v>290</v>
      </c>
      <c r="W460" s="768" t="s">
        <v>371</v>
      </c>
      <c r="X460" s="768" t="s">
        <v>291</v>
      </c>
      <c r="Y460" s="32"/>
    </row>
    <row r="461" spans="1:25" ht="14.1" customHeight="1">
      <c r="A461" s="17">
        <v>29</v>
      </c>
      <c r="B461" s="67"/>
      <c r="C461" s="68"/>
      <c r="D461" s="68"/>
      <c r="E461" s="68"/>
      <c r="F461" s="68"/>
      <c r="G461" s="68"/>
      <c r="H461" s="68"/>
      <c r="I461" s="68"/>
      <c r="J461" s="68"/>
      <c r="K461" s="68"/>
      <c r="L461" s="68"/>
      <c r="M461" s="69"/>
      <c r="O461" s="30"/>
      <c r="S461" s="35" t="s">
        <v>198</v>
      </c>
      <c r="T461" s="250" t="str">
        <f>IF(OR(T458="",U458=""),"",(T458-50)/U458)</f>
        <v/>
      </c>
      <c r="U461" s="122" t="str">
        <f>IF(AB118="","",AB118)</f>
        <v/>
      </c>
      <c r="V461" s="251" t="str">
        <f>IF(OR(T461="",W461=""),"",(T461-W461)/W461)</f>
        <v/>
      </c>
      <c r="W461" s="295"/>
      <c r="X461" s="252" t="str">
        <f>IF(T461="","",IF(AND(T461&gt;=40,ABS(V461)&lt;=0.15),"Pass","Fail"))</f>
        <v/>
      </c>
      <c r="Y461" s="32"/>
    </row>
    <row r="462" spans="1:25" ht="14.1" customHeight="1">
      <c r="A462" s="17">
        <v>30</v>
      </c>
      <c r="B462" s="67"/>
      <c r="C462" s="68"/>
      <c r="D462" s="68"/>
      <c r="E462" s="68"/>
      <c r="F462" s="68"/>
      <c r="G462" s="68"/>
      <c r="H462" s="68"/>
      <c r="I462" s="68"/>
      <c r="J462" s="68"/>
      <c r="K462" s="68"/>
      <c r="L462" s="68"/>
      <c r="M462" s="69"/>
      <c r="O462" s="30"/>
      <c r="S462" s="35" t="s">
        <v>199</v>
      </c>
      <c r="T462" s="250" t="str">
        <f>IF(OR(T458="",T457=""),"",(T458-T457)/U458)</f>
        <v/>
      </c>
      <c r="U462" s="122" t="str">
        <f>IF(AB119="","",AB119)</f>
        <v/>
      </c>
      <c r="V462" s="251" t="str">
        <f>IF(OR(T462="",W462=""),"",(T462-W462)/W462)</f>
        <v/>
      </c>
      <c r="W462" s="295"/>
      <c r="X462" s="16" t="str">
        <f>IF(T462="","",IF(AND(T462&gt;=2,ABS(V462)&lt;=0.15),"Pass","Fail"))</f>
        <v/>
      </c>
      <c r="Y462" s="32"/>
    </row>
    <row r="463" spans="1:25" ht="14.1" customHeight="1">
      <c r="A463" s="17">
        <v>31</v>
      </c>
      <c r="B463" s="67"/>
      <c r="C463" s="68"/>
      <c r="D463" s="68"/>
      <c r="E463" s="68"/>
      <c r="F463" s="68"/>
      <c r="G463" s="68"/>
      <c r="H463" s="68"/>
      <c r="I463" s="68"/>
      <c r="J463" s="68"/>
      <c r="K463" s="68"/>
      <c r="L463" s="68"/>
      <c r="M463" s="69"/>
      <c r="O463" s="30"/>
      <c r="P463" s="113" t="s">
        <v>204</v>
      </c>
      <c r="Q463" s="101" t="s">
        <v>372</v>
      </c>
      <c r="R463" s="68"/>
      <c r="S463" s="68"/>
      <c r="T463" s="68"/>
      <c r="U463" s="68"/>
      <c r="V463" s="68"/>
      <c r="W463" s="68"/>
      <c r="X463" s="68"/>
      <c r="Y463" s="32"/>
    </row>
    <row r="464" spans="1:25" ht="14.1" customHeight="1">
      <c r="A464" s="17">
        <v>32</v>
      </c>
      <c r="B464" s="67"/>
      <c r="C464" s="68"/>
      <c r="D464" s="68"/>
      <c r="E464" s="68"/>
      <c r="F464" s="68"/>
      <c r="G464" s="68"/>
      <c r="H464" s="68"/>
      <c r="I464" s="68"/>
      <c r="J464" s="68"/>
      <c r="K464" s="68"/>
      <c r="L464" s="68"/>
      <c r="M464" s="69"/>
      <c r="O464" s="30"/>
      <c r="Q464" s="138" t="s">
        <v>373</v>
      </c>
      <c r="Y464" s="32"/>
    </row>
    <row r="465" spans="1:25" ht="14.1" customHeight="1" thickBot="1">
      <c r="A465" s="17">
        <v>33</v>
      </c>
      <c r="B465" s="67"/>
      <c r="C465" s="68"/>
      <c r="D465" s="68"/>
      <c r="E465" s="68"/>
      <c r="F465" s="68"/>
      <c r="G465" s="68"/>
      <c r="H465" s="68"/>
      <c r="I465" s="68"/>
      <c r="J465" s="68"/>
      <c r="K465" s="68"/>
      <c r="L465" s="68"/>
      <c r="M465" s="69"/>
      <c r="O465" s="40"/>
      <c r="P465" s="41"/>
      <c r="Q465" s="41"/>
      <c r="R465" s="41"/>
      <c r="S465" s="41"/>
      <c r="T465" s="41"/>
      <c r="U465" s="41"/>
      <c r="V465" s="41"/>
      <c r="W465" s="41"/>
      <c r="X465" s="41"/>
      <c r="Y465" s="42"/>
    </row>
    <row r="466" spans="1:25" ht="14.1" customHeight="1">
      <c r="A466" s="17">
        <v>34</v>
      </c>
      <c r="B466" s="67"/>
      <c r="C466" s="68"/>
      <c r="D466" s="68"/>
      <c r="E466" s="68"/>
      <c r="F466" s="68"/>
      <c r="G466" s="68"/>
      <c r="H466" s="68"/>
      <c r="I466" s="68"/>
      <c r="J466" s="68"/>
      <c r="K466" s="68"/>
      <c r="L466" s="68"/>
      <c r="M466" s="69"/>
      <c r="O466" s="489"/>
      <c r="P466" s="332"/>
    </row>
    <row r="467" spans="1:25" ht="14.1" customHeight="1">
      <c r="A467" s="17">
        <v>35</v>
      </c>
      <c r="B467" s="67"/>
      <c r="C467" s="68"/>
      <c r="D467" s="68"/>
      <c r="E467" s="68"/>
      <c r="F467" s="68"/>
      <c r="G467" s="68"/>
      <c r="H467" s="68"/>
      <c r="I467" s="68"/>
      <c r="J467" s="68"/>
      <c r="K467" s="68"/>
      <c r="L467" s="68"/>
      <c r="M467" s="69"/>
      <c r="O467" s="620"/>
      <c r="P467" s="620"/>
      <c r="Q467" s="620"/>
      <c r="R467" s="620"/>
      <c r="S467" s="620"/>
      <c r="T467" s="621" t="s">
        <v>552</v>
      </c>
      <c r="U467" s="620"/>
      <c r="V467" s="620"/>
      <c r="W467" s="620"/>
      <c r="X467" s="620"/>
      <c r="Y467" s="620"/>
    </row>
    <row r="468" spans="1:25" ht="14.1" customHeight="1" thickBot="1">
      <c r="A468" s="17">
        <v>36</v>
      </c>
      <c r="B468" s="67"/>
      <c r="C468" s="68"/>
      <c r="D468" s="68"/>
      <c r="E468" s="68"/>
      <c r="F468" s="68"/>
      <c r="G468" s="68"/>
      <c r="H468" s="68"/>
      <c r="I468" s="68"/>
      <c r="J468" s="68"/>
      <c r="K468" s="68"/>
      <c r="L468" s="68"/>
      <c r="M468" s="69"/>
      <c r="O468" s="620"/>
      <c r="P468" s="622" t="s">
        <v>553</v>
      </c>
      <c r="Q468" s="620"/>
      <c r="R468" s="620"/>
      <c r="S468" s="620"/>
      <c r="T468" s="620"/>
      <c r="U468" s="620"/>
      <c r="V468" s="620"/>
      <c r="W468" s="620"/>
      <c r="X468" s="620"/>
      <c r="Y468" s="620"/>
    </row>
    <row r="469" spans="1:25" ht="14.1" customHeight="1" thickTop="1">
      <c r="A469" s="17">
        <v>37</v>
      </c>
      <c r="B469" s="67"/>
      <c r="C469" s="68"/>
      <c r="D469" s="68"/>
      <c r="E469" s="68"/>
      <c r="F469" s="68"/>
      <c r="G469" s="68"/>
      <c r="H469" s="68"/>
      <c r="I469" s="68"/>
      <c r="J469" s="68"/>
      <c r="K469" s="68"/>
      <c r="L469" s="68"/>
      <c r="M469" s="69"/>
      <c r="O469" s="623"/>
      <c r="P469" s="624"/>
      <c r="Q469" s="624"/>
      <c r="R469" s="625"/>
      <c r="S469" s="626" t="s">
        <v>554</v>
      </c>
      <c r="T469" s="624"/>
      <c r="U469" s="624"/>
      <c r="V469" s="624"/>
      <c r="W469" s="624"/>
      <c r="X469" s="624"/>
      <c r="Y469" s="627"/>
    </row>
    <row r="470" spans="1:25" ht="14.1" customHeight="1">
      <c r="A470" s="17">
        <v>38</v>
      </c>
      <c r="B470" s="67"/>
      <c r="C470" s="68"/>
      <c r="D470" s="68"/>
      <c r="E470" s="68"/>
      <c r="F470" s="68"/>
      <c r="G470" s="68"/>
      <c r="H470" s="68"/>
      <c r="I470" s="68"/>
      <c r="J470" s="68"/>
      <c r="K470" s="68"/>
      <c r="L470" s="68"/>
      <c r="M470" s="69"/>
      <c r="O470" s="628"/>
      <c r="P470" s="629" t="s">
        <v>224</v>
      </c>
      <c r="Q470" s="630"/>
      <c r="R470" s="631"/>
      <c r="S470" s="632" t="str">
        <f>IF(OR(AD720=0,AD720=""),"",AD720)</f>
        <v/>
      </c>
      <c r="T470" s="633"/>
      <c r="U470" s="633"/>
      <c r="V470" s="633"/>
      <c r="W470" s="633"/>
      <c r="X470" s="633"/>
      <c r="Y470" s="634"/>
    </row>
    <row r="471" spans="1:25" ht="14.1" customHeight="1">
      <c r="A471" s="17">
        <v>39</v>
      </c>
      <c r="B471" s="67"/>
      <c r="C471" s="68"/>
      <c r="D471" s="68"/>
      <c r="E471" s="68"/>
      <c r="F471" s="68"/>
      <c r="G471" s="68"/>
      <c r="H471" s="68"/>
      <c r="I471" s="68"/>
      <c r="J471" s="68"/>
      <c r="K471" s="68"/>
      <c r="L471" s="68"/>
      <c r="M471" s="69"/>
      <c r="O471" s="635"/>
      <c r="P471" s="636" t="s">
        <v>555</v>
      </c>
      <c r="Q471" s="637"/>
      <c r="R471" s="638">
        <f>LEN(Q470)</f>
        <v>0</v>
      </c>
      <c r="S471" s="639"/>
      <c r="T471" s="640">
        <f>LEN(S470)</f>
        <v>0</v>
      </c>
      <c r="U471" s="641"/>
      <c r="V471" s="642"/>
      <c r="W471" s="642"/>
      <c r="X471" s="642"/>
      <c r="Y471" s="643"/>
    </row>
    <row r="472" spans="1:25" ht="14.1" customHeight="1">
      <c r="A472" s="17">
        <v>40</v>
      </c>
      <c r="B472" s="67"/>
      <c r="C472" s="68"/>
      <c r="D472" s="68"/>
      <c r="E472" s="68"/>
      <c r="F472" s="68"/>
      <c r="G472" s="68"/>
      <c r="H472" s="68"/>
      <c r="I472" s="68"/>
      <c r="J472" s="68"/>
      <c r="K472" s="68"/>
      <c r="L472" s="68"/>
      <c r="M472" s="69"/>
      <c r="O472" s="635"/>
      <c r="P472" s="629" t="s">
        <v>556</v>
      </c>
      <c r="Q472" s="630"/>
      <c r="R472" s="631"/>
      <c r="S472" s="632" t="str">
        <f>IF(OR(AD722=0,AD722=""),"",AD722)</f>
        <v/>
      </c>
      <c r="T472" s="633"/>
      <c r="U472" s="633"/>
      <c r="V472" s="633"/>
      <c r="W472" s="633"/>
      <c r="X472" s="633"/>
      <c r="Y472" s="634"/>
    </row>
    <row r="473" spans="1:25" ht="14.1" customHeight="1">
      <c r="A473" s="17">
        <v>41</v>
      </c>
      <c r="B473" s="67"/>
      <c r="C473" s="68"/>
      <c r="D473" s="68"/>
      <c r="E473" s="68"/>
      <c r="F473" s="68"/>
      <c r="G473" s="68"/>
      <c r="H473" s="68"/>
      <c r="I473" s="68"/>
      <c r="J473" s="68"/>
      <c r="K473" s="68"/>
      <c r="L473" s="68"/>
      <c r="M473" s="69"/>
      <c r="O473" s="635"/>
      <c r="P473" s="636" t="s">
        <v>555</v>
      </c>
      <c r="Q473" s="637"/>
      <c r="R473" s="638">
        <f>LEN(Q472)</f>
        <v>0</v>
      </c>
      <c r="S473" s="639"/>
      <c r="T473" s="640">
        <f>LEN(S472)</f>
        <v>0</v>
      </c>
      <c r="U473" s="641"/>
      <c r="V473" s="633"/>
      <c r="W473" s="633"/>
      <c r="X473" s="633"/>
      <c r="Y473" s="634"/>
    </row>
    <row r="474" spans="1:25" ht="14.1" customHeight="1">
      <c r="A474" s="17">
        <v>42</v>
      </c>
      <c r="B474" s="67"/>
      <c r="C474" s="68"/>
      <c r="D474" s="68"/>
      <c r="E474" s="68"/>
      <c r="F474" s="68"/>
      <c r="G474" s="68"/>
      <c r="H474" s="68"/>
      <c r="I474" s="68"/>
      <c r="J474" s="68"/>
      <c r="K474" s="68"/>
      <c r="L474" s="68"/>
      <c r="M474" s="69"/>
      <c r="O474" s="644"/>
      <c r="P474" s="629" t="s">
        <v>556</v>
      </c>
      <c r="Q474" s="630"/>
      <c r="R474" s="631"/>
      <c r="S474" s="632" t="str">
        <f>IF(OR(AD724=0,AD724=""),"",AD724)</f>
        <v/>
      </c>
      <c r="T474" s="642"/>
      <c r="U474" s="642"/>
      <c r="V474" s="642"/>
      <c r="W474" s="642"/>
      <c r="X474" s="642"/>
      <c r="Y474" s="643"/>
    </row>
    <row r="475" spans="1:25" ht="14.1" customHeight="1">
      <c r="A475" s="17">
        <v>43</v>
      </c>
      <c r="B475" s="67"/>
      <c r="C475" s="68"/>
      <c r="D475" s="68"/>
      <c r="E475" s="68"/>
      <c r="F475" s="68"/>
      <c r="G475" s="68"/>
      <c r="H475" s="68"/>
      <c r="I475" s="68"/>
      <c r="J475" s="68"/>
      <c r="K475" s="68"/>
      <c r="L475" s="68"/>
      <c r="M475" s="69"/>
      <c r="O475" s="635"/>
      <c r="P475" s="636" t="s">
        <v>555</v>
      </c>
      <c r="Q475" s="637"/>
      <c r="R475" s="638">
        <f>LEN(Q474)</f>
        <v>0</v>
      </c>
      <c r="S475" s="639"/>
      <c r="T475" s="640">
        <f>LEN(S474)</f>
        <v>0</v>
      </c>
      <c r="U475" s="641"/>
      <c r="V475" s="633"/>
      <c r="W475" s="633"/>
      <c r="X475" s="633"/>
      <c r="Y475" s="634"/>
    </row>
    <row r="476" spans="1:25" ht="14.1" customHeight="1">
      <c r="A476" s="17">
        <v>44</v>
      </c>
      <c r="B476" s="67"/>
      <c r="C476" s="68"/>
      <c r="D476" s="68"/>
      <c r="E476" s="68"/>
      <c r="F476" s="68"/>
      <c r="G476" s="68"/>
      <c r="H476" s="68"/>
      <c r="I476" s="68"/>
      <c r="J476" s="68"/>
      <c r="K476" s="68"/>
      <c r="L476" s="68"/>
      <c r="M476" s="69"/>
      <c r="O476" s="635"/>
      <c r="P476" s="629" t="s">
        <v>556</v>
      </c>
      <c r="Q476" s="630"/>
      <c r="R476" s="631"/>
      <c r="S476" s="632" t="str">
        <f>IF(OR(AD726=0,AD726=""),"",AD726)</f>
        <v/>
      </c>
      <c r="T476" s="633"/>
      <c r="U476" s="633"/>
      <c r="V476" s="633"/>
      <c r="W476" s="633"/>
      <c r="X476" s="633"/>
      <c r="Y476" s="634"/>
    </row>
    <row r="477" spans="1:25" ht="14.1" customHeight="1">
      <c r="A477" s="17">
        <v>45</v>
      </c>
      <c r="B477" s="67"/>
      <c r="C477" s="68"/>
      <c r="D477" s="68"/>
      <c r="E477" s="68"/>
      <c r="F477" s="68"/>
      <c r="G477" s="68"/>
      <c r="H477" s="68"/>
      <c r="I477" s="68"/>
      <c r="J477" s="68"/>
      <c r="K477" s="68"/>
      <c r="L477" s="68"/>
      <c r="M477" s="69"/>
      <c r="O477" s="644"/>
      <c r="P477" s="636" t="s">
        <v>555</v>
      </c>
      <c r="Q477" s="637"/>
      <c r="R477" s="638">
        <f>LEN(Q476)</f>
        <v>0</v>
      </c>
      <c r="S477" s="639"/>
      <c r="T477" s="640">
        <f>LEN(S476)</f>
        <v>0</v>
      </c>
      <c r="U477" s="641"/>
      <c r="V477" s="642"/>
      <c r="W477" s="642"/>
      <c r="X477" s="642"/>
      <c r="Y477" s="643"/>
    </row>
    <row r="478" spans="1:25" ht="14.1" customHeight="1">
      <c r="A478" s="17">
        <v>46</v>
      </c>
      <c r="B478" s="67"/>
      <c r="C478" s="68"/>
      <c r="D478" s="68"/>
      <c r="E478" s="68"/>
      <c r="F478" s="68"/>
      <c r="G478" s="68"/>
      <c r="H478" s="68"/>
      <c r="I478" s="68"/>
      <c r="J478" s="68"/>
      <c r="K478" s="68"/>
      <c r="L478" s="68"/>
      <c r="M478" s="69"/>
      <c r="O478" s="635"/>
      <c r="P478" s="629" t="s">
        <v>556</v>
      </c>
      <c r="Q478" s="630"/>
      <c r="R478" s="631"/>
      <c r="S478" s="632" t="str">
        <f>IF(OR(AD728=0,AD728=""),"",AD728)</f>
        <v/>
      </c>
      <c r="T478" s="633"/>
      <c r="U478" s="633"/>
      <c r="V478" s="633"/>
      <c r="W478" s="633"/>
      <c r="X478" s="633"/>
      <c r="Y478" s="634"/>
    </row>
    <row r="479" spans="1:25" ht="14.1" customHeight="1">
      <c r="A479" s="17">
        <v>47</v>
      </c>
      <c r="B479" s="67"/>
      <c r="C479" s="68"/>
      <c r="D479" s="68"/>
      <c r="E479" s="68"/>
      <c r="F479" s="68"/>
      <c r="G479" s="68"/>
      <c r="H479" s="68"/>
      <c r="I479" s="68"/>
      <c r="J479" s="68"/>
      <c r="K479" s="68"/>
      <c r="L479" s="68"/>
      <c r="M479" s="69"/>
      <c r="O479" s="635"/>
      <c r="P479" s="636" t="s">
        <v>555</v>
      </c>
      <c r="Q479" s="637"/>
      <c r="R479" s="638">
        <f>LEN(Q478)</f>
        <v>0</v>
      </c>
      <c r="S479" s="639"/>
      <c r="T479" s="640">
        <f>LEN(S478)</f>
        <v>0</v>
      </c>
      <c r="U479" s="641"/>
      <c r="V479" s="633"/>
      <c r="W479" s="633"/>
      <c r="X479" s="633"/>
      <c r="Y479" s="634"/>
    </row>
    <row r="480" spans="1:25" ht="14.1" customHeight="1">
      <c r="A480" s="17">
        <v>48</v>
      </c>
      <c r="B480" s="67"/>
      <c r="C480" s="68"/>
      <c r="D480" s="68"/>
      <c r="E480" s="68"/>
      <c r="F480" s="68"/>
      <c r="G480" s="68"/>
      <c r="H480" s="68"/>
      <c r="I480" s="68"/>
      <c r="J480" s="68"/>
      <c r="K480" s="68"/>
      <c r="L480" s="68"/>
      <c r="M480" s="69"/>
      <c r="O480" s="644"/>
      <c r="P480" s="629" t="s">
        <v>556</v>
      </c>
      <c r="Q480" s="630"/>
      <c r="R480" s="631"/>
      <c r="S480" s="632" t="str">
        <f>IF(OR(AD730=0,AD730=""),"",AD730)</f>
        <v/>
      </c>
      <c r="T480" s="642"/>
      <c r="U480" s="642"/>
      <c r="V480" s="642"/>
      <c r="W480" s="642"/>
      <c r="X480" s="642"/>
      <c r="Y480" s="643"/>
    </row>
    <row r="481" spans="1:25" ht="14.1" customHeight="1">
      <c r="A481" s="17">
        <v>49</v>
      </c>
      <c r="B481" s="67"/>
      <c r="C481" s="68"/>
      <c r="D481" s="68"/>
      <c r="E481" s="68"/>
      <c r="F481" s="68"/>
      <c r="G481" s="68"/>
      <c r="H481" s="68"/>
      <c r="I481" s="68"/>
      <c r="J481" s="68"/>
      <c r="K481" s="68"/>
      <c r="L481" s="68"/>
      <c r="M481" s="69"/>
      <c r="O481" s="635"/>
      <c r="P481" s="636" t="s">
        <v>555</v>
      </c>
      <c r="Q481" s="645"/>
      <c r="R481" s="646">
        <f>LEN(Q480)</f>
        <v>0</v>
      </c>
      <c r="S481" s="647"/>
      <c r="T481" s="648">
        <f>LEN(S480)</f>
        <v>0</v>
      </c>
      <c r="U481" s="649"/>
      <c r="V481" s="650"/>
      <c r="W481" s="650"/>
      <c r="X481" s="650"/>
      <c r="Y481" s="634"/>
    </row>
    <row r="482" spans="1:25" ht="14.1" customHeight="1">
      <c r="A482" s="17">
        <v>50</v>
      </c>
      <c r="B482" s="67"/>
      <c r="C482" s="68"/>
      <c r="D482" s="68"/>
      <c r="E482" s="68"/>
      <c r="F482" s="68"/>
      <c r="G482" s="68"/>
      <c r="H482" s="68"/>
      <c r="I482" s="68"/>
      <c r="J482" s="68"/>
      <c r="K482" s="68"/>
      <c r="L482" s="68"/>
      <c r="M482" s="69"/>
      <c r="O482" s="635"/>
      <c r="P482" s="629" t="s">
        <v>556</v>
      </c>
      <c r="Q482" s="630"/>
      <c r="R482" s="631"/>
      <c r="S482" s="632" t="str">
        <f>IF(OR(AD732=0,AD732=""),"",AD732)</f>
        <v/>
      </c>
      <c r="T482" s="642"/>
      <c r="U482" s="642"/>
      <c r="V482" s="642"/>
      <c r="W482" s="642"/>
      <c r="X482" s="642"/>
      <c r="Y482" s="634"/>
    </row>
    <row r="483" spans="1:25" ht="14.1" customHeight="1">
      <c r="A483" s="17">
        <v>51</v>
      </c>
      <c r="B483" s="67"/>
      <c r="C483" s="68"/>
      <c r="D483" s="68"/>
      <c r="E483" s="68"/>
      <c r="F483" s="68"/>
      <c r="G483" s="68"/>
      <c r="H483" s="68"/>
      <c r="I483" s="68"/>
      <c r="J483" s="68"/>
      <c r="K483" s="68"/>
      <c r="L483" s="68"/>
      <c r="M483" s="69"/>
      <c r="O483" s="644"/>
      <c r="P483" s="636" t="s">
        <v>555</v>
      </c>
      <c r="Q483" s="645"/>
      <c r="R483" s="646">
        <f>LEN(Q482)</f>
        <v>0</v>
      </c>
      <c r="S483" s="647"/>
      <c r="T483" s="648">
        <f>LEN(S482)</f>
        <v>0</v>
      </c>
      <c r="U483" s="649"/>
      <c r="V483" s="650"/>
      <c r="W483" s="650"/>
      <c r="X483" s="650"/>
      <c r="Y483" s="643"/>
    </row>
    <row r="484" spans="1:25" ht="14.1" customHeight="1">
      <c r="A484" s="17">
        <v>52</v>
      </c>
      <c r="B484" s="67"/>
      <c r="C484" s="68"/>
      <c r="D484" s="68"/>
      <c r="E484" s="68"/>
      <c r="F484" s="68"/>
      <c r="G484" s="68"/>
      <c r="H484" s="68"/>
      <c r="I484" s="68"/>
      <c r="J484" s="68"/>
      <c r="K484" s="68"/>
      <c r="L484" s="68"/>
      <c r="M484" s="69"/>
      <c r="O484" s="635"/>
      <c r="P484" s="629" t="s">
        <v>556</v>
      </c>
      <c r="Q484" s="630"/>
      <c r="R484" s="631"/>
      <c r="S484" s="632" t="str">
        <f>IF(OR(AD734=0,AD734=""),"",AD734)</f>
        <v/>
      </c>
      <c r="T484" s="642"/>
      <c r="U484" s="642"/>
      <c r="V484" s="642"/>
      <c r="W484" s="642"/>
      <c r="X484" s="642"/>
      <c r="Y484" s="634"/>
    </row>
    <row r="485" spans="1:25" ht="14.1" customHeight="1">
      <c r="A485" s="17">
        <v>53</v>
      </c>
      <c r="B485" s="67"/>
      <c r="C485" s="68"/>
      <c r="D485" s="68"/>
      <c r="E485" s="68"/>
      <c r="F485" s="68"/>
      <c r="G485" s="68"/>
      <c r="H485" s="68"/>
      <c r="I485" s="68"/>
      <c r="J485" s="68"/>
      <c r="K485" s="68"/>
      <c r="L485" s="68"/>
      <c r="M485" s="69"/>
      <c r="O485" s="635"/>
      <c r="P485" s="636" t="s">
        <v>555</v>
      </c>
      <c r="Q485" s="645"/>
      <c r="R485" s="646">
        <f>LEN(Q484)</f>
        <v>0</v>
      </c>
      <c r="S485" s="647"/>
      <c r="T485" s="648">
        <f>LEN(S484)</f>
        <v>0</v>
      </c>
      <c r="U485" s="649"/>
      <c r="V485" s="650"/>
      <c r="W485" s="650"/>
      <c r="X485" s="650"/>
      <c r="Y485" s="634"/>
    </row>
    <row r="486" spans="1:25" ht="14.1" customHeight="1">
      <c r="A486" s="17">
        <v>54</v>
      </c>
      <c r="B486" s="67"/>
      <c r="C486" s="68"/>
      <c r="D486" s="68"/>
      <c r="E486" s="68"/>
      <c r="F486" s="68"/>
      <c r="G486" s="68"/>
      <c r="H486" s="68"/>
      <c r="I486" s="68"/>
      <c r="J486" s="68"/>
      <c r="K486" s="68"/>
      <c r="L486" s="68"/>
      <c r="M486" s="69"/>
      <c r="O486" s="644"/>
      <c r="P486" s="629"/>
      <c r="Q486" s="653"/>
      <c r="R486" s="654"/>
      <c r="S486" s="655"/>
      <c r="T486" s="656"/>
      <c r="U486" s="656"/>
      <c r="V486" s="656"/>
      <c r="W486" s="656"/>
      <c r="X486" s="656"/>
      <c r="Y486" s="643"/>
    </row>
    <row r="487" spans="1:25" ht="14.1" customHeight="1">
      <c r="A487" s="17">
        <v>55</v>
      </c>
      <c r="B487" s="67"/>
      <c r="C487" s="68"/>
      <c r="D487" s="68"/>
      <c r="E487" s="68"/>
      <c r="F487" s="68"/>
      <c r="G487" s="68"/>
      <c r="H487" s="68"/>
      <c r="I487" s="68"/>
      <c r="J487" s="68"/>
      <c r="K487" s="68"/>
      <c r="L487" s="68"/>
      <c r="M487" s="69"/>
      <c r="O487" s="635"/>
      <c r="P487" s="636"/>
      <c r="Q487" s="659"/>
      <c r="R487" s="660"/>
      <c r="S487" s="660"/>
      <c r="T487" s="660"/>
      <c r="U487" s="661"/>
      <c r="V487" s="662"/>
      <c r="W487" s="662"/>
      <c r="X487" s="662"/>
      <c r="Y487" s="634"/>
    </row>
    <row r="488" spans="1:25" ht="14.1" customHeight="1">
      <c r="A488" s="17">
        <v>56</v>
      </c>
      <c r="B488" s="67"/>
      <c r="C488" s="68"/>
      <c r="D488" s="68"/>
      <c r="E488" s="68"/>
      <c r="F488" s="68"/>
      <c r="G488" s="68"/>
      <c r="H488" s="68"/>
      <c r="I488" s="68"/>
      <c r="J488" s="68"/>
      <c r="K488" s="68"/>
      <c r="L488" s="68"/>
      <c r="M488" s="69"/>
      <c r="O488" s="635"/>
      <c r="P488" s="663"/>
      <c r="Q488" s="664"/>
      <c r="R488" s="665"/>
      <c r="S488" s="666"/>
      <c r="T488" s="650"/>
      <c r="U488" s="650"/>
      <c r="V488" s="650"/>
      <c r="W488" s="650"/>
      <c r="X488" s="650"/>
      <c r="Y488" s="634"/>
    </row>
    <row r="489" spans="1:25" ht="14.1" customHeight="1">
      <c r="A489" s="17">
        <v>57</v>
      </c>
      <c r="B489" s="67"/>
      <c r="C489" s="68"/>
      <c r="D489" s="68"/>
      <c r="E489" s="68"/>
      <c r="F489" s="68"/>
      <c r="G489" s="68"/>
      <c r="H489" s="68"/>
      <c r="I489" s="68"/>
      <c r="J489" s="68"/>
      <c r="K489" s="68"/>
      <c r="L489" s="68"/>
      <c r="M489" s="69"/>
      <c r="O489" s="644"/>
      <c r="P489" s="668"/>
      <c r="Q489" s="668"/>
      <c r="R489" s="654"/>
      <c r="S489" s="656"/>
      <c r="T489" s="656"/>
      <c r="U489" s="656"/>
      <c r="V489" s="656"/>
      <c r="W489" s="656"/>
      <c r="X489" s="656"/>
      <c r="Y489" s="643"/>
    </row>
    <row r="490" spans="1:25" ht="14.1" customHeight="1">
      <c r="A490" s="17">
        <v>58</v>
      </c>
      <c r="B490" s="67"/>
      <c r="C490" s="68"/>
      <c r="D490" s="68"/>
      <c r="E490" s="68"/>
      <c r="F490" s="68"/>
      <c r="G490" s="68"/>
      <c r="H490" s="68"/>
      <c r="I490" s="68"/>
      <c r="J490" s="68"/>
      <c r="K490" s="68"/>
      <c r="L490" s="68"/>
      <c r="M490" s="69"/>
      <c r="O490" s="635"/>
      <c r="P490" s="668"/>
      <c r="Q490" s="668"/>
      <c r="R490" s="654"/>
      <c r="S490" s="662"/>
      <c r="T490" s="662"/>
      <c r="U490" s="662"/>
      <c r="V490" s="662"/>
      <c r="W490" s="662"/>
      <c r="X490" s="662"/>
      <c r="Y490" s="634"/>
    </row>
    <row r="491" spans="1:25" ht="14.1" customHeight="1">
      <c r="A491" s="17">
        <v>59</v>
      </c>
      <c r="B491" s="67"/>
      <c r="C491" s="68"/>
      <c r="D491" s="68"/>
      <c r="E491" s="68"/>
      <c r="F491" s="68"/>
      <c r="G491" s="68"/>
      <c r="H491" s="68"/>
      <c r="I491" s="68"/>
      <c r="J491" s="68"/>
      <c r="K491" s="68"/>
      <c r="L491" s="68"/>
      <c r="M491" s="69"/>
      <c r="O491" s="635"/>
      <c r="P491" s="668"/>
      <c r="Q491" s="668"/>
      <c r="R491" s="654"/>
      <c r="S491" s="662"/>
      <c r="T491" s="662"/>
      <c r="U491" s="662"/>
      <c r="V491" s="662"/>
      <c r="W491" s="662"/>
      <c r="X491" s="662"/>
      <c r="Y491" s="634"/>
    </row>
    <row r="492" spans="1:25" ht="14.1" customHeight="1">
      <c r="A492" s="17">
        <v>60</v>
      </c>
      <c r="B492" s="67"/>
      <c r="C492" s="68"/>
      <c r="D492" s="68"/>
      <c r="E492" s="68"/>
      <c r="F492" s="68"/>
      <c r="G492" s="68"/>
      <c r="H492" s="68"/>
      <c r="I492" s="68"/>
      <c r="J492" s="68"/>
      <c r="K492" s="68"/>
      <c r="L492" s="68"/>
      <c r="M492" s="69"/>
      <c r="O492" s="644"/>
      <c r="P492" s="668"/>
      <c r="Q492" s="668"/>
      <c r="R492" s="654"/>
      <c r="S492" s="670"/>
      <c r="T492" s="656"/>
      <c r="U492" s="656"/>
      <c r="V492" s="662"/>
      <c r="W492" s="662"/>
      <c r="X492" s="662"/>
      <c r="Y492" s="643"/>
    </row>
    <row r="493" spans="1:25" ht="14.1" customHeight="1">
      <c r="A493" s="17">
        <v>61</v>
      </c>
      <c r="B493" s="67"/>
      <c r="C493" s="68"/>
      <c r="D493" s="68"/>
      <c r="E493" s="68"/>
      <c r="F493" s="68"/>
      <c r="G493" s="68"/>
      <c r="H493" s="68"/>
      <c r="I493" s="68"/>
      <c r="J493" s="68"/>
      <c r="K493" s="68"/>
      <c r="L493" s="68"/>
      <c r="M493" s="69"/>
      <c r="O493" s="635"/>
      <c r="P493" s="668"/>
      <c r="Q493" s="668"/>
      <c r="R493" s="654"/>
      <c r="S493" s="662"/>
      <c r="T493" s="654"/>
      <c r="U493" s="662"/>
      <c r="V493" s="654"/>
      <c r="W493" s="662"/>
      <c r="X493" s="662"/>
      <c r="Y493" s="634"/>
    </row>
    <row r="494" spans="1:25" ht="14.1" customHeight="1">
      <c r="A494" s="17">
        <v>62</v>
      </c>
      <c r="B494" s="67"/>
      <c r="C494" s="68"/>
      <c r="D494" s="68"/>
      <c r="E494" s="68"/>
      <c r="F494" s="68"/>
      <c r="G494" s="68"/>
      <c r="H494" s="68"/>
      <c r="I494" s="68"/>
      <c r="J494" s="68"/>
      <c r="K494" s="68"/>
      <c r="L494" s="68"/>
      <c r="M494" s="69"/>
      <c r="O494" s="635"/>
      <c r="P494" s="668"/>
      <c r="Q494" s="668"/>
      <c r="R494" s="654"/>
      <c r="S494" s="662"/>
      <c r="T494" s="654"/>
      <c r="U494" s="662"/>
      <c r="V494" s="654"/>
      <c r="W494" s="662"/>
      <c r="X494" s="662"/>
      <c r="Y494" s="634"/>
    </row>
    <row r="495" spans="1:25" ht="14.1" customHeight="1">
      <c r="A495" s="17">
        <v>63</v>
      </c>
      <c r="B495" s="67"/>
      <c r="C495" s="68"/>
      <c r="D495" s="68"/>
      <c r="E495" s="68"/>
      <c r="F495" s="68"/>
      <c r="G495" s="68"/>
      <c r="H495" s="68"/>
      <c r="I495" s="68"/>
      <c r="J495" s="68"/>
      <c r="K495" s="68"/>
      <c r="L495" s="68"/>
      <c r="M495" s="69"/>
      <c r="O495" s="644"/>
      <c r="P495" s="668"/>
      <c r="Q495" s="668"/>
      <c r="R495" s="654"/>
      <c r="S495" s="662"/>
      <c r="T495" s="654"/>
      <c r="U495" s="662"/>
      <c r="V495" s="654"/>
      <c r="W495" s="662"/>
      <c r="X495" s="662"/>
      <c r="Y495" s="643"/>
    </row>
    <row r="496" spans="1:25" ht="14.1" customHeight="1" thickBot="1">
      <c r="A496" s="17">
        <v>64</v>
      </c>
      <c r="B496" s="67"/>
      <c r="C496" s="68"/>
      <c r="D496" s="68"/>
      <c r="E496" s="68"/>
      <c r="F496" s="68"/>
      <c r="G496" s="68"/>
      <c r="H496" s="68"/>
      <c r="I496" s="68"/>
      <c r="J496" s="68"/>
      <c r="K496" s="68"/>
      <c r="L496" s="68"/>
      <c r="M496" s="69"/>
      <c r="O496" s="671"/>
      <c r="P496" s="672"/>
      <c r="Q496" s="673"/>
      <c r="R496" s="674"/>
      <c r="S496" s="672"/>
      <c r="T496" s="672"/>
      <c r="U496" s="672"/>
      <c r="V496" s="672"/>
      <c r="W496" s="672"/>
      <c r="X496" s="672"/>
      <c r="Y496" s="675"/>
    </row>
    <row r="497" spans="1:13" ht="14.1" customHeight="1" thickTop="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5" t="str">
        <f>IF($P$7="","",$P$7)</f>
        <v/>
      </c>
      <c r="E503" s="27"/>
      <c r="F503" s="27"/>
      <c r="G503" s="27"/>
      <c r="H503" s="27"/>
      <c r="I503" s="27"/>
      <c r="J503" s="27"/>
      <c r="K503" s="27"/>
      <c r="L503" s="109" t="s">
        <v>12</v>
      </c>
      <c r="M503" s="376" t="str">
        <f>IF($X$7="","",$X$7)</f>
        <v>Eugene Mah</v>
      </c>
    </row>
    <row r="504" spans="1:13" ht="14.1" customHeight="1">
      <c r="A504" s="17">
        <v>72</v>
      </c>
      <c r="C504" s="109" t="s">
        <v>121</v>
      </c>
      <c r="D504" s="376" t="str">
        <f>IF($R$14="","",$R$14)</f>
        <v/>
      </c>
      <c r="E504" s="27"/>
      <c r="F504" s="27"/>
      <c r="G504" s="27"/>
      <c r="H504" s="27"/>
      <c r="I504" s="27"/>
      <c r="J504" s="27"/>
      <c r="K504" s="27"/>
      <c r="L504" s="109" t="s">
        <v>37</v>
      </c>
      <c r="M504" s="376" t="str">
        <f>IF($R$13="","",$R$13)</f>
        <v/>
      </c>
    </row>
  </sheetData>
  <mergeCells count="60">
    <mergeCell ref="P378:P383"/>
    <mergeCell ref="P384:P388"/>
    <mergeCell ref="Q194:S194"/>
    <mergeCell ref="U194:W194"/>
    <mergeCell ref="U245:W245"/>
    <mergeCell ref="S369:W369"/>
    <mergeCell ref="P371:P377"/>
    <mergeCell ref="P129:R130"/>
    <mergeCell ref="S129:U130"/>
    <mergeCell ref="V129:X130"/>
    <mergeCell ref="P173:S173"/>
    <mergeCell ref="Q182:S182"/>
    <mergeCell ref="U182:W182"/>
    <mergeCell ref="G36:I36"/>
    <mergeCell ref="L44:M44"/>
    <mergeCell ref="P121:R122"/>
    <mergeCell ref="V121:X122"/>
    <mergeCell ref="S121:U122"/>
    <mergeCell ref="F29:G29"/>
    <mergeCell ref="K29:L29"/>
    <mergeCell ref="F30:G30"/>
    <mergeCell ref="K30:L30"/>
    <mergeCell ref="D35:F35"/>
    <mergeCell ref="G35:I35"/>
    <mergeCell ref="J35:L35"/>
    <mergeCell ref="F25:G25"/>
    <mergeCell ref="F26:G26"/>
    <mergeCell ref="F28:G28"/>
    <mergeCell ref="K28:L28"/>
    <mergeCell ref="K27:L27"/>
    <mergeCell ref="F10:G10"/>
    <mergeCell ref="K10:L10"/>
    <mergeCell ref="F11:G11"/>
    <mergeCell ref="K11:L11"/>
    <mergeCell ref="F12:G12"/>
    <mergeCell ref="K12:L12"/>
    <mergeCell ref="F24:G24"/>
    <mergeCell ref="F13:G13"/>
    <mergeCell ref="K13:L13"/>
    <mergeCell ref="F16:G16"/>
    <mergeCell ref="K16:L16"/>
    <mergeCell ref="F17:G17"/>
    <mergeCell ref="K17:L17"/>
    <mergeCell ref="K24:L24"/>
    <mergeCell ref="Q420:S420"/>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s>
  <conditionalFormatting sqref="Q260:S260">
    <cfRule type="cellIs" dxfId="67" priority="104" stopIfTrue="1" operator="equal">
      <formula>"Fail"</formula>
    </cfRule>
  </conditionalFormatting>
  <conditionalFormatting sqref="Q392">
    <cfRule type="cellIs" dxfId="66" priority="106" stopIfTrue="1" operator="equal">
      <formula>"Fail"</formula>
    </cfRule>
  </conditionalFormatting>
  <conditionalFormatting sqref="Q407">
    <cfRule type="cellIs" dxfId="65" priority="108" stopIfTrue="1" operator="equal">
      <formula>"Fail"</formula>
    </cfRule>
  </conditionalFormatting>
  <conditionalFormatting sqref="Q260:S260">
    <cfRule type="cellIs" dxfId="64" priority="103" stopIfTrue="1" operator="equal">
      <formula>"Pass"</formula>
    </cfRule>
  </conditionalFormatting>
  <conditionalFormatting sqref="Q392">
    <cfRule type="cellIs" dxfId="63" priority="105" stopIfTrue="1" operator="equal">
      <formula>"Pass"</formula>
    </cfRule>
  </conditionalFormatting>
  <conditionalFormatting sqref="Q407">
    <cfRule type="cellIs" dxfId="62" priority="107" stopIfTrue="1" operator="equal">
      <formula>"Pass"</formula>
    </cfRule>
  </conditionalFormatting>
  <conditionalFormatting sqref="X371:X376 X378:X382 X384:X388">
    <cfRule type="cellIs" dxfId="61" priority="95" operator="lessThan">
      <formula>0.05</formula>
    </cfRule>
    <cfRule type="cellIs" dxfId="60" priority="98" operator="greaterThan">
      <formula>0.05</formula>
    </cfRule>
  </conditionalFormatting>
  <conditionalFormatting sqref="U218:U220">
    <cfRule type="cellIs" dxfId="59" priority="96" operator="lessThan">
      <formula>0.1</formula>
    </cfRule>
    <cfRule type="cellIs" dxfId="58" priority="97" operator="greaterThan">
      <formula>0.1</formula>
    </cfRule>
  </conditionalFormatting>
  <conditionalFormatting sqref="T462">
    <cfRule type="cellIs" dxfId="57" priority="93" operator="lessThan">
      <formula>2</formula>
    </cfRule>
    <cfRule type="cellIs" dxfId="56" priority="94" operator="greaterThan">
      <formula>2</formula>
    </cfRule>
  </conditionalFormatting>
  <conditionalFormatting sqref="T461">
    <cfRule type="cellIs" dxfId="55" priority="91" operator="lessThan">
      <formula>40</formula>
    </cfRule>
    <cfRule type="cellIs" dxfId="54" priority="92" operator="greaterThan">
      <formula>40</formula>
    </cfRule>
  </conditionalFormatting>
  <conditionalFormatting sqref="V461:V462">
    <cfRule type="cellIs" dxfId="53" priority="89" operator="greaterThan">
      <formula>0.15</formula>
    </cfRule>
    <cfRule type="cellIs" dxfId="52" priority="90" operator="lessThan">
      <formula>0.15</formula>
    </cfRule>
  </conditionalFormatting>
  <conditionalFormatting sqref="X237:Y237">
    <cfRule type="cellIs" dxfId="51" priority="87" operator="lessThan">
      <formula>0.15</formula>
    </cfRule>
    <cfRule type="cellIs" dxfId="50" priority="88" operator="greaterThan">
      <formula>0.15</formula>
    </cfRule>
  </conditionalFormatting>
  <conditionalFormatting sqref="P239:V239">
    <cfRule type="cellIs" dxfId="49" priority="85" operator="lessThan">
      <formula>0.05</formula>
    </cfRule>
    <cfRule type="cellIs" dxfId="48" priority="86" operator="greaterThan">
      <formula>0.05</formula>
    </cfRule>
  </conditionalFormatting>
  <conditionalFormatting sqref="X220">
    <cfRule type="cellIs" dxfId="47" priority="83" operator="lessThan">
      <formula>0.05</formula>
    </cfRule>
    <cfRule type="cellIs" dxfId="46" priority="84" operator="greaterThan">
      <formula>0.05</formula>
    </cfRule>
  </conditionalFormatting>
  <conditionalFormatting sqref="Q188:S189 U188:W189">
    <cfRule type="cellIs" dxfId="45" priority="81" operator="lessThan">
      <formula>13</formula>
    </cfRule>
    <cfRule type="cellIs" dxfId="44" priority="82" operator="greaterThan">
      <formula>13</formula>
    </cfRule>
  </conditionalFormatting>
  <conditionalFormatting sqref="Q200:S200 U200:W200">
    <cfRule type="cellIs" dxfId="43" priority="79" operator="lessThan">
      <formula>6.5</formula>
    </cfRule>
    <cfRule type="cellIs" dxfId="42" priority="80" operator="greaterThan">
      <formula>6.5</formula>
    </cfRule>
  </conditionalFormatting>
  <conditionalFormatting sqref="Q201:S201 U201:W201">
    <cfRule type="cellIs" dxfId="41" priority="77" operator="lessThan">
      <formula>5</formula>
    </cfRule>
    <cfRule type="cellIs" dxfId="40" priority="78" operator="greaterThan">
      <formula>5</formula>
    </cfRule>
  </conditionalFormatting>
  <conditionalFormatting sqref="X265">
    <cfRule type="cellIs" dxfId="39" priority="73" operator="lessThan">
      <formula>3</formula>
    </cfRule>
    <cfRule type="cellIs" dxfId="38" priority="74" operator="greaterThan">
      <formula>3</formula>
    </cfRule>
  </conditionalFormatting>
  <conditionalFormatting sqref="X269">
    <cfRule type="cellIs" dxfId="37" priority="72" operator="between">
      <formula>-0.15</formula>
      <formula>0.15</formula>
    </cfRule>
  </conditionalFormatting>
  <conditionalFormatting sqref="P401:S401">
    <cfRule type="cellIs" dxfId="36" priority="69" operator="greaterThan">
      <formula>0.02</formula>
    </cfRule>
    <cfRule type="cellIs" dxfId="35" priority="70" operator="lessThan">
      <formula>0.02</formula>
    </cfRule>
  </conditionalFormatting>
  <conditionalFormatting sqref="Q211:R211">
    <cfRule type="containsText" dxfId="34" priority="60" operator="containsText" text="Fail">
      <formula>NOT(ISERROR(SEARCH("Fail",Q211)))</formula>
    </cfRule>
    <cfRule type="containsText" dxfId="33" priority="61" operator="containsText" text="Pass">
      <formula>NOT(ISERROR(SEARCH("Pass",Q211)))</formula>
    </cfRule>
  </conditionalFormatting>
  <conditionalFormatting sqref="V392">
    <cfRule type="cellIs" dxfId="32" priority="59" stopIfTrue="1" operator="equal">
      <formula>"Fail"</formula>
    </cfRule>
  </conditionalFormatting>
  <conditionalFormatting sqref="V392">
    <cfRule type="cellIs" dxfId="31" priority="58" stopIfTrue="1" operator="equal">
      <formula>"Pass"</formula>
    </cfRule>
  </conditionalFormatting>
  <conditionalFormatting sqref="U401:X401">
    <cfRule type="cellIs" dxfId="30" priority="56" operator="greaterThan">
      <formula>0.02</formula>
    </cfRule>
    <cfRule type="cellIs" dxfId="29" priority="57" operator="lessThan">
      <formula>0.02</formula>
    </cfRule>
  </conditionalFormatting>
  <conditionalFormatting sqref="T399">
    <cfRule type="cellIs" dxfId="28" priority="54" operator="lessThan">
      <formula>7</formula>
    </cfRule>
    <cfRule type="cellIs" dxfId="27" priority="55" operator="greaterThan">
      <formula>7</formula>
    </cfRule>
  </conditionalFormatting>
  <conditionalFormatting sqref="Y399">
    <cfRule type="cellIs" dxfId="26" priority="52" operator="lessThan">
      <formula>2</formula>
    </cfRule>
    <cfRule type="cellIs" dxfId="25" priority="53" operator="greaterThan">
      <formula>2</formula>
    </cfRule>
  </conditionalFormatting>
  <conditionalFormatting sqref="U247:W251">
    <cfRule type="cellIs" dxfId="24" priority="51" operator="greaterThan">
      <formula>0.07</formula>
    </cfRule>
  </conditionalFormatting>
  <conditionalFormatting sqref="J343">
    <cfRule type="cellIs" dxfId="23" priority="40" stopIfTrue="1" operator="equal">
      <formula>"Fail"</formula>
    </cfRule>
  </conditionalFormatting>
  <conditionalFormatting sqref="J343">
    <cfRule type="cellIs" dxfId="22" priority="39" stopIfTrue="1" operator="equal">
      <formula>"Pass"</formula>
    </cfRule>
  </conditionalFormatting>
  <conditionalFormatting sqref="E343">
    <cfRule type="cellIs" dxfId="21" priority="42" stopIfTrue="1" operator="equal">
      <formula>"Fail"</formula>
    </cfRule>
  </conditionalFormatting>
  <conditionalFormatting sqref="E343">
    <cfRule type="cellIs" dxfId="20" priority="41" stopIfTrue="1" operator="equal">
      <formula>"Pass"</formula>
    </cfRule>
  </conditionalFormatting>
  <conditionalFormatting sqref="R147:R154">
    <cfRule type="cellIs" dxfId="19" priority="37" operator="lessThan">
      <formula>0.5</formula>
    </cfRule>
    <cfRule type="cellIs" dxfId="18" priority="38" operator="greaterThan">
      <formula>0.5</formula>
    </cfRule>
  </conditionalFormatting>
  <conditionalFormatting sqref="Q254:S254">
    <cfRule type="cellIs" dxfId="17" priority="35" operator="lessThan">
      <formula>0.07</formula>
    </cfRule>
    <cfRule type="cellIs" dxfId="16" priority="36" operator="greaterThan">
      <formula>0.07</formula>
    </cfRule>
  </conditionalFormatting>
  <conditionalFormatting sqref="X377">
    <cfRule type="cellIs" dxfId="15" priority="33" operator="lessThan">
      <formula>0.05</formula>
    </cfRule>
    <cfRule type="cellIs" dxfId="14" priority="34" operator="greaterThan">
      <formula>0.05</formula>
    </cfRule>
  </conditionalFormatting>
  <conditionalFormatting sqref="X383">
    <cfRule type="cellIs" dxfId="13" priority="31" operator="lessThan">
      <formula>0.05</formula>
    </cfRule>
    <cfRule type="cellIs" dxfId="12" priority="32" operator="greaterThan">
      <formula>0.05</formula>
    </cfRule>
  </conditionalFormatting>
  <conditionalFormatting sqref="R349:R350 U349:U350 X349:X350">
    <cfRule type="containsText" dxfId="11" priority="29" operator="containsText" text="Fail">
      <formula>NOT(ISERROR(SEARCH("Fail",R349)))</formula>
    </cfRule>
  </conditionalFormatting>
  <conditionalFormatting sqref="R349:R350 U349:U350 X349:X350">
    <cfRule type="containsText" dxfId="10" priority="28" operator="containsText" text="Pass">
      <formula>NOT(ISERROR(SEARCH("Pass",R349)))</formula>
    </cfRule>
  </conditionalFormatting>
  <conditionalFormatting sqref="R313:R315">
    <cfRule type="containsText" dxfId="9" priority="26" operator="containsText" text="Fail">
      <formula>NOT(ISERROR(SEARCH("Fail",R313)))</formula>
    </cfRule>
    <cfRule type="containsText" dxfId="8" priority="27" operator="containsText" text="Pass">
      <formula>NOT(ISERROR(SEARCH("Pass",R313)))</formula>
    </cfRule>
  </conditionalFormatting>
  <conditionalFormatting sqref="V274:V276">
    <cfRule type="containsText" dxfId="7" priority="24" operator="containsText" text="Pass">
      <formula>NOT(ISERROR(SEARCH("Pass",V274)))</formula>
    </cfRule>
    <cfRule type="containsText" dxfId="6" priority="25" operator="containsText" text="Fail">
      <formula>NOT(ISERROR(SEARCH("Fail",V274)))</formula>
    </cfRule>
  </conditionalFormatting>
  <conditionalFormatting sqref="X288">
    <cfRule type="cellIs" dxfId="5" priority="19" operator="between">
      <formula>-0.15</formula>
      <formula>0.15</formula>
    </cfRule>
  </conditionalFormatting>
  <conditionalFormatting sqref="X284">
    <cfRule type="cellIs" dxfId="4" priority="17" operator="lessThan">
      <formula>3</formula>
    </cfRule>
    <cfRule type="cellIs" dxfId="3" priority="18" operator="greaterThan">
      <formula>3</formula>
    </cfRule>
  </conditionalFormatting>
  <conditionalFormatting sqref="X299">
    <cfRule type="cellIs" dxfId="2" priority="14" operator="between">
      <formula>-0.15</formula>
      <formula>0.15</formula>
    </cfRule>
  </conditionalFormatting>
  <conditionalFormatting sqref="X295">
    <cfRule type="cellIs" dxfId="1" priority="12" operator="lessThan">
      <formula>3</formula>
    </cfRule>
    <cfRule type="cellIs" dxfId="0" priority="13" operator="greaterThan">
      <formula>3</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heetViews>
  <sheetFormatPr defaultRowHeight="14.25"/>
  <cols>
    <col min="1" max="16384" width="9" style="743"/>
  </cols>
  <sheetData>
    <row r="1" spans="1:23">
      <c r="A1" s="742">
        <f>Sheet1!AH10</f>
        <v>24</v>
      </c>
      <c r="B1" s="743" t="s">
        <v>25</v>
      </c>
      <c r="I1" s="742">
        <f>Sheet1!AH57</f>
        <v>28</v>
      </c>
      <c r="J1" s="743" t="s">
        <v>25</v>
      </c>
      <c r="Q1" s="742">
        <f>Sheet1!AH91</f>
        <v>28</v>
      </c>
      <c r="R1" s="743" t="s">
        <v>25</v>
      </c>
    </row>
    <row r="2" spans="1:23" ht="15" thickBot="1">
      <c r="A2" s="743" t="s">
        <v>576</v>
      </c>
      <c r="B2" s="743" t="s">
        <v>577</v>
      </c>
      <c r="C2" s="743" t="s">
        <v>578</v>
      </c>
      <c r="D2" s="743" t="s">
        <v>579</v>
      </c>
      <c r="E2" s="743" t="s">
        <v>25</v>
      </c>
      <c r="G2" s="743" t="str">
        <f>IF(E3&lt;&gt;"","HVL @ "&amp;ROUND(E3,2)&amp;" kVp","HVL @ "&amp;A1&amp;" kVp")</f>
        <v>HVL @ 24 kVp</v>
      </c>
      <c r="I2" s="743" t="s">
        <v>576</v>
      </c>
      <c r="J2" s="743" t="s">
        <v>577</v>
      </c>
      <c r="K2" s="743" t="s">
        <v>578</v>
      </c>
      <c r="L2" s="743" t="s">
        <v>579</v>
      </c>
      <c r="M2" s="743" t="s">
        <v>25</v>
      </c>
      <c r="O2" s="743" t="str">
        <f>IF(M3&lt;&gt;"","HVL @ "&amp;ROUND(M3,2)&amp;" kVp","HVL @ "&amp;I1&amp;" kVp")</f>
        <v>HVL @ 28 kVp</v>
      </c>
      <c r="Q2" s="743" t="s">
        <v>576</v>
      </c>
      <c r="R2" s="743" t="s">
        <v>577</v>
      </c>
      <c r="S2" s="743" t="s">
        <v>578</v>
      </c>
      <c r="T2" s="743" t="s">
        <v>579</v>
      </c>
      <c r="U2" s="743" t="s">
        <v>25</v>
      </c>
      <c r="W2" s="743" t="str">
        <f>IF(U3&lt;&gt;"","HVL @ "&amp;ROUND(U3,2)&amp;" kVp","HVL @ "&amp;Q1&amp;" kVp")</f>
        <v>HVL @ 28 kVp</v>
      </c>
    </row>
    <row r="3" spans="1:23" ht="15" thickBot="1">
      <c r="A3" s="744">
        <f>Sheet1!AJ10</f>
        <v>0</v>
      </c>
      <c r="B3" s="744" t="str">
        <f>IF(MIN(Sheet1!AO10:AO11)=0,"",AVERAGE(Sheet1!AO10:AO11))</f>
        <v/>
      </c>
      <c r="C3" s="744" t="str">
        <f>IF(B3="","",ABS(B3-B3/2))</f>
        <v/>
      </c>
      <c r="D3" s="744" t="str">
        <f>IF(OR(B3="",B4=""),"",IF(ABS(B3-B3/2)=SMALL(C3:C6,1),A3,IF(ABS(B4-B3/2)=SMALL(C3:C6,1),A4,IF(ABS(B5-B3/2)=SMALL(C3:C6,1),A5,IF(ABS(B6-B3/2)=SMALL(C3:C6,1),A6,"")))))</f>
        <v/>
      </c>
      <c r="E3" s="744" t="str">
        <f>IF(OR(Sheet1!AM10="",Sheet1!AM11=""),"",AVERAGE(Sheet1!AM10:AM11))</f>
        <v/>
      </c>
      <c r="G3" s="745" t="str">
        <f>IF(OR(MIN(D3:D4)=0,MIN(D7:D8)=0),"",TREND(D3:D4,E7:E8,LN(B3/2)))</f>
        <v/>
      </c>
      <c r="I3" s="744">
        <f>Sheet1!AJ57</f>
        <v>0</v>
      </c>
      <c r="J3" s="744" t="str">
        <f>IF(MIN(Sheet1!AO57:AO58)=0,"",AVERAGE(Sheet1!AO57:AO58))</f>
        <v/>
      </c>
      <c r="K3" s="744" t="str">
        <f>IF(J3="","",ABS(J3-J3/2))</f>
        <v/>
      </c>
      <c r="L3" s="744" t="str">
        <f>IF(OR(J3="",J4=""),"",IF(ABS(J3-J3/2)=SMALL(K3:K6,1),I3,IF(ABS(J4-J3/2)=SMALL(K3:K6,1),I4,IF(ABS(J5-J3/2)=SMALL(K3:K6,1),I5,IF(ABS(J6-J3/2)=SMALL(K3:K6,1),I6,"")))))</f>
        <v/>
      </c>
      <c r="M3" s="744" t="str">
        <f>IF(OR(Sheet1!AM57="",Sheet1!AM58=""),"",AVERAGE(Sheet1!AM57:AM58))</f>
        <v/>
      </c>
      <c r="O3" s="745" t="str">
        <f>IF(OR(MIN(L3:L4)=0,MIN(L7:L8)=0),"",TREND(L3:L4,M7:M8,LN(J3/2)))</f>
        <v/>
      </c>
      <c r="Q3" s="744">
        <f>Sheet1!AJ91</f>
        <v>0</v>
      </c>
      <c r="R3" s="744" t="str">
        <f>IF(MIN(Sheet1!AO91:AO94)=0,"",AVERAGE(Sheet1!AO91:AO94))</f>
        <v/>
      </c>
      <c r="S3" s="744" t="str">
        <f>IF(R3="","",ABS(R3-R3/2))</f>
        <v/>
      </c>
      <c r="T3" s="744" t="str">
        <f>IF(OR(R3="",R4="",R5=""),"",IF(ABS(R3-R3/2)=SMALL(S3:S6,1),Q3,IF(ABS(R4-R3/2)=SMALL(S3:S6,1),Q4,IF(ABS(R5-R3/2)=SMALL(S3:S6,1),Q5,IF(ABS(R6-R3/2)=SMALL(S3:S6,1),Q6,"")))))</f>
        <v/>
      </c>
      <c r="U3" s="744" t="str">
        <f>IF(OR(Sheet1!AM91="",Sheet1!AM92=""),"",AVERAGE(Sheet1!AM91:AM94))</f>
        <v/>
      </c>
      <c r="W3" s="745" t="str">
        <f>IF(OR(MIN(T3:T4)=0,MIN(T7:T8)=0),"",TREND(T3:T4,U7:U8,LN(R3/2)))</f>
        <v/>
      </c>
    </row>
    <row r="4" spans="1:23">
      <c r="A4" s="744">
        <f>Sheet1!AJ12</f>
        <v>0.3</v>
      </c>
      <c r="B4" s="744" t="str">
        <f>IF(MIN(Sheet1!AO12:AO13)=0,"",AVERAGE(Sheet1!AO12:AO13))</f>
        <v/>
      </c>
      <c r="C4" s="744" t="str">
        <f>IF(B4="","",ABS(B4-B3/2))</f>
        <v/>
      </c>
      <c r="D4" s="744" t="str">
        <f>IF(OR(B3="",B4=""),"",IF(ABS(B3-B3/2)=SMALL(C3:C6,2),A3,IF(ABS(B4-B3/2)=SMALL(C3:C6,2),A4,IF(ABS(B5-B3/2)=SMALL(C3:C6,2),A5,IF(ABS(B6-B3/2)=SMALL(C3:C6,2),A6,"")))))</f>
        <v/>
      </c>
      <c r="I4" s="744">
        <f>Sheet1!AJ59</f>
        <v>0.4</v>
      </c>
      <c r="J4" s="744" t="str">
        <f>IF(MIN(Sheet1!AO59:AO60)=0,"",AVERAGE(Sheet1!AO59:AO60))</f>
        <v/>
      </c>
      <c r="K4" s="744" t="str">
        <f>IF(J4="","",ABS(J4-J3/2))</f>
        <v/>
      </c>
      <c r="L4" s="744" t="str">
        <f>IF(OR(J3="",J4=""),"",IF(ABS(J3-J3/2)=SMALL(K3:K6,2),I3,IF(ABS(J4-J3/2)=SMALL(K3:K6,2),I4,IF(ABS(J5-J3/2)=SMALL(K3:K6,2),I5,IF(ABS(J6-J3/2)=SMALL(K3:K6,2),I6,"")))))</f>
        <v/>
      </c>
      <c r="Q4" s="744">
        <f>Sheet1!AJ95</f>
        <v>0.5</v>
      </c>
      <c r="R4" s="744" t="str">
        <f>IF(MIN(Sheet1!AO95:AO96)=0,"",AVERAGE(Sheet1!AO95:AO96))</f>
        <v/>
      </c>
      <c r="S4" s="744" t="str">
        <f>IF(R4="","",ABS(R4-R3/2))</f>
        <v/>
      </c>
      <c r="T4" s="744" t="str">
        <f>IF(OR(R3="",R4=""),"",IF(ABS(R3-R3/2)=SMALL(S3:S6,2),Q3,IF(ABS(R4-R3/2)=SMALL(S3:S6,2),Q4,IF(ABS(R5-R3/2)=SMALL(S3:S6,2),Q5,IF(ABS(R6-R3/2)=SMALL(S3:S6,2),Q6,"")))))</f>
        <v/>
      </c>
    </row>
    <row r="5" spans="1:23">
      <c r="A5" s="744" t="str">
        <f>IF(AND(Sheet1!AM14="",Sheet1!AM16=""),"",IF(Sheet1!AM14&lt;&gt;"",Sheet1!AJ14,Sheet1!AJ16))</f>
        <v/>
      </c>
      <c r="B5" s="744" t="str">
        <f>IF(AND(Sheet1!AM14="",Sheet1!AM16=""),"",IF(Sheet1!AM14&lt;&gt;"",AVERAGE(Sheet1!AO14:AO15),AVERAGE(Sheet1!AO16:AO17)))</f>
        <v/>
      </c>
      <c r="C5" s="744" t="str">
        <f>IF(B5="","",ABS(B5-B3/2))</f>
        <v/>
      </c>
      <c r="I5" s="744" t="str">
        <f>IF(AND(Sheet1!AM61="",Sheet1!AM63=""),"",IF(Sheet1!AM61&lt;&gt;"",Sheet1!AJ61,Sheet1!AJ63))</f>
        <v/>
      </c>
      <c r="J5" s="744" t="str">
        <f>IF(AND(Sheet1!AM61="",Sheet1!AM63=""),"",IF(Sheet1!AM61&lt;&gt;"",AVERAGE(Sheet1!AO61:AO62),AVERAGE(Sheet1!AO63:AO64)))</f>
        <v/>
      </c>
      <c r="K5" s="744" t="str">
        <f>IF(J5="","",ABS(J5-J3/2))</f>
        <v/>
      </c>
      <c r="Q5" s="744" t="str">
        <f>IF(AND(Sheet1!AM97="",Sheet1!AM99=""),"",IF(Sheet1!AM97&lt;&gt;"",Sheet1!AJ97,Sheet1!AJ99))</f>
        <v/>
      </c>
      <c r="R5" s="744" t="str">
        <f>IF(AND(Sheet1!AM97="",Sheet1!AM99=""),"",IF(Sheet1!AM97&lt;&gt;"",AVERAGE(Sheet1!AO97:AO98),AVERAGE(Sheet1!AO99:AO100)))</f>
        <v/>
      </c>
      <c r="S5" s="744" t="str">
        <f>IF(R5="","",ABS(R5-R3/2))</f>
        <v/>
      </c>
    </row>
    <row r="6" spans="1:23">
      <c r="A6" s="744" t="str">
        <f>IF(OR(Sheet1!AM16="",AND(Sheet1!AM14="",Sheet1!AM16&lt;&gt;"")),"",Sheet1!AJ16)</f>
        <v/>
      </c>
      <c r="B6" s="744" t="str">
        <f>IF(OR(Sheet1!AM16="",AND(Sheet1!AM14="",Sheet1!AM16&lt;&gt;"")),"",AVERAGE(Sheet1!AO16:AO17))</f>
        <v/>
      </c>
      <c r="C6" s="744" t="str">
        <f>IF(B6="","",ABS(B6-B3/2))</f>
        <v/>
      </c>
      <c r="D6" s="743" t="s">
        <v>580</v>
      </c>
      <c r="E6" s="743" t="s">
        <v>581</v>
      </c>
      <c r="I6" s="744" t="str">
        <f>IF(OR(Sheet1!AM63="",AND(Sheet1!AM61="",Sheet1!AM63&lt;&gt;"")),"",Sheet1!AJ63)</f>
        <v/>
      </c>
      <c r="J6" s="744" t="str">
        <f>IF(OR(Sheet1!AM63="",AND(Sheet1!AM61="",Sheet1!AM63&lt;&gt;"")),"",AVERAGE(Sheet1!AO63:AO64))</f>
        <v/>
      </c>
      <c r="K6" s="744" t="str">
        <f>IF(J6="","",ABS(J6-J3/2))</f>
        <v/>
      </c>
      <c r="L6" s="743" t="s">
        <v>580</v>
      </c>
      <c r="M6" s="743" t="s">
        <v>581</v>
      </c>
      <c r="Q6" s="744" t="str">
        <f>IF(OR(Sheet1!AM99="",AND(Sheet1!AM97="",Sheet1!AM99&lt;&gt;"")),"",Sheet1!AJ99)</f>
        <v/>
      </c>
      <c r="R6" s="744" t="str">
        <f>IF(OR(Sheet1!AM99="",AND(Sheet1!AM97="",Sheet1!AM99&lt;&gt;"")),"",AVERAGE(Sheet1!AO99:AO100))</f>
        <v/>
      </c>
      <c r="S6" s="744" t="str">
        <f>IF(R6="","",ABS(R6-R3/2))</f>
        <v/>
      </c>
      <c r="T6" s="743" t="s">
        <v>580</v>
      </c>
      <c r="U6" s="743" t="s">
        <v>581</v>
      </c>
    </row>
    <row r="7" spans="1:23">
      <c r="A7" s="744" t="str">
        <f>G3</f>
        <v/>
      </c>
      <c r="B7" s="744" t="str">
        <f>IF(G3="","",EXP(TREND(E7:E8,D3:D4,A7)))</f>
        <v/>
      </c>
      <c r="D7" s="744" t="str">
        <f>IF(OR(B3="",B4=""),"",IF(A3=D3,B3,IF(A4=D3,B4,IF(A5=D3,B5,IF(A6=D3,B6)))))</f>
        <v/>
      </c>
      <c r="E7" s="744" t="str">
        <f>IF(D7="","",LN(D7))</f>
        <v/>
      </c>
      <c r="I7" s="744" t="str">
        <f>O3</f>
        <v/>
      </c>
      <c r="J7" s="744" t="str">
        <f>IF(O3="","",EXP(TREND(M7:M8,L3:L4,I7)))</f>
        <v/>
      </c>
      <c r="L7" s="744" t="str">
        <f>IF(OR(J3="",J4=""),"",IF(I3=L3,J3,IF(I4=L3,J4,IF(I5=L3,J5,IF(I6=L3,J6)))))</f>
        <v/>
      </c>
      <c r="M7" s="744" t="str">
        <f>IF(L7="","",LN(L7))</f>
        <v/>
      </c>
      <c r="Q7" s="744" t="str">
        <f>W3</f>
        <v/>
      </c>
      <c r="R7" s="744" t="str">
        <f>IF(W3="","",EXP(TREND(U7:U8,T3:T4,Q7)))</f>
        <v/>
      </c>
      <c r="T7" s="744" t="str">
        <f>IF(OR(R3="",R4=""),"",IF(Q3=T3,R3,IF(Q4=T3,R4,IF(Q5=T3,R5,IF(Q6=T3,R6)))))</f>
        <v/>
      </c>
      <c r="U7" s="744" t="str">
        <f>IF(T7="","",LN(T7))</f>
        <v/>
      </c>
    </row>
    <row r="8" spans="1:23">
      <c r="D8" s="744" t="str">
        <f>IF(OR(B3="",B4=""),"",IF(A3=D4,B3,IF(A4=D4,B4,IF(A5=D4,B5,IF(A6=D4,B6)))))</f>
        <v/>
      </c>
      <c r="E8" s="744" t="str">
        <f>IF(D8="","",LN(D8))</f>
        <v/>
      </c>
      <c r="L8" s="744" t="str">
        <f>IF(OR(J3="",J4=""),"",IF(I3=L4,J3,IF(I4=L4,J4,IF(I5=L4,J5,IF(I6=L4,J6)))))</f>
        <v/>
      </c>
      <c r="M8" s="744" t="str">
        <f>IF(L8="","",LN(L8))</f>
        <v/>
      </c>
      <c r="T8" s="744" t="str">
        <f>IF(OR(R3="",R4=""),"",IF(Q3=T4,R3,IF(Q4=T4,R4,IF(Q5=T4,R5,IF(Q6=T4,R6)))))</f>
        <v/>
      </c>
      <c r="U8" s="744" t="str">
        <f>IF(T8="","",LN(T8))</f>
        <v/>
      </c>
    </row>
    <row r="9" spans="1:23">
      <c r="A9" s="742">
        <f>Sheet1!AH18</f>
        <v>25</v>
      </c>
      <c r="B9" s="743" t="s">
        <v>25</v>
      </c>
      <c r="I9" s="742">
        <f>Sheet1!AH65</f>
        <v>30</v>
      </c>
      <c r="J9" s="743" t="s">
        <v>25</v>
      </c>
      <c r="Q9" s="742">
        <f>Sheet1!AH101</f>
        <v>30</v>
      </c>
      <c r="R9" s="743" t="s">
        <v>25</v>
      </c>
    </row>
    <row r="10" spans="1:23" ht="15" thickBot="1">
      <c r="A10" s="743" t="s">
        <v>576</v>
      </c>
      <c r="B10" s="743" t="s">
        <v>577</v>
      </c>
      <c r="C10" s="743" t="s">
        <v>578</v>
      </c>
      <c r="D10" s="743" t="s">
        <v>579</v>
      </c>
      <c r="E10" s="743" t="s">
        <v>25</v>
      </c>
      <c r="G10" s="743" t="str">
        <f>IF(E11&lt;&gt;"","HVL @ "&amp;ROUND(E11,2)&amp;" kVp","HVL @ "&amp;A9&amp;" kVp")</f>
        <v>HVL @ 25 kVp</v>
      </c>
      <c r="I10" s="743" t="s">
        <v>576</v>
      </c>
      <c r="J10" s="743" t="s">
        <v>577</v>
      </c>
      <c r="K10" s="743" t="s">
        <v>578</v>
      </c>
      <c r="L10" s="743" t="s">
        <v>579</v>
      </c>
      <c r="M10" s="743" t="s">
        <v>25</v>
      </c>
      <c r="O10" s="743" t="str">
        <f>IF(M11&lt;&gt;"","HVL @ "&amp;ROUND(M11,2)&amp;" kVp","HVL @ "&amp;I9&amp;" kVp")</f>
        <v>HVL @ 30 kVp</v>
      </c>
      <c r="Q10" s="743" t="s">
        <v>576</v>
      </c>
      <c r="R10" s="743" t="s">
        <v>577</v>
      </c>
      <c r="S10" s="743" t="s">
        <v>578</v>
      </c>
      <c r="T10" s="743" t="s">
        <v>579</v>
      </c>
      <c r="U10" s="743" t="s">
        <v>25</v>
      </c>
      <c r="W10" s="743" t="str">
        <f>IF(U11&lt;&gt;"","HVL @ "&amp;ROUND(U11,2)&amp;" kVp","HVL @ "&amp;Q9&amp;" kVp")</f>
        <v>HVL @ 30 kVp</v>
      </c>
    </row>
    <row r="11" spans="1:23" ht="15" thickBot="1">
      <c r="A11" s="744">
        <f>Sheet1!AJ18</f>
        <v>0</v>
      </c>
      <c r="B11" s="744" t="str">
        <f>IF(MIN(Sheet1!AO18:AO19)=0,"",AVERAGE(Sheet1!AO18:AO19))</f>
        <v/>
      </c>
      <c r="C11" s="744" t="str">
        <f>IF(B11="","",ABS(B11-B11/2))</f>
        <v/>
      </c>
      <c r="D11" s="744" t="str">
        <f>IF(OR(B11="",B12=""),"",IF(ABS(B11-B11/2)=SMALL(C11:C14,1),A11,IF(ABS(B12-B11/2)=SMALL(C11:C14,1),A12,IF(ABS(B13-B11/2)=SMALL(C11:C14,1),A13,IF(ABS(B14-B11/2)=SMALL(C11:C14,1),A14,"")))))</f>
        <v/>
      </c>
      <c r="E11" s="744" t="str">
        <f>IF(OR(Sheet1!AM18="",Sheet1!AM19=""),"",AVERAGE(Sheet1!AM18:AM19))</f>
        <v/>
      </c>
      <c r="G11" s="745" t="str">
        <f>IF(OR(MIN(D11:D12)=0,MIN(D15:D16)=0),"",TREND(D11:D12,E15:E16,LN(B11/2)))</f>
        <v/>
      </c>
      <c r="I11" s="744">
        <f>Sheet1!AJ65</f>
        <v>0</v>
      </c>
      <c r="J11" s="744" t="str">
        <f>IF(MIN(Sheet1!AO65:AO66)=0,"",AVERAGE(Sheet1!AO65:AO66))</f>
        <v/>
      </c>
      <c r="K11" s="744" t="str">
        <f>IF(J11="","",ABS(J11-J11/2))</f>
        <v/>
      </c>
      <c r="L11" s="744" t="str">
        <f>IF(OR(J11="",J12=""),"",IF(ABS(J11-J11/2)=SMALL(K11:K14,1),I11,IF(ABS(J12-J11/2)=SMALL(K11:K14,1),I12,IF(ABS(J13-J11/2)=SMALL(K11:K14,1),I13,IF(ABS(J14-J11/2)=SMALL(K11:K14,1),I14,"")))))</f>
        <v/>
      </c>
      <c r="M11" s="744" t="str">
        <f>IF(OR(Sheet1!AM65="",Sheet1!AM66=""),"",AVERAGE(Sheet1!AM65:AM66))</f>
        <v/>
      </c>
      <c r="O11" s="745" t="str">
        <f>IF(OR(MIN(L11:L12)=0,MIN(L15:L16)=0),"",TREND(L11:L12,M15:M16,LN(J11/2)))</f>
        <v/>
      </c>
      <c r="Q11" s="744">
        <f>Sheet1!AJ101</f>
        <v>0</v>
      </c>
      <c r="R11" s="744" t="str">
        <f>IF(MIN(Sheet1!AO101:AO102)=0,"",AVERAGE(Sheet1!AO101:AO102))</f>
        <v/>
      </c>
      <c r="S11" s="744" t="str">
        <f>IF(R11="","",ABS(R11-R11/2))</f>
        <v/>
      </c>
      <c r="T11" s="744" t="str">
        <f>IF(OR(R11="",R12=""),"",IF(ABS(R11-R11/2)=SMALL(S11:S14,1),Q11,IF(ABS(R12-R11/2)=SMALL(S11:S14,1),Q12,IF(ABS(R13-R11/2)=SMALL(S11:S14,1),Q13,IF(ABS(R14-R11/2)=SMALL(S11:S14,1),Q14,"")))))</f>
        <v/>
      </c>
      <c r="U11" s="744" t="str">
        <f>IF(OR(Sheet1!AM101="",Sheet1!AM102=""),"",AVERAGE(Sheet1!AM101:AM102))</f>
        <v/>
      </c>
      <c r="W11" s="745" t="str">
        <f>IF(OR(MIN(T11:T12)=0,MIN(T15:T16)=0),"",TREND(T11:T12,U15:U16,LN(R11/2)))</f>
        <v/>
      </c>
    </row>
    <row r="12" spans="1:23">
      <c r="A12" s="744">
        <f>Sheet1!AJ20</f>
        <v>0.3</v>
      </c>
      <c r="B12" s="744" t="str">
        <f>IF(MIN(Sheet1!AO20:AO21)=0,"",AVERAGE(Sheet1!AO20:AO21))</f>
        <v/>
      </c>
      <c r="C12" s="744" t="str">
        <f>IF(B12="","",ABS(B12-B11/2))</f>
        <v/>
      </c>
      <c r="D12" s="744" t="str">
        <f>IF(OR(B11="",B12=""),"",IF(ABS(B11-B11/2)=SMALL(C11:C14,2),A11,IF(ABS(B12-B11/2)=SMALL(C11:C14,2),A12,IF(ABS(B13-B11/2)=SMALL(C11:C14,2),A13,IF(ABS(B14-B11/2)=SMALL(C11:C14,2),A14,"")))))</f>
        <v/>
      </c>
      <c r="I12" s="744">
        <f>Sheet1!AJ67</f>
        <v>0.4</v>
      </c>
      <c r="J12" s="744" t="str">
        <f>IF(MIN(Sheet1!AO67:AO68)=0,"",AVERAGE(Sheet1!AO67:AO68))</f>
        <v/>
      </c>
      <c r="K12" s="744" t="str">
        <f>IF(J12="","",ABS(J12-J11/2))</f>
        <v/>
      </c>
      <c r="L12" s="744" t="str">
        <f>IF(OR(J11="",J12=""),"",IF(ABS(J11-J11/2)=SMALL(K11:K14,2),I11,IF(ABS(J12-J11/2)=SMALL(K11:K14,2),I12,IF(ABS(J13-J11/2)=SMALL(K11:K14,2),I13,IF(ABS(J14-J11/2)=SMALL(K11:K14,2),I14,"")))))</f>
        <v/>
      </c>
      <c r="Q12" s="744">
        <f>Sheet1!AJ103</f>
        <v>0.5</v>
      </c>
      <c r="R12" s="744" t="str">
        <f>IF(MIN(Sheet1!AO103:AO104)=0,"",AVERAGE(Sheet1!AO103:AO104))</f>
        <v/>
      </c>
      <c r="S12" s="744" t="str">
        <f>IF(R12="","",ABS(R12-R11/2))</f>
        <v/>
      </c>
      <c r="T12" s="744" t="str">
        <f>IF(OR(R11="",R12=""),"",IF(ABS(R11-R11/2)=SMALL(S11:S14,2),Q11,IF(ABS(R12-R11/2)=SMALL(S11:S14,2),Q12,IF(ABS(R13-R11/2)=SMALL(S11:S14,2),Q13,IF(ABS(R14-R11/2)=SMALL(S11:S14,2),Q14,"")))))</f>
        <v/>
      </c>
    </row>
    <row r="13" spans="1:23">
      <c r="A13" s="744" t="str">
        <f>IF(AND(Sheet1!AM22="",Sheet1!AM24=""),"",IF(Sheet1!AM22&lt;&gt;"",Sheet1!AJ22,Sheet1!AJ24))</f>
        <v/>
      </c>
      <c r="B13" s="744" t="str">
        <f>IF(AND(Sheet1!AM22="",Sheet1!AM24=""),"",IF(Sheet1!AM22&lt;&gt;"",AVERAGE(Sheet1!AO22:AO23),AVERAGE(Sheet1!AO24:AO25)))</f>
        <v/>
      </c>
      <c r="C13" s="744" t="str">
        <f>IF(B13="","",ABS(B13-B11/2))</f>
        <v/>
      </c>
      <c r="I13" s="744" t="str">
        <f>IF(AND(Sheet1!AM69="",Sheet1!AM71=""),"",IF(Sheet1!AM69&lt;&gt;"",Sheet1!AJ69,Sheet1!AJ71))</f>
        <v/>
      </c>
      <c r="J13" s="744" t="str">
        <f>IF(AND(Sheet1!AM69="",Sheet1!AM71=""),"",IF(Sheet1!AM69&lt;&gt;"",AVERAGE(Sheet1!AO69:AO70),AVERAGE(Sheet1!AO71:AO72)))</f>
        <v/>
      </c>
      <c r="K13" s="744" t="str">
        <f>IF(J13="","",ABS(J13-J11/2))</f>
        <v/>
      </c>
      <c r="Q13" s="744" t="str">
        <f>IF(AND(Sheet1!AM105="",Sheet1!AM107=""),"",IF(Sheet1!AM105&lt;&gt;"",Sheet1!AJ105,Sheet1!AJ107))</f>
        <v/>
      </c>
      <c r="R13" s="744" t="str">
        <f>IF(AND(Sheet1!AM105="",Sheet1!AM107=""),"",IF(Sheet1!AM105&lt;&gt;"",AVERAGE(Sheet1!AO105:AO106),AVERAGE(Sheet1!AO107:AO108)))</f>
        <v/>
      </c>
      <c r="S13" s="744" t="str">
        <f>IF(R13="","",ABS(R13-R11/2))</f>
        <v/>
      </c>
    </row>
    <row r="14" spans="1:23">
      <c r="A14" s="744" t="str">
        <f>IF(OR(Sheet1!AM24="",AND(Sheet1!AM22="",Sheet1!AM24&lt;&gt;"")),"",Sheet1!AJ24)</f>
        <v/>
      </c>
      <c r="B14" s="744" t="str">
        <f>IF(OR(Sheet1!AM24="",AND(Sheet1!AM22="",Sheet1!AM24&lt;&gt;"")),"",AVERAGE(Sheet1!AO24:AO25))</f>
        <v/>
      </c>
      <c r="C14" s="744" t="str">
        <f>IF(B14="","",ABS(B14-B11/2))</f>
        <v/>
      </c>
      <c r="D14" s="743" t="s">
        <v>580</v>
      </c>
      <c r="E14" s="743" t="s">
        <v>581</v>
      </c>
      <c r="I14" s="744" t="str">
        <f>IF(OR(Sheet1!AM71="",AND(Sheet1!AM69="",Sheet1!AM71&lt;&gt;"")),"",Sheet1!AJ71)</f>
        <v/>
      </c>
      <c r="J14" s="744" t="str">
        <f>IF(OR(Sheet1!AM71="",AND(Sheet1!AM69="",Sheet1!AM71&lt;&gt;"")),"",AVERAGE(Sheet1!AO71:AO72))</f>
        <v/>
      </c>
      <c r="K14" s="744" t="str">
        <f>IF(J14="","",ABS(J14-J11/2))</f>
        <v/>
      </c>
      <c r="L14" s="743" t="s">
        <v>580</v>
      </c>
      <c r="M14" s="743" t="s">
        <v>581</v>
      </c>
      <c r="Q14" s="744" t="str">
        <f>IF(OR(Sheet1!AM107="",AND(Sheet1!AM105="",Sheet1!AM107&lt;&gt;"")),"",Sheet1!AJ107)</f>
        <v/>
      </c>
      <c r="R14" s="744" t="str">
        <f>IF(OR(Sheet1!AM107="",AND(Sheet1!AM105="",Sheet1!AM107&lt;&gt;"")),"",AVERAGE(Sheet1!AO107:AO108))</f>
        <v/>
      </c>
      <c r="S14" s="744" t="str">
        <f>IF(R14="","",ABS(R14-R11/2))</f>
        <v/>
      </c>
      <c r="T14" s="743" t="s">
        <v>580</v>
      </c>
      <c r="U14" s="743" t="s">
        <v>581</v>
      </c>
    </row>
    <row r="15" spans="1:23">
      <c r="A15" s="744" t="str">
        <f>G11</f>
        <v/>
      </c>
      <c r="B15" s="744" t="str">
        <f>IF(G11="","",EXP(TREND(E15:E16,D11:D12,A15)))</f>
        <v/>
      </c>
      <c r="D15" s="744" t="str">
        <f>IF(OR(B11="",B12=""),"",IF(A11=D11,B11,IF(A12=D11,B12,IF(A13=D11,B13,IF(A14=D11,B14)))))</f>
        <v/>
      </c>
      <c r="E15" s="744" t="str">
        <f>IF(D15="","",LN(D15))</f>
        <v/>
      </c>
      <c r="I15" s="744" t="str">
        <f>O11</f>
        <v/>
      </c>
      <c r="J15" s="744" t="str">
        <f>IF(O11="","",EXP(TREND(M15:M16,L11:L12,I15)))</f>
        <v/>
      </c>
      <c r="L15" s="744" t="str">
        <f>IF(OR(J11="",J12=""),"",IF(I11=L11,J11,IF(I12=L11,J12,IF(I13=L11,J13,IF(I14=L11,J14)))))</f>
        <v/>
      </c>
      <c r="M15" s="744" t="str">
        <f>IF(L15="","",LN(L15))</f>
        <v/>
      </c>
      <c r="Q15" s="744" t="str">
        <f>W11</f>
        <v/>
      </c>
      <c r="R15" s="744" t="str">
        <f>IF(W11="","",EXP(TREND(U15:U16,T11:T12,Q15)))</f>
        <v/>
      </c>
      <c r="T15" s="744" t="str">
        <f>IF(OR(R11="",R12=""),"",IF(Q11=T11,R11,IF(Q12=T11,R12,IF(Q13=T11,R13,IF(Q14=T11,R14)))))</f>
        <v/>
      </c>
      <c r="U15" s="744" t="str">
        <f>IF(T15="","",LN(T15))</f>
        <v/>
      </c>
    </row>
    <row r="16" spans="1:23">
      <c r="D16" s="744" t="str">
        <f>IF(OR(B11="",B12=""),"",IF(A11=D12,B11,IF(A12=D12,B12,IF(A13=D12,B13,IF(A14=D12,B14)))))</f>
        <v/>
      </c>
      <c r="E16" s="744" t="str">
        <f>IF(D16="","",LN(D16))</f>
        <v/>
      </c>
      <c r="L16" s="744" t="str">
        <f>IF(OR(J11="",J12=""),"",IF(I11=L12,J11,IF(I12=L12,J12,IF(I13=L12,J13,IF(I14=L12,J14)))))</f>
        <v/>
      </c>
      <c r="M16" s="744" t="str">
        <f>IF(L16="","",LN(L16))</f>
        <v/>
      </c>
      <c r="T16" s="744" t="str">
        <f>IF(OR(R11="",R12=""),"",IF(Q11=T12,R11,IF(Q12=T12,R12,IF(Q13=T12,R13,IF(Q14=T12,R14)))))</f>
        <v/>
      </c>
      <c r="U16" s="744" t="str">
        <f>IF(T16="","",LN(T16))</f>
        <v/>
      </c>
    </row>
    <row r="17" spans="1:23">
      <c r="A17" s="742">
        <f>Sheet1!AH28</f>
        <v>28</v>
      </c>
      <c r="B17" s="743" t="s">
        <v>25</v>
      </c>
      <c r="I17" s="742">
        <f>Sheet1!AH73</f>
        <v>32</v>
      </c>
      <c r="J17" s="743" t="s">
        <v>25</v>
      </c>
      <c r="Q17" s="742">
        <f>Sheet1!AH109</f>
        <v>32</v>
      </c>
      <c r="R17" s="743" t="s">
        <v>25</v>
      </c>
    </row>
    <row r="18" spans="1:23" ht="15" thickBot="1">
      <c r="A18" s="743" t="s">
        <v>576</v>
      </c>
      <c r="B18" s="743" t="s">
        <v>577</v>
      </c>
      <c r="C18" s="743" t="s">
        <v>578</v>
      </c>
      <c r="D18" s="743" t="s">
        <v>579</v>
      </c>
      <c r="E18" s="743" t="s">
        <v>25</v>
      </c>
      <c r="G18" s="743" t="str">
        <f>IF(E19&lt;&gt;"","HVL @ "&amp;ROUND(E19,2)&amp;" kVp","HVL @ "&amp;A17&amp;" kVp")</f>
        <v>HVL @ 28 kVp</v>
      </c>
      <c r="I18" s="743" t="s">
        <v>576</v>
      </c>
      <c r="J18" s="743" t="s">
        <v>577</v>
      </c>
      <c r="K18" s="743" t="s">
        <v>578</v>
      </c>
      <c r="L18" s="743" t="s">
        <v>579</v>
      </c>
      <c r="M18" s="743" t="s">
        <v>25</v>
      </c>
      <c r="O18" s="743" t="str">
        <f>IF(M19&lt;&gt;"","HVL @ "&amp;ROUND(M19,2)&amp;" kVp","HVL @ "&amp;I17&amp;" kVp")</f>
        <v>HVL @ 32 kVp</v>
      </c>
      <c r="Q18" s="743" t="s">
        <v>576</v>
      </c>
      <c r="R18" s="743" t="s">
        <v>577</v>
      </c>
      <c r="S18" s="743" t="s">
        <v>578</v>
      </c>
      <c r="T18" s="743" t="s">
        <v>579</v>
      </c>
      <c r="U18" s="743" t="s">
        <v>25</v>
      </c>
      <c r="W18" s="743" t="str">
        <f>IF(U19&lt;&gt;"","HVL @ "&amp;ROUND(U19,2)&amp;" kVp","HVL @ "&amp;Q17&amp;" kVp")</f>
        <v>HVL @ 32 kVp</v>
      </c>
    </row>
    <row r="19" spans="1:23" ht="15" thickBot="1">
      <c r="A19" s="744">
        <f>Sheet1!AJ28</f>
        <v>0</v>
      </c>
      <c r="B19" s="744" t="str">
        <f>IF(MIN(Sheet1!AO28:AO31)=0,"",AVERAGE(Sheet1!AO28:AO31))</f>
        <v/>
      </c>
      <c r="C19" s="744" t="str">
        <f>IF(B19="","",ABS(B19-B19/2))</f>
        <v/>
      </c>
      <c r="D19" s="744" t="str">
        <f>IF(OR(B19="",B20=""),"",IF(ABS(B19-B19/2)=SMALL(C19:C22,1),A19,IF(ABS(B20-B19/2)=SMALL(C19:C22,1),A20,IF(ABS(B21-B19/2)=SMALL(C19:C22,1),A21,IF(ABS(B22-B19/2)=SMALL(C19:C22,1),A22,"")))))</f>
        <v/>
      </c>
      <c r="E19" s="744" t="str">
        <f>IF(OR(Sheet1!AM26="",Sheet1!AM27=""),"",AVERAGE(Sheet1!AM26:AM27))</f>
        <v/>
      </c>
      <c r="G19" s="745" t="str">
        <f>IF(OR(MIN(D19:D20)=0,MIN(D23:D24)=0),"",TREND(D19:D20,E23:E24,LN(B19/2)))</f>
        <v/>
      </c>
      <c r="I19" s="744">
        <f>Sheet1!AJ73</f>
        <v>0</v>
      </c>
      <c r="J19" s="744" t="str">
        <f>IF(MIN(Sheet1!AO73:AO74)=0,"",AVERAGE(Sheet1!AO73:AO74))</f>
        <v/>
      </c>
      <c r="K19" s="744" t="str">
        <f>IF(J19="","",ABS(J19-J19/2))</f>
        <v/>
      </c>
      <c r="L19" s="744" t="str">
        <f>IF(OR(J19="",J20=""),"",IF(ABS(J19-J19/2)=SMALL(K19:K22,1),I19,IF(ABS(J20-J19/2)=SMALL(K19:K22,1),I20,IF(ABS(J21-J19/2)=SMALL(K19:K22,1),I21,IF(ABS(J22-J19/2)=SMALL(K19:K22,1),I22,"")))))</f>
        <v/>
      </c>
      <c r="M19" s="744" t="str">
        <f>IF(OR(Sheet1!AM73="",Sheet1!AM74=""),"",AVERAGE(Sheet1!AM73:AM74))</f>
        <v/>
      </c>
      <c r="O19" s="745" t="str">
        <f>IF(OR(MIN(L19:L20)=0,MIN(L23:L24)=0),"",TREND(L19:L20,M23:M24,LN(J19/2)))</f>
        <v/>
      </c>
      <c r="Q19" s="744">
        <f>Sheet1!AJ109</f>
        <v>0</v>
      </c>
      <c r="R19" s="744" t="str">
        <f>IF(MIN(Sheet1!AO109:AO110)=0,"",AVERAGE(Sheet1!AO109:AO110))</f>
        <v/>
      </c>
      <c r="S19" s="744" t="str">
        <f>IF(R19="","",ABS(R19-R19/2))</f>
        <v/>
      </c>
      <c r="T19" s="744" t="str">
        <f>IF(OR(R19="",R20=""),"",IF(ABS(R19-R19/2)=SMALL(S19:S22,1),Q19,IF(ABS(R20-R19/2)=SMALL(S19:S22,1),Q20,IF(ABS(R21-R19/2)=SMALL(S19:S22,1),Q21,IF(ABS(R22-R19/2)=SMALL(S19:S22,1),Q22,"")))))</f>
        <v/>
      </c>
      <c r="U19" s="744" t="str">
        <f>IF(OR(Sheet1!AM109="",Sheet1!AM110=""),"",AVERAGE(Sheet1!AM109:AM110))</f>
        <v/>
      </c>
      <c r="W19" s="745" t="str">
        <f>IF(OR(MIN(T19:T20)=0,MIN(T23:T24)=0),"",TREND(T19:T20,U23:U24,LN(R19/2)))</f>
        <v/>
      </c>
    </row>
    <row r="20" spans="1:23">
      <c r="A20" s="744">
        <f>Sheet1!AJ32</f>
        <v>0.3</v>
      </c>
      <c r="B20" s="744" t="str">
        <f>IF(MIN(Sheet1!AO32:AO33)=0,"",AVERAGE(Sheet1!AO32:AO33))</f>
        <v/>
      </c>
      <c r="C20" s="744" t="str">
        <f>IF(B20="","",ABS(B20-B19/2))</f>
        <v/>
      </c>
      <c r="D20" s="744" t="str">
        <f>IF(OR(B19="",B20=""),"",IF(ABS(B19-B19/2)=SMALL(C19:C22,2),A19,IF(ABS(B20-B19/2)=SMALL(C19:C22,2),A20,IF(ABS(B21-B19/2)=SMALL(C19:C22,2),A21,IF(ABS(B22-B19/2)=SMALL(C19:C22,2),A22,"")))))</f>
        <v/>
      </c>
      <c r="I20" s="744">
        <f>Sheet1!AJ75</f>
        <v>0.4</v>
      </c>
      <c r="J20" s="744" t="str">
        <f>IF(MIN(Sheet1!AO75:AO76)=0,"",AVERAGE(Sheet1!AO75:AO76))</f>
        <v/>
      </c>
      <c r="K20" s="744" t="str">
        <f>IF(J20="","",ABS(J20-J19/2))</f>
        <v/>
      </c>
      <c r="L20" s="744" t="str">
        <f>IF(OR(J19="",J20=""),"",IF(ABS(J19-J19/2)=SMALL(K19:K22,2),I19,IF(ABS(J20-J19/2)=SMALL(K19:K22,2),I20,IF(ABS(J21-J19/2)=SMALL(K19:K22,2),I21,IF(ABS(J22-J19/2)=SMALL(K19:K22,2),I22,"")))))</f>
        <v/>
      </c>
      <c r="Q20" s="744">
        <f>Sheet1!AJ111</f>
        <v>0.5</v>
      </c>
      <c r="R20" s="744" t="str">
        <f>IF(MIN(Sheet1!AO111:AO112)=0,"",AVERAGE(Sheet1!AO111:AO112))</f>
        <v/>
      </c>
      <c r="S20" s="744" t="str">
        <f>IF(R20="","",ABS(R20-R19/2))</f>
        <v/>
      </c>
      <c r="T20" s="744" t="str">
        <f>IF(OR(R19="",R20=""),"",IF(ABS(R19-R19/2)=SMALL(S19:S22,2),Q19,IF(ABS(R20-R19/2)=SMALL(S19:S22,2),Q20,IF(ABS(R21-R19/2)=SMALL(S19:S22,2),Q21,IF(ABS(R22-R19/2)=SMALL(S19:S22,2),Q22,"")))))</f>
        <v/>
      </c>
    </row>
    <row r="21" spans="1:23">
      <c r="A21" s="744" t="str">
        <f>IF(AND(Sheet1!AM34="",Sheet1!AM36=""),"",IF(Sheet1!AM34&lt;&gt;"",Sheet1!AJ34,Sheet1!AJ36))</f>
        <v/>
      </c>
      <c r="B21" s="744" t="str">
        <f>IF(AND(Sheet1!AM34="",Sheet1!AM36=""),"",IF(Sheet1!AM34&lt;&gt;"",AVERAGE(Sheet1!AO34:AO35),AVERAGE(Sheet1!AO36:AO37)))</f>
        <v/>
      </c>
      <c r="C21" s="744" t="str">
        <f>IF(B21="","",ABS(B21-B19/2))</f>
        <v/>
      </c>
      <c r="I21" s="744" t="str">
        <f>IF(AND(Sheet1!AM77="",Sheet1!AM79=""),"",IF(Sheet1!AM77&lt;&gt;"",Sheet1!AJ77,Sheet1!AJ79))</f>
        <v/>
      </c>
      <c r="J21" s="744" t="str">
        <f>IF(AND(Sheet1!AM77="",Sheet1!AM79=""),"",IF(Sheet1!AM77&lt;&gt;"",AVERAGE(Sheet1!AO77:AO78),AVERAGE(Sheet1!AO79:AO80)))</f>
        <v/>
      </c>
      <c r="K21" s="744" t="str">
        <f>IF(J21="","",ABS(J21-J19/2))</f>
        <v/>
      </c>
      <c r="Q21" s="744" t="str">
        <f>IF(AND(Sheet1!AM113="",Sheet1!AM115=""),"",IF(Sheet1!AM113&lt;&gt;"",Sheet1!AJ113,Sheet1!AJ115))</f>
        <v/>
      </c>
      <c r="R21" s="744" t="str">
        <f>IF(AND(Sheet1!AM113="",Sheet1!AM115=""),"",IF(Sheet1!AM113&lt;&gt;"",AVERAGE(Sheet1!AO113:AO114),AVERAGE(Sheet1!AO115:AO116)))</f>
        <v/>
      </c>
      <c r="S21" s="744" t="str">
        <f>IF(R21="","",ABS(R21-R19/2))</f>
        <v/>
      </c>
    </row>
    <row r="22" spans="1:23">
      <c r="A22" s="744" t="str">
        <f>IF(OR(Sheet1!AM36="",AND(Sheet1!AM34="",Sheet1!AM36&lt;&gt;"")),"",Sheet1!AJ36)</f>
        <v/>
      </c>
      <c r="B22" s="744" t="str">
        <f>IF(OR(Sheet1!AM36="",AND(Sheet1!AM34="",Sheet1!AM36&lt;&gt;"")),"",AVERAGE(Sheet1!AO36:AO37))</f>
        <v/>
      </c>
      <c r="C22" s="744" t="str">
        <f>IF(B22="","",ABS(B22-B19/2))</f>
        <v/>
      </c>
      <c r="D22" s="743" t="s">
        <v>580</v>
      </c>
      <c r="E22" s="743" t="s">
        <v>581</v>
      </c>
      <c r="I22" s="744" t="str">
        <f>IF(OR(Sheet1!AM79="",AND(Sheet1!AM77="",Sheet1!AM79&lt;&gt;"")),"",Sheet1!AJ79)</f>
        <v/>
      </c>
      <c r="J22" s="744" t="str">
        <f>IF(OR(Sheet1!AM79="",AND(Sheet1!AM77="",Sheet1!AM79&lt;&gt;"")),"",AVERAGE(Sheet1!AO79:AO80))</f>
        <v/>
      </c>
      <c r="K22" s="744" t="str">
        <f>IF(J22="","",ABS(J22-J19/2))</f>
        <v/>
      </c>
      <c r="L22" s="743" t="s">
        <v>580</v>
      </c>
      <c r="M22" s="743" t="s">
        <v>581</v>
      </c>
      <c r="Q22" s="744" t="str">
        <f>IF(OR(Sheet1!AM115="",AND(Sheet1!AM113="",Sheet1!AM115&lt;&gt;"")),"",Sheet1!AJ115)</f>
        <v/>
      </c>
      <c r="R22" s="744" t="str">
        <f>IF(OR(Sheet1!AM115="",AND(Sheet1!AM113="",Sheet1!AM115&lt;&gt;"")),"",AVERAGE(Sheet1!AO115:AO116))</f>
        <v/>
      </c>
      <c r="S22" s="744" t="str">
        <f>IF(R22="","",ABS(R22-R19/2))</f>
        <v/>
      </c>
      <c r="T22" s="743" t="s">
        <v>580</v>
      </c>
      <c r="U22" s="743" t="s">
        <v>581</v>
      </c>
    </row>
    <row r="23" spans="1:23">
      <c r="A23" s="744" t="str">
        <f>G19</f>
        <v/>
      </c>
      <c r="B23" s="744" t="str">
        <f>IF(G19="","",EXP(TREND(E23:E24,D19:D20,A23)))</f>
        <v/>
      </c>
      <c r="D23" s="744" t="str">
        <f>IF(OR(B19="",B20=""),"",IF(A19=D19,B19,IF(A20=D19,B20,IF(A21=D19,B21,IF(A22=D19,B22)))))</f>
        <v/>
      </c>
      <c r="E23" s="744" t="str">
        <f>IF(D23="","",LN(D23))</f>
        <v/>
      </c>
      <c r="I23" s="744" t="str">
        <f>O19</f>
        <v/>
      </c>
      <c r="J23" s="744" t="str">
        <f>IF(O19="","",EXP(TREND(M23:M24,L19:L20,I23)))</f>
        <v/>
      </c>
      <c r="L23" s="744" t="str">
        <f>IF(OR(J19="",J20=""),"",IF(I19=L19,J19,IF(I20=L19,J20,IF(I21=L19,J21,IF(I22=L19,J22)))))</f>
        <v/>
      </c>
      <c r="M23" s="744" t="str">
        <f>IF(L23="","",LN(L23))</f>
        <v/>
      </c>
      <c r="Q23" s="744" t="str">
        <f>W19</f>
        <v/>
      </c>
      <c r="R23" s="744" t="str">
        <f>IF(W19="","",EXP(TREND(U23:U24,T19:T20,Q23)))</f>
        <v/>
      </c>
      <c r="T23" s="744" t="str">
        <f>IF(OR(R19="",R20=""),"",IF(Q19=T19,R19,IF(Q20=T19,R20,IF(Q21=T19,R21,IF(Q22=T19,R22)))))</f>
        <v/>
      </c>
      <c r="U23" s="744" t="str">
        <f>IF(T23="","",LN(T23))</f>
        <v/>
      </c>
    </row>
    <row r="24" spans="1:23">
      <c r="D24" s="744" t="str">
        <f>IF(OR(B19="",B20=""),"",IF(A19=D20,B19,IF(A20=D20,B20,IF(A21=D20,B21,IF(A22=D20,B22)))))</f>
        <v/>
      </c>
      <c r="E24" s="744" t="str">
        <f>IF(D24="","",LN(D24))</f>
        <v/>
      </c>
      <c r="L24" s="744" t="str">
        <f>IF(OR(J19="",J20=""),"",IF(I19=L20,J19,IF(I20=L20,J20,IF(I21=L20,J21,IF(I22=L20,J22)))))</f>
        <v/>
      </c>
      <c r="M24" s="744" t="str">
        <f>IF(L24="","",LN(L24))</f>
        <v/>
      </c>
      <c r="T24" s="744" t="str">
        <f>IF(OR(R19="",R20=""),"",IF(Q19=T20,R19,IF(Q20=T20,R20,IF(Q21=T20,R21,IF(Q22=T20,R22)))))</f>
        <v/>
      </c>
      <c r="U24" s="744" t="str">
        <f>IF(T24="","",LN(T24))</f>
        <v/>
      </c>
    </row>
    <row r="25" spans="1:23">
      <c r="A25" s="742">
        <v>32</v>
      </c>
      <c r="B25" s="743" t="s">
        <v>25</v>
      </c>
      <c r="I25" s="742">
        <f>Sheet1!AH81</f>
        <v>34</v>
      </c>
      <c r="J25" s="743" t="s">
        <v>25</v>
      </c>
      <c r="Q25" s="742">
        <f>Sheet1!AH117</f>
        <v>34</v>
      </c>
      <c r="R25" s="743" t="s">
        <v>25</v>
      </c>
    </row>
    <row r="26" spans="1:23" ht="15" thickBot="1">
      <c r="A26" s="743" t="s">
        <v>576</v>
      </c>
      <c r="B26" s="743" t="s">
        <v>577</v>
      </c>
      <c r="C26" s="743" t="s">
        <v>578</v>
      </c>
      <c r="D26" s="743" t="s">
        <v>579</v>
      </c>
      <c r="E26" s="743" t="s">
        <v>25</v>
      </c>
      <c r="G26" s="743" t="str">
        <f>IF(E27&lt;&gt;"","HVL @ "&amp;ROUND(E27,2)&amp;" kVp","HVL @ "&amp;A25&amp;" kVp")</f>
        <v>HVL @ 32 kVp</v>
      </c>
      <c r="I26" s="743" t="s">
        <v>576</v>
      </c>
      <c r="J26" s="743" t="s">
        <v>577</v>
      </c>
      <c r="K26" s="743" t="s">
        <v>578</v>
      </c>
      <c r="L26" s="743" t="s">
        <v>579</v>
      </c>
      <c r="M26" s="743" t="s">
        <v>25</v>
      </c>
      <c r="O26" s="743" t="str">
        <f>IF(M27&lt;&gt;"","HVL @ "&amp;ROUND(M27,2)&amp;" kVp","HVL @ "&amp;I25&amp;" kVp")</f>
        <v>HVL @ 34 kVp</v>
      </c>
      <c r="Q26" s="743" t="s">
        <v>576</v>
      </c>
      <c r="R26" s="743" t="s">
        <v>577</v>
      </c>
      <c r="S26" s="743" t="s">
        <v>578</v>
      </c>
      <c r="T26" s="743" t="s">
        <v>579</v>
      </c>
      <c r="U26" s="743" t="s">
        <v>25</v>
      </c>
      <c r="W26" s="743" t="str">
        <f>IF(U27&lt;&gt;"","HVL @ "&amp;ROUND(U27,2)&amp;" kVp","HVL @ "&amp;Q25&amp;" kVp")</f>
        <v>HVL @ 34 kVp</v>
      </c>
    </row>
    <row r="27" spans="1:23" ht="15" thickBot="1">
      <c r="A27" s="744">
        <v>0</v>
      </c>
      <c r="B27" s="744" t="str">
        <f>IF(MIN(Sheet1!AO41:AO42)=0,"",AVERAGE(Sheet1!AO41:AO42))</f>
        <v/>
      </c>
      <c r="C27" s="744" t="str">
        <f>IF(B27="","",ABS(B27-B27/2))</f>
        <v/>
      </c>
      <c r="D27" s="744" t="str">
        <f>IF(OR(B27="",B28=""),"",IF(ABS(B27-B27/2)=SMALL(C27:C30,1),A27,IF(ABS(B28-B27/2)=SMALL(C27:C30,1),A28,IF(ABS(B29-B27/2)=SMALL(C27:C30,1),A29,IF(ABS(B30-B27/2)=SMALL(C27:C30,1),A30,"")))))</f>
        <v/>
      </c>
      <c r="E27" s="744" t="str">
        <f>IF(OR(Sheet1!AM34="",Sheet1!AM35=""),"",AVERAGE(Sheet1!AM34:AM35))</f>
        <v/>
      </c>
      <c r="G27" s="745" t="str">
        <f>IF(OR(MIN(D27:D28)=0,MIN(D31:D32)=0),"",TREND(D27:D28,E31:E32,LN(B27/2)))</f>
        <v/>
      </c>
      <c r="I27" s="744">
        <f>Sheet1!AJ81</f>
        <v>0</v>
      </c>
      <c r="J27" s="744" t="str">
        <f>IF(MIN(Sheet1!AO81:AO82)=0,"",AVERAGE(Sheet1!AO81:AO82))</f>
        <v/>
      </c>
      <c r="K27" s="744" t="str">
        <f>IF(J27="","",ABS(J27-J27/2))</f>
        <v/>
      </c>
      <c r="L27" s="744" t="str">
        <f>IF(OR(J27="",J28=""),"",IF(ABS(J27-J27/2)=SMALL(K27:K30,1),I27,IF(ABS(J28-J27/2)=SMALL(K27:K30,1),I28,IF(ABS(J29-J27/2)=SMALL(K27:K30,1),I29,IF(ABS(J30-J27/2)=SMALL(K27:K30,1),I30,"")))))</f>
        <v/>
      </c>
      <c r="M27" s="744" t="str">
        <f>IF(OR(Sheet1!AM81="",Sheet1!AM82=""),"",AVERAGE(Sheet1!AM81:AM82))</f>
        <v/>
      </c>
      <c r="O27" s="745" t="str">
        <f>IF(OR(MIN(L27:L28)=0,MIN(L31:L32)=0),"",TREND(L27:L28,M31:M32,LN(J27/2)))</f>
        <v/>
      </c>
      <c r="Q27" s="744">
        <f>Sheet1!AJ117</f>
        <v>0</v>
      </c>
      <c r="R27" s="744" t="str">
        <f>IF(MIN(Sheet1!AO117:AO118)=0,"",AVERAGE(Sheet1!AO117:AO118))</f>
        <v/>
      </c>
      <c r="S27" s="744" t="str">
        <f>IF(R27="","",ABS(R27-R27/2))</f>
        <v/>
      </c>
      <c r="T27" s="744" t="str">
        <f>IF(OR(R27="",R28=""),"",IF(ABS(R27-R27/2)=SMALL(S27:S30,1),Q27,IF(ABS(R28-R27/2)=SMALL(S27:S30,1),Q28,IF(ABS(R29-R27/2)=SMALL(S27:S30,1),Q29,IF(ABS(R30-R27/2)=SMALL(S27:S30,1),Q30,"")))))</f>
        <v/>
      </c>
      <c r="U27" s="744" t="str">
        <f>IF(OR(Sheet1!AM117="",Sheet1!AM118=""),"",AVERAGE(Sheet1!AM117:AM118))</f>
        <v/>
      </c>
      <c r="W27" s="745" t="str">
        <f>IF(OR(MIN(T27:T28)=0,MIN(T31:T32)=0),"",TREND(T27:T28,U31:U32,LN(R27/2)))</f>
        <v/>
      </c>
    </row>
    <row r="28" spans="1:23">
      <c r="A28" s="744">
        <f>Sheet1!AJ43</f>
        <v>0.4</v>
      </c>
      <c r="B28" s="744" t="str">
        <f>IF(MIN(Sheet1!AO43:AO44)=0,"",AVERAGE(Sheet1!AO43:AO44))</f>
        <v/>
      </c>
      <c r="C28" s="744" t="str">
        <f>IF(B28="","",ABS(B28-B27/2))</f>
        <v/>
      </c>
      <c r="D28" s="744" t="str">
        <f>IF(OR(B27="",B28=""),"",IF(ABS(B27-B27/2)=SMALL(C27:C30,2),A27,IF(ABS(B28-B27/2)=SMALL(C27:C30,2),A28,IF(ABS(B29-B27/2)=SMALL(C27:C30,2),A29,IF(ABS(B30-B27/2)=SMALL(C27:C30,2),A30,"")))))</f>
        <v/>
      </c>
      <c r="I28" s="744">
        <f>Sheet1!AJ83</f>
        <v>0.4</v>
      </c>
      <c r="J28" s="744" t="str">
        <f>IF(MIN(Sheet1!AO83:AO84)=0,"",AVERAGE(Sheet1!AO83:AO84))</f>
        <v/>
      </c>
      <c r="K28" s="744" t="str">
        <f>IF(J28="","",ABS(J28-J27/2))</f>
        <v/>
      </c>
      <c r="L28" s="744" t="str">
        <f>IF(OR(J27="",J28=""),"",IF(ABS(J27-J27/2)=SMALL(K27:K30,2),I27,IF(ABS(J28-J27/2)=SMALL(K27:K30,2),I28,IF(ABS(J29-J27/2)=SMALL(K27:K30,2),I29,IF(ABS(J30-J27/2)=SMALL(K27:K30,2),I30,"")))))</f>
        <v/>
      </c>
      <c r="Q28" s="744">
        <f>Sheet1!AJ119</f>
        <v>0.5</v>
      </c>
      <c r="R28" s="744" t="str">
        <f>IF(MIN(Sheet1!AO119:AO120)=0,"",AVERAGE(Sheet1!AO119:AO120))</f>
        <v/>
      </c>
      <c r="S28" s="744" t="str">
        <f>IF(R28="","",ABS(R28-R27/2))</f>
        <v/>
      </c>
      <c r="T28" s="744" t="str">
        <f>IF(OR(R27="",R28=""),"",IF(ABS(R27-R27/2)=SMALL(S27:S30,2),Q27,IF(ABS(R28-R27/2)=SMALL(S27:S30,2),Q28,IF(ABS(R29-R27/2)=SMALL(S27:S30,2),Q29,IF(ABS(R30-R27/2)=SMALL(S27:S30,2),Q30,"")))))</f>
        <v/>
      </c>
    </row>
    <row r="29" spans="1:23">
      <c r="A29" s="744" t="str">
        <f>IF(AND(Sheet1!AM45="",Sheet1!AM47=""),"",IF(Sheet1!AM45&lt;&gt;"",Sheet1!AJ45,Sheet1!AJ47))</f>
        <v/>
      </c>
      <c r="B29" s="744" t="str">
        <f>IF(AND(Sheet1!AM45="",Sheet1!AM47=""),"",IF(Sheet1!AM45&lt;&gt;"",AVERAGE(Sheet1!AO45:AO46),AVERAGE(Sheet1!AO47:AO48)))</f>
        <v/>
      </c>
      <c r="C29" s="744" t="str">
        <f>IF(B29="","",ABS(B29-B27/2))</f>
        <v/>
      </c>
      <c r="I29" s="744" t="str">
        <f>IF(AND(Sheet1!AM85="",Sheet1!AM87=""),"",IF(Sheet1!AM85&lt;&gt;"",Sheet1!AJ85,Sheet1!AJ87))</f>
        <v/>
      </c>
      <c r="J29" s="744" t="str">
        <f>IF(AND(Sheet1!AM85="",Sheet1!AM87=""),"",IF(Sheet1!AM85&lt;&gt;"",AVERAGE(Sheet1!AO85:AO86),AVERAGE(Sheet1!AO87:AO88)))</f>
        <v/>
      </c>
      <c r="K29" s="744" t="str">
        <f>IF(J29="","",ABS(J29-J27/2))</f>
        <v/>
      </c>
      <c r="Q29" s="744" t="str">
        <f>IF(AND(Sheet1!AM121="",Sheet1!AM123=""),"",IF(Sheet1!AM121&lt;&gt;"",Sheet1!AJ121,Sheet1!AJ123))</f>
        <v/>
      </c>
      <c r="R29" s="744" t="str">
        <f>IF(AND(Sheet1!AM121="",Sheet1!AM123=""),"",IF(Sheet1!AM121&lt;&gt;"",AVERAGE(Sheet1!AO121:AO122),AVERAGE(Sheet1!AO123:AO124)))</f>
        <v/>
      </c>
      <c r="S29" s="744" t="str">
        <f>IF(R29="","",ABS(R29-R27/2))</f>
        <v/>
      </c>
    </row>
    <row r="30" spans="1:23">
      <c r="A30" s="744" t="str">
        <f>IF(OR(Sheet1!AM47="",AND(Sheet1!AM45="",Sheet1!AM47&lt;&gt;"")),"",Sheet1!AJ47)</f>
        <v/>
      </c>
      <c r="B30" s="744" t="str">
        <f>IF(OR(Sheet1!AM47="",AND(Sheet1!AM45="",Sheet1!AM47&lt;&gt;"")),"",AVERAGE(Sheet1!AO47:AO48))</f>
        <v/>
      </c>
      <c r="C30" s="744" t="str">
        <f>IF(B30="","",ABS(B30-B27/2))</f>
        <v/>
      </c>
      <c r="D30" s="743" t="s">
        <v>580</v>
      </c>
      <c r="E30" s="743" t="s">
        <v>581</v>
      </c>
      <c r="I30" s="744" t="str">
        <f>IF(OR(Sheet1!AM87="",AND(Sheet1!AM85="",Sheet1!AM87&lt;&gt;"")),"",Sheet1!AJ87)</f>
        <v/>
      </c>
      <c r="J30" s="744" t="str">
        <f>IF(OR(Sheet1!AM87="",AND(Sheet1!AM85="",Sheet1!AM87&lt;&gt;"")),"",AVERAGE(Sheet1!AO87:AO88))</f>
        <v/>
      </c>
      <c r="K30" s="744" t="str">
        <f>IF(J30="","",ABS(J30-J27/2))</f>
        <v/>
      </c>
      <c r="L30" s="743" t="s">
        <v>580</v>
      </c>
      <c r="M30" s="743" t="s">
        <v>581</v>
      </c>
      <c r="Q30" s="744" t="str">
        <f>IF(OR(Sheet1!AM123="",AND(Sheet1!AM121="",Sheet1!AM123&lt;&gt;"")),"",Sheet1!AJ123)</f>
        <v/>
      </c>
      <c r="R30" s="744" t="str">
        <f>IF(OR(Sheet1!AM123="",AND(Sheet1!AM121="",Sheet1!AM123&lt;&gt;"")),"",AVERAGE(Sheet1!AO123:AO124))</f>
        <v/>
      </c>
      <c r="S30" s="744" t="str">
        <f>IF(R30="","",ABS(R30-R27/2))</f>
        <v/>
      </c>
      <c r="T30" s="743" t="s">
        <v>580</v>
      </c>
      <c r="U30" s="743" t="s">
        <v>581</v>
      </c>
    </row>
    <row r="31" spans="1:23">
      <c r="A31" s="744" t="str">
        <f>G27</f>
        <v/>
      </c>
      <c r="B31" s="744" t="str">
        <f>IF(G27="","",EXP(TREND(E31:E32,D27:D28,A31)))</f>
        <v/>
      </c>
      <c r="D31" s="744" t="str">
        <f>IF(OR(B27="",B28=""),"",IF(A27=D27,B27,IF(A28=D27,B28,IF(A29=D27,B29,IF(A30=D27,B30)))))</f>
        <v/>
      </c>
      <c r="E31" s="744" t="str">
        <f>IF(D31="","",LN(D31))</f>
        <v/>
      </c>
      <c r="I31" s="744" t="str">
        <f>O27</f>
        <v/>
      </c>
      <c r="J31" s="744" t="str">
        <f>IF(O27="","",EXP(TREND(M31:M32,L27:L28,I31)))</f>
        <v/>
      </c>
      <c r="L31" s="744" t="str">
        <f>IF(OR(J27="",J28=""),"",IF(I27=L27,J27,IF(I28=L27,J28,IF(I29=L27,J29,IF(I30=L27,J30)))))</f>
        <v/>
      </c>
      <c r="M31" s="744" t="str">
        <f>IF(L31="","",LN(L31))</f>
        <v/>
      </c>
      <c r="Q31" s="744" t="str">
        <f>W27</f>
        <v/>
      </c>
      <c r="R31" s="744" t="str">
        <f>IF(W27="","",EXP(TREND(U31:U32,T27:T28,Q31)))</f>
        <v/>
      </c>
      <c r="T31" s="744" t="str">
        <f>IF(OR(R27="",R28=""),"",IF(Q27=T27,R27,IF(Q28=T27,R28,IF(Q29=T27,R29,IF(Q30=T27,R30)))))</f>
        <v/>
      </c>
      <c r="U31" s="744" t="str">
        <f>IF(T31="","",LN(T31))</f>
        <v/>
      </c>
    </row>
    <row r="32" spans="1:23">
      <c r="D32" s="744" t="str">
        <f>IF(OR(B27="",B28=""),"",IF(A27=D28,B27,IF(A28=D28,B28,IF(A29=D28,B29,IF(A30=D28,B30)))))</f>
        <v/>
      </c>
      <c r="E32" s="744" t="str">
        <f>IF(D32="","",LN(D32))</f>
        <v/>
      </c>
      <c r="L32" s="744" t="str">
        <f>IF(OR(J27="",J28=""),"",IF(I27=L28,J27,IF(I28=L28,J28,IF(I29=L28,J29,IF(I30=L28,J30)))))</f>
        <v/>
      </c>
      <c r="M32" s="744" t="str">
        <f>IF(L32="","",LN(L32))</f>
        <v/>
      </c>
      <c r="T32" s="744" t="str">
        <f>IF(OR(R27="",R28=""),"",IF(Q27=T28,R27,IF(Q28=T28,R28,IF(Q29=T28,R29,IF(Q30=T28,R30)))))</f>
        <v/>
      </c>
      <c r="U32" s="744" t="str">
        <f>IF(T32="","",LN(T32))</f>
        <v/>
      </c>
    </row>
    <row r="33" spans="1:23">
      <c r="A33" s="742">
        <v>34</v>
      </c>
      <c r="B33" s="743" t="s">
        <v>25</v>
      </c>
      <c r="Q33" s="742">
        <f>Sheet1!AH125</f>
        <v>38</v>
      </c>
      <c r="R33" s="743" t="s">
        <v>25</v>
      </c>
    </row>
    <row r="34" spans="1:23" ht="15" thickBot="1">
      <c r="A34" s="743" t="s">
        <v>576</v>
      </c>
      <c r="B34" s="743" t="s">
        <v>577</v>
      </c>
      <c r="C34" s="743" t="s">
        <v>578</v>
      </c>
      <c r="D34" s="743" t="s">
        <v>579</v>
      </c>
      <c r="E34" s="743" t="s">
        <v>25</v>
      </c>
      <c r="G34" s="743" t="str">
        <f>IF(E35&lt;&gt;"","HVL @ "&amp;ROUND(E35,2)&amp;" kVp","HVL @ "&amp;A33&amp;" kVp")</f>
        <v>HVL @ 34 kVp</v>
      </c>
      <c r="Q34" s="743" t="s">
        <v>576</v>
      </c>
      <c r="R34" s="743" t="s">
        <v>577</v>
      </c>
      <c r="S34" s="743" t="s">
        <v>578</v>
      </c>
      <c r="T34" s="743" t="s">
        <v>579</v>
      </c>
      <c r="U34" s="743" t="s">
        <v>25</v>
      </c>
      <c r="W34" s="743" t="str">
        <f>IF(U35&lt;&gt;"","HVL @ "&amp;ROUND(U35,2)&amp;" kVp","HVL @ "&amp;Q33&amp;" kVp")</f>
        <v>HVL @ 38 kVp</v>
      </c>
    </row>
    <row r="35" spans="1:23" ht="15" thickBot="1">
      <c r="A35" s="744">
        <v>0</v>
      </c>
      <c r="B35" s="744" t="str">
        <f>IF(MIN(Sheet1!AO49:AO50)=0,"",AVERAGE(Sheet1!AO49:AO50))</f>
        <v/>
      </c>
      <c r="C35" s="744" t="str">
        <f>IF(B35="","",ABS(B35-B35/2))</f>
        <v/>
      </c>
      <c r="D35" s="744" t="str">
        <f>IF(OR(B35="",B36=""),"",IF(ABS(B35-B35/2)=SMALL(C35:C38,1),A35,IF(ABS(B36-B35/2)=SMALL(C35:C38,1),A36,IF(ABS(B37-B35/2)=SMALL(C35:C38,1),A37,IF(ABS(B38-B35/2)=SMALL(C35:C38,1),A38,"")))))</f>
        <v/>
      </c>
      <c r="E35" s="744" t="str">
        <f>IF(OR(Sheet1!AM42="",Sheet1!AM43=""),"",AVERAGE(Sheet1!AM42:AM43))</f>
        <v/>
      </c>
      <c r="G35" s="745" t="str">
        <f>IF(OR(MIN(D35:D36)=0,MIN(D39:D40)=0),"",TREND(D35:D36,E39:E40,LN(B35/2)))</f>
        <v/>
      </c>
      <c r="Q35" s="744">
        <f>Sheet1!AJ125</f>
        <v>0</v>
      </c>
      <c r="R35" s="744" t="str">
        <f>IF(MIN(Sheet1!AO125:AO126)=0,"",AVERAGE(Sheet1!AO125:AO126))</f>
        <v/>
      </c>
      <c r="S35" s="744" t="str">
        <f>IF(R35="","",ABS(R35-R35/2))</f>
        <v/>
      </c>
      <c r="T35" s="744" t="str">
        <f>IF(OR(R35="",R36=""),"",IF(ABS(R35-R35/2)=SMALL(S35:S38,1),Q35,IF(ABS(R36-R35/2)=SMALL(S35:S38,1),Q36,IF(ABS(R37-R35/2)=SMALL(S35:S38,1),Q37,IF(ABS(R38-R35/2)=SMALL(S35:S38,1),Q38,"")))))</f>
        <v/>
      </c>
      <c r="U35" s="744" t="str">
        <f>IF(OR(Sheet1!AM89="",Sheet1!AM90=""),"",AVERAGE(Sheet1!AM89:AM90))</f>
        <v/>
      </c>
      <c r="W35" s="745" t="str">
        <f>IF(OR(MIN(T35:T36)=0,MIN(T39:T40)=0),"",TREND(T35:T36,U39:U40,LN(R35/2)))</f>
        <v/>
      </c>
    </row>
    <row r="36" spans="1:23">
      <c r="A36" s="744">
        <f>Sheet1!AJ51</f>
        <v>0.4</v>
      </c>
      <c r="B36" s="744" t="str">
        <f>IF(MIN(Sheet1!AO51:AO52)=0,"",AVERAGE(Sheet1!AO51:AO52))</f>
        <v/>
      </c>
      <c r="C36" s="744" t="str">
        <f>IF(B36="","",ABS(B36-B35/2))</f>
        <v/>
      </c>
      <c r="D36" s="744" t="str">
        <f>IF(OR(B35="",B36=""),"",IF(ABS(B35-B35/2)=SMALL(C35:C38,2),A35,IF(ABS(B36-B35/2)=SMALL(C35:C38,2),A36,IF(ABS(B37-B35/2)=SMALL(C35:C38,2),A37,IF(ABS(B38-B35/2)=SMALL(C35:C38,2),A38,"")))))</f>
        <v/>
      </c>
      <c r="Q36" s="744">
        <f>Sheet1!AJ127</f>
        <v>0.6</v>
      </c>
      <c r="R36" s="744" t="str">
        <f>IF(MIN(Sheet1!AO127:AO128)=0,"",AVERAGE(Sheet1!AO127:AO128))</f>
        <v/>
      </c>
      <c r="S36" s="744" t="str">
        <f>IF(R36="","",ABS(R36-R35/2))</f>
        <v/>
      </c>
      <c r="T36" s="744" t="str">
        <f>IF(OR(R35="",R36=""),"",IF(ABS(R35-R35/2)=SMALL(S35:S38,2),Q35,IF(ABS(R36-R35/2)=SMALL(S35:S38,2),Q36,IF(ABS(R37-R35/2)=SMALL(S35:S38,2),Q37,IF(ABS(R38-R35/2)=SMALL(S35:S38,2),Q38,"")))))</f>
        <v/>
      </c>
    </row>
    <row r="37" spans="1:23">
      <c r="A37" s="744" t="str">
        <f>IF(AND(Sheet1!AM53="",Sheet1!AM55=""),"",IF(Sheet1!AM53&lt;&gt;"",Sheet1!AJ53,Sheet1!AJ55))</f>
        <v/>
      </c>
      <c r="B37" s="744" t="str">
        <f>IF(AND(Sheet1!AM53="",Sheet1!AM55=""),"",IF(Sheet1!AM53&lt;&gt;"",AVERAGE(Sheet1!AO53:AO54),AVERAGE(Sheet1!AO55:AO56)))</f>
        <v/>
      </c>
      <c r="C37" s="744" t="str">
        <f>IF(B37="","",ABS(B37-B35/2))</f>
        <v/>
      </c>
      <c r="Q37" s="744" t="str">
        <f>IF(AND(Sheet1!AM129="",Sheet1!AM131=""),"",IF(Sheet1!AM129&lt;&gt;"",Sheet1!AJ129,Sheet1!AJ131))</f>
        <v/>
      </c>
      <c r="R37" s="744" t="str">
        <f>IF(AND(Sheet1!AM129="",Sheet1!AM131=""),"",IF(Sheet1!AM129&lt;&gt;"",AVERAGE(Sheet1!AO129:AO130),AVERAGE(Sheet1!AO131:AO132)))</f>
        <v/>
      </c>
      <c r="S37" s="744" t="str">
        <f>IF(R37="","",ABS(R37-R35/2))</f>
        <v/>
      </c>
    </row>
    <row r="38" spans="1:23">
      <c r="A38" s="744" t="str">
        <f>IF(OR(Sheet1!AM55="",AND(Sheet1!AM53="",Sheet1!AM55&lt;&gt;"")),"",Sheet1!AJ55)</f>
        <v/>
      </c>
      <c r="B38" s="744" t="str">
        <f>IF(OR(Sheet1!AM55="",AND(Sheet1!AM53="",Sheet1!AM55&lt;&gt;"")),"",AVERAGE(Sheet1!AO55:AO56))</f>
        <v/>
      </c>
      <c r="C38" s="744" t="str">
        <f>IF(B38="","",ABS(B38-B35/2))</f>
        <v/>
      </c>
      <c r="D38" s="743" t="s">
        <v>580</v>
      </c>
      <c r="E38" s="743" t="s">
        <v>581</v>
      </c>
      <c r="Q38" s="744" t="str">
        <f>IF(OR(Sheet1!AM131="",AND(Sheet1!AM129="",Sheet1!AM131&lt;&gt;"")),"",Sheet1!AJ131)</f>
        <v/>
      </c>
      <c r="R38" s="744" t="str">
        <f>IF(OR(Sheet1!AM131="",AND(Sheet1!AM129="",Sheet1!AM131&lt;&gt;"")),"",AVERAGE(Sheet1!AO131:AO132))</f>
        <v/>
      </c>
      <c r="S38" s="744" t="str">
        <f>IF(R38="","",ABS(R38-R35/2))</f>
        <v/>
      </c>
      <c r="T38" s="743" t="s">
        <v>580</v>
      </c>
      <c r="U38" s="743" t="s">
        <v>581</v>
      </c>
    </row>
    <row r="39" spans="1:23">
      <c r="A39" s="744" t="str">
        <f>G35</f>
        <v/>
      </c>
      <c r="B39" s="744" t="str">
        <f>IF(G35="","",EXP(TREND(E39:E40,D35:D36,A39)))</f>
        <v/>
      </c>
      <c r="D39" s="744" t="str">
        <f>IF(OR(B35="",B36=""),"",IF(A35=D35,B35,IF(A36=D35,B36,IF(A37=D35,B37,IF(A38=D35,B38)))))</f>
        <v/>
      </c>
      <c r="E39" s="744" t="str">
        <f>IF(D39="","",LN(D39))</f>
        <v/>
      </c>
      <c r="Q39" s="744" t="str">
        <f>W35</f>
        <v/>
      </c>
      <c r="R39" s="744" t="str">
        <f>IF(W35="","",EXP(TREND(U39:U40,T35:T36,Q39)))</f>
        <v/>
      </c>
      <c r="T39" s="744" t="str">
        <f>IF(OR(R35="",R36=""),"",IF(Q35=T35,R35,IF(Q36=T35,R36,IF(Q37=T35,R37,IF(Q38=T35,R38)))))</f>
        <v/>
      </c>
      <c r="U39" s="744" t="str">
        <f>IF(T39="","",LN(T39))</f>
        <v/>
      </c>
    </row>
    <row r="40" spans="1:23">
      <c r="D40" s="744" t="str">
        <f>IF(OR(B35="",B36=""),"",IF(A35=D36,B35,IF(A36=D36,B36,IF(A37=D36,B37,IF(A38=D36,B38)))))</f>
        <v/>
      </c>
      <c r="E40" s="744" t="str">
        <f>IF(D40="","",LN(D40))</f>
        <v/>
      </c>
      <c r="T40" s="744" t="str">
        <f>IF(OR(R35="",R36=""),"",IF(Q35=T36,R35,IF(Q36=T36,R36,IF(Q37=T36,R37,IF(Q38=T36,R38)))))</f>
        <v/>
      </c>
      <c r="U40" s="744" t="str">
        <f>IF(T40="","",LN(T40))</f>
        <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31" zoomScale="75" zoomScaleNormal="75" workbookViewId="0">
      <selection activeCell="J76" sqref="J7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874" t="s">
        <v>25</v>
      </c>
      <c r="C2" s="874"/>
      <c r="D2" s="874"/>
      <c r="E2" s="874"/>
      <c r="F2" s="874"/>
      <c r="G2" s="874"/>
      <c r="H2" s="874"/>
      <c r="I2" s="874"/>
      <c r="J2" s="874"/>
      <c r="K2" s="304"/>
      <c r="L2" s="874" t="s">
        <v>25</v>
      </c>
      <c r="M2" s="874"/>
      <c r="N2" s="874"/>
      <c r="O2" s="874"/>
      <c r="P2" s="874"/>
      <c r="Q2" s="874"/>
      <c r="R2" s="874"/>
      <c r="S2" s="874"/>
      <c r="T2" s="874"/>
      <c r="U2" s="304"/>
      <c r="V2" s="874" t="s">
        <v>25</v>
      </c>
      <c r="W2" s="874"/>
      <c r="X2" s="874"/>
      <c r="Y2" s="874"/>
      <c r="Z2" s="874"/>
      <c r="AA2" s="874"/>
      <c r="AB2" s="874"/>
      <c r="AC2" s="874"/>
      <c r="AD2" s="874"/>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875" t="s">
        <v>25</v>
      </c>
      <c r="C26" s="875"/>
      <c r="D26" s="875"/>
      <c r="E26" s="875"/>
      <c r="F26" s="875"/>
      <c r="G26" s="875"/>
      <c r="H26" s="875"/>
      <c r="I26" s="875"/>
      <c r="J26" s="875"/>
      <c r="K26" s="875"/>
      <c r="L26" s="875"/>
      <c r="M26" s="218"/>
      <c r="N26" s="304"/>
      <c r="O26" s="874" t="s">
        <v>25</v>
      </c>
      <c r="P26" s="874"/>
      <c r="Q26" s="874"/>
      <c r="R26" s="874"/>
      <c r="S26" s="874"/>
      <c r="T26" s="874"/>
      <c r="U26" s="874"/>
      <c r="V26" s="874"/>
      <c r="W26" s="874"/>
      <c r="X26" s="874"/>
      <c r="Y26" s="874"/>
      <c r="Z26" s="874"/>
      <c r="AA26" s="874"/>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876" t="s">
        <v>444</v>
      </c>
      <c r="C51" s="876" t="s">
        <v>445</v>
      </c>
      <c r="D51" s="878" t="s">
        <v>446</v>
      </c>
      <c r="E51" s="879"/>
      <c r="F51" s="879"/>
      <c r="G51" s="879"/>
      <c r="H51" s="879"/>
      <c r="I51" s="879"/>
      <c r="J51" s="879"/>
      <c r="K51" s="880"/>
    </row>
    <row r="52" spans="1:19" ht="14.1" customHeight="1">
      <c r="B52" s="877"/>
      <c r="C52" s="877"/>
      <c r="D52" s="233">
        <v>0.25</v>
      </c>
      <c r="E52" s="233">
        <v>0.3</v>
      </c>
      <c r="F52" s="233">
        <v>0.35</v>
      </c>
      <c r="G52" s="233">
        <v>0.4</v>
      </c>
      <c r="H52" s="233">
        <v>0.45</v>
      </c>
      <c r="I52" s="233">
        <v>0.5</v>
      </c>
      <c r="J52" s="233">
        <v>0.55000000000000004</v>
      </c>
      <c r="K52" s="233">
        <v>0.6</v>
      </c>
      <c r="L52" s="21" t="s">
        <v>447</v>
      </c>
      <c r="M52" s="21" t="s">
        <v>448</v>
      </c>
      <c r="N52" s="21" t="s">
        <v>663</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c r="N53" s="21">
        <f>RSQ(D53:K53,D52:K52)</f>
        <v>0.99882265140144821</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c r="N54" s="21">
        <f>RSQ(E54:K54,E52:K52)</f>
        <v>0.99502961082910224</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c r="N55" s="21">
        <f>RSQ(D55:K55,D52:K52)</f>
        <v>0.99799845311258839</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777">
        <f>SLOPE(D56:K56,$D$52:$K$52)</f>
        <v>-9.9285714285714269E-2</v>
      </c>
      <c r="M56" s="777">
        <f>INTERCEPT(D56:K56,$D$52:$K$52)</f>
        <v>1.1935357142857141</v>
      </c>
      <c r="N56" s="21">
        <f>RSQ(E56:K56,E52:K52)</f>
        <v>0.98455972278842285</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28" t="s">
        <v>269</v>
      </c>
      <c r="C62" s="728" t="s">
        <v>454</v>
      </c>
      <c r="D62" s="728" t="s">
        <v>335</v>
      </c>
      <c r="E62" s="259" t="s">
        <v>71</v>
      </c>
      <c r="F62" s="728" t="s">
        <v>269</v>
      </c>
      <c r="G62" s="728" t="s">
        <v>454</v>
      </c>
      <c r="H62" s="728" t="s">
        <v>335</v>
      </c>
      <c r="I62" s="259" t="s">
        <v>71</v>
      </c>
      <c r="J62" s="728" t="s">
        <v>269</v>
      </c>
      <c r="K62" s="728" t="s">
        <v>454</v>
      </c>
      <c r="L62" s="728" t="s">
        <v>335</v>
      </c>
      <c r="O62" s="846"/>
      <c r="P62" s="846"/>
      <c r="Q62" s="846"/>
      <c r="R62" s="846"/>
      <c r="S62" s="846"/>
    </row>
    <row r="63" spans="1:19" ht="14.1" customHeight="1">
      <c r="A63" s="728" t="str">
        <f>Sheet1!P371</f>
        <v>/</v>
      </c>
      <c r="B63" s="728">
        <f>Sheet1!Q371</f>
        <v>24</v>
      </c>
      <c r="C63" s="728">
        <f t="shared" ref="C63:C68" si="0">B63^2</f>
        <v>576</v>
      </c>
      <c r="D63" s="299" t="str">
        <f>Sheet1!V371</f>
        <v/>
      </c>
      <c r="E63" s="728" t="str">
        <f>Sheet1!P378</f>
        <v>/</v>
      </c>
      <c r="F63" s="728">
        <f>Sheet1!Q378</f>
        <v>28</v>
      </c>
      <c r="G63" s="728">
        <f t="shared" ref="G63:G67" si="1">F63^2</f>
        <v>784</v>
      </c>
      <c r="H63" s="299" t="str">
        <f>Sheet1!V378</f>
        <v/>
      </c>
      <c r="I63" s="300" t="str">
        <f>Sheet1!P384</f>
        <v>/</v>
      </c>
      <c r="J63" s="728">
        <f>Sheet1!Q384</f>
        <v>28</v>
      </c>
      <c r="K63" s="728">
        <f t="shared" ref="K63:K67" si="2">J63^2</f>
        <v>784</v>
      </c>
      <c r="L63" s="298" t="str">
        <f>Sheet1!V384</f>
        <v/>
      </c>
      <c r="O63" s="732"/>
      <c r="P63" s="732"/>
      <c r="Q63" s="732"/>
      <c r="R63" s="732"/>
      <c r="S63" s="732"/>
    </row>
    <row r="64" spans="1:19" ht="14.1" customHeight="1">
      <c r="A64" s="259"/>
      <c r="B64" s="728">
        <f>Sheet1!Q372</f>
        <v>25</v>
      </c>
      <c r="C64" s="728">
        <f t="shared" si="0"/>
        <v>625</v>
      </c>
      <c r="D64" s="299" t="str">
        <f>Sheet1!V372</f>
        <v/>
      </c>
      <c r="E64" s="259"/>
      <c r="F64" s="728">
        <f>Sheet1!Q379</f>
        <v>30</v>
      </c>
      <c r="G64" s="728">
        <f t="shared" si="1"/>
        <v>900</v>
      </c>
      <c r="H64" s="299" t="str">
        <f>Sheet1!V379</f>
        <v/>
      </c>
      <c r="I64" s="300"/>
      <c r="J64" s="728">
        <f>Sheet1!Q385</f>
        <v>30</v>
      </c>
      <c r="K64" s="728">
        <f t="shared" si="2"/>
        <v>900</v>
      </c>
      <c r="L64" s="298" t="str">
        <f>Sheet1!V385</f>
        <v/>
      </c>
      <c r="O64" s="270"/>
      <c r="P64" s="270"/>
      <c r="Q64" s="270"/>
      <c r="R64" s="270"/>
      <c r="S64" s="270"/>
    </row>
    <row r="65" spans="1:19" ht="14.1" customHeight="1">
      <c r="A65" s="728"/>
      <c r="B65" s="728">
        <f>Sheet1!Q373</f>
        <v>26</v>
      </c>
      <c r="C65" s="728">
        <f t="shared" si="0"/>
        <v>676</v>
      </c>
      <c r="D65" s="299" t="str">
        <f>Sheet1!V373</f>
        <v/>
      </c>
      <c r="E65" s="728"/>
      <c r="F65" s="728">
        <f>Sheet1!Q380</f>
        <v>32</v>
      </c>
      <c r="G65" s="728">
        <f t="shared" si="1"/>
        <v>1024</v>
      </c>
      <c r="H65" s="299" t="str">
        <f>Sheet1!V380</f>
        <v/>
      </c>
      <c r="I65" s="300"/>
      <c r="J65" s="728">
        <f>Sheet1!Q386</f>
        <v>32</v>
      </c>
      <c r="K65" s="728">
        <f t="shared" si="2"/>
        <v>1024</v>
      </c>
      <c r="L65" s="298" t="str">
        <f>Sheet1!V386</f>
        <v/>
      </c>
      <c r="O65" s="270"/>
      <c r="P65" s="270"/>
      <c r="Q65" s="270"/>
      <c r="R65" s="270"/>
      <c r="S65" s="270"/>
    </row>
    <row r="66" spans="1:19" ht="14.1" customHeight="1">
      <c r="A66" s="728"/>
      <c r="B66" s="728">
        <f>Sheet1!Q374</f>
        <v>28</v>
      </c>
      <c r="C66" s="728">
        <f t="shared" si="0"/>
        <v>784</v>
      </c>
      <c r="D66" s="299" t="str">
        <f>Sheet1!V374</f>
        <v/>
      </c>
      <c r="E66" s="728"/>
      <c r="F66" s="728">
        <f>Sheet1!Q381</f>
        <v>34</v>
      </c>
      <c r="G66" s="728">
        <f t="shared" si="1"/>
        <v>1156</v>
      </c>
      <c r="H66" s="299" t="str">
        <f>Sheet1!V381</f>
        <v/>
      </c>
      <c r="I66" s="300"/>
      <c r="J66" s="728">
        <f>Sheet1!Q387</f>
        <v>34</v>
      </c>
      <c r="K66" s="728">
        <f t="shared" si="2"/>
        <v>1156</v>
      </c>
      <c r="L66" s="298" t="str">
        <f>Sheet1!V387</f>
        <v/>
      </c>
      <c r="O66" s="270"/>
      <c r="P66" s="270"/>
      <c r="Q66" s="270"/>
      <c r="R66" s="270"/>
      <c r="S66" s="270"/>
    </row>
    <row r="67" spans="1:19" ht="14.1" customHeight="1">
      <c r="A67" s="728"/>
      <c r="B67" s="728">
        <f>Sheet1!Q375</f>
        <v>30</v>
      </c>
      <c r="C67" s="728">
        <f t="shared" si="0"/>
        <v>900</v>
      </c>
      <c r="D67" s="299" t="str">
        <f>Sheet1!V375</f>
        <v/>
      </c>
      <c r="E67" s="728"/>
      <c r="F67" s="728">
        <f>Sheet1!Q382</f>
        <v>36</v>
      </c>
      <c r="G67" s="728">
        <f t="shared" si="1"/>
        <v>1296</v>
      </c>
      <c r="H67" s="299" t="str">
        <f>Sheet1!V382</f>
        <v/>
      </c>
      <c r="I67" s="300"/>
      <c r="J67" s="728">
        <f>Sheet1!Q388</f>
        <v>38</v>
      </c>
      <c r="K67" s="728">
        <f t="shared" si="2"/>
        <v>1444</v>
      </c>
      <c r="L67" s="298" t="str">
        <f>Sheet1!V388</f>
        <v/>
      </c>
      <c r="O67" s="270"/>
      <c r="P67" s="270"/>
      <c r="Q67" s="270"/>
      <c r="R67" s="270"/>
      <c r="S67" s="270"/>
    </row>
    <row r="68" spans="1:19" ht="14.1" customHeight="1">
      <c r="A68" s="728"/>
      <c r="B68" s="728">
        <f>Sheet1!Q376</f>
        <v>32</v>
      </c>
      <c r="C68" s="728">
        <f t="shared" si="0"/>
        <v>1024</v>
      </c>
      <c r="D68" s="299" t="str">
        <f>Sheet1!V376</f>
        <v/>
      </c>
      <c r="E68" s="728"/>
      <c r="F68" s="728"/>
      <c r="G68" s="728"/>
      <c r="I68" s="271"/>
      <c r="L68" s="68"/>
      <c r="O68" s="270"/>
      <c r="P68" s="270"/>
      <c r="Q68" s="270"/>
      <c r="R68" s="270"/>
      <c r="S68" s="270"/>
    </row>
    <row r="69" spans="1:19" ht="14.1" customHeight="1">
      <c r="A69" s="728"/>
      <c r="B69" s="728"/>
      <c r="C69" s="728"/>
      <c r="D69" s="728" t="str">
        <f>A63</f>
        <v>/</v>
      </c>
      <c r="E69" s="728"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655</v>
      </c>
      <c r="N73" s="68"/>
      <c r="O73" s="270"/>
      <c r="P73" s="270"/>
      <c r="Q73" s="270"/>
      <c r="R73" s="270"/>
      <c r="S73" s="270"/>
    </row>
    <row r="74" spans="1:19" ht="14.1" customHeight="1">
      <c r="A74" s="259" t="s">
        <v>71</v>
      </c>
      <c r="B74" s="728" t="s">
        <v>269</v>
      </c>
      <c r="C74" s="728" t="s">
        <v>355</v>
      </c>
      <c r="D74" s="259" t="s">
        <v>71</v>
      </c>
      <c r="E74" s="728" t="s">
        <v>269</v>
      </c>
      <c r="F74" s="728" t="s">
        <v>355</v>
      </c>
      <c r="G74" s="259" t="s">
        <v>71</v>
      </c>
      <c r="H74" s="728" t="s">
        <v>269</v>
      </c>
      <c r="I74" s="728" t="s">
        <v>355</v>
      </c>
      <c r="K74" s="276" t="s">
        <v>23</v>
      </c>
      <c r="L74" s="276" t="s">
        <v>24</v>
      </c>
      <c r="M74" s="276" t="s">
        <v>459</v>
      </c>
      <c r="O74" s="270"/>
      <c r="P74" s="270"/>
      <c r="Q74" s="270"/>
      <c r="R74" s="270"/>
      <c r="S74" s="270"/>
    </row>
    <row r="75" spans="1:19" ht="14.1" customHeight="1">
      <c r="A75" s="728" t="str">
        <f>Sheet1!P371</f>
        <v>/</v>
      </c>
      <c r="B75" s="271" t="str">
        <f>'HVL Processing'!E3</f>
        <v/>
      </c>
      <c r="C75" s="271" t="str">
        <f>'HVL Processing'!G3</f>
        <v/>
      </c>
      <c r="D75" s="728" t="str">
        <f>Sheet1!P378</f>
        <v>/</v>
      </c>
      <c r="E75" s="271" t="str">
        <f>'HVL Processing'!M3</f>
        <v/>
      </c>
      <c r="F75" s="271" t="str">
        <f>'HVL Processing'!O3</f>
        <v/>
      </c>
      <c r="G75" s="728" t="str">
        <f>Sheet1!P384</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28"/>
      <c r="B77" s="271" t="str">
        <f>'HVL Processing'!E19</f>
        <v/>
      </c>
      <c r="C77" s="271" t="str">
        <f>'HVL Processing'!G19</f>
        <v/>
      </c>
      <c r="D77" s="728"/>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28" t="str">
        <f>A75</f>
        <v>/</v>
      </c>
      <c r="E80" s="728" t="str">
        <f>D75</f>
        <v>/</v>
      </c>
      <c r="F80" s="728" t="str">
        <f>G75</f>
        <v>/</v>
      </c>
      <c r="K80" s="305"/>
      <c r="L80" s="305" t="s">
        <v>463</v>
      </c>
      <c r="M80" s="305"/>
      <c r="O80" s="270"/>
      <c r="P80" s="270"/>
      <c r="Q80" s="270"/>
      <c r="R80" s="270"/>
      <c r="S80" s="270"/>
    </row>
    <row r="81" spans="1:19" ht="14.1" customHeight="1">
      <c r="C81" s="35" t="s">
        <v>457</v>
      </c>
      <c r="D81" s="728" t="e">
        <f>SLOPE(C75:C79,B75:B79)</f>
        <v>#DIV/0!</v>
      </c>
      <c r="E81" s="728" t="e">
        <f>SLOPE(F75:F78,E75:E78)</f>
        <v>#DIV/0!</v>
      </c>
      <c r="F81" s="728" t="e">
        <f>SLOPE(I75:I78,H75:H78)</f>
        <v>#DIV/0!</v>
      </c>
      <c r="K81" s="305"/>
      <c r="L81" s="305"/>
      <c r="M81" s="305"/>
      <c r="O81" s="270"/>
      <c r="P81" s="270"/>
      <c r="Q81" s="270"/>
      <c r="R81" s="270"/>
      <c r="S81" s="270"/>
    </row>
    <row r="82" spans="1:19" ht="14.1" customHeight="1">
      <c r="C82" s="35" t="s">
        <v>458</v>
      </c>
      <c r="D82" s="728" t="e">
        <f>INTERCEPT(C75:C79,B75:B79)</f>
        <v>#DIV/0!</v>
      </c>
      <c r="E82" s="728" t="e">
        <f>INTERCEPT(F75:F78,E75:E78)</f>
        <v>#DIV/0!</v>
      </c>
      <c r="F82" s="728"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"&amp;Sheet1!$T$259&amp;" kV and HVL="&amp;ROUND(Sheet1!$X$262,2)&amp;"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IF(Sheet1!$X$262="","",VLOOKUP(Sheet1!X262,A3:J23,MATCH(Sheet1!T259,A3:J3,0)))</f>
        <v/>
      </c>
      <c r="B86" s="6" t="str">
        <f>IF(Sheet1!$X$262="","",VLOOKUP(Sheet1!X262,K3:T23,MATCH(Sheet1!T259,K3:T3,0)))</f>
        <v/>
      </c>
      <c r="C86" s="6" t="str">
        <f>IF(Sheet1!$X$262="","",VLOOKUP(Sheet1!X262,U3:AD23,MATCH(Sheet1!T259,U3:AD3,0)))</f>
        <v/>
      </c>
      <c r="D86" s="299" t="str">
        <f>IF(Sheet1!$X$262="","",(L53*Sheet1!$X$262+M53)*(L54*Sheet1!$X$262+M54)*HLOOKUP(Sheet1!$Q$260,B58:D59,2))</f>
        <v/>
      </c>
      <c r="E86" s="728" t="e">
        <f>IF(ISERR(Sheet1!$X$262),"TBD",VLOOKUP(Sheet1!X262,N27:AA48,MATCH(Sheet1!$T$259,N27:AA27,0)))</f>
        <v>#N/A</v>
      </c>
      <c r="F86" s="728" t="e">
        <f>IF(ISERR(Sheet1!$X$262),"TBD",VLOOKUP(Sheet1!X262,A27:M48,MATCH(Sheet1!T259,A27:M27,0)))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28"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28"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28"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28"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28"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28"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28" t="s">
        <v>269</v>
      </c>
      <c r="D101" s="11" t="s">
        <v>467</v>
      </c>
      <c r="E101" s="11" t="s">
        <v>468</v>
      </c>
      <c r="F101" s="11" t="s">
        <v>454</v>
      </c>
      <c r="G101" s="11" t="s">
        <v>469</v>
      </c>
      <c r="H101" s="11" t="s">
        <v>470</v>
      </c>
      <c r="N101" s="68"/>
      <c r="O101" s="270"/>
      <c r="P101" s="270"/>
      <c r="Q101" s="270"/>
      <c r="R101" s="270"/>
      <c r="S101" s="270"/>
    </row>
    <row r="102" spans="1:19" ht="14.1" customHeight="1">
      <c r="A102" s="21" t="s">
        <v>238</v>
      </c>
      <c r="B102" s="728"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28"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28" t="s">
        <v>269</v>
      </c>
      <c r="D105" s="11" t="s">
        <v>467</v>
      </c>
      <c r="E105" s="11" t="s">
        <v>468</v>
      </c>
      <c r="F105" s="11" t="s">
        <v>454</v>
      </c>
      <c r="G105" s="11" t="s">
        <v>469</v>
      </c>
      <c r="H105" s="11" t="s">
        <v>470</v>
      </c>
      <c r="N105" s="68"/>
      <c r="O105" s="270"/>
      <c r="P105" s="270"/>
      <c r="Q105" s="270"/>
      <c r="R105" s="270"/>
      <c r="S105" s="270"/>
    </row>
    <row r="106" spans="1:19" ht="14.1" customHeight="1">
      <c r="B106" s="728"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28"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28"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28"/>
      <c r="C111" s="235" t="s">
        <v>480</v>
      </c>
      <c r="D111" s="11">
        <v>-24.875</v>
      </c>
      <c r="E111" s="11">
        <v>1.8031999999999999</v>
      </c>
      <c r="F111" s="11"/>
      <c r="G111" s="11"/>
      <c r="H111" s="11"/>
      <c r="N111" s="68"/>
      <c r="O111" s="270"/>
      <c r="P111" s="270"/>
      <c r="Q111" s="270"/>
      <c r="R111" s="270"/>
      <c r="S111" s="270"/>
    </row>
    <row r="112" spans="1:19" ht="14.1" customHeight="1">
      <c r="B112" s="728"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28" t="s">
        <v>482</v>
      </c>
      <c r="D116" s="728" t="s">
        <v>483</v>
      </c>
      <c r="E116" s="728" t="s">
        <v>484</v>
      </c>
      <c r="F116" s="728" t="s">
        <v>485</v>
      </c>
      <c r="G116" s="728" t="s">
        <v>486</v>
      </c>
      <c r="N116" s="68"/>
      <c r="O116" s="270"/>
      <c r="P116" s="270"/>
      <c r="Q116" s="270"/>
      <c r="R116" s="270"/>
      <c r="S116" s="270"/>
    </row>
    <row r="117" spans="1:19" ht="14.1" customHeight="1">
      <c r="B117" s="35" t="s">
        <v>416</v>
      </c>
      <c r="C117" s="728" t="s">
        <v>487</v>
      </c>
      <c r="D117" s="728" t="s">
        <v>488</v>
      </c>
      <c r="E117" s="728" t="s">
        <v>489</v>
      </c>
      <c r="F117" s="728" t="s">
        <v>488</v>
      </c>
      <c r="G117" s="728" t="s">
        <v>326</v>
      </c>
      <c r="N117" s="68"/>
      <c r="O117" s="270"/>
      <c r="P117" s="270"/>
      <c r="Q117" s="270"/>
      <c r="R117" s="270"/>
      <c r="S117" s="270"/>
    </row>
    <row r="118" spans="1:19" ht="14.1" customHeight="1">
      <c r="B118" s="35" t="s">
        <v>422</v>
      </c>
      <c r="C118" s="728" t="s">
        <v>487</v>
      </c>
      <c r="D118" s="728" t="s">
        <v>488</v>
      </c>
      <c r="E118" s="728" t="s">
        <v>488</v>
      </c>
      <c r="F118" s="728" t="s">
        <v>488</v>
      </c>
      <c r="G118" s="728" t="s">
        <v>326</v>
      </c>
      <c r="N118" s="68"/>
      <c r="O118" s="270"/>
      <c r="P118" s="270"/>
      <c r="Q118" s="270"/>
      <c r="R118" s="270"/>
      <c r="S118" s="270"/>
    </row>
    <row r="119" spans="1:19" ht="14.1" customHeight="1">
      <c r="B119" s="35" t="s">
        <v>490</v>
      </c>
      <c r="C119" s="728" t="s">
        <v>487</v>
      </c>
      <c r="D119" s="728" t="s">
        <v>488</v>
      </c>
      <c r="E119" s="728" t="s">
        <v>489</v>
      </c>
      <c r="F119" s="728" t="s">
        <v>488</v>
      </c>
      <c r="G119" s="728" t="s">
        <v>326</v>
      </c>
      <c r="N119" s="68"/>
      <c r="O119" s="270"/>
      <c r="P119" s="270"/>
      <c r="Q119" s="270"/>
      <c r="R119" s="270"/>
      <c r="S119" s="270"/>
    </row>
    <row r="120" spans="1:19" ht="14.1" customHeight="1">
      <c r="B120" s="35" t="s">
        <v>491</v>
      </c>
      <c r="C120" s="728" t="s">
        <v>487</v>
      </c>
      <c r="D120" s="728" t="s">
        <v>488</v>
      </c>
      <c r="E120" s="728" t="s">
        <v>488</v>
      </c>
      <c r="F120" s="728" t="s">
        <v>488</v>
      </c>
      <c r="G120" s="728" t="s">
        <v>326</v>
      </c>
      <c r="N120" s="68"/>
      <c r="O120" s="270"/>
      <c r="P120" s="270"/>
      <c r="Q120" s="270"/>
      <c r="R120" s="270"/>
      <c r="S120" s="270"/>
    </row>
    <row r="121" spans="1:19" ht="14.1" customHeight="1">
      <c r="B121" s="35" t="s">
        <v>492</v>
      </c>
      <c r="C121" s="728" t="s">
        <v>487</v>
      </c>
      <c r="D121" s="728" t="s">
        <v>488</v>
      </c>
      <c r="E121" s="728" t="s">
        <v>488</v>
      </c>
      <c r="F121" s="728" t="s">
        <v>488</v>
      </c>
      <c r="G121" s="728" t="s">
        <v>326</v>
      </c>
      <c r="N121" s="68"/>
      <c r="O121" s="270"/>
      <c r="P121" s="270"/>
      <c r="Q121" s="270"/>
      <c r="R121" s="270"/>
      <c r="S121" s="270"/>
    </row>
    <row r="122" spans="1:19" ht="14.1" customHeight="1">
      <c r="B122" s="35" t="s">
        <v>493</v>
      </c>
      <c r="C122" s="728" t="s">
        <v>487</v>
      </c>
      <c r="D122" s="728" t="s">
        <v>488</v>
      </c>
      <c r="E122" s="728" t="s">
        <v>488</v>
      </c>
      <c r="F122" s="728" t="s">
        <v>488</v>
      </c>
      <c r="G122" s="728" t="s">
        <v>326</v>
      </c>
      <c r="N122" s="68"/>
      <c r="O122" s="270"/>
      <c r="P122" s="270"/>
      <c r="Q122" s="270"/>
      <c r="R122" s="270"/>
      <c r="S122" s="270"/>
    </row>
    <row r="123" spans="1:19" ht="14.1" customHeight="1">
      <c r="B123" s="35" t="s">
        <v>295</v>
      </c>
      <c r="C123" s="728" t="s">
        <v>487</v>
      </c>
      <c r="D123" s="728" t="s">
        <v>488</v>
      </c>
      <c r="E123" s="728" t="s">
        <v>488</v>
      </c>
      <c r="F123" s="728" t="s">
        <v>488</v>
      </c>
      <c r="G123" s="728" t="s">
        <v>326</v>
      </c>
      <c r="N123" s="68"/>
      <c r="O123" s="270"/>
      <c r="P123" s="270"/>
      <c r="Q123" s="270"/>
      <c r="R123" s="270"/>
      <c r="S123" s="270"/>
    </row>
    <row r="124" spans="1:19" ht="14.1" customHeight="1">
      <c r="B124" s="35" t="s">
        <v>494</v>
      </c>
      <c r="C124" s="728" t="s">
        <v>487</v>
      </c>
      <c r="D124" s="728" t="s">
        <v>488</v>
      </c>
      <c r="E124" s="728" t="s">
        <v>488</v>
      </c>
      <c r="F124" s="728" t="s">
        <v>488</v>
      </c>
      <c r="G124" s="728" t="s">
        <v>326</v>
      </c>
      <c r="N124" s="68"/>
      <c r="O124" s="270"/>
      <c r="P124" s="270"/>
      <c r="Q124" s="270"/>
      <c r="R124" s="270"/>
      <c r="S124" s="270"/>
    </row>
    <row r="125" spans="1:19" ht="14.1" customHeight="1">
      <c r="B125" s="35" t="s">
        <v>495</v>
      </c>
      <c r="C125" s="728" t="s">
        <v>487</v>
      </c>
      <c r="D125" s="728" t="s">
        <v>488</v>
      </c>
      <c r="E125" s="728" t="s">
        <v>488</v>
      </c>
      <c r="F125" s="728" t="s">
        <v>488</v>
      </c>
      <c r="G125" s="728" t="s">
        <v>326</v>
      </c>
      <c r="N125" s="68"/>
      <c r="O125" s="68"/>
      <c r="P125" s="68"/>
      <c r="Q125" s="68"/>
      <c r="R125" s="68"/>
      <c r="S125" s="68"/>
    </row>
    <row r="126" spans="1:19" ht="14.1" customHeight="1">
      <c r="B126" s="35" t="s">
        <v>355</v>
      </c>
      <c r="C126" s="728" t="s">
        <v>487</v>
      </c>
      <c r="D126" s="728" t="s">
        <v>488</v>
      </c>
      <c r="E126" s="728" t="s">
        <v>488</v>
      </c>
      <c r="F126" s="728" t="s">
        <v>488</v>
      </c>
      <c r="G126" s="728" t="s">
        <v>326</v>
      </c>
    </row>
    <row r="127" spans="1:19" ht="14.1" customHeight="1">
      <c r="B127" s="35" t="s">
        <v>269</v>
      </c>
      <c r="C127" s="728" t="s">
        <v>487</v>
      </c>
      <c r="D127" s="728" t="s">
        <v>488</v>
      </c>
      <c r="E127" s="728" t="s">
        <v>488</v>
      </c>
      <c r="F127" s="728" t="s">
        <v>488</v>
      </c>
      <c r="G127" s="728"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0" customWidth="1"/>
    <col min="2" max="16384" width="9" style="500"/>
  </cols>
  <sheetData>
    <row r="1" spans="1:1">
      <c r="A1" s="569" t="s">
        <v>506</v>
      </c>
    </row>
    <row r="2" spans="1:1">
      <c r="A2" s="500" t="s">
        <v>507</v>
      </c>
    </row>
    <row r="3" spans="1:1">
      <c r="A3" s="500" t="s">
        <v>508</v>
      </c>
    </row>
    <row r="5" spans="1:1">
      <c r="A5" s="569" t="s">
        <v>509</v>
      </c>
    </row>
    <row r="6" spans="1:1">
      <c r="A6" s="500" t="s">
        <v>507</v>
      </c>
    </row>
    <row r="7" spans="1:1">
      <c r="A7" s="500" t="s">
        <v>508</v>
      </c>
    </row>
    <row r="8" spans="1:1">
      <c r="A8" s="500" t="s">
        <v>510</v>
      </c>
    </row>
    <row r="10" spans="1:1">
      <c r="A10" s="568" t="s">
        <v>511</v>
      </c>
    </row>
    <row r="11" spans="1:1">
      <c r="A11" s="567">
        <v>6</v>
      </c>
    </row>
    <row r="12" spans="1:1">
      <c r="A12" s="567">
        <v>5.5</v>
      </c>
    </row>
    <row r="13" spans="1:1">
      <c r="A13" s="567">
        <v>5</v>
      </c>
    </row>
    <row r="14" spans="1:1">
      <c r="A14" s="567">
        <v>4.5</v>
      </c>
    </row>
    <row r="15" spans="1:1">
      <c r="A15" s="567">
        <v>4</v>
      </c>
    </row>
    <row r="16" spans="1:1">
      <c r="A16" s="567">
        <v>3.5</v>
      </c>
    </row>
    <row r="17" spans="1:1">
      <c r="A17" s="567">
        <v>3</v>
      </c>
    </row>
    <row r="18" spans="1:1">
      <c r="A18" s="567">
        <v>2.5</v>
      </c>
    </row>
    <row r="19" spans="1:1">
      <c r="A19" s="567">
        <v>2</v>
      </c>
    </row>
    <row r="20" spans="1:1">
      <c r="A20" s="567">
        <v>1.5</v>
      </c>
    </row>
    <row r="21" spans="1:1">
      <c r="A21" s="567">
        <v>1</v>
      </c>
    </row>
    <row r="22" spans="1:1">
      <c r="A22" s="567">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QC Test Summary-Siemens</vt:lpstr>
      <vt:lpstr>Tech QC Eval-Siemens</vt:lpstr>
      <vt:lpstr>MQSA Requirements</vt:lpstr>
      <vt:lpstr>Sheet1</vt:lpstr>
      <vt:lpstr>HVL Processing</vt:lpstr>
      <vt:lpstr>Tables</vt:lpstr>
      <vt:lpstr>Corrected kV</vt:lpstr>
      <vt:lpstr>dropdowns</vt:lpstr>
      <vt:lpstr>ESE</vt:lpstr>
      <vt:lpstr>FiberLst</vt:lpstr>
      <vt:lpstr>MGD</vt:lpstr>
      <vt:lpstr>NA</vt:lpstr>
      <vt:lpstr>PF</vt:lpstr>
      <vt:lpstr>'MQSA Requirements'!Print_Area</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2016-10-20T13:07:42Z</dcterms:modified>
</cp:coreProperties>
</file>