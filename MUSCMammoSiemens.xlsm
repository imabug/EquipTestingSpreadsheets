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ugenem\Documents\GitHub\EquipTestingSpreadsheets\"/>
    </mc:Choice>
  </mc:AlternateContent>
  <bookViews>
    <workbookView xWindow="0" yWindow="0" windowWidth="20490" windowHeight="9630"/>
  </bookViews>
  <sheets>
    <sheet name="Sheet1" sheetId="1" r:id="rId1"/>
    <sheet name="QC Test Summary-Siemens" sheetId="2" r:id="rId2"/>
    <sheet name="Tech QC Eval-Siemens" sheetId="3" r:id="rId3"/>
    <sheet name="Tables" sheetId="4" r:id="rId4"/>
    <sheet name="Corrected kV" sheetId="5" r:id="rId5"/>
    <sheet name="dropdowns" sheetId="6" r:id="rId6"/>
  </sheets>
  <definedNames>
    <definedName name="ESE">Sheet1!$X$269</definedName>
    <definedName name="MGD">Sheet1!$X$271</definedName>
    <definedName name="_xlnm.Print_Area" localSheetId="0">Sheet1!$B$1:$M$432</definedName>
  </definedNames>
  <calcPr calcId="152511"/>
</workbook>
</file>

<file path=xl/calcChain.xml><?xml version="1.0" encoding="utf-8"?>
<calcChain xmlns="http://schemas.openxmlformats.org/spreadsheetml/2006/main">
  <c r="F73" i="4" l="1"/>
  <c r="E73" i="4"/>
  <c r="D73" i="4"/>
  <c r="D79" i="4"/>
  <c r="D71" i="4"/>
  <c r="D428" i="1"/>
  <c r="D427" i="1"/>
  <c r="D426" i="1"/>
  <c r="D425" i="1"/>
  <c r="D424" i="1"/>
  <c r="D423" i="1"/>
  <c r="R404" i="1"/>
  <c r="S403" i="1"/>
  <c r="T404" i="1" s="1"/>
  <c r="R402" i="1"/>
  <c r="S401" i="1"/>
  <c r="T402" i="1" s="1"/>
  <c r="D420" i="1" l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21" i="1"/>
  <c r="D422" i="1"/>
  <c r="R400" i="1"/>
  <c r="S399" i="1"/>
  <c r="T400" i="1" s="1"/>
  <c r="R398" i="1"/>
  <c r="S397" i="1"/>
  <c r="T398" i="1" s="1"/>
  <c r="R396" i="1"/>
  <c r="S395" i="1"/>
  <c r="T396" i="1" s="1"/>
  <c r="R394" i="1"/>
  <c r="S393" i="1"/>
  <c r="T394" i="1" s="1"/>
  <c r="R392" i="1"/>
  <c r="S391" i="1"/>
  <c r="T392" i="1" s="1"/>
  <c r="R390" i="1"/>
  <c r="S389" i="1"/>
  <c r="T390" i="1" s="1"/>
  <c r="M132" i="1" l="1"/>
  <c r="L132" i="1"/>
  <c r="M131" i="1"/>
  <c r="L131" i="1"/>
  <c r="M130" i="1"/>
  <c r="L130" i="1"/>
  <c r="M129" i="1"/>
  <c r="L129" i="1"/>
  <c r="M128" i="1"/>
  <c r="L128" i="1"/>
  <c r="J398" i="1"/>
  <c r="I398" i="1"/>
  <c r="J397" i="1"/>
  <c r="I397" i="1"/>
  <c r="J396" i="1"/>
  <c r="I396" i="1"/>
  <c r="J395" i="1"/>
  <c r="I395" i="1"/>
  <c r="J394" i="1"/>
  <c r="I394" i="1"/>
  <c r="H398" i="1"/>
  <c r="H397" i="1"/>
  <c r="H396" i="1"/>
  <c r="H395" i="1"/>
  <c r="H394" i="1"/>
  <c r="M432" i="1"/>
  <c r="D432" i="1"/>
  <c r="M431" i="1"/>
  <c r="D431" i="1"/>
  <c r="M362" i="1"/>
  <c r="M361" i="1"/>
  <c r="I292" i="1"/>
  <c r="I291" i="1"/>
  <c r="F291" i="1"/>
  <c r="D291" i="1"/>
  <c r="F257" i="1"/>
  <c r="E257" i="1"/>
  <c r="F256" i="1"/>
  <c r="E256" i="1"/>
  <c r="F255" i="1"/>
  <c r="E255" i="1"/>
  <c r="F254" i="1"/>
  <c r="E254" i="1"/>
  <c r="F253" i="1"/>
  <c r="E253" i="1"/>
  <c r="D257" i="1"/>
  <c r="D256" i="1"/>
  <c r="D255" i="1"/>
  <c r="D254" i="1"/>
  <c r="D253" i="1"/>
  <c r="G241" i="1"/>
  <c r="F241" i="1"/>
  <c r="E241" i="1"/>
  <c r="G240" i="1"/>
  <c r="F240" i="1"/>
  <c r="E240" i="1"/>
  <c r="G239" i="1"/>
  <c r="F239" i="1"/>
  <c r="E239" i="1"/>
  <c r="G238" i="1"/>
  <c r="F238" i="1"/>
  <c r="E238" i="1"/>
  <c r="G237" i="1"/>
  <c r="F237" i="1"/>
  <c r="E237" i="1"/>
  <c r="D241" i="1"/>
  <c r="D240" i="1"/>
  <c r="D239" i="1"/>
  <c r="D238" i="1"/>
  <c r="D237" i="1"/>
  <c r="I233" i="1"/>
  <c r="G233" i="1"/>
  <c r="D233" i="1"/>
  <c r="C230" i="1"/>
  <c r="C229" i="1"/>
  <c r="G226" i="1"/>
  <c r="F226" i="1"/>
  <c r="E226" i="1"/>
  <c r="D226" i="1"/>
  <c r="G225" i="1"/>
  <c r="F225" i="1"/>
  <c r="E225" i="1"/>
  <c r="D225" i="1"/>
  <c r="G224" i="1"/>
  <c r="F224" i="1"/>
  <c r="E224" i="1"/>
  <c r="D224" i="1"/>
  <c r="G223" i="1"/>
  <c r="F223" i="1"/>
  <c r="E223" i="1"/>
  <c r="D223" i="1"/>
  <c r="C226" i="1"/>
  <c r="C225" i="1"/>
  <c r="C224" i="1"/>
  <c r="J220" i="1"/>
  <c r="D359" i="1"/>
  <c r="D287" i="1"/>
  <c r="D71" i="1"/>
  <c r="D143" i="1"/>
  <c r="M195" i="1"/>
  <c r="L195" i="1"/>
  <c r="M194" i="1"/>
  <c r="L194" i="1"/>
  <c r="K195" i="1"/>
  <c r="K194" i="1"/>
  <c r="J195" i="1"/>
  <c r="I195" i="1"/>
  <c r="J194" i="1"/>
  <c r="I194" i="1"/>
  <c r="H198" i="1" s="1"/>
  <c r="H195" i="1"/>
  <c r="H194" i="1"/>
  <c r="L185" i="1"/>
  <c r="I185" i="1"/>
  <c r="E207" i="1"/>
  <c r="E206" i="1"/>
  <c r="E205" i="1"/>
  <c r="E204" i="1"/>
  <c r="D198" i="1"/>
  <c r="D197" i="1"/>
  <c r="D196" i="1"/>
  <c r="D195" i="1"/>
  <c r="D194" i="1"/>
  <c r="D185" i="1"/>
  <c r="F150" i="1"/>
  <c r="F149" i="1"/>
  <c r="F148" i="1"/>
  <c r="M125" i="1"/>
  <c r="L125" i="1"/>
  <c r="M124" i="1"/>
  <c r="L124" i="1"/>
  <c r="M123" i="1"/>
  <c r="L123" i="1"/>
  <c r="M122" i="1"/>
  <c r="L122" i="1"/>
  <c r="M121" i="1"/>
  <c r="L121" i="1"/>
  <c r="M120" i="1"/>
  <c r="L120" i="1"/>
  <c r="M119" i="1"/>
  <c r="L119" i="1"/>
  <c r="M118" i="1"/>
  <c r="L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W311" i="1"/>
  <c r="V311" i="1"/>
  <c r="J349" i="1" s="1"/>
  <c r="U311" i="1"/>
  <c r="I349" i="1" s="1"/>
  <c r="W310" i="1"/>
  <c r="K348" i="1" s="1"/>
  <c r="V310" i="1"/>
  <c r="J348" i="1" s="1"/>
  <c r="U310" i="1"/>
  <c r="I348" i="1" s="1"/>
  <c r="W309" i="1"/>
  <c r="K347" i="1" s="1"/>
  <c r="V309" i="1"/>
  <c r="J347" i="1" s="1"/>
  <c r="U309" i="1"/>
  <c r="I347" i="1" s="1"/>
  <c r="W308" i="1"/>
  <c r="K346" i="1" s="1"/>
  <c r="V308" i="1"/>
  <c r="U308" i="1"/>
  <c r="I346" i="1" s="1"/>
  <c r="Y315" i="1"/>
  <c r="X315" i="1"/>
  <c r="Y311" i="1" l="1"/>
  <c r="M349" i="1" s="1"/>
  <c r="K349" i="1"/>
  <c r="V313" i="1"/>
  <c r="J351" i="1" s="1"/>
  <c r="J346" i="1"/>
  <c r="Y309" i="1"/>
  <c r="M347" i="1" s="1"/>
  <c r="Y310" i="1"/>
  <c r="M348" i="1" s="1"/>
  <c r="U312" i="1"/>
  <c r="I350" i="1" s="1"/>
  <c r="W313" i="1"/>
  <c r="K351" i="1" s="1"/>
  <c r="Y308" i="1"/>
  <c r="V312" i="1"/>
  <c r="U313" i="1"/>
  <c r="I351" i="1" s="1"/>
  <c r="W312" i="1"/>
  <c r="V314" i="1" l="1"/>
  <c r="J350" i="1"/>
  <c r="W314" i="1"/>
  <c r="K352" i="1" s="1"/>
  <c r="K350" i="1"/>
  <c r="Y313" i="1"/>
  <c r="M351" i="1" s="1"/>
  <c r="M346" i="1"/>
  <c r="U314" i="1"/>
  <c r="I352" i="1" s="1"/>
  <c r="Y312" i="1"/>
  <c r="M350" i="1" s="1"/>
  <c r="M353" i="1" s="1"/>
  <c r="Y314" i="1" l="1"/>
  <c r="AD89" i="1"/>
  <c r="X306" i="1" l="1"/>
  <c r="L344" i="1" s="1"/>
  <c r="V305" i="1"/>
  <c r="J343" i="1" s="1"/>
  <c r="X305" i="1"/>
  <c r="L343" i="1" s="1"/>
  <c r="X371" i="1"/>
  <c r="W371" i="1"/>
  <c r="V371" i="1"/>
  <c r="X370" i="1"/>
  <c r="W370" i="1"/>
  <c r="V370" i="1"/>
  <c r="X369" i="1"/>
  <c r="W369" i="1"/>
  <c r="V369" i="1"/>
  <c r="X368" i="1"/>
  <c r="W368" i="1"/>
  <c r="V368" i="1"/>
  <c r="X367" i="1"/>
  <c r="W367" i="1"/>
  <c r="V367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X309" i="1" l="1"/>
  <c r="L347" i="1" s="1"/>
  <c r="X308" i="1"/>
  <c r="L346" i="1" s="1"/>
  <c r="X310" i="1"/>
  <c r="L348" i="1" s="1"/>
  <c r="X311" i="1"/>
  <c r="L349" i="1" s="1"/>
  <c r="V339" i="1"/>
  <c r="V338" i="1"/>
  <c r="U338" i="1"/>
  <c r="U337" i="1"/>
  <c r="T337" i="1"/>
  <c r="T336" i="1"/>
  <c r="S337" i="1"/>
  <c r="S336" i="1"/>
  <c r="R336" i="1"/>
  <c r="R337" i="1"/>
  <c r="Q335" i="1"/>
  <c r="Q336" i="1"/>
  <c r="V340" i="1"/>
  <c r="U340" i="1"/>
  <c r="T340" i="1"/>
  <c r="S340" i="1"/>
  <c r="R340" i="1"/>
  <c r="Q340" i="1"/>
  <c r="V334" i="1"/>
  <c r="U334" i="1"/>
  <c r="T334" i="1"/>
  <c r="S334" i="1"/>
  <c r="R334" i="1"/>
  <c r="Q334" i="1"/>
  <c r="V332" i="1"/>
  <c r="H76" i="4" s="1"/>
  <c r="V331" i="1"/>
  <c r="I375" i="1" s="1"/>
  <c r="U332" i="1"/>
  <c r="H75" i="4" s="1"/>
  <c r="U331" i="1"/>
  <c r="T332" i="1"/>
  <c r="T343" i="1" s="1"/>
  <c r="G378" i="1" s="1"/>
  <c r="T331" i="1"/>
  <c r="G375" i="1" s="1"/>
  <c r="S332" i="1"/>
  <c r="S344" i="1" s="1"/>
  <c r="F379" i="1" s="1"/>
  <c r="S331" i="1"/>
  <c r="R331" i="1"/>
  <c r="E375" i="1" s="1"/>
  <c r="R332" i="1"/>
  <c r="R343" i="1" s="1"/>
  <c r="E378" i="1" s="1"/>
  <c r="Q332" i="1"/>
  <c r="Q343" i="1" s="1"/>
  <c r="D378" i="1" s="1"/>
  <c r="Q331" i="1"/>
  <c r="A75" i="4" l="1"/>
  <c r="D78" i="4" s="1"/>
  <c r="D375" i="1"/>
  <c r="D75" i="4"/>
  <c r="E78" i="4" s="1"/>
  <c r="F375" i="1"/>
  <c r="G75" i="4"/>
  <c r="F78" i="4" s="1"/>
  <c r="H375" i="1"/>
  <c r="V341" i="1"/>
  <c r="X313" i="1"/>
  <c r="L351" i="1" s="1"/>
  <c r="X312" i="1"/>
  <c r="L350" i="1" s="1"/>
  <c r="U341" i="1"/>
  <c r="B75" i="4"/>
  <c r="R341" i="1"/>
  <c r="E75" i="4"/>
  <c r="S343" i="1"/>
  <c r="F378" i="1" s="1"/>
  <c r="E76" i="4"/>
  <c r="T344" i="1"/>
  <c r="G379" i="1" s="1"/>
  <c r="Q341" i="1"/>
  <c r="T341" i="1"/>
  <c r="S341" i="1"/>
  <c r="C76" i="4" l="1"/>
  <c r="E376" i="1"/>
  <c r="F75" i="4"/>
  <c r="F376" i="1"/>
  <c r="I76" i="4"/>
  <c r="I376" i="1"/>
  <c r="F76" i="4"/>
  <c r="G376" i="1"/>
  <c r="I75" i="4"/>
  <c r="H376" i="1"/>
  <c r="C75" i="4"/>
  <c r="D376" i="1"/>
  <c r="X314" i="1"/>
  <c r="L352" i="1" s="1"/>
  <c r="AD88" i="1"/>
  <c r="F79" i="4"/>
  <c r="F80" i="4"/>
  <c r="E80" i="4"/>
  <c r="E79" i="4"/>
  <c r="S325" i="1"/>
  <c r="R325" i="1"/>
  <c r="Q325" i="1"/>
  <c r="S324" i="1"/>
  <c r="R324" i="1"/>
  <c r="Q324" i="1"/>
  <c r="S322" i="1"/>
  <c r="R322" i="1"/>
  <c r="Q322" i="1"/>
  <c r="S306" i="1"/>
  <c r="G344" i="1" s="1"/>
  <c r="R311" i="1"/>
  <c r="F349" i="1" s="1"/>
  <c r="Q311" i="1"/>
  <c r="E349" i="1" s="1"/>
  <c r="R310" i="1"/>
  <c r="F348" i="1" s="1"/>
  <c r="Q310" i="1"/>
  <c r="E348" i="1" s="1"/>
  <c r="R309" i="1"/>
  <c r="F347" i="1" s="1"/>
  <c r="Q309" i="1"/>
  <c r="E347" i="1" s="1"/>
  <c r="R308" i="1"/>
  <c r="F346" i="1" s="1"/>
  <c r="Q308" i="1"/>
  <c r="E346" i="1" s="1"/>
  <c r="U299" i="1"/>
  <c r="H311" i="1" s="1"/>
  <c r="T299" i="1"/>
  <c r="G311" i="1" s="1"/>
  <c r="S299" i="1"/>
  <c r="F311" i="1" s="1"/>
  <c r="U298" i="1"/>
  <c r="H310" i="1" s="1"/>
  <c r="T298" i="1"/>
  <c r="G310" i="1" s="1"/>
  <c r="S298" i="1"/>
  <c r="F310" i="1" s="1"/>
  <c r="U297" i="1"/>
  <c r="H309" i="1" s="1"/>
  <c r="T297" i="1"/>
  <c r="G309" i="1" s="1"/>
  <c r="S297" i="1"/>
  <c r="F309" i="1" s="1"/>
  <c r="U296" i="1"/>
  <c r="H308" i="1" s="1"/>
  <c r="T296" i="1"/>
  <c r="G308" i="1" s="1"/>
  <c r="S296" i="1"/>
  <c r="F308" i="1" s="1"/>
  <c r="U295" i="1"/>
  <c r="H307" i="1" s="1"/>
  <c r="T295" i="1"/>
  <c r="G307" i="1" s="1"/>
  <c r="S295" i="1"/>
  <c r="F307" i="1" s="1"/>
  <c r="U294" i="1"/>
  <c r="H306" i="1" s="1"/>
  <c r="T294" i="1"/>
  <c r="G306" i="1" s="1"/>
  <c r="S294" i="1"/>
  <c r="F306" i="1" s="1"/>
  <c r="U293" i="1"/>
  <c r="H305" i="1" s="1"/>
  <c r="T293" i="1"/>
  <c r="G305" i="1" s="1"/>
  <c r="S293" i="1"/>
  <c r="F305" i="1" s="1"/>
  <c r="U292" i="1"/>
  <c r="H304" i="1" s="1"/>
  <c r="T292" i="1"/>
  <c r="G304" i="1" s="1"/>
  <c r="S292" i="1"/>
  <c r="F304" i="1" s="1"/>
  <c r="U291" i="1"/>
  <c r="H303" i="1" s="1"/>
  <c r="T291" i="1"/>
  <c r="G303" i="1" s="1"/>
  <c r="S291" i="1"/>
  <c r="F303" i="1" s="1"/>
  <c r="U290" i="1"/>
  <c r="H302" i="1" s="1"/>
  <c r="T290" i="1"/>
  <c r="G302" i="1" s="1"/>
  <c r="S290" i="1"/>
  <c r="F302" i="1" s="1"/>
  <c r="U289" i="1"/>
  <c r="H301" i="1" s="1"/>
  <c r="T289" i="1"/>
  <c r="G301" i="1" s="1"/>
  <c r="S289" i="1"/>
  <c r="F301" i="1" s="1"/>
  <c r="U288" i="1"/>
  <c r="H300" i="1" s="1"/>
  <c r="T288" i="1"/>
  <c r="G300" i="1" s="1"/>
  <c r="S288" i="1"/>
  <c r="F300" i="1" s="1"/>
  <c r="U287" i="1"/>
  <c r="H299" i="1" s="1"/>
  <c r="T287" i="1"/>
  <c r="G299" i="1" s="1"/>
  <c r="S287" i="1"/>
  <c r="F299" i="1" s="1"/>
  <c r="U286" i="1"/>
  <c r="H298" i="1" s="1"/>
  <c r="T286" i="1"/>
  <c r="G298" i="1" s="1"/>
  <c r="S286" i="1"/>
  <c r="F298" i="1" s="1"/>
  <c r="U285" i="1"/>
  <c r="H297" i="1" s="1"/>
  <c r="T285" i="1"/>
  <c r="G297" i="1" s="1"/>
  <c r="S285" i="1"/>
  <c r="F297" i="1" s="1"/>
  <c r="U284" i="1"/>
  <c r="H296" i="1" s="1"/>
  <c r="T284" i="1"/>
  <c r="G296" i="1" s="1"/>
  <c r="S284" i="1"/>
  <c r="F296" i="1" s="1"/>
  <c r="X268" i="1" l="1"/>
  <c r="C84" i="4" s="1"/>
  <c r="S309" i="1"/>
  <c r="G347" i="1" s="1"/>
  <c r="W285" i="1"/>
  <c r="J297" i="1" s="1"/>
  <c r="W289" i="1"/>
  <c r="J301" i="1" s="1"/>
  <c r="W293" i="1"/>
  <c r="J305" i="1" s="1"/>
  <c r="W297" i="1"/>
  <c r="J309" i="1" s="1"/>
  <c r="T308" i="1"/>
  <c r="H346" i="1" s="1"/>
  <c r="S308" i="1"/>
  <c r="G346" i="1" s="1"/>
  <c r="T311" i="1"/>
  <c r="H349" i="1" s="1"/>
  <c r="W287" i="1"/>
  <c r="J299" i="1" s="1"/>
  <c r="W291" i="1"/>
  <c r="J303" i="1" s="1"/>
  <c r="W295" i="1"/>
  <c r="J307" i="1" s="1"/>
  <c r="W299" i="1"/>
  <c r="J311" i="1" s="1"/>
  <c r="T310" i="1"/>
  <c r="H348" i="1" s="1"/>
  <c r="S311" i="1"/>
  <c r="G349" i="1" s="1"/>
  <c r="U325" i="1"/>
  <c r="T309" i="1"/>
  <c r="H347" i="1" s="1"/>
  <c r="S310" i="1"/>
  <c r="G348" i="1" s="1"/>
  <c r="U324" i="1"/>
  <c r="U322" i="1"/>
  <c r="W286" i="1"/>
  <c r="J298" i="1" s="1"/>
  <c r="W288" i="1"/>
  <c r="J300" i="1" s="1"/>
  <c r="W290" i="1"/>
  <c r="J302" i="1" s="1"/>
  <c r="W292" i="1"/>
  <c r="J304" i="1" s="1"/>
  <c r="W294" i="1"/>
  <c r="J306" i="1" s="1"/>
  <c r="W296" i="1"/>
  <c r="J308" i="1" s="1"/>
  <c r="W298" i="1"/>
  <c r="J310" i="1" s="1"/>
  <c r="W284" i="1"/>
  <c r="J296" i="1" s="1"/>
  <c r="W202" i="1"/>
  <c r="M191" i="1" s="1"/>
  <c r="W187" i="1"/>
  <c r="F198" i="1" s="1"/>
  <c r="W199" i="1"/>
  <c r="M188" i="1" s="1"/>
  <c r="W184" i="1"/>
  <c r="F195" i="1" s="1"/>
  <c r="W201" i="1"/>
  <c r="M190" i="1" s="1"/>
  <c r="W186" i="1"/>
  <c r="F197" i="1" s="1"/>
  <c r="W200" i="1"/>
  <c r="M189" i="1" s="1"/>
  <c r="W185" i="1"/>
  <c r="F196" i="1" s="1"/>
  <c r="S202" i="1"/>
  <c r="J191" i="1" s="1"/>
  <c r="S187" i="1"/>
  <c r="F191" i="1" s="1"/>
  <c r="S199" i="1"/>
  <c r="J188" i="1" s="1"/>
  <c r="S184" i="1"/>
  <c r="F188" i="1" s="1"/>
  <c r="S186" i="1"/>
  <c r="F190" i="1" s="1"/>
  <c r="S201" i="1"/>
  <c r="J190" i="1" s="1"/>
  <c r="S200" i="1"/>
  <c r="J189" i="1" s="1"/>
  <c r="S185" i="1"/>
  <c r="F189" i="1" s="1"/>
  <c r="R187" i="1"/>
  <c r="E191" i="1" s="1"/>
  <c r="V187" i="1"/>
  <c r="E198" i="1" s="1"/>
  <c r="V202" i="1"/>
  <c r="L191" i="1" s="1"/>
  <c r="V201" i="1"/>
  <c r="L190" i="1" s="1"/>
  <c r="V186" i="1"/>
  <c r="E197" i="1" s="1"/>
  <c r="V199" i="1"/>
  <c r="L188" i="1" s="1"/>
  <c r="V200" i="1"/>
  <c r="L189" i="1" s="1"/>
  <c r="V185" i="1"/>
  <c r="E196" i="1" s="1"/>
  <c r="V184" i="1"/>
  <c r="E195" i="1" s="1"/>
  <c r="R201" i="1"/>
  <c r="I190" i="1" s="1"/>
  <c r="R186" i="1"/>
  <c r="E190" i="1" s="1"/>
  <c r="R202" i="1"/>
  <c r="I191" i="1" s="1"/>
  <c r="R199" i="1"/>
  <c r="I188" i="1" s="1"/>
  <c r="R200" i="1"/>
  <c r="I189" i="1" s="1"/>
  <c r="R184" i="1"/>
  <c r="E188" i="1" s="1"/>
  <c r="R185" i="1"/>
  <c r="E189" i="1" s="1"/>
  <c r="U200" i="1"/>
  <c r="K189" i="1" s="1"/>
  <c r="U199" i="1"/>
  <c r="K188" i="1" s="1"/>
  <c r="U202" i="1"/>
  <c r="K191" i="1" s="1"/>
  <c r="U201" i="1"/>
  <c r="K190" i="1" s="1"/>
  <c r="Q202" i="1"/>
  <c r="H191" i="1" s="1"/>
  <c r="Q187" i="1"/>
  <c r="D191" i="1" s="1"/>
  <c r="Q201" i="1"/>
  <c r="H190" i="1" s="1"/>
  <c r="Q186" i="1"/>
  <c r="D190" i="1" s="1"/>
  <c r="Q199" i="1"/>
  <c r="H188" i="1" s="1"/>
  <c r="Q184" i="1"/>
  <c r="D188" i="1" s="1"/>
  <c r="Q200" i="1"/>
  <c r="H189" i="1" s="1"/>
  <c r="Q185" i="1"/>
  <c r="D189" i="1" s="1"/>
  <c r="S244" i="1"/>
  <c r="G243" i="1" s="1"/>
  <c r="R244" i="1"/>
  <c r="F243" i="1" s="1"/>
  <c r="Q244" i="1"/>
  <c r="E243" i="1" s="1"/>
  <c r="P244" i="1"/>
  <c r="D243" i="1" s="1"/>
  <c r="A84" i="4" l="1"/>
  <c r="F84" i="4"/>
  <c r="B84" i="4"/>
  <c r="E84" i="4"/>
  <c r="S365" i="1"/>
  <c r="R142" i="1" l="1"/>
  <c r="I148" i="1" s="1"/>
  <c r="S253" i="1" l="1"/>
  <c r="F252" i="1" s="1"/>
  <c r="R253" i="1"/>
  <c r="E252" i="1" s="1"/>
  <c r="Q253" i="1"/>
  <c r="D252" i="1" s="1"/>
  <c r="B76" i="4" l="1"/>
  <c r="C18" i="5"/>
  <c r="C12" i="5"/>
  <c r="M56" i="4"/>
  <c r="L56" i="4"/>
  <c r="M55" i="4"/>
  <c r="L55" i="4"/>
  <c r="M54" i="4"/>
  <c r="L54" i="4"/>
  <c r="M53" i="4"/>
  <c r="L53" i="4"/>
  <c r="U381" i="1"/>
  <c r="I386" i="1" s="1"/>
  <c r="T381" i="1"/>
  <c r="U380" i="1"/>
  <c r="I385" i="1" s="1"/>
  <c r="T380" i="1"/>
  <c r="S372" i="1"/>
  <c r="J399" i="1" s="1"/>
  <c r="R372" i="1"/>
  <c r="I399" i="1" s="1"/>
  <c r="Q372" i="1"/>
  <c r="H399" i="1" s="1"/>
  <c r="R356" i="1"/>
  <c r="Q356" i="1"/>
  <c r="E398" i="1" s="1"/>
  <c r="R355" i="1"/>
  <c r="U354" i="1"/>
  <c r="R354" i="1"/>
  <c r="V353" i="1"/>
  <c r="R353" i="1"/>
  <c r="V352" i="1"/>
  <c r="R352" i="1"/>
  <c r="V351" i="1"/>
  <c r="R351" i="1"/>
  <c r="R344" i="1"/>
  <c r="E379" i="1" s="1"/>
  <c r="Q344" i="1"/>
  <c r="D379" i="1" s="1"/>
  <c r="V343" i="1"/>
  <c r="I378" i="1" s="1"/>
  <c r="U343" i="1"/>
  <c r="H378" i="1" s="1"/>
  <c r="U342" i="1"/>
  <c r="H377" i="1" s="1"/>
  <c r="T342" i="1"/>
  <c r="G377" i="1" s="1"/>
  <c r="S342" i="1"/>
  <c r="F377" i="1" s="1"/>
  <c r="Q342" i="1"/>
  <c r="D377" i="1" s="1"/>
  <c r="E370" i="1"/>
  <c r="O328" i="1"/>
  <c r="I367" i="1" s="1"/>
  <c r="D370" i="1"/>
  <c r="P325" i="1"/>
  <c r="D369" i="1"/>
  <c r="P324" i="1"/>
  <c r="P323" i="1"/>
  <c r="C368" i="1" s="1"/>
  <c r="P322" i="1"/>
  <c r="S320" i="1"/>
  <c r="F364" i="1" s="1"/>
  <c r="Q320" i="1"/>
  <c r="D364" i="1" s="1"/>
  <c r="T315" i="1"/>
  <c r="S315" i="1"/>
  <c r="P311" i="1"/>
  <c r="D349" i="1" s="1"/>
  <c r="P310" i="1"/>
  <c r="D348" i="1" s="1"/>
  <c r="P309" i="1"/>
  <c r="D347" i="1" s="1"/>
  <c r="P308" i="1"/>
  <c r="D346" i="1" s="1"/>
  <c r="S305" i="1"/>
  <c r="G343" i="1" s="1"/>
  <c r="Q305" i="1"/>
  <c r="E343" i="1" s="1"/>
  <c r="R299" i="1"/>
  <c r="E311" i="1" s="1"/>
  <c r="Q299" i="1"/>
  <c r="D311" i="1" s="1"/>
  <c r="R298" i="1"/>
  <c r="E310" i="1" s="1"/>
  <c r="Q298" i="1"/>
  <c r="D310" i="1" s="1"/>
  <c r="R297" i="1"/>
  <c r="E309" i="1" s="1"/>
  <c r="Q297" i="1"/>
  <c r="D309" i="1" s="1"/>
  <c r="R296" i="1"/>
  <c r="E308" i="1" s="1"/>
  <c r="Q296" i="1"/>
  <c r="D308" i="1" s="1"/>
  <c r="R295" i="1"/>
  <c r="E307" i="1" s="1"/>
  <c r="Q295" i="1"/>
  <c r="D307" i="1" s="1"/>
  <c r="P295" i="1"/>
  <c r="R294" i="1"/>
  <c r="Q294" i="1"/>
  <c r="D306" i="1" s="1"/>
  <c r="R293" i="1"/>
  <c r="Q293" i="1"/>
  <c r="D305" i="1" s="1"/>
  <c r="R292" i="1"/>
  <c r="E304" i="1" s="1"/>
  <c r="Q292" i="1"/>
  <c r="D304" i="1" s="1"/>
  <c r="R291" i="1"/>
  <c r="E303" i="1" s="1"/>
  <c r="Q291" i="1"/>
  <c r="D303" i="1" s="1"/>
  <c r="R290" i="1"/>
  <c r="E302" i="1" s="1"/>
  <c r="Q290" i="1"/>
  <c r="D302" i="1" s="1"/>
  <c r="P290" i="1"/>
  <c r="M290" i="1"/>
  <c r="R289" i="1"/>
  <c r="E301" i="1" s="1"/>
  <c r="Q289" i="1"/>
  <c r="D301" i="1" s="1"/>
  <c r="M289" i="1"/>
  <c r="R288" i="1"/>
  <c r="E300" i="1" s="1"/>
  <c r="Q288" i="1"/>
  <c r="D300" i="1" s="1"/>
  <c r="R287" i="1"/>
  <c r="E299" i="1" s="1"/>
  <c r="Q287" i="1"/>
  <c r="D299" i="1" s="1"/>
  <c r="R286" i="1"/>
  <c r="E298" i="1" s="1"/>
  <c r="Q286" i="1"/>
  <c r="D298" i="1" s="1"/>
  <c r="M401" i="1"/>
  <c r="L401" i="1"/>
  <c r="E401" i="1"/>
  <c r="R285" i="1"/>
  <c r="E297" i="1" s="1"/>
  <c r="Q285" i="1"/>
  <c r="M400" i="1"/>
  <c r="L400" i="1"/>
  <c r="E400" i="1"/>
  <c r="R284" i="1"/>
  <c r="Q284" i="1"/>
  <c r="D296" i="1" s="1"/>
  <c r="P284" i="1"/>
  <c r="M399" i="1"/>
  <c r="L399" i="1"/>
  <c r="E399" i="1"/>
  <c r="M398" i="1"/>
  <c r="M397" i="1"/>
  <c r="L397" i="1"/>
  <c r="E397" i="1"/>
  <c r="M396" i="1"/>
  <c r="L396" i="1"/>
  <c r="E396" i="1"/>
  <c r="M395" i="1"/>
  <c r="L395" i="1"/>
  <c r="E395" i="1"/>
  <c r="M394" i="1"/>
  <c r="E394" i="1"/>
  <c r="E393" i="1"/>
  <c r="S273" i="1"/>
  <c r="F272" i="1" s="1"/>
  <c r="R273" i="1"/>
  <c r="Q273" i="1"/>
  <c r="Q274" i="1" s="1"/>
  <c r="D273" i="1" s="1"/>
  <c r="X272" i="1"/>
  <c r="K271" i="1" s="1"/>
  <c r="T272" i="1"/>
  <c r="E387" i="1"/>
  <c r="T271" i="1"/>
  <c r="G270" i="1" s="1"/>
  <c r="E386" i="1"/>
  <c r="T270" i="1"/>
  <c r="G269" i="1" s="1"/>
  <c r="E385" i="1"/>
  <c r="T269" i="1"/>
  <c r="E384" i="1"/>
  <c r="G271" i="1"/>
  <c r="F271" i="1"/>
  <c r="E271" i="1"/>
  <c r="D271" i="1"/>
  <c r="F270" i="1"/>
  <c r="E270" i="1"/>
  <c r="D270" i="1"/>
  <c r="F269" i="1"/>
  <c r="E269" i="1"/>
  <c r="D269" i="1"/>
  <c r="S259" i="1"/>
  <c r="R259" i="1"/>
  <c r="Q259" i="1"/>
  <c r="F268" i="1"/>
  <c r="E268" i="1"/>
  <c r="D268" i="1"/>
  <c r="U257" i="1"/>
  <c r="H256" i="1" s="1"/>
  <c r="G265" i="1"/>
  <c r="D265" i="1"/>
  <c r="G264" i="1"/>
  <c r="D264" i="1"/>
  <c r="S243" i="1"/>
  <c r="R243" i="1"/>
  <c r="F242" i="1" s="1"/>
  <c r="Q243" i="1"/>
  <c r="E242" i="1" s="1"/>
  <c r="P243" i="1"/>
  <c r="D242" i="1" s="1"/>
  <c r="U242" i="1"/>
  <c r="I241" i="1" s="1"/>
  <c r="T242" i="1"/>
  <c r="H241" i="1" s="1"/>
  <c r="U241" i="1"/>
  <c r="I240" i="1" s="1"/>
  <c r="T241" i="1"/>
  <c r="H240" i="1" s="1"/>
  <c r="U240" i="1"/>
  <c r="I239" i="1" s="1"/>
  <c r="T240" i="1"/>
  <c r="H239" i="1" s="1"/>
  <c r="U239" i="1"/>
  <c r="I238" i="1" s="1"/>
  <c r="T239" i="1"/>
  <c r="H238" i="1" s="1"/>
  <c r="U238" i="1"/>
  <c r="I237" i="1" s="1"/>
  <c r="T238" i="1"/>
  <c r="H237" i="1" s="1"/>
  <c r="C223" i="1"/>
  <c r="G220" i="1"/>
  <c r="D220" i="1"/>
  <c r="X225" i="1"/>
  <c r="K224" i="1" s="1"/>
  <c r="X224" i="1"/>
  <c r="K223" i="1" s="1"/>
  <c r="M218" i="1"/>
  <c r="M217" i="1"/>
  <c r="D215" i="1"/>
  <c r="D208" i="1"/>
  <c r="D207" i="1"/>
  <c r="D206" i="1"/>
  <c r="R217" i="1"/>
  <c r="Q217" i="1"/>
  <c r="D205" i="1"/>
  <c r="D204" i="1"/>
  <c r="W204" i="1"/>
  <c r="M193" i="1" s="1"/>
  <c r="V204" i="1"/>
  <c r="L193" i="1" s="1"/>
  <c r="U204" i="1"/>
  <c r="K193" i="1" s="1"/>
  <c r="S204" i="1"/>
  <c r="J193" i="1" s="1"/>
  <c r="R204" i="1"/>
  <c r="I193" i="1" s="1"/>
  <c r="Q204" i="1"/>
  <c r="H193" i="1" s="1"/>
  <c r="W203" i="1"/>
  <c r="M192" i="1" s="1"/>
  <c r="V203" i="1"/>
  <c r="L192" i="1" s="1"/>
  <c r="U203" i="1"/>
  <c r="K192" i="1" s="1"/>
  <c r="S203" i="1"/>
  <c r="J192" i="1" s="1"/>
  <c r="R203" i="1"/>
  <c r="I192" i="1" s="1"/>
  <c r="Q203" i="1"/>
  <c r="H192" i="1" s="1"/>
  <c r="G181" i="1"/>
  <c r="F181" i="1"/>
  <c r="E181" i="1"/>
  <c r="D181" i="1"/>
  <c r="W189" i="1"/>
  <c r="F200" i="1" s="1"/>
  <c r="V189" i="1"/>
  <c r="E200" i="1" s="1"/>
  <c r="U189" i="1"/>
  <c r="D200" i="1" s="1"/>
  <c r="S189" i="1"/>
  <c r="F193" i="1" s="1"/>
  <c r="R189" i="1"/>
  <c r="E193" i="1" s="1"/>
  <c r="Q189" i="1"/>
  <c r="D193" i="1" s="1"/>
  <c r="W188" i="1"/>
  <c r="F199" i="1" s="1"/>
  <c r="V188" i="1"/>
  <c r="E199" i="1" s="1"/>
  <c r="U188" i="1"/>
  <c r="D199" i="1" s="1"/>
  <c r="S188" i="1"/>
  <c r="F192" i="1" s="1"/>
  <c r="R188" i="1"/>
  <c r="E192" i="1" s="1"/>
  <c r="Q188" i="1"/>
  <c r="D192" i="1" s="1"/>
  <c r="D174" i="1"/>
  <c r="H172" i="1"/>
  <c r="F171" i="1"/>
  <c r="E171" i="1"/>
  <c r="D171" i="1"/>
  <c r="H171" i="1"/>
  <c r="F170" i="1"/>
  <c r="E170" i="1"/>
  <c r="D170" i="1"/>
  <c r="H170" i="1"/>
  <c r="F169" i="1"/>
  <c r="E169" i="1"/>
  <c r="D169" i="1"/>
  <c r="H169" i="1"/>
  <c r="F168" i="1"/>
  <c r="E168" i="1"/>
  <c r="D168" i="1"/>
  <c r="H168" i="1"/>
  <c r="F167" i="1"/>
  <c r="E167" i="1"/>
  <c r="D167" i="1"/>
  <c r="H167" i="1"/>
  <c r="F166" i="1"/>
  <c r="E166" i="1"/>
  <c r="D166" i="1"/>
  <c r="H166" i="1"/>
  <c r="F165" i="1"/>
  <c r="E165" i="1"/>
  <c r="D165" i="1"/>
  <c r="H165" i="1"/>
  <c r="U175" i="1"/>
  <c r="I181" i="1" s="1"/>
  <c r="D162" i="1"/>
  <c r="D161" i="1"/>
  <c r="D160" i="1"/>
  <c r="D159" i="1"/>
  <c r="D158" i="1"/>
  <c r="D157" i="1"/>
  <c r="D156" i="1"/>
  <c r="Q168" i="1"/>
  <c r="E175" i="1" s="1"/>
  <c r="L155" i="1"/>
  <c r="J155" i="1"/>
  <c r="D155" i="1"/>
  <c r="L154" i="1"/>
  <c r="J154" i="1"/>
  <c r="M146" i="1"/>
  <c r="M145" i="1"/>
  <c r="R154" i="1"/>
  <c r="E162" i="1" s="1"/>
  <c r="R153" i="1"/>
  <c r="E161" i="1" s="1"/>
  <c r="R152" i="1"/>
  <c r="E160" i="1" s="1"/>
  <c r="R151" i="1"/>
  <c r="E159" i="1" s="1"/>
  <c r="T150" i="1"/>
  <c r="J158" i="1" s="1"/>
  <c r="R150" i="1"/>
  <c r="T149" i="1"/>
  <c r="J157" i="1" s="1"/>
  <c r="R149" i="1"/>
  <c r="E157" i="1" s="1"/>
  <c r="R148" i="1"/>
  <c r="E156" i="1" s="1"/>
  <c r="R147" i="1"/>
  <c r="X127" i="1"/>
  <c r="AD83" i="1" s="1"/>
  <c r="W127" i="1"/>
  <c r="K41" i="1" s="1"/>
  <c r="V127" i="1"/>
  <c r="U127" i="1"/>
  <c r="I41" i="1" s="1"/>
  <c r="T127" i="1"/>
  <c r="AD69" i="1" s="1"/>
  <c r="S127" i="1"/>
  <c r="R127" i="1"/>
  <c r="F41" i="1" s="1"/>
  <c r="Q127" i="1"/>
  <c r="E41" i="1" s="1"/>
  <c r="P127" i="1"/>
  <c r="D41" i="1" s="1"/>
  <c r="X126" i="1"/>
  <c r="W126" i="1"/>
  <c r="AD79" i="1" s="1"/>
  <c r="V126" i="1"/>
  <c r="J40" i="1" s="1"/>
  <c r="U126" i="1"/>
  <c r="T126" i="1"/>
  <c r="H40" i="1" s="1"/>
  <c r="S126" i="1"/>
  <c r="AD65" i="1" s="1"/>
  <c r="R126" i="1"/>
  <c r="AD54" i="1" s="1"/>
  <c r="Q126" i="1"/>
  <c r="AD53" i="1" s="1"/>
  <c r="P126" i="1"/>
  <c r="X125" i="1"/>
  <c r="AD77" i="1" s="1"/>
  <c r="W125" i="1"/>
  <c r="AD76" i="1" s="1"/>
  <c r="V125" i="1"/>
  <c r="AD75" i="1" s="1"/>
  <c r="U125" i="1"/>
  <c r="AD64" i="1" s="1"/>
  <c r="T125" i="1"/>
  <c r="AD63" i="1" s="1"/>
  <c r="S125" i="1"/>
  <c r="G39" i="1" s="1"/>
  <c r="R125" i="1"/>
  <c r="AD51" i="1" s="1"/>
  <c r="Q125" i="1"/>
  <c r="AD50" i="1" s="1"/>
  <c r="P125" i="1"/>
  <c r="D39" i="1" s="1"/>
  <c r="M107" i="1"/>
  <c r="L107" i="1"/>
  <c r="AD102" i="1"/>
  <c r="X124" i="1"/>
  <c r="L38" i="1" s="1"/>
  <c r="W124" i="1"/>
  <c r="AD73" i="1" s="1"/>
  <c r="V124" i="1"/>
  <c r="U124" i="1"/>
  <c r="AD61" i="1" s="1"/>
  <c r="T124" i="1"/>
  <c r="H38" i="1" s="1"/>
  <c r="S124" i="1"/>
  <c r="G38" i="1" s="1"/>
  <c r="R124" i="1"/>
  <c r="Q124" i="1"/>
  <c r="AD47" i="1" s="1"/>
  <c r="P124" i="1"/>
  <c r="D38" i="1" s="1"/>
  <c r="M106" i="1"/>
  <c r="L106" i="1"/>
  <c r="AD101" i="1"/>
  <c r="M105" i="1"/>
  <c r="L105" i="1"/>
  <c r="M104" i="1"/>
  <c r="L104" i="1"/>
  <c r="AD99" i="1"/>
  <c r="M103" i="1"/>
  <c r="L103" i="1"/>
  <c r="AD98" i="1"/>
  <c r="M102" i="1"/>
  <c r="L102" i="1"/>
  <c r="AD97" i="1"/>
  <c r="M101" i="1"/>
  <c r="L101" i="1"/>
  <c r="M100" i="1"/>
  <c r="L100" i="1"/>
  <c r="AD95" i="1"/>
  <c r="M99" i="1"/>
  <c r="L99" i="1"/>
  <c r="AD94" i="1"/>
  <c r="M98" i="1"/>
  <c r="L98" i="1"/>
  <c r="AD93" i="1"/>
  <c r="M97" i="1"/>
  <c r="L97" i="1"/>
  <c r="AD92" i="1"/>
  <c r="M96" i="1"/>
  <c r="L96" i="1"/>
  <c r="AD91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AD82" i="1"/>
  <c r="M88" i="1"/>
  <c r="L88" i="1"/>
  <c r="M87" i="1"/>
  <c r="L87" i="1"/>
  <c r="M86" i="1"/>
  <c r="L86" i="1"/>
  <c r="M85" i="1"/>
  <c r="L85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AD68" i="1"/>
  <c r="M74" i="1"/>
  <c r="AD67" i="1"/>
  <c r="M73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AD55" i="1"/>
  <c r="M55" i="1"/>
  <c r="L55" i="1"/>
  <c r="M54" i="1"/>
  <c r="L54" i="1"/>
  <c r="M53" i="1"/>
  <c r="L53" i="1"/>
  <c r="M52" i="1"/>
  <c r="L52" i="1"/>
  <c r="M51" i="1"/>
  <c r="L51" i="1"/>
  <c r="M49" i="1"/>
  <c r="L49" i="1"/>
  <c r="M48" i="1"/>
  <c r="L48" i="1"/>
  <c r="M47" i="1"/>
  <c r="L47" i="1"/>
  <c r="M46" i="1"/>
  <c r="L46" i="1"/>
  <c r="M45" i="1"/>
  <c r="L45" i="1"/>
  <c r="G41" i="1"/>
  <c r="I40" i="1"/>
  <c r="E40" i="1"/>
  <c r="L39" i="1"/>
  <c r="I39" i="1"/>
  <c r="H39" i="1"/>
  <c r="I38" i="1"/>
  <c r="V33" i="1"/>
  <c r="AD43" i="1" s="1"/>
  <c r="AC43" i="1" s="1"/>
  <c r="V32" i="1"/>
  <c r="AD42" i="1" s="1"/>
  <c r="AC42" i="1" s="1"/>
  <c r="R31" i="1"/>
  <c r="R30" i="1"/>
  <c r="F29" i="1" s="1"/>
  <c r="V29" i="1"/>
  <c r="AD37" i="1" s="1"/>
  <c r="AC37" i="1" s="1"/>
  <c r="R29" i="1"/>
  <c r="AD33" i="1" s="1"/>
  <c r="AC33" i="1" s="1"/>
  <c r="V28" i="1"/>
  <c r="AD36" i="1" s="1"/>
  <c r="AC36" i="1" s="1"/>
  <c r="R27" i="1"/>
  <c r="AD32" i="1" s="1"/>
  <c r="AC32" i="1" s="1"/>
  <c r="R26" i="1"/>
  <c r="AD31" i="1" s="1"/>
  <c r="AC31" i="1" s="1"/>
  <c r="V25" i="1"/>
  <c r="AD41" i="1" s="1"/>
  <c r="AC41" i="1" s="1"/>
  <c r="R25" i="1"/>
  <c r="AD30" i="1" s="1"/>
  <c r="AC30" i="1" s="1"/>
  <c r="V24" i="1"/>
  <c r="AD40" i="1" s="1"/>
  <c r="AC40" i="1" s="1"/>
  <c r="R23" i="1"/>
  <c r="F22" i="1" s="1"/>
  <c r="V22" i="1"/>
  <c r="K22" i="1" s="1"/>
  <c r="R22" i="1"/>
  <c r="AD28" i="1" s="1"/>
  <c r="AC28" i="1" s="1"/>
  <c r="V21" i="1"/>
  <c r="AD38" i="1" s="1"/>
  <c r="AC38" i="1" s="1"/>
  <c r="V19" i="1"/>
  <c r="AD26" i="1" s="1"/>
  <c r="AC26" i="1" s="1"/>
  <c r="R19" i="1"/>
  <c r="V18" i="1"/>
  <c r="K17" i="1" s="1"/>
  <c r="R18" i="1"/>
  <c r="AD22" i="1" s="1"/>
  <c r="AC22" i="1" s="1"/>
  <c r="V17" i="1"/>
  <c r="AD24" i="1" s="1"/>
  <c r="AC24" i="1" s="1"/>
  <c r="R17" i="1"/>
  <c r="F16" i="1" s="1"/>
  <c r="V14" i="1"/>
  <c r="AD19" i="1" s="1"/>
  <c r="AC19" i="1" s="1"/>
  <c r="R14" i="1"/>
  <c r="V13" i="1"/>
  <c r="K13" i="1" s="1"/>
  <c r="R13" i="1"/>
  <c r="V12" i="1"/>
  <c r="AD17" i="1" s="1"/>
  <c r="AC17" i="1" s="1"/>
  <c r="R12" i="1"/>
  <c r="F12" i="1" s="1"/>
  <c r="V11" i="1"/>
  <c r="AD16" i="1" s="1"/>
  <c r="AC16" i="1" s="1"/>
  <c r="R11" i="1"/>
  <c r="AD11" i="1" s="1"/>
  <c r="AC11" i="1" s="1"/>
  <c r="V10" i="1"/>
  <c r="AD15" i="1" s="1"/>
  <c r="AC15" i="1" s="1"/>
  <c r="R10" i="1"/>
  <c r="AD8" i="1"/>
  <c r="AC8" i="1" s="1"/>
  <c r="P8" i="1"/>
  <c r="AD7" i="1"/>
  <c r="AC7" i="1" s="1"/>
  <c r="X7" i="1"/>
  <c r="AA3" i="1"/>
  <c r="AD62" i="1" l="1"/>
  <c r="AD59" i="1"/>
  <c r="AD60" i="1"/>
  <c r="H196" i="1"/>
  <c r="H197" i="1"/>
  <c r="V284" i="1"/>
  <c r="E296" i="1"/>
  <c r="B64" i="4"/>
  <c r="D297" i="1"/>
  <c r="V294" i="1"/>
  <c r="E306" i="1"/>
  <c r="AD74" i="1"/>
  <c r="A63" i="4"/>
  <c r="D70" i="4" s="1"/>
  <c r="C296" i="1"/>
  <c r="I63" i="4"/>
  <c r="F70" i="4" s="1"/>
  <c r="C307" i="1"/>
  <c r="E63" i="4"/>
  <c r="E70" i="4" s="1"/>
  <c r="C302" i="1"/>
  <c r="V293" i="1"/>
  <c r="E305" i="1"/>
  <c r="S245" i="1"/>
  <c r="G244" i="1" s="1"/>
  <c r="G242" i="1"/>
  <c r="M215" i="1"/>
  <c r="M359" i="1"/>
  <c r="M287" i="1"/>
  <c r="M71" i="1"/>
  <c r="M143" i="1"/>
  <c r="D360" i="1"/>
  <c r="D288" i="1"/>
  <c r="D72" i="1"/>
  <c r="D144" i="1"/>
  <c r="U256" i="1"/>
  <c r="H255" i="1" s="1"/>
  <c r="D258" i="1"/>
  <c r="K38" i="1"/>
  <c r="K39" i="1"/>
  <c r="AD78" i="1"/>
  <c r="H205" i="1"/>
  <c r="V253" i="1"/>
  <c r="I252" i="1" s="1"/>
  <c r="E258" i="1"/>
  <c r="M360" i="1"/>
  <c r="M72" i="1"/>
  <c r="M144" i="1"/>
  <c r="M288" i="1"/>
  <c r="W253" i="1"/>
  <c r="J252" i="1" s="1"/>
  <c r="F258" i="1"/>
  <c r="J39" i="1"/>
  <c r="X284" i="1"/>
  <c r="K296" i="1" s="1"/>
  <c r="B63" i="4"/>
  <c r="C63" i="4" s="1"/>
  <c r="X286" i="1"/>
  <c r="K298" i="1" s="1"/>
  <c r="B65" i="4"/>
  <c r="C65" i="4" s="1"/>
  <c r="X287" i="1"/>
  <c r="K299" i="1" s="1"/>
  <c r="B66" i="4"/>
  <c r="C66" i="4" s="1"/>
  <c r="X290" i="1"/>
  <c r="K302" i="1" s="1"/>
  <c r="F63" i="4"/>
  <c r="G63" i="4" s="1"/>
  <c r="X294" i="1"/>
  <c r="K306" i="1" s="1"/>
  <c r="F67" i="4"/>
  <c r="G67" i="4" s="1"/>
  <c r="X299" i="1"/>
  <c r="K311" i="1" s="1"/>
  <c r="J67" i="4"/>
  <c r="K67" i="4" s="1"/>
  <c r="X293" i="1"/>
  <c r="K305" i="1" s="1"/>
  <c r="F66" i="4"/>
  <c r="G66" i="4" s="1"/>
  <c r="X298" i="1"/>
  <c r="K310" i="1" s="1"/>
  <c r="J66" i="4"/>
  <c r="K66" i="4" s="1"/>
  <c r="X291" i="1"/>
  <c r="K303" i="1" s="1"/>
  <c r="F64" i="4"/>
  <c r="G64" i="4" s="1"/>
  <c r="X292" i="1"/>
  <c r="K304" i="1" s="1"/>
  <c r="F65" i="4"/>
  <c r="G65" i="4" s="1"/>
  <c r="X297" i="1"/>
  <c r="K309" i="1" s="1"/>
  <c r="J65" i="4"/>
  <c r="K65" i="4" s="1"/>
  <c r="U345" i="1"/>
  <c r="H380" i="1" s="1"/>
  <c r="X288" i="1"/>
  <c r="K300" i="1" s="1"/>
  <c r="B67" i="4"/>
  <c r="C67" i="4" s="1"/>
  <c r="X289" i="1"/>
  <c r="K301" i="1" s="1"/>
  <c r="B68" i="4"/>
  <c r="C68" i="4" s="1"/>
  <c r="X295" i="1"/>
  <c r="K307" i="1" s="1"/>
  <c r="J63" i="4"/>
  <c r="K63" i="4" s="1"/>
  <c r="X296" i="1"/>
  <c r="K308" i="1" s="1"/>
  <c r="J64" i="4"/>
  <c r="K64" i="4" s="1"/>
  <c r="V345" i="1"/>
  <c r="I380" i="1" s="1"/>
  <c r="D80" i="4"/>
  <c r="F24" i="1"/>
  <c r="AD116" i="1"/>
  <c r="U254" i="1"/>
  <c r="H253" i="1" s="1"/>
  <c r="AD13" i="1"/>
  <c r="AC13" i="1" s="1"/>
  <c r="F13" i="1"/>
  <c r="K21" i="1"/>
  <c r="K23" i="1"/>
  <c r="K24" i="1"/>
  <c r="H41" i="1"/>
  <c r="F40" i="1"/>
  <c r="K40" i="1"/>
  <c r="AD70" i="1"/>
  <c r="G40" i="1"/>
  <c r="AD66" i="1"/>
  <c r="K28" i="1"/>
  <c r="W255" i="1"/>
  <c r="J254" i="1" s="1"/>
  <c r="W256" i="1"/>
  <c r="J255" i="1" s="1"/>
  <c r="F25" i="1"/>
  <c r="V285" i="1"/>
  <c r="C64" i="4"/>
  <c r="V286" i="1"/>
  <c r="V295" i="1"/>
  <c r="C367" i="1"/>
  <c r="T322" i="1"/>
  <c r="F367" i="1" s="1"/>
  <c r="V287" i="1"/>
  <c r="V288" i="1"/>
  <c r="V290" i="1"/>
  <c r="V291" i="1"/>
  <c r="V296" i="1"/>
  <c r="I308" i="1" s="1"/>
  <c r="V297" i="1"/>
  <c r="V298" i="1"/>
  <c r="V299" i="1"/>
  <c r="G30" i="2"/>
  <c r="V380" i="1"/>
  <c r="J385" i="1" s="1"/>
  <c r="F26" i="1"/>
  <c r="V292" i="1"/>
  <c r="C370" i="1"/>
  <c r="T325" i="1"/>
  <c r="F370" i="1" s="1"/>
  <c r="AD9" i="1"/>
  <c r="AC9" i="1" s="1"/>
  <c r="K29" i="1"/>
  <c r="X285" i="1"/>
  <c r="K297" i="1" s="1"/>
  <c r="V289" i="1"/>
  <c r="C369" i="1"/>
  <c r="T324" i="1"/>
  <c r="F369" i="1" s="1"/>
  <c r="I30" i="2"/>
  <c r="V381" i="1"/>
  <c r="J386" i="1" s="1"/>
  <c r="AD96" i="1"/>
  <c r="F39" i="1"/>
  <c r="E39" i="1"/>
  <c r="E38" i="1"/>
  <c r="AD49" i="1"/>
  <c r="AD46" i="1"/>
  <c r="K30" i="1"/>
  <c r="G367" i="1"/>
  <c r="P313" i="1"/>
  <c r="D351" i="1" s="1"/>
  <c r="X238" i="1"/>
  <c r="K237" i="1" s="1"/>
  <c r="X242" i="1"/>
  <c r="K241" i="1" s="1"/>
  <c r="X240" i="1"/>
  <c r="K239" i="1" s="1"/>
  <c r="X241" i="1"/>
  <c r="K240" i="1" s="1"/>
  <c r="X239" i="1"/>
  <c r="K238" i="1" s="1"/>
  <c r="T244" i="1"/>
  <c r="H243" i="1" s="1"/>
  <c r="U244" i="1"/>
  <c r="I243" i="1" s="1"/>
  <c r="T273" i="1"/>
  <c r="T274" i="1" s="1"/>
  <c r="G273" i="1" s="1"/>
  <c r="AD117" i="1"/>
  <c r="H385" i="1"/>
  <c r="H386" i="1"/>
  <c r="G268" i="1"/>
  <c r="D272" i="1"/>
  <c r="E158" i="1"/>
  <c r="S156" i="1"/>
  <c r="J156" i="1" s="1"/>
  <c r="W257" i="1"/>
  <c r="J256" i="1" s="1"/>
  <c r="W254" i="1"/>
  <c r="J253" i="1" s="1"/>
  <c r="V257" i="1"/>
  <c r="I256" i="1" s="1"/>
  <c r="V256" i="1"/>
  <c r="I255" i="1" s="1"/>
  <c r="V255" i="1"/>
  <c r="I254" i="1" s="1"/>
  <c r="V254" i="1"/>
  <c r="I253" i="1" s="1"/>
  <c r="U253" i="1"/>
  <c r="H252" i="1" s="1"/>
  <c r="U255" i="1"/>
  <c r="H254" i="1" s="1"/>
  <c r="K27" i="1"/>
  <c r="AD34" i="1"/>
  <c r="AC34" i="1" s="1"/>
  <c r="F28" i="1"/>
  <c r="AD29" i="1"/>
  <c r="AC29" i="1" s="1"/>
  <c r="F21" i="1"/>
  <c r="AD25" i="1"/>
  <c r="AC25" i="1" s="1"/>
  <c r="K18" i="1"/>
  <c r="K12" i="1"/>
  <c r="K11" i="1"/>
  <c r="AD14" i="1"/>
  <c r="AC14" i="1" s="1"/>
  <c r="E367" i="1"/>
  <c r="Q312" i="1"/>
  <c r="Q345" i="1"/>
  <c r="D380" i="1" s="1"/>
  <c r="F11" i="1"/>
  <c r="AD12" i="1"/>
  <c r="AC12" i="1" s="1"/>
  <c r="AD21" i="1"/>
  <c r="AC21" i="1" s="1"/>
  <c r="M216" i="1"/>
  <c r="T243" i="1"/>
  <c r="P245" i="1"/>
  <c r="D244" i="1" s="1"/>
  <c r="G369" i="1"/>
  <c r="E369" i="1"/>
  <c r="AD39" i="1"/>
  <c r="AC39" i="1" s="1"/>
  <c r="Q245" i="1"/>
  <c r="E244" i="1" s="1"/>
  <c r="D367" i="1"/>
  <c r="K16" i="1"/>
  <c r="D216" i="1"/>
  <c r="S274" i="1"/>
  <c r="F273" i="1" s="1"/>
  <c r="Q313" i="1"/>
  <c r="E351" i="1" s="1"/>
  <c r="P312" i="1"/>
  <c r="D350" i="1" s="1"/>
  <c r="V342" i="1"/>
  <c r="I377" i="1" s="1"/>
  <c r="F10" i="1"/>
  <c r="AD10" i="1"/>
  <c r="AC10" i="1" s="1"/>
  <c r="AD18" i="1"/>
  <c r="AC18" i="1" s="1"/>
  <c r="AD48" i="1"/>
  <c r="F38" i="1"/>
  <c r="AD72" i="1"/>
  <c r="J38" i="1"/>
  <c r="D40" i="1"/>
  <c r="AD52" i="1"/>
  <c r="AD80" i="1"/>
  <c r="L40" i="1"/>
  <c r="AD81" i="1"/>
  <c r="J41" i="1"/>
  <c r="F30" i="1"/>
  <c r="AD35" i="1"/>
  <c r="AC35" i="1" s="1"/>
  <c r="X226" i="1"/>
  <c r="K225" i="1" s="1"/>
  <c r="V231" i="1"/>
  <c r="U224" i="1"/>
  <c r="H223" i="1" s="1"/>
  <c r="U227" i="1"/>
  <c r="H226" i="1" s="1"/>
  <c r="U226" i="1"/>
  <c r="H225" i="1" s="1"/>
  <c r="U225" i="1"/>
  <c r="H224" i="1" s="1"/>
  <c r="U243" i="1"/>
  <c r="I242" i="1" s="1"/>
  <c r="R245" i="1"/>
  <c r="F244" i="1" s="1"/>
  <c r="R274" i="1"/>
  <c r="E273" i="1" s="1"/>
  <c r="E272" i="1"/>
  <c r="R345" i="1"/>
  <c r="E380" i="1" s="1"/>
  <c r="R312" i="1"/>
  <c r="G370" i="1"/>
  <c r="AD23" i="1"/>
  <c r="AC23" i="1" s="1"/>
  <c r="F18" i="1"/>
  <c r="E155" i="1"/>
  <c r="E174" i="1"/>
  <c r="E176" i="1"/>
  <c r="K10" i="1"/>
  <c r="F17" i="1"/>
  <c r="L41" i="1"/>
  <c r="R313" i="1"/>
  <c r="F351" i="1" s="1"/>
  <c r="R342" i="1"/>
  <c r="E377" i="1" s="1"/>
  <c r="R323" i="1" l="1"/>
  <c r="E350" i="1"/>
  <c r="D68" i="4"/>
  <c r="I301" i="1"/>
  <c r="L65" i="4"/>
  <c r="I309" i="1"/>
  <c r="D67" i="4"/>
  <c r="I300" i="1"/>
  <c r="L63" i="4"/>
  <c r="I307" i="1"/>
  <c r="H67" i="4"/>
  <c r="I306" i="1"/>
  <c r="D63" i="4"/>
  <c r="I296" i="1"/>
  <c r="D66" i="4"/>
  <c r="I299" i="1"/>
  <c r="D65" i="4"/>
  <c r="I298" i="1"/>
  <c r="S323" i="1"/>
  <c r="F350" i="1"/>
  <c r="H65" i="4"/>
  <c r="I304" i="1"/>
  <c r="L67" i="4"/>
  <c r="I311" i="1"/>
  <c r="H64" i="4"/>
  <c r="I303" i="1"/>
  <c r="L306" i="1"/>
  <c r="L66" i="4"/>
  <c r="I310" i="1"/>
  <c r="H63" i="4"/>
  <c r="I302" i="1"/>
  <c r="D64" i="4"/>
  <c r="I297" i="1"/>
  <c r="L311" i="1"/>
  <c r="L301" i="1"/>
  <c r="H66" i="4"/>
  <c r="E71" i="4" s="1"/>
  <c r="I305" i="1"/>
  <c r="Y241" i="1"/>
  <c r="L240" i="1" s="1"/>
  <c r="H242" i="1"/>
  <c r="K226" i="1"/>
  <c r="V240" i="1"/>
  <c r="J239" i="1" s="1"/>
  <c r="L64" i="4"/>
  <c r="S345" i="1"/>
  <c r="F380" i="1" s="1"/>
  <c r="R260" i="1"/>
  <c r="G272" i="1"/>
  <c r="V238" i="1"/>
  <c r="J237" i="1" s="1"/>
  <c r="S260" i="1"/>
  <c r="V241" i="1"/>
  <c r="J240" i="1" s="1"/>
  <c r="V239" i="1"/>
  <c r="J238" i="1" s="1"/>
  <c r="V242" i="1"/>
  <c r="J241" i="1" s="1"/>
  <c r="Q260" i="1"/>
  <c r="Q323" i="1"/>
  <c r="D368" i="1" s="1"/>
  <c r="Y242" i="1"/>
  <c r="L241" i="1" s="1"/>
  <c r="Y240" i="1"/>
  <c r="L239" i="1" s="1"/>
  <c r="Y239" i="1"/>
  <c r="L238" i="1" s="1"/>
  <c r="X243" i="1"/>
  <c r="X381" i="1"/>
  <c r="K386" i="1" s="1"/>
  <c r="X380" i="1"/>
  <c r="K385" i="1" s="1"/>
  <c r="Q314" i="1"/>
  <c r="P314" i="1"/>
  <c r="D352" i="1" s="1"/>
  <c r="T245" i="1"/>
  <c r="H244" i="1" s="1"/>
  <c r="Y238" i="1"/>
  <c r="L237" i="1" s="1"/>
  <c r="P246" i="1"/>
  <c r="D245" i="1" s="1"/>
  <c r="T345" i="1"/>
  <c r="G380" i="1" s="1"/>
  <c r="S312" i="1"/>
  <c r="U245" i="1"/>
  <c r="I244" i="1" s="1"/>
  <c r="T313" i="1"/>
  <c r="H351" i="1" s="1"/>
  <c r="S313" i="1"/>
  <c r="G351" i="1" s="1"/>
  <c r="E368" i="1"/>
  <c r="R314" i="1"/>
  <c r="F352" i="1" s="1"/>
  <c r="T312" i="1"/>
  <c r="E72" i="4" l="1"/>
  <c r="F72" i="4"/>
  <c r="D72" i="4"/>
  <c r="U323" i="1"/>
  <c r="H350" i="1"/>
  <c r="H353" i="1" s="1"/>
  <c r="T323" i="1"/>
  <c r="G350" i="1"/>
  <c r="S261" i="1"/>
  <c r="F260" i="1" s="1"/>
  <c r="F259" i="1"/>
  <c r="X244" i="1"/>
  <c r="K243" i="1" s="1"/>
  <c r="K242" i="1"/>
  <c r="R261" i="1"/>
  <c r="E260" i="1" s="1"/>
  <c r="E259" i="1"/>
  <c r="Q261" i="1"/>
  <c r="D260" i="1" s="1"/>
  <c r="D259" i="1"/>
  <c r="F71" i="4"/>
  <c r="U272" i="1" s="1"/>
  <c r="H271" i="1" s="1"/>
  <c r="V244" i="1"/>
  <c r="J243" i="1" s="1"/>
  <c r="V243" i="1"/>
  <c r="J242" i="1" s="1"/>
  <c r="Y243" i="1"/>
  <c r="L242" i="1" s="1"/>
  <c r="S314" i="1"/>
  <c r="G352" i="1" s="1"/>
  <c r="AD86" i="1"/>
  <c r="G368" i="1"/>
  <c r="AD87" i="1"/>
  <c r="T314" i="1"/>
  <c r="U270" i="1" l="1"/>
  <c r="H269" i="1" s="1"/>
  <c r="U269" i="1"/>
  <c r="H268" i="1" s="1"/>
  <c r="U271" i="1"/>
  <c r="H270" i="1" s="1"/>
  <c r="V245" i="1"/>
  <c r="B82" i="4"/>
  <c r="K267" i="1"/>
  <c r="Y244" i="1"/>
  <c r="L243" i="1" s="1"/>
  <c r="T326" i="1"/>
  <c r="F371" i="1" s="1"/>
  <c r="I366" i="1" s="1"/>
  <c r="F368" i="1"/>
  <c r="U273" i="1" l="1"/>
  <c r="H272" i="1" s="1"/>
  <c r="V246" i="1"/>
  <c r="J245" i="1" s="1"/>
  <c r="J244" i="1"/>
  <c r="X270" i="1"/>
  <c r="K269" i="1" s="1"/>
  <c r="X269" i="1" l="1"/>
  <c r="D84" i="4" s="1"/>
  <c r="X271" i="1" s="1"/>
  <c r="U274" i="1"/>
  <c r="H273" i="1" s="1"/>
  <c r="K268" i="1" l="1"/>
  <c r="X276" i="1"/>
  <c r="K274" i="1" s="1"/>
  <c r="AD85" i="1"/>
  <c r="K270" i="1"/>
  <c r="X273" i="1"/>
  <c r="K272" i="1" s="1"/>
  <c r="L38" i="2"/>
  <c r="X277" i="1"/>
  <c r="K275" i="1" s="1"/>
</calcChain>
</file>

<file path=xl/comments1.xml><?xml version="1.0" encoding="utf-8"?>
<comments xmlns="http://schemas.openxmlformats.org/spreadsheetml/2006/main">
  <authors>
    <author>EM</author>
  </authors>
  <commentList>
    <comment ref="N21" authorId="0" shapeId="0">
      <text>
        <r>
          <rPr>
            <b/>
            <sz val="8"/>
            <color rgb="FF000000"/>
            <rFont val="Arial1"/>
            <family val="2"/>
          </rPr>
          <t>Click in boxes to use drop-down lists</t>
        </r>
      </text>
    </comment>
    <comment ref="H36" authorId="0" shapeId="0">
      <text>
        <r>
          <rPr>
            <b/>
            <sz val="8"/>
            <color rgb="FF000000"/>
            <rFont val="Arial1"/>
            <family val="2"/>
          </rPr>
          <t>Click in boxes to use drop-down lists</t>
        </r>
        <r>
          <rPr>
            <b/>
            <sz val="8"/>
            <color rgb="FF000000"/>
            <rFont val="Arial1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EM</author>
  </authors>
  <commentList>
    <comment ref="J10" authorId="0" shapeId="0">
      <text>
        <r>
          <rPr>
            <b/>
            <sz val="8"/>
            <color rgb="FF000000"/>
            <rFont val="Arial1"/>
            <family val="2"/>
          </rPr>
          <t>Click in boxes to use drop-down lists</t>
        </r>
      </text>
    </comment>
  </commentList>
</comments>
</file>

<file path=xl/comments3.xml><?xml version="1.0" encoding="utf-8"?>
<comments xmlns="http://schemas.openxmlformats.org/spreadsheetml/2006/main">
  <authors>
    <author>EM</author>
  </authors>
  <commentList>
    <comment ref="A86" authorId="0" shapeId="0">
      <text>
        <r>
          <rPr>
            <sz val="10"/>
            <color theme="1"/>
            <rFont val="Arial1"/>
          </rPr>
          <t>Radcal kV correction for W anodes uses a 5</t>
        </r>
        <r>
          <rPr>
            <vertAlign val="superscript"/>
            <sz val="10"/>
            <color theme="1"/>
            <rFont val="Arial1"/>
          </rPr>
          <t>th</t>
        </r>
        <r>
          <rPr>
            <sz val="10"/>
            <color theme="1"/>
            <rFont val="Arial1"/>
          </rPr>
          <t xml:space="preserve"> order polynomial divided into two domains.</t>
        </r>
      </text>
    </comment>
    <comment ref="A98" authorId="0" shapeId="0">
      <text>
        <r>
          <rPr>
            <sz val="10"/>
            <color theme="1"/>
            <rFont val="Arial1"/>
          </rPr>
          <t>Radcal kV correction for W anodes uses a 5</t>
        </r>
        <r>
          <rPr>
            <vertAlign val="superscript"/>
            <sz val="10"/>
            <color theme="1"/>
            <rFont val="Arial1"/>
          </rPr>
          <t>th</t>
        </r>
        <r>
          <rPr>
            <sz val="10"/>
            <color theme="1"/>
            <rFont val="Arial1"/>
          </rPr>
          <t xml:space="preserve"> order polynomial divided into two domains.</t>
        </r>
      </text>
    </comment>
  </commentList>
</comments>
</file>

<file path=xl/sharedStrings.xml><?xml version="1.0" encoding="utf-8"?>
<sst xmlns="http://schemas.openxmlformats.org/spreadsheetml/2006/main" count="1601" uniqueCount="593">
  <si>
    <t>Revision 1.0-20140918</t>
  </si>
  <si>
    <t>Print Area</t>
  </si>
  <si>
    <t>Medical University of South Carolina</t>
  </si>
  <si>
    <t>Page1,HVLPage,ExpChart,ImgQuality,Compg1,GraphAcryl,LeedsTO10</t>
  </si>
  <si>
    <t>Charleston, South Carolina</t>
  </si>
  <si>
    <t>All:</t>
  </si>
  <si>
    <t>Page1,HVLPage,ExpChart,ImgQuality,Compg1,Compg2,OutputGraphFl,OutputGraphDig,LeedsTO10</t>
  </si>
  <si>
    <t>Mammography System Compliance Inspection</t>
  </si>
  <si>
    <t>Measurement Parameter</t>
  </si>
  <si>
    <t>Last Year</t>
  </si>
  <si>
    <t>This Year</t>
  </si>
  <si>
    <t>Date:</t>
  </si>
  <si>
    <t>Inspector:</t>
  </si>
  <si>
    <t>Eugene Mah</t>
  </si>
  <si>
    <t>System Information</t>
  </si>
  <si>
    <t>Previous Date:</t>
  </si>
  <si>
    <t>Date</t>
  </si>
  <si>
    <t>Location</t>
  </si>
  <si>
    <t>Input Changes Only</t>
  </si>
  <si>
    <t>Inspector</t>
  </si>
  <si>
    <t>kV Set</t>
  </si>
  <si>
    <t>mAs Set</t>
  </si>
  <si>
    <t>Add Filt</t>
  </si>
  <si>
    <t>Target</t>
  </si>
  <si>
    <t>Filter</t>
  </si>
  <si>
    <t>kVp</t>
  </si>
  <si>
    <t>ms</t>
  </si>
  <si>
    <t>Dose (mGy)</t>
  </si>
  <si>
    <t>Dose rate (mGy/s)</t>
  </si>
  <si>
    <t>Corr kV</t>
  </si>
  <si>
    <t>Facility:</t>
  </si>
  <si>
    <t>Site Number:</t>
  </si>
  <si>
    <t>Mo</t>
  </si>
  <si>
    <t>Department:</t>
  </si>
  <si>
    <t>Authorized Use:</t>
  </si>
  <si>
    <t>Area/Division:</t>
  </si>
  <si>
    <t>Date of Installation:</t>
  </si>
  <si>
    <t>Survey ID:</t>
  </si>
  <si>
    <t>Number of X-ray Tubes:</t>
  </si>
  <si>
    <t>Room Number:</t>
  </si>
  <si>
    <t>Accession Number:</t>
  </si>
  <si>
    <t>X-Ray Generator</t>
  </si>
  <si>
    <t>Manufacturer:</t>
  </si>
  <si>
    <t>Manufacture Date:</t>
  </si>
  <si>
    <t>Model:</t>
  </si>
  <si>
    <t>Serial Number:</t>
  </si>
  <si>
    <t>Max kVp:</t>
  </si>
  <si>
    <t>Max mA:</t>
  </si>
  <si>
    <t>Accesssion Number:</t>
  </si>
  <si>
    <t>X-Ray Tube 1</t>
  </si>
  <si>
    <t>Tube Designation/Use:</t>
  </si>
  <si>
    <t>Target:</t>
  </si>
  <si>
    <t>W</t>
  </si>
  <si>
    <t>Insert</t>
  </si>
  <si>
    <t>Filter:</t>
  </si>
  <si>
    <t>Rh</t>
  </si>
  <si>
    <t>Focal Spot Sizes (mm)</t>
  </si>
  <si>
    <t>Housing</t>
  </si>
  <si>
    <t>Large:</t>
  </si>
  <si>
    <t>Small:</t>
  </si>
  <si>
    <t>Filtration</t>
  </si>
  <si>
    <t>Inherent:</t>
  </si>
  <si>
    <t>Added:</t>
  </si>
  <si>
    <t>Technique Chart</t>
  </si>
  <si>
    <t>Compressed</t>
  </si>
  <si>
    <t>Fatty Breast</t>
  </si>
  <si>
    <t>50% Fatty -</t>
  </si>
  <si>
    <t>Dense Breast</t>
  </si>
  <si>
    <t>Breast</t>
  </si>
  <si>
    <t>50% Dense Breast</t>
  </si>
  <si>
    <t>Thickness</t>
  </si>
  <si>
    <t>Target/Filter</t>
  </si>
  <si>
    <t>mAs</t>
  </si>
  <si>
    <t>Inspection Results</t>
  </si>
  <si>
    <t>&lt;3 cm</t>
  </si>
  <si>
    <t>Enter 1 for YES, 2 for NO, 3 for NA</t>
  </si>
  <si>
    <t>Target 1:</t>
  </si>
  <si>
    <t>3 to 5 cm</t>
  </si>
  <si>
    <t>DHEC Registration sticker is present, clearly visible and legible</t>
  </si>
  <si>
    <t>Target 2:</t>
  </si>
  <si>
    <t>5 to 7 cm</t>
  </si>
  <si>
    <t>DHEC form SC-RAH-20 “Notice to Employees” posted or referenced</t>
  </si>
  <si>
    <t>Filter 1:</t>
  </si>
  <si>
    <t>&gt;7 cm</t>
  </si>
  <si>
    <t>Radiation warning label posted on the generator control panel</t>
  </si>
  <si>
    <t>Filter 2:</t>
  </si>
  <si>
    <t>Operator manuals are available.</t>
  </si>
  <si>
    <t>Monthly radiation monitoring reports are posted.</t>
  </si>
  <si>
    <t>Added</t>
  </si>
  <si>
    <t>Rule Number</t>
  </si>
  <si>
    <t>Compliance</t>
  </si>
  <si>
    <t>DHEC RHB 2.5.1.1</t>
  </si>
  <si>
    <t>Mammography Unit Assembly Evaluation</t>
  </si>
  <si>
    <t>DHEC RHB 10.2.1</t>
  </si>
  <si>
    <t>Free-standing unit is mechanically stable</t>
  </si>
  <si>
    <t>Target/Filter:</t>
  </si>
  <si>
    <t>DHEC RHB 4.3.1</t>
  </si>
  <si>
    <t>All moving parts move smoothly, without obstructions to motion</t>
  </si>
  <si>
    <t>kVp:</t>
  </si>
  <si>
    <t>All locks and detents work properly</t>
  </si>
  <si>
    <t>Density:</t>
  </si>
  <si>
    <t>Image receptor holder assembly is free from vibrations</t>
  </si>
  <si>
    <t>Image receptor slides smoothly into holder assembly</t>
  </si>
  <si>
    <t>Image receptor is held securely by assembly in any orientation</t>
  </si>
  <si>
    <t>Compressed breast thickness scale accurate to +0.5 cm, reproducible to +2 mm</t>
  </si>
  <si>
    <t>Patient or operator is not exposed to sharp or rough edges, or other hazards</t>
  </si>
  <si>
    <t>Operator technique control charts are posted</t>
  </si>
  <si>
    <t>Operator protected during exposure by adequate radiation shielding</t>
  </si>
  <si>
    <t>All indicator lights working properly</t>
  </si>
  <si>
    <t>Compressed breast thickness scale accurate to 0.5 cm, reproducible to 2 mm</t>
  </si>
  <si>
    <t>Auto decompression can be overridden to maintain compression (and status displayed)</t>
  </si>
  <si>
    <t>Manual emergency compression release can be activated in the event of a power failure</t>
  </si>
  <si>
    <t>50/50 Breast</t>
  </si>
  <si>
    <t>MQSA Equipment Standards</t>
  </si>
  <si>
    <t>Tube-receptor assembly can be fixed into any operating position and does not move once fixed into position</t>
  </si>
  <si>
    <t>Autodecompression can be overridden to maintain compression</t>
  </si>
  <si>
    <t>Tube-receptor assembly locking mechanism does not fail during power interruption</t>
  </si>
  <si>
    <t>Manual emergency compression release in the event of a power failure</t>
  </si>
  <si>
    <t>Image Receptor Sizes 18 x 24 &amp; 24 x 30 are available</t>
  </si>
  <si>
    <t>Moving grids are present for all image receptor sizes</t>
  </si>
  <si>
    <t>Magnification can be done without grid</t>
  </si>
  <si>
    <t>Room Number</t>
  </si>
  <si>
    <t>Beam limiting device allows useful beam to extend beyond chest wall edge of receptor</t>
  </si>
  <si>
    <t>Average illumination of the light field is at least 160 lux</t>
  </si>
  <si>
    <t>Magnification mode is available for non-interventional problem solving procedures</t>
  </si>
  <si>
    <t>System provides magnification factor between 1.4 – 2.0</t>
  </si>
  <si>
    <t>900.12(b)(3i)</t>
  </si>
  <si>
    <t>Tube-receptor can be fixed into any operating position and does not move</t>
  </si>
  <si>
    <t>Prior indication of selected focal spot is provided</t>
  </si>
  <si>
    <t>900.12(b)(3ii)</t>
  </si>
  <si>
    <t>Tube-receptor locking mechanism does not fail during power interruption</t>
  </si>
  <si>
    <t>Prior indication of selected target is provided</t>
  </si>
  <si>
    <t>900.12(b)(4i)</t>
  </si>
  <si>
    <t>Post exposure display of target/focal spot is provided</t>
  </si>
  <si>
    <t>900.12(b)(4ii)</t>
  </si>
  <si>
    <t>Moving grids are present for all image receptor sizessizes</t>
  </si>
  <si>
    <t>Initial power driven compression can be activated hands-free from both sides</t>
  </si>
  <si>
    <t>900.12(b)(4iii)</t>
  </si>
  <si>
    <t>Fine adjustment of compression can be activated from both sides</t>
  </si>
  <si>
    <t>900.12(b)(5i)</t>
  </si>
  <si>
    <t>Beam limiting device allows useful beam to extend beyond chest wall edge</t>
  </si>
  <si>
    <t>Compression paddles match the sizes of all image receptors</t>
  </si>
  <si>
    <t>900.12(b)(5ii)</t>
  </si>
  <si>
    <t>Compression paddles do not flex by more than 1 cm</t>
  </si>
  <si>
    <t>900.12(b)(6i)</t>
  </si>
  <si>
    <t>Magnification mode available for non-interventional problem solving</t>
  </si>
  <si>
    <t>Compression paddles are flat and parallel to the breast support table</t>
  </si>
  <si>
    <t>900.12(b)(6ii)</t>
  </si>
  <si>
    <t>Chest wall edge of the compression paddle is straight and parallel to the edge of the receptor</t>
  </si>
  <si>
    <t>900.12(b)(7i)</t>
  </si>
  <si>
    <t>Chest wall edge may be bent upwards for patient comfort and does not appear in the image</t>
  </si>
  <si>
    <t>Manual selection of mAs or mA and/or time is available</t>
  </si>
  <si>
    <t>900.12(b)(7iii)</t>
  </si>
  <si>
    <t>Prior indication of selected technique factors is provided</t>
  </si>
  <si>
    <t>900.12(b)(8)(iB)</t>
  </si>
  <si>
    <t>Post exposure display of technique factors is provided for AEC exposures</t>
  </si>
  <si>
    <t>AEC mode is operable in all combinations of equipment configuration</t>
  </si>
  <si>
    <t>900.12(b)(8)(iiA)</t>
  </si>
  <si>
    <t>AEC sensor positioning is flexible</t>
  </si>
  <si>
    <t>900.12(b)(8)(iiB)</t>
  </si>
  <si>
    <t>AEC sensor position and size is indicated on the compression paddle</t>
  </si>
  <si>
    <t>MGD:</t>
  </si>
  <si>
    <t>900.12(b)(8)(iiC)</t>
  </si>
  <si>
    <t>Selected position of the AEC sensor is clearly indicated</t>
  </si>
  <si>
    <t>900.12(b)(8)(iiD)</t>
  </si>
  <si>
    <t>Chest wall edge of the compression paddle is straight and parallel to receptor</t>
  </si>
  <si>
    <t>AEC density control setting is provided</t>
  </si>
  <si>
    <t>900.12(b)(8)(iiE)</t>
  </si>
  <si>
    <t>Chest wall edge may be bent upwards and does not appear in the image</t>
  </si>
  <si>
    <t>X-ray film used is appropriate for mammography</t>
  </si>
  <si>
    <t>Image Quality (Printer)</t>
  </si>
  <si>
    <t>900.12(b)(9i)</t>
  </si>
  <si>
    <t>Intensifying screens used are appropriate for mammography and matched to the film used</t>
  </si>
  <si>
    <t>kV:</t>
  </si>
  <si>
    <t>900.12(b)(9ii)</t>
  </si>
  <si>
    <t>Film processing chemicals are appropriate for the film being used</t>
  </si>
  <si>
    <t>mA:</t>
  </si>
  <si>
    <t>900.12(b)(9iii)</t>
  </si>
  <si>
    <t>Lights for film illumination i.e. hot lights are available</t>
  </si>
  <si>
    <t>Bkg Density:</t>
  </si>
  <si>
    <t>900.12(b)(10i)</t>
  </si>
  <si>
    <t>Film masking devices are available to all interpreting physicians</t>
  </si>
  <si>
    <t>Inside disk:</t>
  </si>
  <si>
    <t>900.12(b)(10ii)</t>
  </si>
  <si>
    <t>Outside disk:</t>
  </si>
  <si>
    <t>Difference:</t>
  </si>
  <si>
    <t>Mammography Phototimer Technique Chart</t>
  </si>
  <si>
    <t>Fibers:</t>
  </si>
  <si>
    <t>900.12(b)(10iii)</t>
  </si>
  <si>
    <t>Specks:</t>
  </si>
  <si>
    <t>900.12(b)(11)</t>
  </si>
  <si>
    <t>Masses:</t>
  </si>
  <si>
    <t>900.12(b)(12)</t>
  </si>
  <si>
    <t>Intensifying screens used are appropriate for mammography and matched to film</t>
  </si>
  <si>
    <t>Image Quality (Acq Unit)</t>
  </si>
  <si>
    <t>900.12(b)(13)</t>
  </si>
  <si>
    <t>900.12(b)(14)</t>
  </si>
  <si>
    <t>900.12(b)(15)</t>
  </si>
  <si>
    <t>SNR:</t>
  </si>
  <si>
    <t>CNR:</t>
  </si>
  <si>
    <t>Compression Force Indicator</t>
  </si>
  <si>
    <t>Force (N):</t>
  </si>
  <si>
    <t>Max force (N):</t>
  </si>
  <si>
    <t>Force maintained for 1 minute:</t>
  </si>
  <si>
    <t>Criteria:</t>
  </si>
  <si>
    <t>Maximum force is between 12 - 20 kg (120-200 N)</t>
  </si>
  <si>
    <t>Compression Thickness Indicator</t>
  </si>
  <si>
    <t>BR-12 (cm)</t>
  </si>
  <si>
    <t>Indicated</t>
  </si>
  <si>
    <t>Difference</t>
  </si>
  <si>
    <t>Mean:</t>
  </si>
  <si>
    <t>StDev:</t>
  </si>
  <si>
    <t>Difference between indicated and actual thickness is &lt;= 5 mm</t>
  </si>
  <si>
    <t>Reproducibility is &lt;= 2 mm</t>
  </si>
  <si>
    <t>Paddle flex is less than 1 cm</t>
  </si>
  <si>
    <t>Compression thickness indicator:</t>
  </si>
  <si>
    <t>Overall unit assembly</t>
  </si>
  <si>
    <t>Artifact Evaluation</t>
  </si>
  <si>
    <t>Acceptable:</t>
  </si>
  <si>
    <t>mAs:</t>
  </si>
  <si>
    <t>EI:</t>
  </si>
  <si>
    <t>No clinically relevant artifacts detected</t>
  </si>
  <si>
    <t>Paddle flex is less than 1 cm:</t>
  </si>
  <si>
    <t>Overall unit assembly:</t>
  </si>
  <si>
    <t>Comments:</t>
  </si>
  <si>
    <t>Do not exceed 390 chars</t>
  </si>
  <si>
    <t>New:</t>
  </si>
  <si>
    <t>Light Field Brightness</t>
  </si>
  <si>
    <t>Measurements (lux)</t>
  </si>
  <si>
    <t>Average Illumination</t>
  </si>
  <si>
    <t>1st quad.</t>
  </si>
  <si>
    <t>2nd quad.</t>
  </si>
  <si>
    <t>3rd quad.</t>
  </si>
  <si>
    <t>4th quad.</t>
  </si>
  <si>
    <t>(lux)</t>
  </si>
  <si>
    <t>Average light field illumination &gt;= 160 lux</t>
  </si>
  <si>
    <t>Light Field/X-ray Field Alignment</t>
  </si>
  <si>
    <t>Mo/Mo</t>
  </si>
  <si>
    <t>W/Rh</t>
  </si>
  <si>
    <t>Focal spot:</t>
  </si>
  <si>
    <t>Deviation (mm)</t>
  </si>
  <si>
    <t>24x30</t>
  </si>
  <si>
    <t>18x24 Low</t>
  </si>
  <si>
    <t>18x24 High</t>
  </si>
  <si>
    <t>Left:</t>
  </si>
  <si>
    <t>Right:</t>
  </si>
  <si>
    <t>Anterior:</t>
  </si>
  <si>
    <t>Chest Wall:</t>
  </si>
  <si>
    <t>Left/Right:</t>
  </si>
  <si>
    <t>Ant/Chest:</t>
  </si>
  <si>
    <t>Sum of left and right edge deviation is less than 13 mm</t>
  </si>
  <si>
    <t>Sum of anterior and chest wall edge deviation is less than 13mm</t>
  </si>
  <si>
    <t>X-ray Field/Image Receptor Alignment</t>
  </si>
  <si>
    <t>Average light field illumination &gt;= 160 lux.</t>
  </si>
  <si>
    <t>Left</t>
  </si>
  <si>
    <t>Right</t>
  </si>
  <si>
    <t>Compression Paddle:</t>
  </si>
  <si>
    <t>Paddle:</t>
  </si>
  <si>
    <t>Missed Tissue:</t>
  </si>
  <si>
    <t>Compression paddle deviation is &lt;= 6.5mm</t>
  </si>
  <si>
    <t>Chest wall missed tissue is &lt;= 5 mm</t>
  </si>
  <si>
    <t>System Resolution</t>
  </si>
  <si>
    <t>Mo/Rh</t>
  </si>
  <si>
    <t>lp/mm:</t>
  </si>
  <si>
    <t>Limiting system resolution must be 6 lp/mm or higher</t>
  </si>
  <si>
    <t>AEC Thickness Tracking</t>
  </si>
  <si>
    <t>AEC Mode:</t>
  </si>
  <si>
    <t>AEC Position:</t>
  </si>
  <si>
    <t>(cm)</t>
  </si>
  <si>
    <t>kV</t>
  </si>
  <si>
    <t>Mean Pixel</t>
  </si>
  <si>
    <t>Deviation</t>
  </si>
  <si>
    <t>Average:</t>
  </si>
  <si>
    <t>SD:</t>
  </si>
  <si>
    <t>Coeff of Var:</t>
  </si>
  <si>
    <t>Reported</t>
  </si>
  <si>
    <t>MGD (mGy)</t>
  </si>
  <si>
    <t>Mean pixel value of each image is within 10% of the average pixel value</t>
  </si>
  <si>
    <t>Coefficient of variation &lt;= 5%</t>
  </si>
  <si>
    <t>AEC security cutoff is activated</t>
  </si>
  <si>
    <t>Visible signal indicates AEC security cutoff and subsequent exposures blocked</t>
  </si>
  <si>
    <t>SNR, CNR, AEC Reproducibility</t>
  </si>
  <si>
    <t>Entrance</t>
  </si>
  <si>
    <t>Mass mean</t>
  </si>
  <si>
    <t>Bkg mean</t>
  </si>
  <si>
    <t>Bkg SD</t>
  </si>
  <si>
    <t>SNR</t>
  </si>
  <si>
    <t>CNR</t>
  </si>
  <si>
    <t>Mean Dev</t>
  </si>
  <si>
    <t>SNR Dev</t>
  </si>
  <si>
    <t>Change</t>
  </si>
  <si>
    <t>Acceptable</t>
  </si>
  <si>
    <t>Max:</t>
  </si>
  <si>
    <t>Coefficient of variation in mAs, entrance dose is &lt;= 5%</t>
  </si>
  <si>
    <t>Maximum deviation of Mass mean/SNR is &lt;= 15%</t>
  </si>
  <si>
    <t>Detector Uniformity</t>
  </si>
  <si>
    <t>Deviation from Mean</t>
  </si>
  <si>
    <t>Mean Glandular Dose</t>
  </si>
  <si>
    <t>ROI 1</t>
  </si>
  <si>
    <t>Phantom:</t>
  </si>
  <si>
    <t>ROI 2</t>
  </si>
  <si>
    <t>ROI 3</t>
  </si>
  <si>
    <t>Air KERMA</t>
  </si>
  <si>
    <t>ROI 4</t>
  </si>
  <si>
    <t>Time (s)</t>
  </si>
  <si>
    <t>(mGy)</t>
  </si>
  <si>
    <t>HVL:</t>
  </si>
  <si>
    <t>ROI 5</t>
  </si>
  <si>
    <t>ESE (mGy):</t>
  </si>
  <si>
    <t>Average</t>
  </si>
  <si>
    <t>DGN (mrad/R):</t>
  </si>
  <si>
    <t>Max dev</t>
  </si>
  <si>
    <t>MGD (mGy):</t>
  </si>
  <si>
    <t>Prev MGD (mGy):</t>
  </si>
  <si>
    <t>Maximum deviation from average is &lt;= 7%</t>
  </si>
  <si>
    <t>% Change:</t>
  </si>
  <si>
    <t>MGD is less than 3 mGy</t>
  </si>
  <si>
    <t>Deviation from Reported MGD:</t>
  </si>
  <si>
    <t>Deviation from reported MGD is less than15%</t>
  </si>
  <si>
    <t>mAs at 3 mGy:</t>
  </si>
  <si>
    <t>Signal to Noise Ratio</t>
  </si>
  <si>
    <t>Current</t>
  </si>
  <si>
    <t>Previous</t>
  </si>
  <si>
    <t>SNR must be &gt;= 40</t>
  </si>
  <si>
    <t>CNR does not change by more than 15%</t>
  </si>
  <si>
    <t>Image Quality Evaluation</t>
  </si>
  <si>
    <t>Printer</t>
  </si>
  <si>
    <t>Acq Workstation</t>
  </si>
  <si>
    <t>Review Workstation</t>
  </si>
  <si>
    <t>Normal</t>
  </si>
  <si>
    <t>Workstation:</t>
  </si>
  <si>
    <t>kVp Accuracy and Output</t>
  </si>
  <si>
    <t>Background Density:</t>
  </si>
  <si>
    <t>Meter:</t>
  </si>
  <si>
    <t>Calibration Date:</t>
  </si>
  <si>
    <t>Serial #:</t>
  </si>
  <si>
    <t>Calibration Due:</t>
  </si>
  <si>
    <t>Measured Values</t>
  </si>
  <si>
    <t>mGy/mAs</t>
  </si>
  <si>
    <t>mGy/s</t>
  </si>
  <si>
    <t>SN:</t>
  </si>
  <si>
    <t>kV accuracy is &lt;= 5%</t>
  </si>
  <si>
    <t>kV, Exposure, and Output Reproducibility</t>
  </si>
  <si>
    <t>kVp and Output Reproducibility</t>
  </si>
  <si>
    <t>Std Dev:</t>
  </si>
  <si>
    <t>mGy</t>
  </si>
  <si>
    <t>Previous:</t>
  </si>
  <si>
    <t>Coefficient of variation &lt;= 2%</t>
  </si>
  <si>
    <t>Minimum acceptable output is 7 mGy/s at 28 kVp for Mo target</t>
  </si>
  <si>
    <t>Minimum acceptable output is 2 mGy/s at 28 kVp for W target</t>
  </si>
  <si>
    <t>Exposure Linearity</t>
  </si>
  <si>
    <t>Coeff of Linearity:</t>
  </si>
  <si>
    <t>Coefficient of linearity is &lt;= 10%</t>
  </si>
  <si>
    <t>Unit Can Maintain Output for 3 sec at 28 kVp</t>
  </si>
  <si>
    <t>Set mAs</t>
  </si>
  <si>
    <t>Half Value Layer</t>
  </si>
  <si>
    <t>Al (mm)</t>
  </si>
  <si>
    <t>Air Kerma (mGy)</t>
  </si>
  <si>
    <t>HVL</t>
  </si>
  <si>
    <t>0 mm</t>
  </si>
  <si>
    <t>Min</t>
  </si>
  <si>
    <t>Max</t>
  </si>
  <si>
    <t>HVL is between the minimum and maximum limits</t>
  </si>
  <si>
    <t>QC Manual Version:</t>
  </si>
  <si>
    <t>Must be able to see 5 fibers, 4 speck groups, 4 masses</t>
  </si>
  <si>
    <t>Workstation</t>
  </si>
  <si>
    <t>Acquisition Unit</t>
  </si>
  <si>
    <t>Phantom serial number:</t>
  </si>
  <si>
    <t>Fibers</t>
  </si>
  <si>
    <t>Specks</t>
  </si>
  <si>
    <t>Masses</t>
  </si>
  <si>
    <t>Must see at least 5 fibers, 4 specks, 4 masses</t>
  </si>
  <si>
    <t>Signal to Noise</t>
  </si>
  <si>
    <t>Mean</t>
  </si>
  <si>
    <t>SD</t>
  </si>
  <si>
    <t>Mass:</t>
  </si>
  <si>
    <t>Background:</t>
  </si>
  <si>
    <t>Baseline</t>
  </si>
  <si>
    <t>SNR must be &gt;= 40. CNR must be &gt;= 2.</t>
  </si>
  <si>
    <t>SNR/CNR must not differ from baseline by more than +/- 15%</t>
  </si>
  <si>
    <t>MEDICAL PHYSICIST'S MAMMOGRAPHY QC TEST SUMMARY</t>
  </si>
  <si>
    <t>Full-Field Digital – Siemens</t>
  </si>
  <si>
    <t>Site Name</t>
  </si>
  <si>
    <t>Report Date</t>
  </si>
  <si>
    <t>Address</t>
  </si>
  <si>
    <t>Survey Date</t>
  </si>
  <si>
    <t>Medical Physicist's Name</t>
  </si>
  <si>
    <t>Signature</t>
  </si>
  <si>
    <t>X-Ray Unit Manufacturer</t>
  </si>
  <si>
    <t>Siemens</t>
  </si>
  <si>
    <t>Model</t>
  </si>
  <si>
    <t>Date of Installation</t>
  </si>
  <si>
    <t>Room ID</t>
  </si>
  <si>
    <t>QC Manual Version #</t>
  </si>
  <si>
    <r>
      <t>(</t>
    </r>
    <r>
      <rPr>
        <i/>
        <sz val="9"/>
        <color theme="1"/>
        <rFont val="Arial"/>
        <family val="2"/>
      </rPr>
      <t>use version applicable to unit tested; contact mfr if questions</t>
    </r>
    <r>
      <rPr>
        <sz val="9"/>
        <color theme="1"/>
        <rFont val="Arial"/>
        <family val="2"/>
      </rPr>
      <t>)</t>
    </r>
  </si>
  <si>
    <t>Accessory Equipment</t>
  </si>
  <si>
    <t>Manufacturer</t>
  </si>
  <si>
    <t>Review Workstation*</t>
  </si>
  <si>
    <t>Film Printer*</t>
  </si>
  <si>
    <t>*FDA recommends that only monitors and printers specifically cleared for FFDM use by FDA’s Office of Device Evaluation (ODE) be used. See FDA's Policy Guidance Help System www.fda.gov/CDRH/MAMMOGRAPHY/robohelp/START.HTM.</t>
  </si>
  <si>
    <t>Survey Type</t>
  </si>
  <si>
    <t>Mammo Eqpt Evaluation of new unit (include MQSA Rqmts for Mammo Eqpt checklist)</t>
  </si>
  <si>
    <t>Annual Survey</t>
  </si>
  <si>
    <t>Medical Physicist's QC Tests</t>
  </si>
  <si>
    <t>("Pass" means all components of the test passes; indicate "Fail" if any component fails. Tests must be done for both on and off-site equipment.)</t>
  </si>
  <si>
    <t>PASS/FAIL</t>
  </si>
  <si>
    <t>1.    Site Audit/Evaluation of Technologist QC Program</t>
  </si>
  <si>
    <t>2.    Mechanical Inspection</t>
  </si>
  <si>
    <t>3.    Acquisition Workstation Monitor Check</t>
  </si>
  <si>
    <t>4.    Detector Uniformity</t>
  </si>
  <si>
    <t>5.    Artifact Detection</t>
  </si>
  <si>
    <t>6.    Collimation, Dead Space &amp; Compression Paddle Position</t>
  </si>
  <si>
    <t>7.    AEC Thickness Tracking</t>
  </si>
  <si>
    <t>8.    Spatial Resolution</t>
  </si>
  <si>
    <t>9.    SNR, CNR and AEC Repeatability</t>
  </si>
  <si>
    <t>Measured values:</t>
  </si>
  <si>
    <r>
      <t xml:space="preserve">CV for mAs and entrance air kerma </t>
    </r>
    <r>
      <rPr>
        <u/>
        <sz val="12"/>
        <color theme="1"/>
        <rFont val="Arial"/>
        <family val="2"/>
      </rPr>
      <t>&lt;</t>
    </r>
    <r>
      <rPr>
        <sz val="12"/>
        <color theme="1"/>
        <rFont val="Arial"/>
        <family val="2"/>
      </rPr>
      <t>5%</t>
    </r>
  </si>
  <si>
    <t>Max deviation of mean pixel values and SNR within ±15% of mean for measurements</t>
  </si>
  <si>
    <t>10.    Image Quality</t>
  </si>
  <si>
    <t>Largest 5 fibers, 4 speck groups and 4 masses visible*</t>
  </si>
  <si>
    <t>(*largest 4 fibers, 3 speck groups and 3 masses acceptable if spatial resolution and CNR pass)</t>
  </si>
  <si>
    <t>Phantom image scores:</t>
  </si>
  <si>
    <t>11.  Radiation Dose</t>
  </si>
  <si>
    <r>
      <t xml:space="preserve">Average glandular dose for average breast is </t>
    </r>
    <r>
      <rPr>
        <u/>
        <sz val="12"/>
        <color theme="1"/>
        <rFont val="Arial"/>
        <family val="2"/>
      </rPr>
      <t>&lt;</t>
    </r>
    <r>
      <rPr>
        <sz val="12"/>
        <color theme="1"/>
        <rFont val="Arial"/>
        <family val="2"/>
      </rPr>
      <t>3 mGy (300 mrad)</t>
    </r>
  </si>
  <si>
    <t>12.  HVL and Radiation Output</t>
  </si>
  <si>
    <t>13.  Tube Voltage Measurement &amp; Reproducibility</t>
  </si>
  <si>
    <t>14.  Film Printer Check</t>
  </si>
  <si>
    <r>
      <t xml:space="preserve">15. Review Workstation (RWS) Tests </t>
    </r>
    <r>
      <rPr>
        <i/>
        <sz val="10"/>
        <color theme="1"/>
        <rFont val="Arial"/>
        <family val="2"/>
      </rPr>
      <t>(for all RWS, even if located offsite; NA if only hardcopy read)</t>
    </r>
  </si>
  <si>
    <r>
      <t xml:space="preserve">*** YOUR MEDICAL PHYSICIST MUST SUMMARIZE HIS/HER RESULTS ON </t>
    </r>
    <r>
      <rPr>
        <b/>
        <i/>
        <u/>
        <sz val="12"/>
        <color rgb="FFFF0000"/>
        <rFont val="Arial"/>
        <family val="2"/>
      </rPr>
      <t>THIS</t>
    </r>
    <r>
      <rPr>
        <b/>
        <i/>
        <sz val="12"/>
        <color rgb="FFFF0000"/>
        <rFont val="Arial"/>
        <family val="2"/>
      </rPr>
      <t xml:space="preserve"> FORM ***</t>
    </r>
  </si>
  <si>
    <t>(Siemens, continued)</t>
  </si>
  <si>
    <t>Evaluation of Technologist QC Program</t>
  </si>
  <si>
    <r>
      <t>New units:</t>
    </r>
    <r>
      <rPr>
        <i/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 xml:space="preserve">Medical physicists </t>
    </r>
    <r>
      <rPr>
        <b/>
        <i/>
        <sz val="10"/>
        <color rgb="FF000000"/>
        <rFont val="Arial"/>
        <family val="2"/>
      </rPr>
      <t>must</t>
    </r>
    <r>
      <rPr>
        <sz val="10"/>
        <color rgb="FF000000"/>
        <rFont val="Arial"/>
        <family val="2"/>
      </rPr>
      <t xml:space="preserve"> review the technologist QC </t>
    </r>
    <r>
      <rPr>
        <b/>
        <i/>
        <sz val="10"/>
        <color rgb="FF000000"/>
        <rFont val="Arial"/>
        <family val="2"/>
      </rPr>
      <t xml:space="preserve">within 45 days of installation </t>
    </r>
    <r>
      <rPr>
        <sz val="10"/>
        <color rgb="FF000000"/>
        <rFont val="Arial"/>
        <family val="2"/>
      </rPr>
      <t>and complete this section. The facility is required to submit the entire Mammography Equipment Evaluation report (including this form) along with their testing materials for accreditation.</t>
    </r>
  </si>
  <si>
    <r>
      <t>Existing units:</t>
    </r>
    <r>
      <rPr>
        <i/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 xml:space="preserve">Medical physicists </t>
    </r>
    <r>
      <rPr>
        <b/>
        <i/>
        <sz val="10"/>
        <color rgb="FF000000"/>
        <rFont val="Arial"/>
        <family val="2"/>
      </rPr>
      <t>must</t>
    </r>
    <r>
      <rPr>
        <sz val="10"/>
        <color rgb="FF000000"/>
        <rFont val="Arial"/>
        <family val="2"/>
      </rPr>
      <t xml:space="preserve"> complete this section as part of the unit's annual survey.</t>
    </r>
  </si>
  <si>
    <r>
      <t>Relocating units:</t>
    </r>
    <r>
      <rPr>
        <i/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 xml:space="preserve">This section is </t>
    </r>
    <r>
      <rPr>
        <b/>
        <i/>
        <sz val="10"/>
        <color rgb="FF000000"/>
        <rFont val="Arial"/>
        <family val="2"/>
      </rPr>
      <t>not</t>
    </r>
    <r>
      <rPr>
        <sz val="10"/>
        <color rgb="FF000000"/>
        <rFont val="Arial"/>
        <family val="2"/>
      </rPr>
      <t xml:space="preserve"> required if the medical physicist does </t>
    </r>
    <r>
      <rPr>
        <b/>
        <i/>
        <sz val="10"/>
        <color rgb="FF000000"/>
        <rFont val="Arial"/>
        <family val="2"/>
      </rPr>
      <t>not</t>
    </r>
    <r>
      <rPr>
        <sz val="10"/>
        <color rgb="FF000000"/>
        <rFont val="Arial"/>
        <family val="2"/>
      </rPr>
      <t xml:space="preserve"> conduct a complete annual survey after relocation.</t>
    </r>
  </si>
  <si>
    <t>FREQUENCY</t>
  </si>
  <si>
    <t>1.</t>
  </si>
  <si>
    <t>Phantom Image Quality</t>
  </si>
  <si>
    <t>Daily</t>
  </si>
  <si>
    <t>2.</t>
  </si>
  <si>
    <t>Detector Calibration</t>
  </si>
  <si>
    <t>Novation-Weekly; Inspiration-Quarterly</t>
  </si>
  <si>
    <t>3.</t>
  </si>
  <si>
    <t>Artifact Detection</t>
  </si>
  <si>
    <t>Weekly</t>
  </si>
  <si>
    <t>4.</t>
  </si>
  <si>
    <t>SNR and CNR Measurements</t>
  </si>
  <si>
    <t>5.</t>
  </si>
  <si>
    <t>Repeat Analysis</t>
  </si>
  <si>
    <t>Quarterly</t>
  </si>
  <si>
    <t>6.</t>
  </si>
  <si>
    <t>Compression Force</t>
  </si>
  <si>
    <t>Semi-annually</t>
  </si>
  <si>
    <t>7.</t>
  </si>
  <si>
    <t>Film Printer Check</t>
  </si>
  <si>
    <t>Daily, when images printed</t>
  </si>
  <si>
    <t>8.</t>
  </si>
  <si>
    <r>
      <t xml:space="preserve">Review Workstation QC-Overall </t>
    </r>
    <r>
      <rPr>
        <i/>
        <sz val="10"/>
        <color theme="1"/>
        <rFont val="Arial"/>
        <family val="2"/>
      </rPr>
      <t>(NA if only hardcopy read)</t>
    </r>
  </si>
  <si>
    <t>See FDA guidance</t>
  </si>
  <si>
    <t>Medical Physicist's Recommendations for Quality Improvement</t>
  </si>
  <si>
    <r>
      <t xml:space="preserve">Important:
</t>
    </r>
    <r>
      <rPr>
        <sz val="12"/>
        <color theme="1"/>
        <rFont val="Arial"/>
        <family val="2"/>
      </rPr>
      <t xml:space="preserve">1. The facility's "quality assurance program shall be </t>
    </r>
    <r>
      <rPr>
        <b/>
        <i/>
        <sz val="12"/>
        <color theme="1"/>
        <rFont val="Arial"/>
        <family val="2"/>
      </rPr>
      <t>substantially the same</t>
    </r>
    <r>
      <rPr>
        <sz val="12"/>
        <color theme="1"/>
        <rFont val="Arial"/>
        <family val="2"/>
      </rPr>
      <t xml:space="preserve"> as the quality assurance program recommended by the </t>
    </r>
    <r>
      <rPr>
        <b/>
        <i/>
        <sz val="12"/>
        <color theme="1"/>
        <rFont val="Arial"/>
        <family val="2"/>
      </rPr>
      <t>image receptor [digital detector] manufacturer</t>
    </r>
    <r>
      <rPr>
        <sz val="12"/>
        <color theme="1"/>
        <rFont val="Arial"/>
        <family val="2"/>
      </rPr>
      <t>." This is required by the FDA.</t>
    </r>
    <r>
      <rPr>
        <sz val="12"/>
        <color theme="1"/>
        <rFont val="Arial"/>
        <family val="2"/>
      </rPr>
      <t xml:space="preserve">
2. Use the QC manual version provided by the manufacturer </t>
    </r>
    <r>
      <rPr>
        <b/>
        <i/>
        <sz val="12"/>
        <color theme="1"/>
        <rFont val="Arial"/>
        <family val="2"/>
      </rPr>
      <t>for the digital system surveyed</t>
    </r>
    <r>
      <rPr>
        <sz val="12"/>
        <color theme="1"/>
        <rFont val="Arial"/>
        <family val="2"/>
      </rPr>
      <t>.</t>
    </r>
    <r>
      <rPr>
        <sz val="12"/>
        <color theme="1"/>
        <rFont val="Arial"/>
        <family val="2"/>
      </rPr>
      <t xml:space="preserve">
3. If the RWS or printer is FDA-cleared for FFDM, their</t>
    </r>
    <r>
      <rPr>
        <b/>
        <i/>
        <sz val="12"/>
        <color theme="1"/>
        <rFont val="Arial"/>
        <family val="2"/>
      </rPr>
      <t xml:space="preserve"> QC manual</t>
    </r>
    <r>
      <rPr>
        <sz val="12"/>
        <color theme="1"/>
        <rFont val="Arial"/>
        <family val="2"/>
      </rPr>
      <t xml:space="preserve"> is considered to be </t>
    </r>
    <r>
      <rPr>
        <b/>
        <i/>
        <sz val="12"/>
        <color theme="1"/>
        <rFont val="Arial"/>
        <family val="2"/>
      </rPr>
      <t>"substantially the same"</t>
    </r>
    <r>
      <rPr>
        <sz val="12"/>
        <color theme="1"/>
        <rFont val="Arial"/>
        <family val="2"/>
      </rPr>
      <t xml:space="preserve"> and may be followed. (Check with the RWS or printer manufacturers for their clearance status and QC manual.)</t>
    </r>
    <r>
      <rPr>
        <sz val="12"/>
        <color theme="1"/>
        <rFont val="Arial"/>
        <family val="2"/>
      </rPr>
      <t xml:space="preserve">
4. If the RWS or printer is not cleared by the FDA for FFDM, </t>
    </r>
    <r>
      <rPr>
        <b/>
        <i/>
        <sz val="12"/>
        <color theme="1"/>
        <rFont val="Arial"/>
        <family val="2"/>
      </rPr>
      <t>follow the QC manual provided by the image receptor manufacturer</t>
    </r>
    <r>
      <rPr>
        <sz val="12"/>
        <color theme="1"/>
        <rFont val="Arial"/>
        <family val="2"/>
      </rPr>
      <t>. (Check with the image receptor manufacturer for their required tests.)</t>
    </r>
    <r>
      <rPr>
        <sz val="12"/>
        <color theme="1"/>
        <rFont val="Arial"/>
        <family val="2"/>
      </rPr>
      <t xml:space="preserve">
5. All tests must be evaluated for the facility's </t>
    </r>
    <r>
      <rPr>
        <b/>
        <i/>
        <sz val="12"/>
        <color theme="1"/>
        <rFont val="Arial"/>
        <family val="2"/>
      </rPr>
      <t>on and off-site</t>
    </r>
    <r>
      <rPr>
        <sz val="12"/>
        <color theme="1"/>
        <rFont val="Arial"/>
        <family val="2"/>
      </rPr>
      <t xml:space="preserve"> equipment. If the evaluation was done on a different</t>
    </r>
    <r>
      <rPr>
        <sz val="12"/>
        <color theme="1"/>
        <rFont val="Arial"/>
        <family val="2"/>
      </rPr>
      <t xml:space="preserve">
day than the survey date, note the date above.</t>
    </r>
    <r>
      <rPr>
        <sz val="12"/>
        <color theme="1"/>
        <rFont val="Arial"/>
        <family val="2"/>
      </rPr>
      <t xml:space="preserve">
6. See the FDA-approved alternative standard for Siemens FFDM regarding corrective action periods when components fail QC. However, if these tests are performed as part of a Mammography Equipment Evaluation (e.g., for a new system), corrective action must be taken before mammographic images are acquired.</t>
    </r>
  </si>
  <si>
    <t>Exposure to Dose Conversion Factors Mo/Mo for 4.2cm 50/50 Breast</t>
  </si>
  <si>
    <t>Exposure to Dose Conversion Factors Mo/Rh for 4.2 cm 50/50 Breast</t>
  </si>
  <si>
    <t>Exposure to Dose Conversion Factors Rh/Rh for 4.2cm 50/50 Breast</t>
  </si>
  <si>
    <t>Exposure to Dose Conversion Factors W/Rh for 4.2cm 50/50 Breast</t>
  </si>
  <si>
    <t>Exposure to Dose Conversion Factors W/Ag for 4.2cm 50/50 Breast</t>
  </si>
  <si>
    <t>Siemens Inspiration</t>
  </si>
  <si>
    <t>PMMA thickness (mm)</t>
  </si>
  <si>
    <t>Equiv Breast thickness (mm)</t>
  </si>
  <si>
    <t>HVL (mm Al)</t>
  </si>
  <si>
    <t>Slope</t>
  </si>
  <si>
    <t>Intercept</t>
  </si>
  <si>
    <t>g-factor</t>
  </si>
  <si>
    <t>c-factor</t>
  </si>
  <si>
    <t>s-factor</t>
  </si>
  <si>
    <t>kV Accuracy/Output</t>
  </si>
  <si>
    <t>Calculate Radiation output (mGy/mAs and mGy/s) as a function of kV^2</t>
  </si>
  <si>
    <t>kV^2</t>
  </si>
  <si>
    <t>W/Ag</t>
  </si>
  <si>
    <t>W/Al</t>
  </si>
  <si>
    <t>Slope:</t>
  </si>
  <si>
    <t>Intercept:</t>
  </si>
  <si>
    <t>C</t>
  </si>
  <si>
    <t>Critiera:</t>
  </si>
  <si>
    <t>Min HVL &gt; kV/100 (no paddle)</t>
  </si>
  <si>
    <t>Min HVL &gt; kV/100 + 0.03 (with paddle)</t>
  </si>
  <si>
    <t>Max HVL &lt; kV/100 + C</t>
  </si>
  <si>
    <t>DGN</t>
  </si>
  <si>
    <t>Rh/Rh</t>
  </si>
  <si>
    <t>Radcal kV Correction for Hologic Selenia</t>
  </si>
  <si>
    <t>kV^0</t>
  </si>
  <si>
    <t>kV^1</t>
  </si>
  <si>
    <t>kV^3</t>
  </si>
  <si>
    <t>kV^4</t>
  </si>
  <si>
    <t>kV^5</t>
  </si>
  <si>
    <t>kV^6</t>
  </si>
  <si>
    <t>&lt;</t>
  </si>
  <si>
    <t>&gt;=</t>
  </si>
  <si>
    <t>Minimum true value is 21.8 kV, corresponding to a Radcal value near 25.03 kV.</t>
  </si>
  <si>
    <t>Reduced accuracy between true values of 24 to 27 kV. Max Radcal value is 40.47 kV.</t>
  </si>
  <si>
    <t>Minimum true value is 21.8 kV, corresponding to a Radcal value near 25.04 kV.</t>
  </si>
  <si>
    <t>Poor accuracy between true values of 25.35 to 31.85 kV. Max Radcal value is 37.1 kV.</t>
  </si>
  <si>
    <t>Radcal kV Correction for Hologic Dimension</t>
  </si>
  <si>
    <t>28.7 &lt; kV &lt; 30.1</t>
  </si>
  <si>
    <t>Advanced Settings</t>
  </si>
  <si>
    <t>Grid</t>
  </si>
  <si>
    <t>Auto Decomp</t>
  </si>
  <si>
    <t>OPCOMP</t>
  </si>
  <si>
    <t>AEC Segm</t>
  </si>
  <si>
    <t>Dose Level</t>
  </si>
  <si>
    <t>In</t>
  </si>
  <si>
    <t>Off</t>
  </si>
  <si>
    <t>On</t>
  </si>
  <si>
    <t>SNR/CNR</t>
  </si>
  <si>
    <t>SNR/CNR Repeatability</t>
  </si>
  <si>
    <t>Spatial Resolution</t>
  </si>
  <si>
    <t>AEC</t>
  </si>
  <si>
    <t>Collimation</t>
  </si>
  <si>
    <t>MGD</t>
  </si>
  <si>
    <t>GENERAL</t>
  </si>
  <si>
    <t>Enter Radcal kV reading in the light-blue cell under the appropriate anode-filter combination.</t>
  </si>
  <si>
    <t>Read the true corrected kV in the adjacent cell to the right.</t>
  </si>
  <si>
    <t>If that cell is light green, the corrected kV is accurate.</t>
  </si>
  <si>
    <t>If the cell is red, the entered kV is out of range and the correction should not be used.</t>
  </si>
  <si>
    <t>If the cell is light yellow, the entered value is in a reduced-accuracy range; try the other filter.</t>
  </si>
  <si>
    <t>Tungsten-Rhodium (W / Rh)</t>
  </si>
  <si>
    <t>Radcal kV</t>
  </si>
  <si>
    <t>True kV</t>
  </si>
  <si>
    <t>Tungsten-Silver (W / Ag)</t>
  </si>
  <si>
    <t>Pass/Fail</t>
  </si>
  <si>
    <t>Pass</t>
  </si>
  <si>
    <t>Fail</t>
  </si>
  <si>
    <t>Pass/Fail/NA</t>
  </si>
  <si>
    <t>NA</t>
  </si>
  <si>
    <t>Phantom Scores</t>
  </si>
  <si>
    <t>MUSC Health East Cooper</t>
  </si>
  <si>
    <t>Radiology</t>
  </si>
  <si>
    <t>Mammography</t>
  </si>
  <si>
    <t>1C10</t>
  </si>
  <si>
    <t>400-392772</t>
  </si>
  <si>
    <t>Mammomat Inspiration</t>
  </si>
  <si>
    <t>AEC Region</t>
  </si>
  <si>
    <t>OPDOSE</t>
  </si>
  <si>
    <t>kV Error</t>
  </si>
  <si>
    <t>Dryview 5850</t>
  </si>
  <si>
    <t>2G3214A 05/2009</t>
  </si>
  <si>
    <t>ME-MAM01</t>
  </si>
  <si>
    <t>Gammex RMI 805298-120407</t>
  </si>
  <si>
    <t>Barracuda</t>
  </si>
  <si>
    <t>BC1-05100117</t>
  </si>
  <si>
    <t>Compression paddle in place? (1 for Yes, 2 for No)</t>
  </si>
  <si>
    <t>Deviation from reported MGD is less than 15%</t>
  </si>
  <si>
    <t>Printer passes manufacturer QC tests</t>
  </si>
  <si>
    <t>Repeat analysis performed</t>
  </si>
  <si>
    <t>Control panel lights</t>
  </si>
  <si>
    <t>System stops above floor</t>
  </si>
  <si>
    <t>Motorized movements</t>
  </si>
  <si>
    <t>Lifts from lowest to highest position</t>
  </si>
  <si>
    <t>Foot switches functional</t>
  </si>
  <si>
    <t>Movements blocked on error</t>
  </si>
  <si>
    <t>Emergency stop button functional</t>
  </si>
  <si>
    <t>Grid motion</t>
  </si>
  <si>
    <t>No sharp edges or cracks on table or compression paddles</t>
  </si>
  <si>
    <t>Radiation shield present</t>
  </si>
  <si>
    <t>Manual compression functional</t>
  </si>
  <si>
    <t>Autodecompression functional</t>
  </si>
  <si>
    <t>Decompression button on control box functional</t>
  </si>
  <si>
    <t>Emergency decompression</t>
  </si>
  <si>
    <t>Measured phantom thickness is 39-45 mm</t>
  </si>
  <si>
    <t>50% Fatty - 50% Dense Breast</t>
  </si>
  <si>
    <t>Mo/Mo mGy/mAs:</t>
  </si>
  <si>
    <t>Mo/Mo mGy/s:</t>
  </si>
  <si>
    <t>W/Rh mGy/mAs:</t>
  </si>
  <si>
    <t>W/Rh mGy/s:</t>
  </si>
  <si>
    <t>Light field/X-ray field alignment acceptable</t>
  </si>
  <si>
    <t>X-ray field/image receptor alignment acceptable</t>
  </si>
  <si>
    <t>Chest wall missed tissue/Compression paddle acceptable</t>
  </si>
  <si>
    <t>Output &gt; 7 mGy/s:</t>
  </si>
  <si>
    <t>Output &gt; 2 mGy/s:</t>
  </si>
  <si>
    <t>Linearity acceptable</t>
  </si>
  <si>
    <t>Unit can maintain output for 3 sec at 28 kVp</t>
  </si>
  <si>
    <t>0 mm diff</t>
  </si>
  <si>
    <t>Acquisition Monitor</t>
  </si>
  <si>
    <t>Gray scale contrast: 5%/95% squares visible</t>
  </si>
  <si>
    <t>Spatial resolution: All lines in all bar patterns can be resolved</t>
  </si>
  <si>
    <t>Visual inspection: No visible streaking</t>
  </si>
  <si>
    <t>Visual inspection: No fluttering in image</t>
  </si>
  <si>
    <t>Visual inspection: No shadows in image</t>
  </si>
  <si>
    <t>COMMENTS</t>
  </si>
  <si>
    <t>Note:  Type all comments in the shaded cells.</t>
  </si>
  <si>
    <t>Previous Year Comments:</t>
  </si>
  <si>
    <t>Do NOT exceed 390</t>
  </si>
  <si>
    <t>Additional comments:</t>
  </si>
  <si>
    <t>r^2: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</si>
</sst>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"/>
    <numFmt numFmtId="165" formatCode="0.0%"/>
    <numFmt numFmtId="166" formatCode="mmm\-yyyy"/>
    <numFmt numFmtId="167" formatCode="0.000"/>
    <numFmt numFmtId="168" formatCode="dd\-mmm\-yyyy"/>
    <numFmt numFmtId="169" formatCode="dd\-mmm\-yy"/>
    <numFmt numFmtId="170" formatCode="0.00E+000"/>
    <numFmt numFmtId="171" formatCode="[$-409]m/d/yyyy"/>
    <numFmt numFmtId="172" formatCode="0.0000"/>
    <numFmt numFmtId="173" formatCode="[$$-409]#,##0.00;[Red]&quot;-&quot;[$$-409]#,##0.00"/>
    <numFmt numFmtId="174" formatCode="mmm/yyyy"/>
    <numFmt numFmtId="175" formatCode="#"/>
  </numFmts>
  <fonts count="66">
    <font>
      <sz val="11"/>
      <color theme="1"/>
      <name val="Arial1"/>
    </font>
    <font>
      <sz val="11"/>
      <color theme="1"/>
      <name val="Arial1"/>
    </font>
    <font>
      <sz val="10"/>
      <color theme="1"/>
      <name val="Arial"/>
      <family val="2"/>
    </font>
    <font>
      <b/>
      <i/>
      <sz val="16"/>
      <color theme="1"/>
      <name val="Arial1"/>
    </font>
    <font>
      <b/>
      <i/>
      <u/>
      <sz val="11"/>
      <color theme="1"/>
      <name val="Arial1"/>
    </font>
    <font>
      <sz val="8"/>
      <color theme="1"/>
      <name val="Liberation Serif"/>
      <family val="1"/>
    </font>
    <font>
      <sz val="10"/>
      <color theme="1"/>
      <name val="Liberation Serif"/>
      <family val="1"/>
    </font>
    <font>
      <sz val="12"/>
      <color theme="1"/>
      <name val="Liberation Serif"/>
      <family val="1"/>
    </font>
    <font>
      <b/>
      <u/>
      <sz val="12"/>
      <color theme="1"/>
      <name val="Liberation Serif"/>
      <family val="1"/>
    </font>
    <font>
      <sz val="11"/>
      <color theme="1"/>
      <name val="Liberation Serif"/>
      <family val="1"/>
    </font>
    <font>
      <b/>
      <i/>
      <sz val="16"/>
      <color theme="1"/>
      <name val="Liberation Serif"/>
      <family val="1"/>
    </font>
    <font>
      <b/>
      <i/>
      <sz val="12"/>
      <color theme="1"/>
      <name val="Liberation Serif"/>
      <family val="1"/>
    </font>
    <font>
      <b/>
      <sz val="12"/>
      <color theme="1"/>
      <name val="Liberation Serif"/>
      <family val="1"/>
    </font>
    <font>
      <sz val="12"/>
      <color rgb="FFFF0000"/>
      <name val="Liberation Serif"/>
      <family val="1"/>
    </font>
    <font>
      <b/>
      <sz val="14"/>
      <color theme="1"/>
      <name val="Liberation Serif"/>
      <family val="1"/>
    </font>
    <font>
      <b/>
      <sz val="10"/>
      <color theme="1"/>
      <name val="Liberation Serif"/>
      <family val="1"/>
    </font>
    <font>
      <u/>
      <sz val="12"/>
      <color theme="1"/>
      <name val="Liberation Serif"/>
      <family val="1"/>
    </font>
    <font>
      <sz val="10"/>
      <color rgb="FFFF6633"/>
      <name val="Liberation Serif"/>
      <family val="1"/>
    </font>
    <font>
      <b/>
      <sz val="11"/>
      <color theme="1"/>
      <name val="Liberation Serif"/>
      <family val="1"/>
    </font>
    <font>
      <b/>
      <sz val="20"/>
      <color theme="1"/>
      <name val="Liberation Serif"/>
      <family val="1"/>
    </font>
    <font>
      <sz val="9"/>
      <color theme="1"/>
      <name val="Liberation Serif"/>
      <family val="1"/>
    </font>
    <font>
      <i/>
      <sz val="9"/>
      <color theme="1"/>
      <name val="Arial"/>
      <family val="2"/>
    </font>
    <font>
      <sz val="9"/>
      <color theme="1"/>
      <name val="Arial"/>
      <family val="2"/>
    </font>
    <font>
      <i/>
      <sz val="10"/>
      <color theme="1"/>
      <name val="Liberation Serif"/>
      <family val="1"/>
    </font>
    <font>
      <b/>
      <sz val="10"/>
      <color rgb="FF000000"/>
      <name val="Liberation Serif"/>
      <family val="1"/>
    </font>
    <font>
      <b/>
      <sz val="11"/>
      <color rgb="FF000000"/>
      <name val="Liberation Serif"/>
      <family val="1"/>
    </font>
    <font>
      <b/>
      <sz val="18"/>
      <color theme="1"/>
      <name val="Liberation Serif"/>
      <family val="1"/>
    </font>
    <font>
      <sz val="10"/>
      <color theme="1"/>
      <name val="Arial1"/>
    </font>
    <font>
      <b/>
      <sz val="8"/>
      <color rgb="FF000000"/>
      <name val="Arial1"/>
      <family val="2"/>
    </font>
    <font>
      <u/>
      <sz val="12"/>
      <color theme="1"/>
      <name val="Arial"/>
      <family val="2"/>
    </font>
    <font>
      <sz val="12"/>
      <color theme="1"/>
      <name val="Arial"/>
      <family val="2"/>
    </font>
    <font>
      <i/>
      <sz val="10"/>
      <color theme="1"/>
      <name val="Arial"/>
      <family val="2"/>
    </font>
    <font>
      <b/>
      <i/>
      <sz val="12"/>
      <color rgb="FFFF0000"/>
      <name val="Liberation Serif"/>
      <family val="1"/>
    </font>
    <font>
      <b/>
      <i/>
      <u/>
      <sz val="12"/>
      <color rgb="FFFF0000"/>
      <name val="Arial"/>
      <family val="2"/>
    </font>
    <font>
      <b/>
      <i/>
      <sz val="12"/>
      <color rgb="FFFF0000"/>
      <name val="Arial"/>
      <family val="2"/>
    </font>
    <font>
      <b/>
      <sz val="20"/>
      <color theme="1"/>
      <name val="Arial2"/>
    </font>
    <font>
      <b/>
      <i/>
      <sz val="14"/>
      <color theme="1"/>
      <name val="Arial2"/>
    </font>
    <font>
      <b/>
      <sz val="18"/>
      <color theme="1"/>
      <name val="Arial2"/>
    </font>
    <font>
      <b/>
      <i/>
      <sz val="10"/>
      <color rgb="FF000000"/>
      <name val="Arial1"/>
    </font>
    <font>
      <i/>
      <sz val="10"/>
      <color rgb="FF000000"/>
      <name val="Arial"/>
      <family val="2"/>
    </font>
    <font>
      <sz val="10"/>
      <color rgb="FF000000"/>
      <name val="Arial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1"/>
    </font>
    <font>
      <sz val="10"/>
      <color rgb="FF000000"/>
      <name val="Arial1"/>
    </font>
    <font>
      <b/>
      <sz val="12"/>
      <color theme="1"/>
      <name val="Arial2"/>
    </font>
    <font>
      <b/>
      <sz val="11"/>
      <color theme="1"/>
      <name val="Arial2"/>
    </font>
    <font>
      <sz val="11"/>
      <color theme="1"/>
      <name val="Arial2"/>
    </font>
    <font>
      <sz val="12"/>
      <color theme="1"/>
      <name val="Arial2"/>
    </font>
    <font>
      <sz val="10"/>
      <color theme="1"/>
      <name val="Arial2"/>
    </font>
    <font>
      <b/>
      <sz val="12"/>
      <color theme="1"/>
      <name val="Arial Narrow"/>
      <family val="2"/>
    </font>
    <font>
      <b/>
      <i/>
      <sz val="12"/>
      <color theme="1"/>
      <name val="Arial"/>
      <family val="2"/>
    </font>
    <font>
      <vertAlign val="superscript"/>
      <sz val="10"/>
      <color theme="1"/>
      <name val="Arial1"/>
    </font>
    <font>
      <b/>
      <sz val="10"/>
      <color theme="1"/>
      <name val="Arial2"/>
    </font>
    <font>
      <b/>
      <sz val="12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sz val="10"/>
      <color indexed="53"/>
      <name val="Times New Roman"/>
      <family val="1"/>
    </font>
    <font>
      <b/>
      <sz val="10"/>
      <color indexed="53"/>
      <name val="Times New Roman"/>
      <family val="1"/>
    </font>
    <font>
      <b/>
      <sz val="8"/>
      <color indexed="53"/>
      <name val="Times New Roman"/>
      <family val="1"/>
    </font>
    <font>
      <sz val="8"/>
      <color indexed="61"/>
      <name val="Times New Roman"/>
      <family val="1"/>
    </font>
    <font>
      <sz val="9"/>
      <name val="Times New Roman"/>
      <family val="1"/>
    </font>
    <font>
      <sz val="10"/>
      <color indexed="61"/>
      <name val="Times New Roman"/>
      <family val="1"/>
    </font>
    <font>
      <b/>
      <sz val="8"/>
      <name val="Times New Roman"/>
      <family val="1"/>
    </font>
    <font>
      <b/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66FF66"/>
        <bgColor rgb="FF66FF66"/>
      </patternFill>
    </fill>
    <fill>
      <patternFill patternType="solid">
        <fgColor rgb="FFFF0000"/>
        <bgColor rgb="FFFF0000"/>
      </patternFill>
    </fill>
    <fill>
      <patternFill patternType="solid">
        <fgColor rgb="FF3DEB3D"/>
        <bgColor rgb="FF3DEB3D"/>
      </patternFill>
    </fill>
    <fill>
      <patternFill patternType="solid">
        <fgColor rgb="FF23B8DC"/>
        <bgColor rgb="FF23B8DC"/>
      </patternFill>
    </fill>
    <fill>
      <patternFill patternType="solid">
        <fgColor rgb="FFE6E6E6"/>
        <bgColor rgb="FFE6E6E6"/>
      </patternFill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rgb="FF00FFFF"/>
        <bgColor rgb="FF00FFFF"/>
      </patternFill>
    </fill>
    <fill>
      <patternFill patternType="solid">
        <fgColor rgb="FFB4FFFF"/>
        <bgColor rgb="FFB4FFFF"/>
      </patternFill>
    </fill>
    <fill>
      <patternFill patternType="solid">
        <fgColor rgb="FFFFFFC0"/>
        <bgColor rgb="FFFFFFC0"/>
      </patternFill>
    </fill>
    <fill>
      <patternFill patternType="solid">
        <fgColor rgb="FFEEEEEE"/>
        <bgColor rgb="FFEEEEEE"/>
      </patternFill>
    </fill>
    <fill>
      <patternFill patternType="solid">
        <fgColor rgb="FF99CCFF"/>
        <bgColor rgb="FF99CCFF"/>
      </patternFill>
    </fill>
    <fill>
      <patternFill patternType="solid">
        <fgColor rgb="FFCCFFCC"/>
        <bgColor rgb="FFCC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mediumGray">
        <fgColor indexed="9"/>
        <bgColor indexed="13"/>
      </patternFill>
    </fill>
    <fill>
      <patternFill patternType="mediumGray">
        <fgColor indexed="26"/>
        <bgColor indexed="26"/>
      </patternFill>
    </fill>
  </fills>
  <borders count="147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double">
        <color auto="1"/>
      </right>
      <top style="medium">
        <color rgb="FF000000"/>
      </top>
      <bottom/>
      <diagonal/>
    </border>
    <border>
      <left style="double">
        <color auto="1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double">
        <color auto="1"/>
      </right>
      <top/>
      <bottom/>
      <diagonal/>
    </border>
    <border>
      <left style="double">
        <color auto="1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double">
        <color auto="1"/>
      </left>
      <right style="medium">
        <color rgb="FF000000"/>
      </right>
      <top/>
      <bottom style="thin">
        <color rgb="FF000000"/>
      </bottom>
      <diagonal/>
    </border>
    <border>
      <left style="double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double">
        <color auto="1"/>
      </right>
      <top style="double">
        <color auto="1"/>
      </top>
      <bottom style="thin">
        <color rgb="FF000000"/>
      </bottom>
      <diagonal/>
    </border>
    <border>
      <left style="double">
        <color auto="1"/>
      </left>
      <right style="thin">
        <color rgb="FF000000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auto="1"/>
      </top>
      <bottom style="thin">
        <color rgb="FF000000"/>
      </bottom>
      <diagonal/>
    </border>
    <border>
      <left style="medium">
        <color rgb="FF000000"/>
      </left>
      <right style="double">
        <color auto="1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double">
        <color auto="1"/>
      </right>
      <top style="thin">
        <color rgb="FF000000"/>
      </top>
      <bottom style="medium">
        <color rgb="FF000000"/>
      </bottom>
      <diagonal/>
    </border>
    <border>
      <left style="double">
        <color auto="1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medium">
        <color rgb="FF000000"/>
      </bottom>
      <diagonal/>
    </border>
    <border>
      <left/>
      <right style="double">
        <color auto="1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auto="1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double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auto="1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auto="1"/>
      </right>
      <top style="thin">
        <color rgb="FF000000"/>
      </top>
      <bottom style="medium">
        <color rgb="FF000000"/>
      </bottom>
      <diagonal/>
    </border>
    <border>
      <left/>
      <right/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/>
      <top style="medium">
        <color rgb="FF000000"/>
      </top>
      <bottom/>
      <diagonal/>
    </border>
    <border>
      <left/>
      <right style="double">
        <color auto="1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</borders>
  <cellStyleXfs count="11">
    <xf numFmtId="0" fontId="0" fillId="0" borderId="0">
      <alignment vertical="top"/>
    </xf>
    <xf numFmtId="0" fontId="2" fillId="2" borderId="0">
      <alignment vertical="top"/>
    </xf>
    <xf numFmtId="0" fontId="1" fillId="0" borderId="0">
      <alignment vertical="top"/>
    </xf>
    <xf numFmtId="0" fontId="1" fillId="3" borderId="0"/>
    <xf numFmtId="0" fontId="3" fillId="0" borderId="0">
      <alignment horizontal="center" vertical="top"/>
    </xf>
    <xf numFmtId="0" fontId="3" fillId="0" borderId="0">
      <alignment horizontal="center" vertical="top" textRotation="90"/>
    </xf>
    <xf numFmtId="0" fontId="1" fillId="4" borderId="0"/>
    <xf numFmtId="0" fontId="4" fillId="0" borderId="0">
      <alignment vertical="top"/>
    </xf>
    <xf numFmtId="173" fontId="4" fillId="0" borderId="0">
      <alignment vertical="top"/>
    </xf>
    <xf numFmtId="9" fontId="1" fillId="0" borderId="0" applyFont="0" applyFill="0" applyBorder="0" applyAlignment="0" applyProtection="0"/>
    <xf numFmtId="1" fontId="54" fillId="17" borderId="75">
      <alignment horizontal="left" vertical="center"/>
      <protection locked="0"/>
    </xf>
  </cellStyleXfs>
  <cellXfs count="745">
    <xf numFmtId="0" fontId="0" fillId="0" borderId="0" xfId="0">
      <alignment vertical="top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7" fillId="8" borderId="20" xfId="0" applyFont="1" applyFill="1" applyBorder="1" applyAlignment="1">
      <alignment horizontal="center"/>
    </xf>
    <xf numFmtId="0" fontId="12" fillId="0" borderId="0" xfId="0" applyFont="1" applyBorder="1" applyAlignment="1"/>
    <xf numFmtId="0" fontId="7" fillId="0" borderId="0" xfId="0" applyFont="1">
      <alignment vertical="top"/>
    </xf>
    <xf numFmtId="0" fontId="6" fillId="0" borderId="0" xfId="0" applyFont="1" applyBorder="1" applyAlignment="1"/>
    <xf numFmtId="0" fontId="7" fillId="0" borderId="0" xfId="0" applyFont="1" applyFill="1" applyAlignment="1">
      <alignment horizontal="right"/>
    </xf>
    <xf numFmtId="0" fontId="7" fillId="11" borderId="11" xfId="0" applyFont="1" applyFill="1" applyBorder="1" applyAlignment="1" applyProtection="1">
      <alignment horizontal="center" vertical="center"/>
      <protection locked="0"/>
    </xf>
    <xf numFmtId="164" fontId="7" fillId="11" borderId="47" xfId="0" applyNumberFormat="1" applyFont="1" applyFill="1" applyBorder="1" applyAlignment="1" applyProtection="1">
      <alignment horizontal="center" vertical="center"/>
      <protection locked="0"/>
    </xf>
    <xf numFmtId="164" fontId="7" fillId="11" borderId="11" xfId="0" applyNumberFormat="1" applyFont="1" applyFill="1" applyBorder="1" applyAlignment="1" applyProtection="1">
      <alignment horizontal="center" vertical="center"/>
      <protection locked="0"/>
    </xf>
    <xf numFmtId="0" fontId="7" fillId="9" borderId="11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right" vertical="center"/>
    </xf>
    <xf numFmtId="0" fontId="18" fillId="0" borderId="0" xfId="0" applyFont="1" applyAlignment="1">
      <alignment horizontal="right"/>
    </xf>
    <xf numFmtId="0" fontId="9" fillId="0" borderId="0" xfId="0" applyFont="1">
      <alignment vertical="top"/>
    </xf>
    <xf numFmtId="0" fontId="19" fillId="0" borderId="0" xfId="0" applyFont="1" applyAlignment="1">
      <alignment horizontal="center"/>
    </xf>
    <xf numFmtId="0" fontId="12" fillId="0" borderId="0" xfId="0" applyFont="1">
      <alignment vertical="top"/>
    </xf>
    <xf numFmtId="0" fontId="12" fillId="0" borderId="0" xfId="0" applyFont="1" applyBorder="1">
      <alignment vertical="top"/>
    </xf>
    <xf numFmtId="171" fontId="6" fillId="7" borderId="0" xfId="0" applyNumberFormat="1" applyFont="1" applyFill="1" applyBorder="1" applyAlignment="1">
      <alignment horizontal="left"/>
    </xf>
    <xf numFmtId="0" fontId="6" fillId="7" borderId="0" xfId="0" applyFont="1" applyFill="1" applyBorder="1" applyAlignment="1">
      <alignment horizontal="left"/>
    </xf>
    <xf numFmtId="0" fontId="20" fillId="0" borderId="0" xfId="0" applyFont="1">
      <alignment vertical="top"/>
    </xf>
    <xf numFmtId="0" fontId="9" fillId="0" borderId="0" xfId="0" applyFont="1" applyAlignment="1">
      <alignment vertical="center"/>
    </xf>
    <xf numFmtId="0" fontId="6" fillId="0" borderId="0" xfId="0" applyFont="1">
      <alignment vertical="top"/>
    </xf>
    <xf numFmtId="0" fontId="6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25" fillId="0" borderId="0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2" fillId="0" borderId="0" xfId="0" applyFont="1" applyFill="1">
      <alignment vertical="top"/>
    </xf>
    <xf numFmtId="0" fontId="12" fillId="0" borderId="11" xfId="0" applyFont="1" applyFill="1" applyBorder="1" applyAlignment="1">
      <alignment horizontal="center"/>
    </xf>
    <xf numFmtId="0" fontId="7" fillId="0" borderId="2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0" fontId="7" fillId="0" borderId="0" xfId="0" applyFont="1" applyFill="1">
      <alignment vertical="top"/>
    </xf>
    <xf numFmtId="0" fontId="23" fillId="0" borderId="0" xfId="0" applyFont="1" applyFill="1">
      <alignment vertical="top"/>
    </xf>
    <xf numFmtId="0" fontId="12" fillId="0" borderId="0" xfId="0" applyFont="1" applyFill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23" fillId="0" borderId="0" xfId="0" applyFont="1" applyFill="1" applyAlignment="1">
      <alignment vertical="top"/>
    </xf>
    <xf numFmtId="0" fontId="12" fillId="0" borderId="0" xfId="0" applyFont="1" applyFill="1" applyBorder="1" applyAlignment="1">
      <alignment horizontal="center"/>
    </xf>
    <xf numFmtId="0" fontId="9" fillId="0" borderId="0" xfId="0" applyFont="1" applyFill="1">
      <alignment vertical="top"/>
    </xf>
    <xf numFmtId="2" fontId="7" fillId="0" borderId="0" xfId="0" applyNumberFormat="1" applyFont="1" applyFill="1" applyAlignment="1"/>
    <xf numFmtId="164" fontId="6" fillId="0" borderId="11" xfId="0" applyNumberFormat="1" applyFont="1" applyFill="1" applyBorder="1" applyAlignment="1">
      <alignment horizontal="center"/>
    </xf>
    <xf numFmtId="164" fontId="7" fillId="0" borderId="44" xfId="0" applyNumberFormat="1" applyFont="1" applyFill="1" applyBorder="1" applyAlignment="1">
      <alignment horizontal="center"/>
    </xf>
    <xf numFmtId="0" fontId="38" fillId="7" borderId="0" xfId="0" applyFont="1" applyFill="1" applyBorder="1" applyAlignment="1">
      <alignment horizontal="left" vertical="top" wrapText="1"/>
    </xf>
    <xf numFmtId="0" fontId="38" fillId="7" borderId="0" xfId="0" applyFont="1" applyFill="1" applyBorder="1" applyAlignment="1">
      <alignment vertical="top"/>
    </xf>
    <xf numFmtId="0" fontId="42" fillId="7" borderId="0" xfId="0" applyFont="1" applyFill="1" applyBorder="1" applyAlignment="1">
      <alignment vertical="top"/>
    </xf>
    <xf numFmtId="2" fontId="43" fillId="7" borderId="0" xfId="0" applyNumberFormat="1" applyFont="1" applyFill="1" applyAlignment="1">
      <alignment vertical="top"/>
    </xf>
    <xf numFmtId="0" fontId="42" fillId="7" borderId="0" xfId="0" applyFont="1" applyFill="1" applyBorder="1" applyAlignment="1">
      <alignment horizontal="center" vertical="top" wrapText="1"/>
    </xf>
    <xf numFmtId="0" fontId="38" fillId="7" borderId="0" xfId="0" applyFont="1" applyFill="1" applyBorder="1" applyAlignment="1">
      <alignment horizontal="left" vertical="top"/>
    </xf>
    <xf numFmtId="0" fontId="0" fillId="0" borderId="0" xfId="0" applyBorder="1">
      <alignment vertical="top"/>
    </xf>
    <xf numFmtId="0" fontId="45" fillId="0" borderId="0" xfId="0" applyFont="1" applyAlignment="1">
      <alignment horizontal="center"/>
    </xf>
    <xf numFmtId="0" fontId="46" fillId="0" borderId="0" xfId="0" applyFont="1" applyAlignment="1"/>
    <xf numFmtId="49" fontId="47" fillId="0" borderId="0" xfId="0" applyNumberFormat="1" applyFont="1" applyAlignment="1">
      <alignment horizontal="left"/>
    </xf>
    <xf numFmtId="0" fontId="47" fillId="0" borderId="0" xfId="0" applyFont="1" applyFill="1">
      <alignment vertical="top"/>
    </xf>
    <xf numFmtId="0" fontId="0" fillId="0" borderId="0" xfId="0" applyFill="1">
      <alignment vertical="top"/>
    </xf>
    <xf numFmtId="0" fontId="47" fillId="0" borderId="0" xfId="0" applyFont="1" applyAlignment="1">
      <alignment horizontal="center"/>
    </xf>
    <xf numFmtId="49" fontId="47" fillId="0" borderId="0" xfId="0" applyNumberFormat="1" applyFont="1" applyAlignment="1"/>
    <xf numFmtId="0" fontId="47" fillId="0" borderId="0" xfId="0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/>
    <xf numFmtId="0" fontId="47" fillId="0" borderId="0" xfId="0" applyFont="1" applyFill="1" applyAlignment="1"/>
    <xf numFmtId="0" fontId="47" fillId="0" borderId="0" xfId="0" applyFont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27" fillId="0" borderId="0" xfId="0" applyFont="1" applyFill="1" applyBorder="1" applyAlignment="1"/>
    <xf numFmtId="0" fontId="44" fillId="0" borderId="0" xfId="0" applyFont="1">
      <alignment vertical="top"/>
    </xf>
    <xf numFmtId="0" fontId="48" fillId="0" borderId="0" xfId="0" applyFont="1" applyFill="1" applyAlignment="1"/>
    <xf numFmtId="0" fontId="44" fillId="0" borderId="0" xfId="0" applyFont="1" applyAlignment="1">
      <alignment horizontal="center" vertical="center"/>
    </xf>
    <xf numFmtId="2" fontId="49" fillId="0" borderId="0" xfId="0" applyNumberFormat="1" applyFont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9" fillId="0" borderId="0" xfId="0" applyNumberFormat="1" applyFont="1" applyAlignment="1">
      <alignment horizontal="center"/>
    </xf>
    <xf numFmtId="0" fontId="52" fillId="0" borderId="0" xfId="0" applyFont="1">
      <alignment vertical="top"/>
    </xf>
    <xf numFmtId="0" fontId="0" fillId="13" borderId="0" xfId="0" applyFill="1" applyProtection="1">
      <alignment vertical="top"/>
      <protection locked="0"/>
    </xf>
    <xf numFmtId="2" fontId="0" fillId="14" borderId="0" xfId="0" applyNumberFormat="1" applyFill="1" applyProtection="1">
      <alignment vertical="top"/>
      <protection hidden="1"/>
    </xf>
    <xf numFmtId="0" fontId="52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0" fontId="15" fillId="0" borderId="0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167" fontId="7" fillId="0" borderId="11" xfId="0" applyNumberFormat="1" applyFont="1" applyBorder="1" applyAlignment="1">
      <alignment horizontal="center" vertical="center"/>
    </xf>
    <xf numFmtId="2" fontId="7" fillId="0" borderId="48" xfId="0" applyNumberFormat="1" applyFont="1" applyBorder="1" applyAlignment="1">
      <alignment horizontal="center" vertical="center"/>
    </xf>
    <xf numFmtId="10" fontId="7" fillId="0" borderId="75" xfId="9" applyNumberFormat="1" applyFont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4" xfId="0" applyFont="1" applyBorder="1" applyAlignment="1">
      <alignment horizontal="left" vertical="center"/>
    </xf>
    <xf numFmtId="0" fontId="7" fillId="0" borderId="5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6" fillId="0" borderId="7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6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7" fillId="0" borderId="10" xfId="0" applyFont="1" applyBorder="1" applyAlignment="1">
      <alignment vertical="center"/>
    </xf>
    <xf numFmtId="169" fontId="7" fillId="5" borderId="11" xfId="0" applyNumberFormat="1" applyFont="1" applyFill="1" applyBorder="1" applyAlignment="1">
      <alignment horizontal="left" vertical="center"/>
    </xf>
    <xf numFmtId="169" fontId="7" fillId="6" borderId="12" xfId="0" applyNumberFormat="1" applyFont="1" applyFill="1" applyBorder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6" fillId="0" borderId="1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7" fillId="0" borderId="18" xfId="0" applyFont="1" applyBorder="1" applyAlignment="1">
      <alignment vertical="center"/>
    </xf>
    <xf numFmtId="0" fontId="12" fillId="0" borderId="0" xfId="0" applyFont="1" applyAlignment="1">
      <alignment horizontal="right" vertical="center"/>
    </xf>
    <xf numFmtId="169" fontId="7" fillId="5" borderId="11" xfId="0" applyNumberFormat="1" applyFont="1" applyFill="1" applyBorder="1" applyAlignment="1">
      <alignment vertical="center"/>
    </xf>
    <xf numFmtId="169" fontId="7" fillId="0" borderId="19" xfId="0" applyNumberFormat="1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1" xfId="0" applyFont="1" applyFill="1" applyBorder="1" applyAlignment="1">
      <alignment vertical="center"/>
    </xf>
    <xf numFmtId="0" fontId="7" fillId="6" borderId="2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7" fillId="5" borderId="20" xfId="0" applyFont="1" applyFill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169" fontId="7" fillId="6" borderId="12" xfId="0" applyNumberFormat="1" applyFont="1" applyFill="1" applyBorder="1" applyAlignment="1">
      <alignment vertical="center"/>
    </xf>
    <xf numFmtId="169" fontId="7" fillId="0" borderId="2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7" fillId="0" borderId="17" xfId="0" applyFont="1" applyFill="1" applyBorder="1" applyAlignment="1">
      <alignment vertical="center"/>
    </xf>
    <xf numFmtId="0" fontId="7" fillId="0" borderId="21" xfId="0" applyFont="1" applyFill="1" applyBorder="1" applyAlignment="1">
      <alignment vertical="center"/>
    </xf>
    <xf numFmtId="169" fontId="7" fillId="6" borderId="20" xfId="0" applyNumberFormat="1" applyFont="1" applyFill="1" applyBorder="1" applyAlignment="1">
      <alignment vertical="center"/>
    </xf>
    <xf numFmtId="169" fontId="7" fillId="5" borderId="20" xfId="0" applyNumberFormat="1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2" fillId="5" borderId="11" xfId="0" applyFont="1" applyFill="1" applyBorder="1" applyAlignment="1">
      <alignment horizontal="left" vertical="center"/>
    </xf>
    <xf numFmtId="0" fontId="7" fillId="6" borderId="20" xfId="0" applyFont="1" applyFill="1" applyBorder="1" applyAlignment="1">
      <alignment vertical="center"/>
    </xf>
    <xf numFmtId="0" fontId="7" fillId="5" borderId="20" xfId="0" applyFont="1" applyFill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164" fontId="7" fillId="0" borderId="11" xfId="0" applyNumberFormat="1" applyFont="1" applyFill="1" applyBorder="1" applyAlignment="1">
      <alignment horizontal="center" vertical="center"/>
    </xf>
    <xf numFmtId="2" fontId="7" fillId="0" borderId="11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vertical="center"/>
    </xf>
    <xf numFmtId="174" fontId="7" fillId="5" borderId="11" xfId="0" applyNumberFormat="1" applyFont="1" applyFill="1" applyBorder="1" applyAlignment="1">
      <alignment vertical="center"/>
    </xf>
    <xf numFmtId="170" fontId="7" fillId="6" borderId="20" xfId="0" applyNumberFormat="1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6" fontId="7" fillId="5" borderId="11" xfId="0" applyNumberFormat="1" applyFont="1" applyFill="1" applyBorder="1" applyAlignment="1">
      <alignment vertical="center"/>
    </xf>
    <xf numFmtId="166" fontId="7" fillId="6" borderId="20" xfId="0" applyNumberFormat="1" applyFont="1" applyFill="1" applyBorder="1" applyAlignment="1">
      <alignment vertical="center"/>
    </xf>
    <xf numFmtId="166" fontId="7" fillId="5" borderId="20" xfId="0" applyNumberFormat="1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7" fillId="7" borderId="23" xfId="0" applyFont="1" applyFill="1" applyBorder="1" applyAlignment="1">
      <alignment horizontal="center" vertical="center"/>
    </xf>
    <xf numFmtId="0" fontId="7" fillId="7" borderId="25" xfId="0" applyFont="1" applyFill="1" applyBorder="1" applyAlignment="1">
      <alignment horizontal="center" vertical="center"/>
    </xf>
    <xf numFmtId="0" fontId="7" fillId="7" borderId="26" xfId="0" applyFont="1" applyFill="1" applyBorder="1" applyAlignment="1">
      <alignment horizontal="center" vertical="center"/>
    </xf>
    <xf numFmtId="0" fontId="7" fillId="7" borderId="20" xfId="0" applyFont="1" applyFill="1" applyBorder="1" applyAlignment="1">
      <alignment horizontal="center" vertical="center"/>
    </xf>
    <xf numFmtId="0" fontId="7" fillId="7" borderId="27" xfId="0" applyFont="1" applyFill="1" applyBorder="1" applyAlignment="1">
      <alignment horizontal="center" vertical="center"/>
    </xf>
    <xf numFmtId="0" fontId="7" fillId="7" borderId="29" xfId="0" applyFont="1" applyFill="1" applyBorder="1" applyAlignment="1">
      <alignment horizontal="center" vertical="center"/>
    </xf>
    <xf numFmtId="0" fontId="7" fillId="7" borderId="30" xfId="0" applyFont="1" applyFill="1" applyBorder="1" applyAlignment="1">
      <alignment horizontal="center" vertical="center"/>
    </xf>
    <xf numFmtId="0" fontId="7" fillId="7" borderId="31" xfId="0" applyFont="1" applyFill="1" applyBorder="1" applyAlignment="1">
      <alignment horizontal="center" vertical="center"/>
    </xf>
    <xf numFmtId="1" fontId="7" fillId="7" borderId="32" xfId="0" applyNumberFormat="1" applyFont="1" applyFill="1" applyBorder="1" applyAlignment="1">
      <alignment horizontal="center" vertical="center"/>
    </xf>
    <xf numFmtId="0" fontId="7" fillId="0" borderId="33" xfId="0" applyFont="1" applyFill="1" applyBorder="1" applyAlignment="1">
      <alignment horizontal="center" vertical="center"/>
    </xf>
    <xf numFmtId="0" fontId="7" fillId="0" borderId="34" xfId="0" applyFont="1" applyFill="1" applyBorder="1" applyAlignment="1">
      <alignment horizontal="center" vertical="center"/>
    </xf>
    <xf numFmtId="0" fontId="7" fillId="0" borderId="35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1" fontId="7" fillId="7" borderId="36" xfId="0" applyNumberFormat="1" applyFont="1" applyFill="1" applyBorder="1" applyAlignment="1">
      <alignment horizontal="center" vertical="center"/>
    </xf>
    <xf numFmtId="0" fontId="7" fillId="0" borderId="37" xfId="0" applyFont="1" applyFill="1" applyBorder="1" applyAlignment="1">
      <alignment horizontal="center" vertical="center"/>
    </xf>
    <xf numFmtId="0" fontId="7" fillId="0" borderId="38" xfId="0" applyFont="1" applyFill="1" applyBorder="1" applyAlignment="1">
      <alignment horizontal="center" vertical="center"/>
    </xf>
    <xf numFmtId="0" fontId="7" fillId="8" borderId="39" xfId="0" applyFont="1" applyFill="1" applyBorder="1" applyAlignment="1">
      <alignment horizontal="center" vertical="center"/>
    </xf>
    <xf numFmtId="1" fontId="7" fillId="7" borderId="40" xfId="0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0" fontId="7" fillId="0" borderId="42" xfId="0" applyFont="1" applyFill="1" applyBorder="1" applyAlignment="1">
      <alignment horizontal="center" vertical="center"/>
    </xf>
    <xf numFmtId="0" fontId="7" fillId="0" borderId="43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7" fillId="0" borderId="11" xfId="0" applyFont="1" applyBorder="1" applyAlignment="1">
      <alignment vertical="center"/>
    </xf>
    <xf numFmtId="164" fontId="7" fillId="0" borderId="11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20" xfId="0" applyFont="1" applyBorder="1" applyAlignment="1">
      <alignment vertical="center"/>
    </xf>
    <xf numFmtId="0" fontId="6" fillId="0" borderId="20" xfId="0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vertical="center"/>
    </xf>
    <xf numFmtId="2" fontId="7" fillId="5" borderId="20" xfId="0" applyNumberFormat="1" applyFont="1" applyFill="1" applyBorder="1" applyAlignment="1">
      <alignment vertical="center"/>
    </xf>
    <xf numFmtId="167" fontId="7" fillId="5" borderId="20" xfId="0" applyNumberFormat="1" applyFont="1" applyFill="1" applyBorder="1" applyAlignment="1">
      <alignment vertical="center"/>
    </xf>
    <xf numFmtId="0" fontId="7" fillId="6" borderId="33" xfId="0" applyFont="1" applyFill="1" applyBorder="1" applyAlignment="1">
      <alignment horizontal="center" vertical="center"/>
    </xf>
    <xf numFmtId="0" fontId="7" fillId="6" borderId="34" xfId="0" applyFont="1" applyFill="1" applyBorder="1" applyAlignment="1">
      <alignment horizontal="center" vertical="center"/>
    </xf>
    <xf numFmtId="0" fontId="7" fillId="6" borderId="35" xfId="0" applyFont="1" applyFill="1" applyBorder="1" applyAlignment="1">
      <alignment horizontal="center" vertical="center"/>
    </xf>
    <xf numFmtId="0" fontId="7" fillId="6" borderId="37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0" fontId="7" fillId="6" borderId="41" xfId="0" applyFont="1" applyFill="1" applyBorder="1" applyAlignment="1">
      <alignment horizontal="center" vertical="center"/>
    </xf>
    <xf numFmtId="0" fontId="7" fillId="6" borderId="42" xfId="0" applyFont="1" applyFill="1" applyBorder="1" applyAlignment="1">
      <alignment horizontal="center" vertical="center"/>
    </xf>
    <xf numFmtId="0" fontId="7" fillId="6" borderId="43" xfId="0" applyFont="1" applyFill="1" applyBorder="1" applyAlignment="1">
      <alignment horizontal="center" vertical="center"/>
    </xf>
    <xf numFmtId="0" fontId="7" fillId="5" borderId="33" xfId="0" applyFont="1" applyFill="1" applyBorder="1" applyAlignment="1">
      <alignment horizontal="center" vertical="center"/>
    </xf>
    <xf numFmtId="0" fontId="7" fillId="5" borderId="34" xfId="0" applyFont="1" applyFill="1" applyBorder="1" applyAlignment="1">
      <alignment horizontal="center" vertical="center"/>
    </xf>
    <xf numFmtId="0" fontId="7" fillId="5" borderId="35" xfId="0" applyFont="1" applyFill="1" applyBorder="1" applyAlignment="1">
      <alignment horizontal="center" vertical="center"/>
    </xf>
    <xf numFmtId="0" fontId="7" fillId="5" borderId="37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5" borderId="41" xfId="0" applyFont="1" applyFill="1" applyBorder="1" applyAlignment="1">
      <alignment horizontal="center" vertical="center"/>
    </xf>
    <xf numFmtId="0" fontId="7" fillId="5" borderId="42" xfId="0" applyFont="1" applyFill="1" applyBorder="1" applyAlignment="1">
      <alignment horizontal="center" vertical="center"/>
    </xf>
    <xf numFmtId="0" fontId="7" fillId="5" borderId="43" xfId="0" applyFont="1" applyFill="1" applyBorder="1" applyAlignment="1">
      <alignment horizontal="center" vertical="center"/>
    </xf>
    <xf numFmtId="0" fontId="12" fillId="0" borderId="4" xfId="0" applyFont="1" applyBorder="1" applyAlignment="1">
      <alignment vertical="center"/>
    </xf>
    <xf numFmtId="0" fontId="7" fillId="8" borderId="20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9" xfId="0" applyFont="1" applyBorder="1" applyAlignment="1">
      <alignment vertical="center"/>
    </xf>
    <xf numFmtId="0" fontId="7" fillId="0" borderId="20" xfId="0" applyFont="1" applyBorder="1" applyAlignment="1">
      <alignment horizontal="center" vertical="center"/>
    </xf>
    <xf numFmtId="2" fontId="7" fillId="0" borderId="20" xfId="0" applyNumberFormat="1" applyFont="1" applyBorder="1" applyAlignment="1">
      <alignment horizontal="center" vertical="center"/>
    </xf>
    <xf numFmtId="2" fontId="7" fillId="0" borderId="22" xfId="0" applyNumberFormat="1" applyFont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6" fillId="0" borderId="0" xfId="0" applyFont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left" vertical="center"/>
    </xf>
    <xf numFmtId="0" fontId="7" fillId="0" borderId="20" xfId="0" applyFont="1" applyBorder="1" applyAlignment="1">
      <alignment vertical="center"/>
    </xf>
    <xf numFmtId="0" fontId="17" fillId="0" borderId="0" xfId="0" applyFont="1" applyAlignment="1">
      <alignment horizontal="right" vertical="center"/>
    </xf>
    <xf numFmtId="0" fontId="7" fillId="0" borderId="22" xfId="0" applyFont="1" applyBorder="1" applyAlignment="1">
      <alignment horizontal="left" vertical="center"/>
    </xf>
    <xf numFmtId="0" fontId="7" fillId="0" borderId="22" xfId="0" applyFont="1" applyBorder="1" applyAlignment="1">
      <alignment vertical="center"/>
    </xf>
    <xf numFmtId="0" fontId="7" fillId="5" borderId="11" xfId="0" applyFont="1" applyFill="1" applyBorder="1" applyAlignment="1">
      <alignment horizontal="left" vertical="center"/>
    </xf>
    <xf numFmtId="0" fontId="7" fillId="0" borderId="46" xfId="0" applyFont="1" applyBorder="1" applyAlignment="1" applyProtection="1">
      <alignment horizontal="center" vertical="center"/>
    </xf>
    <xf numFmtId="0" fontId="7" fillId="0" borderId="47" xfId="0" applyFont="1" applyBorder="1" applyAlignment="1" applyProtection="1">
      <alignment horizontal="center" vertical="center"/>
    </xf>
    <xf numFmtId="1" fontId="7" fillId="8" borderId="48" xfId="0" applyNumberFormat="1" applyFont="1" applyFill="1" applyBorder="1" applyAlignment="1" applyProtection="1">
      <alignment horizontal="center" vertical="center"/>
      <protection locked="0"/>
    </xf>
    <xf numFmtId="1" fontId="7" fillId="8" borderId="11" xfId="0" applyNumberFormat="1" applyFont="1" applyFill="1" applyBorder="1" applyAlignment="1" applyProtection="1">
      <alignment horizontal="center" vertical="center"/>
      <protection locked="0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9" xfId="0" applyFont="1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164" fontId="7" fillId="8" borderId="51" xfId="0" applyNumberFormat="1" applyFont="1" applyFill="1" applyBorder="1" applyAlignment="1">
      <alignment horizontal="center" vertical="center"/>
    </xf>
    <xf numFmtId="164" fontId="7" fillId="8" borderId="52" xfId="0" applyNumberFormat="1" applyFont="1" applyFill="1" applyBorder="1" applyAlignment="1">
      <alignment horizontal="center" vertical="center"/>
    </xf>
    <xf numFmtId="164" fontId="7" fillId="8" borderId="53" xfId="0" applyNumberFormat="1" applyFont="1" applyFill="1" applyBorder="1" applyAlignment="1">
      <alignment horizontal="center" vertical="center"/>
    </xf>
    <xf numFmtId="164" fontId="7" fillId="8" borderId="54" xfId="0" applyNumberFormat="1" applyFont="1" applyFill="1" applyBorder="1" applyAlignment="1">
      <alignment horizontal="center" vertical="center"/>
    </xf>
    <xf numFmtId="164" fontId="7" fillId="8" borderId="11" xfId="0" applyNumberFormat="1" applyFont="1" applyFill="1" applyBorder="1" applyAlignment="1">
      <alignment horizontal="center" vertical="center"/>
    </xf>
    <xf numFmtId="164" fontId="7" fillId="8" borderId="38" xfId="0" applyNumberFormat="1" applyFont="1" applyFill="1" applyBorder="1" applyAlignment="1">
      <alignment horizontal="center" vertical="center"/>
    </xf>
    <xf numFmtId="0" fontId="6" fillId="0" borderId="55" xfId="0" applyFont="1" applyBorder="1" applyAlignment="1">
      <alignment vertical="center"/>
    </xf>
    <xf numFmtId="164" fontId="7" fillId="8" borderId="56" xfId="0" applyNumberFormat="1" applyFont="1" applyFill="1" applyBorder="1" applyAlignment="1">
      <alignment horizontal="center" vertical="center"/>
    </xf>
    <xf numFmtId="164" fontId="7" fillId="8" borderId="42" xfId="0" applyNumberFormat="1" applyFont="1" applyFill="1" applyBorder="1" applyAlignment="1">
      <alignment horizontal="center" vertical="center"/>
    </xf>
    <xf numFmtId="164" fontId="7" fillId="8" borderId="43" xfId="0" applyNumberFormat="1" applyFont="1" applyFill="1" applyBorder="1" applyAlignment="1">
      <alignment horizontal="center" vertical="center"/>
    </xf>
    <xf numFmtId="0" fontId="6" fillId="0" borderId="22" xfId="0" applyFont="1" applyBorder="1" applyAlignment="1">
      <alignment horizontal="left" vertical="center"/>
    </xf>
    <xf numFmtId="0" fontId="6" fillId="0" borderId="22" xfId="0" applyFont="1" applyBorder="1" applyAlignment="1">
      <alignment vertical="center"/>
    </xf>
    <xf numFmtId="0" fontId="6" fillId="0" borderId="57" xfId="0" applyFont="1" applyBorder="1" applyAlignment="1">
      <alignment vertical="center"/>
    </xf>
    <xf numFmtId="0" fontId="7" fillId="0" borderId="53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vertical="center"/>
    </xf>
    <xf numFmtId="1" fontId="7" fillId="0" borderId="48" xfId="0" applyNumberFormat="1" applyFont="1" applyFill="1" applyBorder="1" applyAlignment="1" applyProtection="1">
      <alignment horizontal="center" vertical="center"/>
      <protection locked="0"/>
    </xf>
    <xf numFmtId="1" fontId="7" fillId="0" borderId="11" xfId="0" applyNumberFormat="1" applyFont="1" applyFill="1" applyBorder="1" applyAlignment="1" applyProtection="1">
      <alignment horizontal="center" vertical="center"/>
      <protection locked="0"/>
    </xf>
    <xf numFmtId="164" fontId="7" fillId="0" borderId="11" xfId="0" applyNumberFormat="1" applyFont="1" applyFill="1" applyBorder="1" applyAlignment="1" applyProtection="1">
      <alignment horizontal="center" vertical="center"/>
    </xf>
    <xf numFmtId="10" fontId="7" fillId="0" borderId="11" xfId="0" applyNumberFormat="1" applyFont="1" applyBorder="1" applyAlignment="1">
      <alignment horizontal="center" vertical="center"/>
    </xf>
    <xf numFmtId="10" fontId="7" fillId="0" borderId="38" xfId="0" applyNumberFormat="1" applyFont="1" applyBorder="1" applyAlignment="1">
      <alignment horizontal="center" vertical="center"/>
    </xf>
    <xf numFmtId="10" fontId="7" fillId="0" borderId="53" xfId="0" applyNumberFormat="1" applyFont="1" applyBorder="1" applyAlignment="1">
      <alignment horizontal="center" vertical="center"/>
    </xf>
    <xf numFmtId="10" fontId="7" fillId="0" borderId="42" xfId="0" applyNumberFormat="1" applyFont="1" applyBorder="1" applyAlignment="1">
      <alignment horizontal="center" vertical="center"/>
    </xf>
    <xf numFmtId="10" fontId="7" fillId="0" borderId="43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164" fontId="7" fillId="8" borderId="60" xfId="0" applyNumberFormat="1" applyFont="1" applyFill="1" applyBorder="1" applyAlignment="1">
      <alignment horizontal="center" vertical="center"/>
    </xf>
    <xf numFmtId="164" fontId="7" fillId="8" borderId="61" xfId="0" applyNumberFormat="1" applyFont="1" applyFill="1" applyBorder="1" applyAlignment="1">
      <alignment horizontal="center" vertical="center"/>
    </xf>
    <xf numFmtId="164" fontId="7" fillId="8" borderId="62" xfId="0" applyNumberFormat="1" applyFont="1" applyFill="1" applyBorder="1" applyAlignment="1">
      <alignment horizontal="center" vertical="center"/>
    </xf>
    <xf numFmtId="10" fontId="7" fillId="0" borderId="56" xfId="0" applyNumberFormat="1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9" fillId="0" borderId="17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63" xfId="0" applyFont="1" applyBorder="1" applyAlignment="1">
      <alignment horizontal="center" vertical="center"/>
    </xf>
    <xf numFmtId="0" fontId="7" fillId="8" borderId="51" xfId="0" applyFont="1" applyFill="1" applyBorder="1" applyAlignment="1">
      <alignment horizontal="center" vertical="center"/>
    </xf>
    <xf numFmtId="0" fontId="7" fillId="8" borderId="52" xfId="0" applyFont="1" applyFill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7" fillId="8" borderId="54" xfId="0" applyFont="1" applyFill="1" applyBorder="1" applyAlignment="1">
      <alignment horizontal="center" vertical="center"/>
    </xf>
    <xf numFmtId="10" fontId="7" fillId="0" borderId="45" xfId="9" applyNumberFormat="1" applyFont="1" applyBorder="1" applyAlignment="1">
      <alignment horizontal="center" vertical="center"/>
    </xf>
    <xf numFmtId="0" fontId="7" fillId="0" borderId="65" xfId="0" applyFont="1" applyBorder="1" applyAlignment="1">
      <alignment horizontal="center" vertical="center"/>
    </xf>
    <xf numFmtId="0" fontId="7" fillId="8" borderId="56" xfId="0" applyFont="1" applyFill="1" applyBorder="1" applyAlignment="1">
      <alignment horizontal="center" vertical="center"/>
    </xf>
    <xf numFmtId="0" fontId="7" fillId="8" borderId="42" xfId="0" applyFont="1" applyFill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7" fillId="0" borderId="52" xfId="0" applyNumberFormat="1" applyFont="1" applyFill="1" applyBorder="1" applyAlignment="1">
      <alignment horizontal="center" vertical="center"/>
    </xf>
    <xf numFmtId="2" fontId="7" fillId="0" borderId="52" xfId="0" applyNumberFormat="1" applyFont="1" applyFill="1" applyBorder="1" applyAlignment="1">
      <alignment horizontal="center" vertical="center"/>
    </xf>
    <xf numFmtId="167" fontId="9" fillId="8" borderId="53" xfId="0" applyNumberFormat="1" applyFont="1" applyFill="1" applyBorder="1" applyAlignment="1">
      <alignment horizontal="center" vertical="center"/>
    </xf>
    <xf numFmtId="10" fontId="7" fillId="0" borderId="11" xfId="9" applyNumberFormat="1" applyFont="1" applyBorder="1" applyAlignment="1">
      <alignment horizontal="center" vertical="center"/>
    </xf>
    <xf numFmtId="10" fontId="7" fillId="0" borderId="38" xfId="9" applyNumberFormat="1" applyFont="1" applyBorder="1" applyAlignment="1">
      <alignment horizontal="center" vertical="center"/>
    </xf>
    <xf numFmtId="167" fontId="9" fillId="8" borderId="38" xfId="0" applyNumberFormat="1" applyFont="1" applyFill="1" applyBorder="1" applyAlignment="1">
      <alignment horizontal="center" vertical="center"/>
    </xf>
    <xf numFmtId="164" fontId="7" fillId="8" borderId="66" xfId="0" applyNumberFormat="1" applyFont="1" applyFill="1" applyBorder="1" applyAlignment="1">
      <alignment horizontal="center" vertical="center"/>
    </xf>
    <xf numFmtId="164" fontId="7" fillId="8" borderId="30" xfId="0" applyNumberFormat="1" applyFont="1" applyFill="1" applyBorder="1" applyAlignment="1">
      <alignment horizontal="center" vertical="center"/>
    </xf>
    <xf numFmtId="164" fontId="7" fillId="0" borderId="30" xfId="0" applyNumberFormat="1" applyFont="1" applyFill="1" applyBorder="1" applyAlignment="1">
      <alignment horizontal="center" vertical="center"/>
    </xf>
    <xf numFmtId="2" fontId="7" fillId="0" borderId="30" xfId="0" applyNumberFormat="1" applyFont="1" applyFill="1" applyBorder="1" applyAlignment="1">
      <alignment horizontal="center" vertical="center"/>
    </xf>
    <xf numFmtId="167" fontId="9" fillId="8" borderId="31" xfId="0" applyNumberFormat="1" applyFont="1" applyFill="1" applyBorder="1" applyAlignment="1">
      <alignment horizontal="center" vertical="center"/>
    </xf>
    <xf numFmtId="0" fontId="7" fillId="0" borderId="53" xfId="0" applyFont="1" applyBorder="1" applyAlignment="1">
      <alignment vertical="center"/>
    </xf>
    <xf numFmtId="164" fontId="7" fillId="0" borderId="51" xfId="0" applyNumberFormat="1" applyFont="1" applyFill="1" applyBorder="1" applyAlignment="1">
      <alignment horizontal="center" vertical="center"/>
    </xf>
    <xf numFmtId="167" fontId="9" fillId="0" borderId="53" xfId="0" applyNumberFormat="1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164" fontId="7" fillId="0" borderId="54" xfId="0" applyNumberFormat="1" applyFont="1" applyFill="1" applyBorder="1" applyAlignment="1">
      <alignment horizontal="center" vertical="center"/>
    </xf>
    <xf numFmtId="167" fontId="9" fillId="0" borderId="38" xfId="0" applyNumberFormat="1" applyFont="1" applyBorder="1" applyAlignment="1">
      <alignment horizontal="center" vertical="center"/>
    </xf>
    <xf numFmtId="10" fontId="7" fillId="0" borderId="56" xfId="0" applyNumberFormat="1" applyFont="1" applyFill="1" applyBorder="1" applyAlignment="1">
      <alignment horizontal="center" vertical="center"/>
    </xf>
    <xf numFmtId="10" fontId="7" fillId="0" borderId="42" xfId="0" applyNumberFormat="1" applyFont="1" applyFill="1" applyBorder="1" applyAlignment="1">
      <alignment horizontal="center" vertical="center"/>
    </xf>
    <xf numFmtId="10" fontId="9" fillId="0" borderId="43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9" fillId="0" borderId="18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2" fontId="7" fillId="0" borderId="42" xfId="0" applyNumberFormat="1" applyFont="1" applyBorder="1" applyAlignment="1">
      <alignment horizontal="center" vertical="center"/>
    </xf>
    <xf numFmtId="0" fontId="7" fillId="0" borderId="47" xfId="0" applyFont="1" applyBorder="1" applyAlignment="1">
      <alignment horizontal="right" vertical="center"/>
    </xf>
    <xf numFmtId="0" fontId="7" fillId="0" borderId="47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7" fillId="0" borderId="11" xfId="0" applyFont="1" applyBorder="1" applyAlignment="1">
      <alignment horizontal="right" vertical="center"/>
    </xf>
    <xf numFmtId="167" fontId="7" fillId="0" borderId="0" xfId="0" applyNumberFormat="1" applyFont="1" applyAlignment="1">
      <alignment vertical="center"/>
    </xf>
    <xf numFmtId="164" fontId="7" fillId="0" borderId="51" xfId="0" applyNumberFormat="1" applyFont="1" applyBorder="1" applyAlignment="1">
      <alignment horizontal="center" vertical="center"/>
    </xf>
    <xf numFmtId="167" fontId="7" fillId="0" borderId="52" xfId="0" applyNumberFormat="1" applyFont="1" applyBorder="1" applyAlignment="1">
      <alignment horizontal="center" vertical="center"/>
    </xf>
    <xf numFmtId="2" fontId="7" fillId="0" borderId="53" xfId="0" applyNumberFormat="1" applyFont="1" applyBorder="1" applyAlignment="1">
      <alignment horizontal="center" vertical="center"/>
    </xf>
    <xf numFmtId="164" fontId="7" fillId="0" borderId="54" xfId="0" applyNumberFormat="1" applyFont="1" applyBorder="1" applyAlignment="1">
      <alignment horizontal="center" vertical="center"/>
    </xf>
    <xf numFmtId="2" fontId="7" fillId="0" borderId="38" xfId="0" applyNumberFormat="1" applyFont="1" applyBorder="1" applyAlignment="1">
      <alignment horizontal="center" vertical="center"/>
    </xf>
    <xf numFmtId="164" fontId="7" fillId="0" borderId="22" xfId="0" applyNumberFormat="1" applyFont="1" applyBorder="1" applyAlignment="1">
      <alignment horizontal="center" vertical="center"/>
    </xf>
    <xf numFmtId="165" fontId="7" fillId="0" borderId="30" xfId="0" applyNumberFormat="1" applyFont="1" applyBorder="1" applyAlignment="1">
      <alignment horizontal="center" vertical="center"/>
    </xf>
    <xf numFmtId="164" fontId="7" fillId="0" borderId="56" xfId="0" applyNumberFormat="1" applyFont="1" applyBorder="1" applyAlignment="1">
      <alignment horizontal="center" vertical="center"/>
    </xf>
    <xf numFmtId="167" fontId="7" fillId="0" borderId="42" xfId="0" applyNumberFormat="1" applyFont="1" applyBorder="1" applyAlignment="1">
      <alignment horizontal="center" vertical="center"/>
    </xf>
    <xf numFmtId="2" fontId="7" fillId="0" borderId="43" xfId="0" applyNumberFormat="1" applyFont="1" applyBorder="1" applyAlignment="1">
      <alignment horizontal="center" vertical="center"/>
    </xf>
    <xf numFmtId="165" fontId="7" fillId="0" borderId="22" xfId="0" applyNumberFormat="1" applyFont="1" applyBorder="1" applyAlignment="1">
      <alignment horizontal="center" vertical="center"/>
    </xf>
    <xf numFmtId="165" fontId="7" fillId="0" borderId="20" xfId="0" applyNumberFormat="1" applyFont="1" applyBorder="1" applyAlignment="1">
      <alignment horizontal="center" vertical="center"/>
    </xf>
    <xf numFmtId="164" fontId="7" fillId="0" borderId="20" xfId="0" applyNumberFormat="1" applyFont="1" applyBorder="1" applyAlignment="1">
      <alignment horizontal="center" vertical="center"/>
    </xf>
    <xf numFmtId="164" fontId="7" fillId="0" borderId="11" xfId="0" applyNumberFormat="1" applyFont="1" applyBorder="1" applyAlignment="1" applyProtection="1">
      <alignment horizontal="center" vertical="center"/>
      <protection locked="0"/>
    </xf>
    <xf numFmtId="10" fontId="7" fillId="0" borderId="11" xfId="0" applyNumberFormat="1" applyFont="1" applyFill="1" applyBorder="1" applyAlignment="1">
      <alignment horizontal="center" vertical="center"/>
    </xf>
    <xf numFmtId="0" fontId="7" fillId="0" borderId="11" xfId="2" applyFont="1" applyFill="1" applyBorder="1" applyAlignment="1">
      <alignment horizontal="center" vertical="center"/>
    </xf>
    <xf numFmtId="164" fontId="7" fillId="0" borderId="20" xfId="0" applyNumberFormat="1" applyFont="1" applyFill="1" applyBorder="1" applyAlignment="1">
      <alignment horizontal="center" vertical="center"/>
    </xf>
    <xf numFmtId="2" fontId="7" fillId="0" borderId="20" xfId="0" applyNumberFormat="1" applyFont="1" applyFill="1" applyBorder="1" applyAlignment="1">
      <alignment horizontal="center" vertical="center"/>
    </xf>
    <xf numFmtId="2" fontId="7" fillId="6" borderId="22" xfId="0" applyNumberFormat="1" applyFont="1" applyFill="1" applyBorder="1" applyAlignment="1">
      <alignment horizontal="center" vertical="center"/>
    </xf>
    <xf numFmtId="1" fontId="7" fillId="0" borderId="11" xfId="0" applyNumberFormat="1" applyFont="1" applyFill="1" applyBorder="1" applyAlignment="1">
      <alignment horizontal="center" vertical="center"/>
    </xf>
    <xf numFmtId="167" fontId="7" fillId="0" borderId="11" xfId="0" applyNumberFormat="1" applyFont="1" applyFill="1" applyBorder="1" applyAlignment="1">
      <alignment horizontal="center" vertical="center"/>
    </xf>
    <xf numFmtId="165" fontId="7" fillId="0" borderId="2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7" xfId="0" applyFont="1" applyBorder="1" applyAlignment="1">
      <alignment horizontal="right" vertical="center"/>
    </xf>
    <xf numFmtId="168" fontId="7" fillId="0" borderId="55" xfId="0" applyNumberFormat="1" applyFont="1" applyFill="1" applyBorder="1" applyAlignment="1">
      <alignment horizontal="center" vertical="center"/>
    </xf>
    <xf numFmtId="0" fontId="7" fillId="0" borderId="67" xfId="0" applyFont="1" applyBorder="1" applyAlignment="1">
      <alignment horizontal="center" vertical="center"/>
    </xf>
    <xf numFmtId="168" fontId="7" fillId="8" borderId="20" xfId="0" applyNumberFormat="1" applyFont="1" applyFill="1" applyBorder="1" applyAlignment="1">
      <alignment horizontal="center" vertical="center"/>
    </xf>
    <xf numFmtId="0" fontId="7" fillId="0" borderId="68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7" fillId="0" borderId="70" xfId="0" applyFont="1" applyBorder="1" applyAlignment="1">
      <alignment horizontal="center" vertical="center"/>
    </xf>
    <xf numFmtId="0" fontId="7" fillId="0" borderId="71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2" fontId="7" fillId="0" borderId="19" xfId="0" applyNumberFormat="1" applyFont="1" applyBorder="1" applyAlignment="1">
      <alignment horizontal="center" vertical="center"/>
    </xf>
    <xf numFmtId="164" fontId="7" fillId="0" borderId="19" xfId="0" applyNumberFormat="1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15" fillId="0" borderId="17" xfId="0" applyFont="1" applyBorder="1" applyAlignment="1">
      <alignment vertical="center"/>
    </xf>
    <xf numFmtId="0" fontId="7" fillId="0" borderId="39" xfId="0" applyFont="1" applyFill="1" applyBorder="1" applyAlignment="1">
      <alignment horizontal="center" vertical="center"/>
    </xf>
    <xf numFmtId="167" fontId="7" fillId="0" borderId="11" xfId="0" applyNumberFormat="1" applyFont="1" applyFill="1" applyBorder="1" applyAlignment="1" applyProtection="1">
      <alignment horizontal="center" vertical="center"/>
      <protection locked="0"/>
    </xf>
    <xf numFmtId="10" fontId="7" fillId="0" borderId="45" xfId="0" applyNumberFormat="1" applyFont="1" applyBorder="1" applyAlignment="1">
      <alignment horizontal="center" vertical="center"/>
    </xf>
    <xf numFmtId="164" fontId="7" fillId="0" borderId="30" xfId="0" applyNumberFormat="1" applyFont="1" applyBorder="1" applyAlignment="1">
      <alignment horizontal="center" vertical="center"/>
    </xf>
    <xf numFmtId="167" fontId="7" fillId="0" borderId="30" xfId="0" applyNumberFormat="1" applyFont="1" applyFill="1" applyBorder="1" applyAlignment="1" applyProtection="1">
      <alignment horizontal="center" vertical="center"/>
      <protection locked="0"/>
    </xf>
    <xf numFmtId="2" fontId="7" fillId="0" borderId="52" xfId="0" applyNumberFormat="1" applyFont="1" applyBorder="1" applyAlignment="1">
      <alignment horizontal="center" vertical="center"/>
    </xf>
    <xf numFmtId="2" fontId="7" fillId="0" borderId="11" xfId="0" applyNumberFormat="1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9" borderId="47" xfId="0" applyFont="1" applyFill="1" applyBorder="1" applyAlignment="1">
      <alignment horizontal="center" vertical="center"/>
    </xf>
    <xf numFmtId="0" fontId="8" fillId="0" borderId="9" xfId="0" applyFont="1" applyBorder="1" applyAlignment="1">
      <alignment vertical="center"/>
    </xf>
    <xf numFmtId="0" fontId="7" fillId="0" borderId="20" xfId="0" applyFont="1" applyFill="1" applyBorder="1" applyAlignment="1" applyProtection="1">
      <alignment horizontal="center" vertical="center"/>
      <protection locked="0"/>
    </xf>
    <xf numFmtId="0" fontId="7" fillId="8" borderId="73" xfId="0" applyFont="1" applyFill="1" applyBorder="1" applyAlignment="1" applyProtection="1">
      <alignment horizontal="center" vertical="center"/>
      <protection locked="0"/>
    </xf>
    <xf numFmtId="0" fontId="7" fillId="8" borderId="11" xfId="0" applyFont="1" applyFill="1" applyBorder="1" applyAlignment="1" applyProtection="1">
      <alignment horizontal="center" vertical="center"/>
      <protection locked="0"/>
    </xf>
    <xf numFmtId="0" fontId="7" fillId="8" borderId="48" xfId="0" applyFont="1" applyFill="1" applyBorder="1" applyAlignment="1" applyProtection="1">
      <alignment horizontal="center" vertical="center"/>
      <protection locked="0"/>
    </xf>
    <xf numFmtId="0" fontId="7" fillId="12" borderId="73" xfId="0" applyFont="1" applyFill="1" applyBorder="1" applyAlignment="1" applyProtection="1">
      <alignment horizontal="center" vertical="center"/>
      <protection locked="0"/>
    </xf>
    <xf numFmtId="0" fontId="7" fillId="12" borderId="11" xfId="0" applyFont="1" applyFill="1" applyBorder="1" applyAlignment="1" applyProtection="1">
      <alignment horizontal="center" vertical="center"/>
      <protection locked="0"/>
    </xf>
    <xf numFmtId="0" fontId="7" fillId="12" borderId="48" xfId="0" applyFont="1" applyFill="1" applyBorder="1" applyAlignment="1" applyProtection="1">
      <alignment horizontal="center" vertical="center"/>
      <protection locked="0"/>
    </xf>
    <xf numFmtId="0" fontId="7" fillId="8" borderId="12" xfId="0" applyFont="1" applyFill="1" applyBorder="1" applyAlignment="1" applyProtection="1">
      <alignment horizontal="center" vertical="center"/>
      <protection locked="0"/>
    </xf>
    <xf numFmtId="0" fontId="7" fillId="8" borderId="47" xfId="0" applyFont="1" applyFill="1" applyBorder="1" applyAlignment="1" applyProtection="1">
      <alignment horizontal="center" vertical="center"/>
      <protection locked="0"/>
    </xf>
    <xf numFmtId="0" fontId="7" fillId="8" borderId="46" xfId="0" applyFont="1" applyFill="1" applyBorder="1" applyAlignment="1" applyProtection="1">
      <alignment horizontal="center" vertical="center"/>
      <protection locked="0"/>
    </xf>
    <xf numFmtId="0" fontId="7" fillId="12" borderId="12" xfId="0" applyFont="1" applyFill="1" applyBorder="1" applyAlignment="1" applyProtection="1">
      <alignment horizontal="center" vertical="center"/>
      <protection locked="0"/>
    </xf>
    <xf numFmtId="0" fontId="7" fillId="12" borderId="47" xfId="0" applyFont="1" applyFill="1" applyBorder="1" applyAlignment="1" applyProtection="1">
      <alignment horizontal="center" vertical="center"/>
      <protection locked="0"/>
    </xf>
    <xf numFmtId="0" fontId="7" fillId="12" borderId="46" xfId="0" applyFont="1" applyFill="1" applyBorder="1" applyAlignment="1" applyProtection="1">
      <alignment horizontal="center" vertical="center"/>
      <protection locked="0"/>
    </xf>
    <xf numFmtId="0" fontId="12" fillId="0" borderId="0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7" xfId="0" applyFont="1" applyBorder="1" applyAlignment="1">
      <alignment horizontal="left" vertical="center"/>
    </xf>
    <xf numFmtId="0" fontId="9" fillId="8" borderId="11" xfId="0" applyFont="1" applyFill="1" applyBorder="1" applyAlignment="1">
      <alignment horizontal="center" vertical="center"/>
    </xf>
    <xf numFmtId="167" fontId="7" fillId="15" borderId="11" xfId="0" applyNumberFormat="1" applyFont="1" applyFill="1" applyBorder="1" applyAlignment="1" applyProtection="1">
      <alignment horizontal="center" vertical="center"/>
      <protection locked="0"/>
    </xf>
    <xf numFmtId="167" fontId="7" fillId="0" borderId="30" xfId="0" applyNumberFormat="1" applyFont="1" applyFill="1" applyBorder="1" applyAlignment="1">
      <alignment horizontal="center" vertical="center"/>
    </xf>
    <xf numFmtId="164" fontId="7" fillId="0" borderId="58" xfId="0" applyNumberFormat="1" applyFont="1" applyBorder="1" applyAlignment="1">
      <alignment horizontal="center" vertical="center"/>
    </xf>
    <xf numFmtId="167" fontId="7" fillId="0" borderId="58" xfId="0" applyNumberFormat="1" applyFont="1" applyFill="1" applyBorder="1" applyAlignment="1" applyProtection="1">
      <alignment horizontal="center" vertical="center"/>
      <protection locked="0"/>
    </xf>
    <xf numFmtId="167" fontId="7" fillId="0" borderId="47" xfId="0" applyNumberFormat="1" applyFont="1" applyFill="1" applyBorder="1" applyAlignment="1" applyProtection="1">
      <alignment horizontal="center" vertical="center"/>
      <protection locked="0"/>
    </xf>
    <xf numFmtId="0" fontId="7" fillId="0" borderId="75" xfId="0" applyFont="1" applyBorder="1" applyAlignment="1">
      <alignment horizontal="center" vertical="center"/>
    </xf>
    <xf numFmtId="167" fontId="7" fillId="0" borderId="75" xfId="0" applyNumberFormat="1" applyFont="1" applyBorder="1" applyAlignment="1">
      <alignment horizontal="center" vertical="center"/>
    </xf>
    <xf numFmtId="167" fontId="7" fillId="15" borderId="30" xfId="0" applyNumberFormat="1" applyFont="1" applyFill="1" applyBorder="1" applyAlignment="1">
      <alignment horizontal="center" vertical="center"/>
    </xf>
    <xf numFmtId="167" fontId="7" fillId="15" borderId="75" xfId="0" applyNumberFormat="1" applyFont="1" applyFill="1" applyBorder="1" applyAlignment="1">
      <alignment horizontal="center" vertical="center"/>
    </xf>
    <xf numFmtId="167" fontId="7" fillId="15" borderId="11" xfId="0" applyNumberFormat="1" applyFont="1" applyFill="1" applyBorder="1" applyAlignment="1">
      <alignment horizontal="center" vertical="center"/>
    </xf>
    <xf numFmtId="167" fontId="7" fillId="0" borderId="0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167" fontId="7" fillId="0" borderId="48" xfId="0" applyNumberFormat="1" applyFont="1" applyBorder="1" applyAlignment="1">
      <alignment horizontal="center" vertical="center"/>
    </xf>
    <xf numFmtId="2" fontId="7" fillId="0" borderId="47" xfId="0" applyNumberFormat="1" applyFont="1" applyFill="1" applyBorder="1" applyAlignment="1">
      <alignment horizontal="center" vertical="center"/>
    </xf>
    <xf numFmtId="2" fontId="7" fillId="0" borderId="75" xfId="0" applyNumberFormat="1" applyFont="1" applyBorder="1" applyAlignment="1">
      <alignment horizontal="center" vertical="center"/>
    </xf>
    <xf numFmtId="0" fontId="7" fillId="0" borderId="51" xfId="0" applyFont="1" applyBorder="1" applyAlignment="1">
      <alignment vertical="center"/>
    </xf>
    <xf numFmtId="0" fontId="7" fillId="0" borderId="0" xfId="0" applyFont="1" applyAlignment="1" applyProtection="1">
      <alignment vertical="center"/>
      <protection locked="0"/>
    </xf>
    <xf numFmtId="2" fontId="0" fillId="0" borderId="0" xfId="0" applyNumberFormat="1" applyAlignment="1">
      <alignment horizontal="center" vertical="top"/>
    </xf>
    <xf numFmtId="0" fontId="7" fillId="0" borderId="0" xfId="0" applyFont="1" applyFill="1" applyBorder="1" applyAlignment="1" applyProtection="1">
      <alignment vertical="center"/>
      <protection locked="0"/>
    </xf>
    <xf numFmtId="167" fontId="7" fillId="0" borderId="44" xfId="0" applyNumberFormat="1" applyFont="1" applyFill="1" applyBorder="1" applyAlignment="1" applyProtection="1">
      <alignment horizontal="center" vertical="center"/>
      <protection locked="0"/>
    </xf>
    <xf numFmtId="167" fontId="7" fillId="0" borderId="0" xfId="0" applyNumberFormat="1" applyFont="1" applyFill="1" applyBorder="1" applyAlignment="1" applyProtection="1">
      <alignment horizontal="center" vertical="center"/>
      <protection locked="0"/>
    </xf>
    <xf numFmtId="167" fontId="7" fillId="0" borderId="44" xfId="0" applyNumberFormat="1" applyFont="1" applyFill="1" applyBorder="1" applyAlignment="1">
      <alignment horizontal="center" vertical="center"/>
    </xf>
    <xf numFmtId="167" fontId="7" fillId="0" borderId="0" xfId="0" applyNumberFormat="1" applyFont="1" applyFill="1" applyBorder="1" applyAlignment="1">
      <alignment horizontal="center" vertical="center"/>
    </xf>
    <xf numFmtId="167" fontId="7" fillId="0" borderId="76" xfId="0" applyNumberFormat="1" applyFont="1" applyFill="1" applyBorder="1" applyAlignment="1">
      <alignment horizontal="center" vertical="center"/>
    </xf>
    <xf numFmtId="2" fontId="7" fillId="0" borderId="44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10" fontId="7" fillId="0" borderId="44" xfId="0" applyNumberFormat="1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center" vertical="center"/>
    </xf>
    <xf numFmtId="2" fontId="7" fillId="0" borderId="44" xfId="0" applyNumberFormat="1" applyFont="1" applyFill="1" applyBorder="1" applyAlignment="1" applyProtection="1">
      <alignment horizontal="center" vertical="center"/>
      <protection locked="0"/>
    </xf>
    <xf numFmtId="2" fontId="7" fillId="0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73" xfId="0" applyFont="1" applyBorder="1" applyAlignment="1">
      <alignment horizontal="center" vertical="center"/>
    </xf>
    <xf numFmtId="0" fontId="7" fillId="0" borderId="73" xfId="0" applyFont="1" applyFill="1" applyBorder="1" applyAlignment="1">
      <alignment horizontal="center" vertical="center"/>
    </xf>
    <xf numFmtId="0" fontId="7" fillId="8" borderId="20" xfId="0" applyNumberFormat="1" applyFont="1" applyFill="1" applyBorder="1" applyAlignment="1">
      <alignment horizontal="center" vertical="center"/>
    </xf>
    <xf numFmtId="0" fontId="7" fillId="0" borderId="47" xfId="0" applyFont="1" applyFill="1" applyBorder="1" applyAlignment="1">
      <alignment horizontal="center" vertical="center"/>
    </xf>
    <xf numFmtId="0" fontId="7" fillId="0" borderId="75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 applyProtection="1">
      <alignment horizontal="center" vertical="center"/>
    </xf>
    <xf numFmtId="164" fontId="7" fillId="10" borderId="75" xfId="0" applyNumberFormat="1" applyFont="1" applyFill="1" applyBorder="1" applyAlignment="1" applyProtection="1">
      <alignment horizontal="center" vertical="center"/>
    </xf>
    <xf numFmtId="0" fontId="7" fillId="0" borderId="79" xfId="0" applyFont="1" applyFill="1" applyBorder="1" applyAlignment="1">
      <alignment horizontal="center" vertical="center"/>
    </xf>
    <xf numFmtId="0" fontId="7" fillId="0" borderId="59" xfId="0" applyFont="1" applyFill="1" applyBorder="1" applyAlignment="1">
      <alignment horizontal="center" vertical="center"/>
    </xf>
    <xf numFmtId="167" fontId="7" fillId="6" borderId="47" xfId="0" applyNumberFormat="1" applyFont="1" applyFill="1" applyBorder="1" applyAlignment="1">
      <alignment horizontal="center" vertical="center"/>
    </xf>
    <xf numFmtId="2" fontId="7" fillId="6" borderId="47" xfId="0" applyNumberFormat="1" applyFont="1" applyFill="1" applyBorder="1" applyAlignment="1">
      <alignment horizontal="center" vertical="center"/>
    </xf>
    <xf numFmtId="0" fontId="7" fillId="0" borderId="80" xfId="0" applyFont="1" applyBorder="1" applyAlignment="1">
      <alignment horizontal="right" vertical="center"/>
    </xf>
    <xf numFmtId="0" fontId="7" fillId="0" borderId="80" xfId="0" applyFont="1" applyBorder="1" applyAlignment="1">
      <alignment horizontal="center" vertical="center"/>
    </xf>
    <xf numFmtId="0" fontId="7" fillId="0" borderId="4" xfId="0" applyFont="1" applyBorder="1" applyAlignment="1">
      <alignment horizontal="right" vertical="center"/>
    </xf>
    <xf numFmtId="0" fontId="7" fillId="0" borderId="81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2" fontId="7" fillId="0" borderId="54" xfId="0" applyNumberFormat="1" applyFont="1" applyBorder="1" applyAlignment="1">
      <alignment horizontal="center" vertical="center"/>
    </xf>
    <xf numFmtId="10" fontId="7" fillId="0" borderId="42" xfId="9" applyNumberFormat="1" applyFont="1" applyBorder="1" applyAlignment="1">
      <alignment horizontal="center" vertical="center"/>
    </xf>
    <xf numFmtId="10" fontId="7" fillId="0" borderId="43" xfId="9" applyNumberFormat="1" applyFont="1" applyBorder="1" applyAlignment="1">
      <alignment horizontal="center" vertical="center"/>
    </xf>
    <xf numFmtId="2" fontId="7" fillId="0" borderId="51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10" fontId="7" fillId="0" borderId="0" xfId="0" applyNumberFormat="1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75" xfId="0" applyNumberFormat="1" applyFont="1" applyBorder="1" applyAlignment="1">
      <alignment horizontal="center" vertical="center"/>
    </xf>
    <xf numFmtId="0" fontId="9" fillId="0" borderId="75" xfId="0" applyNumberFormat="1" applyFont="1" applyBorder="1" applyAlignment="1">
      <alignment horizontal="center" vertical="center"/>
    </xf>
    <xf numFmtId="0" fontId="7" fillId="0" borderId="83" xfId="0" applyFont="1" applyBorder="1" applyAlignment="1">
      <alignment horizontal="right" vertical="center"/>
    </xf>
    <xf numFmtId="0" fontId="7" fillId="0" borderId="86" xfId="0" applyFont="1" applyBorder="1" applyAlignment="1">
      <alignment horizontal="center" vertical="center"/>
    </xf>
    <xf numFmtId="0" fontId="7" fillId="0" borderId="87" xfId="0" applyFont="1" applyBorder="1" applyAlignment="1">
      <alignment horizontal="center" vertical="center"/>
    </xf>
    <xf numFmtId="0" fontId="9" fillId="0" borderId="86" xfId="0" applyNumberFormat="1" applyFont="1" applyBorder="1" applyAlignment="1">
      <alignment horizontal="center" vertical="center"/>
    </xf>
    <xf numFmtId="0" fontId="9" fillId="0" borderId="87" xfId="0" applyNumberFormat="1" applyFont="1" applyBorder="1" applyAlignment="1">
      <alignment horizontal="center" vertical="center"/>
    </xf>
    <xf numFmtId="0" fontId="9" fillId="0" borderId="88" xfId="0" applyNumberFormat="1" applyFont="1" applyBorder="1" applyAlignment="1">
      <alignment horizontal="center" vertical="center"/>
    </xf>
    <xf numFmtId="0" fontId="9" fillId="0" borderId="89" xfId="0" applyNumberFormat="1" applyFont="1" applyBorder="1" applyAlignment="1">
      <alignment horizontal="center" vertical="center"/>
    </xf>
    <xf numFmtId="0" fontId="9" fillId="0" borderId="90" xfId="0" applyNumberFormat="1" applyFont="1" applyBorder="1" applyAlignment="1">
      <alignment horizontal="center" vertical="center"/>
    </xf>
    <xf numFmtId="0" fontId="7" fillId="0" borderId="86" xfId="0" applyNumberFormat="1" applyFont="1" applyBorder="1" applyAlignment="1">
      <alignment horizontal="center" vertical="center"/>
    </xf>
    <xf numFmtId="0" fontId="7" fillId="0" borderId="88" xfId="0" applyNumberFormat="1" applyFont="1" applyBorder="1" applyAlignment="1">
      <alignment horizontal="center" vertical="center"/>
    </xf>
    <xf numFmtId="0" fontId="7" fillId="0" borderId="89" xfId="0" applyNumberFormat="1" applyFont="1" applyBorder="1" applyAlignment="1">
      <alignment horizontal="center" vertical="center"/>
    </xf>
    <xf numFmtId="0" fontId="7" fillId="0" borderId="94" xfId="0" applyFont="1" applyBorder="1" applyAlignment="1">
      <alignment horizontal="right" vertical="center"/>
    </xf>
    <xf numFmtId="0" fontId="7" fillId="0" borderId="86" xfId="0" applyFont="1" applyFill="1" applyBorder="1" applyAlignment="1">
      <alignment horizontal="center" vertical="center"/>
    </xf>
    <xf numFmtId="0" fontId="7" fillId="0" borderId="87" xfId="0" applyFont="1" applyFill="1" applyBorder="1" applyAlignment="1">
      <alignment horizontal="center" vertical="center"/>
    </xf>
    <xf numFmtId="0" fontId="7" fillId="0" borderId="88" xfId="0" applyFont="1" applyFill="1" applyBorder="1" applyAlignment="1">
      <alignment horizontal="center" vertical="center"/>
    </xf>
    <xf numFmtId="0" fontId="7" fillId="0" borderId="89" xfId="0" applyFont="1" applyFill="1" applyBorder="1" applyAlignment="1">
      <alignment horizontal="center" vertical="center"/>
    </xf>
    <xf numFmtId="0" fontId="7" fillId="0" borderId="90" xfId="0" applyFont="1" applyFill="1" applyBorder="1" applyAlignment="1">
      <alignment horizontal="center" vertical="center"/>
    </xf>
    <xf numFmtId="0" fontId="7" fillId="0" borderId="95" xfId="0" applyNumberFormat="1" applyFont="1" applyBorder="1" applyAlignment="1">
      <alignment horizontal="center" vertical="center"/>
    </xf>
    <xf numFmtId="0" fontId="7" fillId="0" borderId="96" xfId="0" applyNumberFormat="1" applyFont="1" applyBorder="1" applyAlignment="1">
      <alignment horizontal="center" vertical="center"/>
    </xf>
    <xf numFmtId="0" fontId="7" fillId="0" borderId="97" xfId="0" applyNumberFormat="1" applyFont="1" applyBorder="1" applyAlignment="1">
      <alignment horizontal="center" vertical="center"/>
    </xf>
    <xf numFmtId="0" fontId="7" fillId="0" borderId="87" xfId="0" applyNumberFormat="1" applyFont="1" applyBorder="1" applyAlignment="1">
      <alignment horizontal="center" vertical="center"/>
    </xf>
    <xf numFmtId="0" fontId="7" fillId="0" borderId="90" xfId="0" applyNumberFormat="1" applyFont="1" applyBorder="1" applyAlignment="1">
      <alignment horizontal="center" vertical="center"/>
    </xf>
    <xf numFmtId="0" fontId="7" fillId="0" borderId="98" xfId="0" applyFont="1" applyFill="1" applyBorder="1" applyAlignment="1">
      <alignment horizontal="center" vertical="center"/>
    </xf>
    <xf numFmtId="0" fontId="7" fillId="0" borderId="99" xfId="0" applyFont="1" applyFill="1" applyBorder="1" applyAlignment="1">
      <alignment horizontal="center" vertical="center"/>
    </xf>
    <xf numFmtId="0" fontId="7" fillId="0" borderId="100" xfId="0" applyFont="1" applyFill="1" applyBorder="1" applyAlignment="1">
      <alignment horizontal="center" vertical="center"/>
    </xf>
    <xf numFmtId="0" fontId="7" fillId="0" borderId="98" xfId="0" applyNumberFormat="1" applyFont="1" applyBorder="1" applyAlignment="1">
      <alignment horizontal="center" vertical="center"/>
    </xf>
    <xf numFmtId="0" fontId="7" fillId="0" borderId="99" xfId="0" applyNumberFormat="1" applyFont="1" applyBorder="1" applyAlignment="1">
      <alignment horizontal="center" vertical="center"/>
    </xf>
    <xf numFmtId="0" fontId="7" fillId="0" borderId="100" xfId="0" applyNumberFormat="1" applyFont="1" applyBorder="1" applyAlignment="1">
      <alignment horizontal="center" vertical="center"/>
    </xf>
    <xf numFmtId="0" fontId="9" fillId="0" borderId="98" xfId="0" applyNumberFormat="1" applyFont="1" applyBorder="1" applyAlignment="1">
      <alignment horizontal="center" vertical="center"/>
    </xf>
    <xf numFmtId="0" fontId="9" fillId="0" borderId="99" xfId="0" applyNumberFormat="1" applyFont="1" applyBorder="1" applyAlignment="1">
      <alignment horizontal="center" vertical="center"/>
    </xf>
    <xf numFmtId="0" fontId="9" fillId="0" borderId="100" xfId="0" applyNumberFormat="1" applyFont="1" applyBorder="1" applyAlignment="1">
      <alignment horizontal="center" vertical="center"/>
    </xf>
    <xf numFmtId="0" fontId="6" fillId="0" borderId="102" xfId="0" applyFont="1" applyBorder="1" applyAlignment="1">
      <alignment vertical="center"/>
    </xf>
    <xf numFmtId="0" fontId="15" fillId="0" borderId="102" xfId="0" applyFont="1" applyBorder="1" applyAlignment="1">
      <alignment vertical="center"/>
    </xf>
    <xf numFmtId="0" fontId="7" fillId="0" borderId="85" xfId="0" applyFont="1" applyBorder="1" applyAlignment="1">
      <alignment horizontal="center" vertical="center"/>
    </xf>
    <xf numFmtId="164" fontId="7" fillId="0" borderId="44" xfId="0" applyNumberFormat="1" applyFont="1" applyFill="1" applyBorder="1" applyAlignment="1" applyProtection="1">
      <alignment horizontal="center" vertical="center"/>
    </xf>
    <xf numFmtId="0" fontId="6" fillId="0" borderId="80" xfId="0" applyFont="1" applyBorder="1" applyAlignment="1">
      <alignment vertical="center"/>
    </xf>
    <xf numFmtId="0" fontId="7" fillId="0" borderId="106" xfId="0" applyFont="1" applyBorder="1" applyAlignment="1">
      <alignment vertical="center"/>
    </xf>
    <xf numFmtId="0" fontId="7" fillId="0" borderId="102" xfId="0" applyFont="1" applyBorder="1" applyAlignment="1">
      <alignment vertical="center"/>
    </xf>
    <xf numFmtId="0" fontId="7" fillId="0" borderId="107" xfId="0" applyFont="1" applyBorder="1" applyAlignment="1">
      <alignment vertical="center"/>
    </xf>
    <xf numFmtId="168" fontId="6" fillId="0" borderId="20" xfId="0" applyNumberFormat="1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84" xfId="0" applyFont="1" applyBorder="1" applyAlignment="1">
      <alignment horizontal="center" vertical="center"/>
    </xf>
    <xf numFmtId="0" fontId="7" fillId="0" borderId="108" xfId="0" applyFont="1" applyFill="1" applyBorder="1" applyAlignment="1">
      <alignment horizontal="center" vertical="center"/>
    </xf>
    <xf numFmtId="0" fontId="7" fillId="0" borderId="109" xfId="0" applyFont="1" applyFill="1" applyBorder="1" applyAlignment="1">
      <alignment horizontal="center" vertical="center"/>
    </xf>
    <xf numFmtId="0" fontId="7" fillId="0" borderId="110" xfId="0" applyFont="1" applyFill="1" applyBorder="1" applyAlignment="1">
      <alignment horizontal="center" vertical="center"/>
    </xf>
    <xf numFmtId="0" fontId="7" fillId="0" borderId="111" xfId="0" applyFont="1" applyFill="1" applyBorder="1" applyAlignment="1">
      <alignment horizontal="center" vertical="center"/>
    </xf>
    <xf numFmtId="0" fontId="7" fillId="0" borderId="112" xfId="0" applyFont="1" applyFill="1" applyBorder="1" applyAlignment="1">
      <alignment horizontal="center" vertical="center"/>
    </xf>
    <xf numFmtId="0" fontId="7" fillId="0" borderId="113" xfId="0" applyFont="1" applyFill="1" applyBorder="1" applyAlignment="1">
      <alignment horizontal="center" vertical="center"/>
    </xf>
    <xf numFmtId="0" fontId="7" fillId="0" borderId="114" xfId="0" applyFont="1" applyFill="1" applyBorder="1" applyAlignment="1">
      <alignment horizontal="center" vertical="center"/>
    </xf>
    <xf numFmtId="0" fontId="7" fillId="0" borderId="115" xfId="0" applyFont="1" applyFill="1" applyBorder="1" applyAlignment="1">
      <alignment horizontal="center" vertical="center"/>
    </xf>
    <xf numFmtId="0" fontId="7" fillId="0" borderId="95" xfId="0" applyFont="1" applyBorder="1" applyAlignment="1">
      <alignment vertical="center"/>
    </xf>
    <xf numFmtId="0" fontId="7" fillId="0" borderId="88" xfId="0" applyFont="1" applyBorder="1" applyAlignment="1">
      <alignment horizontal="center" vertical="center"/>
    </xf>
    <xf numFmtId="0" fontId="7" fillId="0" borderId="90" xfId="0" applyFont="1" applyBorder="1" applyAlignment="1">
      <alignment horizontal="center" vertical="center"/>
    </xf>
    <xf numFmtId="0" fontId="7" fillId="0" borderId="108" xfId="0" applyFont="1" applyBorder="1" applyAlignment="1">
      <alignment horizontal="center" vertical="center"/>
    </xf>
    <xf numFmtId="0" fontId="7" fillId="0" borderId="110" xfId="0" applyFont="1" applyBorder="1" applyAlignment="1">
      <alignment horizontal="center" vertical="center"/>
    </xf>
    <xf numFmtId="0" fontId="7" fillId="0" borderId="111" xfId="0" applyFont="1" applyBorder="1" applyAlignment="1">
      <alignment horizontal="center" vertical="center"/>
    </xf>
    <xf numFmtId="0" fontId="7" fillId="0" borderId="112" xfId="0" applyFont="1" applyBorder="1" applyAlignment="1">
      <alignment horizontal="center" vertical="center"/>
    </xf>
    <xf numFmtId="0" fontId="7" fillId="0" borderId="113" xfId="0" applyFont="1" applyBorder="1" applyAlignment="1">
      <alignment horizontal="center" vertical="center"/>
    </xf>
    <xf numFmtId="0" fontId="7" fillId="0" borderId="115" xfId="0" applyFont="1" applyBorder="1" applyAlignment="1">
      <alignment horizontal="center" vertical="center"/>
    </xf>
    <xf numFmtId="0" fontId="7" fillId="0" borderId="109" xfId="0" applyFont="1" applyBorder="1" applyAlignment="1">
      <alignment horizontal="center" vertical="center"/>
    </xf>
    <xf numFmtId="10" fontId="7" fillId="0" borderId="110" xfId="9" applyNumberFormat="1" applyFont="1" applyBorder="1" applyAlignment="1">
      <alignment horizontal="center" vertical="center"/>
    </xf>
    <xf numFmtId="10" fontId="7" fillId="0" borderId="112" xfId="9" applyNumberFormat="1" applyFont="1" applyBorder="1" applyAlignment="1">
      <alignment horizontal="center" vertical="center"/>
    </xf>
    <xf numFmtId="0" fontId="7" fillId="0" borderId="114" xfId="0" applyFont="1" applyBorder="1" applyAlignment="1">
      <alignment horizontal="center" vertical="center"/>
    </xf>
    <xf numFmtId="10" fontId="7" fillId="0" borderId="115" xfId="9" applyNumberFormat="1" applyFont="1" applyBorder="1" applyAlignment="1">
      <alignment horizontal="center" vertical="center"/>
    </xf>
    <xf numFmtId="10" fontId="7" fillId="0" borderId="116" xfId="9" applyNumberFormat="1" applyFont="1" applyBorder="1" applyAlignment="1">
      <alignment horizontal="center" vertical="center"/>
    </xf>
    <xf numFmtId="164" fontId="7" fillId="0" borderId="75" xfId="0" applyNumberFormat="1" applyFont="1" applyBorder="1" applyAlignment="1">
      <alignment horizontal="center" vertical="center"/>
    </xf>
    <xf numFmtId="0" fontId="7" fillId="0" borderId="97" xfId="0" applyFont="1" applyBorder="1" applyAlignment="1">
      <alignment vertical="center"/>
    </xf>
    <xf numFmtId="164" fontId="7" fillId="0" borderId="86" xfId="0" applyNumberFormat="1" applyFont="1" applyBorder="1" applyAlignment="1">
      <alignment horizontal="center" vertical="center"/>
    </xf>
    <xf numFmtId="164" fontId="7" fillId="0" borderId="87" xfId="0" applyNumberFormat="1" applyFont="1" applyBorder="1" applyAlignment="1">
      <alignment horizontal="center" vertical="center"/>
    </xf>
    <xf numFmtId="164" fontId="7" fillId="0" borderId="117" xfId="0" applyNumberFormat="1" applyFont="1" applyBorder="1" applyAlignment="1">
      <alignment horizontal="center" vertical="center"/>
    </xf>
    <xf numFmtId="164" fontId="7" fillId="0" borderId="116" xfId="0" applyNumberFormat="1" applyFont="1" applyBorder="1" applyAlignment="1">
      <alignment horizontal="center" vertical="center"/>
    </xf>
    <xf numFmtId="164" fontId="7" fillId="0" borderId="118" xfId="0" applyNumberFormat="1" applyFont="1" applyBorder="1" applyAlignment="1">
      <alignment horizontal="center" vertical="center"/>
    </xf>
    <xf numFmtId="164" fontId="7" fillId="0" borderId="95" xfId="0" applyNumberFormat="1" applyFont="1" applyBorder="1" applyAlignment="1">
      <alignment horizontal="center" vertical="center"/>
    </xf>
    <xf numFmtId="164" fontId="7" fillId="0" borderId="96" xfId="0" applyNumberFormat="1" applyFont="1" applyBorder="1" applyAlignment="1">
      <alignment horizontal="center" vertical="center"/>
    </xf>
    <xf numFmtId="164" fontId="7" fillId="0" borderId="97" xfId="0" applyNumberFormat="1" applyFont="1" applyBorder="1" applyAlignment="1">
      <alignment horizontal="center" vertical="center"/>
    </xf>
    <xf numFmtId="10" fontId="7" fillId="0" borderId="88" xfId="9" applyNumberFormat="1" applyFont="1" applyBorder="1" applyAlignment="1">
      <alignment horizontal="center" vertical="center"/>
    </xf>
    <xf numFmtId="10" fontId="7" fillId="0" borderId="89" xfId="9" applyNumberFormat="1" applyFont="1" applyBorder="1" applyAlignment="1">
      <alignment horizontal="center" vertical="center"/>
    </xf>
    <xf numFmtId="10" fontId="7" fillId="0" borderId="90" xfId="9" applyNumberFormat="1" applyFont="1" applyBorder="1" applyAlignment="1">
      <alignment horizontal="center" vertical="center"/>
    </xf>
    <xf numFmtId="164" fontId="7" fillId="0" borderId="84" xfId="0" applyNumberFormat="1" applyFont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10" fontId="7" fillId="0" borderId="86" xfId="9" applyNumberFormat="1" applyFont="1" applyBorder="1" applyAlignment="1">
      <alignment horizontal="center" vertical="center"/>
    </xf>
    <xf numFmtId="10" fontId="7" fillId="0" borderId="117" xfId="9" applyNumberFormat="1" applyFont="1" applyBorder="1" applyAlignment="1">
      <alignment horizontal="center" vertical="center"/>
    </xf>
    <xf numFmtId="10" fontId="7" fillId="0" borderId="84" xfId="9" applyNumberFormat="1" applyFont="1" applyBorder="1" applyAlignment="1">
      <alignment horizontal="center" vertical="center"/>
    </xf>
    <xf numFmtId="0" fontId="7" fillId="0" borderId="95" xfId="0" applyFont="1" applyBorder="1" applyAlignment="1">
      <alignment horizontal="center" vertical="center"/>
    </xf>
    <xf numFmtId="0" fontId="7" fillId="0" borderId="96" xfId="0" applyFont="1" applyBorder="1" applyAlignment="1">
      <alignment horizontal="center" vertical="center"/>
    </xf>
    <xf numFmtId="0" fontId="7" fillId="0" borderId="97" xfId="0" applyFont="1" applyBorder="1" applyAlignment="1">
      <alignment horizontal="center" vertical="center"/>
    </xf>
    <xf numFmtId="10" fontId="7" fillId="0" borderId="87" xfId="9" applyNumberFormat="1" applyFont="1" applyBorder="1" applyAlignment="1">
      <alignment horizontal="center" vertical="center"/>
    </xf>
    <xf numFmtId="0" fontId="7" fillId="0" borderId="95" xfId="0" applyFont="1" applyBorder="1" applyAlignment="1">
      <alignment horizontal="right" vertical="center"/>
    </xf>
    <xf numFmtId="0" fontId="7" fillId="0" borderId="86" xfId="0" applyFont="1" applyBorder="1" applyAlignment="1">
      <alignment horizontal="right" vertical="center"/>
    </xf>
    <xf numFmtId="0" fontId="7" fillId="0" borderId="88" xfId="0" applyFont="1" applyBorder="1" applyAlignment="1">
      <alignment horizontal="right" vertical="center"/>
    </xf>
    <xf numFmtId="164" fontId="7" fillId="0" borderId="98" xfId="0" applyNumberFormat="1" applyFont="1" applyBorder="1" applyAlignment="1">
      <alignment horizontal="center" vertical="center"/>
    </xf>
    <xf numFmtId="164" fontId="7" fillId="0" borderId="99" xfId="0" applyNumberFormat="1" applyFont="1" applyBorder="1" applyAlignment="1">
      <alignment horizontal="center" vertical="center"/>
    </xf>
    <xf numFmtId="164" fontId="7" fillId="0" borderId="100" xfId="0" applyNumberFormat="1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7" fillId="0" borderId="126" xfId="0" applyFont="1" applyBorder="1" applyAlignment="1">
      <alignment vertical="center"/>
    </xf>
    <xf numFmtId="0" fontId="7" fillId="0" borderId="102" xfId="0" applyFont="1" applyBorder="1" applyAlignment="1">
      <alignment horizontal="right" vertical="center"/>
    </xf>
    <xf numFmtId="0" fontId="7" fillId="0" borderId="102" xfId="0" applyFont="1" applyBorder="1" applyAlignment="1">
      <alignment horizontal="center" vertical="center"/>
    </xf>
    <xf numFmtId="0" fontId="9" fillId="0" borderId="102" xfId="0" applyFont="1" applyBorder="1" applyAlignment="1">
      <alignment vertical="center"/>
    </xf>
    <xf numFmtId="10" fontId="7" fillId="0" borderId="118" xfId="9" applyNumberFormat="1" applyFont="1" applyBorder="1" applyAlignment="1">
      <alignment horizontal="center" vertical="center"/>
    </xf>
    <xf numFmtId="0" fontId="7" fillId="0" borderId="127" xfId="0" applyFont="1" applyFill="1" applyBorder="1" applyAlignment="1">
      <alignment horizontal="center" vertical="center"/>
    </xf>
    <xf numFmtId="0" fontId="7" fillId="0" borderId="84" xfId="0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7" fillId="0" borderId="116" xfId="0" applyFont="1" applyBorder="1" applyAlignment="1">
      <alignment horizontal="center" vertical="center"/>
    </xf>
    <xf numFmtId="0" fontId="7" fillId="0" borderId="128" xfId="0" applyFont="1" applyBorder="1" applyAlignment="1">
      <alignment horizontal="center" vertical="center"/>
    </xf>
    <xf numFmtId="0" fontId="7" fillId="0" borderId="116" xfId="0" applyFont="1" applyFill="1" applyBorder="1" applyAlignment="1">
      <alignment horizontal="center" vertical="center"/>
    </xf>
    <xf numFmtId="0" fontId="7" fillId="0" borderId="128" xfId="0" applyFont="1" applyFill="1" applyBorder="1" applyAlignment="1">
      <alignment horizontal="center" vertical="center"/>
    </xf>
    <xf numFmtId="0" fontId="7" fillId="0" borderId="129" xfId="0" applyFont="1" applyBorder="1" applyAlignment="1">
      <alignment horizontal="center" vertical="center"/>
    </xf>
    <xf numFmtId="2" fontId="7" fillId="0" borderId="96" xfId="0" applyNumberFormat="1" applyFont="1" applyBorder="1" applyAlignment="1">
      <alignment horizontal="center" vertical="center"/>
    </xf>
    <xf numFmtId="167" fontId="7" fillId="0" borderId="96" xfId="0" applyNumberFormat="1" applyFont="1" applyBorder="1" applyAlignment="1">
      <alignment horizontal="center" vertical="center"/>
    </xf>
    <xf numFmtId="10" fontId="7" fillId="0" borderId="97" xfId="9" applyNumberFormat="1" applyFont="1" applyBorder="1" applyAlignment="1">
      <alignment horizontal="center" vertical="center"/>
    </xf>
    <xf numFmtId="0" fontId="7" fillId="0" borderId="130" xfId="0" applyFont="1" applyBorder="1" applyAlignment="1">
      <alignment horizontal="center" vertical="center"/>
    </xf>
    <xf numFmtId="0" fontId="7" fillId="0" borderId="130" xfId="0" applyFont="1" applyFill="1" applyBorder="1" applyAlignment="1">
      <alignment horizontal="center" vertical="center"/>
    </xf>
    <xf numFmtId="0" fontId="7" fillId="0" borderId="123" xfId="0" applyFont="1" applyFill="1" applyBorder="1" applyAlignment="1">
      <alignment horizontal="center" vertical="center"/>
    </xf>
    <xf numFmtId="0" fontId="7" fillId="0" borderId="89" xfId="0" applyFont="1" applyBorder="1" applyAlignment="1">
      <alignment horizontal="center" vertical="center"/>
    </xf>
    <xf numFmtId="2" fontId="7" fillId="0" borderId="89" xfId="0" applyNumberFormat="1" applyFont="1" applyBorder="1" applyAlignment="1">
      <alignment horizontal="center" vertical="center"/>
    </xf>
    <xf numFmtId="167" fontId="7" fillId="0" borderId="89" xfId="0" applyNumberFormat="1" applyFont="1" applyBorder="1" applyAlignment="1">
      <alignment horizontal="center" vertical="center"/>
    </xf>
    <xf numFmtId="2" fontId="7" fillId="0" borderId="99" xfId="0" applyNumberFormat="1" applyFont="1" applyBorder="1" applyAlignment="1">
      <alignment horizontal="center" vertical="center"/>
    </xf>
    <xf numFmtId="167" fontId="7" fillId="0" borderId="99" xfId="0" applyNumberFormat="1" applyFont="1" applyBorder="1" applyAlignment="1">
      <alignment horizontal="center" vertical="center"/>
    </xf>
    <xf numFmtId="10" fontId="7" fillId="0" borderId="100" xfId="9" applyNumberFormat="1" applyFont="1" applyBorder="1" applyAlignment="1">
      <alignment horizontal="center" vertical="center"/>
    </xf>
    <xf numFmtId="0" fontId="7" fillId="0" borderId="123" xfId="0" applyFont="1" applyBorder="1" applyAlignment="1">
      <alignment horizontal="center" vertical="center"/>
    </xf>
    <xf numFmtId="0" fontId="7" fillId="0" borderId="129" xfId="0" applyFont="1" applyFill="1" applyBorder="1" applyAlignment="1">
      <alignment horizontal="center" vertical="center"/>
    </xf>
    <xf numFmtId="0" fontId="7" fillId="0" borderId="119" xfId="0" applyFont="1" applyBorder="1" applyAlignment="1">
      <alignment horizontal="right" vertical="center"/>
    </xf>
    <xf numFmtId="0" fontId="7" fillId="0" borderId="85" xfId="0" applyFont="1" applyBorder="1" applyAlignment="1">
      <alignment horizontal="right" vertical="center"/>
    </xf>
    <xf numFmtId="2" fontId="7" fillId="0" borderId="86" xfId="0" applyNumberFormat="1" applyFont="1" applyBorder="1" applyAlignment="1">
      <alignment horizontal="center" vertical="center"/>
    </xf>
    <xf numFmtId="2" fontId="7" fillId="0" borderId="87" xfId="0" applyNumberFormat="1" applyFont="1" applyBorder="1" applyAlignment="1">
      <alignment horizontal="center" vertical="center"/>
    </xf>
    <xf numFmtId="2" fontId="7" fillId="0" borderId="88" xfId="0" applyNumberFormat="1" applyFont="1" applyBorder="1" applyAlignment="1">
      <alignment horizontal="center" vertical="center"/>
    </xf>
    <xf numFmtId="2" fontId="7" fillId="0" borderId="90" xfId="0" applyNumberFormat="1" applyFont="1" applyBorder="1" applyAlignment="1">
      <alignment horizontal="center" vertical="center"/>
    </xf>
    <xf numFmtId="2" fontId="7" fillId="0" borderId="98" xfId="0" applyNumberFormat="1" applyFont="1" applyBorder="1" applyAlignment="1">
      <alignment horizontal="center" vertical="center"/>
    </xf>
    <xf numFmtId="0" fontId="7" fillId="0" borderId="104" xfId="0" applyFont="1" applyFill="1" applyBorder="1" applyAlignment="1">
      <alignment horizontal="center" vertical="center"/>
    </xf>
    <xf numFmtId="2" fontId="7" fillId="0" borderId="132" xfId="0" applyNumberFormat="1" applyFont="1" applyBorder="1" applyAlignment="1">
      <alignment horizontal="center" vertical="center"/>
    </xf>
    <xf numFmtId="2" fontId="7" fillId="0" borderId="83" xfId="0" applyNumberFormat="1" applyFont="1" applyBorder="1" applyAlignment="1">
      <alignment horizontal="center" vertical="center"/>
    </xf>
    <xf numFmtId="2" fontId="7" fillId="0" borderId="133" xfId="0" applyNumberFormat="1" applyFont="1" applyBorder="1" applyAlignment="1">
      <alignment horizontal="center" vertical="center"/>
    </xf>
    <xf numFmtId="2" fontId="7" fillId="0" borderId="95" xfId="0" applyNumberFormat="1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80" xfId="0" applyFont="1" applyBorder="1" applyAlignment="1">
      <alignment vertical="center"/>
    </xf>
    <xf numFmtId="2" fontId="7" fillId="0" borderId="134" xfId="0" applyNumberFormat="1" applyFont="1" applyBorder="1" applyAlignment="1">
      <alignment horizontal="center" vertical="center"/>
    </xf>
    <xf numFmtId="164" fontId="7" fillId="0" borderId="47" xfId="0" applyNumberFormat="1" applyFont="1" applyBorder="1" applyAlignment="1">
      <alignment horizontal="center" vertical="center"/>
    </xf>
    <xf numFmtId="2" fontId="7" fillId="0" borderId="47" xfId="0" applyNumberFormat="1" applyFont="1" applyBorder="1" applyAlignment="1">
      <alignment horizontal="center" vertical="center"/>
    </xf>
    <xf numFmtId="167" fontId="7" fillId="0" borderId="47" xfId="0" applyNumberFormat="1" applyFont="1" applyBorder="1" applyAlignment="1">
      <alignment horizontal="center" vertical="center"/>
    </xf>
    <xf numFmtId="2" fontId="7" fillId="0" borderId="135" xfId="0" applyNumberFormat="1" applyFont="1" applyBorder="1" applyAlignment="1">
      <alignment horizontal="center" vertical="center"/>
    </xf>
    <xf numFmtId="2" fontId="7" fillId="0" borderId="56" xfId="0" applyNumberFormat="1" applyFont="1" applyBorder="1" applyAlignment="1">
      <alignment horizontal="center" vertical="center"/>
    </xf>
    <xf numFmtId="10" fontId="7" fillId="0" borderId="0" xfId="0" applyNumberFormat="1" applyFont="1" applyBorder="1" applyAlignment="1">
      <alignment horizontal="right" vertical="center"/>
    </xf>
    <xf numFmtId="10" fontId="7" fillId="16" borderId="133" xfId="9" applyNumberFormat="1" applyFont="1" applyFill="1" applyBorder="1" applyAlignment="1">
      <alignment horizontal="center" vertical="center"/>
    </xf>
    <xf numFmtId="10" fontId="7" fillId="16" borderId="89" xfId="9" applyNumberFormat="1" applyFont="1" applyFill="1" applyBorder="1" applyAlignment="1">
      <alignment horizontal="center" vertical="center"/>
    </xf>
    <xf numFmtId="0" fontId="7" fillId="0" borderId="78" xfId="0" applyFont="1" applyBorder="1" applyAlignment="1">
      <alignment vertical="center"/>
    </xf>
    <xf numFmtId="0" fontId="7" fillId="0" borderId="50" xfId="0" applyFont="1" applyBorder="1" applyAlignment="1">
      <alignment horizontal="center" vertical="center"/>
    </xf>
    <xf numFmtId="2" fontId="7" fillId="0" borderId="122" xfId="0" applyNumberFormat="1" applyFont="1" applyBorder="1" applyAlignment="1">
      <alignment horizontal="center" vertical="center"/>
    </xf>
    <xf numFmtId="2" fontId="7" fillId="0" borderId="92" xfId="0" applyNumberFormat="1" applyFont="1" applyBorder="1" applyAlignment="1">
      <alignment horizontal="center" vertical="center"/>
    </xf>
    <xf numFmtId="2" fontId="7" fillId="0" borderId="93" xfId="0" applyNumberFormat="1" applyFont="1" applyBorder="1" applyAlignment="1">
      <alignment horizontal="center" vertical="center"/>
    </xf>
    <xf numFmtId="2" fontId="7" fillId="0" borderId="101" xfId="0" applyNumberFormat="1" applyFont="1" applyBorder="1" applyAlignment="1">
      <alignment horizontal="center" vertical="center"/>
    </xf>
    <xf numFmtId="10" fontId="7" fillId="16" borderId="93" xfId="9" applyNumberFormat="1" applyFont="1" applyFill="1" applyBorder="1" applyAlignment="1">
      <alignment horizontal="center" vertical="center"/>
    </xf>
    <xf numFmtId="0" fontId="7" fillId="0" borderId="91" xfId="0" applyFont="1" applyBorder="1" applyAlignment="1">
      <alignment horizontal="center" vertical="center"/>
    </xf>
    <xf numFmtId="0" fontId="7" fillId="0" borderId="124" xfId="0" applyFont="1" applyBorder="1" applyAlignment="1">
      <alignment horizontal="center" vertical="center"/>
    </xf>
    <xf numFmtId="0" fontId="7" fillId="0" borderId="88" xfId="0" applyFont="1" applyBorder="1" applyAlignment="1" applyProtection="1">
      <alignment horizontal="center" vertical="center"/>
      <protection locked="0"/>
    </xf>
    <xf numFmtId="164" fontId="7" fillId="0" borderId="108" xfId="0" applyNumberFormat="1" applyFont="1" applyBorder="1" applyAlignment="1" applyProtection="1">
      <alignment horizontal="center" vertical="center"/>
      <protection locked="0"/>
    </xf>
    <xf numFmtId="164" fontId="7" fillId="0" borderId="113" xfId="0" applyNumberFormat="1" applyFont="1" applyBorder="1" applyAlignment="1" applyProtection="1">
      <alignment horizontal="center" vertical="center"/>
      <protection locked="0"/>
    </xf>
    <xf numFmtId="10" fontId="7" fillId="0" borderId="136" xfId="0" applyNumberFormat="1" applyFont="1" applyFill="1" applyBorder="1" applyAlignment="1">
      <alignment horizontal="center" vertical="center"/>
    </xf>
    <xf numFmtId="0" fontId="7" fillId="0" borderId="84" xfId="2" applyFont="1" applyFill="1" applyBorder="1" applyAlignment="1">
      <alignment horizontal="center" vertical="center"/>
    </xf>
    <xf numFmtId="10" fontId="7" fillId="0" borderId="137" xfId="0" applyNumberFormat="1" applyFont="1" applyFill="1" applyBorder="1" applyAlignment="1">
      <alignment horizontal="center" vertical="center"/>
    </xf>
    <xf numFmtId="0" fontId="7" fillId="0" borderId="138" xfId="0" applyFont="1" applyBorder="1" applyAlignment="1">
      <alignment horizontal="center" vertical="center"/>
    </xf>
    <xf numFmtId="0" fontId="7" fillId="0" borderId="139" xfId="0" applyFont="1" applyBorder="1" applyAlignment="1">
      <alignment horizontal="center" vertical="center"/>
    </xf>
    <xf numFmtId="0" fontId="7" fillId="0" borderId="140" xfId="0" applyFont="1" applyBorder="1" applyAlignment="1">
      <alignment horizontal="center" vertical="center"/>
    </xf>
    <xf numFmtId="0" fontId="7" fillId="0" borderId="120" xfId="0" applyFont="1" applyBorder="1" applyAlignment="1">
      <alignment horizontal="center" vertical="center"/>
    </xf>
    <xf numFmtId="0" fontId="7" fillId="0" borderId="121" xfId="0" applyFont="1" applyBorder="1" applyAlignment="1">
      <alignment horizontal="center" vertical="center"/>
    </xf>
    <xf numFmtId="0" fontId="7" fillId="0" borderId="95" xfId="0" applyFont="1" applyFill="1" applyBorder="1" applyAlignment="1" applyProtection="1">
      <alignment horizontal="center" vertical="center"/>
      <protection locked="0"/>
    </xf>
    <xf numFmtId="0" fontId="7" fillId="0" borderId="96" xfId="0" applyFont="1" applyFill="1" applyBorder="1" applyAlignment="1" applyProtection="1">
      <alignment horizontal="center" vertical="center"/>
      <protection locked="0"/>
    </xf>
    <xf numFmtId="0" fontId="7" fillId="0" borderId="97" xfId="0" applyFont="1" applyFill="1" applyBorder="1" applyAlignment="1" applyProtection="1">
      <alignment horizontal="center" vertical="center"/>
      <protection locked="0"/>
    </xf>
    <xf numFmtId="0" fontId="7" fillId="0" borderId="141" xfId="0" applyFont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1" fillId="0" borderId="3" xfId="0" applyFont="1" applyBorder="1" applyAlignment="1">
      <alignment horizontal="right" vertical="center"/>
    </xf>
    <xf numFmtId="0" fontId="14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right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53" fillId="0" borderId="0" xfId="0" applyFont="1" applyBorder="1" applyAlignment="1" applyProtection="1">
      <alignment horizontal="center" vertical="center"/>
    </xf>
    <xf numFmtId="0" fontId="54" fillId="0" borderId="14" xfId="0" applyFont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55" fillId="0" borderId="2" xfId="0" applyFont="1" applyBorder="1" applyAlignment="1" applyProtection="1">
      <alignment horizontal="left" vertical="center"/>
    </xf>
    <xf numFmtId="0" fontId="56" fillId="0" borderId="2" xfId="0" applyFont="1" applyBorder="1" applyAlignment="1" applyProtection="1">
      <alignment horizontal="left" vertical="center"/>
    </xf>
    <xf numFmtId="0" fontId="0" fillId="0" borderId="3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left" vertical="center"/>
    </xf>
    <xf numFmtId="0" fontId="54" fillId="0" borderId="0" xfId="0" applyFont="1" applyBorder="1" applyAlignment="1" applyProtection="1">
      <alignment horizontal="right" vertical="center"/>
    </xf>
    <xf numFmtId="175" fontId="54" fillId="18" borderId="75" xfId="10" applyNumberFormat="1" applyFont="1" applyFill="1" applyBorder="1" applyProtection="1">
      <alignment horizontal="left" vertical="center"/>
      <protection locked="0"/>
    </xf>
    <xf numFmtId="0" fontId="55" fillId="0" borderId="82" xfId="0" applyFont="1" applyBorder="1" applyAlignment="1" applyProtection="1">
      <alignment horizontal="left" vertical="center"/>
    </xf>
    <xf numFmtId="0" fontId="54" fillId="0" borderId="82" xfId="0" applyFont="1" applyBorder="1" applyAlignment="1" applyProtection="1">
      <alignment horizontal="center" vertical="center"/>
    </xf>
    <xf numFmtId="0" fontId="54" fillId="0" borderId="8" xfId="0" applyFont="1" applyBorder="1" applyAlignment="1" applyProtection="1">
      <alignment horizontal="center" vertical="center"/>
    </xf>
    <xf numFmtId="0" fontId="54" fillId="0" borderId="7" xfId="0" applyFont="1" applyBorder="1" applyAlignment="1" applyProtection="1">
      <alignment horizontal="left" vertical="center"/>
    </xf>
    <xf numFmtId="0" fontId="58" fillId="0" borderId="0" xfId="0" applyFont="1" applyBorder="1" applyAlignment="1">
      <alignment horizontal="right" vertical="center"/>
    </xf>
    <xf numFmtId="175" fontId="59" fillId="0" borderId="82" xfId="0" applyNumberFormat="1" applyFont="1" applyBorder="1" applyAlignment="1" applyProtection="1">
      <alignment horizontal="center" vertical="center"/>
    </xf>
    <xf numFmtId="175" fontId="60" fillId="0" borderId="82" xfId="0" applyNumberFormat="1" applyFont="1" applyBorder="1" applyAlignment="1" applyProtection="1">
      <alignment horizontal="center" vertical="center"/>
    </xf>
    <xf numFmtId="175" fontId="60" fillId="0" borderId="94" xfId="0" applyNumberFormat="1" applyFont="1" applyBorder="1" applyAlignment="1" applyProtection="1">
      <alignment horizontal="center" vertical="center"/>
    </xf>
    <xf numFmtId="0" fontId="61" fillId="0" borderId="82" xfId="0" applyFont="1" applyBorder="1" applyAlignment="1" applyProtection="1">
      <alignment horizontal="left" vertical="center"/>
    </xf>
    <xf numFmtId="0" fontId="54" fillId="0" borderId="82" xfId="0" applyFont="1" applyBorder="1" applyAlignment="1" applyProtection="1">
      <alignment horizontal="left" vertical="center"/>
    </xf>
    <xf numFmtId="0" fontId="54" fillId="0" borderId="8" xfId="0" applyFont="1" applyBorder="1" applyAlignment="1" applyProtection="1">
      <alignment horizontal="left" vertical="center"/>
    </xf>
    <xf numFmtId="0" fontId="62" fillId="0" borderId="7" xfId="0" applyFont="1" applyBorder="1" applyAlignment="1" applyProtection="1">
      <alignment horizontal="left" vertical="center"/>
    </xf>
    <xf numFmtId="0" fontId="54" fillId="0" borderId="0" xfId="0" applyFont="1" applyBorder="1" applyAlignment="1">
      <alignment horizontal="left" vertical="center"/>
    </xf>
    <xf numFmtId="175" fontId="0" fillId="0" borderId="0" xfId="0" applyNumberFormat="1" applyBorder="1" applyAlignment="1">
      <alignment horizontal="center" vertical="center"/>
    </xf>
    <xf numFmtId="0" fontId="54" fillId="0" borderId="0" xfId="0" applyFont="1" applyBorder="1" applyAlignment="1" applyProtection="1">
      <alignment horizontal="center" vertical="center"/>
    </xf>
    <xf numFmtId="0" fontId="54" fillId="0" borderId="0" xfId="0" applyFont="1" applyBorder="1" applyAlignment="1" applyProtection="1">
      <alignment horizontal="left" vertical="center"/>
    </xf>
    <xf numFmtId="0" fontId="54" fillId="0" borderId="13" xfId="0" applyFont="1" applyBorder="1" applyAlignment="1" applyProtection="1">
      <alignment horizontal="left" vertical="center"/>
    </xf>
    <xf numFmtId="0" fontId="54" fillId="0" borderId="14" xfId="0" applyFont="1" applyBorder="1" applyAlignment="1" applyProtection="1">
      <alignment horizontal="center" vertical="center"/>
    </xf>
    <xf numFmtId="175" fontId="54" fillId="0" borderId="14" xfId="0" applyNumberFormat="1" applyFont="1" applyBorder="1" applyAlignment="1" applyProtection="1">
      <alignment horizontal="center" vertical="center"/>
    </xf>
    <xf numFmtId="0" fontId="55" fillId="0" borderId="14" xfId="0" applyFont="1" applyBorder="1" applyAlignment="1" applyProtection="1">
      <alignment horizontal="left" vertical="center"/>
    </xf>
    <xf numFmtId="0" fontId="54" fillId="0" borderId="15" xfId="0" applyFont="1" applyBorder="1" applyAlignment="1" applyProtection="1">
      <alignment horizontal="center" vertical="center"/>
    </xf>
    <xf numFmtId="0" fontId="55" fillId="0" borderId="142" xfId="0" applyFont="1" applyBorder="1" applyAlignment="1" applyProtection="1">
      <alignment vertical="center"/>
    </xf>
    <xf numFmtId="0" fontId="54" fillId="0" borderId="142" xfId="0" applyFont="1" applyBorder="1" applyAlignment="1" applyProtection="1">
      <alignment horizontal="center" vertical="center"/>
    </xf>
    <xf numFmtId="1" fontId="54" fillId="0" borderId="0" xfId="0" applyNumberFormat="1" applyFont="1" applyBorder="1" applyAlignment="1" applyProtection="1">
      <alignment horizontal="right" vertical="center"/>
    </xf>
    <xf numFmtId="1" fontId="54" fillId="0" borderId="0" xfId="0" applyNumberFormat="1" applyFont="1" applyBorder="1" applyAlignment="1" applyProtection="1">
      <alignment horizontal="center" vertical="center"/>
    </xf>
    <xf numFmtId="175" fontId="59" fillId="0" borderId="0" xfId="0" applyNumberFormat="1" applyFont="1" applyBorder="1" applyAlignment="1" applyProtection="1">
      <alignment horizontal="center" vertical="center"/>
    </xf>
    <xf numFmtId="175" fontId="60" fillId="0" borderId="0" xfId="0" applyNumberFormat="1" applyFont="1" applyBorder="1" applyAlignment="1" applyProtection="1">
      <alignment horizontal="center" vertical="center"/>
    </xf>
    <xf numFmtId="175" fontId="60" fillId="0" borderId="127" xfId="0" applyNumberFormat="1" applyFont="1" applyBorder="1" applyAlignment="1" applyProtection="1">
      <alignment horizontal="center" vertical="center"/>
    </xf>
    <xf numFmtId="0" fontId="61" fillId="0" borderId="0" xfId="0" applyFont="1" applyBorder="1" applyAlignment="1" applyProtection="1">
      <alignment horizontal="left" vertical="center"/>
    </xf>
    <xf numFmtId="0" fontId="55" fillId="0" borderId="0" xfId="0" applyFont="1" applyBorder="1" applyAlignment="1" applyProtection="1">
      <alignment horizontal="left" vertical="center"/>
    </xf>
    <xf numFmtId="0" fontId="57" fillId="0" borderId="0" xfId="0" applyFont="1" applyBorder="1" applyAlignment="1" applyProtection="1">
      <alignment horizontal="left" vertical="center"/>
    </xf>
    <xf numFmtId="175" fontId="54" fillId="0" borderId="0" xfId="10" applyNumberFormat="1" applyFont="1" applyFill="1" applyBorder="1" applyProtection="1">
      <alignment horizontal="left" vertical="center"/>
      <protection locked="0"/>
    </xf>
    <xf numFmtId="0" fontId="55" fillId="0" borderId="0" xfId="0" applyFont="1" applyFill="1" applyBorder="1" applyAlignment="1" applyProtection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</xf>
    <xf numFmtId="0" fontId="54" fillId="0" borderId="0" xfId="0" applyFont="1" applyFill="1" applyBorder="1" applyAlignment="1" applyProtection="1">
      <alignment horizontal="center" vertical="center"/>
    </xf>
    <xf numFmtId="175" fontId="59" fillId="0" borderId="0" xfId="0" applyNumberFormat="1" applyFont="1" applyFill="1" applyBorder="1" applyAlignment="1" applyProtection="1">
      <alignment horizontal="center" vertical="center"/>
    </xf>
    <xf numFmtId="175" fontId="60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Border="1" applyAlignment="1" applyProtection="1">
      <alignment horizontal="left" vertical="center"/>
    </xf>
    <xf numFmtId="0" fontId="63" fillId="0" borderId="0" xfId="0" applyFont="1" applyFill="1" applyBorder="1" applyAlignment="1" applyProtection="1">
      <alignment horizontal="center" vertical="center"/>
    </xf>
    <xf numFmtId="175" fontId="55" fillId="0" borderId="0" xfId="0" applyNumberFormat="1" applyFont="1" applyFill="1" applyBorder="1" applyAlignment="1" applyProtection="1">
      <alignment horizontal="left" vertical="center"/>
    </xf>
    <xf numFmtId="0" fontId="64" fillId="0" borderId="0" xfId="0" applyFont="1" applyFill="1" applyBorder="1" applyAlignment="1" applyProtection="1">
      <alignment horizontal="left" vertical="center"/>
    </xf>
    <xf numFmtId="0" fontId="57" fillId="0" borderId="131" xfId="0" applyFont="1" applyBorder="1" applyAlignment="1" applyProtection="1">
      <alignment horizontal="left" vertical="center"/>
    </xf>
    <xf numFmtId="175" fontId="60" fillId="0" borderId="143" xfId="0" applyNumberFormat="1" applyFont="1" applyBorder="1" applyAlignment="1" applyProtection="1">
      <alignment horizontal="center" vertical="center"/>
    </xf>
    <xf numFmtId="175" fontId="60" fillId="0" borderId="144" xfId="0" applyNumberFormat="1" applyFont="1" applyBorder="1" applyAlignment="1" applyProtection="1">
      <alignment horizontal="center" vertical="center"/>
    </xf>
    <xf numFmtId="0" fontId="54" fillId="0" borderId="14" xfId="0" applyFont="1" applyBorder="1" applyAlignment="1" applyProtection="1">
      <alignment horizontal="left" vertical="center"/>
    </xf>
    <xf numFmtId="0" fontId="55" fillId="0" borderId="14" xfId="0" applyFont="1" applyBorder="1" applyAlignment="1" applyProtection="1">
      <alignment vertical="center"/>
    </xf>
    <xf numFmtId="0" fontId="65" fillId="0" borderId="0" xfId="0" applyFont="1" applyBorder="1" applyAlignment="1" applyProtection="1">
      <alignment horizontal="right" vertical="center"/>
    </xf>
    <xf numFmtId="0" fontId="7" fillId="7" borderId="77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78" xfId="0" applyFont="1" applyFill="1" applyBorder="1" applyAlignment="1">
      <alignment horizontal="center" vertical="center"/>
    </xf>
    <xf numFmtId="0" fontId="7" fillId="7" borderId="26" xfId="0" applyFont="1" applyFill="1" applyBorder="1" applyAlignment="1">
      <alignment horizontal="center" vertical="center"/>
    </xf>
    <xf numFmtId="0" fontId="7" fillId="7" borderId="20" xfId="0" applyFont="1" applyFill="1" applyBorder="1" applyAlignment="1">
      <alignment horizontal="center" vertical="center"/>
    </xf>
    <xf numFmtId="0" fontId="7" fillId="7" borderId="55" xfId="0" applyFont="1" applyFill="1" applyBorder="1" applyAlignment="1">
      <alignment horizontal="center" vertical="center"/>
    </xf>
    <xf numFmtId="0" fontId="7" fillId="0" borderId="77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26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/>
    </xf>
    <xf numFmtId="0" fontId="7" fillId="0" borderId="27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03" xfId="0" applyFont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168" fontId="7" fillId="0" borderId="70" xfId="0" applyNumberFormat="1" applyFont="1" applyFill="1" applyBorder="1" applyAlignment="1">
      <alignment horizontal="center" vertical="center"/>
    </xf>
    <xf numFmtId="0" fontId="7" fillId="0" borderId="22" xfId="0" applyFont="1" applyFill="1" applyBorder="1" applyAlignment="1" applyProtection="1">
      <alignment horizontal="center" vertical="center"/>
      <protection locked="0"/>
    </xf>
    <xf numFmtId="0" fontId="7" fillId="7" borderId="2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27" xfId="0" applyFont="1" applyFill="1" applyBorder="1" applyAlignment="1">
      <alignment horizontal="center" vertical="center"/>
    </xf>
    <xf numFmtId="0" fontId="7" fillId="7" borderId="24" xfId="0" applyFont="1" applyFill="1" applyBorder="1" applyAlignment="1">
      <alignment horizontal="center" vertical="center"/>
    </xf>
    <xf numFmtId="166" fontId="7" fillId="0" borderId="20" xfId="0" applyNumberFormat="1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0" fontId="7" fillId="0" borderId="2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/>
    </xf>
    <xf numFmtId="0" fontId="0" fillId="0" borderId="11" xfId="0" applyFill="1" applyBorder="1">
      <alignment vertical="top"/>
    </xf>
    <xf numFmtId="0" fontId="23" fillId="0" borderId="0" xfId="0" applyFont="1" applyFill="1" applyBorder="1" applyAlignment="1">
      <alignment horizontal="left" vertical="center" wrapText="1"/>
    </xf>
    <xf numFmtId="0" fontId="26" fillId="0" borderId="0" xfId="0" applyFont="1" applyFill="1" applyBorder="1" applyAlignment="1">
      <alignment horizontal="center" vertical="center"/>
    </xf>
    <xf numFmtId="0" fontId="0" fillId="0" borderId="34" xfId="0" applyFill="1" applyBorder="1">
      <alignment vertical="top"/>
    </xf>
    <xf numFmtId="0" fontId="0" fillId="7" borderId="11" xfId="0" applyFill="1" applyBorder="1">
      <alignment vertical="top"/>
    </xf>
    <xf numFmtId="0" fontId="6" fillId="7" borderId="11" xfId="0" applyFont="1" applyFill="1" applyBorder="1" applyAlignment="1">
      <alignment horizontal="center"/>
    </xf>
    <xf numFmtId="0" fontId="6" fillId="0" borderId="74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44" fillId="0" borderId="11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center"/>
    </xf>
    <xf numFmtId="0" fontId="0" fillId="0" borderId="19" xfId="0" applyFill="1" applyBorder="1">
      <alignment vertical="top"/>
    </xf>
    <xf numFmtId="0" fontId="45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8" fillId="7" borderId="0" xfId="0" applyFont="1" applyFill="1" applyBorder="1" applyAlignment="1">
      <alignment horizontal="left" vertical="top" wrapText="1"/>
    </xf>
    <xf numFmtId="0" fontId="0" fillId="0" borderId="0" xfId="0" applyFill="1" applyBorder="1">
      <alignment vertical="top"/>
    </xf>
    <xf numFmtId="0" fontId="7" fillId="0" borderId="53" xfId="0" applyFont="1" applyFill="1" applyBorder="1" applyAlignment="1">
      <alignment horizontal="center" vertical="center"/>
    </xf>
    <xf numFmtId="0" fontId="7" fillId="0" borderId="52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 wrapText="1"/>
    </xf>
    <xf numFmtId="0" fontId="7" fillId="0" borderId="72" xfId="0" applyFont="1" applyFill="1" applyBorder="1" applyAlignment="1">
      <alignment horizontal="center" vertical="center"/>
    </xf>
    <xf numFmtId="0" fontId="55" fillId="0" borderId="145" xfId="0" applyFont="1" applyBorder="1" applyAlignment="1" applyProtection="1">
      <alignment vertical="center"/>
    </xf>
    <xf numFmtId="0" fontId="54" fillId="0" borderId="145" xfId="0" applyFont="1" applyBorder="1" applyAlignment="1" applyProtection="1">
      <alignment horizontal="center" vertical="center"/>
    </xf>
    <xf numFmtId="0" fontId="7" fillId="0" borderId="145" xfId="0" applyFont="1" applyBorder="1" applyAlignment="1">
      <alignment vertical="center"/>
    </xf>
    <xf numFmtId="0" fontId="54" fillId="0" borderId="145" xfId="0" applyFont="1" applyBorder="1" applyAlignment="1">
      <alignment horizontal="center" vertical="center"/>
    </xf>
    <xf numFmtId="0" fontId="6" fillId="0" borderId="0" xfId="0" applyFont="1" applyBorder="1" applyAlignment="1">
      <alignment horizontal="right" vertical="center"/>
    </xf>
    <xf numFmtId="0" fontId="7" fillId="0" borderId="77" xfId="0" applyFont="1" applyBorder="1" applyAlignment="1">
      <alignment vertical="center"/>
    </xf>
    <xf numFmtId="0" fontId="7" fillId="0" borderId="92" xfId="0" applyFont="1" applyBorder="1" applyAlignment="1">
      <alignment horizontal="center" vertical="center"/>
    </xf>
    <xf numFmtId="0" fontId="7" fillId="0" borderId="92" xfId="0" applyNumberFormat="1" applyFont="1" applyBorder="1" applyAlignment="1">
      <alignment horizontal="center" vertical="center"/>
    </xf>
    <xf numFmtId="0" fontId="7" fillId="0" borderId="93" xfId="0" applyNumberFormat="1" applyFont="1" applyBorder="1" applyAlignment="1">
      <alignment horizontal="center" vertical="center"/>
    </xf>
    <xf numFmtId="0" fontId="7" fillId="0" borderId="101" xfId="0" applyNumberFormat="1" applyFont="1" applyBorder="1" applyAlignment="1">
      <alignment horizontal="center" vertical="center"/>
    </xf>
    <xf numFmtId="0" fontId="7" fillId="0" borderId="146" xfId="0" applyFont="1" applyBorder="1" applyAlignment="1">
      <alignment horizontal="center" vertical="center"/>
    </xf>
    <xf numFmtId="168" fontId="7" fillId="0" borderId="22" xfId="0" applyNumberFormat="1" applyFont="1" applyFill="1" applyBorder="1" applyAlignment="1">
      <alignment horizontal="center" vertical="center"/>
    </xf>
    <xf numFmtId="0" fontId="7" fillId="0" borderId="70" xfId="0" applyFont="1" applyBorder="1" applyAlignment="1">
      <alignment horizontal="left" vertical="center"/>
    </xf>
  </cellXfs>
  <cellStyles count="11">
    <cellStyle name="COMMENT" xfId="10"/>
    <cellStyle name="ConditionalStyle_27" xfId="1"/>
    <cellStyle name="Date" xfId="2"/>
    <cellStyle name="Fail" xfId="3"/>
    <cellStyle name="Heading" xfId="4"/>
    <cellStyle name="Heading1" xfId="5"/>
    <cellStyle name="Normal" xfId="0" builtinId="0" customBuiltin="1"/>
    <cellStyle name="Pass" xfId="6"/>
    <cellStyle name="Percent" xfId="9" builtinId="5"/>
    <cellStyle name="Result" xfId="7"/>
    <cellStyle name="Result2" xfId="8"/>
  </cellStyles>
  <dxfs count="56">
    <dxf>
      <fill>
        <patternFill patternType="solid">
          <fgColor rgb="FF66FF66"/>
          <bgColor rgb="FF66FF66"/>
        </patternFill>
      </fill>
    </dxf>
    <dxf>
      <fill>
        <patternFill patternType="solid">
          <fgColor rgb="FFFF4040"/>
          <bgColor rgb="FFFF4040"/>
        </patternFill>
      </fill>
    </dxf>
    <dxf>
      <fill>
        <patternFill patternType="solid">
          <fgColor rgb="FF66FF66"/>
          <bgColor rgb="FF66FF66"/>
        </patternFill>
      </fill>
    </dxf>
    <dxf>
      <fill>
        <patternFill patternType="solid">
          <fgColor rgb="FFFF4040"/>
          <bgColor rgb="FFFF404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66FF66"/>
          <bgColor rgb="FF66FF66"/>
        </patternFill>
      </fill>
    </dxf>
    <dxf>
      <fill>
        <patternFill patternType="solid">
          <fgColor rgb="FFFF4040"/>
          <bgColor rgb="FFFF404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66FF66"/>
          <bgColor rgb="FF66FF66"/>
        </patternFill>
      </fill>
    </dxf>
    <dxf>
      <fill>
        <patternFill patternType="solid">
          <fgColor rgb="FF66FF66"/>
          <bgColor rgb="FF66FF66"/>
        </patternFill>
      </fill>
    </dxf>
    <dxf>
      <fill>
        <patternFill patternType="solid">
          <fgColor rgb="FF66FF66"/>
          <bgColor rgb="FF66FF66"/>
        </patternFill>
      </fill>
    </dxf>
    <dxf>
      <fill>
        <patternFill patternType="solid">
          <fgColor rgb="FFFF4040"/>
          <bgColor rgb="FFFF4040"/>
        </patternFill>
      </fill>
    </dxf>
    <dxf>
      <fill>
        <patternFill patternType="solid">
          <fgColor rgb="FFFF4040"/>
          <bgColor rgb="FFFF4040"/>
        </patternFill>
      </fill>
    </dxf>
    <dxf>
      <fill>
        <patternFill patternType="solid">
          <fgColor rgb="FFFF4040"/>
          <bgColor rgb="FFFF404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Sheet1!$C$296</c:f>
              <c:strCache>
                <c:ptCount val="1"/>
                <c:pt idx="0">
                  <c:v>Mo/Mo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Sheet1!$D$296:$D$301</c:f>
              <c:numCache>
                <c:formatCode>General</c:formatCode>
                <c:ptCount val="6"/>
                <c:pt idx="0">
                  <c:v>24</c:v>
                </c:pt>
                <c:pt idx="1">
                  <c:v>26</c:v>
                </c:pt>
                <c:pt idx="2">
                  <c:v>28</c:v>
                </c:pt>
                <c:pt idx="3">
                  <c:v>30</c:v>
                </c:pt>
                <c:pt idx="4">
                  <c:v>32</c:v>
                </c:pt>
                <c:pt idx="5">
                  <c:v>34</c:v>
                </c:pt>
              </c:numCache>
            </c:numRef>
          </c:xVal>
          <c:yVal>
            <c:numRef>
              <c:f>Sheet1!$I$296:$I$301</c:f>
              <c:numCache>
                <c:formatCode>0.000</c:formatCode>
                <c:ptCount val="6"/>
                <c:pt idx="0">
                  <c:v>5.2266854261954973E-2</c:v>
                </c:pt>
                <c:pt idx="1">
                  <c:v>6.9112322019130701E-2</c:v>
                </c:pt>
                <c:pt idx="2">
                  <c:v>8.7348567551421452E-2</c:v>
                </c:pt>
                <c:pt idx="3">
                  <c:v>0.10725496711697526</c:v>
                </c:pt>
                <c:pt idx="4">
                  <c:v>0.12857655317087535</c:v>
                </c:pt>
                <c:pt idx="5">
                  <c:v>0.15147024651142091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Sheet1!$C$302</c:f>
              <c:strCache>
                <c:ptCount val="1"/>
                <c:pt idx="0">
                  <c:v>Mo/Rh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Sheet1!$D$302:$D$306</c:f>
              <c:numCache>
                <c:formatCode>General</c:formatCode>
                <c:ptCount val="5"/>
                <c:pt idx="0">
                  <c:v>26</c:v>
                </c:pt>
                <c:pt idx="1">
                  <c:v>28</c:v>
                </c:pt>
                <c:pt idx="2">
                  <c:v>30</c:v>
                </c:pt>
                <c:pt idx="3">
                  <c:v>32</c:v>
                </c:pt>
                <c:pt idx="4">
                  <c:v>34</c:v>
                </c:pt>
              </c:numCache>
            </c:numRef>
          </c:xVal>
          <c:yVal>
            <c:numRef>
              <c:f>Sheet1!$I$302:$I$306</c:f>
              <c:numCache>
                <c:formatCode>0.000</c:formatCode>
                <c:ptCount val="5"/>
                <c:pt idx="0">
                  <c:v>5.4535158175736752E-2</c:v>
                </c:pt>
                <c:pt idx="1">
                  <c:v>7.0417789656482807E-2</c:v>
                </c:pt>
                <c:pt idx="2">
                  <c:v>8.7873555483471186E-2</c:v>
                </c:pt>
                <c:pt idx="3">
                  <c:v>0.10639743654483459</c:v>
                </c:pt>
                <c:pt idx="4">
                  <c:v>0.12617420728116785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Sheet1!$C$307</c:f>
              <c:strCache>
                <c:ptCount val="1"/>
                <c:pt idx="0">
                  <c:v>W/Rh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Sheet1!$D$307:$D$311</c:f>
              <c:numCache>
                <c:formatCode>General</c:formatCode>
                <c:ptCount val="5"/>
                <c:pt idx="0">
                  <c:v>26</c:v>
                </c:pt>
                <c:pt idx="1">
                  <c:v>28</c:v>
                </c:pt>
                <c:pt idx="2">
                  <c:v>30</c:v>
                </c:pt>
                <c:pt idx="3">
                  <c:v>32</c:v>
                </c:pt>
                <c:pt idx="4">
                  <c:v>34</c:v>
                </c:pt>
              </c:numCache>
            </c:numRef>
          </c:xVal>
          <c:yVal>
            <c:numRef>
              <c:f>Sheet1!$I$307:$I$311</c:f>
              <c:numCache>
                <c:formatCode>0.000</c:formatCode>
                <c:ptCount val="5"/>
                <c:pt idx="0">
                  <c:v>2.1019308238986501E-2</c:v>
                </c:pt>
                <c:pt idx="1">
                  <c:v>2.5954368384024432E-2</c:v>
                </c:pt>
                <c:pt idx="2">
                  <c:v>3.0798286351062666E-2</c:v>
                </c:pt>
                <c:pt idx="3">
                  <c:v>3.5755170175216372E-2</c:v>
                </c:pt>
                <c:pt idx="4">
                  <c:v>4.0742472616023505E-2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90304"/>
        <c:axId val="319689128"/>
      </c:scatterChart>
      <c:valAx>
        <c:axId val="319690304"/>
        <c:scaling>
          <c:orientation val="minMax"/>
          <c:min val="2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kVp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89128"/>
        <c:crosses val="autoZero"/>
        <c:crossBetween val="midCat"/>
      </c:valAx>
      <c:valAx>
        <c:axId val="31968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Output (mGy/mAs)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9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312</xdr:row>
      <xdr:rowOff>0</xdr:rowOff>
    </xdr:from>
    <xdr:to>
      <xdr:col>12</xdr:col>
      <xdr:colOff>381000</xdr:colOff>
      <xdr:row>340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372960</xdr:colOff>
      <xdr:row>3</xdr:row>
      <xdr:rowOff>148319</xdr:rowOff>
    </xdr:from>
    <xdr:ext cx="6997680" cy="4284720"/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>
          <a:lum bright="-50000"/>
          <a:alphaModFix/>
        </a:blip>
        <a:srcRect/>
        <a:stretch>
          <a:fillRect/>
        </a:stretch>
      </xdr:blipFill>
      <xdr:spPr>
        <a:xfrm>
          <a:off x="7392885" y="691244"/>
          <a:ext cx="6997680" cy="428472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432"/>
  <sheetViews>
    <sheetView tabSelected="1" topLeftCell="A396" zoomScale="75" zoomScaleNormal="75" workbookViewId="0">
      <selection activeCell="Q389" sqref="Q389"/>
    </sheetView>
  </sheetViews>
  <sheetFormatPr defaultRowHeight="14.1" customHeight="1"/>
  <cols>
    <col min="1" max="1" width="2.375" style="79" customWidth="1"/>
    <col min="2" max="2" width="2.375" style="91" customWidth="1"/>
    <col min="3" max="13" width="10.625" style="91" customWidth="1"/>
    <col min="14" max="14" width="2.375" style="91" customWidth="1"/>
    <col min="15" max="43" width="10.625" style="91" customWidth="1"/>
    <col min="44" max="16384" width="9" style="23"/>
  </cols>
  <sheetData>
    <row r="1" spans="1:43" ht="14.1" customHeight="1" thickTop="1">
      <c r="A1" s="87">
        <v>1</v>
      </c>
      <c r="B1" s="88"/>
      <c r="C1" s="89"/>
      <c r="D1" s="89"/>
      <c r="E1" s="89"/>
      <c r="F1" s="89"/>
      <c r="G1" s="89"/>
      <c r="H1" s="89"/>
      <c r="I1" s="89"/>
      <c r="J1" s="89"/>
      <c r="K1" s="89"/>
      <c r="L1" s="89"/>
      <c r="M1" s="90"/>
      <c r="O1" s="92" t="s">
        <v>0</v>
      </c>
      <c r="P1" s="93"/>
      <c r="Q1" s="93"/>
      <c r="R1" s="93"/>
      <c r="S1" s="93"/>
      <c r="T1" s="93"/>
      <c r="U1" s="93"/>
      <c r="V1" s="93"/>
      <c r="W1" s="93"/>
      <c r="X1" s="93"/>
      <c r="Y1" s="94"/>
      <c r="AA1" s="95" t="s">
        <v>1</v>
      </c>
    </row>
    <row r="2" spans="1:43" ht="14.1" customHeight="1">
      <c r="A2" s="87">
        <v>2</v>
      </c>
      <c r="B2" s="96"/>
      <c r="C2" s="97"/>
      <c r="D2" s="97"/>
      <c r="E2" s="97"/>
      <c r="F2" s="97"/>
      <c r="G2" s="97"/>
      <c r="H2" s="98" t="s">
        <v>2</v>
      </c>
      <c r="I2" s="97"/>
      <c r="J2" s="97"/>
      <c r="K2" s="97"/>
      <c r="L2" s="97"/>
      <c r="M2" s="99"/>
      <c r="O2" s="100"/>
      <c r="T2" s="101" t="s">
        <v>2</v>
      </c>
      <c r="Y2" s="102"/>
      <c r="AA2" s="103" t="s">
        <v>3</v>
      </c>
    </row>
    <row r="3" spans="1:43" ht="14.1" customHeight="1">
      <c r="A3" s="87">
        <v>3</v>
      </c>
      <c r="B3" s="96"/>
      <c r="C3" s="97"/>
      <c r="D3" s="97"/>
      <c r="E3" s="97"/>
      <c r="F3" s="97"/>
      <c r="G3" s="97"/>
      <c r="H3" s="98" t="s">
        <v>4</v>
      </c>
      <c r="I3" s="97"/>
      <c r="J3" s="97"/>
      <c r="K3" s="97"/>
      <c r="L3" s="97"/>
      <c r="M3" s="99"/>
      <c r="O3" s="100"/>
      <c r="T3" s="101" t="s">
        <v>4</v>
      </c>
      <c r="Y3" s="102"/>
      <c r="AA3" s="104" t="str">
        <f>IF(AB7="","",AB7)</f>
        <v/>
      </c>
    </row>
    <row r="4" spans="1:43" ht="14.1" customHeight="1">
      <c r="A4" s="87">
        <v>4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9"/>
      <c r="O4" s="100"/>
      <c r="T4" s="79"/>
      <c r="Y4" s="102"/>
      <c r="AA4" s="105" t="s">
        <v>5</v>
      </c>
      <c r="AB4" s="106" t="s">
        <v>6</v>
      </c>
    </row>
    <row r="5" spans="1:43" ht="14.1" customHeight="1">
      <c r="A5" s="87">
        <v>5</v>
      </c>
      <c r="B5" s="96"/>
      <c r="C5" s="97"/>
      <c r="D5" s="97"/>
      <c r="E5" s="97"/>
      <c r="F5" s="97"/>
      <c r="G5" s="97"/>
      <c r="H5" s="98" t="s">
        <v>7</v>
      </c>
      <c r="I5" s="97"/>
      <c r="J5" s="97"/>
      <c r="K5" s="97"/>
      <c r="L5" s="97"/>
      <c r="M5" s="99"/>
      <c r="O5" s="100"/>
      <c r="T5" s="101" t="s">
        <v>7</v>
      </c>
      <c r="Y5" s="102"/>
    </row>
    <row r="6" spans="1:43" ht="14.1" customHeight="1" thickBot="1">
      <c r="A6" s="87">
        <v>6</v>
      </c>
      <c r="B6" s="10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9"/>
      <c r="O6" s="110"/>
      <c r="P6" s="111"/>
      <c r="Q6" s="111"/>
      <c r="R6" s="111"/>
      <c r="S6" s="111"/>
      <c r="T6" s="111"/>
      <c r="U6" s="111"/>
      <c r="V6" s="111"/>
      <c r="W6" s="111"/>
      <c r="X6" s="111"/>
      <c r="Y6" s="112"/>
      <c r="AA6" s="113" t="s">
        <v>8</v>
      </c>
      <c r="AB6" s="91" t="s">
        <v>9</v>
      </c>
      <c r="AD6" s="91" t="s">
        <v>10</v>
      </c>
    </row>
    <row r="7" spans="1:43" ht="14.1" customHeight="1" thickTop="1">
      <c r="A7" s="87">
        <v>7</v>
      </c>
      <c r="O7" s="91" t="s">
        <v>11</v>
      </c>
      <c r="P7" s="114">
        <v>42178</v>
      </c>
      <c r="Q7" s="115"/>
      <c r="W7" s="91" t="s">
        <v>12</v>
      </c>
      <c r="X7" s="116" t="str">
        <f>IF(Y7&lt;&gt;"",Y7,IF(AB9="","",AB9))</f>
        <v>Eugene Mah</v>
      </c>
      <c r="Y7" s="117" t="s">
        <v>13</v>
      </c>
      <c r="AA7" s="105" t="s">
        <v>1</v>
      </c>
      <c r="AB7" s="118"/>
      <c r="AC7" s="119" t="str">
        <f t="shared" ref="AC7:AC19" si="0">IF(AB7&lt;&gt;AD7,"Change","")</f>
        <v>Change</v>
      </c>
      <c r="AD7" s="120" t="str">
        <f>IF(OR(AA2="",AA2=0),"",AA2)</f>
        <v>Page1,HVLPage,ExpChart,ImgQuality,Compg1,GraphAcryl,LeedsTO10</v>
      </c>
    </row>
    <row r="8" spans="1:43" ht="14.1" customHeight="1" thickBot="1">
      <c r="A8" s="87">
        <v>8</v>
      </c>
      <c r="G8" s="121"/>
      <c r="H8" s="121" t="s">
        <v>14</v>
      </c>
      <c r="O8" s="91" t="s">
        <v>15</v>
      </c>
      <c r="P8" s="122">
        <f>IF(AB8="","",AB8)</f>
        <v>41813</v>
      </c>
      <c r="Q8" s="123"/>
      <c r="T8" s="124" t="s">
        <v>14</v>
      </c>
      <c r="W8" s="125"/>
      <c r="X8" s="125"/>
      <c r="Y8" s="126"/>
      <c r="AA8" s="105" t="s">
        <v>16</v>
      </c>
      <c r="AB8" s="127">
        <v>41813</v>
      </c>
      <c r="AC8" s="119" t="str">
        <f t="shared" si="0"/>
        <v>Change</v>
      </c>
      <c r="AD8" s="128">
        <f>IF(P7="","",P7)</f>
        <v>42178</v>
      </c>
    </row>
    <row r="9" spans="1:43" ht="14.1" customHeight="1" thickTop="1">
      <c r="A9" s="87">
        <v>9</v>
      </c>
      <c r="B9" s="129"/>
      <c r="C9" s="130"/>
      <c r="D9" s="131" t="s">
        <v>17</v>
      </c>
      <c r="E9" s="130"/>
      <c r="F9" s="130"/>
      <c r="G9" s="130"/>
      <c r="H9" s="130"/>
      <c r="I9" s="130"/>
      <c r="J9" s="130"/>
      <c r="K9" s="130"/>
      <c r="L9" s="130"/>
      <c r="M9" s="132"/>
      <c r="O9" s="133"/>
      <c r="P9" s="134" t="s">
        <v>17</v>
      </c>
      <c r="Q9" s="93"/>
      <c r="R9" s="93"/>
      <c r="S9" s="135" t="s">
        <v>18</v>
      </c>
      <c r="T9" s="93"/>
      <c r="U9" s="93"/>
      <c r="V9" s="93"/>
      <c r="W9" s="135" t="s">
        <v>18</v>
      </c>
      <c r="X9" s="93"/>
      <c r="Y9" s="94"/>
      <c r="AA9" s="105" t="s">
        <v>19</v>
      </c>
      <c r="AB9" s="136" t="s">
        <v>13</v>
      </c>
      <c r="AC9" s="119" t="str">
        <f t="shared" si="0"/>
        <v/>
      </c>
      <c r="AD9" s="137" t="str">
        <f>IF(X7="","",X7)</f>
        <v>Eugene Mah</v>
      </c>
      <c r="AH9" s="79" t="s">
        <v>20</v>
      </c>
      <c r="AI9" s="79" t="s">
        <v>21</v>
      </c>
      <c r="AJ9" s="79" t="s">
        <v>22</v>
      </c>
      <c r="AK9" s="79" t="s">
        <v>23</v>
      </c>
      <c r="AL9" s="79" t="s">
        <v>24</v>
      </c>
      <c r="AM9" s="79" t="s">
        <v>25</v>
      </c>
      <c r="AN9" s="79" t="s">
        <v>26</v>
      </c>
      <c r="AO9" s="79" t="s">
        <v>27</v>
      </c>
      <c r="AP9" s="79" t="s">
        <v>28</v>
      </c>
      <c r="AQ9" s="79" t="s">
        <v>29</v>
      </c>
    </row>
    <row r="10" spans="1:43" ht="14.1" customHeight="1">
      <c r="A10" s="87">
        <v>10</v>
      </c>
      <c r="B10" s="138"/>
      <c r="C10" s="139"/>
      <c r="E10" s="105" t="s">
        <v>30</v>
      </c>
      <c r="F10" s="693" t="str">
        <f>IF(R10="","",R10)</f>
        <v>MUSC Health East Cooper</v>
      </c>
      <c r="G10" s="693"/>
      <c r="J10" s="105" t="s">
        <v>31</v>
      </c>
      <c r="K10" s="693" t="str">
        <f>IF(V10="","",V10)</f>
        <v>400-392772</v>
      </c>
      <c r="L10" s="693"/>
      <c r="M10" s="140"/>
      <c r="O10" s="100"/>
      <c r="Q10" s="105" t="s">
        <v>30</v>
      </c>
      <c r="R10" s="116" t="str">
        <f>IF(S10&lt;&gt;"",S10,IF(AB10="","",AB10))</f>
        <v>MUSC Health East Cooper</v>
      </c>
      <c r="S10" s="117" t="s">
        <v>534</v>
      </c>
      <c r="U10" s="105" t="s">
        <v>31</v>
      </c>
      <c r="V10" s="116" t="str">
        <f>IF(W10&lt;&gt;"",W10,IF(AB15="","",AB15))</f>
        <v>400-392772</v>
      </c>
      <c r="W10" s="117" t="s">
        <v>538</v>
      </c>
      <c r="Y10" s="102"/>
      <c r="AA10" s="105" t="s">
        <v>30</v>
      </c>
      <c r="AB10" s="136"/>
      <c r="AC10" s="119" t="str">
        <f t="shared" si="0"/>
        <v>Change</v>
      </c>
      <c r="AD10" s="137" t="str">
        <f>IF(R10="","",R10)</f>
        <v>MUSC Health East Cooper</v>
      </c>
      <c r="AH10" s="86">
        <v>24</v>
      </c>
      <c r="AI10" s="86">
        <v>50</v>
      </c>
      <c r="AJ10" s="141">
        <v>0</v>
      </c>
      <c r="AK10" s="86" t="s">
        <v>32</v>
      </c>
      <c r="AL10" s="86" t="s">
        <v>32</v>
      </c>
      <c r="AM10" s="86">
        <v>24.65478515625</v>
      </c>
      <c r="AN10" s="86">
        <v>727.2587890625</v>
      </c>
      <c r="AO10" s="86">
        <v>2.6133427130977487</v>
      </c>
      <c r="AP10" s="86">
        <v>3.5883451880260799</v>
      </c>
      <c r="AQ10" s="142">
        <v>24.65478515625</v>
      </c>
    </row>
    <row r="11" spans="1:43" ht="14.1" customHeight="1">
      <c r="A11" s="87">
        <v>11</v>
      </c>
      <c r="B11" s="138"/>
      <c r="C11" s="139"/>
      <c r="E11" s="105" t="s">
        <v>33</v>
      </c>
      <c r="F11" s="708" t="str">
        <f>IF(R11="","",R11)</f>
        <v>Radiology</v>
      </c>
      <c r="G11" s="708"/>
      <c r="J11" s="105" t="s">
        <v>34</v>
      </c>
      <c r="K11" s="693" t="str">
        <f>IF(V11="","",V11)</f>
        <v>Mammography</v>
      </c>
      <c r="L11" s="693"/>
      <c r="M11" s="140"/>
      <c r="O11" s="100"/>
      <c r="Q11" s="105" t="s">
        <v>33</v>
      </c>
      <c r="R11" s="116" t="str">
        <f>IF(S11&lt;&gt;"",S11,IF(AB11="","",AB11))</f>
        <v>Radiology</v>
      </c>
      <c r="S11" s="117" t="s">
        <v>535</v>
      </c>
      <c r="U11" s="105" t="s">
        <v>34</v>
      </c>
      <c r="V11" s="116" t="str">
        <f>IF(W11&lt;&gt;"",W11,IF(AB16="","",AB16))</f>
        <v>Mammography</v>
      </c>
      <c r="W11" s="117" t="s">
        <v>536</v>
      </c>
      <c r="Y11" s="102"/>
      <c r="AA11" s="105" t="s">
        <v>33</v>
      </c>
      <c r="AB11" s="136"/>
      <c r="AC11" s="119" t="str">
        <f t="shared" si="0"/>
        <v>Change</v>
      </c>
      <c r="AD11" s="137" t="str">
        <f>IF(R11="","",R11)</f>
        <v>Radiology</v>
      </c>
      <c r="AH11" s="86">
        <v>26</v>
      </c>
      <c r="AI11" s="86">
        <v>50</v>
      </c>
      <c r="AJ11" s="141">
        <v>0</v>
      </c>
      <c r="AK11" s="86" t="s">
        <v>32</v>
      </c>
      <c r="AL11" s="86" t="s">
        <v>32</v>
      </c>
      <c r="AM11" s="86">
        <v>26.530229568481445</v>
      </c>
      <c r="AN11" s="86">
        <v>501.46990966796875</v>
      </c>
      <c r="AO11" s="86">
        <v>3.4556161009565352</v>
      </c>
      <c r="AP11" s="86">
        <v>6.8699655357314029</v>
      </c>
      <c r="AQ11" s="142">
        <v>26.530229568481445</v>
      </c>
    </row>
    <row r="12" spans="1:43" ht="14.1" customHeight="1">
      <c r="A12" s="87">
        <v>12</v>
      </c>
      <c r="B12" s="138"/>
      <c r="C12" s="139"/>
      <c r="E12" s="105" t="s">
        <v>35</v>
      </c>
      <c r="F12" s="708" t="str">
        <f>IF(R12="","",R12)</f>
        <v>Mammography</v>
      </c>
      <c r="G12" s="708"/>
      <c r="J12" s="105" t="s">
        <v>36</v>
      </c>
      <c r="K12" s="707">
        <f>IF(V12="","",V12)</f>
        <v>41061</v>
      </c>
      <c r="L12" s="707"/>
      <c r="M12" s="140"/>
      <c r="O12" s="100"/>
      <c r="Q12" s="105" t="s">
        <v>35</v>
      </c>
      <c r="R12" s="116" t="str">
        <f>IF(S12&lt;&gt;"",S12,IF(AB12="","",AB12))</f>
        <v>Mammography</v>
      </c>
      <c r="S12" s="117" t="s">
        <v>536</v>
      </c>
      <c r="U12" s="105" t="s">
        <v>36</v>
      </c>
      <c r="V12" s="143">
        <f>IF(W12&lt;&gt;"",W12,IF(AB17="","",AB17))</f>
        <v>41061</v>
      </c>
      <c r="W12" s="144">
        <v>41061</v>
      </c>
      <c r="Y12" s="102"/>
      <c r="AA12" s="105" t="s">
        <v>35</v>
      </c>
      <c r="AB12" s="136"/>
      <c r="AC12" s="119" t="str">
        <f t="shared" si="0"/>
        <v>Change</v>
      </c>
      <c r="AD12" s="137" t="str">
        <f>IF(R12="","",R12)</f>
        <v>Mammography</v>
      </c>
      <c r="AH12" s="86">
        <v>28</v>
      </c>
      <c r="AI12" s="86">
        <v>50</v>
      </c>
      <c r="AJ12" s="141">
        <v>0</v>
      </c>
      <c r="AK12" s="86" t="s">
        <v>32</v>
      </c>
      <c r="AL12" s="86" t="s">
        <v>32</v>
      </c>
      <c r="AM12" s="86">
        <v>28.695768356323242</v>
      </c>
      <c r="AN12" s="86">
        <v>499.95989990234375</v>
      </c>
      <c r="AO12" s="86">
        <v>4.3674283775710725</v>
      </c>
      <c r="AP12" s="86">
        <v>8.6827012066809086</v>
      </c>
      <c r="AQ12" s="142">
        <v>28.695768356323242</v>
      </c>
    </row>
    <row r="13" spans="1:43" ht="14.1" customHeight="1">
      <c r="A13" s="87">
        <v>13</v>
      </c>
      <c r="B13" s="138"/>
      <c r="C13" s="139"/>
      <c r="E13" s="105" t="s">
        <v>37</v>
      </c>
      <c r="F13" s="708">
        <f>IF(R13="","",R13)</f>
        <v>1732</v>
      </c>
      <c r="G13" s="708"/>
      <c r="J13" s="105" t="s">
        <v>38</v>
      </c>
      <c r="K13" s="693">
        <f>IF(V13="","",V13)</f>
        <v>1</v>
      </c>
      <c r="L13" s="693"/>
      <c r="M13" s="140"/>
      <c r="O13" s="100"/>
      <c r="Q13" s="105" t="s">
        <v>37</v>
      </c>
      <c r="R13" s="116">
        <f>IF(S13&lt;&gt;"",S13,IF(AB13="","",AB13))</f>
        <v>1732</v>
      </c>
      <c r="S13" s="117">
        <v>1732</v>
      </c>
      <c r="U13" s="105" t="s">
        <v>38</v>
      </c>
      <c r="V13" s="116">
        <f>IF(W13&lt;&gt;"",W13,IF(AB18="","",AB18))</f>
        <v>1</v>
      </c>
      <c r="W13" s="117">
        <v>1</v>
      </c>
      <c r="Y13" s="102"/>
      <c r="AA13" s="105" t="s">
        <v>37</v>
      </c>
      <c r="AB13" s="136"/>
      <c r="AC13" s="119" t="str">
        <f t="shared" si="0"/>
        <v>Change</v>
      </c>
      <c r="AD13" s="137">
        <f>IF(R13="","",R13)</f>
        <v>1732</v>
      </c>
      <c r="AH13" s="86">
        <v>28</v>
      </c>
      <c r="AI13" s="86">
        <v>50</v>
      </c>
      <c r="AJ13" s="141">
        <v>0</v>
      </c>
      <c r="AK13" s="86" t="s">
        <v>32</v>
      </c>
      <c r="AL13" s="86" t="s">
        <v>32</v>
      </c>
      <c r="AM13" s="86">
        <v>28.642902374267578</v>
      </c>
      <c r="AN13" s="86">
        <v>501.97491455078125</v>
      </c>
      <c r="AO13" s="86">
        <v>4.3695605960882729</v>
      </c>
      <c r="AP13" s="86">
        <v>8.6782284379179568</v>
      </c>
      <c r="AQ13" s="142">
        <v>28.642902374267578</v>
      </c>
    </row>
    <row r="14" spans="1:43" ht="14.1" customHeight="1">
      <c r="A14" s="87">
        <v>14</v>
      </c>
      <c r="B14" s="138"/>
      <c r="C14" s="139"/>
      <c r="M14" s="140"/>
      <c r="O14" s="100"/>
      <c r="Q14" s="105" t="s">
        <v>39</v>
      </c>
      <c r="R14" s="116" t="str">
        <f>IF(S14&lt;&gt;"",S14,IF(AB14="","",AB14))</f>
        <v>1C10</v>
      </c>
      <c r="S14" s="117" t="s">
        <v>537</v>
      </c>
      <c r="U14" s="105" t="s">
        <v>40</v>
      </c>
      <c r="V14" s="116">
        <f>IF(W14&lt;&gt;"",W14,IF(AB19="","",AB19))</f>
        <v>7544910</v>
      </c>
      <c r="W14" s="117">
        <v>7544910</v>
      </c>
      <c r="Y14" s="102"/>
      <c r="AA14" s="105" t="s">
        <v>39</v>
      </c>
      <c r="AB14" s="145"/>
      <c r="AC14" s="119" t="str">
        <f t="shared" si="0"/>
        <v>Change</v>
      </c>
      <c r="AD14" s="137" t="str">
        <f>IF(R14="","",R14)</f>
        <v>1C10</v>
      </c>
      <c r="AH14" s="86">
        <v>28</v>
      </c>
      <c r="AI14" s="86">
        <v>50</v>
      </c>
      <c r="AJ14" s="141">
        <v>0</v>
      </c>
      <c r="AK14" s="86" t="s">
        <v>32</v>
      </c>
      <c r="AL14" s="86" t="s">
        <v>32</v>
      </c>
      <c r="AM14" s="86">
        <v>28.735700607299805</v>
      </c>
      <c r="AN14" s="86">
        <v>725.24920654296875</v>
      </c>
      <c r="AO14" s="86">
        <v>4.3617308714429504</v>
      </c>
      <c r="AP14" s="86">
        <v>5.9972852773217822</v>
      </c>
      <c r="AQ14" s="142">
        <v>28.735700607299805</v>
      </c>
    </row>
    <row r="15" spans="1:43" ht="14.1" customHeight="1">
      <c r="A15" s="87">
        <v>15</v>
      </c>
      <c r="B15" s="138"/>
      <c r="C15" s="139"/>
      <c r="D15" s="146" t="s">
        <v>41</v>
      </c>
      <c r="M15" s="140"/>
      <c r="O15" s="100"/>
      <c r="Y15" s="102"/>
      <c r="AA15" s="105" t="s">
        <v>31</v>
      </c>
      <c r="AB15" s="136"/>
      <c r="AC15" s="119" t="str">
        <f t="shared" si="0"/>
        <v>Change</v>
      </c>
      <c r="AD15" s="137" t="str">
        <f>IF(V10="","",V10)</f>
        <v>400-392772</v>
      </c>
      <c r="AH15" s="86">
        <v>28</v>
      </c>
      <c r="AI15" s="86">
        <v>50</v>
      </c>
      <c r="AJ15" s="141">
        <v>0</v>
      </c>
      <c r="AK15" s="86" t="s">
        <v>32</v>
      </c>
      <c r="AL15" s="86" t="s">
        <v>32</v>
      </c>
      <c r="AM15" s="86">
        <v>28.678216934204102</v>
      </c>
      <c r="AN15" s="86">
        <v>727.2587890625</v>
      </c>
      <c r="AO15" s="86">
        <v>4.3670988626170848</v>
      </c>
      <c r="AP15" s="86">
        <v>5.9964037624117301</v>
      </c>
      <c r="AQ15" s="142">
        <v>28.678216934204102</v>
      </c>
    </row>
    <row r="16" spans="1:43" ht="14.1" customHeight="1">
      <c r="A16" s="87">
        <v>16</v>
      </c>
      <c r="B16" s="138"/>
      <c r="C16" s="139"/>
      <c r="E16" s="105" t="s">
        <v>42</v>
      </c>
      <c r="F16" s="693" t="str">
        <f>IF(R17="","",R17)</f>
        <v>Siemens</v>
      </c>
      <c r="G16" s="693"/>
      <c r="J16" s="105" t="s">
        <v>43</v>
      </c>
      <c r="K16" s="707">
        <f>IF(V17="","",V17)</f>
        <v>41000</v>
      </c>
      <c r="L16" s="707"/>
      <c r="M16" s="140"/>
      <c r="O16" s="100"/>
      <c r="P16" s="146" t="s">
        <v>41</v>
      </c>
      <c r="Y16" s="102"/>
      <c r="AA16" s="105" t="s">
        <v>34</v>
      </c>
      <c r="AB16" s="136"/>
      <c r="AC16" s="119" t="str">
        <f t="shared" si="0"/>
        <v>Change</v>
      </c>
      <c r="AD16" s="137" t="str">
        <f>IF(V11="","",V11)</f>
        <v>Mammography</v>
      </c>
      <c r="AH16" s="86">
        <v>28</v>
      </c>
      <c r="AI16" s="86">
        <v>50</v>
      </c>
      <c r="AJ16" s="141">
        <v>0.3</v>
      </c>
      <c r="AK16" s="86" t="s">
        <v>32</v>
      </c>
      <c r="AL16" s="86" t="s">
        <v>32</v>
      </c>
      <c r="AM16" s="86">
        <v>30.753820419311523</v>
      </c>
      <c r="AN16" s="86">
        <v>742.8878173828125</v>
      </c>
      <c r="AO16" s="86">
        <v>2.5243974797669262</v>
      </c>
      <c r="AP16" s="86">
        <v>3.3933966611861623</v>
      </c>
      <c r="AQ16" s="142">
        <v>30.753820419311523</v>
      </c>
    </row>
    <row r="17" spans="1:43" ht="14.1" customHeight="1">
      <c r="A17" s="87">
        <v>17</v>
      </c>
      <c r="B17" s="138"/>
      <c r="C17" s="139"/>
      <c r="E17" s="105" t="s">
        <v>44</v>
      </c>
      <c r="F17" s="693" t="str">
        <f>IF(R18="","",R18)</f>
        <v>Mammomat Inspiration</v>
      </c>
      <c r="G17" s="693"/>
      <c r="J17" s="105" t="s">
        <v>45</v>
      </c>
      <c r="K17" s="709">
        <f>IF(V18="","",V18)</f>
        <v>3732</v>
      </c>
      <c r="L17" s="709"/>
      <c r="M17" s="140"/>
      <c r="O17" s="100"/>
      <c r="Q17" s="105" t="s">
        <v>42</v>
      </c>
      <c r="R17" s="116" t="str">
        <f>IF(S17&lt;&gt;"",S17,IF(AB21="","",AB21))</f>
        <v>Siemens</v>
      </c>
      <c r="S17" s="117" t="s">
        <v>389</v>
      </c>
      <c r="U17" s="105" t="s">
        <v>43</v>
      </c>
      <c r="V17" s="143">
        <f>IF(W17&lt;&gt;"",W17,IF(AB24="","",AB24))</f>
        <v>41000</v>
      </c>
      <c r="W17" s="147">
        <v>41000</v>
      </c>
      <c r="Y17" s="102"/>
      <c r="AA17" s="105" t="s">
        <v>36</v>
      </c>
      <c r="AB17" s="148"/>
      <c r="AC17" s="119" t="str">
        <f t="shared" si="0"/>
        <v>Change</v>
      </c>
      <c r="AD17" s="149">
        <f>IF(V12="","",V12)</f>
        <v>41061</v>
      </c>
      <c r="AH17" s="86">
        <v>28</v>
      </c>
      <c r="AI17" s="86">
        <v>50</v>
      </c>
      <c r="AJ17" s="141">
        <v>0.3</v>
      </c>
      <c r="AK17" s="86" t="s">
        <v>32</v>
      </c>
      <c r="AL17" s="86" t="s">
        <v>32</v>
      </c>
      <c r="AM17" s="86">
        <v>30.789087295532227</v>
      </c>
      <c r="AN17" s="86">
        <v>727.23492431640625</v>
      </c>
      <c r="AO17" s="86">
        <v>2.5212609360449991</v>
      </c>
      <c r="AP17" s="86">
        <v>3.4620230427061367</v>
      </c>
      <c r="AQ17" s="142">
        <v>30.789087295532227</v>
      </c>
    </row>
    <row r="18" spans="1:43" ht="14.1" customHeight="1">
      <c r="A18" s="87">
        <v>18</v>
      </c>
      <c r="B18" s="138"/>
      <c r="C18" s="139"/>
      <c r="E18" s="105" t="s">
        <v>46</v>
      </c>
      <c r="F18" s="693">
        <f>IF(R19="","",R19)</f>
        <v>35</v>
      </c>
      <c r="G18" s="693"/>
      <c r="J18" s="105" t="s">
        <v>47</v>
      </c>
      <c r="K18" s="693">
        <f>IF(V19="","",V19)</f>
        <v>100</v>
      </c>
      <c r="L18" s="693"/>
      <c r="M18" s="140"/>
      <c r="O18" s="100"/>
      <c r="Q18" s="105" t="s">
        <v>44</v>
      </c>
      <c r="R18" s="116" t="str">
        <f>IF(S18&lt;&gt;"",S18,IF(AB22="","",AB22))</f>
        <v>Mammomat Inspiration</v>
      </c>
      <c r="S18" s="117" t="s">
        <v>539</v>
      </c>
      <c r="U18" s="105" t="s">
        <v>45</v>
      </c>
      <c r="V18" s="116">
        <f>IF(W18&lt;&gt;"",W18,IF(AB25="","",AB25))</f>
        <v>3732</v>
      </c>
      <c r="W18" s="117">
        <v>3732</v>
      </c>
      <c r="Y18" s="102"/>
      <c r="AA18" s="105" t="s">
        <v>38</v>
      </c>
      <c r="AB18" s="136"/>
      <c r="AC18" s="119" t="str">
        <f t="shared" si="0"/>
        <v>Change</v>
      </c>
      <c r="AD18" s="137">
        <f>IF(V13="","",V13)</f>
        <v>1</v>
      </c>
      <c r="AH18" s="86">
        <v>28</v>
      </c>
      <c r="AI18" s="86">
        <v>50</v>
      </c>
      <c r="AJ18" s="141">
        <v>0.4</v>
      </c>
      <c r="AK18" s="86" t="s">
        <v>32</v>
      </c>
      <c r="AL18" s="86" t="s">
        <v>32</v>
      </c>
      <c r="AM18" s="86">
        <v>31.415634155273438</v>
      </c>
      <c r="AN18" s="86">
        <v>501.97540283203125</v>
      </c>
      <c r="AO18" s="86">
        <v>2.1370772579905237</v>
      </c>
      <c r="AP18" s="86">
        <v>4.2443680825931374</v>
      </c>
      <c r="AQ18" s="142">
        <v>31.415634155273438</v>
      </c>
    </row>
    <row r="19" spans="1:43" ht="14.1" customHeight="1">
      <c r="A19" s="87">
        <v>19</v>
      </c>
      <c r="B19" s="138"/>
      <c r="C19" s="139"/>
      <c r="M19" s="140"/>
      <c r="O19" s="100"/>
      <c r="Q19" s="105" t="s">
        <v>46</v>
      </c>
      <c r="R19" s="116">
        <f>IF(S19&lt;&gt;"",S19,IF(AB23="","",AB23))</f>
        <v>35</v>
      </c>
      <c r="S19" s="117">
        <v>35</v>
      </c>
      <c r="U19" s="105" t="s">
        <v>47</v>
      </c>
      <c r="V19" s="116">
        <f>IF(W19&lt;&gt;"",W19,IF(AB26="","",AB26))</f>
        <v>100</v>
      </c>
      <c r="W19" s="117">
        <v>100</v>
      </c>
      <c r="Y19" s="102"/>
      <c r="AA19" s="105" t="s">
        <v>48</v>
      </c>
      <c r="AB19" s="136"/>
      <c r="AC19" s="119" t="str">
        <f t="shared" si="0"/>
        <v>Change</v>
      </c>
      <c r="AD19" s="137">
        <f>IF(V14="","",V14)</f>
        <v>7544910</v>
      </c>
      <c r="AH19" s="86">
        <v>28</v>
      </c>
      <c r="AI19" s="86">
        <v>50</v>
      </c>
      <c r="AJ19" s="141">
        <v>0.4</v>
      </c>
      <c r="AK19" s="86" t="s">
        <v>32</v>
      </c>
      <c r="AL19" s="86" t="s">
        <v>32</v>
      </c>
      <c r="AM19" s="86">
        <v>31.453781127929688</v>
      </c>
      <c r="AN19" s="86">
        <v>743.3624267578125</v>
      </c>
      <c r="AO19" s="86">
        <v>2.1326360276244798</v>
      </c>
      <c r="AP19" s="86">
        <v>2.8591585061789044</v>
      </c>
      <c r="AQ19" s="142">
        <v>31.453781127929688</v>
      </c>
    </row>
    <row r="20" spans="1:43" ht="14.1" customHeight="1">
      <c r="A20" s="87">
        <v>20</v>
      </c>
      <c r="B20" s="138"/>
      <c r="C20" s="139"/>
      <c r="D20" s="146" t="s">
        <v>49</v>
      </c>
      <c r="J20" s="150"/>
      <c r="M20" s="140"/>
      <c r="O20" s="100"/>
      <c r="Y20" s="102"/>
      <c r="AA20" s="113" t="s">
        <v>41</v>
      </c>
      <c r="AH20" s="86">
        <v>28</v>
      </c>
      <c r="AI20" s="86">
        <v>20</v>
      </c>
      <c r="AJ20" s="141">
        <v>0</v>
      </c>
      <c r="AK20" s="86" t="s">
        <v>32</v>
      </c>
      <c r="AL20" s="86" t="s">
        <v>32</v>
      </c>
      <c r="AM20" s="86">
        <v>28.771793365478516</v>
      </c>
      <c r="AN20" s="86">
        <v>741.38079833984375</v>
      </c>
      <c r="AO20" s="86">
        <v>1.7523690841367223</v>
      </c>
      <c r="AP20" s="86">
        <v>2.3588101974607665</v>
      </c>
      <c r="AQ20" s="142">
        <v>28.771793365478516</v>
      </c>
    </row>
    <row r="21" spans="1:43" ht="14.1" customHeight="1">
      <c r="A21" s="87">
        <v>21</v>
      </c>
      <c r="B21" s="138"/>
      <c r="C21" s="139"/>
      <c r="E21" s="105" t="s">
        <v>50</v>
      </c>
      <c r="F21" s="693" t="str">
        <f>IF(R22="","",R22)</f>
        <v>Mammography</v>
      </c>
      <c r="G21" s="693"/>
      <c r="J21" s="105" t="s">
        <v>51</v>
      </c>
      <c r="K21" s="693" t="str">
        <f>IF(V21="","",V21)</f>
        <v>Mo</v>
      </c>
      <c r="L21" s="693"/>
      <c r="M21" s="140"/>
      <c r="O21" s="100"/>
      <c r="P21" s="146" t="s">
        <v>49</v>
      </c>
      <c r="U21" s="146" t="s">
        <v>51</v>
      </c>
      <c r="V21" s="116" t="str">
        <f>IF(W21&lt;&gt;"",W21,IF(AB38="","",AB38))</f>
        <v>Mo</v>
      </c>
      <c r="W21" s="117" t="s">
        <v>32</v>
      </c>
      <c r="Y21" s="102"/>
      <c r="AA21" s="105" t="s">
        <v>42</v>
      </c>
      <c r="AB21" s="136"/>
      <c r="AC21" s="119" t="str">
        <f t="shared" ref="AC21:AC26" si="1">IF(AB21&lt;&gt;AD21,"Change","")</f>
        <v>Change</v>
      </c>
      <c r="AD21" s="137" t="str">
        <f>IF(R17="","",R17)</f>
        <v>Siemens</v>
      </c>
      <c r="AH21" s="86">
        <v>28</v>
      </c>
      <c r="AI21" s="86">
        <v>100</v>
      </c>
      <c r="AJ21" s="141">
        <v>0</v>
      </c>
      <c r="AK21" s="86" t="s">
        <v>32</v>
      </c>
      <c r="AL21" s="86" t="s">
        <v>32</v>
      </c>
      <c r="AM21" s="86">
        <v>28.691770553588867</v>
      </c>
      <c r="AN21" s="86">
        <v>988.330810546875</v>
      </c>
      <c r="AO21" s="86">
        <v>8.7168072525813436</v>
      </c>
      <c r="AP21" s="86">
        <v>8.7926504105599417</v>
      </c>
      <c r="AQ21" s="142">
        <v>28.691770553588867</v>
      </c>
    </row>
    <row r="22" spans="1:43" ht="14.1" customHeight="1">
      <c r="A22" s="87">
        <v>22</v>
      </c>
      <c r="B22" s="138"/>
      <c r="C22" s="139"/>
      <c r="E22" s="105" t="s">
        <v>43</v>
      </c>
      <c r="F22" s="707">
        <f>IF(R23="","",R23)</f>
        <v>41000</v>
      </c>
      <c r="G22" s="707"/>
      <c r="J22" s="105"/>
      <c r="K22" s="693" t="str">
        <f>IF(V22="","",V22)</f>
        <v>W</v>
      </c>
      <c r="L22" s="693"/>
      <c r="M22" s="140"/>
      <c r="O22" s="100"/>
      <c r="Q22" s="105" t="s">
        <v>50</v>
      </c>
      <c r="R22" s="116" t="str">
        <f>IF(S22&lt;&gt;"",S22,IF(AB28="","",AB28))</f>
        <v>Mammography</v>
      </c>
      <c r="S22" s="117" t="s">
        <v>536</v>
      </c>
      <c r="V22" s="116" t="str">
        <f>IF(W22&lt;&gt;"",W22,IF(AB39="","",AB39))</f>
        <v>W</v>
      </c>
      <c r="W22" s="117" t="s">
        <v>52</v>
      </c>
      <c r="Y22" s="102"/>
      <c r="AA22" s="105" t="s">
        <v>44</v>
      </c>
      <c r="AB22" s="136"/>
      <c r="AC22" s="119" t="str">
        <f t="shared" si="1"/>
        <v>Change</v>
      </c>
      <c r="AD22" s="137" t="str">
        <f>IF(R18="","",R18)</f>
        <v>Mammomat Inspiration</v>
      </c>
      <c r="AH22" s="86">
        <v>28</v>
      </c>
      <c r="AI22" s="86">
        <v>320</v>
      </c>
      <c r="AJ22" s="141">
        <v>0</v>
      </c>
      <c r="AK22" s="86" t="s">
        <v>32</v>
      </c>
      <c r="AL22" s="86" t="s">
        <v>32</v>
      </c>
      <c r="AM22" s="86">
        <v>28.702774047851563</v>
      </c>
      <c r="AN22" s="86">
        <v>3323.8720703125</v>
      </c>
      <c r="AO22" s="86">
        <v>27.882943450098598</v>
      </c>
      <c r="AP22" s="86">
        <v>8.386102643515887</v>
      </c>
      <c r="AQ22" s="142">
        <v>28.702774047851563</v>
      </c>
    </row>
    <row r="23" spans="1:43" ht="14.1" customHeight="1">
      <c r="A23" s="87">
        <v>23</v>
      </c>
      <c r="B23" s="138"/>
      <c r="C23" s="139"/>
      <c r="D23" s="146" t="s">
        <v>53</v>
      </c>
      <c r="J23" s="105" t="s">
        <v>54</v>
      </c>
      <c r="K23" s="693" t="str">
        <f>IF(V24="","",V24)</f>
        <v>Mo</v>
      </c>
      <c r="L23" s="693"/>
      <c r="M23" s="140"/>
      <c r="O23" s="100"/>
      <c r="Q23" s="105" t="s">
        <v>43</v>
      </c>
      <c r="R23" s="143">
        <f>IF(S23&lt;&gt;"",S23,IF(AB29="","",AB29))</f>
        <v>41000</v>
      </c>
      <c r="S23" s="147">
        <v>41000</v>
      </c>
      <c r="V23" s="23"/>
      <c r="W23" s="23"/>
      <c r="Y23" s="102"/>
      <c r="AA23" s="105" t="s">
        <v>46</v>
      </c>
      <c r="AB23" s="136"/>
      <c r="AC23" s="119" t="str">
        <f t="shared" si="1"/>
        <v>Change</v>
      </c>
      <c r="AD23" s="137">
        <f>IF(R19="","",R19)</f>
        <v>35</v>
      </c>
      <c r="AH23" s="86">
        <v>30</v>
      </c>
      <c r="AI23" s="86">
        <v>50</v>
      </c>
      <c r="AJ23" s="141">
        <v>0</v>
      </c>
      <c r="AK23" s="86" t="s">
        <v>32</v>
      </c>
      <c r="AL23" s="86" t="s">
        <v>32</v>
      </c>
      <c r="AM23" s="86">
        <v>30.888139724731445</v>
      </c>
      <c r="AN23" s="86">
        <v>501.972412109375</v>
      </c>
      <c r="AO23" s="86">
        <v>5.3627483558487627</v>
      </c>
      <c r="AP23" s="86">
        <v>10.640207034887503</v>
      </c>
      <c r="AQ23" s="142">
        <v>30.888139724731445</v>
      </c>
    </row>
    <row r="24" spans="1:43" ht="14.1" customHeight="1">
      <c r="A24" s="87">
        <v>24</v>
      </c>
      <c r="B24" s="138"/>
      <c r="C24" s="139"/>
      <c r="E24" s="105" t="s">
        <v>42</v>
      </c>
      <c r="F24" s="693" t="str">
        <f>IF(R25="","",R25)</f>
        <v>Siemens</v>
      </c>
      <c r="G24" s="693"/>
      <c r="K24" s="693" t="str">
        <f>IF(V25="","",V25)</f>
        <v>Rh</v>
      </c>
      <c r="L24" s="693"/>
      <c r="M24" s="140"/>
      <c r="O24" s="100"/>
      <c r="P24" s="146" t="s">
        <v>53</v>
      </c>
      <c r="U24" s="146" t="s">
        <v>54</v>
      </c>
      <c r="V24" s="116" t="str">
        <f>IF(W24&lt;&gt;"",W24,IF(AB40="","",AB40))</f>
        <v>Mo</v>
      </c>
      <c r="W24" s="117" t="s">
        <v>32</v>
      </c>
      <c r="Y24" s="102"/>
      <c r="AA24" s="105" t="s">
        <v>43</v>
      </c>
      <c r="AB24" s="148"/>
      <c r="AC24" s="119" t="str">
        <f t="shared" si="1"/>
        <v>Change</v>
      </c>
      <c r="AD24" s="149">
        <f>IF(V17="","",V17)</f>
        <v>41000</v>
      </c>
      <c r="AH24" s="86">
        <v>32</v>
      </c>
      <c r="AI24" s="86">
        <v>50</v>
      </c>
      <c r="AJ24" s="141">
        <v>0</v>
      </c>
      <c r="AK24" s="86" t="s">
        <v>32</v>
      </c>
      <c r="AL24" s="86" t="s">
        <v>32</v>
      </c>
      <c r="AM24" s="86">
        <v>33.159122467041016</v>
      </c>
      <c r="AN24" s="86">
        <v>725.75537109375</v>
      </c>
      <c r="AO24" s="86">
        <v>6.4288276585437671</v>
      </c>
      <c r="AP24" s="86">
        <v>8.8395763133096654</v>
      </c>
      <c r="AQ24" s="142">
        <v>33.159122467041016</v>
      </c>
    </row>
    <row r="25" spans="1:43" ht="14.1" customHeight="1">
      <c r="A25" s="87">
        <v>25</v>
      </c>
      <c r="B25" s="138"/>
      <c r="C25" s="139"/>
      <c r="E25" s="105" t="s">
        <v>44</v>
      </c>
      <c r="F25" s="693">
        <f>IF(R26="","",R26)</f>
        <v>3122509</v>
      </c>
      <c r="G25" s="693"/>
      <c r="J25" s="23"/>
      <c r="K25" s="23"/>
      <c r="L25" s="23"/>
      <c r="M25" s="140"/>
      <c r="O25" s="100"/>
      <c r="Q25" s="105" t="s">
        <v>42</v>
      </c>
      <c r="R25" s="116" t="str">
        <f>IF(S25&lt;&gt;"",S25,IF(AB30="","",AB30))</f>
        <v>Siemens</v>
      </c>
      <c r="S25" s="117" t="s">
        <v>389</v>
      </c>
      <c r="V25" s="116" t="str">
        <f>IF(W25&lt;&gt;"",W25,IF(AB44="","",AB44))</f>
        <v>Rh</v>
      </c>
      <c r="W25" s="117" t="s">
        <v>55</v>
      </c>
      <c r="Y25" s="102"/>
      <c r="AA25" s="105" t="s">
        <v>45</v>
      </c>
      <c r="AB25" s="136"/>
      <c r="AC25" s="119" t="str">
        <f t="shared" si="1"/>
        <v>Change</v>
      </c>
      <c r="AD25" s="137">
        <f>IF(V18="","",V18)</f>
        <v>3732</v>
      </c>
      <c r="AH25" s="86">
        <v>32</v>
      </c>
      <c r="AI25" s="86">
        <v>50</v>
      </c>
      <c r="AJ25" s="141">
        <v>0</v>
      </c>
      <c r="AK25" s="86" t="s">
        <v>32</v>
      </c>
      <c r="AL25" s="86" t="s">
        <v>32</v>
      </c>
      <c r="AM25" s="86">
        <v>33.151626586914063</v>
      </c>
      <c r="AN25" s="86">
        <v>501.47390747070313</v>
      </c>
      <c r="AO25" s="86">
        <v>6.4326828765200483</v>
      </c>
      <c r="AP25" s="86">
        <v>12.775708665772553</v>
      </c>
      <c r="AQ25" s="142">
        <v>33.151626586914063</v>
      </c>
    </row>
    <row r="26" spans="1:43" ht="14.1" customHeight="1">
      <c r="A26" s="87">
        <v>26</v>
      </c>
      <c r="B26" s="138"/>
      <c r="C26" s="139"/>
      <c r="E26" s="105" t="s">
        <v>45</v>
      </c>
      <c r="F26" s="693">
        <f>IF(R27="","",R27)</f>
        <v>502708</v>
      </c>
      <c r="G26" s="693"/>
      <c r="I26" s="146" t="s">
        <v>56</v>
      </c>
      <c r="J26" s="23"/>
      <c r="K26" s="23"/>
      <c r="L26" s="23"/>
      <c r="M26" s="140"/>
      <c r="O26" s="100"/>
      <c r="Q26" s="105" t="s">
        <v>44</v>
      </c>
      <c r="R26" s="116">
        <f>IF(S26&lt;&gt;"",S26,IF(AB31="","",AB31))</f>
        <v>3122509</v>
      </c>
      <c r="S26" s="117">
        <v>3122509</v>
      </c>
      <c r="V26" s="23"/>
      <c r="W26" s="23"/>
      <c r="Y26" s="102"/>
      <c r="AA26" s="105" t="s">
        <v>47</v>
      </c>
      <c r="AB26" s="136"/>
      <c r="AC26" s="119" t="str">
        <f t="shared" si="1"/>
        <v>Change</v>
      </c>
      <c r="AD26" s="137">
        <f>IF(V19="","",V19)</f>
        <v>100</v>
      </c>
      <c r="AH26" s="86">
        <v>32</v>
      </c>
      <c r="AI26" s="86">
        <v>50</v>
      </c>
      <c r="AJ26" s="141">
        <v>0.4</v>
      </c>
      <c r="AK26" s="86" t="s">
        <v>32</v>
      </c>
      <c r="AL26" s="86" t="s">
        <v>32</v>
      </c>
      <c r="AM26" s="86">
        <v>37.396335601806641</v>
      </c>
      <c r="AN26" s="86">
        <v>726.25689697265625</v>
      </c>
      <c r="AO26" s="86">
        <v>3.3087374848508713</v>
      </c>
      <c r="AP26" s="86">
        <v>4.5431417364353957</v>
      </c>
      <c r="AQ26" s="142">
        <v>37.396335601806641</v>
      </c>
    </row>
    <row r="27" spans="1:43" ht="14.1" customHeight="1">
      <c r="A27" s="87">
        <v>27</v>
      </c>
      <c r="B27" s="138"/>
      <c r="C27" s="139"/>
      <c r="D27" s="146" t="s">
        <v>57</v>
      </c>
      <c r="J27" s="105" t="s">
        <v>58</v>
      </c>
      <c r="K27" s="693">
        <f>IF(V28="","",V28)</f>
        <v>0.3</v>
      </c>
      <c r="L27" s="693"/>
      <c r="M27" s="140"/>
      <c r="O27" s="100"/>
      <c r="Q27" s="105" t="s">
        <v>45</v>
      </c>
      <c r="R27" s="116">
        <f>IF(S27&lt;&gt;"",S27,IF(AB32="","",AB32))</f>
        <v>502708</v>
      </c>
      <c r="S27" s="117">
        <v>502708</v>
      </c>
      <c r="U27" s="150" t="s">
        <v>56</v>
      </c>
      <c r="Y27" s="102"/>
      <c r="AA27" s="146" t="s">
        <v>49</v>
      </c>
      <c r="AH27" s="86">
        <v>32</v>
      </c>
      <c r="AI27" s="86">
        <v>50</v>
      </c>
      <c r="AJ27" s="141">
        <v>0.4</v>
      </c>
      <c r="AK27" s="86" t="s">
        <v>32</v>
      </c>
      <c r="AL27" s="86" t="s">
        <v>32</v>
      </c>
      <c r="AM27" s="86">
        <v>37.412261962890625</v>
      </c>
      <c r="AN27" s="86">
        <v>742.38238525390625</v>
      </c>
      <c r="AO27" s="86">
        <v>3.30687914889283</v>
      </c>
      <c r="AP27" s="86">
        <v>4.4452364668315383</v>
      </c>
      <c r="AQ27" s="142">
        <v>37.412261962890625</v>
      </c>
    </row>
    <row r="28" spans="1:43" ht="14.1" customHeight="1">
      <c r="A28" s="87">
        <v>28</v>
      </c>
      <c r="B28" s="138"/>
      <c r="C28" s="139"/>
      <c r="E28" s="105" t="s">
        <v>42</v>
      </c>
      <c r="F28" s="693" t="str">
        <f>IF(R29="","",R29)</f>
        <v>Siemens</v>
      </c>
      <c r="G28" s="693"/>
      <c r="I28" s="23"/>
      <c r="J28" s="105" t="s">
        <v>59</v>
      </c>
      <c r="K28" s="693">
        <f>IF(V29="","",V29)</f>
        <v>0.15</v>
      </c>
      <c r="L28" s="693"/>
      <c r="M28" s="140"/>
      <c r="O28" s="100"/>
      <c r="P28" s="146" t="s">
        <v>57</v>
      </c>
      <c r="U28" s="105" t="s">
        <v>58</v>
      </c>
      <c r="V28" s="116">
        <f>IF(W28&lt;&gt;"",W28,IF(AB36="","",AB36))</f>
        <v>0.3</v>
      </c>
      <c r="W28" s="117">
        <v>0.3</v>
      </c>
      <c r="Y28" s="102"/>
      <c r="AA28" s="105" t="s">
        <v>50</v>
      </c>
      <c r="AB28" s="136"/>
      <c r="AC28" s="119" t="str">
        <f t="shared" ref="AC28:AC43" si="2">IF(AB28&lt;&gt;AD28,"Change","")</f>
        <v>Change</v>
      </c>
      <c r="AD28" s="137" t="str">
        <f>IF(R22="","",R22)</f>
        <v>Mammography</v>
      </c>
      <c r="AH28" s="86">
        <v>32</v>
      </c>
      <c r="AI28" s="86">
        <v>50</v>
      </c>
      <c r="AJ28" s="141">
        <v>0.5</v>
      </c>
      <c r="AK28" s="86" t="s">
        <v>32</v>
      </c>
      <c r="AL28" s="86" t="s">
        <v>32</v>
      </c>
      <c r="AM28" s="86">
        <v>38.550209045410156</v>
      </c>
      <c r="AN28" s="86">
        <v>726.75628662109375</v>
      </c>
      <c r="AO28" s="86">
        <v>2.8528104843955413</v>
      </c>
      <c r="AP28" s="86">
        <v>3.9144377244553161</v>
      </c>
      <c r="AQ28" s="142">
        <v>38.550209045410156</v>
      </c>
    </row>
    <row r="29" spans="1:43" ht="14.1" customHeight="1">
      <c r="A29" s="87">
        <v>29</v>
      </c>
      <c r="B29" s="138"/>
      <c r="C29" s="139"/>
      <c r="E29" s="105" t="s">
        <v>44</v>
      </c>
      <c r="F29" s="693">
        <f>IF(R30="","",R30)</f>
        <v>3122509</v>
      </c>
      <c r="G29" s="693"/>
      <c r="I29" s="146" t="s">
        <v>60</v>
      </c>
      <c r="J29" s="105" t="s">
        <v>61</v>
      </c>
      <c r="K29" s="693" t="str">
        <f>IF(V32="","",V32)</f>
        <v/>
      </c>
      <c r="L29" s="693"/>
      <c r="M29" s="140"/>
      <c r="O29" s="100"/>
      <c r="Q29" s="105" t="s">
        <v>42</v>
      </c>
      <c r="R29" s="116" t="str">
        <f>IF(S29&lt;&gt;"",S29,IF(AB33="","",AB33))</f>
        <v>Siemens</v>
      </c>
      <c r="S29" s="117" t="s">
        <v>389</v>
      </c>
      <c r="U29" s="105" t="s">
        <v>59</v>
      </c>
      <c r="V29" s="116">
        <f>IF(W29&lt;&gt;"",W29,IF(AB37="","",AB37))</f>
        <v>0.15</v>
      </c>
      <c r="W29" s="117">
        <v>0.15</v>
      </c>
      <c r="Y29" s="102"/>
      <c r="AA29" s="105" t="s">
        <v>43</v>
      </c>
      <c r="AB29" s="148"/>
      <c r="AC29" s="119" t="str">
        <f t="shared" si="2"/>
        <v>Change</v>
      </c>
      <c r="AD29" s="149">
        <f>IF(R23="","",R23)</f>
        <v>41000</v>
      </c>
      <c r="AH29" s="86">
        <v>32</v>
      </c>
      <c r="AI29" s="86">
        <v>50</v>
      </c>
      <c r="AJ29" s="141">
        <v>0.5</v>
      </c>
      <c r="AK29" s="86" t="s">
        <v>32</v>
      </c>
      <c r="AL29" s="86" t="s">
        <v>32</v>
      </c>
      <c r="AM29" s="86">
        <v>38.593799591064453</v>
      </c>
      <c r="AN29" s="86">
        <v>501.44290161132812</v>
      </c>
      <c r="AO29" s="86">
        <v>2.8519382861285334</v>
      </c>
      <c r="AP29" s="86">
        <v>5.6644704931840328</v>
      </c>
      <c r="AQ29" s="142">
        <v>38.593799591064453</v>
      </c>
    </row>
    <row r="30" spans="1:43" ht="14.1" customHeight="1">
      <c r="A30" s="87">
        <v>30</v>
      </c>
      <c r="B30" s="138"/>
      <c r="C30" s="139"/>
      <c r="E30" s="105" t="s">
        <v>45</v>
      </c>
      <c r="F30" s="693">
        <f>IF(R31="","",R31)</f>
        <v>502708</v>
      </c>
      <c r="G30" s="693"/>
      <c r="J30" s="105" t="s">
        <v>62</v>
      </c>
      <c r="K30" s="693" t="str">
        <f>IF(V33="","",V33)</f>
        <v/>
      </c>
      <c r="L30" s="693"/>
      <c r="M30" s="140"/>
      <c r="O30" s="100"/>
      <c r="Q30" s="105" t="s">
        <v>44</v>
      </c>
      <c r="R30" s="116">
        <f>IF(S30&lt;&gt;"",S30,IF(AB34="","",AB34))</f>
        <v>3122509</v>
      </c>
      <c r="S30" s="117">
        <v>3122509</v>
      </c>
      <c r="Y30" s="102"/>
      <c r="AA30" s="105" t="s">
        <v>42</v>
      </c>
      <c r="AB30" s="136"/>
      <c r="AC30" s="119" t="str">
        <f t="shared" si="2"/>
        <v>Change</v>
      </c>
      <c r="AD30" s="137" t="str">
        <f>IF(R25="","",R25)</f>
        <v>Siemens</v>
      </c>
      <c r="AH30" s="86">
        <v>34</v>
      </c>
      <c r="AI30" s="86">
        <v>50</v>
      </c>
      <c r="AJ30" s="141">
        <v>0</v>
      </c>
      <c r="AK30" s="86" t="s">
        <v>32</v>
      </c>
      <c r="AL30" s="86" t="s">
        <v>32</v>
      </c>
      <c r="AM30" s="86">
        <v>35.491172790527344</v>
      </c>
      <c r="AN30" s="86">
        <v>500.96688842773437</v>
      </c>
      <c r="AO30" s="86">
        <v>7.5735123255710457</v>
      </c>
      <c r="AP30" s="86">
        <v>15.071654925735032</v>
      </c>
      <c r="AQ30" s="142">
        <v>35.491172790527344</v>
      </c>
    </row>
    <row r="31" spans="1:43" ht="14.1" customHeight="1" thickBot="1">
      <c r="A31" s="87">
        <v>31</v>
      </c>
      <c r="B31" s="151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3"/>
      <c r="O31" s="100"/>
      <c r="Q31" s="105" t="s">
        <v>45</v>
      </c>
      <c r="R31" s="116">
        <f>IF(S31&lt;&gt;"",S31,IF(AB35="","",AB35))</f>
        <v>502708</v>
      </c>
      <c r="S31" s="117">
        <v>502708</v>
      </c>
      <c r="U31" s="146" t="s">
        <v>60</v>
      </c>
      <c r="Y31" s="102"/>
      <c r="AA31" s="105" t="s">
        <v>44</v>
      </c>
      <c r="AB31" s="136"/>
      <c r="AC31" s="119" t="str">
        <f t="shared" si="2"/>
        <v>Change</v>
      </c>
      <c r="AD31" s="137">
        <f>IF(R26="","",R26)</f>
        <v>3122509</v>
      </c>
      <c r="AH31" s="86">
        <v>26</v>
      </c>
      <c r="AI31" s="86">
        <v>50</v>
      </c>
      <c r="AJ31" s="141">
        <v>0</v>
      </c>
      <c r="AK31" s="86" t="s">
        <v>32</v>
      </c>
      <c r="AL31" s="86" t="s">
        <v>55</v>
      </c>
      <c r="AM31" s="86">
        <v>28.453651428222656</v>
      </c>
      <c r="AN31" s="86">
        <v>744.3673095703125</v>
      </c>
      <c r="AO31" s="86">
        <v>2.7267579087868374</v>
      </c>
      <c r="AP31" s="86">
        <v>3.6556573768056277</v>
      </c>
      <c r="AQ31" s="142">
        <v>28.453651428222656</v>
      </c>
    </row>
    <row r="32" spans="1:43" ht="14.1" customHeight="1" thickTop="1">
      <c r="A32" s="87">
        <v>32</v>
      </c>
      <c r="O32" s="100"/>
      <c r="U32" s="105" t="s">
        <v>61</v>
      </c>
      <c r="V32" s="116" t="str">
        <f>IF(W32&lt;&gt;"",W32,IF(AB45="","",AB45))</f>
        <v/>
      </c>
      <c r="W32" s="117"/>
      <c r="Y32" s="102"/>
      <c r="AA32" s="105" t="s">
        <v>45</v>
      </c>
      <c r="AB32" s="136"/>
      <c r="AC32" s="119" t="str">
        <f t="shared" si="2"/>
        <v>Change</v>
      </c>
      <c r="AD32" s="137">
        <f>IF(R27="","",R27)</f>
        <v>502708</v>
      </c>
      <c r="AH32" s="86">
        <v>28</v>
      </c>
      <c r="AI32" s="86">
        <v>50</v>
      </c>
      <c r="AJ32" s="141">
        <v>0</v>
      </c>
      <c r="AK32" s="86" t="s">
        <v>32</v>
      </c>
      <c r="AL32" s="86" t="s">
        <v>55</v>
      </c>
      <c r="AM32" s="86">
        <v>30.686857223510742</v>
      </c>
      <c r="AN32" s="86">
        <v>725.75537109375</v>
      </c>
      <c r="AO32" s="86">
        <v>3.5208894828241402</v>
      </c>
      <c r="AP32" s="86">
        <v>4.8411890598824243</v>
      </c>
      <c r="AQ32" s="142">
        <v>30.686857223510742</v>
      </c>
    </row>
    <row r="33" spans="1:43" ht="14.1" customHeight="1" thickBot="1">
      <c r="A33" s="87">
        <v>33</v>
      </c>
      <c r="H33" s="121" t="s">
        <v>63</v>
      </c>
      <c r="O33" s="100"/>
      <c r="U33" s="105" t="s">
        <v>62</v>
      </c>
      <c r="V33" s="116" t="str">
        <f>IF(W33&lt;&gt;"",W33,IF(AB46="","",AB46))</f>
        <v/>
      </c>
      <c r="W33" s="117"/>
      <c r="Y33" s="102"/>
      <c r="AA33" s="105" t="s">
        <v>42</v>
      </c>
      <c r="AB33" s="136"/>
      <c r="AC33" s="119" t="str">
        <f t="shared" si="2"/>
        <v>Change</v>
      </c>
      <c r="AD33" s="137" t="str">
        <f>IF(R29="","",R29)</f>
        <v>Siemens</v>
      </c>
      <c r="AH33" s="86">
        <v>28</v>
      </c>
      <c r="AI33" s="86">
        <v>50</v>
      </c>
      <c r="AJ33" s="141">
        <v>0</v>
      </c>
      <c r="AK33" s="86" t="s">
        <v>32</v>
      </c>
      <c r="AL33" s="86" t="s">
        <v>55</v>
      </c>
      <c r="AM33" s="86">
        <v>30.715015411376953</v>
      </c>
      <c r="AN33" s="86">
        <v>726.25689697265625</v>
      </c>
      <c r="AO33" s="86">
        <v>3.5217951140207329</v>
      </c>
      <c r="AP33" s="86">
        <v>4.8356859996727675</v>
      </c>
      <c r="AQ33" s="142">
        <v>30.715015411376953</v>
      </c>
    </row>
    <row r="34" spans="1:43" ht="14.1" customHeight="1" thickTop="1" thickBot="1">
      <c r="A34" s="87">
        <v>34</v>
      </c>
      <c r="B34" s="129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2"/>
      <c r="O34" s="100"/>
      <c r="U34" s="23"/>
      <c r="V34" s="23"/>
      <c r="W34" s="23"/>
      <c r="Y34" s="102"/>
      <c r="AA34" s="105" t="s">
        <v>44</v>
      </c>
      <c r="AB34" s="136"/>
      <c r="AC34" s="119" t="str">
        <f t="shared" si="2"/>
        <v>Change</v>
      </c>
      <c r="AD34" s="137">
        <f>IF(R30="","",R30)</f>
        <v>3122509</v>
      </c>
      <c r="AH34" s="86">
        <v>28</v>
      </c>
      <c r="AI34" s="86">
        <v>50</v>
      </c>
      <c r="AJ34" s="141">
        <v>0.4</v>
      </c>
      <c r="AK34" s="86" t="s">
        <v>32</v>
      </c>
      <c r="AL34" s="86" t="s">
        <v>55</v>
      </c>
      <c r="AM34" s="86">
        <v>34.482070922851563</v>
      </c>
      <c r="AN34" s="86">
        <v>743.89642333984375</v>
      </c>
      <c r="AO34" s="86">
        <v>1.8650426037159018</v>
      </c>
      <c r="AP34" s="86">
        <v>2.4986158432822601</v>
      </c>
      <c r="AQ34" s="142">
        <v>34.482070922851563</v>
      </c>
    </row>
    <row r="35" spans="1:43" ht="14.1" customHeight="1" thickBot="1">
      <c r="A35" s="87">
        <v>35</v>
      </c>
      <c r="B35" s="138"/>
      <c r="C35" s="154" t="s">
        <v>64</v>
      </c>
      <c r="D35" s="706" t="s">
        <v>65</v>
      </c>
      <c r="E35" s="706"/>
      <c r="F35" s="706"/>
      <c r="G35" s="706" t="s">
        <v>66</v>
      </c>
      <c r="H35" s="706"/>
      <c r="I35" s="706"/>
      <c r="J35" s="706" t="s">
        <v>67</v>
      </c>
      <c r="K35" s="706"/>
      <c r="L35" s="706"/>
      <c r="M35" s="140"/>
      <c r="O35" s="110"/>
      <c r="P35" s="111"/>
      <c r="Q35" s="111"/>
      <c r="R35" s="111"/>
      <c r="S35" s="111"/>
      <c r="T35" s="111"/>
      <c r="U35" s="111"/>
      <c r="V35" s="111"/>
      <c r="W35" s="111"/>
      <c r="X35" s="111"/>
      <c r="Y35" s="112"/>
      <c r="AA35" s="105" t="s">
        <v>45</v>
      </c>
      <c r="AB35" s="136"/>
      <c r="AC35" s="119" t="str">
        <f t="shared" si="2"/>
        <v>Change</v>
      </c>
      <c r="AD35" s="137">
        <f>IF(R31="","",R31)</f>
        <v>502708</v>
      </c>
      <c r="AH35" s="86">
        <v>28</v>
      </c>
      <c r="AI35" s="86">
        <v>50</v>
      </c>
      <c r="AJ35" s="141">
        <v>0.4</v>
      </c>
      <c r="AK35" s="86" t="s">
        <v>32</v>
      </c>
      <c r="AL35" s="86" t="s">
        <v>55</v>
      </c>
      <c r="AM35" s="86">
        <v>34.478618621826172</v>
      </c>
      <c r="AN35" s="86">
        <v>501.97628784179687</v>
      </c>
      <c r="AO35" s="86">
        <v>1.8682890749103036</v>
      </c>
      <c r="AP35" s="86">
        <v>3.7142672526219975</v>
      </c>
      <c r="AQ35" s="142">
        <v>34.478618621826172</v>
      </c>
    </row>
    <row r="36" spans="1:43" ht="14.1" customHeight="1">
      <c r="A36" s="87">
        <v>36</v>
      </c>
      <c r="B36" s="138"/>
      <c r="C36" s="155" t="s">
        <v>68</v>
      </c>
      <c r="D36" s="156"/>
      <c r="E36" s="157"/>
      <c r="F36" s="158"/>
      <c r="G36" s="702" t="s">
        <v>69</v>
      </c>
      <c r="H36" s="702"/>
      <c r="I36" s="702"/>
      <c r="J36" s="156"/>
      <c r="K36" s="157"/>
      <c r="L36" s="158"/>
      <c r="M36" s="140"/>
      <c r="AA36" s="105" t="s">
        <v>58</v>
      </c>
      <c r="AB36" s="136"/>
      <c r="AC36" s="119" t="str">
        <f t="shared" si="2"/>
        <v>Change</v>
      </c>
      <c r="AD36" s="137">
        <f>IF(V28="","",V28)</f>
        <v>0.3</v>
      </c>
      <c r="AH36" s="86">
        <v>28</v>
      </c>
      <c r="AI36" s="86">
        <v>50</v>
      </c>
      <c r="AJ36" s="141">
        <v>0.5</v>
      </c>
      <c r="AK36" s="86" t="s">
        <v>32</v>
      </c>
      <c r="AL36" s="86" t="s">
        <v>55</v>
      </c>
      <c r="AM36" s="86">
        <v>35.421047210693359</v>
      </c>
      <c r="AN36" s="86">
        <v>501.472900390625</v>
      </c>
      <c r="AO36" s="86">
        <v>1.6176057593222777</v>
      </c>
      <c r="AP36" s="86">
        <v>3.2191102420451383</v>
      </c>
      <c r="AQ36" s="142">
        <v>35.421047210693359</v>
      </c>
    </row>
    <row r="37" spans="1:43" ht="14.1" customHeight="1" thickBot="1">
      <c r="A37" s="87">
        <v>37</v>
      </c>
      <c r="B37" s="138"/>
      <c r="C37" s="155" t="s">
        <v>70</v>
      </c>
      <c r="D37" s="159" t="s">
        <v>71</v>
      </c>
      <c r="E37" s="160" t="s">
        <v>25</v>
      </c>
      <c r="F37" s="161" t="s">
        <v>72</v>
      </c>
      <c r="G37" s="159" t="s">
        <v>71</v>
      </c>
      <c r="H37" s="160" t="s">
        <v>25</v>
      </c>
      <c r="I37" s="161" t="s">
        <v>72</v>
      </c>
      <c r="J37" s="159" t="s">
        <v>71</v>
      </c>
      <c r="K37" s="160" t="s">
        <v>25</v>
      </c>
      <c r="L37" s="161" t="s">
        <v>72</v>
      </c>
      <c r="M37" s="140"/>
      <c r="T37" s="124" t="s">
        <v>73</v>
      </c>
      <c r="AA37" s="105" t="s">
        <v>59</v>
      </c>
      <c r="AB37" s="136"/>
      <c r="AC37" s="119" t="str">
        <f t="shared" si="2"/>
        <v>Change</v>
      </c>
      <c r="AD37" s="137">
        <f>IF(V29="","",V29)</f>
        <v>0.15</v>
      </c>
      <c r="AH37" s="86">
        <v>28</v>
      </c>
      <c r="AI37" s="86">
        <v>50</v>
      </c>
      <c r="AJ37" s="141">
        <v>0.5</v>
      </c>
      <c r="AK37" s="86" t="s">
        <v>32</v>
      </c>
      <c r="AL37" s="86" t="s">
        <v>55</v>
      </c>
      <c r="AM37" s="86">
        <v>35.329086303710938</v>
      </c>
      <c r="AN37" s="86">
        <v>501.46688842773437</v>
      </c>
      <c r="AO37" s="86">
        <v>1.6164130061264106</v>
      </c>
      <c r="AP37" s="86">
        <v>3.2103382771453277</v>
      </c>
      <c r="AQ37" s="142">
        <v>35.329086303710938</v>
      </c>
    </row>
    <row r="38" spans="1:43" ht="14.1" customHeight="1" thickTop="1">
      <c r="A38" s="87">
        <v>38</v>
      </c>
      <c r="B38" s="138"/>
      <c r="C38" s="162" t="s">
        <v>74</v>
      </c>
      <c r="D38" s="163" t="str">
        <f t="shared" ref="D38:L41" si="3">P124</f>
        <v/>
      </c>
      <c r="E38" s="164" t="str">
        <f t="shared" si="3"/>
        <v/>
      </c>
      <c r="F38" s="165" t="str">
        <f t="shared" si="3"/>
        <v/>
      </c>
      <c r="G38" s="163" t="str">
        <f t="shared" si="3"/>
        <v/>
      </c>
      <c r="H38" s="164" t="str">
        <f t="shared" si="3"/>
        <v/>
      </c>
      <c r="I38" s="165" t="str">
        <f t="shared" si="3"/>
        <v/>
      </c>
      <c r="J38" s="163" t="str">
        <f t="shared" si="3"/>
        <v/>
      </c>
      <c r="K38" s="164" t="str">
        <f t="shared" si="3"/>
        <v/>
      </c>
      <c r="L38" s="165" t="str">
        <f t="shared" si="3"/>
        <v/>
      </c>
      <c r="M38" s="140"/>
      <c r="O38" s="166" t="s">
        <v>75</v>
      </c>
      <c r="P38" s="93"/>
      <c r="Q38" s="93"/>
      <c r="R38" s="93"/>
      <c r="S38" s="93"/>
      <c r="T38" s="93"/>
      <c r="U38" s="93"/>
      <c r="V38" s="93"/>
      <c r="W38" s="93"/>
      <c r="X38" s="93"/>
      <c r="Y38" s="94"/>
      <c r="AA38" s="105" t="s">
        <v>76</v>
      </c>
      <c r="AB38" s="136"/>
      <c r="AC38" s="119" t="str">
        <f t="shared" si="2"/>
        <v>Change</v>
      </c>
      <c r="AD38" s="137" t="str">
        <f>IF(V21="","",V21)</f>
        <v>Mo</v>
      </c>
      <c r="AH38" s="86">
        <v>30</v>
      </c>
      <c r="AI38" s="86">
        <v>50</v>
      </c>
      <c r="AJ38" s="141">
        <v>0</v>
      </c>
      <c r="AK38" s="86" t="s">
        <v>32</v>
      </c>
      <c r="AL38" s="86" t="s">
        <v>55</v>
      </c>
      <c r="AM38" s="86">
        <v>32.663410186767578</v>
      </c>
      <c r="AN38" s="86">
        <v>501.97589111328125</v>
      </c>
      <c r="AO38" s="86">
        <v>4.3936777741735593</v>
      </c>
      <c r="AP38" s="86">
        <v>8.7348866664698139</v>
      </c>
      <c r="AQ38" s="142">
        <v>32.663410186767578</v>
      </c>
    </row>
    <row r="39" spans="1:43" ht="14.1" customHeight="1">
      <c r="A39" s="87">
        <v>39</v>
      </c>
      <c r="B39" s="138"/>
      <c r="C39" s="167" t="s">
        <v>77</v>
      </c>
      <c r="D39" s="168" t="str">
        <f t="shared" si="3"/>
        <v/>
      </c>
      <c r="E39" s="86" t="str">
        <f t="shared" si="3"/>
        <v/>
      </c>
      <c r="F39" s="169" t="str">
        <f t="shared" si="3"/>
        <v/>
      </c>
      <c r="G39" s="168" t="str">
        <f t="shared" si="3"/>
        <v/>
      </c>
      <c r="H39" s="86" t="str">
        <f t="shared" si="3"/>
        <v/>
      </c>
      <c r="I39" s="169" t="str">
        <f t="shared" si="3"/>
        <v/>
      </c>
      <c r="J39" s="168" t="str">
        <f t="shared" si="3"/>
        <v/>
      </c>
      <c r="K39" s="86" t="str">
        <f t="shared" si="3"/>
        <v/>
      </c>
      <c r="L39" s="169" t="str">
        <f t="shared" si="3"/>
        <v/>
      </c>
      <c r="M39" s="140"/>
      <c r="O39" s="170">
        <v>1</v>
      </c>
      <c r="P39" s="106" t="s">
        <v>78</v>
      </c>
      <c r="Y39" s="102"/>
      <c r="AA39" s="105" t="s">
        <v>79</v>
      </c>
      <c r="AB39" s="136"/>
      <c r="AC39" s="119" t="str">
        <f t="shared" si="2"/>
        <v>Change</v>
      </c>
      <c r="AD39" s="137" t="str">
        <f>IF(V22="","",V22)</f>
        <v>W</v>
      </c>
      <c r="AH39" s="86">
        <v>32</v>
      </c>
      <c r="AI39" s="86">
        <v>50</v>
      </c>
      <c r="AJ39" s="141">
        <v>0</v>
      </c>
      <c r="AK39" s="86" t="s">
        <v>32</v>
      </c>
      <c r="AL39" s="86" t="s">
        <v>55</v>
      </c>
      <c r="AM39" s="86">
        <v>34.784206390380859</v>
      </c>
      <c r="AN39" s="86">
        <v>501.46990966796875</v>
      </c>
      <c r="AO39" s="86">
        <v>5.3198718272417294</v>
      </c>
      <c r="AP39" s="86">
        <v>10.576213064369249</v>
      </c>
      <c r="AQ39" s="142">
        <v>34.784206390380859</v>
      </c>
    </row>
    <row r="40" spans="1:43" ht="14.1" customHeight="1">
      <c r="A40" s="87">
        <v>40</v>
      </c>
      <c r="B40" s="138"/>
      <c r="C40" s="167" t="s">
        <v>80</v>
      </c>
      <c r="D40" s="168" t="str">
        <f t="shared" si="3"/>
        <v/>
      </c>
      <c r="E40" s="86" t="str">
        <f t="shared" si="3"/>
        <v/>
      </c>
      <c r="F40" s="169" t="str">
        <f t="shared" si="3"/>
        <v/>
      </c>
      <c r="G40" s="168" t="str">
        <f t="shared" si="3"/>
        <v/>
      </c>
      <c r="H40" s="86" t="str">
        <f t="shared" si="3"/>
        <v/>
      </c>
      <c r="I40" s="169" t="str">
        <f t="shared" si="3"/>
        <v/>
      </c>
      <c r="J40" s="168" t="str">
        <f t="shared" si="3"/>
        <v/>
      </c>
      <c r="K40" s="86" t="str">
        <f t="shared" si="3"/>
        <v/>
      </c>
      <c r="L40" s="169" t="str">
        <f t="shared" si="3"/>
        <v/>
      </c>
      <c r="M40" s="140"/>
      <c r="O40" s="170">
        <v>1</v>
      </c>
      <c r="P40" s="106" t="s">
        <v>81</v>
      </c>
      <c r="Y40" s="102"/>
      <c r="AA40" s="105" t="s">
        <v>82</v>
      </c>
      <c r="AB40" s="136"/>
      <c r="AC40" s="119" t="str">
        <f t="shared" si="2"/>
        <v>Change</v>
      </c>
      <c r="AD40" s="137" t="str">
        <f>IF(V24="","",V24)</f>
        <v>Mo</v>
      </c>
      <c r="AH40" s="86">
        <v>32</v>
      </c>
      <c r="AI40" s="86">
        <v>50</v>
      </c>
      <c r="AJ40" s="141">
        <v>0</v>
      </c>
      <c r="AK40" s="86" t="s">
        <v>32</v>
      </c>
      <c r="AL40" s="86" t="s">
        <v>55</v>
      </c>
      <c r="AM40" s="86">
        <v>34.732753753662109</v>
      </c>
      <c r="AN40" s="86">
        <v>725.248779296875</v>
      </c>
      <c r="AO40" s="86">
        <v>5.3188816775991459</v>
      </c>
      <c r="AP40" s="86">
        <v>7.2881423901160352</v>
      </c>
      <c r="AQ40" s="142">
        <v>34.732753753662109</v>
      </c>
    </row>
    <row r="41" spans="1:43" ht="14.1" customHeight="1" thickBot="1">
      <c r="A41" s="87">
        <v>41</v>
      </c>
      <c r="B41" s="138"/>
      <c r="C41" s="171" t="s">
        <v>83</v>
      </c>
      <c r="D41" s="172" t="str">
        <f t="shared" si="3"/>
        <v/>
      </c>
      <c r="E41" s="173" t="str">
        <f t="shared" si="3"/>
        <v/>
      </c>
      <c r="F41" s="174" t="str">
        <f t="shared" si="3"/>
        <v/>
      </c>
      <c r="G41" s="172" t="str">
        <f t="shared" si="3"/>
        <v/>
      </c>
      <c r="H41" s="173" t="str">
        <f t="shared" si="3"/>
        <v/>
      </c>
      <c r="I41" s="174" t="str">
        <f t="shared" si="3"/>
        <v/>
      </c>
      <c r="J41" s="172" t="str">
        <f t="shared" si="3"/>
        <v/>
      </c>
      <c r="K41" s="173" t="str">
        <f t="shared" si="3"/>
        <v/>
      </c>
      <c r="L41" s="174" t="str">
        <f t="shared" si="3"/>
        <v/>
      </c>
      <c r="M41" s="140"/>
      <c r="O41" s="170">
        <v>1</v>
      </c>
      <c r="P41" s="106" t="s">
        <v>84</v>
      </c>
      <c r="Y41" s="102"/>
      <c r="AA41" s="105" t="s">
        <v>85</v>
      </c>
      <c r="AB41" s="136"/>
      <c r="AC41" s="119" t="str">
        <f t="shared" si="2"/>
        <v>Change</v>
      </c>
      <c r="AD41" s="137" t="str">
        <f>IF(V25="","",V25)</f>
        <v>Rh</v>
      </c>
      <c r="AH41" s="86">
        <v>32</v>
      </c>
      <c r="AI41" s="86">
        <v>50</v>
      </c>
      <c r="AJ41" s="141">
        <v>0.4</v>
      </c>
      <c r="AK41" s="86" t="s">
        <v>32</v>
      </c>
      <c r="AL41" s="86" t="s">
        <v>55</v>
      </c>
      <c r="AM41" s="86">
        <v>39.305618286132813</v>
      </c>
      <c r="AN41" s="86">
        <v>743.39288330078125</v>
      </c>
      <c r="AO41" s="86">
        <v>2.9315982587916305</v>
      </c>
      <c r="AP41" s="86">
        <v>3.9380954226450093</v>
      </c>
      <c r="AQ41" s="142">
        <v>39.305618286132813</v>
      </c>
    </row>
    <row r="42" spans="1:43" ht="14.1" customHeight="1">
      <c r="A42" s="87">
        <v>42</v>
      </c>
      <c r="B42" s="138"/>
      <c r="M42" s="140"/>
      <c r="O42" s="170">
        <v>1</v>
      </c>
      <c r="P42" s="106" t="s">
        <v>86</v>
      </c>
      <c r="Y42" s="102"/>
      <c r="AA42" s="105" t="s">
        <v>61</v>
      </c>
      <c r="AB42" s="136"/>
      <c r="AC42" s="119" t="str">
        <f t="shared" si="2"/>
        <v/>
      </c>
      <c r="AD42" s="137" t="str">
        <f>IF(V32="","",V32)</f>
        <v/>
      </c>
      <c r="AH42" s="86">
        <v>32</v>
      </c>
      <c r="AI42" s="86">
        <v>50</v>
      </c>
      <c r="AJ42" s="141">
        <v>0.4</v>
      </c>
      <c r="AK42" s="86" t="s">
        <v>32</v>
      </c>
      <c r="AL42" s="86" t="s">
        <v>55</v>
      </c>
      <c r="AM42" s="86">
        <v>39.365821838378906</v>
      </c>
      <c r="AN42" s="86">
        <v>500.9678955078125</v>
      </c>
      <c r="AO42" s="86">
        <v>2.9317290484121661</v>
      </c>
      <c r="AP42" s="86">
        <v>5.8284417391171619</v>
      </c>
      <c r="AQ42" s="142">
        <v>39.365821838378906</v>
      </c>
    </row>
    <row r="43" spans="1:43" ht="14.1" customHeight="1">
      <c r="A43" s="87">
        <v>43</v>
      </c>
      <c r="B43" s="138"/>
      <c r="H43" s="121" t="s">
        <v>73</v>
      </c>
      <c r="M43" s="140"/>
      <c r="O43" s="170">
        <v>1</v>
      </c>
      <c r="P43" s="106" t="s">
        <v>87</v>
      </c>
      <c r="Y43" s="102"/>
      <c r="AA43" s="105" t="s">
        <v>88</v>
      </c>
      <c r="AB43" s="136"/>
      <c r="AC43" s="119" t="str">
        <f t="shared" si="2"/>
        <v/>
      </c>
      <c r="AD43" s="137" t="str">
        <f>IF(V33="","",V33)</f>
        <v/>
      </c>
      <c r="AH43" s="86">
        <v>32</v>
      </c>
      <c r="AI43" s="86">
        <v>50</v>
      </c>
      <c r="AJ43" s="141">
        <v>0.5</v>
      </c>
      <c r="AK43" s="86" t="s">
        <v>32</v>
      </c>
      <c r="AL43" s="86" t="s">
        <v>55</v>
      </c>
      <c r="AM43" s="86">
        <v>40.482860565185547</v>
      </c>
      <c r="AN43" s="86">
        <v>741.8787841796875</v>
      </c>
      <c r="AO43" s="86">
        <v>2.5575324550832605</v>
      </c>
      <c r="AP43" s="86">
        <v>3.4402612702316477</v>
      </c>
      <c r="AQ43" s="142">
        <v>40.482860565185547</v>
      </c>
    </row>
    <row r="44" spans="1:43" ht="14.1" customHeight="1">
      <c r="A44" s="87">
        <v>44</v>
      </c>
      <c r="B44" s="138"/>
      <c r="C44" s="175" t="s">
        <v>89</v>
      </c>
      <c r="L44" s="703" t="s">
        <v>90</v>
      </c>
      <c r="M44" s="703"/>
      <c r="O44" s="100"/>
      <c r="Y44" s="102"/>
      <c r="AA44" s="146" t="s">
        <v>63</v>
      </c>
      <c r="AH44" s="86">
        <v>32</v>
      </c>
      <c r="AI44" s="86">
        <v>50</v>
      </c>
      <c r="AJ44" s="141">
        <v>0.5</v>
      </c>
      <c r="AK44" s="86" t="s">
        <v>32</v>
      </c>
      <c r="AL44" s="86" t="s">
        <v>55</v>
      </c>
      <c r="AM44" s="86">
        <v>40.642662048339844</v>
      </c>
      <c r="AN44" s="86">
        <v>501.46688842773437</v>
      </c>
      <c r="AO44" s="86">
        <v>2.5546700613839288</v>
      </c>
      <c r="AP44" s="86">
        <v>5.0839773228807195</v>
      </c>
      <c r="AQ44" s="142">
        <v>40.642662048339844</v>
      </c>
    </row>
    <row r="45" spans="1:43" ht="14.1" customHeight="1">
      <c r="A45" s="87">
        <v>45</v>
      </c>
      <c r="B45" s="138"/>
      <c r="C45" s="176" t="s">
        <v>91</v>
      </c>
      <c r="E45" s="106" t="s">
        <v>78</v>
      </c>
      <c r="L45" s="177" t="str">
        <f>IF(O39="","TBD",IF(O39=1,"YES",IF(O39=3,"NA","")))</f>
        <v>YES</v>
      </c>
      <c r="M45" s="178" t="str">
        <f>IF(O39=2,"NO","")</f>
        <v/>
      </c>
      <c r="O45" s="170">
        <v>1</v>
      </c>
      <c r="P45" s="91" t="s">
        <v>551</v>
      </c>
      <c r="Y45" s="102"/>
      <c r="AA45" s="113" t="s">
        <v>65</v>
      </c>
      <c r="AH45" s="86">
        <v>34</v>
      </c>
      <c r="AI45" s="86">
        <v>50</v>
      </c>
      <c r="AJ45" s="141">
        <v>0</v>
      </c>
      <c r="AK45" s="86" t="s">
        <v>32</v>
      </c>
      <c r="AL45" s="86" t="s">
        <v>55</v>
      </c>
      <c r="AM45" s="86">
        <v>36.858070373535156</v>
      </c>
      <c r="AN45" s="86">
        <v>725.75177001953125</v>
      </c>
      <c r="AO45" s="86">
        <v>6.3087103640583919</v>
      </c>
      <c r="AP45" s="86">
        <v>8.6683378629157879</v>
      </c>
      <c r="AQ45" s="142">
        <v>36.858070373535156</v>
      </c>
    </row>
    <row r="46" spans="1:43" ht="14.1" customHeight="1">
      <c r="A46" s="87">
        <v>46</v>
      </c>
      <c r="B46" s="138"/>
      <c r="C46" s="176" t="s">
        <v>93</v>
      </c>
      <c r="E46" s="106" t="s">
        <v>81</v>
      </c>
      <c r="L46" s="177" t="str">
        <f>IF(O40="","TBD",IF(O40=1,"YES",IF(O40=3,"NA","")))</f>
        <v>YES</v>
      </c>
      <c r="M46" s="178" t="str">
        <f>IF(O40=2,"NO","")</f>
        <v/>
      </c>
      <c r="O46" s="170">
        <v>1</v>
      </c>
      <c r="P46" s="91" t="s">
        <v>552</v>
      </c>
      <c r="Y46" s="102"/>
      <c r="AA46" s="105" t="s">
        <v>95</v>
      </c>
      <c r="AB46" s="136"/>
      <c r="AD46" s="137" t="str">
        <f>IF(P124="","",P124)</f>
        <v/>
      </c>
      <c r="AH46" s="86">
        <v>26</v>
      </c>
      <c r="AI46" s="86">
        <v>50</v>
      </c>
      <c r="AJ46" s="141">
        <v>0</v>
      </c>
      <c r="AK46" s="86" t="s">
        <v>52</v>
      </c>
      <c r="AL46" s="86" t="s">
        <v>55</v>
      </c>
      <c r="AM46" s="86">
        <v>28.246963500976563</v>
      </c>
      <c r="AN46" s="86">
        <v>498.44940185546875</v>
      </c>
      <c r="AO46" s="86">
        <v>1.050965411949325</v>
      </c>
      <c r="AP46" s="86">
        <v>2.0978047490433367</v>
      </c>
      <c r="AQ46" s="142">
        <v>28.246963500976563</v>
      </c>
    </row>
    <row r="47" spans="1:43" ht="14.1" customHeight="1">
      <c r="A47" s="87">
        <v>47</v>
      </c>
      <c r="B47" s="138"/>
      <c r="C47" s="176" t="s">
        <v>96</v>
      </c>
      <c r="E47" s="106" t="s">
        <v>84</v>
      </c>
      <c r="L47" s="177" t="str">
        <f>IF(O41="","TBD",IF(O41=1,"YES",IF(O41=3,"NA","")))</f>
        <v>YES</v>
      </c>
      <c r="M47" s="178" t="str">
        <f>IF(O41=2,"NO","")</f>
        <v/>
      </c>
      <c r="O47" s="170">
        <v>1</v>
      </c>
      <c r="P47" s="91" t="s">
        <v>553</v>
      </c>
      <c r="Y47" s="102"/>
      <c r="AA47" s="105" t="s">
        <v>98</v>
      </c>
      <c r="AB47" s="136"/>
      <c r="AD47" s="137" t="str">
        <f>IF(Q124="","",Q124)</f>
        <v/>
      </c>
      <c r="AH47" s="86">
        <v>28</v>
      </c>
      <c r="AI47" s="86">
        <v>50</v>
      </c>
      <c r="AJ47" s="141">
        <v>0</v>
      </c>
      <c r="AK47" s="86" t="s">
        <v>52</v>
      </c>
      <c r="AL47" s="86" t="s">
        <v>55</v>
      </c>
      <c r="AM47" s="86">
        <v>29.9244384765625</v>
      </c>
      <c r="AN47" s="86">
        <v>498.44290161132812</v>
      </c>
      <c r="AO47" s="86">
        <v>1.2977184192012217</v>
      </c>
      <c r="AP47" s="86">
        <v>2.5929554909458989</v>
      </c>
      <c r="AQ47" s="142">
        <v>29.9244384765625</v>
      </c>
    </row>
    <row r="48" spans="1:43" ht="14.1" customHeight="1">
      <c r="A48" s="87">
        <v>48</v>
      </c>
      <c r="B48" s="138"/>
      <c r="E48" s="106" t="s">
        <v>86</v>
      </c>
      <c r="L48" s="177" t="str">
        <f>IF(O42="","TBD",IF(O42=1,"YES",IF(O42=3,"NA","")))</f>
        <v>YES</v>
      </c>
      <c r="M48" s="178" t="str">
        <f>IF(O42=2,"NO","")</f>
        <v/>
      </c>
      <c r="O48" s="170">
        <v>1</v>
      </c>
      <c r="P48" s="91" t="s">
        <v>554</v>
      </c>
      <c r="Y48" s="102"/>
      <c r="AA48" s="105" t="s">
        <v>100</v>
      </c>
      <c r="AB48" s="136"/>
      <c r="AD48" s="137" t="str">
        <f>IF(R124="","",R124)</f>
        <v/>
      </c>
      <c r="AH48" s="86">
        <v>28</v>
      </c>
      <c r="AI48" s="86">
        <v>50</v>
      </c>
      <c r="AJ48" s="141">
        <v>0</v>
      </c>
      <c r="AK48" s="86" t="s">
        <v>52</v>
      </c>
      <c r="AL48" s="86" t="s">
        <v>55</v>
      </c>
      <c r="AM48" s="86">
        <v>29.957025527954102</v>
      </c>
      <c r="AN48" s="86">
        <v>719.70281982421875</v>
      </c>
      <c r="AO48" s="86">
        <v>1.2968506340809187</v>
      </c>
      <c r="AP48" s="86">
        <v>1.7980926050068584</v>
      </c>
      <c r="AQ48" s="142">
        <v>29.957025527954102</v>
      </c>
    </row>
    <row r="49" spans="1:43" ht="14.1" customHeight="1">
      <c r="A49" s="87">
        <v>49</v>
      </c>
      <c r="B49" s="138"/>
      <c r="E49" s="106" t="s">
        <v>87</v>
      </c>
      <c r="L49" s="177" t="str">
        <f>IF(O43="","TBD",IF(O43=1,"YES",IF(O43=3,"NA","")))</f>
        <v>YES</v>
      </c>
      <c r="M49" s="178" t="str">
        <f>IF(O43=2,"NO","")</f>
        <v/>
      </c>
      <c r="O49" s="170">
        <v>1</v>
      </c>
      <c r="P49" s="91" t="s">
        <v>555</v>
      </c>
      <c r="Y49" s="102"/>
      <c r="AA49" s="105" t="s">
        <v>95</v>
      </c>
      <c r="AB49" s="136"/>
      <c r="AD49" s="137" t="str">
        <f>IF(P125="","",P125)</f>
        <v/>
      </c>
      <c r="AH49" s="86">
        <v>28</v>
      </c>
      <c r="AI49" s="86">
        <v>50</v>
      </c>
      <c r="AJ49" s="141">
        <v>0</v>
      </c>
      <c r="AK49" s="86" t="s">
        <v>52</v>
      </c>
      <c r="AL49" s="86" t="s">
        <v>55</v>
      </c>
      <c r="AM49" s="86">
        <v>29.957025527954102</v>
      </c>
      <c r="AN49" s="86">
        <v>719.70281982421875</v>
      </c>
      <c r="AO49" s="86">
        <v>1.2968506340809187</v>
      </c>
      <c r="AP49" s="86">
        <v>1.7980926050068584</v>
      </c>
      <c r="AQ49" s="142">
        <v>29.957025527954102</v>
      </c>
    </row>
    <row r="50" spans="1:43" ht="14.1" customHeight="1">
      <c r="A50" s="87">
        <v>50</v>
      </c>
      <c r="B50" s="138"/>
      <c r="H50" s="124" t="s">
        <v>92</v>
      </c>
      <c r="M50" s="140"/>
      <c r="O50" s="170">
        <v>1</v>
      </c>
      <c r="P50" s="91" t="s">
        <v>556</v>
      </c>
      <c r="Y50" s="102"/>
      <c r="AA50" s="105" t="s">
        <v>98</v>
      </c>
      <c r="AB50" s="136"/>
      <c r="AD50" s="137" t="str">
        <f>IF(Q125="","",Q125)</f>
        <v/>
      </c>
      <c r="AH50" s="86">
        <v>28</v>
      </c>
      <c r="AI50" s="86">
        <v>50</v>
      </c>
      <c r="AJ50" s="141">
        <v>0</v>
      </c>
      <c r="AK50" s="86" t="s">
        <v>52</v>
      </c>
      <c r="AL50" s="86" t="s">
        <v>55</v>
      </c>
      <c r="AM50" s="86">
        <v>29.957025527954102</v>
      </c>
      <c r="AN50" s="86">
        <v>719.70281982421875</v>
      </c>
      <c r="AO50" s="86">
        <v>1.2968506340809187</v>
      </c>
      <c r="AP50" s="86">
        <v>1.7980926050068584</v>
      </c>
      <c r="AQ50" s="142">
        <v>29.957025527954102</v>
      </c>
    </row>
    <row r="51" spans="1:43" ht="14.1" customHeight="1">
      <c r="A51" s="87">
        <v>51</v>
      </c>
      <c r="B51" s="138"/>
      <c r="E51" s="139" t="s">
        <v>94</v>
      </c>
      <c r="L51" s="177" t="str">
        <f t="shared" ref="L51:L63" si="4">IF(O64="","TBD",IF(O64=1,"YES",IF(O64=3,"NA","")))</f>
        <v>YES</v>
      </c>
      <c r="M51" s="178" t="str">
        <f t="shared" ref="M51:M63" si="5">IF(O64=2,"NO","")</f>
        <v/>
      </c>
      <c r="O51" s="170">
        <v>1</v>
      </c>
      <c r="P51" s="91" t="s">
        <v>557</v>
      </c>
      <c r="Y51" s="102"/>
      <c r="AA51" s="105" t="s">
        <v>100</v>
      </c>
      <c r="AB51" s="136"/>
      <c r="AD51" s="137" t="str">
        <f>IF(R125="","",R125)</f>
        <v/>
      </c>
      <c r="AH51" s="86">
        <v>28</v>
      </c>
      <c r="AI51" s="86">
        <v>50</v>
      </c>
      <c r="AJ51" s="141">
        <v>0.5</v>
      </c>
      <c r="AK51" s="86" t="s">
        <v>52</v>
      </c>
      <c r="AL51" s="86" t="s">
        <v>55</v>
      </c>
      <c r="AM51" s="86">
        <v>32.244174957275391</v>
      </c>
      <c r="AN51" s="86">
        <v>498.44940185546875</v>
      </c>
      <c r="AO51" s="86">
        <v>0.69919963973744936</v>
      </c>
      <c r="AP51" s="86">
        <v>1.3998653190093469</v>
      </c>
      <c r="AQ51" s="142">
        <v>32.244174957275391</v>
      </c>
    </row>
    <row r="52" spans="1:43" ht="14.1" customHeight="1">
      <c r="A52" s="87">
        <v>52</v>
      </c>
      <c r="B52" s="138"/>
      <c r="E52" s="139" t="s">
        <v>97</v>
      </c>
      <c r="L52" s="177" t="str">
        <f t="shared" si="4"/>
        <v>YES</v>
      </c>
      <c r="M52" s="178" t="str">
        <f t="shared" si="5"/>
        <v/>
      </c>
      <c r="O52" s="170">
        <v>1</v>
      </c>
      <c r="P52" s="91" t="s">
        <v>558</v>
      </c>
      <c r="Y52" s="102"/>
      <c r="AA52" s="105" t="s">
        <v>95</v>
      </c>
      <c r="AB52" s="136"/>
      <c r="AD52" s="137" t="str">
        <f>IF(P126="","",P126)</f>
        <v/>
      </c>
      <c r="AH52" s="86">
        <v>28</v>
      </c>
      <c r="AI52" s="86">
        <v>50</v>
      </c>
      <c r="AJ52" s="141">
        <v>0.5</v>
      </c>
      <c r="AK52" s="86" t="s">
        <v>52</v>
      </c>
      <c r="AL52" s="86" t="s">
        <v>55</v>
      </c>
      <c r="AM52" s="86">
        <v>32.273151397705078</v>
      </c>
      <c r="AN52" s="86">
        <v>498.44940185546875</v>
      </c>
      <c r="AO52" s="86">
        <v>0.69789107487350055</v>
      </c>
      <c r="AP52" s="86">
        <v>1.3972454310647584</v>
      </c>
      <c r="AQ52" s="142">
        <v>32.273151397705078</v>
      </c>
    </row>
    <row r="53" spans="1:43" ht="14.1" customHeight="1">
      <c r="A53" s="87">
        <v>53</v>
      </c>
      <c r="B53" s="138"/>
      <c r="E53" s="139" t="s">
        <v>99</v>
      </c>
      <c r="L53" s="177" t="str">
        <f t="shared" si="4"/>
        <v>YES</v>
      </c>
      <c r="M53" s="178" t="str">
        <f t="shared" si="5"/>
        <v/>
      </c>
      <c r="O53" s="170">
        <v>1</v>
      </c>
      <c r="P53" s="91" t="s">
        <v>559</v>
      </c>
      <c r="Y53" s="102"/>
      <c r="AA53" s="105" t="s">
        <v>98</v>
      </c>
      <c r="AB53" s="136"/>
      <c r="AD53" s="137" t="str">
        <f>IF(Q126="","",Q126)</f>
        <v/>
      </c>
      <c r="AH53" s="86">
        <v>28</v>
      </c>
      <c r="AI53" s="86">
        <v>50</v>
      </c>
      <c r="AJ53" s="141">
        <v>0.6</v>
      </c>
      <c r="AK53" s="86" t="s">
        <v>52</v>
      </c>
      <c r="AL53" s="86" t="s">
        <v>55</v>
      </c>
      <c r="AM53" s="86">
        <v>32.687370300292969</v>
      </c>
      <c r="AN53" s="86">
        <v>720.20941162109375</v>
      </c>
      <c r="AO53" s="86">
        <v>0.6227260927272199</v>
      </c>
      <c r="AP53" s="86">
        <v>0.86341418267132208</v>
      </c>
      <c r="AQ53" s="142">
        <v>32.687370300292969</v>
      </c>
    </row>
    <row r="54" spans="1:43" ht="14.1" customHeight="1">
      <c r="A54" s="87">
        <v>54</v>
      </c>
      <c r="B54" s="138"/>
      <c r="E54" s="139" t="s">
        <v>101</v>
      </c>
      <c r="L54" s="177" t="str">
        <f t="shared" si="4"/>
        <v>YES</v>
      </c>
      <c r="M54" s="178" t="str">
        <f t="shared" si="5"/>
        <v/>
      </c>
      <c r="O54" s="170">
        <v>1</v>
      </c>
      <c r="P54" s="91" t="s">
        <v>560</v>
      </c>
      <c r="Y54" s="102"/>
      <c r="AA54" s="105" t="s">
        <v>100</v>
      </c>
      <c r="AB54" s="136"/>
      <c r="AD54" s="137" t="str">
        <f>IF(R126="","",R126)</f>
        <v/>
      </c>
      <c r="AH54" s="86">
        <v>28</v>
      </c>
      <c r="AI54" s="86">
        <v>50</v>
      </c>
      <c r="AJ54" s="141">
        <v>0.6</v>
      </c>
      <c r="AK54" s="86" t="s">
        <v>52</v>
      </c>
      <c r="AL54" s="86" t="s">
        <v>55</v>
      </c>
      <c r="AM54" s="86">
        <v>32.697685241699219</v>
      </c>
      <c r="AN54" s="86">
        <v>498.44241333007812</v>
      </c>
      <c r="AO54" s="86">
        <v>0.62403218355437939</v>
      </c>
      <c r="AP54" s="86">
        <v>1.2493877427605136</v>
      </c>
      <c r="AQ54" s="142">
        <v>32.697685241699219</v>
      </c>
    </row>
    <row r="55" spans="1:43" ht="14.1" customHeight="1">
      <c r="A55" s="87">
        <v>55</v>
      </c>
      <c r="B55" s="138"/>
      <c r="E55" s="139" t="s">
        <v>102</v>
      </c>
      <c r="L55" s="177" t="str">
        <f t="shared" si="4"/>
        <v>NA</v>
      </c>
      <c r="M55" s="178" t="str">
        <f t="shared" si="5"/>
        <v/>
      </c>
      <c r="O55" s="170">
        <v>1</v>
      </c>
      <c r="P55" s="91" t="s">
        <v>561</v>
      </c>
      <c r="Y55" s="102"/>
      <c r="AA55" s="105" t="s">
        <v>95</v>
      </c>
      <c r="AB55" s="136"/>
      <c r="AD55" s="137" t="str">
        <f>IF(P127="","",P127)</f>
        <v/>
      </c>
      <c r="AH55" s="86">
        <v>30</v>
      </c>
      <c r="AI55" s="86">
        <v>50</v>
      </c>
      <c r="AJ55" s="141">
        <v>0</v>
      </c>
      <c r="AK55" s="86" t="s">
        <v>52</v>
      </c>
      <c r="AL55" s="86" t="s">
        <v>55</v>
      </c>
      <c r="AM55" s="86">
        <v>31.47088623046875</v>
      </c>
      <c r="AN55" s="86">
        <v>736.33441162109375</v>
      </c>
      <c r="AO55" s="86">
        <v>1.5399143175531333</v>
      </c>
      <c r="AP55" s="86">
        <v>2.08698000226702</v>
      </c>
      <c r="AQ55" s="142">
        <v>31.47088623046875</v>
      </c>
    </row>
    <row r="56" spans="1:43" ht="14.1" customHeight="1">
      <c r="A56" s="87">
        <v>56</v>
      </c>
      <c r="B56" s="138"/>
      <c r="E56" s="139" t="s">
        <v>103</v>
      </c>
      <c r="L56" s="177" t="str">
        <f t="shared" si="4"/>
        <v>NA</v>
      </c>
      <c r="M56" s="178" t="str">
        <f t="shared" si="5"/>
        <v/>
      </c>
      <c r="O56" s="170">
        <v>1</v>
      </c>
      <c r="P56" s="91" t="s">
        <v>562</v>
      </c>
      <c r="Y56" s="102"/>
      <c r="AA56" s="105" t="s">
        <v>98</v>
      </c>
      <c r="AB56" s="136"/>
      <c r="AD56" s="137"/>
      <c r="AH56" s="86">
        <v>32</v>
      </c>
      <c r="AI56" s="86">
        <v>50</v>
      </c>
      <c r="AJ56" s="141">
        <v>0</v>
      </c>
      <c r="AK56" s="86" t="s">
        <v>52</v>
      </c>
      <c r="AL56" s="86" t="s">
        <v>55</v>
      </c>
      <c r="AM56" s="86">
        <v>33.171131134033203</v>
      </c>
      <c r="AN56" s="86">
        <v>498.44290161132812</v>
      </c>
      <c r="AO56" s="86">
        <v>1.7877585087608185</v>
      </c>
      <c r="AP56" s="86">
        <v>3.5720992917175916</v>
      </c>
      <c r="AQ56" s="142">
        <v>33.171131134033203</v>
      </c>
    </row>
    <row r="57" spans="1:43" ht="14.1" customHeight="1">
      <c r="A57" s="87">
        <v>57</v>
      </c>
      <c r="B57" s="138"/>
      <c r="E57" s="139" t="s">
        <v>109</v>
      </c>
      <c r="L57" s="177" t="str">
        <f t="shared" si="4"/>
        <v>YES</v>
      </c>
      <c r="M57" s="178" t="str">
        <f t="shared" si="5"/>
        <v/>
      </c>
      <c r="O57" s="170">
        <v>1</v>
      </c>
      <c r="P57" s="91" t="s">
        <v>563</v>
      </c>
      <c r="Y57" s="102"/>
      <c r="AA57" s="105" t="s">
        <v>100</v>
      </c>
      <c r="AB57" s="136"/>
      <c r="AD57" s="137"/>
      <c r="AH57" s="86">
        <v>32</v>
      </c>
      <c r="AI57" s="86">
        <v>50</v>
      </c>
      <c r="AJ57" s="141">
        <v>0</v>
      </c>
      <c r="AK57" s="86" t="s">
        <v>52</v>
      </c>
      <c r="AL57" s="86" t="s">
        <v>55</v>
      </c>
      <c r="AM57" s="86">
        <v>33.068737030029297</v>
      </c>
      <c r="AN57" s="86">
        <v>498.44540405273437</v>
      </c>
      <c r="AO57" s="86">
        <v>1.7866348948633326</v>
      </c>
      <c r="AP57" s="86">
        <v>3.5734204496516839</v>
      </c>
      <c r="AQ57" s="142">
        <v>33.068737030029297</v>
      </c>
    </row>
    <row r="58" spans="1:43" ht="14.1" customHeight="1">
      <c r="A58" s="87">
        <v>58</v>
      </c>
      <c r="B58" s="138"/>
      <c r="E58" s="139" t="s">
        <v>105</v>
      </c>
      <c r="L58" s="177" t="str">
        <f t="shared" si="4"/>
        <v>YES</v>
      </c>
      <c r="M58" s="178" t="str">
        <f t="shared" si="5"/>
        <v/>
      </c>
      <c r="O58" s="170">
        <v>1</v>
      </c>
      <c r="P58" s="91" t="s">
        <v>564</v>
      </c>
      <c r="Y58" s="102"/>
      <c r="AA58" s="113" t="s">
        <v>112</v>
      </c>
      <c r="AH58" s="86">
        <v>32</v>
      </c>
      <c r="AI58" s="86">
        <v>50</v>
      </c>
      <c r="AJ58" s="86">
        <v>0.6</v>
      </c>
      <c r="AK58" s="86" t="s">
        <v>52</v>
      </c>
      <c r="AL58" s="86" t="s">
        <v>55</v>
      </c>
      <c r="AM58" s="179">
        <v>35.940486907958984</v>
      </c>
      <c r="AN58" s="179">
        <v>736.84039306640625</v>
      </c>
      <c r="AO58" s="179">
        <v>0.895034428963423</v>
      </c>
      <c r="AP58" s="179">
        <v>1.2130017103662694</v>
      </c>
      <c r="AQ58" s="82">
        <v>35.940486907958984</v>
      </c>
    </row>
    <row r="59" spans="1:43" ht="14.1" customHeight="1">
      <c r="A59" s="87">
        <v>59</v>
      </c>
      <c r="B59" s="138"/>
      <c r="E59" s="139" t="s">
        <v>106</v>
      </c>
      <c r="L59" s="177" t="str">
        <f t="shared" si="4"/>
        <v>YES</v>
      </c>
      <c r="M59" s="178" t="str">
        <f t="shared" si="5"/>
        <v/>
      </c>
      <c r="O59" s="170">
        <v>1</v>
      </c>
      <c r="P59" s="91" t="s">
        <v>565</v>
      </c>
      <c r="Y59" s="102"/>
      <c r="AA59" s="105" t="s">
        <v>95</v>
      </c>
      <c r="AB59" s="136"/>
      <c r="AD59" s="137" t="str">
        <f>IF(S124="","",S124)</f>
        <v/>
      </c>
      <c r="AH59" s="81">
        <v>32</v>
      </c>
      <c r="AI59" s="81">
        <v>50</v>
      </c>
      <c r="AJ59" s="81">
        <v>0.6</v>
      </c>
      <c r="AK59" s="81" t="s">
        <v>52</v>
      </c>
      <c r="AL59" s="81" t="s">
        <v>55</v>
      </c>
      <c r="AM59" s="179">
        <v>36.006809234619141</v>
      </c>
      <c r="AN59" s="179">
        <v>735.3228759765625</v>
      </c>
      <c r="AO59" s="179">
        <v>0.89719305949499484</v>
      </c>
      <c r="AP59" s="179">
        <v>1.2184324718656994</v>
      </c>
      <c r="AQ59" s="82">
        <v>36.006809234619141</v>
      </c>
    </row>
    <row r="60" spans="1:43" ht="14.1" customHeight="1">
      <c r="A60" s="87">
        <v>60</v>
      </c>
      <c r="B60" s="138"/>
      <c r="E60" s="139" t="s">
        <v>107</v>
      </c>
      <c r="L60" s="177" t="str">
        <f t="shared" si="4"/>
        <v>YES</v>
      </c>
      <c r="M60" s="178" t="str">
        <f t="shared" si="5"/>
        <v/>
      </c>
      <c r="O60" s="170">
        <v>1</v>
      </c>
      <c r="P60" s="91" t="s">
        <v>566</v>
      </c>
      <c r="Y60" s="102"/>
      <c r="AA60" s="105" t="s">
        <v>98</v>
      </c>
      <c r="AB60" s="136"/>
      <c r="AD60" s="137" t="str">
        <f>IF(T124="","",T124)</f>
        <v/>
      </c>
      <c r="AH60" s="81">
        <v>32</v>
      </c>
      <c r="AI60" s="81">
        <v>50</v>
      </c>
      <c r="AJ60" s="81">
        <v>0.7</v>
      </c>
      <c r="AK60" s="81" t="s">
        <v>52</v>
      </c>
      <c r="AL60" s="81" t="s">
        <v>55</v>
      </c>
      <c r="AM60" s="179">
        <v>36.317108154296875</v>
      </c>
      <c r="AN60" s="179">
        <v>498.44940185546875</v>
      </c>
      <c r="AO60" s="179">
        <v>0.81099989119587401</v>
      </c>
      <c r="AP60" s="179">
        <v>1.6204300171932629</v>
      </c>
      <c r="AQ60" s="82">
        <v>36.317108154296875</v>
      </c>
    </row>
    <row r="61" spans="1:43" ht="14.1" customHeight="1">
      <c r="A61" s="87">
        <v>61</v>
      </c>
      <c r="B61" s="138"/>
      <c r="E61" s="139" t="s">
        <v>108</v>
      </c>
      <c r="L61" s="177" t="str">
        <f t="shared" si="4"/>
        <v>YES</v>
      </c>
      <c r="M61" s="178" t="str">
        <f t="shared" si="5"/>
        <v/>
      </c>
      <c r="O61" s="170">
        <v>1</v>
      </c>
      <c r="P61" s="91" t="s">
        <v>567</v>
      </c>
      <c r="Y61" s="102"/>
      <c r="AA61" s="105" t="s">
        <v>100</v>
      </c>
      <c r="AB61" s="136"/>
      <c r="AD61" s="137" t="str">
        <f>IF(U124="","",U124)</f>
        <v/>
      </c>
      <c r="AH61" s="81">
        <v>32</v>
      </c>
      <c r="AI61" s="81">
        <v>50</v>
      </c>
      <c r="AJ61" s="81">
        <v>0.7</v>
      </c>
      <c r="AK61" s="81" t="s">
        <v>52</v>
      </c>
      <c r="AL61" s="81" t="s">
        <v>55</v>
      </c>
      <c r="AM61" s="179">
        <v>36.379486083984375</v>
      </c>
      <c r="AN61" s="179">
        <v>736.3306884765625</v>
      </c>
      <c r="AO61" s="179">
        <v>0.80834070284255866</v>
      </c>
      <c r="AP61" s="179">
        <v>1.0947699160942235</v>
      </c>
      <c r="AQ61" s="82">
        <v>36.379486083984375</v>
      </c>
    </row>
    <row r="62" spans="1:43" ht="14.1" customHeight="1">
      <c r="A62" s="87">
        <v>62</v>
      </c>
      <c r="B62" s="138"/>
      <c r="E62" s="139" t="s">
        <v>115</v>
      </c>
      <c r="L62" s="177" t="str">
        <f t="shared" si="4"/>
        <v>YES</v>
      </c>
      <c r="M62" s="178" t="str">
        <f t="shared" si="5"/>
        <v/>
      </c>
      <c r="O62" s="100"/>
      <c r="Y62" s="102"/>
      <c r="AA62" s="105" t="s">
        <v>95</v>
      </c>
      <c r="AB62" s="136"/>
      <c r="AD62" s="137" t="str">
        <f>IF(S125="","",S125)</f>
        <v/>
      </c>
      <c r="AH62" s="81">
        <v>34</v>
      </c>
      <c r="AI62" s="81">
        <v>50</v>
      </c>
      <c r="AJ62" s="180">
        <v>0</v>
      </c>
      <c r="AK62" s="81" t="s">
        <v>52</v>
      </c>
      <c r="AL62" s="81" t="s">
        <v>55</v>
      </c>
      <c r="AM62" s="179">
        <v>34.977096557617188</v>
      </c>
      <c r="AN62" s="179">
        <v>737.33892822265625</v>
      </c>
      <c r="AO62" s="179">
        <v>2.0371236308011751</v>
      </c>
      <c r="AP62" s="179">
        <v>2.7533031645275297</v>
      </c>
      <c r="AQ62" s="82">
        <v>34.977096557617188</v>
      </c>
    </row>
    <row r="63" spans="1:43" ht="14.1" customHeight="1">
      <c r="A63" s="87">
        <v>63</v>
      </c>
      <c r="B63" s="138"/>
      <c r="E63" s="91" t="s">
        <v>117</v>
      </c>
      <c r="L63" s="177" t="str">
        <f t="shared" si="4"/>
        <v>YES</v>
      </c>
      <c r="M63" s="178" t="str">
        <f t="shared" si="5"/>
        <v/>
      </c>
      <c r="O63" s="100"/>
      <c r="T63" s="124" t="s">
        <v>92</v>
      </c>
      <c r="Y63" s="102"/>
      <c r="AA63" s="105" t="s">
        <v>98</v>
      </c>
      <c r="AB63" s="136"/>
      <c r="AD63" s="137" t="str">
        <f>IF(T125="","",T125)</f>
        <v/>
      </c>
    </row>
    <row r="64" spans="1:43" ht="14.1" customHeight="1">
      <c r="A64" s="87">
        <v>64</v>
      </c>
      <c r="B64" s="138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40"/>
      <c r="O64" s="170">
        <v>1</v>
      </c>
      <c r="P64" s="139" t="s">
        <v>94</v>
      </c>
      <c r="Y64" s="102"/>
      <c r="AA64" s="105" t="s">
        <v>100</v>
      </c>
      <c r="AB64" s="136"/>
      <c r="AD64" s="137" t="str">
        <f>IF(U125="","",U125)</f>
        <v/>
      </c>
    </row>
    <row r="65" spans="1:43" ht="14.1" customHeight="1">
      <c r="A65" s="87">
        <v>65</v>
      </c>
      <c r="B65" s="138"/>
      <c r="C65" s="139"/>
      <c r="D65" s="139"/>
      <c r="E65" s="139"/>
      <c r="F65" s="139"/>
      <c r="G65" s="139"/>
      <c r="H65" s="139"/>
      <c r="I65" s="139"/>
      <c r="J65" s="139"/>
      <c r="K65" s="139"/>
      <c r="L65" s="139"/>
      <c r="M65" s="140"/>
      <c r="O65" s="170">
        <v>1</v>
      </c>
      <c r="P65" s="139" t="s">
        <v>97</v>
      </c>
      <c r="Y65" s="102"/>
      <c r="AA65" s="105" t="s">
        <v>95</v>
      </c>
      <c r="AB65" s="136"/>
      <c r="AD65" s="137" t="str">
        <f>IF(S126="","",S126)</f>
        <v/>
      </c>
    </row>
    <row r="66" spans="1:43" ht="14.1" customHeight="1">
      <c r="A66" s="87">
        <v>66</v>
      </c>
      <c r="B66" s="138"/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40"/>
      <c r="O66" s="170">
        <v>1</v>
      </c>
      <c r="P66" s="139" t="s">
        <v>99</v>
      </c>
      <c r="Y66" s="102"/>
      <c r="AA66" s="105" t="s">
        <v>98</v>
      </c>
      <c r="AB66" s="136"/>
      <c r="AD66" s="137" t="str">
        <f>IF(T126="","",T126)</f>
        <v/>
      </c>
    </row>
    <row r="67" spans="1:43" ht="14.1" customHeight="1">
      <c r="A67" s="87">
        <v>67</v>
      </c>
      <c r="B67" s="138"/>
      <c r="C67" s="139"/>
      <c r="D67" s="139"/>
      <c r="E67" s="139"/>
      <c r="F67" s="139"/>
      <c r="G67" s="139"/>
      <c r="H67" s="139"/>
      <c r="I67" s="139"/>
      <c r="J67" s="139"/>
      <c r="K67" s="139"/>
      <c r="L67" s="139"/>
      <c r="M67" s="140"/>
      <c r="O67" s="170">
        <v>1</v>
      </c>
      <c r="P67" s="139" t="s">
        <v>101</v>
      </c>
      <c r="Y67" s="102"/>
      <c r="AA67" s="105" t="s">
        <v>100</v>
      </c>
      <c r="AB67" s="136"/>
      <c r="AD67" s="137" t="str">
        <f>IF(U126="","",U126)</f>
        <v/>
      </c>
    </row>
    <row r="68" spans="1:43" ht="14.1" customHeight="1">
      <c r="A68" s="87">
        <v>68</v>
      </c>
      <c r="B68" s="138"/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40"/>
      <c r="O68" s="170">
        <v>3</v>
      </c>
      <c r="P68" s="139" t="s">
        <v>102</v>
      </c>
      <c r="Y68" s="102"/>
      <c r="AA68" s="105" t="s">
        <v>95</v>
      </c>
      <c r="AB68" s="136"/>
      <c r="AD68" s="137" t="str">
        <f>IF(S127="","",S127)</f>
        <v/>
      </c>
    </row>
    <row r="69" spans="1:43" ht="14.1" customHeight="1">
      <c r="A69" s="87">
        <v>69</v>
      </c>
      <c r="B69" s="138"/>
      <c r="C69" s="139"/>
      <c r="D69" s="139"/>
      <c r="E69" s="139"/>
      <c r="F69" s="139"/>
      <c r="G69" s="139"/>
      <c r="H69" s="139"/>
      <c r="I69" s="139"/>
      <c r="J69" s="139"/>
      <c r="K69" s="139"/>
      <c r="L69" s="139"/>
      <c r="M69" s="140"/>
      <c r="O69" s="170">
        <v>3</v>
      </c>
      <c r="P69" s="139" t="s">
        <v>103</v>
      </c>
      <c r="Y69" s="102"/>
      <c r="AA69" s="105" t="s">
        <v>98</v>
      </c>
      <c r="AB69" s="136"/>
      <c r="AD69" s="137" t="str">
        <f>IF(T127="","",T127)</f>
        <v/>
      </c>
    </row>
    <row r="70" spans="1:43" ht="14.1" customHeight="1" thickBot="1">
      <c r="A70" s="87">
        <v>70</v>
      </c>
      <c r="B70" s="151"/>
      <c r="C70" s="152"/>
      <c r="D70" s="152"/>
      <c r="E70" s="152"/>
      <c r="F70" s="152"/>
      <c r="G70" s="152"/>
      <c r="H70" s="152"/>
      <c r="I70" s="152"/>
      <c r="J70" s="152"/>
      <c r="K70" s="152"/>
      <c r="L70" s="152"/>
      <c r="M70" s="153"/>
      <c r="O70" s="170">
        <v>1</v>
      </c>
      <c r="P70" s="139" t="s">
        <v>104</v>
      </c>
      <c r="Y70" s="102"/>
      <c r="AA70" s="105" t="s">
        <v>100</v>
      </c>
      <c r="AB70" s="136"/>
      <c r="AD70" s="137" t="str">
        <f>IF(U127="","",U127)</f>
        <v/>
      </c>
    </row>
    <row r="71" spans="1:43" ht="14.1" customHeight="1" thickTop="1">
      <c r="A71" s="87">
        <v>71</v>
      </c>
      <c r="C71" s="183" t="s">
        <v>11</v>
      </c>
      <c r="D71" s="489">
        <f>IF($P$7="","",$P$7)</f>
        <v>42178</v>
      </c>
      <c r="E71" s="97"/>
      <c r="F71" s="97"/>
      <c r="G71" s="97"/>
      <c r="H71" s="97"/>
      <c r="I71" s="97"/>
      <c r="J71" s="97"/>
      <c r="K71" s="97"/>
      <c r="L71" s="183" t="s">
        <v>12</v>
      </c>
      <c r="M71" s="490" t="str">
        <f>IF($X$7="","",$X$7)</f>
        <v>Eugene Mah</v>
      </c>
      <c r="O71" s="170">
        <v>1</v>
      </c>
      <c r="P71" s="139" t="s">
        <v>105</v>
      </c>
      <c r="Y71" s="102"/>
      <c r="AA71" s="113" t="s">
        <v>67</v>
      </c>
    </row>
    <row r="72" spans="1:43" ht="14.1" customHeight="1">
      <c r="A72" s="87">
        <v>72</v>
      </c>
      <c r="C72" s="183" t="s">
        <v>121</v>
      </c>
      <c r="D72" s="490" t="str">
        <f>IF($R$14="","",$R$14)</f>
        <v>1C10</v>
      </c>
      <c r="E72" s="97"/>
      <c r="F72" s="97"/>
      <c r="G72" s="97"/>
      <c r="H72" s="97"/>
      <c r="I72" s="97"/>
      <c r="J72" s="97"/>
      <c r="K72" s="97"/>
      <c r="L72" s="183" t="s">
        <v>37</v>
      </c>
      <c r="M72" s="490">
        <f>IF($R$13="","",$R$13)</f>
        <v>1732</v>
      </c>
      <c r="O72" s="170">
        <v>1</v>
      </c>
      <c r="P72" s="139" t="s">
        <v>106</v>
      </c>
      <c r="Y72" s="102"/>
      <c r="AA72" s="105" t="s">
        <v>95</v>
      </c>
      <c r="AB72" s="136"/>
      <c r="AD72" s="137" t="str">
        <f>IF(V124="","",V124)</f>
        <v/>
      </c>
    </row>
    <row r="73" spans="1:43" ht="14.1" customHeight="1">
      <c r="A73" s="87">
        <v>1</v>
      </c>
      <c r="M73" s="186" t="str">
        <f>$H$2</f>
        <v>Medical University of South Carolina</v>
      </c>
      <c r="O73" s="170">
        <v>1</v>
      </c>
      <c r="P73" s="139" t="s">
        <v>107</v>
      </c>
      <c r="Y73" s="102"/>
      <c r="AA73" s="105" t="s">
        <v>98</v>
      </c>
      <c r="AB73" s="136"/>
      <c r="AD73" s="137" t="str">
        <f>IF(W124="","",W124)</f>
        <v/>
      </c>
      <c r="AH73" s="23"/>
      <c r="AI73" s="23"/>
      <c r="AJ73" s="23"/>
      <c r="AK73" s="23"/>
      <c r="AL73" s="23"/>
      <c r="AM73" s="23"/>
      <c r="AN73" s="23"/>
      <c r="AO73" s="23"/>
      <c r="AP73" s="23"/>
      <c r="AQ73" s="23"/>
    </row>
    <row r="74" spans="1:43" ht="14.1" customHeight="1" thickBot="1">
      <c r="A74" s="87">
        <v>2</v>
      </c>
      <c r="H74" s="121" t="s">
        <v>73</v>
      </c>
      <c r="M74" s="187" t="str">
        <f>$H$5</f>
        <v>Mammography System Compliance Inspection</v>
      </c>
      <c r="O74" s="170">
        <v>1</v>
      </c>
      <c r="P74" s="139" t="s">
        <v>108</v>
      </c>
      <c r="Y74" s="102"/>
      <c r="AA74" s="105" t="s">
        <v>100</v>
      </c>
      <c r="AB74" s="136"/>
      <c r="AD74" s="137" t="str">
        <f>IF(X124="","",X124)</f>
        <v/>
      </c>
    </row>
    <row r="75" spans="1:43" ht="14.1" customHeight="1" thickTop="1">
      <c r="A75" s="87">
        <v>3</v>
      </c>
      <c r="B75" s="129"/>
      <c r="C75" s="188" t="s">
        <v>89</v>
      </c>
      <c r="D75" s="130"/>
      <c r="E75" s="130"/>
      <c r="F75" s="130"/>
      <c r="G75" s="130"/>
      <c r="H75" s="189" t="s">
        <v>113</v>
      </c>
      <c r="I75" s="130"/>
      <c r="J75" s="130"/>
      <c r="K75" s="130"/>
      <c r="L75" s="130"/>
      <c r="M75" s="132"/>
      <c r="O75" s="170">
        <v>1</v>
      </c>
      <c r="P75" s="139" t="s">
        <v>110</v>
      </c>
      <c r="Y75" s="102"/>
      <c r="AA75" s="105" t="s">
        <v>95</v>
      </c>
      <c r="AB75" s="136"/>
      <c r="AD75" s="137" t="str">
        <f>IF(V125="","",V125)</f>
        <v/>
      </c>
    </row>
    <row r="76" spans="1:43" ht="14.1" customHeight="1">
      <c r="A76" s="87">
        <v>4</v>
      </c>
      <c r="B76" s="138"/>
      <c r="C76" s="139" t="s">
        <v>126</v>
      </c>
      <c r="D76" s="139"/>
      <c r="E76" s="139" t="s">
        <v>127</v>
      </c>
      <c r="F76" s="139"/>
      <c r="G76" s="139"/>
      <c r="H76" s="139"/>
      <c r="I76" s="139"/>
      <c r="J76" s="139"/>
      <c r="K76" s="139"/>
      <c r="L76" s="222" t="str">
        <f>IF(O79="","TBD",IF(O79=1,"YES",IF(O79=3,"NA","")))</f>
        <v>YES</v>
      </c>
      <c r="M76" s="178" t="str">
        <f>IF(O79=2,"NO","")</f>
        <v/>
      </c>
      <c r="O76" s="170">
        <v>1</v>
      </c>
      <c r="P76" s="91" t="s">
        <v>111</v>
      </c>
      <c r="Y76" s="102"/>
      <c r="AA76" s="105" t="s">
        <v>98</v>
      </c>
      <c r="AB76" s="136"/>
      <c r="AD76" s="137" t="str">
        <f>IF(W125="","",W125)</f>
        <v/>
      </c>
    </row>
    <row r="77" spans="1:43" ht="14.1" customHeight="1">
      <c r="A77" s="87">
        <v>5</v>
      </c>
      <c r="B77" s="138"/>
      <c r="C77" s="139" t="s">
        <v>129</v>
      </c>
      <c r="D77" s="139"/>
      <c r="E77" s="139" t="s">
        <v>130</v>
      </c>
      <c r="F77" s="139"/>
      <c r="G77" s="139"/>
      <c r="H77" s="139"/>
      <c r="I77" s="139"/>
      <c r="J77" s="139"/>
      <c r="K77" s="139"/>
      <c r="L77" s="222" t="str">
        <f>IF(O80="","TBD",IF(O80=1,"YES",IF(O80=3,"NA","")))</f>
        <v>YES</v>
      </c>
      <c r="M77" s="178" t="str">
        <f>IF(O80=2,"NO","")</f>
        <v/>
      </c>
      <c r="O77" s="100"/>
      <c r="Y77" s="102"/>
      <c r="AA77" s="105" t="s">
        <v>100</v>
      </c>
      <c r="AB77" s="136"/>
      <c r="AD77" s="137" t="str">
        <f>IF(X125="","",X125)</f>
        <v/>
      </c>
    </row>
    <row r="78" spans="1:43" ht="14.1" customHeight="1">
      <c r="A78" s="87">
        <v>6</v>
      </c>
      <c r="B78" s="138"/>
      <c r="C78" s="139" t="s">
        <v>132</v>
      </c>
      <c r="D78" s="139"/>
      <c r="E78" s="139" t="s">
        <v>118</v>
      </c>
      <c r="F78" s="139"/>
      <c r="G78" s="139"/>
      <c r="H78" s="139"/>
      <c r="I78" s="139"/>
      <c r="J78" s="139"/>
      <c r="K78" s="139"/>
      <c r="L78" s="222" t="str">
        <f>IF(O81="","TBD",IF(O81=1,"YES",IF(O81=3,"NA","")))</f>
        <v>YES</v>
      </c>
      <c r="M78" s="178" t="str">
        <f>IF(O81=2,"NO","")</f>
        <v/>
      </c>
      <c r="O78" s="100"/>
      <c r="T78" s="124" t="s">
        <v>113</v>
      </c>
      <c r="Y78" s="102"/>
      <c r="AA78" s="105" t="s">
        <v>95</v>
      </c>
      <c r="AB78" s="136"/>
      <c r="AD78" s="137" t="str">
        <f>IF(V126="","",V126)</f>
        <v/>
      </c>
    </row>
    <row r="79" spans="1:43" ht="14.1" customHeight="1">
      <c r="A79" s="87">
        <v>7</v>
      </c>
      <c r="B79" s="138"/>
      <c r="C79" s="139" t="s">
        <v>134</v>
      </c>
      <c r="D79" s="139"/>
      <c r="E79" s="139" t="s">
        <v>135</v>
      </c>
      <c r="F79" s="139"/>
      <c r="G79" s="139"/>
      <c r="H79" s="139"/>
      <c r="I79" s="139"/>
      <c r="J79" s="139"/>
      <c r="K79" s="139"/>
      <c r="L79" s="222" t="str">
        <f>IF(O82="","TBD",IF(O82=1,"YES",IF(O82=3,"NA","")))</f>
        <v>YES</v>
      </c>
      <c r="M79" s="178" t="str">
        <f>IF(O82=2,"NO","")</f>
        <v/>
      </c>
      <c r="O79" s="170">
        <v>1</v>
      </c>
      <c r="P79" s="91" t="s">
        <v>114</v>
      </c>
      <c r="Y79" s="102"/>
      <c r="AA79" s="105" t="s">
        <v>98</v>
      </c>
      <c r="AB79" s="136"/>
      <c r="AD79" s="137" t="str">
        <f>IF(W126="","",W126)</f>
        <v/>
      </c>
    </row>
    <row r="80" spans="1:43" ht="14.1" customHeight="1">
      <c r="A80" s="87">
        <v>8</v>
      </c>
      <c r="B80" s="138"/>
      <c r="C80" s="139" t="s">
        <v>137</v>
      </c>
      <c r="D80" s="139"/>
      <c r="E80" s="139" t="s">
        <v>120</v>
      </c>
      <c r="F80" s="139"/>
      <c r="G80" s="139"/>
      <c r="H80" s="139"/>
      <c r="I80" s="139"/>
      <c r="J80" s="139"/>
      <c r="K80" s="139"/>
      <c r="L80" s="222" t="str">
        <f>IF(O83="","TBD",IF(O83=1,"YES",IF(O83=3,"NA","")))</f>
        <v>YES</v>
      </c>
      <c r="M80" s="178" t="str">
        <f>IF(O83=2,"NO","")</f>
        <v/>
      </c>
      <c r="O80" s="170">
        <v>1</v>
      </c>
      <c r="P80" s="91" t="s">
        <v>116</v>
      </c>
      <c r="Y80" s="102"/>
      <c r="AA80" s="105" t="s">
        <v>100</v>
      </c>
      <c r="AB80" s="136"/>
      <c r="AD80" s="137" t="str">
        <f>IF(X126="","",X126)</f>
        <v/>
      </c>
    </row>
    <row r="81" spans="1:30" ht="14.1" customHeight="1">
      <c r="A81" s="87">
        <v>9</v>
      </c>
      <c r="B81" s="138"/>
      <c r="C81" s="139" t="s">
        <v>139</v>
      </c>
      <c r="D81" s="139"/>
      <c r="E81" s="139" t="s">
        <v>140</v>
      </c>
      <c r="F81" s="139"/>
      <c r="G81" s="139"/>
      <c r="H81" s="139"/>
      <c r="I81" s="139"/>
      <c r="J81" s="139"/>
      <c r="K81" s="139"/>
      <c r="L81" s="222" t="str">
        <f>IF(O84="","TBD",IF(O84=1,"YES",IF(O84=3,"NA","")))</f>
        <v>YES</v>
      </c>
      <c r="M81" s="178" t="str">
        <f>IF(O84=2,"NO","")</f>
        <v/>
      </c>
      <c r="O81" s="170">
        <v>1</v>
      </c>
      <c r="P81" s="91" t="s">
        <v>118</v>
      </c>
      <c r="Y81" s="102"/>
      <c r="AA81" s="105" t="s">
        <v>95</v>
      </c>
      <c r="AB81" s="136"/>
      <c r="AD81" s="137" t="str">
        <f>IF(V127="","",V127)</f>
        <v/>
      </c>
    </row>
    <row r="82" spans="1:30" ht="14.1" customHeight="1">
      <c r="A82" s="87">
        <v>10</v>
      </c>
      <c r="B82" s="138"/>
      <c r="C82" s="139" t="s">
        <v>142</v>
      </c>
      <c r="D82" s="139"/>
      <c r="E82" s="139" t="s">
        <v>123</v>
      </c>
      <c r="F82" s="139"/>
      <c r="G82" s="139"/>
      <c r="H82" s="139"/>
      <c r="I82" s="139"/>
      <c r="J82" s="139"/>
      <c r="K82" s="139"/>
      <c r="L82" s="222" t="str">
        <f>IF(O85="","TBD",IF(O85=1,"YES",IF(O85=3,"NA","")))</f>
        <v>YES</v>
      </c>
      <c r="M82" s="178" t="str">
        <f>IF(O85=2,"NO","")</f>
        <v/>
      </c>
      <c r="O82" s="170">
        <v>1</v>
      </c>
      <c r="P82" s="91" t="s">
        <v>119</v>
      </c>
      <c r="Y82" s="102"/>
      <c r="AA82" s="105" t="s">
        <v>98</v>
      </c>
      <c r="AB82" s="136"/>
      <c r="AD82" s="137" t="str">
        <f>IF(W127="","",W127)</f>
        <v/>
      </c>
    </row>
    <row r="83" spans="1:30" ht="14.1" customHeight="1">
      <c r="A83" s="87">
        <v>11</v>
      </c>
      <c r="B83" s="138"/>
      <c r="C83" s="139" t="s">
        <v>144</v>
      </c>
      <c r="D83" s="139"/>
      <c r="E83" s="139" t="s">
        <v>145</v>
      </c>
      <c r="F83" s="139"/>
      <c r="G83" s="139"/>
      <c r="H83" s="139"/>
      <c r="I83" s="139"/>
      <c r="J83" s="139"/>
      <c r="K83" s="139"/>
      <c r="L83" s="222" t="str">
        <f>IF(O86="","TBD",IF(O86=1,"YES",IF(O86=3,"NA","")))</f>
        <v>YES</v>
      </c>
      <c r="M83" s="178" t="str">
        <f>IF(O86=2,"NO","")</f>
        <v/>
      </c>
      <c r="O83" s="170">
        <v>1</v>
      </c>
      <c r="P83" s="91" t="s">
        <v>120</v>
      </c>
      <c r="Y83" s="102"/>
      <c r="AA83" s="105" t="s">
        <v>100</v>
      </c>
      <c r="AB83" s="136"/>
      <c r="AD83" s="137" t="str">
        <f>IF(X127="","",X127)</f>
        <v/>
      </c>
    </row>
    <row r="84" spans="1:30" ht="14.1" customHeight="1">
      <c r="A84" s="87">
        <v>12</v>
      </c>
      <c r="B84" s="138"/>
      <c r="C84" s="139" t="s">
        <v>147</v>
      </c>
      <c r="D84" s="139"/>
      <c r="E84" s="139" t="s">
        <v>125</v>
      </c>
      <c r="F84" s="139"/>
      <c r="G84" s="139"/>
      <c r="H84" s="139"/>
      <c r="I84" s="139"/>
      <c r="J84" s="139"/>
      <c r="K84" s="139"/>
      <c r="L84" s="222" t="str">
        <f>IF(O87="","TBD",IF(O87=1,"YES",IF(O87=3,"NA","")))</f>
        <v>YES</v>
      </c>
      <c r="M84" s="178" t="str">
        <f>IF(O87=2,"NO","")</f>
        <v/>
      </c>
      <c r="O84" s="170">
        <v>1</v>
      </c>
      <c r="P84" s="91" t="s">
        <v>122</v>
      </c>
      <c r="Y84" s="102"/>
    </row>
    <row r="85" spans="1:30" ht="14.1" customHeight="1">
      <c r="A85" s="87">
        <v>13</v>
      </c>
      <c r="B85" s="138"/>
      <c r="C85" s="139" t="s">
        <v>149</v>
      </c>
      <c r="D85" s="139"/>
      <c r="E85" s="139" t="s">
        <v>128</v>
      </c>
      <c r="F85" s="139"/>
      <c r="G85" s="139"/>
      <c r="H85" s="139"/>
      <c r="I85" s="139"/>
      <c r="J85" s="139"/>
      <c r="K85" s="139"/>
      <c r="L85" s="222" t="str">
        <f>IF(O88="","TBD",IF(O88=1,"YES",IF(O88=3,"NA","")))</f>
        <v>YES</v>
      </c>
      <c r="M85" s="178" t="str">
        <f>IF(O88=2,"NO","")</f>
        <v/>
      </c>
      <c r="O85" s="170">
        <v>1</v>
      </c>
      <c r="P85" s="91" t="s">
        <v>123</v>
      </c>
      <c r="Y85" s="102"/>
      <c r="AA85" s="105" t="s">
        <v>161</v>
      </c>
      <c r="AB85" s="136">
        <v>0.99230303955999999</v>
      </c>
      <c r="AD85" s="190">
        <f>IF(X271="","",X271)</f>
        <v>0.96285315624580348</v>
      </c>
    </row>
    <row r="86" spans="1:30" ht="14.1" customHeight="1">
      <c r="A86" s="87">
        <v>14</v>
      </c>
      <c r="B86" s="138"/>
      <c r="C86" s="139" t="s">
        <v>149</v>
      </c>
      <c r="D86" s="139"/>
      <c r="E86" s="139" t="s">
        <v>131</v>
      </c>
      <c r="F86" s="139"/>
      <c r="G86" s="139"/>
      <c r="H86" s="139"/>
      <c r="I86" s="139"/>
      <c r="J86" s="139"/>
      <c r="K86" s="139"/>
      <c r="L86" s="222" t="str">
        <f>IF(O89="","TBD",IF(O89=1,"YES",IF(O89=3,"NA","")))</f>
        <v>YES</v>
      </c>
      <c r="M86" s="178" t="str">
        <f>IF(O89=2,"NO","")</f>
        <v/>
      </c>
      <c r="O86" s="170">
        <v>1</v>
      </c>
      <c r="P86" s="91" t="s">
        <v>124</v>
      </c>
      <c r="Y86" s="102"/>
      <c r="AA86" s="105" t="s">
        <v>569</v>
      </c>
      <c r="AB86" s="136">
        <v>0.10918095238095238</v>
      </c>
      <c r="AD86" s="191">
        <f>IF(S312="","",S312)</f>
        <v>8.7329093538596914E-2</v>
      </c>
    </row>
    <row r="87" spans="1:30" ht="14.1" customHeight="1">
      <c r="A87" s="87">
        <v>15</v>
      </c>
      <c r="B87" s="138"/>
      <c r="C87" s="139" t="s">
        <v>152</v>
      </c>
      <c r="D87" s="139"/>
      <c r="E87" s="139" t="s">
        <v>133</v>
      </c>
      <c r="F87" s="139"/>
      <c r="G87" s="139"/>
      <c r="H87" s="139"/>
      <c r="I87" s="139"/>
      <c r="J87" s="139"/>
      <c r="K87" s="139"/>
      <c r="L87" s="222" t="str">
        <f>IF(O90="","TBD",IF(O90=1,"YES",IF(O90=3,"NA","")))</f>
        <v>YES</v>
      </c>
      <c r="M87" s="178" t="str">
        <f>IF(O90=2,"NO","")</f>
        <v/>
      </c>
      <c r="O87" s="170">
        <v>1</v>
      </c>
      <c r="P87" s="91" t="s">
        <v>125</v>
      </c>
      <c r="Y87" s="102"/>
      <c r="AA87" s="105" t="s">
        <v>570</v>
      </c>
      <c r="AB87" s="136">
        <v>8.4628788331235718</v>
      </c>
      <c r="AD87" s="190">
        <f>IF(T312="","",T312)</f>
        <v>7.3648213978498642</v>
      </c>
    </row>
    <row r="88" spans="1:30" ht="14.1" customHeight="1">
      <c r="A88" s="87">
        <v>16</v>
      </c>
      <c r="B88" s="138"/>
      <c r="C88" s="139" t="s">
        <v>154</v>
      </c>
      <c r="D88" s="139"/>
      <c r="E88" s="139" t="s">
        <v>136</v>
      </c>
      <c r="F88" s="139"/>
      <c r="G88" s="139"/>
      <c r="H88" s="139"/>
      <c r="I88" s="139"/>
      <c r="J88" s="139"/>
      <c r="K88" s="139"/>
      <c r="L88" s="222" t="str">
        <f>IF(O91="","TBD",IF(O91=1,"YES",IF(O91=3,"NA","")))</f>
        <v>YES</v>
      </c>
      <c r="M88" s="178" t="str">
        <f>IF(O91=2,"NO","")</f>
        <v/>
      </c>
      <c r="O88" s="170">
        <v>1</v>
      </c>
      <c r="P88" s="91" t="s">
        <v>128</v>
      </c>
      <c r="Y88" s="102"/>
      <c r="AA88" s="105" t="s">
        <v>571</v>
      </c>
      <c r="AB88" s="136"/>
      <c r="AD88" s="191">
        <f>IF(X312="","",X312)</f>
        <v>2.5941351607219894E-2</v>
      </c>
    </row>
    <row r="89" spans="1:30" ht="14.1" customHeight="1">
      <c r="A89" s="87">
        <v>17</v>
      </c>
      <c r="B89" s="138"/>
      <c r="C89" s="445"/>
      <c r="D89" s="139"/>
      <c r="E89" s="139" t="s">
        <v>138</v>
      </c>
      <c r="F89" s="139"/>
      <c r="G89" s="139"/>
      <c r="H89" s="139"/>
      <c r="I89" s="139"/>
      <c r="J89" s="139"/>
      <c r="K89" s="139"/>
      <c r="L89" s="222" t="str">
        <f>IF(O92="","TBD",IF(O92=1,"YES",IF(O92=3,"NA","")))</f>
        <v>YES</v>
      </c>
      <c r="M89" s="178" t="str">
        <f>IF(O92=2,"NO","")</f>
        <v/>
      </c>
      <c r="O89" s="170">
        <v>1</v>
      </c>
      <c r="P89" s="91" t="s">
        <v>131</v>
      </c>
      <c r="Y89" s="102"/>
      <c r="AA89" s="105" t="s">
        <v>572</v>
      </c>
      <c r="AB89" s="136"/>
      <c r="AD89" s="190">
        <f>IF(Y312="","",Y312)</f>
        <v>2.0023300832601523</v>
      </c>
    </row>
    <row r="90" spans="1:30" ht="14.1" customHeight="1">
      <c r="A90" s="87">
        <v>18</v>
      </c>
      <c r="B90" s="138"/>
      <c r="C90" s="139" t="s">
        <v>157</v>
      </c>
      <c r="D90" s="139"/>
      <c r="E90" s="139" t="s">
        <v>141</v>
      </c>
      <c r="F90" s="139"/>
      <c r="G90" s="139"/>
      <c r="H90" s="139"/>
      <c r="I90" s="139"/>
      <c r="J90" s="139"/>
      <c r="K90" s="139"/>
      <c r="L90" s="222" t="str">
        <f>IF(O93="","TBD",IF(O93=1,"YES",IF(O93=3,"NA","")))</f>
        <v>YES</v>
      </c>
      <c r="M90" s="178" t="str">
        <f>IF(O93=2,"NO","")</f>
        <v/>
      </c>
      <c r="O90" s="170">
        <v>1</v>
      </c>
      <c r="P90" s="91" t="s">
        <v>133</v>
      </c>
      <c r="Y90" s="102"/>
      <c r="AA90" s="146" t="s">
        <v>170</v>
      </c>
    </row>
    <row r="91" spans="1:30" ht="14.1" customHeight="1">
      <c r="A91" s="87">
        <v>19</v>
      </c>
      <c r="B91" s="138"/>
      <c r="C91" s="139" t="s">
        <v>159</v>
      </c>
      <c r="D91" s="139"/>
      <c r="E91" s="139" t="s">
        <v>143</v>
      </c>
      <c r="F91" s="139"/>
      <c r="G91" s="139"/>
      <c r="H91" s="139"/>
      <c r="I91" s="139"/>
      <c r="J91" s="139"/>
      <c r="K91" s="139"/>
      <c r="L91" s="222" t="str">
        <f>IF(O94="","TBD",IF(O94=1,"YES",IF(O94=3,"NA","")))</f>
        <v>YES</v>
      </c>
      <c r="M91" s="178" t="str">
        <f>IF(O94=2,"NO","")</f>
        <v/>
      </c>
      <c r="O91" s="170">
        <v>1</v>
      </c>
      <c r="P91" s="91" t="s">
        <v>136</v>
      </c>
      <c r="Y91" s="102"/>
      <c r="AA91" s="105" t="s">
        <v>173</v>
      </c>
      <c r="AB91" s="136"/>
      <c r="AD91" s="137">
        <f t="shared" ref="AD91:AD96" si="6">IF(Q351="","",Q351)</f>
        <v>28</v>
      </c>
    </row>
    <row r="92" spans="1:30" ht="14.1" customHeight="1">
      <c r="A92" s="87">
        <v>20</v>
      </c>
      <c r="B92" s="138"/>
      <c r="C92" s="139" t="s">
        <v>162</v>
      </c>
      <c r="D92" s="139"/>
      <c r="E92" s="139" t="s">
        <v>146</v>
      </c>
      <c r="F92" s="139"/>
      <c r="G92" s="139"/>
      <c r="H92" s="139"/>
      <c r="I92" s="139"/>
      <c r="J92" s="139"/>
      <c r="K92" s="139"/>
      <c r="L92" s="222" t="str">
        <f>IF(O95="","TBD",IF(O95=1,"YES",IF(O95=3,"NA","")))</f>
        <v>YES</v>
      </c>
      <c r="M92" s="178" t="str">
        <f>IF(O95=2,"NO","")</f>
        <v/>
      </c>
      <c r="O92" s="170">
        <v>1</v>
      </c>
      <c r="P92" s="91" t="s">
        <v>138</v>
      </c>
      <c r="Y92" s="102"/>
      <c r="AA92" s="105" t="s">
        <v>176</v>
      </c>
      <c r="AB92" s="136"/>
      <c r="AD92" s="137">
        <f t="shared" si="6"/>
        <v>116.3</v>
      </c>
    </row>
    <row r="93" spans="1:30" ht="14.1" customHeight="1">
      <c r="A93" s="87">
        <v>21</v>
      </c>
      <c r="B93" s="138"/>
      <c r="C93" s="139" t="s">
        <v>164</v>
      </c>
      <c r="D93" s="139"/>
      <c r="E93" s="139" t="s">
        <v>165</v>
      </c>
      <c r="F93" s="139"/>
      <c r="G93" s="139"/>
      <c r="H93" s="139"/>
      <c r="I93" s="139"/>
      <c r="J93" s="139"/>
      <c r="K93" s="139"/>
      <c r="L93" s="222" t="str">
        <f>IF(O96="","TBD",IF(O96=1,"YES",IF(O96=3,"NA","")))</f>
        <v>YES</v>
      </c>
      <c r="M93" s="178" t="str">
        <f>IF(O96=2,"NO","")</f>
        <v/>
      </c>
      <c r="O93" s="170">
        <v>1</v>
      </c>
      <c r="P93" s="91" t="s">
        <v>141</v>
      </c>
      <c r="Y93" s="102"/>
      <c r="AA93" s="105" t="s">
        <v>179</v>
      </c>
      <c r="AB93" s="136"/>
      <c r="AD93" s="137">
        <f t="shared" si="6"/>
        <v>1.76</v>
      </c>
    </row>
    <row r="94" spans="1:30" ht="14.1" customHeight="1">
      <c r="A94" s="87">
        <v>22</v>
      </c>
      <c r="B94" s="138"/>
      <c r="C94" s="139" t="s">
        <v>167</v>
      </c>
      <c r="D94" s="139"/>
      <c r="E94" s="139" t="s">
        <v>168</v>
      </c>
      <c r="F94" s="139"/>
      <c r="G94" s="139"/>
      <c r="H94" s="139"/>
      <c r="I94" s="139"/>
      <c r="J94" s="139"/>
      <c r="K94" s="139"/>
      <c r="L94" s="222" t="str">
        <f>IF(O97="","TBD",IF(O97=1,"YES",IF(O97=3,"NA","")))</f>
        <v>YES</v>
      </c>
      <c r="M94" s="178" t="str">
        <f>IF(O97=2,"NO","")</f>
        <v/>
      </c>
      <c r="O94" s="170">
        <v>1</v>
      </c>
      <c r="P94" s="91" t="s">
        <v>143</v>
      </c>
      <c r="Y94" s="102"/>
      <c r="AA94" s="105" t="s">
        <v>182</v>
      </c>
      <c r="AB94" s="136"/>
      <c r="AD94" s="137">
        <f t="shared" si="6"/>
        <v>1.1299999999999999</v>
      </c>
    </row>
    <row r="95" spans="1:30" ht="14.1" customHeight="1">
      <c r="A95" s="87">
        <v>23</v>
      </c>
      <c r="B95" s="138"/>
      <c r="C95" s="139" t="s">
        <v>171</v>
      </c>
      <c r="D95" s="139"/>
      <c r="E95" s="139" t="s">
        <v>151</v>
      </c>
      <c r="F95" s="139"/>
      <c r="G95" s="139"/>
      <c r="H95" s="139"/>
      <c r="I95" s="139"/>
      <c r="J95" s="139"/>
      <c r="K95" s="139"/>
      <c r="L95" s="222" t="str">
        <f>IF(O98="","TBD",IF(O98=1,"YES",IF(O98=3,"NA","")))</f>
        <v>YES</v>
      </c>
      <c r="M95" s="178" t="str">
        <f>IF(O98=2,"NO","")</f>
        <v/>
      </c>
      <c r="O95" s="170">
        <v>1</v>
      </c>
      <c r="P95" s="91" t="s">
        <v>146</v>
      </c>
      <c r="Y95" s="102"/>
      <c r="AA95" s="105" t="s">
        <v>184</v>
      </c>
      <c r="AB95" s="136"/>
      <c r="AD95" s="137">
        <f t="shared" si="6"/>
        <v>1.82</v>
      </c>
    </row>
    <row r="96" spans="1:30" ht="14.1" customHeight="1">
      <c r="A96" s="87">
        <v>24</v>
      </c>
      <c r="B96" s="138"/>
      <c r="C96" s="139" t="s">
        <v>174</v>
      </c>
      <c r="D96" s="139"/>
      <c r="E96" s="139" t="s">
        <v>153</v>
      </c>
      <c r="F96" s="139"/>
      <c r="G96" s="139"/>
      <c r="H96" s="139"/>
      <c r="I96" s="139"/>
      <c r="J96" s="139"/>
      <c r="K96" s="139"/>
      <c r="L96" s="222" t="str">
        <f>IF(O99="","TBD",IF(O99=1,"YES",IF(O99=3,"NA","")))</f>
        <v>YES</v>
      </c>
      <c r="M96" s="178" t="str">
        <f>IF(O99=2,"NO","")</f>
        <v/>
      </c>
      <c r="O96" s="170">
        <v>1</v>
      </c>
      <c r="P96" s="91" t="s">
        <v>148</v>
      </c>
      <c r="Y96" s="102"/>
      <c r="AA96" s="105" t="s">
        <v>185</v>
      </c>
      <c r="AB96" s="136"/>
      <c r="AD96" s="137">
        <f t="shared" si="6"/>
        <v>0.69000000000000017</v>
      </c>
    </row>
    <row r="97" spans="1:30" ht="14.1" customHeight="1">
      <c r="A97" s="87">
        <v>25</v>
      </c>
      <c r="B97" s="138"/>
      <c r="C97" s="139" t="s">
        <v>177</v>
      </c>
      <c r="D97" s="139"/>
      <c r="E97" s="139" t="s">
        <v>155</v>
      </c>
      <c r="F97" s="139"/>
      <c r="G97" s="139"/>
      <c r="H97" s="139"/>
      <c r="I97" s="139"/>
      <c r="J97" s="139"/>
      <c r="K97" s="139"/>
      <c r="L97" s="222" t="str">
        <f>IF(O100="","TBD",IF(O100=1,"YES",IF(O100=3,"NA","")))</f>
        <v>YES</v>
      </c>
      <c r="M97" s="178" t="str">
        <f>IF(O100=2,"NO","")</f>
        <v/>
      </c>
      <c r="O97" s="170">
        <v>1</v>
      </c>
      <c r="P97" s="91" t="s">
        <v>150</v>
      </c>
      <c r="Y97" s="102"/>
      <c r="AA97" s="105" t="s">
        <v>187</v>
      </c>
      <c r="AB97" s="136"/>
      <c r="AD97" s="137">
        <f>IF(U351="","",U351)</f>
        <v>5</v>
      </c>
    </row>
    <row r="98" spans="1:30" ht="14.1" customHeight="1">
      <c r="A98" s="87">
        <v>26</v>
      </c>
      <c r="B98" s="138"/>
      <c r="C98" s="139" t="s">
        <v>180</v>
      </c>
      <c r="D98" s="139"/>
      <c r="E98" s="139" t="s">
        <v>156</v>
      </c>
      <c r="F98" s="139"/>
      <c r="G98" s="139"/>
      <c r="H98" s="139"/>
      <c r="I98" s="139"/>
      <c r="J98" s="139"/>
      <c r="K98" s="139"/>
      <c r="L98" s="222" t="str">
        <f>IF(O101="","TBD",IF(O101=1,"YES",IF(O101=3,"NA","")))</f>
        <v>YES</v>
      </c>
      <c r="M98" s="178" t="str">
        <f>IF(O101=2,"NO","")</f>
        <v/>
      </c>
      <c r="O98" s="170">
        <v>1</v>
      </c>
      <c r="P98" s="91" t="s">
        <v>151</v>
      </c>
      <c r="Y98" s="102"/>
      <c r="AA98" s="105" t="s">
        <v>189</v>
      </c>
      <c r="AB98" s="136"/>
      <c r="AD98" s="137">
        <f>IF(U352="","",U352)</f>
        <v>4</v>
      </c>
    </row>
    <row r="99" spans="1:30" ht="14.1" customHeight="1">
      <c r="A99" s="87">
        <v>27</v>
      </c>
      <c r="B99" s="138"/>
      <c r="C99" s="139" t="s">
        <v>183</v>
      </c>
      <c r="D99" s="139"/>
      <c r="E99" s="139" t="s">
        <v>158</v>
      </c>
      <c r="F99" s="139"/>
      <c r="G99" s="139"/>
      <c r="H99" s="139"/>
      <c r="I99" s="139"/>
      <c r="J99" s="139"/>
      <c r="K99" s="139"/>
      <c r="L99" s="222" t="str">
        <f>IF(O102="","TBD",IF(O102=1,"YES",IF(O102=3,"NA","")))</f>
        <v>YES</v>
      </c>
      <c r="M99" s="178" t="str">
        <f>IF(O102=2,"NO","")</f>
        <v/>
      </c>
      <c r="O99" s="170">
        <v>1</v>
      </c>
      <c r="P99" s="91" t="s">
        <v>153</v>
      </c>
      <c r="Y99" s="102"/>
      <c r="AA99" s="105" t="s">
        <v>191</v>
      </c>
      <c r="AB99" s="136"/>
      <c r="AD99" s="137">
        <f>IF(U353="","",U353)</f>
        <v>4</v>
      </c>
    </row>
    <row r="100" spans="1:30" ht="14.1" customHeight="1">
      <c r="A100" s="87">
        <v>28</v>
      </c>
      <c r="B100" s="138"/>
      <c r="C100" s="445"/>
      <c r="D100" s="139"/>
      <c r="E100" s="139" t="s">
        <v>160</v>
      </c>
      <c r="F100" s="139"/>
      <c r="G100" s="139"/>
      <c r="H100" s="139"/>
      <c r="I100" s="139"/>
      <c r="J100" s="139"/>
      <c r="K100" s="139"/>
      <c r="L100" s="222" t="str">
        <f>IF(O103="","TBD",IF(O103=1,"YES",IF(O103=3,"NA","")))</f>
        <v>YES</v>
      </c>
      <c r="M100" s="178" t="str">
        <f>IF(O103=2,"NO","")</f>
        <v/>
      </c>
      <c r="O100" s="170">
        <v>1</v>
      </c>
      <c r="P100" s="91" t="s">
        <v>155</v>
      </c>
      <c r="Y100" s="102"/>
      <c r="AA100" s="146" t="s">
        <v>194</v>
      </c>
    </row>
    <row r="101" spans="1:30" ht="14.1" customHeight="1">
      <c r="A101" s="87">
        <v>29</v>
      </c>
      <c r="B101" s="138"/>
      <c r="C101" s="139"/>
      <c r="D101" s="139"/>
      <c r="E101" s="139" t="s">
        <v>163</v>
      </c>
      <c r="F101" s="139"/>
      <c r="G101" s="139"/>
      <c r="H101" s="139"/>
      <c r="I101" s="139"/>
      <c r="J101" s="139"/>
      <c r="K101" s="139"/>
      <c r="L101" s="222" t="str">
        <f>IF(O104="","TBD",IF(O104=1,"YES",IF(O104=3,"NA","")))</f>
        <v>YES</v>
      </c>
      <c r="M101" s="178" t="str">
        <f>IF(O104=2,"NO","")</f>
        <v/>
      </c>
      <c r="O101" s="170">
        <v>1</v>
      </c>
      <c r="P101" s="91" t="s">
        <v>156</v>
      </c>
      <c r="Y101" s="102"/>
      <c r="AA101" s="105" t="s">
        <v>173</v>
      </c>
      <c r="AB101" s="136"/>
      <c r="AD101" s="137">
        <f>IF(Q367="","",Q367)</f>
        <v>28</v>
      </c>
    </row>
    <row r="102" spans="1:30" ht="14.1" customHeight="1">
      <c r="A102" s="87">
        <v>30</v>
      </c>
      <c r="B102" s="138"/>
      <c r="C102" s="139" t="s">
        <v>188</v>
      </c>
      <c r="D102" s="139"/>
      <c r="E102" s="139" t="s">
        <v>166</v>
      </c>
      <c r="F102" s="139"/>
      <c r="G102" s="139"/>
      <c r="H102" s="139"/>
      <c r="I102" s="139"/>
      <c r="J102" s="139"/>
      <c r="K102" s="139"/>
      <c r="L102" s="222" t="str">
        <f>IF(O105="","TBD",IF(O105=1,"YES",IF(O105=3,"NA","")))</f>
        <v>YES</v>
      </c>
      <c r="M102" s="178" t="str">
        <f>IF(O105=2,"NO","")</f>
        <v/>
      </c>
      <c r="O102" s="170">
        <v>1</v>
      </c>
      <c r="P102" s="91" t="s">
        <v>158</v>
      </c>
      <c r="Y102" s="102"/>
      <c r="AA102" s="105" t="s">
        <v>176</v>
      </c>
      <c r="AB102" s="136"/>
      <c r="AD102" s="137">
        <f>IF(Q368="","",Q368)</f>
        <v>80.599999999999994</v>
      </c>
    </row>
    <row r="103" spans="1:30" ht="14.1" customHeight="1">
      <c r="A103" s="87">
        <v>31</v>
      </c>
      <c r="B103" s="138"/>
      <c r="C103" s="139" t="s">
        <v>190</v>
      </c>
      <c r="D103" s="139"/>
      <c r="E103" s="139" t="s">
        <v>169</v>
      </c>
      <c r="F103" s="139"/>
      <c r="G103" s="139"/>
      <c r="H103" s="139"/>
      <c r="I103" s="139"/>
      <c r="J103" s="139"/>
      <c r="K103" s="139"/>
      <c r="L103" s="222" t="str">
        <f>IF(O106="","TBD",IF(O106=1,"YES",IF(O106=3,"NA","")))</f>
        <v>NA</v>
      </c>
      <c r="M103" s="178" t="str">
        <f>IF(O106=2,"NO","")</f>
        <v/>
      </c>
      <c r="O103" s="170">
        <v>1</v>
      </c>
      <c r="P103" s="91" t="s">
        <v>160</v>
      </c>
      <c r="Y103" s="102"/>
      <c r="AA103" s="105" t="s">
        <v>187</v>
      </c>
      <c r="AB103" s="136"/>
      <c r="AD103" s="137">
        <f>IF(Q369="","",Q369)</f>
        <v>5</v>
      </c>
    </row>
    <row r="104" spans="1:30" ht="14.1" customHeight="1">
      <c r="A104" s="87">
        <v>32</v>
      </c>
      <c r="B104" s="138"/>
      <c r="C104" s="139" t="s">
        <v>192</v>
      </c>
      <c r="D104" s="139"/>
      <c r="E104" s="139" t="s">
        <v>193</v>
      </c>
      <c r="F104" s="139"/>
      <c r="G104" s="139"/>
      <c r="H104" s="139"/>
      <c r="I104" s="139"/>
      <c r="J104" s="139"/>
      <c r="K104" s="139"/>
      <c r="L104" s="222" t="str">
        <f>IF(O107="","TBD",IF(O107=1,"YES",IF(O107=3,"NA","")))</f>
        <v>NA</v>
      </c>
      <c r="M104" s="178" t="str">
        <f>IF(O107=2,"NO","")</f>
        <v/>
      </c>
      <c r="O104" s="170">
        <v>1</v>
      </c>
      <c r="P104" s="91" t="s">
        <v>163</v>
      </c>
      <c r="Y104" s="102"/>
      <c r="AA104" s="105" t="s">
        <v>189</v>
      </c>
      <c r="AB104" s="136"/>
      <c r="AD104" s="137">
        <f>IF(Q370="","",Q370)</f>
        <v>4</v>
      </c>
    </row>
    <row r="105" spans="1:30" ht="14.1" customHeight="1">
      <c r="A105" s="87">
        <v>33</v>
      </c>
      <c r="B105" s="138"/>
      <c r="C105" s="139" t="s">
        <v>195</v>
      </c>
      <c r="D105" s="139"/>
      <c r="E105" s="139" t="s">
        <v>175</v>
      </c>
      <c r="F105" s="139"/>
      <c r="G105" s="139"/>
      <c r="H105" s="139"/>
      <c r="I105" s="139"/>
      <c r="J105" s="139"/>
      <c r="K105" s="139"/>
      <c r="L105" s="222" t="str">
        <f>IF(O108="","TBD",IF(O108=1,"YES",IF(O108=3,"NA","")))</f>
        <v>NA</v>
      </c>
      <c r="M105" s="178" t="str">
        <f>IF(O108=2,"NO","")</f>
        <v/>
      </c>
      <c r="O105" s="170">
        <v>1</v>
      </c>
      <c r="P105" s="91" t="s">
        <v>166</v>
      </c>
      <c r="Y105" s="102"/>
      <c r="AA105" s="105" t="s">
        <v>191</v>
      </c>
      <c r="AB105" s="136"/>
      <c r="AD105" s="137">
        <f>IF(Q371="","",Q371)</f>
        <v>4</v>
      </c>
    </row>
    <row r="106" spans="1:30" ht="14.1" customHeight="1">
      <c r="A106" s="87">
        <v>34</v>
      </c>
      <c r="B106" s="138"/>
      <c r="C106" s="139" t="s">
        <v>196</v>
      </c>
      <c r="D106" s="139"/>
      <c r="E106" s="139" t="s">
        <v>178</v>
      </c>
      <c r="F106" s="139"/>
      <c r="G106" s="139"/>
      <c r="H106" s="139"/>
      <c r="I106" s="139"/>
      <c r="J106" s="139"/>
      <c r="K106" s="139"/>
      <c r="L106" s="222" t="str">
        <f>IF(O109="","TBD",IF(O109=1,"YES",IF(O109=3,"NA","")))</f>
        <v>YES</v>
      </c>
      <c r="M106" s="178" t="str">
        <f>IF(O109=2,"NO","")</f>
        <v/>
      </c>
      <c r="O106" s="170">
        <v>3</v>
      </c>
      <c r="P106" s="91" t="s">
        <v>169</v>
      </c>
      <c r="Y106" s="102"/>
      <c r="AA106" s="105" t="s">
        <v>173</v>
      </c>
      <c r="AB106" s="136"/>
      <c r="AD106" s="137">
        <f>IF(R367="","",R367)</f>
        <v>28</v>
      </c>
    </row>
    <row r="107" spans="1:30" ht="14.1" customHeight="1">
      <c r="A107" s="87">
        <v>35</v>
      </c>
      <c r="B107" s="138"/>
      <c r="C107" s="139" t="s">
        <v>197</v>
      </c>
      <c r="D107" s="139"/>
      <c r="E107" s="139" t="s">
        <v>181</v>
      </c>
      <c r="F107" s="139"/>
      <c r="G107" s="139"/>
      <c r="H107" s="139"/>
      <c r="I107" s="139"/>
      <c r="J107" s="139"/>
      <c r="K107" s="139"/>
      <c r="L107" s="222" t="str">
        <f>IF(O110="","TBD",IF(O110=1,"YES",IF(O110=3,"NA","")))</f>
        <v>YES</v>
      </c>
      <c r="M107" s="178" t="str">
        <f>IF(O110=2,"NO","")</f>
        <v/>
      </c>
      <c r="O107" s="170">
        <v>3</v>
      </c>
      <c r="P107" s="91" t="s">
        <v>172</v>
      </c>
      <c r="Y107" s="102"/>
      <c r="AA107" s="105" t="s">
        <v>176</v>
      </c>
      <c r="AB107" s="136"/>
      <c r="AD107" s="137">
        <f>IF(R368="","",R368)</f>
        <v>62.5</v>
      </c>
    </row>
    <row r="108" spans="1:30" ht="14.1" customHeight="1">
      <c r="A108" s="87">
        <v>36</v>
      </c>
      <c r="B108" s="138"/>
      <c r="C108" s="139"/>
      <c r="D108" s="139"/>
      <c r="E108" s="139"/>
      <c r="F108" s="139"/>
      <c r="G108" s="139"/>
      <c r="H108" s="139"/>
      <c r="I108" s="139"/>
      <c r="J108" s="139"/>
      <c r="K108" s="139"/>
      <c r="L108" s="139"/>
      <c r="M108" s="140"/>
      <c r="O108" s="170">
        <v>3</v>
      </c>
      <c r="P108" s="91" t="s">
        <v>175</v>
      </c>
      <c r="Y108" s="102"/>
      <c r="AA108" s="105" t="s">
        <v>187</v>
      </c>
      <c r="AB108" s="136"/>
      <c r="AD108" s="137">
        <f>IF(R369="","",R369)</f>
        <v>5</v>
      </c>
    </row>
    <row r="109" spans="1:30" ht="14.1" customHeight="1">
      <c r="A109" s="87">
        <v>37</v>
      </c>
      <c r="B109" s="138"/>
      <c r="C109" s="139"/>
      <c r="D109" s="139"/>
      <c r="E109" s="139" t="s">
        <v>551</v>
      </c>
      <c r="F109" s="139"/>
      <c r="G109" s="139"/>
      <c r="H109" s="139"/>
      <c r="I109" s="139"/>
      <c r="J109" s="139"/>
      <c r="K109" s="139"/>
      <c r="L109" s="222" t="str">
        <f>IF(O45="","TBD",IF(O45=1,"YES",IF(O45=3,"NA","")))</f>
        <v>YES</v>
      </c>
      <c r="M109" s="178" t="str">
        <f>IF(O45=2,"NO","")</f>
        <v/>
      </c>
      <c r="O109" s="170">
        <v>1</v>
      </c>
      <c r="P109" s="91" t="s">
        <v>178</v>
      </c>
      <c r="Y109" s="102"/>
      <c r="AA109" s="105" t="s">
        <v>189</v>
      </c>
      <c r="AB109" s="136"/>
      <c r="AD109" s="137">
        <f>IF(R370="","",R370)</f>
        <v>4</v>
      </c>
    </row>
    <row r="110" spans="1:30" ht="14.1" customHeight="1">
      <c r="A110" s="87">
        <v>38</v>
      </c>
      <c r="B110" s="138"/>
      <c r="C110" s="139"/>
      <c r="D110" s="139"/>
      <c r="E110" s="139" t="s">
        <v>552</v>
      </c>
      <c r="F110" s="139"/>
      <c r="G110" s="139"/>
      <c r="H110" s="139"/>
      <c r="I110" s="139"/>
      <c r="J110" s="139"/>
      <c r="K110" s="139"/>
      <c r="L110" s="222" t="str">
        <f>IF(O46="","TBD",IF(O46=1,"YES",IF(O46=3,"NA","")))</f>
        <v>YES</v>
      </c>
      <c r="M110" s="178" t="str">
        <f>IF(O46=2,"NO","")</f>
        <v/>
      </c>
      <c r="O110" s="170">
        <v>1</v>
      </c>
      <c r="P110" s="91" t="s">
        <v>181</v>
      </c>
      <c r="Y110" s="102"/>
      <c r="AA110" s="105" t="s">
        <v>191</v>
      </c>
      <c r="AB110" s="136"/>
      <c r="AD110" s="137">
        <f>IF(R371="","",R371)</f>
        <v>4</v>
      </c>
    </row>
    <row r="111" spans="1:30" ht="14.1" customHeight="1">
      <c r="A111" s="87">
        <v>39</v>
      </c>
      <c r="B111" s="138"/>
      <c r="C111" s="139"/>
      <c r="D111" s="139"/>
      <c r="E111" s="139" t="s">
        <v>553</v>
      </c>
      <c r="F111" s="139"/>
      <c r="G111" s="139"/>
      <c r="H111" s="139"/>
      <c r="I111" s="139"/>
      <c r="J111" s="139"/>
      <c r="K111" s="139"/>
      <c r="L111" s="222" t="str">
        <f>IF(O47="","TBD",IF(O47=1,"YES",IF(O47=3,"NA","")))</f>
        <v>YES</v>
      </c>
      <c r="M111" s="178" t="str">
        <f>IF(O47=2,"NO","")</f>
        <v/>
      </c>
      <c r="O111" s="617"/>
      <c r="T111" s="146" t="s">
        <v>581</v>
      </c>
      <c r="Y111" s="102"/>
      <c r="AA111" s="105" t="s">
        <v>173</v>
      </c>
      <c r="AB111" s="136"/>
      <c r="AD111" s="137">
        <f>IF(S367="","",S367)</f>
        <v>28</v>
      </c>
    </row>
    <row r="112" spans="1:30" ht="14.1" customHeight="1">
      <c r="A112" s="87">
        <v>40</v>
      </c>
      <c r="B112" s="138"/>
      <c r="C112" s="139"/>
      <c r="D112" s="139"/>
      <c r="E112" s="139" t="s">
        <v>554</v>
      </c>
      <c r="F112" s="139"/>
      <c r="G112" s="139"/>
      <c r="H112" s="139"/>
      <c r="I112" s="139"/>
      <c r="J112" s="139"/>
      <c r="K112" s="139"/>
      <c r="L112" s="222" t="str">
        <f>IF(O48="","TBD",IF(O48=1,"YES",IF(O48=3,"NA","")))</f>
        <v>YES</v>
      </c>
      <c r="M112" s="178" t="str">
        <f>IF(O48=2,"NO","")</f>
        <v/>
      </c>
      <c r="O112" s="170">
        <v>1</v>
      </c>
      <c r="P112" s="139" t="s">
        <v>582</v>
      </c>
      <c r="Y112" s="102"/>
      <c r="AA112" s="105" t="s">
        <v>176</v>
      </c>
      <c r="AB112" s="136"/>
      <c r="AD112" s="137">
        <f>IF(S368="","",S368)</f>
        <v>116.3</v>
      </c>
    </row>
    <row r="113" spans="1:30" ht="14.1" customHeight="1">
      <c r="A113" s="87">
        <v>41</v>
      </c>
      <c r="B113" s="138"/>
      <c r="C113" s="139"/>
      <c r="D113" s="139"/>
      <c r="E113" s="139" t="s">
        <v>555</v>
      </c>
      <c r="F113" s="139"/>
      <c r="G113" s="139"/>
      <c r="H113" s="139"/>
      <c r="I113" s="139"/>
      <c r="J113" s="139"/>
      <c r="K113" s="139"/>
      <c r="L113" s="222" t="str">
        <f>IF(O49="","TBD",IF(O49=1,"YES",IF(O49=3,"NA","")))</f>
        <v>YES</v>
      </c>
      <c r="M113" s="178" t="str">
        <f>IF(O49=2,"NO","")</f>
        <v/>
      </c>
      <c r="O113" s="170">
        <v>1</v>
      </c>
      <c r="P113" s="139" t="s">
        <v>583</v>
      </c>
      <c r="Y113" s="102"/>
      <c r="AA113" s="105" t="s">
        <v>187</v>
      </c>
      <c r="AB113" s="136"/>
      <c r="AD113" s="137">
        <f>IF(S369="","",S369)</f>
        <v>5</v>
      </c>
    </row>
    <row r="114" spans="1:30" ht="14.1" customHeight="1">
      <c r="A114" s="87">
        <v>42</v>
      </c>
      <c r="B114" s="138"/>
      <c r="C114" s="139"/>
      <c r="D114" s="139"/>
      <c r="E114" s="139" t="s">
        <v>556</v>
      </c>
      <c r="F114" s="139"/>
      <c r="G114" s="139"/>
      <c r="H114" s="139"/>
      <c r="I114" s="139"/>
      <c r="J114" s="139"/>
      <c r="K114" s="139"/>
      <c r="L114" s="222" t="str">
        <f>IF(O50="","TBD",IF(O50=1,"YES",IF(O50=3,"NA","")))</f>
        <v>YES</v>
      </c>
      <c r="M114" s="178" t="str">
        <f>IF(O50=2,"NO","")</f>
        <v/>
      </c>
      <c r="O114" s="170">
        <v>1</v>
      </c>
      <c r="P114" s="139" t="s">
        <v>584</v>
      </c>
      <c r="Y114" s="102"/>
      <c r="AA114" s="105" t="s">
        <v>189</v>
      </c>
      <c r="AB114" s="136"/>
      <c r="AD114" s="137">
        <f>IF(S370="","",S370)</f>
        <v>4</v>
      </c>
    </row>
    <row r="115" spans="1:30" ht="14.1" customHeight="1">
      <c r="A115" s="87">
        <v>43</v>
      </c>
      <c r="B115" s="138"/>
      <c r="C115" s="139"/>
      <c r="D115" s="139"/>
      <c r="E115" s="139" t="s">
        <v>557</v>
      </c>
      <c r="F115" s="139"/>
      <c r="G115" s="139"/>
      <c r="H115" s="139"/>
      <c r="I115" s="139"/>
      <c r="J115" s="139"/>
      <c r="K115" s="139"/>
      <c r="L115" s="222" t="str">
        <f>IF(O51="","TBD",IF(O51=1,"YES",IF(O51=3,"NA","")))</f>
        <v>YES</v>
      </c>
      <c r="M115" s="178" t="str">
        <f>IF(O51=2,"NO","")</f>
        <v/>
      </c>
      <c r="O115" s="170">
        <v>1</v>
      </c>
      <c r="P115" s="139" t="s">
        <v>585</v>
      </c>
      <c r="Y115" s="102"/>
      <c r="AA115" s="105" t="s">
        <v>191</v>
      </c>
      <c r="AB115" s="136"/>
      <c r="AD115" s="137">
        <f>IF(S371="","",S371)</f>
        <v>4</v>
      </c>
    </row>
    <row r="116" spans="1:30" ht="14.1" customHeight="1">
      <c r="A116" s="87">
        <v>44</v>
      </c>
      <c r="B116" s="138"/>
      <c r="C116" s="139"/>
      <c r="D116" s="139"/>
      <c r="E116" s="139" t="s">
        <v>558</v>
      </c>
      <c r="F116" s="139"/>
      <c r="G116" s="139"/>
      <c r="H116" s="139"/>
      <c r="I116" s="139"/>
      <c r="J116" s="139"/>
      <c r="K116" s="139"/>
      <c r="L116" s="222" t="str">
        <f>IF(O52="","TBD",IF(O52=1,"YES",IF(O52=3,"NA","")))</f>
        <v>YES</v>
      </c>
      <c r="M116" s="178" t="str">
        <f>IF(O52=2,"NO","")</f>
        <v/>
      </c>
      <c r="O116" s="170">
        <v>1</v>
      </c>
      <c r="P116" s="139" t="s">
        <v>586</v>
      </c>
      <c r="Y116" s="102"/>
      <c r="AA116" s="105" t="s">
        <v>198</v>
      </c>
      <c r="AB116" s="136">
        <v>55.679999999999993</v>
      </c>
      <c r="AD116" s="137">
        <f>IF(U380="","",U380)</f>
        <v>55.679999999999993</v>
      </c>
    </row>
    <row r="117" spans="1:30" ht="14.1" customHeight="1" thickBot="1">
      <c r="A117" s="87">
        <v>45</v>
      </c>
      <c r="B117" s="138"/>
      <c r="C117" s="139"/>
      <c r="D117" s="139"/>
      <c r="E117" s="139" t="s">
        <v>559</v>
      </c>
      <c r="F117" s="139"/>
      <c r="G117" s="139"/>
      <c r="H117" s="139"/>
      <c r="I117" s="139"/>
      <c r="J117" s="139"/>
      <c r="K117" s="139"/>
      <c r="L117" s="222" t="str">
        <f>IF(O53="","TBD",IF(O53=1,"YES",IF(O53=3,"NA","")))</f>
        <v>YES</v>
      </c>
      <c r="M117" s="178" t="str">
        <f>IF(O53=2,"NO","")</f>
        <v/>
      </c>
      <c r="O117" s="110"/>
      <c r="P117" s="111"/>
      <c r="Q117" s="111"/>
      <c r="R117" s="111"/>
      <c r="S117" s="111"/>
      <c r="T117" s="111"/>
      <c r="U117" s="111"/>
      <c r="V117" s="111"/>
      <c r="W117" s="111"/>
      <c r="X117" s="111"/>
      <c r="Y117" s="112"/>
      <c r="AA117" s="105" t="s">
        <v>199</v>
      </c>
      <c r="AB117" s="136">
        <v>2.6800000000000068</v>
      </c>
      <c r="AD117" s="137">
        <f>IF(U381="","",U381)</f>
        <v>2.6800000000000068</v>
      </c>
    </row>
    <row r="118" spans="1:30" ht="14.1" customHeight="1">
      <c r="A118" s="87">
        <v>46</v>
      </c>
      <c r="B118" s="138"/>
      <c r="C118" s="139"/>
      <c r="D118" s="139"/>
      <c r="E118" s="139" t="s">
        <v>560</v>
      </c>
      <c r="F118" s="139"/>
      <c r="G118" s="139"/>
      <c r="H118" s="139"/>
      <c r="I118" s="139"/>
      <c r="J118" s="139"/>
      <c r="K118" s="139"/>
      <c r="L118" s="222" t="str">
        <f>IF(O54="","TBD",IF(O54=1,"YES",IF(O54=3,"NA","")))</f>
        <v>YES</v>
      </c>
      <c r="M118" s="178" t="str">
        <f>IF(O54=2,"NO","")</f>
        <v/>
      </c>
    </row>
    <row r="119" spans="1:30" ht="14.1" customHeight="1" thickBot="1">
      <c r="A119" s="87">
        <v>47</v>
      </c>
      <c r="B119" s="138"/>
      <c r="C119" s="139"/>
      <c r="D119" s="139"/>
      <c r="E119" s="139" t="s">
        <v>561</v>
      </c>
      <c r="F119" s="139"/>
      <c r="G119" s="139"/>
      <c r="H119" s="139"/>
      <c r="I119" s="139"/>
      <c r="J119" s="139"/>
      <c r="K119" s="139"/>
      <c r="L119" s="222" t="str">
        <f>IF(O55="","TBD",IF(O55=1,"YES",IF(O55=3,"NA","")))</f>
        <v>YES</v>
      </c>
      <c r="M119" s="178" t="str">
        <f>IF(O55=2,"NO","")</f>
        <v/>
      </c>
      <c r="T119" s="124" t="s">
        <v>186</v>
      </c>
    </row>
    <row r="120" spans="1:30" ht="14.1" customHeight="1" thickBot="1">
      <c r="A120" s="87">
        <v>48</v>
      </c>
      <c r="B120" s="138"/>
      <c r="C120" s="139"/>
      <c r="D120" s="139"/>
      <c r="E120" s="139" t="s">
        <v>562</v>
      </c>
      <c r="F120" s="139"/>
      <c r="G120" s="139"/>
      <c r="H120" s="139"/>
      <c r="I120" s="139"/>
      <c r="J120" s="139"/>
      <c r="K120" s="139"/>
      <c r="L120" s="222" t="str">
        <f>IF(O56="","TBD",IF(O56=1,"YES",IF(O56=3,"NA","")))</f>
        <v>YES</v>
      </c>
      <c r="M120" s="178" t="str">
        <f>IF(O56=2,"NO","")</f>
        <v/>
      </c>
      <c r="O120" s="133"/>
      <c r="P120" s="93"/>
      <c r="Q120" s="93"/>
      <c r="R120" s="93"/>
      <c r="S120" s="93"/>
      <c r="T120" s="93"/>
      <c r="U120" s="93"/>
      <c r="V120" s="93"/>
      <c r="W120" s="93"/>
      <c r="X120" s="93"/>
      <c r="Y120" s="94"/>
    </row>
    <row r="121" spans="1:30" ht="14.1" customHeight="1">
      <c r="A121" s="87">
        <v>49</v>
      </c>
      <c r="B121" s="138"/>
      <c r="C121" s="139"/>
      <c r="D121" s="139"/>
      <c r="E121" s="139" t="s">
        <v>563</v>
      </c>
      <c r="F121" s="139"/>
      <c r="G121" s="139"/>
      <c r="H121" s="139"/>
      <c r="I121" s="139"/>
      <c r="J121" s="139"/>
      <c r="K121" s="139"/>
      <c r="L121" s="222" t="str">
        <f>IF(O57="","TBD",IF(O57=1,"YES",IF(O57=3,"NA","")))</f>
        <v>YES</v>
      </c>
      <c r="M121" s="178" t="str">
        <f>IF(O57=2,"NO","")</f>
        <v/>
      </c>
      <c r="O121" s="154" t="s">
        <v>64</v>
      </c>
      <c r="P121" s="683" t="s">
        <v>65</v>
      </c>
      <c r="Q121" s="684"/>
      <c r="R121" s="685"/>
      <c r="S121" s="683" t="s">
        <v>568</v>
      </c>
      <c r="T121" s="684"/>
      <c r="U121" s="685"/>
      <c r="V121" s="683" t="s">
        <v>67</v>
      </c>
      <c r="W121" s="684"/>
      <c r="X121" s="704"/>
      <c r="Y121" s="102"/>
    </row>
    <row r="122" spans="1:30" ht="14.1" customHeight="1">
      <c r="A122" s="87">
        <v>50</v>
      </c>
      <c r="B122" s="138"/>
      <c r="C122" s="139"/>
      <c r="D122" s="139"/>
      <c r="E122" s="139" t="s">
        <v>564</v>
      </c>
      <c r="F122" s="139"/>
      <c r="G122" s="139"/>
      <c r="H122" s="139"/>
      <c r="I122" s="139"/>
      <c r="J122" s="139"/>
      <c r="K122" s="139"/>
      <c r="L122" s="222" t="str">
        <f>IF(O58="","TBD",IF(O58=1,"YES",IF(O58=3,"NA","")))</f>
        <v>YES</v>
      </c>
      <c r="M122" s="178" t="str">
        <f>IF(O58=2,"NO","")</f>
        <v/>
      </c>
      <c r="O122" s="155" t="s">
        <v>68</v>
      </c>
      <c r="P122" s="686"/>
      <c r="Q122" s="687"/>
      <c r="R122" s="688"/>
      <c r="S122" s="686"/>
      <c r="T122" s="687"/>
      <c r="U122" s="688"/>
      <c r="V122" s="686"/>
      <c r="W122" s="687"/>
      <c r="X122" s="705"/>
      <c r="Y122" s="102"/>
    </row>
    <row r="123" spans="1:30" ht="14.1" customHeight="1" thickBot="1">
      <c r="A123" s="87">
        <v>51</v>
      </c>
      <c r="B123" s="138"/>
      <c r="C123" s="139"/>
      <c r="D123" s="139"/>
      <c r="E123" s="139" t="s">
        <v>565</v>
      </c>
      <c r="F123" s="139"/>
      <c r="G123" s="139"/>
      <c r="H123" s="139"/>
      <c r="I123" s="139"/>
      <c r="J123" s="139"/>
      <c r="K123" s="139"/>
      <c r="L123" s="222" t="str">
        <f>IF(O59="","TBD",IF(O59=1,"YES",IF(O59=3,"NA","")))</f>
        <v>YES</v>
      </c>
      <c r="M123" s="178" t="str">
        <f>IF(O59=2,"NO","")</f>
        <v/>
      </c>
      <c r="O123" s="155" t="s">
        <v>70</v>
      </c>
      <c r="P123" s="159" t="s">
        <v>71</v>
      </c>
      <c r="Q123" s="160" t="s">
        <v>25</v>
      </c>
      <c r="R123" s="161" t="s">
        <v>72</v>
      </c>
      <c r="S123" s="159" t="s">
        <v>71</v>
      </c>
      <c r="T123" s="160" t="s">
        <v>25</v>
      </c>
      <c r="U123" s="161" t="s">
        <v>72</v>
      </c>
      <c r="V123" s="159" t="s">
        <v>71</v>
      </c>
      <c r="W123" s="160" t="s">
        <v>25</v>
      </c>
      <c r="X123" s="161" t="s">
        <v>72</v>
      </c>
      <c r="Y123" s="102"/>
    </row>
    <row r="124" spans="1:30" ht="14.1" customHeight="1" thickTop="1">
      <c r="A124" s="87">
        <v>52</v>
      </c>
      <c r="B124" s="138"/>
      <c r="C124" s="139"/>
      <c r="D124" s="139"/>
      <c r="E124" s="139" t="s">
        <v>566</v>
      </c>
      <c r="F124" s="139"/>
      <c r="G124" s="139"/>
      <c r="H124" s="139"/>
      <c r="I124" s="139"/>
      <c r="J124" s="139"/>
      <c r="K124" s="139"/>
      <c r="L124" s="222" t="str">
        <f>IF(O60="","TBD",IF(O60=1,"YES",IF(O60=3,"NA","")))</f>
        <v>YES</v>
      </c>
      <c r="M124" s="178" t="str">
        <f>IF(O60=2,"NO","")</f>
        <v/>
      </c>
      <c r="O124" s="162" t="s">
        <v>74</v>
      </c>
      <c r="P124" s="192" t="str">
        <f>IF(P132&lt;&gt;"",P132,IF(AB46="","",AB46))</f>
        <v/>
      </c>
      <c r="Q124" s="193" t="str">
        <f>IF(Q132&lt;&gt;"",Q132,IF(AB47="","",AB47))</f>
        <v/>
      </c>
      <c r="R124" s="194" t="str">
        <f>IF(R132&lt;&gt;"",R132,IF(AB48="","",AB48))</f>
        <v/>
      </c>
      <c r="S124" s="192" t="str">
        <f>IF(S132&lt;&gt;"",S132,IF(AB59="","",AB59))</f>
        <v/>
      </c>
      <c r="T124" s="193" t="str">
        <f>IF(T132&lt;&gt;"",T132,IF(AB60="","",AB60))</f>
        <v/>
      </c>
      <c r="U124" s="194" t="str">
        <f>IF(U132&lt;&gt;"",U132,IF(AB61="","",AB61))</f>
        <v/>
      </c>
      <c r="V124" s="192" t="str">
        <f>IF(V132&lt;&gt;"",V132,IF(AB72="","",AB72))</f>
        <v/>
      </c>
      <c r="W124" s="193" t="str">
        <f>IF(W132&lt;&gt;"",W132,IF(AB73="","",AB73))</f>
        <v/>
      </c>
      <c r="X124" s="194" t="str">
        <f>IF(X132&lt;&gt;"",X132,IF(AB74="","",AB74))</f>
        <v/>
      </c>
      <c r="Y124" s="102"/>
    </row>
    <row r="125" spans="1:30" ht="14.1" customHeight="1">
      <c r="A125" s="87">
        <v>53</v>
      </c>
      <c r="B125" s="138"/>
      <c r="C125" s="139"/>
      <c r="D125" s="139"/>
      <c r="E125" s="139" t="s">
        <v>567</v>
      </c>
      <c r="F125" s="139"/>
      <c r="G125" s="139"/>
      <c r="H125" s="139"/>
      <c r="I125" s="139"/>
      <c r="J125" s="139"/>
      <c r="K125" s="139"/>
      <c r="L125" s="222" t="str">
        <f>IF(O61="","TBD",IF(O61=1,"YES",IF(O61=3,"NA","")))</f>
        <v>YES</v>
      </c>
      <c r="M125" s="178" t="str">
        <f>IF(O61=2,"NO","")</f>
        <v/>
      </c>
      <c r="O125" s="167" t="s">
        <v>77</v>
      </c>
      <c r="P125" s="195" t="str">
        <f>IF(P133&lt;&gt;"",P133,IF(AB49="","",AB49))</f>
        <v/>
      </c>
      <c r="Q125" s="196" t="str">
        <f>IF(Q133&lt;&gt;"",Q133,IF(AB50="","",AB50))</f>
        <v/>
      </c>
      <c r="R125" s="197" t="str">
        <f>IF(R133&lt;&gt;"",R133,IF(AB51="","",AB51))</f>
        <v/>
      </c>
      <c r="S125" s="195" t="str">
        <f>IF(S133&lt;&gt;"",S133,IF(AB60="","",AB60))</f>
        <v/>
      </c>
      <c r="T125" s="196" t="str">
        <f>IF(T133&lt;&gt;"",T133,IF(AB63="","",AB63))</f>
        <v/>
      </c>
      <c r="U125" s="197" t="str">
        <f>IF(U133&lt;&gt;"",U133,IF(AB64="","",AB64))</f>
        <v/>
      </c>
      <c r="V125" s="195" t="str">
        <f>IF(V133&lt;&gt;"",V133,IF(AB75="","",AB75))</f>
        <v/>
      </c>
      <c r="W125" s="196" t="str">
        <f>IF(W133&lt;&gt;"",W133,IF(AB76="","",AB76))</f>
        <v/>
      </c>
      <c r="X125" s="197" t="str">
        <f>IF(X133&lt;&gt;"",X133,IF(AB77="","",AB77))</f>
        <v/>
      </c>
      <c r="Y125" s="102"/>
    </row>
    <row r="126" spans="1:30" ht="14.1" customHeight="1">
      <c r="A126" s="87">
        <v>54</v>
      </c>
      <c r="B126" s="138"/>
      <c r="C126" s="139"/>
      <c r="D126" s="139"/>
      <c r="E126" s="139"/>
      <c r="F126" s="139"/>
      <c r="G126" s="139"/>
      <c r="H126" s="139"/>
      <c r="I126" s="139"/>
      <c r="J126" s="139"/>
      <c r="K126" s="139"/>
      <c r="L126" s="139"/>
      <c r="M126" s="140"/>
      <c r="O126" s="167" t="s">
        <v>80</v>
      </c>
      <c r="P126" s="195" t="str">
        <f>IF(P134&lt;&gt;"",P134,IF(AB52="","",AB52))</f>
        <v/>
      </c>
      <c r="Q126" s="196" t="str">
        <f>IF(Q134&lt;&gt;"",Q134,IF(AB53="","",AB53))</f>
        <v/>
      </c>
      <c r="R126" s="197" t="str">
        <f>IF(R134&lt;&gt;"",R134,IF(AB54="","",AB54))</f>
        <v/>
      </c>
      <c r="S126" s="195" t="str">
        <f>IF(S134&lt;&gt;"",S134,IF(AB61="","",AB61))</f>
        <v/>
      </c>
      <c r="T126" s="196" t="str">
        <f>IF(T134&lt;&gt;"",T134,IF(AB66="","",AB66))</f>
        <v/>
      </c>
      <c r="U126" s="197" t="str">
        <f>IF(U134&lt;&gt;"",U134,IF(AB67="","",AB67))</f>
        <v/>
      </c>
      <c r="V126" s="195" t="str">
        <f>IF(V134&lt;&gt;"",V134,IF(AB78="","",AB78))</f>
        <v/>
      </c>
      <c r="W126" s="196" t="str">
        <f>IF(W134&lt;&gt;"",W134,IF(AB79="","",AB79))</f>
        <v/>
      </c>
      <c r="X126" s="197" t="str">
        <f>IF(X134&lt;&gt;"",X134,IF(AB80="","",AB80))</f>
        <v/>
      </c>
      <c r="Y126" s="102"/>
    </row>
    <row r="127" spans="1:30" ht="14.1" customHeight="1" thickBot="1">
      <c r="A127" s="87">
        <v>55</v>
      </c>
      <c r="B127" s="138"/>
      <c r="C127" s="139"/>
      <c r="D127" s="139"/>
      <c r="E127" s="445"/>
      <c r="F127" s="139"/>
      <c r="G127" s="139"/>
      <c r="H127" s="624" t="s">
        <v>581</v>
      </c>
      <c r="I127" s="139"/>
      <c r="J127" s="139"/>
      <c r="K127" s="139"/>
      <c r="L127" s="139"/>
      <c r="M127" s="140"/>
      <c r="O127" s="171" t="s">
        <v>83</v>
      </c>
      <c r="P127" s="198" t="str">
        <f>IF(P135&lt;&gt;"",P135,IF(AB55="","",AB55))</f>
        <v/>
      </c>
      <c r="Q127" s="199" t="str">
        <f>IF(Q135&lt;&gt;"",Q135,IF(AB56="","",AB56))</f>
        <v/>
      </c>
      <c r="R127" s="200" t="str">
        <f>IF(R135&lt;&gt;"",R135,IF(AB57="","",AB57))</f>
        <v/>
      </c>
      <c r="S127" s="198" t="str">
        <f>IF(S135&lt;&gt;"",S135,IF(AB62="","",AB62))</f>
        <v/>
      </c>
      <c r="T127" s="199" t="str">
        <f>IF(T135&lt;&gt;"",T135,IF(AB69="","",AB69))</f>
        <v/>
      </c>
      <c r="U127" s="200" t="str">
        <f>IF(U135&lt;&gt;"",U135,IF(AB70="","",AB70))</f>
        <v/>
      </c>
      <c r="V127" s="198" t="str">
        <f>IF(V135&lt;&gt;"",V135,IF(AB81="","",AB81))</f>
        <v/>
      </c>
      <c r="W127" s="199" t="str">
        <f>IF(W135&lt;&gt;"",W135,IF(AB82="","",AB82))</f>
        <v/>
      </c>
      <c r="X127" s="200" t="str">
        <f>IF(X135&lt;&gt;"",X135,IF(AB83="","",AB83))</f>
        <v/>
      </c>
      <c r="Y127" s="102"/>
    </row>
    <row r="128" spans="1:30" ht="14.1" customHeight="1" thickBot="1">
      <c r="A128" s="87">
        <v>56</v>
      </c>
      <c r="B128" s="138"/>
      <c r="C128" s="139"/>
      <c r="D128" s="139"/>
      <c r="E128" s="139" t="s">
        <v>582</v>
      </c>
      <c r="F128" s="139"/>
      <c r="G128" s="139"/>
      <c r="H128" s="139"/>
      <c r="I128" s="139"/>
      <c r="J128" s="139"/>
      <c r="K128" s="139"/>
      <c r="L128" s="222" t="str">
        <f>IF(O112="","TBD",IF(O112=1,"YES",IF(O112=3,"NA","")))</f>
        <v>YES</v>
      </c>
      <c r="M128" s="178" t="str">
        <f>IF(O112=2,"NO","")</f>
        <v/>
      </c>
      <c r="O128" s="100"/>
      <c r="Y128" s="102"/>
    </row>
    <row r="129" spans="1:25" ht="14.1" customHeight="1">
      <c r="A129" s="87">
        <v>57</v>
      </c>
      <c r="B129" s="138"/>
      <c r="C129" s="139"/>
      <c r="D129" s="139"/>
      <c r="E129" s="139" t="s">
        <v>583</v>
      </c>
      <c r="F129" s="139"/>
      <c r="G129" s="139"/>
      <c r="H129" s="139"/>
      <c r="I129" s="139"/>
      <c r="J129" s="139"/>
      <c r="K129" s="139"/>
      <c r="L129" s="222" t="str">
        <f>IF(O113="","TBD",IF(O113=1,"YES",IF(O113=3,"NA","")))</f>
        <v>YES</v>
      </c>
      <c r="M129" s="178" t="str">
        <f>IF(O113=2,"NO","")</f>
        <v/>
      </c>
      <c r="O129" s="154" t="s">
        <v>64</v>
      </c>
      <c r="P129" s="683" t="s">
        <v>65</v>
      </c>
      <c r="Q129" s="684"/>
      <c r="R129" s="685"/>
      <c r="S129" s="683" t="s">
        <v>568</v>
      </c>
      <c r="T129" s="684"/>
      <c r="U129" s="685"/>
      <c r="V129" s="689" t="s">
        <v>67</v>
      </c>
      <c r="W129" s="690"/>
      <c r="X129" s="691"/>
      <c r="Y129" s="102"/>
    </row>
    <row r="130" spans="1:25" ht="14.1" customHeight="1">
      <c r="A130" s="87">
        <v>58</v>
      </c>
      <c r="B130" s="138"/>
      <c r="C130" s="139"/>
      <c r="D130" s="139"/>
      <c r="E130" s="139" t="s">
        <v>584</v>
      </c>
      <c r="F130" s="139"/>
      <c r="G130" s="139"/>
      <c r="H130" s="139"/>
      <c r="I130" s="139"/>
      <c r="J130" s="139"/>
      <c r="K130" s="139"/>
      <c r="L130" s="222" t="str">
        <f>IF(O114="","TBD",IF(O114=1,"YES",IF(O114=3,"NA","")))</f>
        <v>YES</v>
      </c>
      <c r="M130" s="178" t="str">
        <f>IF(O114=2,"NO","")</f>
        <v/>
      </c>
      <c r="O130" s="155" t="s">
        <v>68</v>
      </c>
      <c r="P130" s="686"/>
      <c r="Q130" s="687"/>
      <c r="R130" s="688"/>
      <c r="S130" s="686"/>
      <c r="T130" s="687"/>
      <c r="U130" s="688"/>
      <c r="V130" s="692"/>
      <c r="W130" s="693"/>
      <c r="X130" s="694"/>
      <c r="Y130" s="102"/>
    </row>
    <row r="131" spans="1:25" ht="14.1" customHeight="1" thickBot="1">
      <c r="A131" s="87">
        <v>59</v>
      </c>
      <c r="B131" s="138"/>
      <c r="C131" s="139"/>
      <c r="D131" s="139"/>
      <c r="E131" s="139" t="s">
        <v>585</v>
      </c>
      <c r="F131" s="139"/>
      <c r="G131" s="139"/>
      <c r="H131" s="139"/>
      <c r="I131" s="139"/>
      <c r="J131" s="139"/>
      <c r="K131" s="139"/>
      <c r="L131" s="222" t="str">
        <f>IF(O115="","TBD",IF(O115=1,"YES",IF(O115=3,"NA","")))</f>
        <v>YES</v>
      </c>
      <c r="M131" s="178" t="str">
        <f>IF(O115=2,"NO","")</f>
        <v/>
      </c>
      <c r="O131" s="155" t="s">
        <v>70</v>
      </c>
      <c r="P131" s="159" t="s">
        <v>71</v>
      </c>
      <c r="Q131" s="160" t="s">
        <v>25</v>
      </c>
      <c r="R131" s="161" t="s">
        <v>72</v>
      </c>
      <c r="S131" s="159" t="s">
        <v>71</v>
      </c>
      <c r="T131" s="160" t="s">
        <v>25</v>
      </c>
      <c r="U131" s="161" t="s">
        <v>72</v>
      </c>
      <c r="V131" s="159" t="s">
        <v>71</v>
      </c>
      <c r="W131" s="160" t="s">
        <v>25</v>
      </c>
      <c r="X131" s="161" t="s">
        <v>72</v>
      </c>
      <c r="Y131" s="102"/>
    </row>
    <row r="132" spans="1:25" ht="14.1" customHeight="1" thickTop="1">
      <c r="A132" s="87">
        <v>60</v>
      </c>
      <c r="B132" s="138"/>
      <c r="C132" s="139"/>
      <c r="D132" s="139"/>
      <c r="E132" s="139" t="s">
        <v>586</v>
      </c>
      <c r="F132" s="139"/>
      <c r="G132" s="139"/>
      <c r="H132" s="139"/>
      <c r="I132" s="139"/>
      <c r="J132" s="139"/>
      <c r="K132" s="139"/>
      <c r="L132" s="222" t="str">
        <f>IF(O116="","TBD",IF(O116=1,"YES",IF(O116=3,"NA","")))</f>
        <v>YES</v>
      </c>
      <c r="M132" s="178" t="str">
        <f>IF(O116=2,"NO","")</f>
        <v/>
      </c>
      <c r="O132" s="162" t="s">
        <v>74</v>
      </c>
      <c r="P132" s="201"/>
      <c r="Q132" s="202"/>
      <c r="R132" s="203"/>
      <c r="S132" s="201"/>
      <c r="T132" s="202"/>
      <c r="U132" s="203"/>
      <c r="V132" s="201"/>
      <c r="W132" s="202"/>
      <c r="X132" s="203"/>
      <c r="Y132" s="102"/>
    </row>
    <row r="133" spans="1:25" ht="14.1" customHeight="1">
      <c r="A133" s="87">
        <v>61</v>
      </c>
      <c r="B133" s="138"/>
      <c r="C133" s="139"/>
      <c r="D133" s="139"/>
      <c r="E133" s="139"/>
      <c r="F133" s="139"/>
      <c r="G133" s="139"/>
      <c r="H133" s="139"/>
      <c r="I133" s="139"/>
      <c r="J133" s="139"/>
      <c r="K133" s="139"/>
      <c r="L133" s="139"/>
      <c r="M133" s="140"/>
      <c r="O133" s="167" t="s">
        <v>77</v>
      </c>
      <c r="P133" s="204"/>
      <c r="Q133" s="205"/>
      <c r="R133" s="206"/>
      <c r="S133" s="204"/>
      <c r="T133" s="205"/>
      <c r="U133" s="206"/>
      <c r="V133" s="204"/>
      <c r="W133" s="205"/>
      <c r="X133" s="206"/>
      <c r="Y133" s="102"/>
    </row>
    <row r="134" spans="1:25" ht="14.1" customHeight="1">
      <c r="A134" s="87">
        <v>62</v>
      </c>
      <c r="B134" s="138"/>
      <c r="C134" s="139"/>
      <c r="D134" s="139"/>
      <c r="E134" s="139"/>
      <c r="F134" s="139"/>
      <c r="G134" s="139"/>
      <c r="H134" s="139"/>
      <c r="I134" s="139"/>
      <c r="J134" s="139"/>
      <c r="K134" s="139"/>
      <c r="L134" s="139"/>
      <c r="M134" s="140"/>
      <c r="O134" s="167" t="s">
        <v>80</v>
      </c>
      <c r="P134" s="204"/>
      <c r="Q134" s="205"/>
      <c r="R134" s="206"/>
      <c r="S134" s="204"/>
      <c r="T134" s="205"/>
      <c r="U134" s="206"/>
      <c r="V134" s="204"/>
      <c r="W134" s="205"/>
      <c r="X134" s="206"/>
      <c r="Y134" s="102"/>
    </row>
    <row r="135" spans="1:25" ht="14.1" customHeight="1" thickBot="1">
      <c r="A135" s="87">
        <v>63</v>
      </c>
      <c r="B135" s="138"/>
      <c r="C135" s="139"/>
      <c r="D135" s="139"/>
      <c r="E135" s="139"/>
      <c r="F135" s="139"/>
      <c r="G135" s="139"/>
      <c r="H135" s="139"/>
      <c r="I135" s="139"/>
      <c r="J135" s="139"/>
      <c r="K135" s="139"/>
      <c r="L135" s="139"/>
      <c r="M135" s="140"/>
      <c r="O135" s="171" t="s">
        <v>83</v>
      </c>
      <c r="P135" s="207"/>
      <c r="Q135" s="208"/>
      <c r="R135" s="209"/>
      <c r="S135" s="207"/>
      <c r="T135" s="208"/>
      <c r="U135" s="209"/>
      <c r="V135" s="207"/>
      <c r="W135" s="208"/>
      <c r="X135" s="209"/>
      <c r="Y135" s="112"/>
    </row>
    <row r="136" spans="1:25" ht="14.1" customHeight="1">
      <c r="A136" s="87">
        <v>64</v>
      </c>
      <c r="B136" s="138"/>
      <c r="C136" s="139"/>
      <c r="D136" s="139"/>
      <c r="E136" s="139"/>
      <c r="F136" s="139"/>
      <c r="G136" s="139"/>
      <c r="H136" s="139"/>
      <c r="I136" s="139"/>
      <c r="J136" s="139"/>
      <c r="K136" s="139"/>
      <c r="L136" s="139"/>
      <c r="M136" s="140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5" ht="14.1" customHeight="1" thickBot="1">
      <c r="A137" s="87">
        <v>65</v>
      </c>
      <c r="B137" s="138"/>
      <c r="C137" s="139"/>
      <c r="D137" s="139"/>
      <c r="E137" s="139"/>
      <c r="F137" s="139"/>
      <c r="G137" s="139"/>
      <c r="H137" s="139"/>
      <c r="I137" s="139"/>
      <c r="J137" s="139"/>
      <c r="K137" s="139"/>
      <c r="L137" s="139"/>
      <c r="M137" s="140"/>
      <c r="T137" s="339" t="s">
        <v>73</v>
      </c>
    </row>
    <row r="138" spans="1:25" ht="14.1" customHeight="1">
      <c r="A138" s="87">
        <v>66</v>
      </c>
      <c r="B138" s="138"/>
      <c r="C138" s="139"/>
      <c r="D138" s="139"/>
      <c r="E138" s="139"/>
      <c r="F138" s="139"/>
      <c r="G138" s="139"/>
      <c r="H138" s="139"/>
      <c r="I138" s="139"/>
      <c r="J138" s="139"/>
      <c r="K138" s="139"/>
      <c r="L138" s="139"/>
      <c r="M138" s="140"/>
      <c r="O138" s="210" t="s">
        <v>200</v>
      </c>
      <c r="P138" s="93"/>
      <c r="Q138" s="93"/>
      <c r="R138" s="93"/>
      <c r="S138" s="93"/>
      <c r="T138" s="93"/>
      <c r="U138" s="93"/>
      <c r="V138" s="93"/>
      <c r="W138" s="93"/>
      <c r="X138" s="93"/>
      <c r="Y138" s="94"/>
    </row>
    <row r="139" spans="1:25" ht="14.1" customHeight="1">
      <c r="A139" s="87">
        <v>67</v>
      </c>
      <c r="B139" s="138"/>
      <c r="C139" s="139"/>
      <c r="D139" s="139"/>
      <c r="E139" s="139"/>
      <c r="F139" s="139"/>
      <c r="G139" s="139"/>
      <c r="H139" s="139"/>
      <c r="I139" s="139"/>
      <c r="J139" s="139"/>
      <c r="K139" s="139"/>
      <c r="L139" s="139"/>
      <c r="M139" s="140"/>
      <c r="O139" s="100"/>
      <c r="P139" s="23"/>
      <c r="Q139" s="105" t="s">
        <v>201</v>
      </c>
      <c r="R139" s="211">
        <v>129</v>
      </c>
      <c r="S139" s="23"/>
      <c r="T139" s="23"/>
      <c r="Y139" s="102"/>
    </row>
    <row r="140" spans="1:25" ht="14.1" customHeight="1">
      <c r="A140" s="87">
        <v>68</v>
      </c>
      <c r="B140" s="138"/>
      <c r="C140" s="139"/>
      <c r="D140" s="139"/>
      <c r="E140" s="139"/>
      <c r="F140" s="139"/>
      <c r="G140" s="139"/>
      <c r="H140" s="139"/>
      <c r="I140" s="139"/>
      <c r="J140" s="139"/>
      <c r="K140" s="139"/>
      <c r="L140" s="139"/>
      <c r="M140" s="140"/>
      <c r="O140" s="100"/>
      <c r="P140" s="23"/>
      <c r="Q140" s="105" t="s">
        <v>202</v>
      </c>
      <c r="R140" s="211">
        <v>186</v>
      </c>
      <c r="S140" s="23"/>
      <c r="T140" s="23"/>
      <c r="Y140" s="102"/>
    </row>
    <row r="141" spans="1:25" ht="14.1" customHeight="1">
      <c r="A141" s="87">
        <v>69</v>
      </c>
      <c r="B141" s="138"/>
      <c r="C141" s="139"/>
      <c r="D141" s="139"/>
      <c r="E141" s="139"/>
      <c r="F141" s="139"/>
      <c r="G141" s="139"/>
      <c r="H141" s="139"/>
      <c r="I141" s="139"/>
      <c r="J141" s="139"/>
      <c r="K141" s="139"/>
      <c r="L141" s="139"/>
      <c r="M141" s="140"/>
      <c r="O141" s="100"/>
      <c r="P141" s="23"/>
      <c r="Q141" s="105" t="s">
        <v>203</v>
      </c>
      <c r="R141" s="211">
        <v>1</v>
      </c>
      <c r="S141" s="23"/>
      <c r="T141" s="23"/>
      <c r="Y141" s="102"/>
    </row>
    <row r="142" spans="1:25" ht="14.1" customHeight="1" thickBot="1">
      <c r="A142" s="87">
        <v>70</v>
      </c>
      <c r="B142" s="151"/>
      <c r="C142" s="152"/>
      <c r="D142" s="152"/>
      <c r="E142" s="443"/>
      <c r="F142" s="152"/>
      <c r="G142" s="152"/>
      <c r="H142" s="152"/>
      <c r="I142" s="152"/>
      <c r="J142" s="152"/>
      <c r="K142" s="152"/>
      <c r="L142" s="152"/>
      <c r="M142" s="153"/>
      <c r="O142" s="100"/>
      <c r="P142" s="23"/>
      <c r="Q142" s="23"/>
      <c r="R142" s="13" t="str">
        <f>IF(R140="","",IF(AND(R140&gt;=120,R140&lt;=200),"Pass","Fail"))</f>
        <v>Pass</v>
      </c>
      <c r="Y142" s="102"/>
    </row>
    <row r="143" spans="1:25" ht="14.1" customHeight="1" thickTop="1">
      <c r="A143" s="87">
        <v>71</v>
      </c>
      <c r="C143" s="183" t="s">
        <v>11</v>
      </c>
      <c r="D143" s="489">
        <f>IF($P$7="","",$P$7)</f>
        <v>42178</v>
      </c>
      <c r="E143" s="97"/>
      <c r="F143" s="97"/>
      <c r="G143" s="97"/>
      <c r="H143" s="97"/>
      <c r="I143" s="97"/>
      <c r="J143" s="97"/>
      <c r="K143" s="97"/>
      <c r="L143" s="183" t="s">
        <v>12</v>
      </c>
      <c r="M143" s="490" t="str">
        <f>IF($X$7="","",$X$7)</f>
        <v>Eugene Mah</v>
      </c>
      <c r="O143" s="100"/>
      <c r="P143" s="187" t="s">
        <v>204</v>
      </c>
      <c r="Q143" s="212" t="s">
        <v>205</v>
      </c>
      <c r="Y143" s="102"/>
    </row>
    <row r="144" spans="1:25" ht="14.1" customHeight="1">
      <c r="A144" s="87">
        <v>72</v>
      </c>
      <c r="C144" s="183" t="s">
        <v>121</v>
      </c>
      <c r="D144" s="490" t="str">
        <f>IF($R$14="","",$R$14)</f>
        <v>1C10</v>
      </c>
      <c r="E144" s="97"/>
      <c r="F144" s="97"/>
      <c r="G144" s="97"/>
      <c r="H144" s="97"/>
      <c r="I144" s="97"/>
      <c r="J144" s="97"/>
      <c r="K144" s="97"/>
      <c r="L144" s="183" t="s">
        <v>37</v>
      </c>
      <c r="M144" s="490">
        <f>IF($R$13="","",$R$13)</f>
        <v>1732</v>
      </c>
      <c r="O144" s="100"/>
      <c r="Y144" s="102"/>
    </row>
    <row r="145" spans="1:25" ht="14.1" customHeight="1">
      <c r="A145" s="87">
        <v>1</v>
      </c>
      <c r="M145" s="186" t="str">
        <f>$H$2</f>
        <v>Medical University of South Carolina</v>
      </c>
      <c r="O145" s="213" t="s">
        <v>206</v>
      </c>
      <c r="Y145" s="102"/>
    </row>
    <row r="146" spans="1:25" ht="14.1" customHeight="1" thickBot="1">
      <c r="A146" s="87">
        <v>2</v>
      </c>
      <c r="H146" s="121" t="s">
        <v>73</v>
      </c>
      <c r="M146" s="187" t="str">
        <f>$H$5</f>
        <v>Mammography System Compliance Inspection</v>
      </c>
      <c r="O146" s="100"/>
      <c r="P146" s="91" t="s">
        <v>207</v>
      </c>
      <c r="Q146" s="80" t="s">
        <v>208</v>
      </c>
      <c r="R146" s="80" t="s">
        <v>209</v>
      </c>
      <c r="Y146" s="102"/>
    </row>
    <row r="147" spans="1:25" ht="14.1" customHeight="1" thickTop="1" thickBot="1">
      <c r="A147" s="87">
        <v>3</v>
      </c>
      <c r="B147" s="129"/>
      <c r="C147" s="131" t="s">
        <v>200</v>
      </c>
      <c r="D147" s="130"/>
      <c r="E147" s="130"/>
      <c r="F147" s="130"/>
      <c r="G147" s="130"/>
      <c r="H147" s="130"/>
      <c r="I147" s="130"/>
      <c r="J147" s="130"/>
      <c r="K147" s="130"/>
      <c r="L147" s="130"/>
      <c r="M147" s="132"/>
      <c r="O147" s="100"/>
      <c r="P147" s="80">
        <v>1</v>
      </c>
      <c r="Q147" s="211">
        <v>0.8</v>
      </c>
      <c r="R147" s="214">
        <f t="shared" ref="R147:R154" si="7">IF(Q147="","",ABS(Q147-P147))</f>
        <v>0.19999999999999996</v>
      </c>
      <c r="Y147" s="102"/>
    </row>
    <row r="148" spans="1:25" ht="14.1" customHeight="1" thickBot="1">
      <c r="A148" s="87">
        <v>4</v>
      </c>
      <c r="B148" s="138"/>
      <c r="C148" s="139"/>
      <c r="D148" s="139"/>
      <c r="E148" s="237" t="s">
        <v>201</v>
      </c>
      <c r="F148" s="447">
        <f>IF(R139="","",R139)</f>
        <v>129</v>
      </c>
      <c r="G148" s="139"/>
      <c r="H148" s="237" t="s">
        <v>218</v>
      </c>
      <c r="I148" s="218" t="str">
        <f>IF(R142="","",R142)</f>
        <v>Pass</v>
      </c>
      <c r="J148" s="139"/>
      <c r="K148" s="139"/>
      <c r="L148" s="139"/>
      <c r="M148" s="140"/>
      <c r="O148" s="100"/>
      <c r="P148" s="80">
        <v>2</v>
      </c>
      <c r="Q148" s="211">
        <v>1.8</v>
      </c>
      <c r="R148" s="214">
        <f t="shared" si="7"/>
        <v>0.19999999999999996</v>
      </c>
      <c r="Y148" s="102"/>
    </row>
    <row r="149" spans="1:25" ht="14.1" customHeight="1" thickBot="1">
      <c r="A149" s="87">
        <v>5</v>
      </c>
      <c r="B149" s="138"/>
      <c r="C149" s="139"/>
      <c r="D149" s="139"/>
      <c r="E149" s="237" t="s">
        <v>202</v>
      </c>
      <c r="F149" s="549">
        <f>IF(R140="","",R140)</f>
        <v>186</v>
      </c>
      <c r="G149" s="421"/>
      <c r="H149" s="421"/>
      <c r="I149" s="139"/>
      <c r="J149" s="139"/>
      <c r="K149" s="139"/>
      <c r="L149" s="139"/>
      <c r="M149" s="140"/>
      <c r="O149" s="100"/>
      <c r="P149" s="80">
        <v>4</v>
      </c>
      <c r="Q149" s="211">
        <v>3.8</v>
      </c>
      <c r="R149" s="214">
        <f t="shared" si="7"/>
        <v>0.20000000000000018</v>
      </c>
      <c r="S149" s="105" t="s">
        <v>210</v>
      </c>
      <c r="T149" s="215">
        <f>IF(OR(Q149="",Q150="",Q151="",Q152=""),"",AVERAGE(Q149:Q152))</f>
        <v>3.7249999999999996</v>
      </c>
      <c r="Y149" s="102"/>
    </row>
    <row r="150" spans="1:25" ht="14.1" customHeight="1" thickBot="1">
      <c r="A150" s="87">
        <v>6</v>
      </c>
      <c r="B150" s="138"/>
      <c r="C150" s="139"/>
      <c r="D150" s="139"/>
      <c r="E150" s="237" t="s">
        <v>203</v>
      </c>
      <c r="F150" s="550" t="str">
        <f>IF(R141="","",IF(R141=1,"Pass","Fail"))</f>
        <v>Pass</v>
      </c>
      <c r="G150" s="421"/>
      <c r="H150" s="139"/>
      <c r="I150" s="139"/>
      <c r="J150" s="139"/>
      <c r="K150" s="139"/>
      <c r="L150" s="139"/>
      <c r="M150" s="140"/>
      <c r="O150" s="100"/>
      <c r="P150" s="80">
        <v>4</v>
      </c>
      <c r="Q150" s="211">
        <v>3.7</v>
      </c>
      <c r="R150" s="214">
        <f t="shared" si="7"/>
        <v>0.29999999999999982</v>
      </c>
      <c r="S150" s="105" t="s">
        <v>211</v>
      </c>
      <c r="T150" s="216">
        <f>IF(OR(Q149="",Q150="",Q151="",Q152=""),"",_xlfn.STDEV.S(Q149:Q152))</f>
        <v>4.9999999999999829E-2</v>
      </c>
      <c r="Y150" s="102"/>
    </row>
    <row r="151" spans="1:25" ht="14.1" customHeight="1">
      <c r="A151" s="87">
        <v>7</v>
      </c>
      <c r="B151" s="138"/>
      <c r="C151" s="139"/>
      <c r="D151" s="14" t="s">
        <v>204</v>
      </c>
      <c r="E151" s="175" t="s">
        <v>205</v>
      </c>
      <c r="F151" s="139"/>
      <c r="G151" s="139"/>
      <c r="H151" s="139"/>
      <c r="I151" s="139"/>
      <c r="J151" s="139"/>
      <c r="K151" s="139"/>
      <c r="L151" s="139"/>
      <c r="M151" s="140"/>
      <c r="O151" s="100"/>
      <c r="P151" s="80">
        <v>4</v>
      </c>
      <c r="Q151" s="211">
        <v>3.7</v>
      </c>
      <c r="R151" s="214">
        <f t="shared" si="7"/>
        <v>0.29999999999999982</v>
      </c>
      <c r="Y151" s="102"/>
    </row>
    <row r="152" spans="1:25" ht="14.1" customHeight="1">
      <c r="A152" s="87">
        <v>8</v>
      </c>
      <c r="B152" s="138"/>
      <c r="C152" s="139"/>
      <c r="D152" s="268"/>
      <c r="E152" s="268"/>
      <c r="F152" s="139"/>
      <c r="G152" s="139"/>
      <c r="H152" s="139"/>
      <c r="I152" s="139"/>
      <c r="J152" s="139"/>
      <c r="K152" s="139"/>
      <c r="L152" s="139"/>
      <c r="M152" s="140"/>
      <c r="O152" s="100"/>
      <c r="P152" s="80">
        <v>4</v>
      </c>
      <c r="Q152" s="211">
        <v>3.7</v>
      </c>
      <c r="R152" s="214">
        <f t="shared" si="7"/>
        <v>0.29999999999999982</v>
      </c>
      <c r="T152" s="183" t="s">
        <v>204</v>
      </c>
      <c r="U152" s="97" t="s">
        <v>212</v>
      </c>
      <c r="Y152" s="102"/>
    </row>
    <row r="153" spans="1:25" ht="14.1" customHeight="1" thickBot="1">
      <c r="A153" s="87">
        <v>9</v>
      </c>
      <c r="B153" s="138"/>
      <c r="C153" s="220" t="s">
        <v>206</v>
      </c>
      <c r="D153" s="139"/>
      <c r="E153" s="139"/>
      <c r="F153" s="139"/>
      <c r="G153" s="139"/>
      <c r="H153" s="139"/>
      <c r="I153" s="139"/>
      <c r="J153" s="139"/>
      <c r="K153" s="139"/>
      <c r="L153" s="139"/>
      <c r="M153" s="140"/>
      <c r="O153" s="100"/>
      <c r="P153" s="80">
        <v>6</v>
      </c>
      <c r="Q153" s="211">
        <v>5.7</v>
      </c>
      <c r="R153" s="214">
        <f t="shared" si="7"/>
        <v>0.29999999999999982</v>
      </c>
      <c r="U153" s="97" t="s">
        <v>213</v>
      </c>
      <c r="Y153" s="102"/>
    </row>
    <row r="154" spans="1:25" ht="14.1" customHeight="1" thickBot="1">
      <c r="A154" s="87">
        <v>10</v>
      </c>
      <c r="B154" s="138"/>
      <c r="C154" s="500" t="s">
        <v>207</v>
      </c>
      <c r="D154" s="534" t="s">
        <v>208</v>
      </c>
      <c r="E154" s="535" t="s">
        <v>209</v>
      </c>
      <c r="F154" s="139"/>
      <c r="G154" s="139"/>
      <c r="H154" s="445"/>
      <c r="I154" s="237" t="s">
        <v>222</v>
      </c>
      <c r="J154" s="491" t="str">
        <f>IF(O156="","TBD",IF(O156=1,"YES",IF(O156=3,"NA","")))</f>
        <v>YES</v>
      </c>
      <c r="K154" s="139"/>
      <c r="L154" s="222" t="str">
        <f>IF(O156=2,"NO","")</f>
        <v/>
      </c>
      <c r="M154" s="140"/>
      <c r="O154" s="100"/>
      <c r="P154" s="80">
        <v>8</v>
      </c>
      <c r="Q154" s="211">
        <v>7.7</v>
      </c>
      <c r="R154" s="214">
        <f t="shared" si="7"/>
        <v>0.29999999999999982</v>
      </c>
      <c r="Y154" s="102"/>
    </row>
    <row r="155" spans="1:25" ht="14.1" customHeight="1" thickBot="1">
      <c r="A155" s="87">
        <v>11</v>
      </c>
      <c r="B155" s="138"/>
      <c r="C155" s="451">
        <v>1</v>
      </c>
      <c r="D155" s="419">
        <f>IF(Q147="","",Q147)</f>
        <v>0.8</v>
      </c>
      <c r="E155" s="452">
        <f>IF(R147="","",R147)</f>
        <v>0.19999999999999996</v>
      </c>
      <c r="F155" s="139"/>
      <c r="G155" s="139"/>
      <c r="H155" s="445"/>
      <c r="I155" s="237" t="s">
        <v>223</v>
      </c>
      <c r="J155" s="491" t="str">
        <f>IF(O157="","TBD",IF(O157=1,"YES",IF(O157=3,"NA","")))</f>
        <v>YES</v>
      </c>
      <c r="K155" s="139"/>
      <c r="L155" s="222" t="str">
        <f>IF(O157=2,"NO","")</f>
        <v/>
      </c>
      <c r="M155" s="140"/>
      <c r="O155" s="100"/>
      <c r="Y155" s="102"/>
    </row>
    <row r="156" spans="1:25" ht="14.1" customHeight="1" thickBot="1">
      <c r="A156" s="87">
        <v>12</v>
      </c>
      <c r="B156" s="138"/>
      <c r="C156" s="451">
        <v>2</v>
      </c>
      <c r="D156" s="419">
        <f>IF(Q148="","",Q148)</f>
        <v>1.8</v>
      </c>
      <c r="E156" s="452">
        <f>IF(R148="","",R148)</f>
        <v>0.19999999999999996</v>
      </c>
      <c r="F156" s="139"/>
      <c r="G156" s="139"/>
      <c r="H156" s="139"/>
      <c r="I156" s="237" t="s">
        <v>215</v>
      </c>
      <c r="J156" s="491" t="str">
        <f>IF(S156="","TBD",S156)</f>
        <v>Pass</v>
      </c>
      <c r="K156" s="139"/>
      <c r="L156" s="139"/>
      <c r="M156" s="140"/>
      <c r="O156" s="170">
        <v>1</v>
      </c>
      <c r="P156" s="91" t="s">
        <v>214</v>
      </c>
      <c r="S156" s="214" t="str">
        <f>IF(R147="","",IF(OR(R147&gt;0.5,R148&gt;0.5,R149&gt;0.5,R150&gt;0.5,R151&gt;0.5,R152&gt;0.5,R153&gt;0.5,R154&gt;0.5),"Fail","Pass"))</f>
        <v>Pass</v>
      </c>
      <c r="T156" s="106" t="s">
        <v>215</v>
      </c>
      <c r="Y156" s="102"/>
    </row>
    <row r="157" spans="1:25" ht="14.1" customHeight="1">
      <c r="A157" s="87">
        <v>13</v>
      </c>
      <c r="B157" s="138"/>
      <c r="C157" s="451">
        <v>4</v>
      </c>
      <c r="D157" s="419">
        <f>IF(Q149="","",Q149)</f>
        <v>3.8</v>
      </c>
      <c r="E157" s="452">
        <f>IF(R149="","",R149)</f>
        <v>0.20000000000000018</v>
      </c>
      <c r="F157" s="139"/>
      <c r="G157" s="139"/>
      <c r="H157" s="139"/>
      <c r="I157" s="237" t="s">
        <v>210</v>
      </c>
      <c r="J157" s="215">
        <f>IF(T149="","",T149)</f>
        <v>3.7249999999999996</v>
      </c>
      <c r="K157" s="139"/>
      <c r="L157" s="139"/>
      <c r="M157" s="140"/>
      <c r="O157" s="170">
        <v>1</v>
      </c>
      <c r="P157" s="91" t="s">
        <v>216</v>
      </c>
      <c r="Y157" s="102"/>
    </row>
    <row r="158" spans="1:25" ht="14.1" customHeight="1">
      <c r="A158" s="87">
        <v>14</v>
      </c>
      <c r="B158" s="138"/>
      <c r="C158" s="451">
        <v>4</v>
      </c>
      <c r="D158" s="419">
        <f>IF(Q150="","",Q150)</f>
        <v>3.7</v>
      </c>
      <c r="E158" s="452">
        <f>IF(R150="","",R150)</f>
        <v>0.29999999999999982</v>
      </c>
      <c r="F158" s="139"/>
      <c r="G158" s="139"/>
      <c r="H158" s="139"/>
      <c r="I158" s="237" t="s">
        <v>211</v>
      </c>
      <c r="J158" s="216">
        <f>IF(T150="","",T150)</f>
        <v>4.9999999999999829E-2</v>
      </c>
      <c r="K158" s="139"/>
      <c r="L158" s="139"/>
      <c r="M158" s="140"/>
      <c r="O158" s="100"/>
      <c r="Y158" s="102"/>
    </row>
    <row r="159" spans="1:25" ht="14.1" customHeight="1">
      <c r="A159" s="87">
        <v>15</v>
      </c>
      <c r="B159" s="138"/>
      <c r="C159" s="451">
        <v>4</v>
      </c>
      <c r="D159" s="419">
        <f>IF(Q151="","",Q151)</f>
        <v>3.7</v>
      </c>
      <c r="E159" s="452">
        <f>IF(R151="","",R151)</f>
        <v>0.29999999999999982</v>
      </c>
      <c r="F159" s="139"/>
      <c r="G159" s="139"/>
      <c r="H159" s="139"/>
      <c r="I159" s="139"/>
      <c r="J159" s="139"/>
      <c r="K159" s="139"/>
      <c r="L159" s="139"/>
      <c r="M159" s="140"/>
      <c r="O159" s="213" t="s">
        <v>217</v>
      </c>
      <c r="Y159" s="102"/>
    </row>
    <row r="160" spans="1:25" ht="14.1" customHeight="1">
      <c r="A160" s="87">
        <v>16</v>
      </c>
      <c r="B160" s="138"/>
      <c r="C160" s="451">
        <v>4</v>
      </c>
      <c r="D160" s="419">
        <f>IF(Q152="","",Q152)</f>
        <v>3.7</v>
      </c>
      <c r="E160" s="452">
        <f>IF(R152="","",R152)</f>
        <v>0.29999999999999982</v>
      </c>
      <c r="F160" s="14" t="s">
        <v>204</v>
      </c>
      <c r="G160" s="175" t="s">
        <v>212</v>
      </c>
      <c r="H160" s="139"/>
      <c r="I160" s="139"/>
      <c r="J160" s="139"/>
      <c r="K160" s="139"/>
      <c r="L160" s="139"/>
      <c r="M160" s="140"/>
      <c r="O160" s="100"/>
      <c r="P160" s="105" t="s">
        <v>51</v>
      </c>
      <c r="Q160" s="86" t="s">
        <v>32</v>
      </c>
      <c r="R160" s="86" t="s">
        <v>32</v>
      </c>
      <c r="S160" s="86" t="s">
        <v>52</v>
      </c>
      <c r="T160" s="217"/>
      <c r="Y160" s="102"/>
    </row>
    <row r="161" spans="1:25" ht="14.1" customHeight="1">
      <c r="A161" s="87">
        <v>17</v>
      </c>
      <c r="B161" s="138"/>
      <c r="C161" s="451">
        <v>6</v>
      </c>
      <c r="D161" s="419">
        <f>IF(Q153="","",Q153)</f>
        <v>5.7</v>
      </c>
      <c r="E161" s="452">
        <f>IF(R153="","",R153)</f>
        <v>0.29999999999999982</v>
      </c>
      <c r="F161" s="220"/>
      <c r="G161" s="175" t="s">
        <v>213</v>
      </c>
      <c r="H161" s="139"/>
      <c r="I161" s="139"/>
      <c r="J161" s="139"/>
      <c r="K161" s="139"/>
      <c r="L161" s="139"/>
      <c r="M161" s="140"/>
      <c r="O161" s="100"/>
      <c r="P161" s="105" t="s">
        <v>54</v>
      </c>
      <c r="Q161" s="86" t="s">
        <v>32</v>
      </c>
      <c r="R161" s="86" t="s">
        <v>55</v>
      </c>
      <c r="S161" s="86" t="s">
        <v>55</v>
      </c>
      <c r="T161" s="217"/>
      <c r="Y161" s="102"/>
    </row>
    <row r="162" spans="1:25" ht="14.1" customHeight="1" thickBot="1">
      <c r="A162" s="87">
        <v>18</v>
      </c>
      <c r="B162" s="138"/>
      <c r="C162" s="501">
        <v>8</v>
      </c>
      <c r="D162" s="465">
        <f>IF(Q154="","",Q154)</f>
        <v>7.7</v>
      </c>
      <c r="E162" s="502">
        <f>IF(R154="","",R154)</f>
        <v>0.29999999999999982</v>
      </c>
      <c r="F162" s="139"/>
      <c r="G162" s="139"/>
      <c r="H162" s="139"/>
      <c r="I162" s="139"/>
      <c r="J162" s="139"/>
      <c r="K162" s="139"/>
      <c r="L162" s="139"/>
      <c r="M162" s="140"/>
      <c r="O162" s="100"/>
      <c r="P162" s="105" t="s">
        <v>173</v>
      </c>
      <c r="Q162" s="219">
        <v>28</v>
      </c>
      <c r="R162" s="219">
        <v>28</v>
      </c>
      <c r="S162" s="219">
        <v>28</v>
      </c>
      <c r="T162" s="217"/>
      <c r="Y162" s="102"/>
    </row>
    <row r="163" spans="1:25" ht="14.1" customHeight="1" thickBot="1">
      <c r="A163" s="87">
        <v>19</v>
      </c>
      <c r="B163" s="234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235"/>
      <c r="O163" s="100"/>
      <c r="P163" s="105" t="s">
        <v>219</v>
      </c>
      <c r="Q163" s="219">
        <v>74.400000000000006</v>
      </c>
      <c r="R163" s="219">
        <v>57.6</v>
      </c>
      <c r="S163" s="219">
        <v>103.7</v>
      </c>
      <c r="T163" s="217"/>
      <c r="Y163" s="102"/>
    </row>
    <row r="164" spans="1:25" ht="14.1" customHeight="1" thickBot="1">
      <c r="A164" s="87">
        <v>20</v>
      </c>
      <c r="B164" s="138"/>
      <c r="C164" s="220" t="s">
        <v>217</v>
      </c>
      <c r="D164" s="139"/>
      <c r="E164" s="139"/>
      <c r="F164" s="139"/>
      <c r="G164" s="139"/>
      <c r="H164" s="139"/>
      <c r="I164" s="139"/>
      <c r="J164" s="139"/>
      <c r="K164" s="139"/>
      <c r="L164" s="139"/>
      <c r="M164" s="140"/>
      <c r="O164" s="100"/>
      <c r="P164" s="105" t="s">
        <v>220</v>
      </c>
      <c r="Q164" s="219"/>
      <c r="R164" s="219"/>
      <c r="S164" s="219"/>
      <c r="T164" s="217"/>
      <c r="Y164" s="102"/>
    </row>
    <row r="165" spans="1:25" ht="14.1" customHeight="1">
      <c r="A165" s="87">
        <v>21</v>
      </c>
      <c r="B165" s="138"/>
      <c r="C165" s="237" t="s">
        <v>51</v>
      </c>
      <c r="D165" s="492" t="str">
        <f>IF(Q160="","",Q160)</f>
        <v>Mo</v>
      </c>
      <c r="E165" s="493" t="str">
        <f>IF(R160="","",R160)</f>
        <v>Mo</v>
      </c>
      <c r="F165" s="494" t="str">
        <f>IF(S160="","",S160)</f>
        <v>W</v>
      </c>
      <c r="G165" s="139"/>
      <c r="H165" s="421" t="str">
        <f>IF(T160="","",T160)</f>
        <v/>
      </c>
      <c r="I165" s="139"/>
      <c r="J165" s="139"/>
      <c r="K165" s="139"/>
      <c r="L165" s="139"/>
      <c r="M165" s="140"/>
      <c r="O165" s="100"/>
      <c r="P165" s="105" t="s">
        <v>218</v>
      </c>
      <c r="Q165" s="219" t="s">
        <v>529</v>
      </c>
      <c r="R165" s="219" t="s">
        <v>529</v>
      </c>
      <c r="S165" s="219" t="s">
        <v>529</v>
      </c>
      <c r="T165" s="217"/>
      <c r="Y165" s="102"/>
    </row>
    <row r="166" spans="1:25" ht="14.1" customHeight="1">
      <c r="A166" s="87">
        <v>22</v>
      </c>
      <c r="B166" s="138"/>
      <c r="C166" s="237" t="s">
        <v>54</v>
      </c>
      <c r="D166" s="495" t="str">
        <f>IF(Q161="","",Q161)</f>
        <v>Mo</v>
      </c>
      <c r="E166" s="86" t="str">
        <f>IF(R161="","",R161)</f>
        <v>Rh</v>
      </c>
      <c r="F166" s="496" t="str">
        <f>IF(S161="","",S161)</f>
        <v>Rh</v>
      </c>
      <c r="G166" s="139"/>
      <c r="H166" s="421" t="str">
        <f>IF(T160="","",T160)</f>
        <v/>
      </c>
      <c r="I166" s="139"/>
      <c r="J166" s="139"/>
      <c r="K166" s="139"/>
      <c r="L166" s="139"/>
      <c r="M166" s="140"/>
      <c r="O166" s="100"/>
      <c r="P166" s="14" t="s">
        <v>204</v>
      </c>
      <c r="Q166" s="78" t="s">
        <v>221</v>
      </c>
      <c r="R166" s="23"/>
      <c r="S166" s="23"/>
      <c r="T166" s="221"/>
      <c r="Y166" s="102"/>
    </row>
    <row r="167" spans="1:25" ht="14.1" customHeight="1">
      <c r="A167" s="87">
        <v>23</v>
      </c>
      <c r="B167" s="138"/>
      <c r="C167" s="237" t="s">
        <v>239</v>
      </c>
      <c r="D167" s="495">
        <f>IF(Q162="","",Q162)</f>
        <v>28</v>
      </c>
      <c r="E167" s="86">
        <f>IF(R162="","",R162)</f>
        <v>28</v>
      </c>
      <c r="F167" s="496">
        <f>IF(S162="","",S162)</f>
        <v>28</v>
      </c>
      <c r="G167" s="139"/>
      <c r="H167" s="421" t="str">
        <f>IF(T161="","",T161)</f>
        <v/>
      </c>
      <c r="I167" s="139"/>
      <c r="J167" s="139"/>
      <c r="K167" s="139"/>
      <c r="L167" s="139"/>
      <c r="M167" s="140"/>
      <c r="O167" s="100"/>
      <c r="P167" s="23"/>
      <c r="Q167" s="23"/>
      <c r="R167" s="23"/>
      <c r="S167" s="23"/>
      <c r="T167" s="23"/>
      <c r="Y167" s="102"/>
    </row>
    <row r="168" spans="1:25" ht="14.1" customHeight="1">
      <c r="A168" s="87">
        <v>24</v>
      </c>
      <c r="B168" s="138"/>
      <c r="C168" s="237" t="s">
        <v>173</v>
      </c>
      <c r="D168" s="495">
        <f>IF(Q162="","",Q162)</f>
        <v>28</v>
      </c>
      <c r="E168" s="86">
        <f>IF(R162="","",R162)</f>
        <v>28</v>
      </c>
      <c r="F168" s="496">
        <f>IF(S162="","",S162)</f>
        <v>28</v>
      </c>
      <c r="G168" s="139"/>
      <c r="H168" s="421" t="str">
        <f>IF(T162="","",T162)</f>
        <v/>
      </c>
      <c r="I168" s="139"/>
      <c r="J168" s="139"/>
      <c r="K168" s="139"/>
      <c r="L168" s="139"/>
      <c r="M168" s="140"/>
      <c r="O168" s="100"/>
      <c r="P168" s="183" t="s">
        <v>224</v>
      </c>
      <c r="Q168" s="224" t="str">
        <f>IF(Q170&lt;&gt;"",Q170,IF(AB190="","",AB190))</f>
        <v/>
      </c>
      <c r="R168" s="225"/>
      <c r="S168" s="225"/>
      <c r="T168" s="225"/>
      <c r="U168" s="225"/>
      <c r="V168" s="225"/>
      <c r="W168" s="225"/>
      <c r="X168" s="225"/>
      <c r="Y168" s="102"/>
    </row>
    <row r="169" spans="1:25" ht="14.1" customHeight="1">
      <c r="A169" s="87">
        <v>25</v>
      </c>
      <c r="B169" s="138"/>
      <c r="C169" s="237" t="s">
        <v>219</v>
      </c>
      <c r="D169" s="495">
        <f>IF(Q163="","",Q163)</f>
        <v>74.400000000000006</v>
      </c>
      <c r="E169" s="86">
        <f>IF(R163="","",R163)</f>
        <v>57.6</v>
      </c>
      <c r="F169" s="496">
        <f>IF(S163="","",S163)</f>
        <v>103.7</v>
      </c>
      <c r="G169" s="139"/>
      <c r="H169" s="421" t="str">
        <f>IF(T162="","",T162)</f>
        <v/>
      </c>
      <c r="I169" s="139"/>
      <c r="J169" s="139"/>
      <c r="K169" s="139"/>
      <c r="L169" s="139"/>
      <c r="M169" s="140"/>
      <c r="O169" s="100"/>
      <c r="P169" s="226" t="s">
        <v>225</v>
      </c>
      <c r="Q169" s="227"/>
      <c r="R169" s="228"/>
      <c r="S169" s="228"/>
      <c r="T169" s="228"/>
      <c r="U169" s="228"/>
      <c r="V169" s="228"/>
      <c r="W169" s="228"/>
      <c r="X169" s="228"/>
      <c r="Y169" s="102"/>
    </row>
    <row r="170" spans="1:25" ht="14.1" customHeight="1">
      <c r="A170" s="87">
        <v>26</v>
      </c>
      <c r="B170" s="138"/>
      <c r="C170" s="237" t="s">
        <v>220</v>
      </c>
      <c r="D170" s="495" t="str">
        <f>IF(Q164="","",Q164)</f>
        <v/>
      </c>
      <c r="E170" s="86" t="str">
        <f>IF(R164="","",R164)</f>
        <v/>
      </c>
      <c r="F170" s="496" t="str">
        <f>IF(S164="","",S164)</f>
        <v/>
      </c>
      <c r="G170" s="139"/>
      <c r="H170" s="421" t="str">
        <f>IF(T163="","",T163)</f>
        <v/>
      </c>
      <c r="I170" s="139"/>
      <c r="J170" s="139"/>
      <c r="K170" s="139"/>
      <c r="L170" s="139"/>
      <c r="M170" s="140"/>
      <c r="O170" s="100"/>
      <c r="P170" s="183" t="s">
        <v>226</v>
      </c>
      <c r="Q170" s="229"/>
      <c r="R170" s="228"/>
      <c r="S170" s="228"/>
      <c r="T170" s="228"/>
      <c r="U170" s="228"/>
      <c r="V170" s="228"/>
      <c r="W170" s="228"/>
      <c r="X170" s="228"/>
      <c r="Y170" s="102"/>
    </row>
    <row r="171" spans="1:25" ht="14.1" customHeight="1" thickBot="1">
      <c r="A171" s="87">
        <v>27</v>
      </c>
      <c r="B171" s="138"/>
      <c r="C171" s="237" t="s">
        <v>218</v>
      </c>
      <c r="D171" s="497" t="str">
        <f>IF(Q165="","",Q165)</f>
        <v>Pass</v>
      </c>
      <c r="E171" s="498" t="str">
        <f>IF(R165="","",R165)</f>
        <v>Pass</v>
      </c>
      <c r="F171" s="499" t="str">
        <f>IF(S165="","",S165)</f>
        <v>Pass</v>
      </c>
      <c r="G171" s="139"/>
      <c r="H171" s="421" t="str">
        <f>IF(T164="","",T164)</f>
        <v/>
      </c>
      <c r="I171" s="139"/>
      <c r="J171" s="139"/>
      <c r="K171" s="139"/>
      <c r="L171" s="139"/>
      <c r="M171" s="140"/>
      <c r="O171" s="110"/>
      <c r="P171" s="111"/>
      <c r="Q171" s="111"/>
      <c r="R171" s="111"/>
      <c r="S171" s="111"/>
      <c r="T171" s="111"/>
      <c r="U171" s="111"/>
      <c r="V171" s="111"/>
      <c r="W171" s="111"/>
      <c r="X171" s="111"/>
      <c r="Y171" s="112"/>
    </row>
    <row r="172" spans="1:25" ht="14.1" customHeight="1">
      <c r="A172" s="87">
        <v>28</v>
      </c>
      <c r="B172" s="138"/>
      <c r="C172" s="139"/>
      <c r="D172" s="139"/>
      <c r="E172" s="139"/>
      <c r="F172" s="139"/>
      <c r="G172" s="139"/>
      <c r="H172" s="421" t="str">
        <f>IF(T165="","",T165)</f>
        <v/>
      </c>
      <c r="I172" s="139"/>
      <c r="J172" s="139"/>
      <c r="K172" s="139"/>
      <c r="L172" s="139"/>
      <c r="M172" s="140"/>
      <c r="O172" s="213" t="s">
        <v>227</v>
      </c>
      <c r="R172" s="211"/>
      <c r="S172" s="146" t="s">
        <v>75</v>
      </c>
      <c r="Y172" s="102"/>
    </row>
    <row r="173" spans="1:25" ht="14.1" customHeight="1">
      <c r="A173" s="87">
        <v>29</v>
      </c>
      <c r="B173" s="138"/>
      <c r="C173" s="14" t="s">
        <v>204</v>
      </c>
      <c r="D173" s="78" t="s">
        <v>221</v>
      </c>
      <c r="E173" s="139"/>
      <c r="F173" s="139"/>
      <c r="G173" s="139"/>
      <c r="H173" s="139"/>
      <c r="I173" s="139"/>
      <c r="J173" s="139"/>
      <c r="K173" s="139"/>
      <c r="L173" s="139"/>
      <c r="M173" s="140"/>
      <c r="O173" s="100"/>
      <c r="P173" s="695" t="s">
        <v>228</v>
      </c>
      <c r="Q173" s="695"/>
      <c r="R173" s="695"/>
      <c r="S173" s="695"/>
      <c r="U173" s="284" t="s">
        <v>229</v>
      </c>
      <c r="V173" s="284"/>
      <c r="Y173" s="102"/>
    </row>
    <row r="174" spans="1:25" ht="14.1" customHeight="1">
      <c r="A174" s="87">
        <v>30</v>
      </c>
      <c r="B174" s="138"/>
      <c r="C174" s="139"/>
      <c r="D174" s="736" t="str">
        <f>P168</f>
        <v>Comments:</v>
      </c>
      <c r="E174" s="185" t="str">
        <f>IF(Q168="","",IF(LEN(Q168)&lt;=135,Q168,IF(LEN(Q168)&lt;=260,LEFT(Q168,SEARCH(" ",Q168,125)),LEFT(Q168,SEARCH(" ",Q168,130)))))</f>
        <v/>
      </c>
      <c r="F174" s="184"/>
      <c r="G174" s="184"/>
      <c r="H174" s="184"/>
      <c r="I174" s="184"/>
      <c r="J174" s="184"/>
      <c r="K174" s="184"/>
      <c r="L174" s="184"/>
      <c r="M174" s="244"/>
      <c r="O174" s="100"/>
      <c r="P174" s="230" t="s">
        <v>230</v>
      </c>
      <c r="Q174" s="230" t="s">
        <v>231</v>
      </c>
      <c r="R174" s="230" t="s">
        <v>232</v>
      </c>
      <c r="S174" s="231" t="s">
        <v>233</v>
      </c>
      <c r="U174" s="426" t="s">
        <v>234</v>
      </c>
      <c r="V174" s="284"/>
      <c r="Y174" s="102"/>
    </row>
    <row r="175" spans="1:25" ht="14.1" customHeight="1">
      <c r="A175" s="87">
        <v>31</v>
      </c>
      <c r="B175" s="138"/>
      <c r="C175" s="139"/>
      <c r="D175" s="268"/>
      <c r="E175" s="248" t="str">
        <f>IF(LEN(Q168)&lt;=135,"",IF(LEN(Q168)&lt;=260,RIGHT(Q168,LEN(Q168)-SEARCH(" ",Q168,125)),MID(Q168,SEARCH(" ",Q168,130),IF(LEN(Q168)&lt;=265,LEN(Q168),SEARCH(" ",Q168,255)-SEARCH(" ",Q168,130)))))</f>
        <v/>
      </c>
      <c r="F175" s="249"/>
      <c r="G175" s="249"/>
      <c r="H175" s="249"/>
      <c r="I175" s="249"/>
      <c r="J175" s="249"/>
      <c r="K175" s="249"/>
      <c r="L175" s="249"/>
      <c r="M175" s="250"/>
      <c r="O175" s="100"/>
      <c r="P175" s="232">
        <v>205</v>
      </c>
      <c r="Q175" s="232">
        <v>209</v>
      </c>
      <c r="R175" s="232">
        <v>220</v>
      </c>
      <c r="S175" s="233">
        <v>222</v>
      </c>
      <c r="U175" s="425">
        <f>IF(OR(R172=2,R172=3),"NA",IF(OR(P175="",Q175="",R175="",S175=""),"TBD",AVERAGE(P175:S175)))</f>
        <v>214</v>
      </c>
      <c r="V175" s="424"/>
      <c r="Y175" s="102"/>
    </row>
    <row r="176" spans="1:25" ht="14.1" customHeight="1">
      <c r="A176" s="87">
        <v>32</v>
      </c>
      <c r="B176" s="138"/>
      <c r="C176" s="139"/>
      <c r="D176" s="268"/>
      <c r="E176" s="248" t="str">
        <f>IF(LEN(Q168)&lt;=265,"",RIGHT(Q168,LEN(Q168)-SEARCH(" ",Q168,255)))</f>
        <v/>
      </c>
      <c r="F176" s="249"/>
      <c r="G176" s="249"/>
      <c r="H176" s="249"/>
      <c r="I176" s="249"/>
      <c r="J176" s="249"/>
      <c r="K176" s="249"/>
      <c r="L176" s="249"/>
      <c r="M176" s="250"/>
      <c r="O176" s="100"/>
      <c r="P176" s="187" t="s">
        <v>204</v>
      </c>
      <c r="Q176" s="212" t="s">
        <v>235</v>
      </c>
      <c r="Y176" s="102"/>
    </row>
    <row r="177" spans="1:25" ht="14.1" customHeight="1" thickBot="1">
      <c r="A177" s="87">
        <v>33</v>
      </c>
      <c r="B177" s="234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235"/>
      <c r="O177" s="100"/>
      <c r="P177" s="23"/>
      <c r="Q177" s="23"/>
      <c r="R177" s="23"/>
      <c r="S177" s="23"/>
      <c r="T177" s="23"/>
      <c r="U177" s="23"/>
      <c r="V177" s="23"/>
      <c r="W177" s="23"/>
      <c r="Y177" s="102"/>
    </row>
    <row r="178" spans="1:25" ht="14.1" customHeight="1">
      <c r="A178" s="87">
        <v>34</v>
      </c>
      <c r="B178" s="138"/>
      <c r="C178" s="220" t="s">
        <v>227</v>
      </c>
      <c r="D178" s="139"/>
      <c r="E178" s="139"/>
      <c r="F178" s="139"/>
      <c r="G178" s="139"/>
      <c r="H178" s="139"/>
      <c r="I178" s="139"/>
      <c r="J178" s="139"/>
      <c r="K178" s="139"/>
      <c r="L178" s="139"/>
      <c r="M178" s="140"/>
      <c r="O178" s="213" t="s">
        <v>236</v>
      </c>
      <c r="Y178" s="102"/>
    </row>
    <row r="179" spans="1:25" ht="14.1" customHeight="1">
      <c r="A179" s="87">
        <v>35</v>
      </c>
      <c r="B179" s="138"/>
      <c r="C179" s="139"/>
      <c r="D179" s="695" t="s">
        <v>228</v>
      </c>
      <c r="E179" s="695"/>
      <c r="F179" s="695"/>
      <c r="G179" s="695"/>
      <c r="H179" s="139"/>
      <c r="I179" s="421" t="s">
        <v>229</v>
      </c>
      <c r="J179" s="421"/>
      <c r="K179" s="139"/>
      <c r="L179" s="139"/>
      <c r="M179" s="140"/>
      <c r="O179" s="236"/>
      <c r="P179" s="237" t="s">
        <v>95</v>
      </c>
      <c r="Q179" s="211" t="s">
        <v>237</v>
      </c>
      <c r="T179" s="237" t="s">
        <v>95</v>
      </c>
      <c r="U179" s="211" t="s">
        <v>238</v>
      </c>
      <c r="V179" s="23"/>
      <c r="X179" s="23"/>
      <c r="Y179" s="102"/>
    </row>
    <row r="180" spans="1:25" ht="14.1" customHeight="1">
      <c r="A180" s="87">
        <v>36</v>
      </c>
      <c r="B180" s="138"/>
      <c r="C180" s="139"/>
      <c r="D180" s="230" t="s">
        <v>230</v>
      </c>
      <c r="E180" s="230" t="s">
        <v>231</v>
      </c>
      <c r="F180" s="230" t="s">
        <v>232</v>
      </c>
      <c r="G180" s="231" t="s">
        <v>233</v>
      </c>
      <c r="H180" s="139"/>
      <c r="I180" s="418" t="s">
        <v>234</v>
      </c>
      <c r="J180" s="217"/>
      <c r="K180" s="139"/>
      <c r="L180" s="139"/>
      <c r="M180" s="140"/>
      <c r="O180" s="236"/>
      <c r="P180" s="237" t="s">
        <v>173</v>
      </c>
      <c r="Q180" s="211">
        <v>28</v>
      </c>
      <c r="R180" s="23"/>
      <c r="S180" s="23"/>
      <c r="T180" s="237" t="s">
        <v>173</v>
      </c>
      <c r="U180" s="211">
        <v>32</v>
      </c>
      <c r="V180" s="23"/>
      <c r="W180" s="23"/>
      <c r="X180" s="23"/>
      <c r="Y180" s="102"/>
    </row>
    <row r="181" spans="1:25" ht="14.1" customHeight="1">
      <c r="A181" s="87">
        <v>37</v>
      </c>
      <c r="B181" s="138"/>
      <c r="C181" s="139"/>
      <c r="D181" s="253">
        <f>IF(P175="","",P175)</f>
        <v>205</v>
      </c>
      <c r="E181" s="253">
        <f>IF(Q175="","",Q175)</f>
        <v>209</v>
      </c>
      <c r="F181" s="253">
        <f>IF(R175="","",R175)</f>
        <v>220</v>
      </c>
      <c r="G181" s="254">
        <f>IF(S175="","",S175)</f>
        <v>222</v>
      </c>
      <c r="H181" s="139"/>
      <c r="I181" s="255">
        <f>IF(U175="","",U175)</f>
        <v>214</v>
      </c>
      <c r="J181" s="484"/>
      <c r="K181" s="139"/>
      <c r="L181" s="139"/>
      <c r="M181" s="140"/>
      <c r="O181" s="236"/>
      <c r="P181" s="237" t="s">
        <v>219</v>
      </c>
      <c r="Q181" s="211">
        <v>50</v>
      </c>
      <c r="R181" s="23"/>
      <c r="S181" s="23"/>
      <c r="T181" s="237" t="s">
        <v>219</v>
      </c>
      <c r="U181" s="211">
        <v>71</v>
      </c>
      <c r="V181" s="23"/>
      <c r="W181" s="23"/>
      <c r="X181" s="23"/>
      <c r="Y181" s="102"/>
    </row>
    <row r="182" spans="1:25" ht="14.1" customHeight="1">
      <c r="A182" s="87">
        <v>38</v>
      </c>
      <c r="B182" s="138"/>
      <c r="C182" s="139"/>
      <c r="D182" s="14" t="s">
        <v>204</v>
      </c>
      <c r="E182" s="175" t="s">
        <v>253</v>
      </c>
      <c r="F182" s="139"/>
      <c r="G182" s="139"/>
      <c r="H182" s="139"/>
      <c r="I182" s="139"/>
      <c r="J182" s="139"/>
      <c r="K182" s="139"/>
      <c r="L182" s="139"/>
      <c r="M182" s="140"/>
      <c r="O182" s="100"/>
      <c r="P182" s="139"/>
      <c r="Q182" s="696" t="s">
        <v>240</v>
      </c>
      <c r="R182" s="696"/>
      <c r="S182" s="696"/>
      <c r="T182" s="23"/>
      <c r="U182" s="696" t="s">
        <v>240</v>
      </c>
      <c r="V182" s="696"/>
      <c r="W182" s="696"/>
      <c r="X182" s="23"/>
      <c r="Y182" s="102"/>
    </row>
    <row r="183" spans="1:25" ht="14.1" customHeight="1" thickBot="1">
      <c r="A183" s="87">
        <v>39</v>
      </c>
      <c r="B183" s="234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235"/>
      <c r="O183" s="100"/>
      <c r="P183" s="139"/>
      <c r="Q183" s="80" t="s">
        <v>241</v>
      </c>
      <c r="R183" s="80" t="s">
        <v>242</v>
      </c>
      <c r="S183" s="181" t="s">
        <v>243</v>
      </c>
      <c r="T183" s="23"/>
      <c r="U183" s="80" t="s">
        <v>241</v>
      </c>
      <c r="V183" s="80" t="s">
        <v>242</v>
      </c>
      <c r="W183" s="181" t="s">
        <v>243</v>
      </c>
      <c r="X183" s="23"/>
      <c r="Y183" s="102"/>
    </row>
    <row r="184" spans="1:25" ht="14.1" customHeight="1">
      <c r="A184" s="87">
        <v>40</v>
      </c>
      <c r="B184" s="737"/>
      <c r="C184" s="134" t="s">
        <v>236</v>
      </c>
      <c r="D184" s="93"/>
      <c r="E184" s="93"/>
      <c r="F184" s="93"/>
      <c r="G184" s="134"/>
      <c r="H184" s="134" t="s">
        <v>252</v>
      </c>
      <c r="I184" s="93"/>
      <c r="J184" s="93"/>
      <c r="K184" s="93"/>
      <c r="L184" s="93"/>
      <c r="M184" s="594"/>
      <c r="O184" s="236"/>
      <c r="P184" s="237" t="s">
        <v>244</v>
      </c>
      <c r="Q184" s="238">
        <f>125-124</f>
        <v>1</v>
      </c>
      <c r="R184" s="239">
        <f>95-95</f>
        <v>0</v>
      </c>
      <c r="S184" s="240">
        <f>95-95</f>
        <v>0</v>
      </c>
      <c r="T184" s="23"/>
      <c r="U184" s="238">
        <v>2</v>
      </c>
      <c r="V184" s="239">
        <f>95-95</f>
        <v>0</v>
      </c>
      <c r="W184" s="240">
        <f>95-95</f>
        <v>0</v>
      </c>
      <c r="X184" s="23"/>
      <c r="Y184" s="102"/>
    </row>
    <row r="185" spans="1:25" ht="14.1" customHeight="1" thickBot="1">
      <c r="A185" s="87">
        <v>41</v>
      </c>
      <c r="B185" s="138"/>
      <c r="C185" s="237" t="s">
        <v>95</v>
      </c>
      <c r="D185" s="181" t="str">
        <f>Q179</f>
        <v>Mo/Mo</v>
      </c>
      <c r="E185" s="139"/>
      <c r="F185" s="139"/>
      <c r="G185" s="139"/>
      <c r="H185" s="237" t="s">
        <v>95</v>
      </c>
      <c r="I185" s="181" t="str">
        <f>Q194</f>
        <v>Mo/Mo</v>
      </c>
      <c r="J185" s="139"/>
      <c r="K185" s="237" t="s">
        <v>95</v>
      </c>
      <c r="L185" s="181" t="str">
        <f>U194</f>
        <v>W/Rh</v>
      </c>
      <c r="M185" s="140"/>
      <c r="O185" s="236"/>
      <c r="P185" s="237" t="s">
        <v>245</v>
      </c>
      <c r="Q185" s="241">
        <f>170-165</f>
        <v>5</v>
      </c>
      <c r="R185" s="242">
        <f>140-138</f>
        <v>2</v>
      </c>
      <c r="S185" s="243">
        <f>138-137</f>
        <v>1</v>
      </c>
      <c r="T185" s="23"/>
      <c r="U185" s="241">
        <v>-4</v>
      </c>
      <c r="V185" s="242">
        <f>140-137</f>
        <v>3</v>
      </c>
      <c r="W185" s="243">
        <f>138-137</f>
        <v>1</v>
      </c>
      <c r="X185" s="23"/>
      <c r="Y185" s="102"/>
    </row>
    <row r="186" spans="1:25" ht="14.1" customHeight="1">
      <c r="A186" s="87">
        <v>42</v>
      </c>
      <c r="B186" s="138"/>
      <c r="C186" s="181"/>
      <c r="D186" s="697" t="s">
        <v>240</v>
      </c>
      <c r="E186" s="698"/>
      <c r="F186" s="699"/>
      <c r="G186" s="237"/>
      <c r="H186" s="697" t="s">
        <v>240</v>
      </c>
      <c r="I186" s="698"/>
      <c r="J186" s="699"/>
      <c r="K186" s="697" t="s">
        <v>240</v>
      </c>
      <c r="L186" s="698"/>
      <c r="M186" s="742"/>
      <c r="O186" s="236"/>
      <c r="P186" s="237" t="s">
        <v>246</v>
      </c>
      <c r="Q186" s="241">
        <f>150-145</f>
        <v>5</v>
      </c>
      <c r="R186" s="242">
        <f>91-90</f>
        <v>1</v>
      </c>
      <c r="S186" s="243">
        <f>91-90</f>
        <v>1</v>
      </c>
      <c r="T186" s="23"/>
      <c r="U186" s="241">
        <v>-5</v>
      </c>
      <c r="V186" s="242">
        <f>93-90</f>
        <v>3</v>
      </c>
      <c r="W186" s="243">
        <f>92-90</f>
        <v>2</v>
      </c>
      <c r="X186" s="23"/>
      <c r="Y186" s="102"/>
    </row>
    <row r="187" spans="1:25" ht="14.1" customHeight="1" thickBot="1">
      <c r="A187" s="87">
        <v>43</v>
      </c>
      <c r="B187" s="138"/>
      <c r="C187" s="445"/>
      <c r="D187" s="451" t="s">
        <v>241</v>
      </c>
      <c r="E187" s="389" t="s">
        <v>242</v>
      </c>
      <c r="F187" s="452" t="s">
        <v>243</v>
      </c>
      <c r="G187" s="181"/>
      <c r="H187" s="451" t="s">
        <v>241</v>
      </c>
      <c r="I187" s="389" t="s">
        <v>242</v>
      </c>
      <c r="J187" s="452" t="s">
        <v>243</v>
      </c>
      <c r="K187" s="451" t="s">
        <v>241</v>
      </c>
      <c r="L187" s="389" t="s">
        <v>242</v>
      </c>
      <c r="M187" s="738" t="s">
        <v>243</v>
      </c>
      <c r="O187" s="236"/>
      <c r="P187" s="237" t="s">
        <v>247</v>
      </c>
      <c r="Q187" s="245">
        <f>83-79</f>
        <v>4</v>
      </c>
      <c r="R187" s="246">
        <f>81-76</f>
        <v>5</v>
      </c>
      <c r="S187" s="247">
        <f>82-78</f>
        <v>4</v>
      </c>
      <c r="T187" s="23"/>
      <c r="U187" s="245">
        <v>-3</v>
      </c>
      <c r="V187" s="246">
        <f>81-76</f>
        <v>5</v>
      </c>
      <c r="W187" s="247">
        <f>82-78</f>
        <v>4</v>
      </c>
      <c r="Y187" s="102"/>
    </row>
    <row r="188" spans="1:25" ht="14.1" customHeight="1">
      <c r="A188" s="87">
        <v>44</v>
      </c>
      <c r="B188" s="138"/>
      <c r="C188" s="237" t="s">
        <v>244</v>
      </c>
      <c r="D188" s="462">
        <f>Q184</f>
        <v>1</v>
      </c>
      <c r="E188" s="419">
        <f>R184</f>
        <v>0</v>
      </c>
      <c r="F188" s="463">
        <f>S184</f>
        <v>0</v>
      </c>
      <c r="G188" s="461" t="s">
        <v>244</v>
      </c>
      <c r="H188" s="453">
        <f>Q199</f>
        <v>4</v>
      </c>
      <c r="I188" s="449">
        <f>R199</f>
        <v>3</v>
      </c>
      <c r="J188" s="454">
        <f>S199</f>
        <v>1</v>
      </c>
      <c r="K188" s="458">
        <f>U199</f>
        <v>1</v>
      </c>
      <c r="L188" s="448">
        <f>V199</f>
        <v>3</v>
      </c>
      <c r="M188" s="739">
        <f>W199</f>
        <v>3</v>
      </c>
      <c r="O188" s="236"/>
      <c r="P188" s="237" t="s">
        <v>248</v>
      </c>
      <c r="Q188" s="279">
        <f>IF(OR(Q184="",Q185=""),"",ABS(Q184)+ABS(Q185))</f>
        <v>6</v>
      </c>
      <c r="R188" s="280">
        <f>IF(OR(R184="",R185=""),"",ABS(R184)+ABS(R185))</f>
        <v>2</v>
      </c>
      <c r="S188" s="251">
        <f>IF(OR(S184="",S185=""),"",ABS(S184)+ABS(S185))</f>
        <v>1</v>
      </c>
      <c r="U188" s="279">
        <f>IF(OR(U184="",U185=""),"",ABS(U184)+ABS(U185))</f>
        <v>6</v>
      </c>
      <c r="V188" s="280">
        <f>IF(OR(V184="",V185=""),"",ABS(V184)+ABS(V185))</f>
        <v>3</v>
      </c>
      <c r="W188" s="251">
        <f>IF(OR(W184="",W185=""),"",ABS(W184)+ABS(W185))</f>
        <v>1</v>
      </c>
      <c r="Y188" s="102"/>
    </row>
    <row r="189" spans="1:25" ht="14.1" customHeight="1" thickBot="1">
      <c r="A189" s="87">
        <v>45</v>
      </c>
      <c r="B189" s="138"/>
      <c r="C189" s="237" t="s">
        <v>245</v>
      </c>
      <c r="D189" s="462">
        <f>Q185</f>
        <v>5</v>
      </c>
      <c r="E189" s="419">
        <f>R185</f>
        <v>2</v>
      </c>
      <c r="F189" s="463">
        <f>S185</f>
        <v>1</v>
      </c>
      <c r="G189" s="461" t="s">
        <v>245</v>
      </c>
      <c r="H189" s="453">
        <f>Q200</f>
        <v>2</v>
      </c>
      <c r="I189" s="449">
        <f>R200</f>
        <v>2</v>
      </c>
      <c r="J189" s="454">
        <f>S200</f>
        <v>0</v>
      </c>
      <c r="K189" s="458">
        <f>U200</f>
        <v>1</v>
      </c>
      <c r="L189" s="448">
        <f>V200</f>
        <v>2</v>
      </c>
      <c r="M189" s="739">
        <f>W200</f>
        <v>0</v>
      </c>
      <c r="O189" s="236"/>
      <c r="P189" s="237" t="s">
        <v>249</v>
      </c>
      <c r="Q189" s="282">
        <f>IF(OR(Q186="",Q187=""),"",ABS(Q186)+ABS(Q187))</f>
        <v>9</v>
      </c>
      <c r="R189" s="283">
        <f>IF(OR(R186="",R187=""),"",ABS(R186)+ABS(R187))</f>
        <v>6</v>
      </c>
      <c r="S189" s="252">
        <f>IF(OR(S186="",S187=""),"",ABS(S186)+ABS(S187))</f>
        <v>5</v>
      </c>
      <c r="U189" s="282">
        <f>IF(OR(U186="",U187=""),"",ABS(U186)+ABS(U187))</f>
        <v>8</v>
      </c>
      <c r="V189" s="283">
        <f>IF(OR(V186="",V187=""),"",ABS(V186)+ABS(V187))</f>
        <v>8</v>
      </c>
      <c r="W189" s="252">
        <f>IF(OR(W186="",W187=""),"",ABS(W186)+ABS(W187))</f>
        <v>6</v>
      </c>
      <c r="Y189" s="102"/>
    </row>
    <row r="190" spans="1:25" ht="14.1" customHeight="1">
      <c r="A190" s="87">
        <v>46</v>
      </c>
      <c r="B190" s="138"/>
      <c r="C190" s="237" t="s">
        <v>246</v>
      </c>
      <c r="D190" s="462">
        <f>Q186</f>
        <v>5</v>
      </c>
      <c r="E190" s="419">
        <f>R186</f>
        <v>1</v>
      </c>
      <c r="F190" s="463">
        <f>S186</f>
        <v>1</v>
      </c>
      <c r="G190" s="461" t="s">
        <v>246</v>
      </c>
      <c r="H190" s="453">
        <f>Q201</f>
        <v>4</v>
      </c>
      <c r="I190" s="449">
        <f>R201</f>
        <v>2</v>
      </c>
      <c r="J190" s="454">
        <f>S201</f>
        <v>2</v>
      </c>
      <c r="K190" s="458">
        <f>U201</f>
        <v>4</v>
      </c>
      <c r="L190" s="448">
        <f>V201</f>
        <v>4</v>
      </c>
      <c r="M190" s="739">
        <f>W201</f>
        <v>3</v>
      </c>
      <c r="O190" s="100"/>
      <c r="P190" s="187" t="s">
        <v>204</v>
      </c>
      <c r="Q190" s="212" t="s">
        <v>250</v>
      </c>
      <c r="R190" s="23"/>
      <c r="X190" s="23"/>
      <c r="Y190" s="102"/>
    </row>
    <row r="191" spans="1:25" ht="14.1" customHeight="1" thickBot="1">
      <c r="A191" s="87">
        <v>47</v>
      </c>
      <c r="B191" s="138"/>
      <c r="C191" s="237" t="s">
        <v>247</v>
      </c>
      <c r="D191" s="464">
        <f>Q187</f>
        <v>4</v>
      </c>
      <c r="E191" s="465">
        <f>R187</f>
        <v>5</v>
      </c>
      <c r="F191" s="466">
        <f>S187</f>
        <v>4</v>
      </c>
      <c r="G191" s="461" t="s">
        <v>247</v>
      </c>
      <c r="H191" s="455">
        <f>Q202</f>
        <v>3</v>
      </c>
      <c r="I191" s="456">
        <f>R202</f>
        <v>1</v>
      </c>
      <c r="J191" s="457">
        <f>S202</f>
        <v>2</v>
      </c>
      <c r="K191" s="459">
        <f>U202</f>
        <v>2</v>
      </c>
      <c r="L191" s="460">
        <f>V202</f>
        <v>1</v>
      </c>
      <c r="M191" s="740">
        <f>W202</f>
        <v>2</v>
      </c>
      <c r="O191" s="100"/>
      <c r="P191" s="97"/>
      <c r="Q191" s="212" t="s">
        <v>251</v>
      </c>
      <c r="R191" s="23"/>
      <c r="S191" s="23"/>
      <c r="T191" s="23"/>
      <c r="U191" s="23"/>
      <c r="V191" s="23"/>
      <c r="W191" s="23"/>
      <c r="X191" s="23"/>
      <c r="Y191" s="102"/>
    </row>
    <row r="192" spans="1:25" ht="14.1" customHeight="1">
      <c r="A192" s="87">
        <v>48</v>
      </c>
      <c r="B192" s="138"/>
      <c r="C192" s="237" t="s">
        <v>248</v>
      </c>
      <c r="D192" s="472">
        <f>Q188</f>
        <v>6</v>
      </c>
      <c r="E192" s="473">
        <f>R188</f>
        <v>2</v>
      </c>
      <c r="F192" s="474">
        <f>S188</f>
        <v>1</v>
      </c>
      <c r="G192" s="461" t="s">
        <v>248</v>
      </c>
      <c r="H192" s="478">
        <f>Q203</f>
        <v>6</v>
      </c>
      <c r="I192" s="479">
        <f>R203</f>
        <v>5</v>
      </c>
      <c r="J192" s="480">
        <f>S203</f>
        <v>1</v>
      </c>
      <c r="K192" s="475">
        <f>U203</f>
        <v>2</v>
      </c>
      <c r="L192" s="476">
        <f>V203</f>
        <v>5</v>
      </c>
      <c r="M192" s="741">
        <f>W203</f>
        <v>3</v>
      </c>
      <c r="O192" s="100"/>
      <c r="P192" s="23"/>
      <c r="Q192" s="23"/>
      <c r="R192" s="23"/>
      <c r="S192" s="23"/>
      <c r="T192" s="23"/>
      <c r="U192" s="23"/>
      <c r="V192" s="23"/>
      <c r="W192" s="23"/>
      <c r="Y192" s="102"/>
    </row>
    <row r="193" spans="1:29" ht="14.1" customHeight="1" thickBot="1">
      <c r="A193" s="87">
        <v>49</v>
      </c>
      <c r="B193" s="138"/>
      <c r="C193" s="237" t="s">
        <v>249</v>
      </c>
      <c r="D193" s="464">
        <f>Q189</f>
        <v>9</v>
      </c>
      <c r="E193" s="465">
        <f>R189</f>
        <v>6</v>
      </c>
      <c r="F193" s="466">
        <f>S189</f>
        <v>5</v>
      </c>
      <c r="G193" s="450" t="s">
        <v>249</v>
      </c>
      <c r="H193" s="455">
        <f>Q204</f>
        <v>7</v>
      </c>
      <c r="I193" s="456">
        <f>R204</f>
        <v>3</v>
      </c>
      <c r="J193" s="457">
        <f>S204</f>
        <v>4</v>
      </c>
      <c r="K193" s="459">
        <f>U204</f>
        <v>6</v>
      </c>
      <c r="L193" s="460">
        <f>V204</f>
        <v>5</v>
      </c>
      <c r="M193" s="740">
        <f>W204</f>
        <v>5</v>
      </c>
      <c r="O193" s="213" t="s">
        <v>252</v>
      </c>
      <c r="Y193" s="102"/>
    </row>
    <row r="194" spans="1:29" ht="14.1" customHeight="1" thickBot="1">
      <c r="A194" s="87">
        <v>50</v>
      </c>
      <c r="B194" s="138"/>
      <c r="C194" s="237" t="s">
        <v>95</v>
      </c>
      <c r="D194" s="181" t="str">
        <f>U179</f>
        <v>W/Rh</v>
      </c>
      <c r="E194" s="139"/>
      <c r="F194" s="139"/>
      <c r="G194" s="461" t="s">
        <v>257</v>
      </c>
      <c r="H194" s="478">
        <f>Q205</f>
        <v>4</v>
      </c>
      <c r="I194" s="479">
        <f>R205</f>
        <v>2</v>
      </c>
      <c r="J194" s="480">
        <f>S205</f>
        <v>4</v>
      </c>
      <c r="K194" s="475">
        <f>U205</f>
        <v>4</v>
      </c>
      <c r="L194" s="476">
        <f>V205</f>
        <v>2</v>
      </c>
      <c r="M194" s="741">
        <f>W205</f>
        <v>3</v>
      </c>
      <c r="O194" s="236"/>
      <c r="P194" s="237" t="s">
        <v>95</v>
      </c>
      <c r="Q194" s="211" t="s">
        <v>237</v>
      </c>
      <c r="T194" s="237" t="s">
        <v>95</v>
      </c>
      <c r="U194" s="211" t="s">
        <v>238</v>
      </c>
      <c r="V194" s="23"/>
      <c r="X194" s="23"/>
      <c r="Y194" s="102"/>
    </row>
    <row r="195" spans="1:29" ht="14.1" customHeight="1" thickBot="1">
      <c r="A195" s="87">
        <v>51</v>
      </c>
      <c r="B195" s="138"/>
      <c r="C195" s="237" t="s">
        <v>244</v>
      </c>
      <c r="D195" s="467">
        <f>U184</f>
        <v>2</v>
      </c>
      <c r="E195" s="468">
        <f>V184</f>
        <v>0</v>
      </c>
      <c r="F195" s="469">
        <f>W184</f>
        <v>0</v>
      </c>
      <c r="G195" s="461" t="s">
        <v>258</v>
      </c>
      <c r="H195" s="455">
        <f>Q206</f>
        <v>2</v>
      </c>
      <c r="I195" s="456">
        <f>R206</f>
        <v>3</v>
      </c>
      <c r="J195" s="457">
        <f>S206</f>
        <v>4</v>
      </c>
      <c r="K195" s="459">
        <f>U206</f>
        <v>2</v>
      </c>
      <c r="L195" s="460">
        <f>V206</f>
        <v>3</v>
      </c>
      <c r="M195" s="740">
        <f>W206</f>
        <v>3</v>
      </c>
      <c r="O195" s="236"/>
      <c r="P195" s="237" t="s">
        <v>173</v>
      </c>
      <c r="Q195" s="211">
        <v>28</v>
      </c>
      <c r="R195" s="23"/>
      <c r="S195" s="23"/>
      <c r="T195" s="237" t="s">
        <v>173</v>
      </c>
      <c r="U195" s="211">
        <v>32</v>
      </c>
      <c r="V195" s="23"/>
      <c r="W195" s="23"/>
      <c r="X195" s="23"/>
      <c r="Y195" s="102"/>
    </row>
    <row r="196" spans="1:29" ht="14.1" customHeight="1">
      <c r="A196" s="87">
        <v>52</v>
      </c>
      <c r="B196" s="138"/>
      <c r="C196" s="237" t="s">
        <v>245</v>
      </c>
      <c r="D196" s="458">
        <f>U185</f>
        <v>-4</v>
      </c>
      <c r="E196" s="448">
        <f>V185</f>
        <v>3</v>
      </c>
      <c r="F196" s="470">
        <f>W185</f>
        <v>1</v>
      </c>
      <c r="G196" s="139"/>
      <c r="H196" s="447" t="str">
        <f>IF(MAX(D192:F193,D199:F200)&gt;13,"Fail","Pass")</f>
        <v>Pass</v>
      </c>
      <c r="I196" s="139" t="s">
        <v>573</v>
      </c>
      <c r="J196" s="139"/>
      <c r="K196" s="139"/>
      <c r="L196" s="139"/>
      <c r="M196" s="140"/>
      <c r="O196" s="236"/>
      <c r="P196" s="237" t="s">
        <v>219</v>
      </c>
      <c r="Q196" s="211">
        <v>50</v>
      </c>
      <c r="R196" s="23"/>
      <c r="S196" s="23"/>
      <c r="T196" s="237" t="s">
        <v>219</v>
      </c>
      <c r="U196" s="211">
        <v>71</v>
      </c>
      <c r="V196" s="23"/>
      <c r="W196" s="23"/>
      <c r="X196" s="23"/>
      <c r="Y196" s="102"/>
    </row>
    <row r="197" spans="1:29" ht="14.1" customHeight="1">
      <c r="A197" s="87">
        <v>53</v>
      </c>
      <c r="B197" s="138"/>
      <c r="C197" s="237" t="s">
        <v>246</v>
      </c>
      <c r="D197" s="458">
        <f>U186</f>
        <v>-5</v>
      </c>
      <c r="E197" s="448">
        <f>V186</f>
        <v>3</v>
      </c>
      <c r="F197" s="470">
        <f>W186</f>
        <v>2</v>
      </c>
      <c r="G197" s="139"/>
      <c r="H197" s="447" t="str">
        <f>IF(MAX(H192:M193)&gt;13,"Fail","Pass")</f>
        <v>Pass</v>
      </c>
      <c r="I197" s="139" t="s">
        <v>574</v>
      </c>
      <c r="J197" s="139"/>
      <c r="K197" s="139"/>
      <c r="L197" s="139"/>
      <c r="M197" s="140"/>
      <c r="O197" s="100"/>
      <c r="P197" s="139"/>
      <c r="Q197" s="696" t="s">
        <v>240</v>
      </c>
      <c r="R197" s="696"/>
      <c r="S197" s="696"/>
      <c r="T197" s="23"/>
      <c r="U197" s="696" t="s">
        <v>240</v>
      </c>
      <c r="V197" s="696"/>
      <c r="W197" s="696"/>
      <c r="X197" s="23"/>
      <c r="Y197" s="102"/>
    </row>
    <row r="198" spans="1:29" ht="14.1" customHeight="1" thickBot="1">
      <c r="A198" s="87">
        <v>54</v>
      </c>
      <c r="B198" s="138"/>
      <c r="C198" s="237" t="s">
        <v>247</v>
      </c>
      <c r="D198" s="459">
        <f>U187</f>
        <v>-3</v>
      </c>
      <c r="E198" s="460">
        <f>V187</f>
        <v>5</v>
      </c>
      <c r="F198" s="471">
        <f>W187</f>
        <v>4</v>
      </c>
      <c r="G198" s="139"/>
      <c r="H198" s="447" t="str">
        <f>IF(OR(MAX(H194:M194)&gt;6.5,MAX(H195:M195)&gt;5),"Fail","Pass")</f>
        <v>Pass</v>
      </c>
      <c r="I198" s="139" t="s">
        <v>575</v>
      </c>
      <c r="J198" s="139"/>
      <c r="K198" s="139"/>
      <c r="L198" s="139"/>
      <c r="M198" s="140"/>
      <c r="O198" s="100"/>
      <c r="P198" s="139"/>
      <c r="Q198" s="80" t="s">
        <v>241</v>
      </c>
      <c r="R198" s="80" t="s">
        <v>242</v>
      </c>
      <c r="S198" s="181" t="s">
        <v>243</v>
      </c>
      <c r="T198" s="23"/>
      <c r="U198" s="80" t="s">
        <v>241</v>
      </c>
      <c r="V198" s="80" t="s">
        <v>242</v>
      </c>
      <c r="W198" s="181" t="s">
        <v>243</v>
      </c>
      <c r="X198" s="23"/>
      <c r="Y198" s="102"/>
    </row>
    <row r="199" spans="1:29" ht="14.1" customHeight="1">
      <c r="A199" s="87">
        <v>55</v>
      </c>
      <c r="B199" s="138"/>
      <c r="C199" s="237" t="s">
        <v>248</v>
      </c>
      <c r="D199" s="475">
        <f>U188</f>
        <v>6</v>
      </c>
      <c r="E199" s="476">
        <f>V188</f>
        <v>3</v>
      </c>
      <c r="F199" s="477">
        <f>W188</f>
        <v>1</v>
      </c>
      <c r="G199" s="14" t="s">
        <v>204</v>
      </c>
      <c r="H199" s="175" t="s">
        <v>250</v>
      </c>
      <c r="I199" s="139"/>
      <c r="J199" s="139"/>
      <c r="K199" s="139"/>
      <c r="L199" s="139"/>
      <c r="M199" s="140"/>
      <c r="O199" s="236"/>
      <c r="P199" s="237" t="s">
        <v>244</v>
      </c>
      <c r="Q199" s="238">
        <f>125-121</f>
        <v>4</v>
      </c>
      <c r="R199" s="239">
        <f>95-92</f>
        <v>3</v>
      </c>
      <c r="S199" s="240">
        <f>95-94</f>
        <v>1</v>
      </c>
      <c r="T199" s="23"/>
      <c r="U199" s="238">
        <f>122-121</f>
        <v>1</v>
      </c>
      <c r="V199" s="239">
        <f>85-82</f>
        <v>3</v>
      </c>
      <c r="W199" s="240">
        <f>95-92</f>
        <v>3</v>
      </c>
      <c r="X199" s="23"/>
      <c r="Y199" s="102"/>
    </row>
    <row r="200" spans="1:29" ht="14.1" customHeight="1" thickBot="1">
      <c r="A200" s="87">
        <v>56</v>
      </c>
      <c r="B200" s="138"/>
      <c r="C200" s="237" t="s">
        <v>249</v>
      </c>
      <c r="D200" s="459">
        <f>U189</f>
        <v>8</v>
      </c>
      <c r="E200" s="460">
        <f>V189</f>
        <v>8</v>
      </c>
      <c r="F200" s="471">
        <f>W189</f>
        <v>6</v>
      </c>
      <c r="G200" s="485"/>
      <c r="H200" s="175" t="s">
        <v>251</v>
      </c>
      <c r="I200" s="139"/>
      <c r="J200" s="139"/>
      <c r="K200" s="139"/>
      <c r="L200" s="139"/>
      <c r="M200" s="140"/>
      <c r="O200" s="236"/>
      <c r="P200" s="237" t="s">
        <v>245</v>
      </c>
      <c r="Q200" s="241">
        <f>170-168</f>
        <v>2</v>
      </c>
      <c r="R200" s="242">
        <f>140-138</f>
        <v>2</v>
      </c>
      <c r="S200" s="243">
        <f>138-138</f>
        <v>0</v>
      </c>
      <c r="T200" s="23"/>
      <c r="U200" s="241">
        <f>169-168</f>
        <v>1</v>
      </c>
      <c r="V200" s="242">
        <f>140-138</f>
        <v>2</v>
      </c>
      <c r="W200" s="243">
        <f>138-138</f>
        <v>0</v>
      </c>
      <c r="X200" s="23"/>
      <c r="Y200" s="102"/>
    </row>
    <row r="201" spans="1:29" ht="14.1" customHeight="1">
      <c r="A201" s="87">
        <v>57</v>
      </c>
      <c r="B201" s="138"/>
      <c r="C201" s="139"/>
      <c r="D201" s="139"/>
      <c r="E201" s="268"/>
      <c r="F201" s="139"/>
      <c r="G201" s="14"/>
      <c r="H201" s="175" t="s">
        <v>259</v>
      </c>
      <c r="I201" s="139"/>
      <c r="J201" s="139"/>
      <c r="K201" s="139"/>
      <c r="L201" s="139"/>
      <c r="M201" s="140"/>
      <c r="O201" s="236"/>
      <c r="P201" s="237" t="s">
        <v>246</v>
      </c>
      <c r="Q201" s="241">
        <f>150-146</f>
        <v>4</v>
      </c>
      <c r="R201" s="242">
        <f>91-89</f>
        <v>2</v>
      </c>
      <c r="S201" s="243">
        <f>91-89</f>
        <v>2</v>
      </c>
      <c r="T201" s="23"/>
      <c r="U201" s="241">
        <f>150-146</f>
        <v>4</v>
      </c>
      <c r="V201" s="242">
        <f>93-89</f>
        <v>4</v>
      </c>
      <c r="W201" s="243">
        <f>92-89</f>
        <v>3</v>
      </c>
      <c r="X201" s="139"/>
      <c r="Y201" s="102"/>
    </row>
    <row r="202" spans="1:29" ht="14.1" customHeight="1" thickBot="1">
      <c r="A202" s="87">
        <v>58</v>
      </c>
      <c r="B202" s="486"/>
      <c r="C202" s="487"/>
      <c r="D202" s="487"/>
      <c r="E202" s="487"/>
      <c r="F202" s="487"/>
      <c r="G202" s="481"/>
      <c r="H202" s="482" t="s">
        <v>260</v>
      </c>
      <c r="I202" s="487"/>
      <c r="J202" s="487"/>
      <c r="K202" s="487"/>
      <c r="L202" s="487"/>
      <c r="M202" s="488"/>
      <c r="O202" s="236"/>
      <c r="P202" s="237" t="s">
        <v>247</v>
      </c>
      <c r="Q202" s="245">
        <f>83-80</f>
        <v>3</v>
      </c>
      <c r="R202" s="246">
        <f>81-80</f>
        <v>1</v>
      </c>
      <c r="S202" s="247">
        <f>82-80</f>
        <v>2</v>
      </c>
      <c r="T202" s="23"/>
      <c r="U202" s="245">
        <f>82-80</f>
        <v>2</v>
      </c>
      <c r="V202" s="246">
        <f>81-80</f>
        <v>1</v>
      </c>
      <c r="W202" s="247">
        <f>82-80</f>
        <v>2</v>
      </c>
      <c r="X202" s="139"/>
      <c r="Y202" s="102"/>
    </row>
    <row r="203" spans="1:29" ht="14.1" customHeight="1" thickBot="1">
      <c r="A203" s="87">
        <v>59</v>
      </c>
      <c r="B203" s="138"/>
      <c r="C203" s="220" t="s">
        <v>261</v>
      </c>
      <c r="D203" s="139"/>
      <c r="E203" s="139"/>
      <c r="F203" s="139"/>
      <c r="G203" s="139"/>
      <c r="H203" s="139"/>
      <c r="I203" s="139"/>
      <c r="J203" s="139"/>
      <c r="K203" s="139"/>
      <c r="L203" s="139"/>
      <c r="M203" s="140"/>
      <c r="O203" s="236"/>
      <c r="P203" s="237" t="s">
        <v>248</v>
      </c>
      <c r="Q203" s="279">
        <f>IF(OR(Q199="",Q200=""),"",ABS(Q199)+ABS(Q200))</f>
        <v>6</v>
      </c>
      <c r="R203" s="280">
        <f>IF(OR(R199="",R200=""),"",ABS(R199)+ABS(R200))</f>
        <v>5</v>
      </c>
      <c r="S203" s="251">
        <f>IF(OR(S199="",S200=""),"",ABS(S199)+ABS(S200))</f>
        <v>1</v>
      </c>
      <c r="U203" s="279">
        <f>IF(OR(U199="",U200=""),"",ABS(U199)+ABS(U200))</f>
        <v>2</v>
      </c>
      <c r="V203" s="280">
        <f>IF(OR(V199="",V200=""),"",ABS(V199)+ABS(V200))</f>
        <v>5</v>
      </c>
      <c r="W203" s="251">
        <f>IF(OR(W199="",W200=""),"",ABS(W199)+ABS(W200))</f>
        <v>3</v>
      </c>
      <c r="Y203" s="102"/>
    </row>
    <row r="204" spans="1:29" ht="14.1" customHeight="1" thickBot="1">
      <c r="A204" s="87">
        <v>60</v>
      </c>
      <c r="B204" s="138"/>
      <c r="C204" s="237" t="s">
        <v>51</v>
      </c>
      <c r="D204" s="503" t="str">
        <f>IF(Q213="","",Q213)</f>
        <v>Mo/Mo</v>
      </c>
      <c r="E204" s="504" t="str">
        <f>IF(R213="","",R213)</f>
        <v>W/Rh</v>
      </c>
      <c r="F204" s="139"/>
      <c r="G204" s="139"/>
      <c r="H204" s="139"/>
      <c r="I204" s="139"/>
      <c r="J204" s="139"/>
      <c r="K204" s="139"/>
      <c r="L204" s="139"/>
      <c r="M204" s="140"/>
      <c r="O204" s="236"/>
      <c r="P204" s="237" t="s">
        <v>249</v>
      </c>
      <c r="Q204" s="282">
        <f>IF(OR(Q201="",Q202=""),"",ABS(Q201)+ABS(Q202))</f>
        <v>7</v>
      </c>
      <c r="R204" s="283">
        <f>IF(OR(R201="",R202=""),"",ABS(R201)+ABS(R202))</f>
        <v>3</v>
      </c>
      <c r="S204" s="252">
        <f>IF(OR(S201="",S202=""),"",ABS(S201)+ABS(S202))</f>
        <v>4</v>
      </c>
      <c r="U204" s="282">
        <f>IF(OR(U201="",U202=""),"",ABS(U201)+ABS(U202))</f>
        <v>6</v>
      </c>
      <c r="V204" s="283">
        <f>IF(OR(V201="",V202=""),"",ABS(V201)+ABS(V202))</f>
        <v>5</v>
      </c>
      <c r="W204" s="252">
        <f>IF(OR(W201="",W202=""),"",ABS(W201)+ABS(W202))</f>
        <v>5</v>
      </c>
      <c r="Y204" s="102"/>
    </row>
    <row r="205" spans="1:29" ht="14.1" customHeight="1" thickBot="1">
      <c r="A205" s="87">
        <v>61</v>
      </c>
      <c r="B205" s="138"/>
      <c r="C205" s="237" t="s">
        <v>173</v>
      </c>
      <c r="D205" s="505">
        <f>IF(Q214="","",Q214)</f>
        <v>28</v>
      </c>
      <c r="E205" s="506">
        <f>IF(R214="","",R214)</f>
        <v>28</v>
      </c>
      <c r="F205" s="139"/>
      <c r="G205" s="237" t="s">
        <v>218</v>
      </c>
      <c r="H205" s="218" t="str">
        <f>IF(AND(Q217="",R217=""),"",IF(OR(Q217="Fail",R217="Fail"),"Fail","Pass"))</f>
        <v>Pass</v>
      </c>
      <c r="I205" s="139"/>
      <c r="J205" s="139"/>
      <c r="K205" s="139"/>
      <c r="L205" s="139"/>
      <c r="M205" s="140"/>
      <c r="O205" s="236"/>
      <c r="P205" s="237" t="s">
        <v>256</v>
      </c>
      <c r="Q205" s="238">
        <v>4</v>
      </c>
      <c r="R205" s="239">
        <v>2</v>
      </c>
      <c r="S205" s="240">
        <v>4</v>
      </c>
      <c r="U205" s="238">
        <v>4</v>
      </c>
      <c r="V205" s="239">
        <v>2</v>
      </c>
      <c r="W205" s="240">
        <v>3</v>
      </c>
      <c r="Y205" s="102"/>
    </row>
    <row r="206" spans="1:29" ht="14.1" customHeight="1" thickBot="1">
      <c r="A206" s="87">
        <v>62</v>
      </c>
      <c r="B206" s="138"/>
      <c r="C206" s="237" t="s">
        <v>219</v>
      </c>
      <c r="D206" s="505">
        <f>IF(Q215="","",Q215)</f>
        <v>74.900000000000006</v>
      </c>
      <c r="E206" s="506">
        <f>IF(R215="","",R215)</f>
        <v>104.5</v>
      </c>
      <c r="F206" s="139"/>
      <c r="G206" s="14"/>
      <c r="H206" s="268"/>
      <c r="I206" s="139"/>
      <c r="J206" s="139"/>
      <c r="K206" s="139"/>
      <c r="L206" s="139"/>
      <c r="M206" s="140"/>
      <c r="O206" s="261"/>
      <c r="P206" s="237" t="s">
        <v>258</v>
      </c>
      <c r="Q206" s="262">
        <v>2</v>
      </c>
      <c r="R206" s="263">
        <v>3</v>
      </c>
      <c r="S206" s="264">
        <v>4</v>
      </c>
      <c r="U206" s="262">
        <v>2</v>
      </c>
      <c r="V206" s="263">
        <v>3</v>
      </c>
      <c r="W206" s="264">
        <v>3</v>
      </c>
      <c r="Y206" s="102"/>
    </row>
    <row r="207" spans="1:29" ht="14.1" customHeight="1" thickBot="1">
      <c r="A207" s="87">
        <v>63</v>
      </c>
      <c r="B207" s="138"/>
      <c r="C207" s="237" t="s">
        <v>263</v>
      </c>
      <c r="D207" s="507">
        <f>IF(Q216="","",Q216)</f>
        <v>7.1</v>
      </c>
      <c r="E207" s="508">
        <f>IF(R216="","",R216)</f>
        <v>7.1</v>
      </c>
      <c r="F207" s="139"/>
      <c r="G207" s="139"/>
      <c r="H207" s="139"/>
      <c r="I207" s="139"/>
      <c r="J207" s="139"/>
      <c r="K207" s="139"/>
      <c r="L207" s="139"/>
      <c r="M207" s="140"/>
      <c r="O207" s="213"/>
      <c r="P207" s="187" t="s">
        <v>204</v>
      </c>
      <c r="Q207" s="212" t="s">
        <v>250</v>
      </c>
      <c r="R207" s="23"/>
      <c r="Y207" s="102"/>
    </row>
    <row r="208" spans="1:29" ht="14.1" customHeight="1">
      <c r="A208" s="87">
        <v>64</v>
      </c>
      <c r="B208" s="138"/>
      <c r="C208" s="14" t="s">
        <v>204</v>
      </c>
      <c r="D208" s="175" t="str">
        <f>Q218</f>
        <v>Limiting system resolution must be 6 lp/mm or higher</v>
      </c>
      <c r="E208" s="139"/>
      <c r="F208" s="139"/>
      <c r="G208" s="139"/>
      <c r="H208" s="139"/>
      <c r="I208" s="139"/>
      <c r="J208" s="139"/>
      <c r="K208" s="139"/>
      <c r="L208" s="139"/>
      <c r="M208" s="140"/>
      <c r="O208" s="100"/>
      <c r="P208" s="97"/>
      <c r="Q208" s="212" t="s">
        <v>251</v>
      </c>
      <c r="R208" s="23"/>
      <c r="Y208" s="102"/>
      <c r="AA208" s="79"/>
      <c r="AB208" s="79"/>
      <c r="AC208" s="79"/>
    </row>
    <row r="209" spans="1:29" ht="14.1" customHeight="1">
      <c r="A209" s="87">
        <v>65</v>
      </c>
      <c r="B209" s="138"/>
      <c r="C209" s="139"/>
      <c r="D209" s="139"/>
      <c r="E209" s="139"/>
      <c r="F209" s="139"/>
      <c r="G209" s="139"/>
      <c r="H209" s="139"/>
      <c r="I209" s="139"/>
      <c r="J209" s="139"/>
      <c r="K209" s="139"/>
      <c r="L209" s="139"/>
      <c r="M209" s="140"/>
      <c r="O209" s="100"/>
      <c r="P209" s="23"/>
      <c r="Q209" s="266" t="s">
        <v>259</v>
      </c>
      <c r="R209" s="23"/>
      <c r="Y209" s="102"/>
      <c r="AA209" s="79"/>
      <c r="AB209" s="79"/>
      <c r="AC209" s="79"/>
    </row>
    <row r="210" spans="1:29" ht="14.1" customHeight="1">
      <c r="A210" s="87">
        <v>66</v>
      </c>
      <c r="B210" s="138"/>
      <c r="C210" s="139"/>
      <c r="D210" s="139"/>
      <c r="E210" s="139"/>
      <c r="F210" s="139"/>
      <c r="G210" s="139"/>
      <c r="H210" s="139"/>
      <c r="I210" s="139"/>
      <c r="J210" s="139"/>
      <c r="K210" s="139"/>
      <c r="L210" s="139"/>
      <c r="M210" s="140"/>
      <c r="O210" s="100"/>
      <c r="Q210" s="212" t="s">
        <v>260</v>
      </c>
      <c r="R210" s="23"/>
      <c r="Y210" s="102"/>
      <c r="AA210" s="79"/>
      <c r="AB210" s="79"/>
      <c r="AC210" s="79"/>
    </row>
    <row r="211" spans="1:29" ht="14.1" customHeight="1" thickBot="1">
      <c r="A211" s="87">
        <v>67</v>
      </c>
      <c r="B211" s="138"/>
      <c r="C211" s="139"/>
      <c r="D211" s="139"/>
      <c r="E211" s="139"/>
      <c r="F211" s="139"/>
      <c r="G211" s="139"/>
      <c r="H211" s="139"/>
      <c r="I211" s="139"/>
      <c r="J211" s="139"/>
      <c r="K211" s="139"/>
      <c r="L211" s="139"/>
      <c r="M211" s="140"/>
      <c r="O211" s="110"/>
      <c r="P211" s="267"/>
      <c r="Q211" s="267"/>
      <c r="R211" s="111"/>
      <c r="S211" s="111"/>
      <c r="T211" s="111"/>
      <c r="U211" s="111"/>
      <c r="V211" s="111"/>
      <c r="W211" s="111"/>
      <c r="X211" s="111"/>
      <c r="Y211" s="112"/>
      <c r="AA211" s="79"/>
      <c r="AB211" s="79"/>
      <c r="AC211" s="79"/>
    </row>
    <row r="212" spans="1:29" ht="14.1" customHeight="1">
      <c r="A212" s="87">
        <v>68</v>
      </c>
      <c r="B212" s="138"/>
      <c r="C212" s="139"/>
      <c r="D212" s="139"/>
      <c r="E212" s="139"/>
      <c r="F212" s="139"/>
      <c r="G212" s="139"/>
      <c r="H212" s="139"/>
      <c r="I212" s="139"/>
      <c r="J212" s="139"/>
      <c r="K212" s="139"/>
      <c r="L212" s="139"/>
      <c r="M212" s="140"/>
      <c r="O212" s="213" t="s">
        <v>261</v>
      </c>
      <c r="Y212" s="102"/>
      <c r="AA212" s="79"/>
      <c r="AB212" s="79"/>
      <c r="AC212" s="79"/>
    </row>
    <row r="213" spans="1:29" ht="14.1" customHeight="1">
      <c r="A213" s="87">
        <v>69</v>
      </c>
      <c r="B213" s="138"/>
      <c r="C213" s="139"/>
      <c r="D213" s="139"/>
      <c r="E213" s="139"/>
      <c r="F213" s="139"/>
      <c r="G213" s="139"/>
      <c r="H213" s="139"/>
      <c r="I213" s="139"/>
      <c r="J213" s="139"/>
      <c r="K213" s="139"/>
      <c r="L213" s="139"/>
      <c r="M213" s="140"/>
      <c r="O213" s="100"/>
      <c r="P213" s="105" t="s">
        <v>95</v>
      </c>
      <c r="Q213" s="86" t="s">
        <v>237</v>
      </c>
      <c r="R213" s="86" t="s">
        <v>238</v>
      </c>
      <c r="Y213" s="102"/>
      <c r="AA213" s="79"/>
      <c r="AB213" s="79"/>
      <c r="AC213" s="79"/>
    </row>
    <row r="214" spans="1:29" ht="14.1" customHeight="1" thickBot="1">
      <c r="A214" s="87">
        <v>70</v>
      </c>
      <c r="B214" s="151"/>
      <c r="C214" s="152"/>
      <c r="D214" s="152"/>
      <c r="E214" s="152"/>
      <c r="F214" s="152"/>
      <c r="G214" s="152"/>
      <c r="H214" s="152"/>
      <c r="I214" s="152"/>
      <c r="J214" s="152"/>
      <c r="K214" s="152"/>
      <c r="L214" s="152"/>
      <c r="M214" s="153"/>
      <c r="O214" s="100"/>
      <c r="P214" s="105" t="s">
        <v>173</v>
      </c>
      <c r="Q214" s="219">
        <v>28</v>
      </c>
      <c r="R214" s="219">
        <v>28</v>
      </c>
      <c r="Y214" s="102"/>
      <c r="AA214" s="79"/>
      <c r="AB214" s="79"/>
      <c r="AC214" s="79"/>
    </row>
    <row r="215" spans="1:29" ht="14.1" customHeight="1" thickTop="1">
      <c r="A215" s="87">
        <v>71</v>
      </c>
      <c r="C215" s="183" t="s">
        <v>11</v>
      </c>
      <c r="D215" s="489">
        <f>IF($P$7="","",$P$7)</f>
        <v>42178</v>
      </c>
      <c r="E215" s="97"/>
      <c r="F215" s="97"/>
      <c r="G215" s="97"/>
      <c r="H215" s="97"/>
      <c r="I215" s="97"/>
      <c r="J215" s="97"/>
      <c r="K215" s="97"/>
      <c r="L215" s="183" t="s">
        <v>12</v>
      </c>
      <c r="M215" s="490" t="str">
        <f>IF($X$7="","",$X$7)</f>
        <v>Eugene Mah</v>
      </c>
      <c r="O215" s="100"/>
      <c r="P215" s="105" t="s">
        <v>219</v>
      </c>
      <c r="Q215" s="219">
        <v>74.900000000000006</v>
      </c>
      <c r="R215" s="219">
        <v>104.5</v>
      </c>
      <c r="Y215" s="102"/>
      <c r="AA215" s="79"/>
      <c r="AB215" s="79"/>
      <c r="AC215" s="79"/>
    </row>
    <row r="216" spans="1:29" ht="14.1" customHeight="1">
      <c r="A216" s="87">
        <v>72</v>
      </c>
      <c r="C216" s="183" t="s">
        <v>121</v>
      </c>
      <c r="D216" s="490" t="str">
        <f>IF($R$14="","",$R$14)</f>
        <v>1C10</v>
      </c>
      <c r="E216" s="97"/>
      <c r="F216" s="97"/>
      <c r="G216" s="97"/>
      <c r="H216" s="97"/>
      <c r="I216" s="97"/>
      <c r="J216" s="97"/>
      <c r="K216" s="97"/>
      <c r="L216" s="183" t="s">
        <v>37</v>
      </c>
      <c r="M216" s="490">
        <f>IF($R$13="","",$R$13)</f>
        <v>1732</v>
      </c>
      <c r="O216" s="100"/>
      <c r="P216" s="105" t="s">
        <v>263</v>
      </c>
      <c r="Q216" s="219">
        <v>7.1</v>
      </c>
      <c r="R216" s="219">
        <v>7.1</v>
      </c>
      <c r="Y216" s="102"/>
      <c r="AA216" s="79"/>
      <c r="AB216" s="79"/>
      <c r="AC216" s="79"/>
    </row>
    <row r="217" spans="1:29" ht="14.1" customHeight="1">
      <c r="A217" s="87">
        <v>1</v>
      </c>
      <c r="M217" s="186" t="str">
        <f>$H$2</f>
        <v>Medical University of South Carolina</v>
      </c>
      <c r="O217" s="100"/>
      <c r="P217" s="105" t="s">
        <v>218</v>
      </c>
      <c r="Q217" s="81" t="str">
        <f>IF(Q216="","",IF(Q216&gt;=7,"Pass","Fail"))</f>
        <v>Pass</v>
      </c>
      <c r="R217" s="81" t="str">
        <f>IF(R216="","",IF(R216&gt;=7,"Pass","Fail"))</f>
        <v>Pass</v>
      </c>
      <c r="Y217" s="102"/>
    </row>
    <row r="218" spans="1:29" ht="14.1" customHeight="1" thickBot="1">
      <c r="A218" s="87">
        <v>2</v>
      </c>
      <c r="H218" s="121" t="s">
        <v>73</v>
      </c>
      <c r="M218" s="187" t="str">
        <f>$H$5</f>
        <v>Mammography System Compliance Inspection</v>
      </c>
      <c r="O218" s="100"/>
      <c r="P218" s="14" t="s">
        <v>204</v>
      </c>
      <c r="Q218" s="268" t="s">
        <v>264</v>
      </c>
      <c r="R218" s="139"/>
      <c r="S218" s="139"/>
      <c r="T218" s="139"/>
      <c r="U218" s="139"/>
      <c r="V218" s="139"/>
      <c r="W218" s="139"/>
      <c r="X218" s="139"/>
      <c r="Y218" s="102"/>
    </row>
    <row r="219" spans="1:29" ht="14.1" customHeight="1" thickTop="1" thickBot="1">
      <c r="A219" s="87">
        <v>3</v>
      </c>
      <c r="B219" s="129"/>
      <c r="C219" s="131" t="s">
        <v>265</v>
      </c>
      <c r="D219" s="130"/>
      <c r="E219" s="130"/>
      <c r="F219" s="130"/>
      <c r="G219" s="130"/>
      <c r="H219" s="130"/>
      <c r="I219" s="130"/>
      <c r="J219" s="130"/>
      <c r="K219" s="130"/>
      <c r="L219" s="130"/>
      <c r="M219" s="132"/>
      <c r="O219" s="110"/>
      <c r="P219" s="111"/>
      <c r="Q219" s="111"/>
      <c r="R219" s="111"/>
      <c r="S219" s="111"/>
      <c r="T219" s="111"/>
      <c r="U219" s="111"/>
      <c r="V219" s="111"/>
      <c r="W219" s="111"/>
      <c r="X219" s="111"/>
      <c r="Y219" s="112"/>
    </row>
    <row r="220" spans="1:29" ht="14.1" customHeight="1">
      <c r="A220" s="87">
        <v>4</v>
      </c>
      <c r="B220" s="138"/>
      <c r="C220" s="237" t="s">
        <v>266</v>
      </c>
      <c r="D220" s="214" t="str">
        <f>IF(P221="","",P221)</f>
        <v>OPDOSE</v>
      </c>
      <c r="E220" s="139"/>
      <c r="F220" s="237" t="s">
        <v>267</v>
      </c>
      <c r="G220" s="214" t="str">
        <f>IF(S221="","",S221)</f>
        <v/>
      </c>
      <c r="H220" s="139"/>
      <c r="I220" s="139" t="s">
        <v>95</v>
      </c>
      <c r="J220" s="214" t="str">
        <f>IF(V221="","",V221)</f>
        <v>W/Rh</v>
      </c>
      <c r="K220" s="139"/>
      <c r="L220" s="139"/>
      <c r="M220" s="140"/>
      <c r="O220" s="213" t="s">
        <v>265</v>
      </c>
      <c r="Y220" s="102"/>
    </row>
    <row r="221" spans="1:29" ht="14.1" customHeight="1">
      <c r="A221" s="87">
        <v>5</v>
      </c>
      <c r="B221" s="138"/>
      <c r="C221" s="181" t="s">
        <v>70</v>
      </c>
      <c r="D221" s="139"/>
      <c r="E221" s="139"/>
      <c r="F221" s="139"/>
      <c r="G221" s="139"/>
      <c r="H221" s="181"/>
      <c r="I221" s="139"/>
      <c r="J221" s="445"/>
      <c r="K221" s="139"/>
      <c r="L221" s="139"/>
      <c r="M221" s="140"/>
      <c r="O221" s="100" t="s">
        <v>266</v>
      </c>
      <c r="P221" s="211" t="s">
        <v>541</v>
      </c>
      <c r="R221" s="105" t="s">
        <v>267</v>
      </c>
      <c r="S221" s="211"/>
      <c r="U221" s="91" t="s">
        <v>95</v>
      </c>
      <c r="V221" s="211" t="s">
        <v>238</v>
      </c>
      <c r="Y221" s="102"/>
    </row>
    <row r="222" spans="1:29" ht="14.1" customHeight="1" thickBot="1">
      <c r="A222" s="87">
        <v>6</v>
      </c>
      <c r="B222" s="138"/>
      <c r="C222" s="181" t="s">
        <v>268</v>
      </c>
      <c r="D222" s="181" t="s">
        <v>540</v>
      </c>
      <c r="E222" s="181" t="s">
        <v>269</v>
      </c>
      <c r="F222" s="181" t="s">
        <v>72</v>
      </c>
      <c r="G222" s="181" t="s">
        <v>270</v>
      </c>
      <c r="H222" s="181" t="s">
        <v>271</v>
      </c>
      <c r="I222" s="181"/>
      <c r="J222" s="445"/>
      <c r="K222" s="139"/>
      <c r="L222" s="139"/>
      <c r="M222" s="140"/>
      <c r="O222" s="100"/>
      <c r="P222" s="80" t="s">
        <v>70</v>
      </c>
      <c r="U222" s="80"/>
      <c r="W222" s="23"/>
      <c r="Y222" s="102"/>
    </row>
    <row r="223" spans="1:29" ht="14.1" customHeight="1" thickBot="1">
      <c r="A223" s="87">
        <v>7</v>
      </c>
      <c r="B223" s="138"/>
      <c r="C223" s="503">
        <f>IF(P224="","",P224)</f>
        <v>2</v>
      </c>
      <c r="D223" s="509" t="str">
        <f>IF(Q224="","",Q224)</f>
        <v>Pass</v>
      </c>
      <c r="E223" s="509">
        <f>IF(R224="","",R224)</f>
        <v>25</v>
      </c>
      <c r="F223" s="509">
        <f>IF(S224="","",S224)</f>
        <v>56.8</v>
      </c>
      <c r="G223" s="509">
        <f>IF(T224="","",T224)</f>
        <v>475.6</v>
      </c>
      <c r="H223" s="510">
        <f>IF(U224="","",U224)</f>
        <v>1.4775697444924546E-2</v>
      </c>
      <c r="I223" s="446"/>
      <c r="J223" s="237" t="s">
        <v>272</v>
      </c>
      <c r="K223" s="399">
        <f>IF(X224="","",X224)</f>
        <v>468.67500000000001</v>
      </c>
      <c r="L223" s="139"/>
      <c r="M223" s="140"/>
      <c r="O223" s="100"/>
      <c r="P223" s="80" t="s">
        <v>268</v>
      </c>
      <c r="Q223" s="80" t="s">
        <v>540</v>
      </c>
      <c r="R223" s="80" t="s">
        <v>269</v>
      </c>
      <c r="S223" s="80" t="s">
        <v>72</v>
      </c>
      <c r="T223" s="80" t="s">
        <v>270</v>
      </c>
      <c r="U223" s="80" t="s">
        <v>271</v>
      </c>
      <c r="V223" s="23"/>
      <c r="W223" s="23"/>
      <c r="Y223" s="102"/>
    </row>
    <row r="224" spans="1:29" ht="14.1" customHeight="1" thickBot="1">
      <c r="A224" s="87">
        <v>8</v>
      </c>
      <c r="B224" s="138"/>
      <c r="C224" s="505">
        <f>IF(P225="","",P225)</f>
        <v>4</v>
      </c>
      <c r="D224" s="81" t="str">
        <f>IF(Q225="","",Q225)</f>
        <v>Pass</v>
      </c>
      <c r="E224" s="81">
        <f>IF(R225="","",R225)</f>
        <v>27</v>
      </c>
      <c r="F224" s="81">
        <f>IF(S225="","",S225)</f>
        <v>118.6</v>
      </c>
      <c r="G224" s="81">
        <f>IF(T225="","",T225)</f>
        <v>470.1</v>
      </c>
      <c r="H224" s="511">
        <f>IF(U225="","",U225)</f>
        <v>3.0404864778364781E-3</v>
      </c>
      <c r="I224" s="446"/>
      <c r="J224" s="237" t="s">
        <v>273</v>
      </c>
      <c r="K224" s="399">
        <f>IF(X225="","",X225)</f>
        <v>5.4230219127961128</v>
      </c>
      <c r="L224" s="139"/>
      <c r="M224" s="140"/>
      <c r="O224" s="100"/>
      <c r="P224" s="269">
        <v>2</v>
      </c>
      <c r="Q224" s="270" t="s">
        <v>529</v>
      </c>
      <c r="R224" s="271">
        <v>25</v>
      </c>
      <c r="S224" s="271">
        <v>56.8</v>
      </c>
      <c r="T224" s="271">
        <v>475.6</v>
      </c>
      <c r="U224" s="258">
        <f>IF(OR(T224="",$X$224=""),"",(T224-$X$224)/$X$224)</f>
        <v>1.4775697444924546E-2</v>
      </c>
      <c r="V224" s="23"/>
      <c r="W224" s="105" t="s">
        <v>272</v>
      </c>
      <c r="X224" s="272">
        <f>IF(T224="","",AVERAGE(T224:T231))</f>
        <v>468.67500000000001</v>
      </c>
      <c r="Y224" s="102"/>
    </row>
    <row r="225" spans="1:27" ht="14.1" customHeight="1" thickBot="1">
      <c r="A225" s="87">
        <v>9</v>
      </c>
      <c r="B225" s="138"/>
      <c r="C225" s="505">
        <f>IF(P226="","",P226)</f>
        <v>6</v>
      </c>
      <c r="D225" s="81" t="str">
        <f>IF(Q226="","",Q226)</f>
        <v>Pass</v>
      </c>
      <c r="E225" s="81">
        <f>IF(R226="","",R226)</f>
        <v>29</v>
      </c>
      <c r="F225" s="81">
        <f>IF(S226="","",S226)</f>
        <v>235.6</v>
      </c>
      <c r="G225" s="81">
        <f>IF(T226="","",T226)</f>
        <v>463.2</v>
      </c>
      <c r="H225" s="511">
        <f>IF(U226="","",U226)</f>
        <v>-1.1681869099055896E-2</v>
      </c>
      <c r="I225" s="446"/>
      <c r="J225" s="237" t="s">
        <v>274</v>
      </c>
      <c r="K225" s="514">
        <f>IF(X226="","",X226)</f>
        <v>1.1570964768327972E-2</v>
      </c>
      <c r="L225" s="139"/>
      <c r="M225" s="140"/>
      <c r="O225" s="100"/>
      <c r="P225" s="273">
        <v>4</v>
      </c>
      <c r="Q225" s="274" t="s">
        <v>529</v>
      </c>
      <c r="R225" s="219">
        <v>27</v>
      </c>
      <c r="S225" s="219">
        <v>118.6</v>
      </c>
      <c r="T225" s="219">
        <v>470.1</v>
      </c>
      <c r="U225" s="257">
        <f>IF(OR(T225="",$X$224=""),"",(T225-$X$224)/$X$224)</f>
        <v>3.0404864778364781E-3</v>
      </c>
      <c r="V225" s="23"/>
      <c r="W225" s="105" t="s">
        <v>273</v>
      </c>
      <c r="X225" s="272">
        <f>IF(T224="","",_xlfn.STDEV.S(T224:T227))</f>
        <v>5.4230219127961128</v>
      </c>
      <c r="Y225" s="102"/>
    </row>
    <row r="226" spans="1:27" ht="14.1" customHeight="1" thickBot="1">
      <c r="A226" s="87">
        <v>10</v>
      </c>
      <c r="B226" s="138"/>
      <c r="C226" s="507">
        <f>IF(P227="","",P227)</f>
        <v>8</v>
      </c>
      <c r="D226" s="512" t="str">
        <f>IF(Q227="","",Q227)</f>
        <v>Pass</v>
      </c>
      <c r="E226" s="512">
        <f>IF(R227="","",R227)</f>
        <v>31</v>
      </c>
      <c r="F226" s="512">
        <f>IF(S227="","",S227)</f>
        <v>423.5</v>
      </c>
      <c r="G226" s="512">
        <f>IF(T227="","",T227)</f>
        <v>465.8</v>
      </c>
      <c r="H226" s="513">
        <f>IF(U227="","",U227)</f>
        <v>-6.1343148237051259E-3</v>
      </c>
      <c r="I226" s="446"/>
      <c r="J226" s="139" t="s">
        <v>218</v>
      </c>
      <c r="K226" s="491" t="str">
        <f>IF(AND(H223&lt;0.1,H224&lt;0.1,H225&lt;0.1,H226&lt;0.1,K225&lt;0.5),"Pass","Fail")</f>
        <v>Pass</v>
      </c>
      <c r="L226" s="139"/>
      <c r="M226" s="140"/>
      <c r="O226" s="100"/>
      <c r="P226" s="273">
        <v>6</v>
      </c>
      <c r="Q226" s="274" t="s">
        <v>529</v>
      </c>
      <c r="R226" s="219">
        <v>29</v>
      </c>
      <c r="S226" s="219">
        <v>235.6</v>
      </c>
      <c r="T226" s="219">
        <v>463.2</v>
      </c>
      <c r="U226" s="257">
        <f>IF(OR(T226="",$X$224=""),"",(T226-$X$224)/$X$224)</f>
        <v>-1.1681869099055896E-2</v>
      </c>
      <c r="V226" s="23"/>
      <c r="W226" s="105" t="s">
        <v>274</v>
      </c>
      <c r="X226" s="275">
        <f>IF(OR(X224="",X225=""),"",X225/X224)</f>
        <v>1.1570964768327972E-2</v>
      </c>
      <c r="Y226" s="102"/>
    </row>
    <row r="227" spans="1:27" ht="14.1" customHeight="1" thickBot="1">
      <c r="A227" s="87">
        <v>11</v>
      </c>
      <c r="B227" s="138"/>
      <c r="C227" s="14" t="s">
        <v>204</v>
      </c>
      <c r="D227" s="175" t="s">
        <v>277</v>
      </c>
      <c r="E227" s="181"/>
      <c r="F227" s="181"/>
      <c r="G227" s="181"/>
      <c r="H227" s="181"/>
      <c r="I227" s="446"/>
      <c r="J227" s="445"/>
      <c r="K227" s="139"/>
      <c r="L227" s="139"/>
      <c r="M227" s="140"/>
      <c r="O227" s="100"/>
      <c r="P227" s="276">
        <v>8</v>
      </c>
      <c r="Q227" s="277" t="s">
        <v>529</v>
      </c>
      <c r="R227" s="278">
        <v>31</v>
      </c>
      <c r="S227" s="278">
        <v>423.5</v>
      </c>
      <c r="T227" s="278">
        <v>465.8</v>
      </c>
      <c r="U227" s="260">
        <f>IF(OR(T227="",$X$224=""),"",(T227-$X$224)/$X$224)</f>
        <v>-6.1343148237051259E-3</v>
      </c>
      <c r="V227" s="23"/>
      <c r="W227" s="23"/>
      <c r="Y227" s="102"/>
    </row>
    <row r="228" spans="1:27" ht="14.1" customHeight="1" thickBot="1">
      <c r="A228" s="87">
        <v>12</v>
      </c>
      <c r="B228" s="138"/>
      <c r="C228" s="181"/>
      <c r="D228" s="551" t="s">
        <v>278</v>
      </c>
      <c r="E228" s="181"/>
      <c r="F228" s="181"/>
      <c r="G228" s="181"/>
      <c r="H228" s="181"/>
      <c r="I228" s="446"/>
      <c r="J228" s="445"/>
      <c r="K228" s="139"/>
      <c r="L228" s="139"/>
      <c r="M228" s="140"/>
      <c r="O228" s="100"/>
      <c r="P228" s="187" t="s">
        <v>204</v>
      </c>
      <c r="Q228" s="212" t="s">
        <v>277</v>
      </c>
      <c r="S228" s="23"/>
      <c r="T228" s="23"/>
      <c r="W228" s="23"/>
      <c r="Y228" s="102"/>
    </row>
    <row r="229" spans="1:27" ht="14.1" customHeight="1" thickBot="1">
      <c r="A229" s="87">
        <v>13</v>
      </c>
      <c r="B229" s="138"/>
      <c r="C229" s="491" t="str">
        <f>IF(O230="","TBD",IF(O230=1,"YES",IF(O230=3,"NA","")))</f>
        <v>YES</v>
      </c>
      <c r="D229" s="139" t="s">
        <v>279</v>
      </c>
      <c r="E229" s="181"/>
      <c r="F229" s="181"/>
      <c r="G229" s="181"/>
      <c r="H229" s="181"/>
      <c r="I229" s="181"/>
      <c r="J229" s="446"/>
      <c r="K229" s="445"/>
      <c r="L229" s="139"/>
      <c r="M229" s="140"/>
      <c r="O229" s="100"/>
      <c r="P229" s="23"/>
      <c r="Q229" s="266" t="s">
        <v>278</v>
      </c>
      <c r="S229" s="23"/>
      <c r="T229" s="23"/>
      <c r="W229" s="23"/>
      <c r="Y229" s="102"/>
    </row>
    <row r="230" spans="1:27" ht="14.1" customHeight="1" thickBot="1">
      <c r="A230" s="87">
        <v>14</v>
      </c>
      <c r="B230" s="138"/>
      <c r="C230" s="491" t="str">
        <f>IF(O231="","TBD",IF(O231=1,"YES",IF(O231=3,"NA","")))</f>
        <v>YES</v>
      </c>
      <c r="D230" s="139" t="s">
        <v>280</v>
      </c>
      <c r="E230" s="181"/>
      <c r="F230" s="181"/>
      <c r="G230" s="181"/>
      <c r="H230" s="181"/>
      <c r="I230" s="181"/>
      <c r="J230" s="446"/>
      <c r="K230" s="445"/>
      <c r="L230" s="139"/>
      <c r="M230" s="140"/>
      <c r="O230" s="170">
        <v>1</v>
      </c>
      <c r="P230" s="91" t="s">
        <v>279</v>
      </c>
      <c r="Q230" s="23"/>
      <c r="R230" s="23"/>
      <c r="S230" s="23"/>
      <c r="T230" s="23"/>
      <c r="U230" s="23"/>
      <c r="V230" s="23"/>
      <c r="W230" s="23"/>
      <c r="Y230" s="102"/>
    </row>
    <row r="231" spans="1:27" ht="14.1" customHeight="1" thickBot="1">
      <c r="A231" s="87">
        <v>15</v>
      </c>
      <c r="B231" s="486"/>
      <c r="C231" s="487"/>
      <c r="D231" s="487"/>
      <c r="E231" s="487"/>
      <c r="F231" s="487"/>
      <c r="G231" s="545"/>
      <c r="H231" s="546"/>
      <c r="I231" s="487"/>
      <c r="J231" s="487"/>
      <c r="K231" s="547"/>
      <c r="L231" s="487"/>
      <c r="M231" s="488"/>
      <c r="O231" s="170">
        <v>1</v>
      </c>
      <c r="P231" s="91" t="s">
        <v>280</v>
      </c>
      <c r="Q231" s="23"/>
      <c r="R231" s="23"/>
      <c r="S231" s="23"/>
      <c r="T231" s="23"/>
      <c r="U231" s="23"/>
      <c r="V231" s="23" t="str">
        <f>IF(OR(T231="",$X$224=""),"",(T231-$X$224)/$X$224)</f>
        <v/>
      </c>
      <c r="W231" s="23"/>
      <c r="Y231" s="102"/>
    </row>
    <row r="232" spans="1:27" ht="14.1" customHeight="1">
      <c r="A232" s="87">
        <v>16</v>
      </c>
      <c r="B232" s="138"/>
      <c r="C232" s="220" t="s">
        <v>281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40"/>
      <c r="O232" s="100"/>
      <c r="P232" s="23"/>
      <c r="Q232" s="23"/>
      <c r="R232" s="23"/>
      <c r="S232" s="23"/>
      <c r="T232" s="23"/>
      <c r="U232" s="23"/>
      <c r="V232" s="23"/>
      <c r="W232" s="23"/>
      <c r="Y232" s="102"/>
      <c r="AA232" s="315"/>
    </row>
    <row r="233" spans="1:27" ht="14.1" customHeight="1">
      <c r="A233" s="87">
        <v>17</v>
      </c>
      <c r="B233" s="138"/>
      <c r="C233" s="237" t="s">
        <v>266</v>
      </c>
      <c r="D233" s="214" t="str">
        <f>IF(P234="","",P234)</f>
        <v>AEC</v>
      </c>
      <c r="E233" s="139"/>
      <c r="F233" s="139" t="s">
        <v>95</v>
      </c>
      <c r="G233" s="214" t="str">
        <f>IF(S234="","",S234)</f>
        <v>W/Rh</v>
      </c>
      <c r="H233" s="237" t="s">
        <v>173</v>
      </c>
      <c r="I233" s="214">
        <f>IF(U234="","",U234)</f>
        <v>28</v>
      </c>
      <c r="J233" s="139"/>
      <c r="K233" s="139"/>
      <c r="L233" s="139"/>
      <c r="M233" s="140"/>
      <c r="O233" s="213" t="s">
        <v>281</v>
      </c>
      <c r="P233" s="23"/>
      <c r="Q233" s="23"/>
      <c r="R233" s="23"/>
      <c r="S233" s="23"/>
      <c r="T233" s="23"/>
      <c r="U233" s="23"/>
      <c r="V233" s="23"/>
      <c r="Y233" s="102"/>
      <c r="AA233" s="315"/>
    </row>
    <row r="234" spans="1:27" ht="14.1" customHeight="1">
      <c r="A234" s="87">
        <v>18</v>
      </c>
      <c r="B234" s="138"/>
      <c r="C234" s="139"/>
      <c r="D234" s="139"/>
      <c r="E234" s="139"/>
      <c r="F234" s="139"/>
      <c r="G234" s="139"/>
      <c r="H234" s="139"/>
      <c r="I234" s="181"/>
      <c r="J234" s="139"/>
      <c r="K234" s="139"/>
      <c r="L234" s="139"/>
      <c r="M234" s="140"/>
      <c r="O234" s="100" t="s">
        <v>266</v>
      </c>
      <c r="P234" s="211" t="s">
        <v>515</v>
      </c>
      <c r="R234" s="91" t="s">
        <v>95</v>
      </c>
      <c r="S234" s="211" t="s">
        <v>238</v>
      </c>
      <c r="T234" s="237" t="s">
        <v>173</v>
      </c>
      <c r="U234" s="211">
        <v>28</v>
      </c>
      <c r="Y234" s="102"/>
      <c r="AA234" s="315"/>
    </row>
    <row r="235" spans="1:27" ht="14.1" customHeight="1" thickBot="1">
      <c r="A235" s="87">
        <v>19</v>
      </c>
      <c r="B235" s="138"/>
      <c r="C235" s="139"/>
      <c r="D235" s="421"/>
      <c r="E235" s="139"/>
      <c r="F235" s="237"/>
      <c r="G235" s="421"/>
      <c r="H235" s="181"/>
      <c r="I235" s="445"/>
      <c r="J235" s="139" t="s">
        <v>282</v>
      </c>
      <c r="K235" s="139"/>
      <c r="L235" s="139"/>
      <c r="M235" s="140"/>
      <c r="O235" s="100"/>
      <c r="Y235" s="102"/>
      <c r="AA235" s="315"/>
    </row>
    <row r="236" spans="1:27" ht="14.1" customHeight="1" thickBot="1">
      <c r="A236" s="87">
        <v>20</v>
      </c>
      <c r="B236" s="138"/>
      <c r="C236" s="139"/>
      <c r="D236" s="569" t="s">
        <v>72</v>
      </c>
      <c r="E236" s="543" t="s">
        <v>283</v>
      </c>
      <c r="F236" s="543" t="s">
        <v>284</v>
      </c>
      <c r="G236" s="543" t="s">
        <v>285</v>
      </c>
      <c r="H236" s="543" t="s">
        <v>286</v>
      </c>
      <c r="I236" s="543" t="s">
        <v>287</v>
      </c>
      <c r="J236" s="544" t="s">
        <v>27</v>
      </c>
      <c r="K236" s="500" t="s">
        <v>288</v>
      </c>
      <c r="L236" s="516" t="s">
        <v>289</v>
      </c>
      <c r="M236" s="140"/>
      <c r="O236" s="100"/>
      <c r="P236" s="284"/>
      <c r="R236" s="105"/>
      <c r="S236" s="284"/>
      <c r="T236" s="80"/>
      <c r="U236" s="23"/>
      <c r="V236" s="91" t="s">
        <v>282</v>
      </c>
      <c r="Y236" s="102"/>
      <c r="AA236" s="315"/>
    </row>
    <row r="237" spans="1:27" ht="14.1" customHeight="1" thickBot="1">
      <c r="A237" s="87">
        <v>21</v>
      </c>
      <c r="B237" s="138"/>
      <c r="C237" s="139"/>
      <c r="D237" s="540">
        <f>IF(P238="","",P238)</f>
        <v>116.3</v>
      </c>
      <c r="E237" s="541">
        <f>IF(Q238="","",Q238)</f>
        <v>436.8</v>
      </c>
      <c r="F237" s="541">
        <f>IF(R238="","",R238)</f>
        <v>454.8</v>
      </c>
      <c r="G237" s="541">
        <f>IF(S238="","",S238)</f>
        <v>5.9</v>
      </c>
      <c r="H237" s="541">
        <f>IF(T238="","",T238)</f>
        <v>68.610169491525426</v>
      </c>
      <c r="I237" s="541">
        <f>IF(U238="","",U238)</f>
        <v>3.0508474576271185</v>
      </c>
      <c r="J237" s="542">
        <f>IF(V238="","",V238)</f>
        <v>3.0184930430620414</v>
      </c>
      <c r="K237" s="530">
        <f>IF(X238="","",X238)</f>
        <v>1.5950256826169198E-2</v>
      </c>
      <c r="L237" s="536">
        <f>IF(Y238="","",Y238)</f>
        <v>3.0523684171191385E-3</v>
      </c>
      <c r="M237" s="140"/>
      <c r="O237" s="100"/>
      <c r="P237" s="80" t="s">
        <v>72</v>
      </c>
      <c r="Q237" s="80" t="s">
        <v>283</v>
      </c>
      <c r="R237" s="80" t="s">
        <v>284</v>
      </c>
      <c r="S237" s="80" t="s">
        <v>285</v>
      </c>
      <c r="T237" s="80" t="s">
        <v>286</v>
      </c>
      <c r="U237" s="80" t="s">
        <v>287</v>
      </c>
      <c r="V237" s="91" t="s">
        <v>27</v>
      </c>
      <c r="X237" s="80" t="s">
        <v>288</v>
      </c>
      <c r="Y237" s="285" t="s">
        <v>289</v>
      </c>
      <c r="AA237" s="315"/>
    </row>
    <row r="238" spans="1:27" ht="14.1" customHeight="1">
      <c r="A238" s="87">
        <v>22</v>
      </c>
      <c r="B238" s="138"/>
      <c r="C238" s="139"/>
      <c r="D238" s="517">
        <f>IF(P239="","",P239)</f>
        <v>121</v>
      </c>
      <c r="E238" s="515">
        <f>IF(Q239="","",Q239)</f>
        <v>453.2</v>
      </c>
      <c r="F238" s="515">
        <f>IF(R239="","",R239)</f>
        <v>472.1</v>
      </c>
      <c r="G238" s="515">
        <f>IF(S239="","",S239)</f>
        <v>6.2</v>
      </c>
      <c r="H238" s="515">
        <f>IF(T239="","",T239)</f>
        <v>68.08064516129032</v>
      </c>
      <c r="I238" s="515">
        <f>IF(U239="","",U239)</f>
        <v>3.0483870967741988</v>
      </c>
      <c r="J238" s="518">
        <f>IF(V239="","",V239)</f>
        <v>3.1404785744669561</v>
      </c>
      <c r="K238" s="530">
        <f>IF(X239="","",X239)</f>
        <v>2.0996665765522199E-2</v>
      </c>
      <c r="L238" s="536">
        <f>IF(Y239="","",Y239)</f>
        <v>4.6890588015152139E-3</v>
      </c>
      <c r="M238" s="140"/>
      <c r="O238" s="100"/>
      <c r="P238" s="238">
        <v>116.3</v>
      </c>
      <c r="Q238" s="239">
        <v>436.8</v>
      </c>
      <c r="R238" s="239">
        <v>454.8</v>
      </c>
      <c r="S238" s="239">
        <v>5.9</v>
      </c>
      <c r="T238" s="286">
        <f>IF(OR(R238="",S238=""),"",(R238-50)/S238)</f>
        <v>68.610169491525426</v>
      </c>
      <c r="U238" s="287">
        <f>IF(OR(Q238="",R238="",S238=""),"",(R238-Q238)/S238)</f>
        <v>3.0508474576271185</v>
      </c>
      <c r="V238" s="288">
        <f>IF($V$296="","",$V$296*P238)</f>
        <v>3.0184930430620414</v>
      </c>
      <c r="X238" s="289">
        <f>IF(OR(Q238="",$Q$243=""),"",ABS(Q238-$Q$243)/$Q$243)</f>
        <v>1.5950256826169198E-2</v>
      </c>
      <c r="Y238" s="290">
        <f>IF(OR(T238="",$T$243=""),"",ABS(T238-$T$243)/$T$243)</f>
        <v>3.0523684171191385E-3</v>
      </c>
      <c r="AA238" s="315"/>
    </row>
    <row r="239" spans="1:27" ht="14.1" customHeight="1">
      <c r="A239" s="87">
        <v>23</v>
      </c>
      <c r="B239" s="138"/>
      <c r="C239" s="139"/>
      <c r="D239" s="517">
        <f>IF(P240="","",P240)</f>
        <v>116.3</v>
      </c>
      <c r="E239" s="515">
        <f>IF(Q240="","",Q240)</f>
        <v>436.3</v>
      </c>
      <c r="F239" s="515">
        <f>IF(R240="","",R240)</f>
        <v>454.1</v>
      </c>
      <c r="G239" s="515">
        <f>IF(S240="","",S240)</f>
        <v>6</v>
      </c>
      <c r="H239" s="515">
        <f>IF(T240="","",T240)</f>
        <v>67.350000000000009</v>
      </c>
      <c r="I239" s="515">
        <f>IF(U240="","",U240)</f>
        <v>2.9666666666666686</v>
      </c>
      <c r="J239" s="518">
        <f>IF(V240="","",V240)</f>
        <v>3.0184930430620414</v>
      </c>
      <c r="K239" s="530">
        <f>IF(X240="","",X240)</f>
        <v>1.7076687392989062E-2</v>
      </c>
      <c r="L239" s="536">
        <f>IF(Y240="","",Y240)</f>
        <v>1.5370789584810807E-2</v>
      </c>
      <c r="M239" s="140"/>
      <c r="O239" s="100"/>
      <c r="P239" s="241">
        <v>121</v>
      </c>
      <c r="Q239" s="242">
        <v>453.2</v>
      </c>
      <c r="R239" s="242">
        <v>472.1</v>
      </c>
      <c r="S239" s="242">
        <v>6.2</v>
      </c>
      <c r="T239" s="141">
        <f>IF(OR(R239="",S239=""),"",(R239-50)/S239)</f>
        <v>68.08064516129032</v>
      </c>
      <c r="U239" s="142">
        <f>IF(OR(Q239="",R239="",S239=""),"",(R239-Q239)/S239)</f>
        <v>3.0483870967741988</v>
      </c>
      <c r="V239" s="291">
        <f>IF($V$296="","",$V$296*P239)</f>
        <v>3.1404785744669561</v>
      </c>
      <c r="X239" s="289">
        <f>IF(OR(Q239="",$Q$243=""),"",ABS(Q239-$Q$243)/$Q$243)</f>
        <v>2.0996665765522199E-2</v>
      </c>
      <c r="Y239" s="290">
        <f>IF(OR(T239="",$T$243=""),"",ABS(T239-$T$243)/$T$243)</f>
        <v>4.6890588015152139E-3</v>
      </c>
      <c r="AA239" s="315"/>
    </row>
    <row r="240" spans="1:27" ht="14.1" customHeight="1">
      <c r="A240" s="87">
        <v>24</v>
      </c>
      <c r="B240" s="138"/>
      <c r="C240" s="139"/>
      <c r="D240" s="517">
        <f>IF(P241="","",P241)</f>
        <v>121</v>
      </c>
      <c r="E240" s="515">
        <f>IF(Q241="","",Q241)</f>
        <v>453</v>
      </c>
      <c r="F240" s="515">
        <f>IF(R241="","",R241)</f>
        <v>470.9</v>
      </c>
      <c r="G240" s="515">
        <f>IF(S241="","",S241)</f>
        <v>6.1</v>
      </c>
      <c r="H240" s="515">
        <f>IF(T241="","",T241)</f>
        <v>69</v>
      </c>
      <c r="I240" s="515">
        <f>IF(U241="","",U241)</f>
        <v>2.9344262295081931</v>
      </c>
      <c r="J240" s="518">
        <f>IF(V241="","",V241)</f>
        <v>3.1404785744669561</v>
      </c>
      <c r="K240" s="530">
        <f>IF(X241="","",X241)</f>
        <v>2.0546093538794278E-2</v>
      </c>
      <c r="L240" s="536">
        <f>IF(Y241="","",Y241)</f>
        <v>8.7515296013072862E-3</v>
      </c>
      <c r="M240" s="140"/>
      <c r="O240" s="100"/>
      <c r="P240" s="241">
        <v>116.3</v>
      </c>
      <c r="Q240" s="242">
        <v>436.3</v>
      </c>
      <c r="R240" s="242">
        <v>454.1</v>
      </c>
      <c r="S240" s="242">
        <v>6</v>
      </c>
      <c r="T240" s="141">
        <f>IF(OR(R240="",S240=""),"",(R240-50)/S240)</f>
        <v>67.350000000000009</v>
      </c>
      <c r="U240" s="142">
        <f>IF(OR(Q240="",R240="",S240=""),"",(R240-Q240)/S240)</f>
        <v>2.9666666666666686</v>
      </c>
      <c r="V240" s="291">
        <f>IF($V$296="","",$V$296*P240)</f>
        <v>3.0184930430620414</v>
      </c>
      <c r="X240" s="289">
        <f>IF(OR(Q240="",$Q$243=""),"",ABS(Q240-$Q$243)/$Q$243)</f>
        <v>1.7076687392989062E-2</v>
      </c>
      <c r="Y240" s="290">
        <f>IF(OR(T240="",$T$243=""),"",ABS(T240-$T$243)/$T$243)</f>
        <v>1.5370789584810807E-2</v>
      </c>
      <c r="AA240" s="315"/>
    </row>
    <row r="241" spans="1:27" ht="14.1" customHeight="1" thickBot="1">
      <c r="A241" s="87">
        <v>25</v>
      </c>
      <c r="B241" s="138"/>
      <c r="C241" s="139"/>
      <c r="D241" s="519">
        <f>IF(P242="","",P242)</f>
        <v>116.6</v>
      </c>
      <c r="E241" s="520">
        <f>IF(Q242="","",Q242)</f>
        <v>440.1</v>
      </c>
      <c r="F241" s="520">
        <f>IF(R242="","",R242)</f>
        <v>456.9</v>
      </c>
      <c r="G241" s="520">
        <f>IF(S242="","",S242)</f>
        <v>5.9</v>
      </c>
      <c r="H241" s="520">
        <f>IF(T242="","",T242)</f>
        <v>68.966101694915253</v>
      </c>
      <c r="I241" s="520">
        <f>IF(U242="","",U242)</f>
        <v>2.847457627118636</v>
      </c>
      <c r="J241" s="521">
        <f>IF(V242="","",V242)</f>
        <v>3.0262793535772485</v>
      </c>
      <c r="K241" s="531">
        <f>IF(X242="","",X242)</f>
        <v>8.5158150851580901E-3</v>
      </c>
      <c r="L241" s="548">
        <f>IF(Y242="","",Y242)</f>
        <v>8.2559503678995942E-3</v>
      </c>
      <c r="M241" s="140"/>
      <c r="O241" s="100"/>
      <c r="P241" s="241">
        <v>121</v>
      </c>
      <c r="Q241" s="242">
        <v>453</v>
      </c>
      <c r="R241" s="242">
        <v>470.9</v>
      </c>
      <c r="S241" s="242">
        <v>6.1</v>
      </c>
      <c r="T241" s="141">
        <f>IF(OR(R241="",S241=""),"",(R241-50)/S241)</f>
        <v>69</v>
      </c>
      <c r="U241" s="142">
        <f>IF(OR(Q241="",R241="",S241=""),"",(R241-Q241)/S241)</f>
        <v>2.9344262295081931</v>
      </c>
      <c r="V241" s="291">
        <f>IF($V$296="","",$V$296*P241)</f>
        <v>3.1404785744669561</v>
      </c>
      <c r="X241" s="289">
        <f>IF(OR(Q241="",$Q$243=""),"",ABS(Q241-$Q$243)/$Q$243)</f>
        <v>2.0546093538794278E-2</v>
      </c>
      <c r="Y241" s="290">
        <f>IF(OR(T241="",$T$243=""),"",ABS(T241-$T$243)/$T$243)</f>
        <v>8.7515296013072862E-3</v>
      </c>
    </row>
    <row r="242" spans="1:27" ht="14.1" customHeight="1" thickBot="1">
      <c r="A242" s="87">
        <v>26</v>
      </c>
      <c r="B242" s="138"/>
      <c r="C242" s="571" t="s">
        <v>272</v>
      </c>
      <c r="D242" s="522">
        <f>IF(P243="","",P243)</f>
        <v>118.24000000000001</v>
      </c>
      <c r="E242" s="523">
        <f>IF(Q243="","",Q243)</f>
        <v>443.88</v>
      </c>
      <c r="F242" s="523">
        <f>IF(R243="","",R243)</f>
        <v>461.76000000000005</v>
      </c>
      <c r="G242" s="523">
        <f>IF(S243="","",S243)</f>
        <v>6.0200000000000005</v>
      </c>
      <c r="H242" s="523">
        <f>IF(T243="","",T243)</f>
        <v>68.401383269546201</v>
      </c>
      <c r="I242" s="523">
        <f>IF(U243="","",U243)</f>
        <v>2.969557015538963</v>
      </c>
      <c r="J242" s="524">
        <f>IF(V243="","",V243)</f>
        <v>3.0688445177270482</v>
      </c>
      <c r="K242" s="532">
        <f>IF(X243="","",X243)</f>
        <v>2.0996665765522199E-2</v>
      </c>
      <c r="L242" s="532">
        <f>IF(Y243="","",Y243)</f>
        <v>1.5370789584810807E-2</v>
      </c>
      <c r="M242" s="140"/>
      <c r="O242" s="100"/>
      <c r="P242" s="292">
        <v>116.6</v>
      </c>
      <c r="Q242" s="293">
        <v>440.1</v>
      </c>
      <c r="R242" s="293">
        <v>456.9</v>
      </c>
      <c r="S242" s="293">
        <v>5.9</v>
      </c>
      <c r="T242" s="294">
        <f>IF(OR(R242="",S242=""),"",(R242-50)/S242)</f>
        <v>68.966101694915253</v>
      </c>
      <c r="U242" s="295">
        <f>IF(OR(Q242="",R242="",S242=""),"",(R242-Q242)/S242)</f>
        <v>2.847457627118636</v>
      </c>
      <c r="V242" s="296">
        <f>IF($V$296="","",$V$296*P242)</f>
        <v>3.0262793535772485</v>
      </c>
      <c r="X242" s="289">
        <f>IF(OR(Q242="",$Q$243=""),"",ABS(Q242-$Q$243)/$Q$243)</f>
        <v>8.5158150851580901E-3</v>
      </c>
      <c r="Y242" s="290">
        <f>IF(OR(T242="",$T$243=""),"",ABS(T242-$T$243)/$T$243)</f>
        <v>8.2559503678995942E-3</v>
      </c>
    </row>
    <row r="243" spans="1:27" ht="14.1" customHeight="1" thickBot="1">
      <c r="A243" s="87">
        <v>27</v>
      </c>
      <c r="B243" s="138"/>
      <c r="C243" s="571" t="s">
        <v>273</v>
      </c>
      <c r="D243" s="517">
        <f>IF(P244="","",P244)</f>
        <v>2.5224987611493508</v>
      </c>
      <c r="E243" s="515">
        <f>IF(Q244="","",Q244)</f>
        <v>8.5426576660896227</v>
      </c>
      <c r="F243" s="515">
        <f>IF(R244="","",R244)</f>
        <v>8.9609151318378153</v>
      </c>
      <c r="G243" s="515">
        <f>IF(S244="","",S244)</f>
        <v>0.13038404810405282</v>
      </c>
      <c r="H243" s="515">
        <f>IF(T244="","",T244)</f>
        <v>0.69446387414826305</v>
      </c>
      <c r="I243" s="515">
        <f>IF(U244="","",U244)</f>
        <v>8.5107438832928747E-2</v>
      </c>
      <c r="J243" s="518">
        <f>IF(V244="","",V244)</f>
        <v>6.5469862095115447E-2</v>
      </c>
      <c r="K243" s="532" t="str">
        <f>IF(X244="","",X244)</f>
        <v>Pass</v>
      </c>
      <c r="L243" s="532" t="str">
        <f>IF(Y244="","",Y244)</f>
        <v>Pass</v>
      </c>
      <c r="M243" s="140"/>
      <c r="O243" s="100" t="s">
        <v>272</v>
      </c>
      <c r="P243" s="298">
        <f t="shared" ref="P243:V243" si="8">IF(P238="","",AVERAGE(P238:P242))</f>
        <v>118.24000000000001</v>
      </c>
      <c r="Q243" s="286">
        <f t="shared" si="8"/>
        <v>443.88</v>
      </c>
      <c r="R243" s="286">
        <f t="shared" si="8"/>
        <v>461.76000000000005</v>
      </c>
      <c r="S243" s="286">
        <f t="shared" si="8"/>
        <v>6.0200000000000005</v>
      </c>
      <c r="T243" s="286">
        <f t="shared" si="8"/>
        <v>68.401383269546201</v>
      </c>
      <c r="U243" s="287">
        <f t="shared" si="8"/>
        <v>2.969557015538963</v>
      </c>
      <c r="V243" s="299">
        <f t="shared" si="8"/>
        <v>3.0688445177270482</v>
      </c>
      <c r="W243" s="105" t="s">
        <v>292</v>
      </c>
      <c r="X243" s="275">
        <f>IF(X238="","",MAX(X238:X242))</f>
        <v>2.0996665765522199E-2</v>
      </c>
      <c r="Y243" s="275">
        <f>IF(Y238="","",MAX(Y238:Y242))</f>
        <v>1.5370789584810807E-2</v>
      </c>
    </row>
    <row r="244" spans="1:27" ht="14.1" customHeight="1" thickBot="1">
      <c r="A244" s="87">
        <v>28</v>
      </c>
      <c r="B244" s="138"/>
      <c r="C244" s="236" t="s">
        <v>274</v>
      </c>
      <c r="D244" s="525">
        <f>IF(P245="","",P245)</f>
        <v>2.1333717533401138E-2</v>
      </c>
      <c r="E244" s="526">
        <f>IF(Q245="","",Q245)</f>
        <v>1.9245421433922733E-2</v>
      </c>
      <c r="F244" s="526">
        <f>IF(R245="","",R245)</f>
        <v>1.9406001238387507E-2</v>
      </c>
      <c r="G244" s="526">
        <f>IF(S245="","",S245)</f>
        <v>2.1658479751503791E-2</v>
      </c>
      <c r="H244" s="526">
        <f>IF(T245="","",T245)</f>
        <v>1.0152775294201596E-2</v>
      </c>
      <c r="I244" s="526">
        <f>IF(U245="","",U245)</f>
        <v>2.8659978032946468E-2</v>
      </c>
      <c r="J244" s="527">
        <f>IF(V245="","",V245)</f>
        <v>2.1333717533401124E-2</v>
      </c>
      <c r="K244" s="139"/>
      <c r="L244" s="139"/>
      <c r="M244" s="140"/>
      <c r="O244" s="100" t="s">
        <v>273</v>
      </c>
      <c r="P244" s="301">
        <f>IF(P238="","",STDEV(P238:P242))</f>
        <v>2.5224987611493508</v>
      </c>
      <c r="Q244" s="141">
        <f t="shared" ref="Q244:V244" si="9">IF(Q238="","",STDEV(Q238:Q242))</f>
        <v>8.5426576660896227</v>
      </c>
      <c r="R244" s="141">
        <f t="shared" si="9"/>
        <v>8.9609151318378153</v>
      </c>
      <c r="S244" s="141">
        <f t="shared" si="9"/>
        <v>0.13038404810405282</v>
      </c>
      <c r="T244" s="141">
        <f t="shared" si="9"/>
        <v>0.69446387414826305</v>
      </c>
      <c r="U244" s="142">
        <f t="shared" si="9"/>
        <v>8.5107438832928747E-2</v>
      </c>
      <c r="V244" s="302">
        <f t="shared" si="9"/>
        <v>6.5469862095115447E-2</v>
      </c>
      <c r="X244" s="218" t="str">
        <f>IF(X243="","",IF(X243&lt;=0.15,"Pass","Fail"))</f>
        <v>Pass</v>
      </c>
      <c r="Y244" s="218" t="str">
        <f>IF(Y243="","",IF(Y243&lt;=0.15,"Pass","Fail"))</f>
        <v>Pass</v>
      </c>
    </row>
    <row r="245" spans="1:27" ht="14.1" customHeight="1" thickBot="1">
      <c r="A245" s="87">
        <v>29</v>
      </c>
      <c r="B245" s="138"/>
      <c r="C245" s="139"/>
      <c r="D245" s="528" t="str">
        <f>IF(P246="","",P246)</f>
        <v>Pass</v>
      </c>
      <c r="E245" s="182"/>
      <c r="F245" s="182"/>
      <c r="G245" s="182"/>
      <c r="H245" s="182"/>
      <c r="I245" s="182"/>
      <c r="J245" s="528" t="str">
        <f>IF(V246="","",V246)</f>
        <v>Pass</v>
      </c>
      <c r="K245" s="139"/>
      <c r="L245" s="139"/>
      <c r="M245" s="140"/>
      <c r="O245" s="100" t="s">
        <v>274</v>
      </c>
      <c r="P245" s="303">
        <f t="shared" ref="P245:V245" si="10">IF(OR(P243="",P244=""),"",P244/P243)</f>
        <v>2.1333717533401138E-2</v>
      </c>
      <c r="Q245" s="304">
        <f t="shared" si="10"/>
        <v>1.9245421433922733E-2</v>
      </c>
      <c r="R245" s="304">
        <f t="shared" si="10"/>
        <v>1.9406001238387507E-2</v>
      </c>
      <c r="S245" s="304">
        <f t="shared" si="10"/>
        <v>2.1658479751503791E-2</v>
      </c>
      <c r="T245" s="304">
        <f t="shared" si="10"/>
        <v>1.0152775294201596E-2</v>
      </c>
      <c r="U245" s="304">
        <f t="shared" si="10"/>
        <v>2.8659978032946468E-2</v>
      </c>
      <c r="V245" s="305">
        <f t="shared" si="10"/>
        <v>2.1333717533401124E-2</v>
      </c>
      <c r="X245" s="80"/>
      <c r="Y245" s="285"/>
      <c r="Z245" s="79"/>
      <c r="AA245" s="23"/>
    </row>
    <row r="246" spans="1:27" ht="14.1" customHeight="1" thickBot="1">
      <c r="A246" s="87">
        <v>30</v>
      </c>
      <c r="B246" s="138"/>
      <c r="C246" s="14" t="s">
        <v>204</v>
      </c>
      <c r="D246" s="175" t="s">
        <v>293</v>
      </c>
      <c r="E246" s="139"/>
      <c r="F246" s="139"/>
      <c r="G246" s="139"/>
      <c r="H246" s="139"/>
      <c r="I246" s="139"/>
      <c r="J246" s="139"/>
      <c r="K246" s="139"/>
      <c r="L246" s="139"/>
      <c r="M246" s="140"/>
      <c r="O246" s="100"/>
      <c r="P246" s="218" t="str">
        <f>IF(P245="","",IF(P245&lt;=0.05,"Pass","Fail"))</f>
        <v>Pass</v>
      </c>
      <c r="Q246" s="23"/>
      <c r="R246" s="23"/>
      <c r="S246" s="23"/>
      <c r="T246" s="23"/>
      <c r="U246" s="23"/>
      <c r="V246" s="218" t="str">
        <f>IF(V245="","",IF(V245&lt;=0.05,"Pass","Fail"))</f>
        <v>Pass</v>
      </c>
      <c r="Y246" s="102"/>
      <c r="Z246" s="79"/>
      <c r="AA246" s="23"/>
    </row>
    <row r="247" spans="1:27" ht="14.1" customHeight="1">
      <c r="A247" s="87">
        <v>31</v>
      </c>
      <c r="B247" s="138"/>
      <c r="C247" s="139"/>
      <c r="D247" s="175" t="s">
        <v>294</v>
      </c>
      <c r="E247" s="139"/>
      <c r="F247" s="139"/>
      <c r="G247" s="139"/>
      <c r="H247" s="139"/>
      <c r="I247" s="139"/>
      <c r="J247" s="139"/>
      <c r="K247" s="139"/>
      <c r="L247" s="139"/>
      <c r="M247" s="140"/>
      <c r="O247" s="100"/>
      <c r="P247" s="14" t="s">
        <v>204</v>
      </c>
      <c r="Q247" s="175" t="s">
        <v>293</v>
      </c>
      <c r="R247" s="139"/>
      <c r="S247" s="139"/>
      <c r="T247" s="139"/>
      <c r="U247" s="139"/>
      <c r="V247" s="139"/>
      <c r="W247" s="139"/>
      <c r="X247" s="139"/>
      <c r="Y247" s="102"/>
      <c r="Z247" s="79"/>
      <c r="AA247" s="97"/>
    </row>
    <row r="248" spans="1:27" ht="14.1" customHeight="1" thickBot="1">
      <c r="A248" s="87">
        <v>32</v>
      </c>
      <c r="B248" s="234"/>
      <c r="C248" s="111"/>
      <c r="D248" s="111"/>
      <c r="E248" s="111"/>
      <c r="F248" s="111"/>
      <c r="G248" s="111"/>
      <c r="H248" s="111"/>
      <c r="I248" s="111"/>
      <c r="J248" s="111"/>
      <c r="K248" s="111"/>
      <c r="L248" s="111"/>
      <c r="M248" s="235"/>
      <c r="O248" s="100"/>
      <c r="P248" s="139"/>
      <c r="Q248" s="175" t="s">
        <v>294</v>
      </c>
      <c r="R248" s="139"/>
      <c r="S248" s="139"/>
      <c r="T248" s="139"/>
      <c r="U248" s="139"/>
      <c r="V248" s="139"/>
      <c r="W248" s="139"/>
      <c r="X248" s="139"/>
      <c r="Y248" s="102"/>
    </row>
    <row r="249" spans="1:27" ht="14.1" customHeight="1" thickBot="1">
      <c r="A249" s="87">
        <v>33</v>
      </c>
      <c r="B249" s="138"/>
      <c r="C249" s="220" t="s">
        <v>295</v>
      </c>
      <c r="D249" s="139"/>
      <c r="E249" s="139"/>
      <c r="F249" s="139"/>
      <c r="G249" s="139"/>
      <c r="H249" s="139"/>
      <c r="I249" s="139"/>
      <c r="J249" s="139"/>
      <c r="K249" s="139"/>
      <c r="L249" s="139"/>
      <c r="M249" s="140"/>
      <c r="O249" s="306"/>
      <c r="P249" s="267"/>
      <c r="Q249" s="267"/>
      <c r="R249" s="267"/>
      <c r="S249" s="267"/>
      <c r="T249" s="267"/>
      <c r="U249" s="267"/>
      <c r="V249" s="267"/>
      <c r="W249" s="267"/>
      <c r="X249" s="267"/>
      <c r="Y249" s="307"/>
    </row>
    <row r="250" spans="1:27" ht="14.1" customHeight="1">
      <c r="A250" s="87">
        <v>34</v>
      </c>
      <c r="B250" s="138"/>
      <c r="C250" s="537" t="s">
        <v>71</v>
      </c>
      <c r="D250" s="534" t="s">
        <v>237</v>
      </c>
      <c r="E250" s="534" t="s">
        <v>262</v>
      </c>
      <c r="F250" s="535" t="s">
        <v>238</v>
      </c>
      <c r="G250" s="139"/>
      <c r="H250" s="697" t="s">
        <v>296</v>
      </c>
      <c r="I250" s="698"/>
      <c r="J250" s="699"/>
      <c r="K250" s="139"/>
      <c r="L250" s="139"/>
      <c r="M250" s="140"/>
      <c r="O250" s="210" t="s">
        <v>295</v>
      </c>
      <c r="P250" s="308"/>
      <c r="Q250" s="308"/>
      <c r="R250" s="308"/>
      <c r="S250" s="308"/>
      <c r="T250" s="308"/>
      <c r="U250" s="308"/>
      <c r="V250" s="308"/>
      <c r="W250" s="308"/>
      <c r="X250" s="308"/>
      <c r="Y250" s="309"/>
    </row>
    <row r="251" spans="1:27" ht="14.1" customHeight="1">
      <c r="A251" s="87">
        <v>35</v>
      </c>
      <c r="B251" s="138"/>
      <c r="C251" s="538" t="s">
        <v>269</v>
      </c>
      <c r="D251" s="389">
        <v>28</v>
      </c>
      <c r="E251" s="389">
        <v>28</v>
      </c>
      <c r="F251" s="452">
        <v>28</v>
      </c>
      <c r="G251" s="139"/>
      <c r="H251" s="451" t="s">
        <v>237</v>
      </c>
      <c r="I251" s="389" t="s">
        <v>262</v>
      </c>
      <c r="J251" s="452" t="s">
        <v>238</v>
      </c>
      <c r="K251" s="139"/>
      <c r="L251" s="139"/>
      <c r="M251" s="140"/>
      <c r="O251" s="261"/>
      <c r="P251" s="311" t="s">
        <v>71</v>
      </c>
      <c r="Q251" s="312" t="s">
        <v>237</v>
      </c>
      <c r="R251" s="312" t="s">
        <v>262</v>
      </c>
      <c r="S251" s="312" t="s">
        <v>238</v>
      </c>
      <c r="T251" s="23"/>
      <c r="U251" s="696" t="s">
        <v>296</v>
      </c>
      <c r="V251" s="696"/>
      <c r="W251" s="696"/>
      <c r="X251" s="23"/>
      <c r="Y251" s="313"/>
    </row>
    <row r="252" spans="1:27" ht="14.1" customHeight="1">
      <c r="A252" s="87">
        <v>36</v>
      </c>
      <c r="B252" s="138"/>
      <c r="C252" s="538" t="s">
        <v>72</v>
      </c>
      <c r="D252" s="389">
        <f>IF(Q253="","",Q253)</f>
        <v>74.400000000000006</v>
      </c>
      <c r="E252" s="389">
        <f>IF(R253="","",R253)</f>
        <v>57.6</v>
      </c>
      <c r="F252" s="452">
        <f>IF(S253="","",S253)</f>
        <v>103.7</v>
      </c>
      <c r="G252" s="139"/>
      <c r="H252" s="530">
        <f>IF(U253="","",U253)</f>
        <v>5.7223726310606593E-3</v>
      </c>
      <c r="I252" s="85">
        <f>IF(V253="","",V253)</f>
        <v>5.7087331470909615E-3</v>
      </c>
      <c r="J252" s="536">
        <f>IF(W253="","",W253)</f>
        <v>-6.1695920417044912E-3</v>
      </c>
      <c r="K252" s="139"/>
      <c r="L252" s="139"/>
      <c r="M252" s="140"/>
      <c r="O252" s="261"/>
      <c r="P252" s="314" t="s">
        <v>269</v>
      </c>
      <c r="Q252" s="81">
        <v>28</v>
      </c>
      <c r="R252" s="81">
        <v>28</v>
      </c>
      <c r="S252" s="81">
        <v>28</v>
      </c>
      <c r="T252" s="23"/>
      <c r="U252" s="312" t="s">
        <v>237</v>
      </c>
      <c r="V252" s="312" t="s">
        <v>262</v>
      </c>
      <c r="W252" s="312" t="s">
        <v>238</v>
      </c>
      <c r="X252" s="23"/>
      <c r="Y252" s="313"/>
    </row>
    <row r="253" spans="1:27" ht="14.1" customHeight="1">
      <c r="A253" s="87">
        <v>37</v>
      </c>
      <c r="B253" s="138"/>
      <c r="C253" s="538" t="s">
        <v>298</v>
      </c>
      <c r="D253" s="389">
        <f>IF(Q254="","",Q254)</f>
        <v>326.89999999999998</v>
      </c>
      <c r="E253" s="389">
        <f>IF(R254="","",R254)</f>
        <v>331.2</v>
      </c>
      <c r="F253" s="452">
        <f>IF(S254="","",S254)</f>
        <v>415.6</v>
      </c>
      <c r="G253" s="139"/>
      <c r="H253" s="530">
        <f>IF(U254="","",U254)</f>
        <v>2.6458282057591582E-3</v>
      </c>
      <c r="I253" s="85">
        <f>IF(V254="","",V254)</f>
        <v>1.76120490708121E-3</v>
      </c>
      <c r="J253" s="536">
        <f>IF(W254="","",W254)</f>
        <v>6.0261131570136829E-3</v>
      </c>
      <c r="K253" s="139"/>
      <c r="L253" s="139"/>
      <c r="M253" s="140"/>
      <c r="O253" s="261"/>
      <c r="P253" s="314" t="s">
        <v>72</v>
      </c>
      <c r="Q253" s="10">
        <f>Q163</f>
        <v>74.400000000000006</v>
      </c>
      <c r="R253" s="10">
        <f t="shared" ref="R253:S253" si="11">R163</f>
        <v>57.6</v>
      </c>
      <c r="S253" s="10">
        <f t="shared" si="11"/>
        <v>103.7</v>
      </c>
      <c r="T253" s="23"/>
      <c r="U253" s="256">
        <f t="shared" ref="U253:W257" si="12">IF(Q254="","",(Q254-Q$259)/Q$259)</f>
        <v>5.7223726310606593E-3</v>
      </c>
      <c r="V253" s="256">
        <f t="shared" si="12"/>
        <v>5.7087331470909615E-3</v>
      </c>
      <c r="W253" s="256">
        <f t="shared" si="12"/>
        <v>-6.1695920417044912E-3</v>
      </c>
      <c r="X253" s="23"/>
      <c r="Y253" s="313"/>
    </row>
    <row r="254" spans="1:27" ht="14.1" customHeight="1">
      <c r="A254" s="87">
        <v>38</v>
      </c>
      <c r="B254" s="138"/>
      <c r="C254" s="538" t="s">
        <v>300</v>
      </c>
      <c r="D254" s="389">
        <f>IF(Q255="","",Q255)</f>
        <v>325.89999999999998</v>
      </c>
      <c r="E254" s="389">
        <f>IF(R255="","",R255)</f>
        <v>329.9</v>
      </c>
      <c r="F254" s="452">
        <f>IF(S255="","",S255)</f>
        <v>420.7</v>
      </c>
      <c r="G254" s="139"/>
      <c r="H254" s="530">
        <f>IF(U255="","",U255)</f>
        <v>3.5687915333496435E-3</v>
      </c>
      <c r="I254" s="85">
        <f>IF(V255="","",V255)</f>
        <v>5.4658083323213538E-4</v>
      </c>
      <c r="J254" s="536">
        <f>IF(W255="","",W255)</f>
        <v>2.4391410397436074E-3</v>
      </c>
      <c r="K254" s="139"/>
      <c r="L254" s="139"/>
      <c r="M254" s="140"/>
      <c r="O254" s="261"/>
      <c r="P254" s="311" t="s">
        <v>298</v>
      </c>
      <c r="Q254" s="11">
        <v>326.89999999999998</v>
      </c>
      <c r="R254" s="11">
        <v>331.2</v>
      </c>
      <c r="S254" s="11">
        <v>415.6</v>
      </c>
      <c r="T254" s="23"/>
      <c r="U254" s="256">
        <f t="shared" si="12"/>
        <v>2.6458282057591582E-3</v>
      </c>
      <c r="V254" s="256">
        <f t="shared" si="12"/>
        <v>1.76120490708121E-3</v>
      </c>
      <c r="W254" s="256">
        <f t="shared" si="12"/>
        <v>6.0261131570136829E-3</v>
      </c>
      <c r="X254" s="23"/>
      <c r="Y254" s="313"/>
    </row>
    <row r="255" spans="1:27" ht="14.1" customHeight="1">
      <c r="A255" s="87">
        <v>39</v>
      </c>
      <c r="B255" s="138"/>
      <c r="C255" s="538" t="s">
        <v>301</v>
      </c>
      <c r="D255" s="389">
        <f>IF(Q256="","",Q256)</f>
        <v>326.2</v>
      </c>
      <c r="E255" s="389">
        <f>IF(R256="","",R256)</f>
        <v>329.5</v>
      </c>
      <c r="F255" s="452">
        <f>IF(S256="","",S256)</f>
        <v>419.2</v>
      </c>
      <c r="G255" s="139"/>
      <c r="H255" s="530">
        <f>IF(U256="","",U256)</f>
        <v>-9.3526950529166271E-3</v>
      </c>
      <c r="I255" s="85">
        <f>IF(V256="","",V256)</f>
        <v>-6.4375075914004758E-3</v>
      </c>
      <c r="J255" s="536">
        <f>IF(W256="","",W256)</f>
        <v>-9.9956956334592926E-3</v>
      </c>
      <c r="K255" s="139"/>
      <c r="L255" s="139"/>
      <c r="M255" s="140"/>
      <c r="O255" s="261"/>
      <c r="P255" s="314" t="s">
        <v>300</v>
      </c>
      <c r="Q255" s="12">
        <v>325.89999999999998</v>
      </c>
      <c r="R255" s="12">
        <v>329.9</v>
      </c>
      <c r="S255" s="12">
        <v>420.7</v>
      </c>
      <c r="T255" s="23"/>
      <c r="U255" s="256">
        <f t="shared" si="12"/>
        <v>3.5687915333496435E-3</v>
      </c>
      <c r="V255" s="256">
        <f t="shared" si="12"/>
        <v>5.4658083323213538E-4</v>
      </c>
      <c r="W255" s="256">
        <f t="shared" si="12"/>
        <v>2.4391410397436074E-3</v>
      </c>
      <c r="X255" s="23"/>
      <c r="Y255" s="313"/>
    </row>
    <row r="256" spans="1:27" ht="14.1" customHeight="1" thickBot="1">
      <c r="A256" s="87">
        <v>40</v>
      </c>
      <c r="B256" s="138"/>
      <c r="C256" s="538" t="s">
        <v>303</v>
      </c>
      <c r="D256" s="389">
        <f>IF(Q257="","",Q257)</f>
        <v>322</v>
      </c>
      <c r="E256" s="389">
        <f>IF(R257="","",R257)</f>
        <v>327.2</v>
      </c>
      <c r="F256" s="452">
        <f>IF(S257="","",S257)</f>
        <v>414</v>
      </c>
      <c r="G256" s="139"/>
      <c r="H256" s="525">
        <f>IF(U257="","",U257)</f>
        <v>-2.5842973172533587E-3</v>
      </c>
      <c r="I256" s="526">
        <f>IF(V257="","",V257)</f>
        <v>-1.5790112960038316E-3</v>
      </c>
      <c r="J256" s="527">
        <f>IF(W257="","",W257)</f>
        <v>7.7000334784063573E-3</v>
      </c>
      <c r="K256" s="139"/>
      <c r="L256" s="139"/>
      <c r="M256" s="140"/>
      <c r="O256" s="261"/>
      <c r="P256" s="314" t="s">
        <v>301</v>
      </c>
      <c r="Q256" s="12">
        <v>326.2</v>
      </c>
      <c r="R256" s="12">
        <v>329.5</v>
      </c>
      <c r="S256" s="12">
        <v>419.2</v>
      </c>
      <c r="T256" s="23"/>
      <c r="U256" s="256">
        <f t="shared" si="12"/>
        <v>-9.3526950529166271E-3</v>
      </c>
      <c r="V256" s="256">
        <f t="shared" si="12"/>
        <v>-6.4375075914004758E-3</v>
      </c>
      <c r="W256" s="256">
        <f t="shared" si="12"/>
        <v>-9.9956956334592926E-3</v>
      </c>
      <c r="X256" s="23"/>
      <c r="Y256" s="313"/>
    </row>
    <row r="257" spans="1:34" ht="14.1" customHeight="1">
      <c r="A257" s="87">
        <v>41</v>
      </c>
      <c r="B257" s="138"/>
      <c r="C257" s="538" t="s">
        <v>307</v>
      </c>
      <c r="D257" s="389">
        <f>IF(Q258="","",Q258)</f>
        <v>324.2</v>
      </c>
      <c r="E257" s="389">
        <f>IF(R258="","",R258)</f>
        <v>328.8</v>
      </c>
      <c r="F257" s="452">
        <f>IF(S258="","",S258)</f>
        <v>421.4</v>
      </c>
      <c r="G257" s="139"/>
      <c r="H257" s="139"/>
      <c r="I257" s="139"/>
      <c r="J257" s="139"/>
      <c r="K257" s="139"/>
      <c r="L257" s="139"/>
      <c r="M257" s="140"/>
      <c r="O257" s="261"/>
      <c r="P257" s="314" t="s">
        <v>303</v>
      </c>
      <c r="Q257" s="12">
        <v>322</v>
      </c>
      <c r="R257" s="12">
        <v>327.2</v>
      </c>
      <c r="S257" s="12">
        <v>414</v>
      </c>
      <c r="T257" s="23"/>
      <c r="U257" s="256">
        <f t="shared" si="12"/>
        <v>-2.5842973172533587E-3</v>
      </c>
      <c r="V257" s="256">
        <f t="shared" si="12"/>
        <v>-1.5790112960038316E-3</v>
      </c>
      <c r="W257" s="256">
        <f t="shared" si="12"/>
        <v>7.7000334784063573E-3</v>
      </c>
      <c r="X257" s="23"/>
      <c r="Y257" s="313"/>
    </row>
    <row r="258" spans="1:34" ht="14.1" customHeight="1">
      <c r="A258" s="87">
        <v>42</v>
      </c>
      <c r="B258" s="138"/>
      <c r="C258" s="538" t="s">
        <v>309</v>
      </c>
      <c r="D258" s="389">
        <f>IF(Q259="","",Q259)</f>
        <v>325.04000000000002</v>
      </c>
      <c r="E258" s="389">
        <f>IF(R259="","",R259)</f>
        <v>329.32</v>
      </c>
      <c r="F258" s="452">
        <f>IF(S259="","",S259)</f>
        <v>418.18</v>
      </c>
      <c r="G258" s="139"/>
      <c r="H258" s="139"/>
      <c r="I258" s="139"/>
      <c r="J258" s="139"/>
      <c r="K258" s="139"/>
      <c r="L258" s="139"/>
      <c r="M258" s="140"/>
      <c r="O258" s="261"/>
      <c r="P258" s="314" t="s">
        <v>307</v>
      </c>
      <c r="Q258" s="12">
        <v>324.2</v>
      </c>
      <c r="R258" s="12">
        <v>328.8</v>
      </c>
      <c r="S258" s="12">
        <v>421.4</v>
      </c>
      <c r="T258" s="23"/>
      <c r="U258" s="23"/>
      <c r="V258" s="23"/>
      <c r="W258" s="23"/>
      <c r="X258" s="23"/>
      <c r="Y258" s="313"/>
    </row>
    <row r="259" spans="1:34" ht="14.1" customHeight="1" thickBot="1">
      <c r="A259" s="87">
        <v>43</v>
      </c>
      <c r="B259" s="138"/>
      <c r="C259" s="539" t="s">
        <v>311</v>
      </c>
      <c r="D259" s="526">
        <f>IF(Q260="","",Q260)</f>
        <v>5.7223726310606593E-3</v>
      </c>
      <c r="E259" s="526">
        <f>IF(R260="","",R260)</f>
        <v>5.7087331470909615E-3</v>
      </c>
      <c r="F259" s="527">
        <f>IF(S260="","",S260)</f>
        <v>7.7000334784063573E-3</v>
      </c>
      <c r="G259" s="139"/>
      <c r="H259" s="139"/>
      <c r="I259" s="139"/>
      <c r="J259" s="139"/>
      <c r="K259" s="139"/>
      <c r="L259" s="139"/>
      <c r="M259" s="140"/>
      <c r="O259" s="261"/>
      <c r="P259" s="314" t="s">
        <v>309</v>
      </c>
      <c r="Q259" s="180">
        <f>IF(Q254="","",AVERAGE(Q254:Q258))</f>
        <v>325.04000000000002</v>
      </c>
      <c r="R259" s="180">
        <f>IF(R254="","",AVERAGE(R254:R258))</f>
        <v>329.32</v>
      </c>
      <c r="S259" s="180">
        <f>IF(S254="","",AVERAGE(S254:S258))</f>
        <v>418.18</v>
      </c>
      <c r="T259" s="23"/>
      <c r="U259" s="23"/>
      <c r="V259" s="23"/>
      <c r="W259" s="23"/>
      <c r="X259" s="23"/>
      <c r="Y259" s="313"/>
      <c r="AA259" s="23"/>
    </row>
    <row r="260" spans="1:34" ht="14.1" customHeight="1" thickBot="1">
      <c r="A260" s="87">
        <v>44</v>
      </c>
      <c r="B260" s="138"/>
      <c r="C260" s="139"/>
      <c r="D260" s="491" t="str">
        <f>IF(Q261="","",Q261)</f>
        <v>Pass</v>
      </c>
      <c r="E260" s="491" t="str">
        <f>IF(R261="","",R261)</f>
        <v>Pass</v>
      </c>
      <c r="F260" s="491" t="str">
        <f>IF(S261="","",S261)</f>
        <v>Pass</v>
      </c>
      <c r="G260" s="139"/>
      <c r="H260" s="139"/>
      <c r="I260" s="139"/>
      <c r="J260" s="139"/>
      <c r="K260" s="139"/>
      <c r="L260" s="139"/>
      <c r="M260" s="140"/>
      <c r="O260" s="261"/>
      <c r="P260" s="314" t="s">
        <v>311</v>
      </c>
      <c r="Q260" s="322">
        <f>MAX(U253:U257)</f>
        <v>5.7223726310606593E-3</v>
      </c>
      <c r="R260" s="322">
        <f>MAX(V253:V257)</f>
        <v>5.7087331470909615E-3</v>
      </c>
      <c r="S260" s="322">
        <f>MAX(W253:W257)</f>
        <v>7.7000334784063573E-3</v>
      </c>
      <c r="T260" s="23"/>
      <c r="U260" s="23"/>
      <c r="V260" s="23"/>
      <c r="W260" s="23"/>
      <c r="X260" s="23"/>
      <c r="Y260" s="313"/>
      <c r="AA260" s="23"/>
      <c r="AD260" s="79"/>
      <c r="AE260" s="79"/>
      <c r="AF260" s="79"/>
      <c r="AG260" s="79"/>
      <c r="AH260" s="79"/>
    </row>
    <row r="261" spans="1:34" ht="14.1" customHeight="1">
      <c r="A261" s="87">
        <v>45</v>
      </c>
      <c r="B261" s="138"/>
      <c r="C261" s="14" t="s">
        <v>204</v>
      </c>
      <c r="D261" s="175" t="s">
        <v>314</v>
      </c>
      <c r="E261" s="139"/>
      <c r="F261" s="139"/>
      <c r="G261" s="139"/>
      <c r="H261" s="139"/>
      <c r="I261" s="139"/>
      <c r="J261" s="139"/>
      <c r="K261" s="139"/>
      <c r="L261" s="139"/>
      <c r="M261" s="140"/>
      <c r="O261" s="261"/>
      <c r="Q261" s="13" t="str">
        <f>IF(Q260=0,"TBD",IF(Q260&lt;=0.07,"Pass","Fail"))</f>
        <v>Pass</v>
      </c>
      <c r="R261" s="13" t="str">
        <f>IF(R260=0,"TBD",IF(R260&lt;=0.07,"Pass","Fail"))</f>
        <v>Pass</v>
      </c>
      <c r="S261" s="13" t="str">
        <f>IF(S260=0,"TBD",IF(S260&lt;=0.07,"Pass","Fail"))</f>
        <v>Pass</v>
      </c>
      <c r="T261" s="23"/>
      <c r="U261" s="23"/>
      <c r="V261" s="23"/>
      <c r="W261" s="23"/>
      <c r="X261" s="23"/>
      <c r="Y261" s="313"/>
      <c r="AA261" s="23"/>
    </row>
    <row r="262" spans="1:34" ht="14.1" customHeight="1" thickBot="1">
      <c r="A262" s="87">
        <v>46</v>
      </c>
      <c r="B262" s="234"/>
      <c r="C262" s="111"/>
      <c r="D262" s="111"/>
      <c r="E262" s="111"/>
      <c r="F262" s="111"/>
      <c r="G262" s="111"/>
      <c r="H262" s="111"/>
      <c r="I262" s="111"/>
      <c r="J262" s="111"/>
      <c r="K262" s="111"/>
      <c r="L262" s="111"/>
      <c r="M262" s="235"/>
      <c r="O262" s="261"/>
      <c r="P262" s="14" t="s">
        <v>204</v>
      </c>
      <c r="Q262" s="212" t="s">
        <v>314</v>
      </c>
      <c r="T262" s="23"/>
      <c r="U262" s="23"/>
      <c r="V262" s="23"/>
      <c r="W262" s="23"/>
      <c r="X262" s="23"/>
      <c r="Y262" s="313"/>
      <c r="AA262" s="23"/>
    </row>
    <row r="263" spans="1:34" ht="14.1" customHeight="1" thickBot="1">
      <c r="A263" s="87">
        <v>47</v>
      </c>
      <c r="B263" s="138"/>
      <c r="C263" s="220" t="s">
        <v>297</v>
      </c>
      <c r="D263" s="139"/>
      <c r="E263" s="139"/>
      <c r="F263" s="139"/>
      <c r="G263" s="139"/>
      <c r="H263" s="139"/>
      <c r="I263" s="139"/>
      <c r="J263" s="139"/>
      <c r="K263" s="139"/>
      <c r="L263" s="139"/>
      <c r="M263" s="140"/>
      <c r="O263" s="306"/>
      <c r="P263" s="267"/>
      <c r="Q263" s="267"/>
      <c r="R263" s="267"/>
      <c r="S263" s="267"/>
      <c r="T263" s="267"/>
      <c r="U263" s="267"/>
      <c r="V263" s="267"/>
      <c r="W263" s="267"/>
      <c r="X263" s="267"/>
      <c r="Y263" s="307"/>
      <c r="AA263" s="23"/>
    </row>
    <row r="264" spans="1:34" ht="14.1" customHeight="1">
      <c r="A264" s="87">
        <v>48</v>
      </c>
      <c r="B264" s="138"/>
      <c r="C264" s="237" t="s">
        <v>299</v>
      </c>
      <c r="D264" s="214" t="str">
        <f>IF(Q265="","",Q265)</f>
        <v>Gammex RMI 805298-120407</v>
      </c>
      <c r="E264" s="139"/>
      <c r="F264" s="237" t="s">
        <v>173</v>
      </c>
      <c r="G264" s="214">
        <f>IF(T265="","",T265)</f>
        <v>28</v>
      </c>
      <c r="H264" s="139"/>
      <c r="I264" s="139"/>
      <c r="J264" s="139"/>
      <c r="K264" s="139"/>
      <c r="L264" s="139"/>
      <c r="M264" s="140"/>
      <c r="O264" s="210" t="s">
        <v>297</v>
      </c>
      <c r="P264" s="93"/>
      <c r="Q264" s="93"/>
      <c r="R264" s="93"/>
      <c r="S264" s="93"/>
      <c r="T264" s="93"/>
      <c r="U264" s="93"/>
      <c r="V264" s="93"/>
      <c r="W264" s="93"/>
      <c r="X264" s="93"/>
      <c r="Y264" s="94"/>
      <c r="AA264" s="23"/>
    </row>
    <row r="265" spans="1:34" ht="14.1" customHeight="1">
      <c r="A265" s="87">
        <v>49</v>
      </c>
      <c r="B265" s="138"/>
      <c r="C265" s="237" t="s">
        <v>95</v>
      </c>
      <c r="D265" s="214" t="str">
        <f>IF(Q266="","",Q266)</f>
        <v>W/Rh</v>
      </c>
      <c r="E265" s="139"/>
      <c r="F265" s="237" t="s">
        <v>176</v>
      </c>
      <c r="G265" s="214">
        <f>IF(T266="","",T266)</f>
        <v>100</v>
      </c>
      <c r="H265" s="139"/>
      <c r="I265" s="139"/>
      <c r="J265" s="139"/>
      <c r="K265" s="139"/>
      <c r="L265" s="139"/>
      <c r="M265" s="140"/>
      <c r="O265" s="100"/>
      <c r="P265" s="105" t="s">
        <v>299</v>
      </c>
      <c r="Q265" s="5" t="s">
        <v>546</v>
      </c>
      <c r="S265" s="105" t="s">
        <v>173</v>
      </c>
      <c r="T265" s="211">
        <v>28</v>
      </c>
      <c r="V265" s="23"/>
      <c r="W265" s="23"/>
      <c r="Y265" s="102"/>
      <c r="AA265" s="23"/>
    </row>
    <row r="266" spans="1:34" ht="14.1" customHeight="1">
      <c r="A266" s="87">
        <v>50</v>
      </c>
      <c r="B266" s="138"/>
      <c r="C266" s="139"/>
      <c r="D266" s="139"/>
      <c r="E266" s="139"/>
      <c r="F266" s="181" t="s">
        <v>275</v>
      </c>
      <c r="G266" s="139"/>
      <c r="H266" s="139" t="s">
        <v>302</v>
      </c>
      <c r="I266" s="139"/>
      <c r="J266" s="139"/>
      <c r="K266" s="139"/>
      <c r="L266" s="139"/>
      <c r="M266" s="140"/>
      <c r="O266" s="100"/>
      <c r="P266" s="105" t="s">
        <v>95</v>
      </c>
      <c r="Q266" s="211" t="s">
        <v>238</v>
      </c>
      <c r="S266" s="105" t="s">
        <v>176</v>
      </c>
      <c r="T266" s="211">
        <v>100</v>
      </c>
      <c r="Y266" s="102"/>
      <c r="AA266" s="23"/>
    </row>
    <row r="267" spans="1:34" ht="14.1" customHeight="1" thickBot="1">
      <c r="A267" s="87">
        <v>51</v>
      </c>
      <c r="B267" s="138"/>
      <c r="C267" s="181"/>
      <c r="D267" s="181" t="s">
        <v>72</v>
      </c>
      <c r="E267" s="181" t="s">
        <v>284</v>
      </c>
      <c r="F267" s="181" t="s">
        <v>276</v>
      </c>
      <c r="G267" s="181" t="s">
        <v>304</v>
      </c>
      <c r="H267" s="181" t="s">
        <v>305</v>
      </c>
      <c r="I267" s="139"/>
      <c r="J267" s="237" t="s">
        <v>306</v>
      </c>
      <c r="K267" s="215">
        <f>IF(X268="","",X268)</f>
        <v>0.56510485549154899</v>
      </c>
      <c r="L267" s="139"/>
      <c r="M267" s="140"/>
      <c r="O267" s="100"/>
      <c r="S267" s="80" t="s">
        <v>275</v>
      </c>
      <c r="U267" s="91" t="s">
        <v>302</v>
      </c>
      <c r="Y267" s="102"/>
    </row>
    <row r="268" spans="1:34" ht="14.1" customHeight="1">
      <c r="A268" s="87">
        <v>52</v>
      </c>
      <c r="B268" s="138"/>
      <c r="C268" s="139"/>
      <c r="D268" s="316">
        <f>IF(Q269="","",Q269)</f>
        <v>116.3</v>
      </c>
      <c r="E268" s="280" t="str">
        <f>IF(R269="","",R269)</f>
        <v/>
      </c>
      <c r="F268" s="280">
        <f>IF(S269="","",S269)</f>
        <v>1.56</v>
      </c>
      <c r="G268" s="317">
        <f>IF(T269="","",T269)</f>
        <v>1.163</v>
      </c>
      <c r="H268" s="318">
        <f>IF(U269="","",U269)</f>
        <v>2.9973076612585086</v>
      </c>
      <c r="I268" s="139"/>
      <c r="J268" s="237" t="s">
        <v>308</v>
      </c>
      <c r="K268" s="216">
        <f>IF(X269="","",X269)</f>
        <v>3.0578723474490284</v>
      </c>
      <c r="L268" s="139"/>
      <c r="M268" s="140"/>
      <c r="O268" s="261"/>
      <c r="Q268" s="80" t="s">
        <v>72</v>
      </c>
      <c r="R268" s="80" t="s">
        <v>284</v>
      </c>
      <c r="S268" s="80" t="s">
        <v>276</v>
      </c>
      <c r="T268" s="80" t="s">
        <v>304</v>
      </c>
      <c r="U268" s="80" t="s">
        <v>305</v>
      </c>
      <c r="W268" s="105" t="s">
        <v>306</v>
      </c>
      <c r="X268" s="354">
        <f>IF(T265="","",T265*HLOOKUP($Q$266,Tables!D78:F80,2)+HLOOKUP(Sheet1!$Q$266,Tables!D78:F80,3))</f>
        <v>0.56510485549154899</v>
      </c>
      <c r="Y268" s="102"/>
    </row>
    <row r="269" spans="1:34" ht="14.1" customHeight="1">
      <c r="A269" s="87">
        <v>53</v>
      </c>
      <c r="B269" s="138"/>
      <c r="C269" s="139"/>
      <c r="D269" s="319">
        <f>IF(Q270="","",Q270)</f>
        <v>121</v>
      </c>
      <c r="E269" s="81" t="str">
        <f>IF(R270="","",R270)</f>
        <v/>
      </c>
      <c r="F269" s="81">
        <f>IF(S270="","",S270)</f>
        <v>1.62</v>
      </c>
      <c r="G269" s="83">
        <f>IF(T270="","",T270)</f>
        <v>1.21</v>
      </c>
      <c r="H269" s="320">
        <f>IF(U270="","",U270)</f>
        <v>3.118437033639549</v>
      </c>
      <c r="I269" s="139"/>
      <c r="J269" s="237" t="s">
        <v>310</v>
      </c>
      <c r="K269" s="321">
        <f>IF(X270="","",X270)</f>
        <v>281</v>
      </c>
      <c r="L269" s="139"/>
      <c r="M269" s="140"/>
      <c r="O269" s="261"/>
      <c r="Q269" s="219">
        <v>116.3</v>
      </c>
      <c r="R269" s="219"/>
      <c r="S269" s="219">
        <v>1.56</v>
      </c>
      <c r="T269" s="397">
        <f>IF(Q269="","",Q269/$T$266)</f>
        <v>1.163</v>
      </c>
      <c r="U269" s="399">
        <f>IF(Q269="","",($T$265^2*HLOOKUP($Q$266,Tables!$D$70:$F$72,2)+HLOOKUP(Sheet1!$Q$266,Tables!$D$70:$F$72,3))*Q269)</f>
        <v>2.9973076612585086</v>
      </c>
      <c r="W269" s="105" t="s">
        <v>308</v>
      </c>
      <c r="X269" s="354">
        <f>IF(U273="","",U273)</f>
        <v>3.0578723474490284</v>
      </c>
      <c r="Y269" s="102"/>
    </row>
    <row r="270" spans="1:34" ht="14.1" customHeight="1">
      <c r="A270" s="87">
        <v>54</v>
      </c>
      <c r="B270" s="138"/>
      <c r="C270" s="139"/>
      <c r="D270" s="319">
        <f>IF(Q271="","",Q271)</f>
        <v>116.3</v>
      </c>
      <c r="E270" s="81" t="str">
        <f>IF(R271="","",R271)</f>
        <v/>
      </c>
      <c r="F270" s="81">
        <f>IF(S271="","",S271)</f>
        <v>1.56</v>
      </c>
      <c r="G270" s="83">
        <f>IF(T271="","",T271)</f>
        <v>1.163</v>
      </c>
      <c r="H270" s="320">
        <f>IF(U271="","",U271)</f>
        <v>2.9973076612585086</v>
      </c>
      <c r="I270" s="139"/>
      <c r="J270" s="237" t="s">
        <v>312</v>
      </c>
      <c r="K270" s="216">
        <f>IF(X271="","",X271)</f>
        <v>0.96285315624580348</v>
      </c>
      <c r="L270" s="139"/>
      <c r="M270" s="140"/>
      <c r="O270" s="261"/>
      <c r="Q270" s="219">
        <v>121</v>
      </c>
      <c r="R270" s="219"/>
      <c r="S270" s="219">
        <v>1.62</v>
      </c>
      <c r="T270" s="397">
        <f>IF(Q270="","",Q270/$T$266)</f>
        <v>1.21</v>
      </c>
      <c r="U270" s="399">
        <f>IF(Q270="","",($T$265^2*HLOOKUP($Q$266,Tables!$D$70:$F$72,2)+HLOOKUP(Sheet1!$Q$266,Tables!$D$70:$F$72,3))*Q270)</f>
        <v>3.118437033639549</v>
      </c>
      <c r="W270" s="105" t="s">
        <v>310</v>
      </c>
      <c r="X270" s="332">
        <f>HLOOKUP(Q266,Tables!A83:F84,2)</f>
        <v>281</v>
      </c>
      <c r="Y270" s="102"/>
    </row>
    <row r="271" spans="1:34" ht="14.1" customHeight="1" thickBot="1">
      <c r="A271" s="87">
        <v>55</v>
      </c>
      <c r="B271" s="138"/>
      <c r="C271" s="139"/>
      <c r="D271" s="323">
        <f>IF(Q272="","",Q272)</f>
        <v>121</v>
      </c>
      <c r="E271" s="283" t="str">
        <f>IF(R272="","",R272)</f>
        <v/>
      </c>
      <c r="F271" s="283">
        <f>IF(S272="","",S272)</f>
        <v>1.62</v>
      </c>
      <c r="G271" s="324">
        <f>IF(T272="","",T272)</f>
        <v>1.21</v>
      </c>
      <c r="H271" s="325">
        <f>IF(U272="","",U272)</f>
        <v>3.118437033639549</v>
      </c>
      <c r="I271" s="139"/>
      <c r="J271" s="237" t="s">
        <v>313</v>
      </c>
      <c r="K271" s="216">
        <f>IF(X272="","",X272)</f>
        <v>0.99230303955999999</v>
      </c>
      <c r="L271" s="139"/>
      <c r="M271" s="140"/>
      <c r="O271" s="261"/>
      <c r="Q271" s="219">
        <v>116.3</v>
      </c>
      <c r="R271" s="219"/>
      <c r="S271" s="219">
        <v>1.56</v>
      </c>
      <c r="T271" s="397">
        <f>IF(Q271="","",Q271/$T$266)</f>
        <v>1.163</v>
      </c>
      <c r="U271" s="399">
        <f>IF(Q271="","",($T$265^2*HLOOKUP($Q$266,Tables!$D$70:$F$72,2)+HLOOKUP(Sheet1!$Q$266,Tables!$D$70:$F$72,3))*Q271)</f>
        <v>2.9973076612585086</v>
      </c>
      <c r="W271" s="105" t="s">
        <v>312</v>
      </c>
      <c r="X271" s="333">
        <f>IF(ESE="","",ESE*Tables!D84)</f>
        <v>0.96285315624580348</v>
      </c>
      <c r="Y271" s="102"/>
    </row>
    <row r="272" spans="1:34" ht="14.1" customHeight="1">
      <c r="A272" s="87">
        <v>56</v>
      </c>
      <c r="B272" s="138"/>
      <c r="C272" s="237" t="s">
        <v>272</v>
      </c>
      <c r="D272" s="319">
        <f>IF(Q273="","",Q273)</f>
        <v>118.65</v>
      </c>
      <c r="E272" s="81" t="str">
        <f>IF(R273="","",R273)</f>
        <v/>
      </c>
      <c r="F272" s="82">
        <f>IF(S273="","",S273)</f>
        <v>1.59</v>
      </c>
      <c r="G272" s="83">
        <f>IF(T273="","",T273)</f>
        <v>1.1865000000000001</v>
      </c>
      <c r="H272" s="320">
        <f>IF(U273="","",U273)</f>
        <v>3.0578723474490284</v>
      </c>
      <c r="I272" s="139"/>
      <c r="J272" s="237" t="s">
        <v>315</v>
      </c>
      <c r="K272" s="326">
        <f>IF(X273="","",X273)</f>
        <v>-2.9678316139447655E-2</v>
      </c>
      <c r="L272" s="139"/>
      <c r="M272" s="140"/>
      <c r="O272" s="261"/>
      <c r="Q272" s="219">
        <v>121</v>
      </c>
      <c r="R272" s="219"/>
      <c r="S272" s="219">
        <v>1.62</v>
      </c>
      <c r="T272" s="397">
        <f>IF(Q272="","",Q272/$T$266)</f>
        <v>1.21</v>
      </c>
      <c r="U272" s="399">
        <f>IF(Q272="","",($T$265^2*HLOOKUP($Q$266,Tables!$D$70:$F$72,2)+HLOOKUP(Sheet1!$Q$266,Tables!$D$70:$F$72,3))*Q272)</f>
        <v>3.118437033639549</v>
      </c>
      <c r="W272" s="105" t="s">
        <v>313</v>
      </c>
      <c r="X272" s="334">
        <f>IF(AB85="","",AB85)</f>
        <v>0.99230303955999999</v>
      </c>
      <c r="Y272" s="102"/>
    </row>
    <row r="273" spans="1:25" ht="14.1" customHeight="1" thickBot="1">
      <c r="A273" s="87">
        <v>57</v>
      </c>
      <c r="B273" s="138"/>
      <c r="C273" s="237" t="s">
        <v>274</v>
      </c>
      <c r="D273" s="265">
        <f>IF(Q274="","",Q274)</f>
        <v>2.2870175012147009E-2</v>
      </c>
      <c r="E273" s="259" t="str">
        <f>IF(R274="","",R274)</f>
        <v/>
      </c>
      <c r="F273" s="259">
        <f>IF(S274="","",S274)</f>
        <v>2.1786802610929291E-2</v>
      </c>
      <c r="G273" s="259">
        <f>IF(T274="","",T274)</f>
        <v>2.287017501214696E-2</v>
      </c>
      <c r="H273" s="260">
        <f>IF(U274="","",U274)</f>
        <v>2.2870175012147029E-2</v>
      </c>
      <c r="I273" s="139"/>
      <c r="J273" s="139"/>
      <c r="K273" s="139"/>
      <c r="L273" s="139"/>
      <c r="M273" s="140"/>
      <c r="O273" s="261"/>
      <c r="P273" s="105" t="s">
        <v>272</v>
      </c>
      <c r="Q273" s="141">
        <f>IF(OR(Q269="",Q270="",Q271="",Q272=""),"",AVERAGE(Q269:Q272))</f>
        <v>118.65</v>
      </c>
      <c r="R273" s="335" t="str">
        <f>IF(OR(R269="",R270="",R271="",R272=""),"",AVERAGE(R269:R272))</f>
        <v/>
      </c>
      <c r="S273" s="142">
        <f>IF(OR(S269="",S270="",S271="",S272=""),"",AVERAGE(S269:S272))</f>
        <v>1.59</v>
      </c>
      <c r="T273" s="336">
        <f>IF(OR(T269="",T270="",T271="",T272=""),"",AVERAGE(T269:T272))</f>
        <v>1.1865000000000001</v>
      </c>
      <c r="U273" s="398">
        <f>IF(OR(U269="",U270="",U271="",U272=""),"",AVERAGE(U269:U272))</f>
        <v>3.0578723474490284</v>
      </c>
      <c r="W273" s="105" t="s">
        <v>315</v>
      </c>
      <c r="X273" s="337">
        <f>IF(OR(X271="",X272=""),"",(X271-X272)/X272)</f>
        <v>-2.9678316139447655E-2</v>
      </c>
      <c r="Y273" s="102"/>
    </row>
    <row r="274" spans="1:25" ht="14.1" customHeight="1">
      <c r="A274" s="87">
        <v>58</v>
      </c>
      <c r="B274" s="138"/>
      <c r="C274" s="14" t="s">
        <v>204</v>
      </c>
      <c r="D274" s="175" t="s">
        <v>316</v>
      </c>
      <c r="E274" s="139"/>
      <c r="F274" s="139"/>
      <c r="G274" s="139"/>
      <c r="H274" s="139"/>
      <c r="I274" s="139"/>
      <c r="J274" s="237" t="s">
        <v>317</v>
      </c>
      <c r="K274" s="327">
        <f>IF(X276="","",X276)</f>
        <v>-0.39443197720389722</v>
      </c>
      <c r="L274" s="139"/>
      <c r="M274" s="140"/>
      <c r="O274" s="261"/>
      <c r="P274" s="105" t="s">
        <v>274</v>
      </c>
      <c r="Q274" s="330">
        <f>IF(Q273="","",_xlfn.STDEV.S(Q269:Q272)/Q273)</f>
        <v>2.2870175012147009E-2</v>
      </c>
      <c r="R274" s="330" t="str">
        <f>IF(R273="","",_xlfn.STDEV.S(R269:R272)/R273)</f>
        <v/>
      </c>
      <c r="S274" s="330">
        <f>IF(S273="","",_xlfn.STDEV.S(S269:S272)/S273)</f>
        <v>2.1786802610929291E-2</v>
      </c>
      <c r="T274" s="330">
        <f>IF(T273="","",_xlfn.STDEV.S(T269:T272)/T273)</f>
        <v>2.287017501214696E-2</v>
      </c>
      <c r="U274" s="330">
        <f>IF(U273="","",_xlfn.STDEV.S(U269:U272)/U273)</f>
        <v>2.2870175012147029E-2</v>
      </c>
      <c r="W274" s="23"/>
      <c r="X274" s="23"/>
      <c r="Y274" s="102"/>
    </row>
    <row r="275" spans="1:25" ht="14.1" customHeight="1">
      <c r="A275" s="87">
        <v>59</v>
      </c>
      <c r="B275" s="138"/>
      <c r="C275" s="139"/>
      <c r="D275" s="175" t="s">
        <v>318</v>
      </c>
      <c r="E275" s="139"/>
      <c r="F275" s="139"/>
      <c r="G275" s="139"/>
      <c r="H275" s="139"/>
      <c r="I275" s="139"/>
      <c r="J275" s="237" t="s">
        <v>319</v>
      </c>
      <c r="K275" s="328">
        <f>IF(X277="","",X277)</f>
        <v>369.68253953475204</v>
      </c>
      <c r="L275" s="139"/>
      <c r="M275" s="140"/>
      <c r="O275" s="100"/>
      <c r="P275" s="23"/>
      <c r="Q275" s="23"/>
      <c r="R275" s="23"/>
      <c r="S275" s="23"/>
      <c r="T275" s="23"/>
      <c r="U275" s="23"/>
      <c r="Y275" s="102"/>
    </row>
    <row r="276" spans="1:25" ht="14.1" customHeight="1">
      <c r="A276" s="87">
        <v>60</v>
      </c>
      <c r="B276" s="138"/>
      <c r="C276" s="139"/>
      <c r="D276" s="139"/>
      <c r="E276" s="139"/>
      <c r="F276" s="139"/>
      <c r="G276" s="139"/>
      <c r="H276" s="139"/>
      <c r="I276" s="139"/>
      <c r="J276" s="139"/>
      <c r="K276" s="139"/>
      <c r="L276" s="139"/>
      <c r="M276" s="140"/>
      <c r="O276" s="100"/>
      <c r="P276" s="338" t="s">
        <v>204</v>
      </c>
      <c r="Q276" s="266" t="s">
        <v>316</v>
      </c>
      <c r="W276" s="105" t="s">
        <v>317</v>
      </c>
      <c r="X276" s="327">
        <f>IF(X271="","",(X271-AVERAGE(S269:S272))/AVERAGE(S269:S272))</f>
        <v>-0.39443197720389722</v>
      </c>
      <c r="Y276" s="102"/>
    </row>
    <row r="277" spans="1:25" ht="14.1" customHeight="1">
      <c r="A277" s="87">
        <v>61</v>
      </c>
      <c r="B277" s="138"/>
      <c r="C277" s="139"/>
      <c r="D277" s="139"/>
      <c r="E277" s="139"/>
      <c r="F277" s="139"/>
      <c r="G277" s="139"/>
      <c r="H277" s="139"/>
      <c r="I277" s="139"/>
      <c r="J277" s="139"/>
      <c r="K277" s="139"/>
      <c r="L277" s="139"/>
      <c r="M277" s="140"/>
      <c r="O277" s="100"/>
      <c r="P277" s="23"/>
      <c r="Q277" s="266" t="s">
        <v>550</v>
      </c>
      <c r="W277" s="105" t="s">
        <v>319</v>
      </c>
      <c r="X277" s="328">
        <f>IF(OR(X271="",Q273=""),"",3/(X271/Q273))</f>
        <v>369.68253953475204</v>
      </c>
      <c r="Y277" s="102"/>
    </row>
    <row r="278" spans="1:25" ht="14.1" customHeight="1" thickBot="1">
      <c r="A278" s="87">
        <v>62</v>
      </c>
      <c r="B278" s="138"/>
      <c r="C278" s="139"/>
      <c r="D278" s="139"/>
      <c r="E278" s="139"/>
      <c r="F278" s="139"/>
      <c r="G278" s="139"/>
      <c r="H278" s="139"/>
      <c r="I278" s="139"/>
      <c r="J278" s="139"/>
      <c r="K278" s="139"/>
      <c r="L278" s="139"/>
      <c r="M278" s="140"/>
      <c r="O278" s="110"/>
      <c r="P278" s="267"/>
      <c r="Q278" s="267"/>
      <c r="R278" s="111"/>
      <c r="S278" s="111"/>
      <c r="T278" s="267"/>
      <c r="U278" s="267"/>
      <c r="V278" s="111"/>
      <c r="W278" s="341"/>
      <c r="X278" s="111"/>
      <c r="Y278" s="112"/>
    </row>
    <row r="279" spans="1:25" ht="14.1" customHeight="1">
      <c r="A279" s="87">
        <v>63</v>
      </c>
      <c r="B279" s="138"/>
      <c r="C279" s="139"/>
      <c r="D279" s="139"/>
      <c r="E279" s="139"/>
      <c r="F279" s="139"/>
      <c r="G279" s="139"/>
      <c r="H279" s="139"/>
      <c r="I279" s="139"/>
      <c r="J279" s="139"/>
      <c r="K279" s="139"/>
      <c r="L279" s="139"/>
      <c r="M279" s="140"/>
      <c r="O279" s="210" t="s">
        <v>331</v>
      </c>
      <c r="P279" s="308"/>
      <c r="Q279" s="308"/>
      <c r="R279" s="93"/>
      <c r="S279" s="93"/>
      <c r="T279" s="308"/>
      <c r="U279" s="308"/>
      <c r="V279" s="93"/>
      <c r="W279" s="93"/>
      <c r="X279" s="93"/>
      <c r="Y279" s="94"/>
    </row>
    <row r="280" spans="1:25" ht="14.1" customHeight="1">
      <c r="A280" s="87">
        <v>64</v>
      </c>
      <c r="B280" s="138"/>
      <c r="C280" s="139"/>
      <c r="D280" s="139"/>
      <c r="E280" s="139"/>
      <c r="F280" s="139"/>
      <c r="G280" s="139"/>
      <c r="H280" s="139"/>
      <c r="I280" s="139"/>
      <c r="J280" s="139"/>
      <c r="K280" s="139"/>
      <c r="L280" s="139"/>
      <c r="M280" s="140"/>
      <c r="O280" s="100" t="s">
        <v>333</v>
      </c>
      <c r="P280" s="211" t="s">
        <v>547</v>
      </c>
      <c r="R280" s="105" t="s">
        <v>334</v>
      </c>
      <c r="S280" s="344">
        <v>42051</v>
      </c>
      <c r="Y280" s="102"/>
    </row>
    <row r="281" spans="1:25" ht="14.1" customHeight="1">
      <c r="A281" s="87">
        <v>65</v>
      </c>
      <c r="B281" s="138"/>
      <c r="C281" s="139"/>
      <c r="D281" s="139"/>
      <c r="E281" s="139"/>
      <c r="F281" s="139"/>
      <c r="G281" s="139"/>
      <c r="H281" s="139"/>
      <c r="I281" s="139"/>
      <c r="J281" s="139"/>
      <c r="K281" s="139"/>
      <c r="L281" s="139"/>
      <c r="M281" s="140"/>
      <c r="O281" s="100" t="s">
        <v>335</v>
      </c>
      <c r="P281" s="211" t="s">
        <v>548</v>
      </c>
      <c r="R281" s="105" t="s">
        <v>336</v>
      </c>
      <c r="S281" s="344">
        <v>42782</v>
      </c>
      <c r="Y281" s="102"/>
    </row>
    <row r="282" spans="1:25" ht="14.1" customHeight="1">
      <c r="A282" s="87">
        <v>66</v>
      </c>
      <c r="B282" s="138"/>
      <c r="C282" s="139"/>
      <c r="D282" s="139"/>
      <c r="E282" s="139"/>
      <c r="F282" s="139"/>
      <c r="G282" s="139"/>
      <c r="H282" s="139"/>
      <c r="I282" s="139"/>
      <c r="J282" s="139"/>
      <c r="K282" s="139"/>
      <c r="L282" s="139"/>
      <c r="M282" s="140"/>
      <c r="O282" s="100"/>
      <c r="S282" s="696" t="s">
        <v>337</v>
      </c>
      <c r="T282" s="696"/>
      <c r="U282" s="696"/>
      <c r="V282" s="80"/>
      <c r="W282" s="80"/>
      <c r="Y282" s="102"/>
    </row>
    <row r="283" spans="1:25" ht="14.1" customHeight="1">
      <c r="A283" s="87">
        <v>67</v>
      </c>
      <c r="B283" s="138"/>
      <c r="C283" s="139"/>
      <c r="D283" s="139"/>
      <c r="E283" s="139"/>
      <c r="F283" s="139"/>
      <c r="G283" s="139"/>
      <c r="H283" s="139"/>
      <c r="I283" s="139"/>
      <c r="J283" s="139"/>
      <c r="K283" s="139"/>
      <c r="L283" s="139"/>
      <c r="M283" s="140"/>
      <c r="O283" s="100"/>
      <c r="P283" s="91" t="s">
        <v>71</v>
      </c>
      <c r="Q283" s="80" t="s">
        <v>269</v>
      </c>
      <c r="R283" s="80" t="s">
        <v>72</v>
      </c>
      <c r="S283" s="80" t="s">
        <v>25</v>
      </c>
      <c r="T283" s="80" t="s">
        <v>26</v>
      </c>
      <c r="U283" s="80" t="s">
        <v>27</v>
      </c>
      <c r="V283" s="80" t="s">
        <v>338</v>
      </c>
      <c r="W283" s="80" t="s">
        <v>339</v>
      </c>
      <c r="X283" s="80" t="s">
        <v>542</v>
      </c>
      <c r="Y283" s="102"/>
    </row>
    <row r="284" spans="1:25" ht="14.1" customHeight="1">
      <c r="A284" s="87">
        <v>68</v>
      </c>
      <c r="B284" s="138"/>
      <c r="C284" s="139"/>
      <c r="D284" s="139"/>
      <c r="E284" s="139"/>
      <c r="F284" s="139"/>
      <c r="G284" s="139"/>
      <c r="H284" s="139"/>
      <c r="I284" s="139"/>
      <c r="J284" s="139"/>
      <c r="K284" s="139"/>
      <c r="L284" s="139"/>
      <c r="M284" s="140"/>
      <c r="O284" s="100"/>
      <c r="P284" s="552" t="str">
        <f>AK10&amp;"/"&amp;AL10</f>
        <v>Mo/Mo</v>
      </c>
      <c r="Q284" s="415">
        <f t="shared" ref="Q284:R286" si="13">AH10</f>
        <v>24</v>
      </c>
      <c r="R284" s="81">
        <f t="shared" si="13"/>
        <v>50</v>
      </c>
      <c r="S284" s="82">
        <f>IF(AQ10="","",AQ10)</f>
        <v>24.65478515625</v>
      </c>
      <c r="T284" s="82">
        <f t="shared" ref="T284:U286" si="14">IF(AN10="","",AN10)</f>
        <v>727.2587890625</v>
      </c>
      <c r="U284" s="82">
        <f t="shared" si="14"/>
        <v>2.6133427130977487</v>
      </c>
      <c r="V284" s="83">
        <f t="shared" ref="V284:V294" si="15">IF(U284="","",U284/R284)</f>
        <v>5.2266854261954973E-2</v>
      </c>
      <c r="W284" s="84">
        <f t="shared" ref="W284:W294" si="16">IF(U284="","",U284/(T284/1000))</f>
        <v>3.5934150984501341</v>
      </c>
      <c r="X284" s="85">
        <f>IF(S284="","",(S284-Q284)/Q284)</f>
        <v>2.728271484375E-2</v>
      </c>
      <c r="Y284" s="102"/>
    </row>
    <row r="285" spans="1:25" ht="14.1" customHeight="1">
      <c r="A285" s="87">
        <v>69</v>
      </c>
      <c r="B285" s="138"/>
      <c r="C285" s="139"/>
      <c r="D285" s="139"/>
      <c r="E285" s="139"/>
      <c r="F285" s="139"/>
      <c r="G285" s="139"/>
      <c r="H285" s="139"/>
      <c r="I285" s="139"/>
      <c r="J285" s="139"/>
      <c r="K285" s="139"/>
      <c r="L285" s="139"/>
      <c r="M285" s="140"/>
      <c r="O285" s="100"/>
      <c r="P285" s="553"/>
      <c r="Q285" s="416">
        <f t="shared" si="13"/>
        <v>26</v>
      </c>
      <c r="R285" s="81">
        <f t="shared" si="13"/>
        <v>50</v>
      </c>
      <c r="S285" s="82">
        <f>IF(AQ11="","",AQ11)</f>
        <v>26.530229568481445</v>
      </c>
      <c r="T285" s="82">
        <f t="shared" si="14"/>
        <v>501.46990966796875</v>
      </c>
      <c r="U285" s="82">
        <f t="shared" si="14"/>
        <v>3.4556161009565352</v>
      </c>
      <c r="V285" s="83">
        <f t="shared" si="15"/>
        <v>6.9112322019130701E-2</v>
      </c>
      <c r="W285" s="82">
        <f t="shared" si="16"/>
        <v>6.8909739833533656</v>
      </c>
      <c r="X285" s="85">
        <f t="shared" ref="X285:X299" si="17">IF(S285="","",(S285-Q285)/Q285)</f>
        <v>2.0393444941594049E-2</v>
      </c>
      <c r="Y285" s="102"/>
    </row>
    <row r="286" spans="1:25" ht="14.1" customHeight="1" thickBot="1">
      <c r="A286" s="87">
        <v>70</v>
      </c>
      <c r="B286" s="151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3"/>
      <c r="O286" s="100"/>
      <c r="P286" s="553"/>
      <c r="Q286" s="415">
        <f t="shared" si="13"/>
        <v>28</v>
      </c>
      <c r="R286" s="81">
        <f t="shared" si="13"/>
        <v>50</v>
      </c>
      <c r="S286" s="82">
        <f>IF(AQ12="","",AQ12)</f>
        <v>28.695768356323242</v>
      </c>
      <c r="T286" s="82">
        <f t="shared" si="14"/>
        <v>499.95989990234375</v>
      </c>
      <c r="U286" s="82">
        <f t="shared" si="14"/>
        <v>4.3674283775710725</v>
      </c>
      <c r="V286" s="83">
        <f t="shared" si="15"/>
        <v>8.7348567551421452E-2</v>
      </c>
      <c r="W286" s="82">
        <f t="shared" si="16"/>
        <v>8.7355573485476619</v>
      </c>
      <c r="X286" s="85">
        <f t="shared" si="17"/>
        <v>2.4848869868687222E-2</v>
      </c>
      <c r="Y286" s="102"/>
    </row>
    <row r="287" spans="1:25" ht="14.1" customHeight="1" thickTop="1">
      <c r="A287" s="87">
        <v>71</v>
      </c>
      <c r="C287" s="183" t="s">
        <v>11</v>
      </c>
      <c r="D287" s="489">
        <f>IF($P$7="","",$P$7)</f>
        <v>42178</v>
      </c>
      <c r="E287" s="97"/>
      <c r="F287" s="97"/>
      <c r="G287" s="97"/>
      <c r="H287" s="97"/>
      <c r="I287" s="97"/>
      <c r="J287" s="97"/>
      <c r="K287" s="97"/>
      <c r="L287" s="183" t="s">
        <v>12</v>
      </c>
      <c r="M287" s="490" t="str">
        <f>IF($X$7="","",$X$7)</f>
        <v>Eugene Mah</v>
      </c>
      <c r="O287" s="100"/>
      <c r="P287" s="553"/>
      <c r="Q287" s="415">
        <f>AH23</f>
        <v>30</v>
      </c>
      <c r="R287" s="81">
        <f>AI23</f>
        <v>50</v>
      </c>
      <c r="S287" s="82">
        <f>IF(AQ23="","",AQ23)</f>
        <v>30.888139724731445</v>
      </c>
      <c r="T287" s="82">
        <f>IF(AN23="","",AN23)</f>
        <v>501.972412109375</v>
      </c>
      <c r="U287" s="82">
        <f>IF(AO23="","",AO23)</f>
        <v>5.3627483558487627</v>
      </c>
      <c r="V287" s="83">
        <f t="shared" si="15"/>
        <v>0.10725496711697526</v>
      </c>
      <c r="W287" s="82">
        <f t="shared" si="16"/>
        <v>10.683352762980668</v>
      </c>
      <c r="X287" s="85">
        <f t="shared" si="17"/>
        <v>2.9604657491048177E-2</v>
      </c>
      <c r="Y287" s="102"/>
    </row>
    <row r="288" spans="1:25" ht="14.1" customHeight="1">
      <c r="A288" s="87">
        <v>72</v>
      </c>
      <c r="C288" s="183" t="s">
        <v>121</v>
      </c>
      <c r="D288" s="490" t="str">
        <f>IF($R$14="","",$R$14)</f>
        <v>1C10</v>
      </c>
      <c r="E288" s="97"/>
      <c r="F288" s="97"/>
      <c r="G288" s="97"/>
      <c r="H288" s="97"/>
      <c r="I288" s="97"/>
      <c r="J288" s="97"/>
      <c r="K288" s="97"/>
      <c r="L288" s="183" t="s">
        <v>37</v>
      </c>
      <c r="M288" s="490">
        <f>IF($R$13="","",$R$13)</f>
        <v>1732</v>
      </c>
      <c r="O288" s="100"/>
      <c r="P288" s="553"/>
      <c r="Q288" s="415">
        <f>AH24</f>
        <v>32</v>
      </c>
      <c r="R288" s="81">
        <f>AI24</f>
        <v>50</v>
      </c>
      <c r="S288" s="82">
        <f>IF(AQ24="","",AQ24)</f>
        <v>33.159122467041016</v>
      </c>
      <c r="T288" s="82">
        <f>IF(AN24="","",AN24)</f>
        <v>725.75537109375</v>
      </c>
      <c r="U288" s="82">
        <f>IF(AO24="","",AO24)</f>
        <v>6.4288276585437671</v>
      </c>
      <c r="V288" s="83">
        <f t="shared" si="15"/>
        <v>0.12857655317087535</v>
      </c>
      <c r="W288" s="82">
        <f t="shared" si="16"/>
        <v>8.8581192983183836</v>
      </c>
      <c r="X288" s="85">
        <f t="shared" si="17"/>
        <v>3.6222577095031738E-2</v>
      </c>
      <c r="Y288" s="102"/>
    </row>
    <row r="289" spans="1:25" ht="14.1" customHeight="1">
      <c r="A289" s="87">
        <v>1</v>
      </c>
      <c r="M289" s="186" t="str">
        <f>$H$2</f>
        <v>Medical University of South Carolina</v>
      </c>
      <c r="O289" s="100"/>
      <c r="P289" s="529"/>
      <c r="Q289" s="415">
        <f t="shared" ref="Q289:R291" si="18">AH30</f>
        <v>34</v>
      </c>
      <c r="R289" s="81">
        <f t="shared" si="18"/>
        <v>50</v>
      </c>
      <c r="S289" s="82">
        <f>IF(AQ30="","",AQ30)</f>
        <v>35.491172790527344</v>
      </c>
      <c r="T289" s="82">
        <f t="shared" ref="T289:U291" si="19">IF(AN30="","",AN30)</f>
        <v>500.96688842773437</v>
      </c>
      <c r="U289" s="82">
        <f t="shared" si="19"/>
        <v>7.5735123255710457</v>
      </c>
      <c r="V289" s="83">
        <f t="shared" si="15"/>
        <v>0.15147024651142091</v>
      </c>
      <c r="W289" s="82">
        <f t="shared" si="16"/>
        <v>15.117790218312086</v>
      </c>
      <c r="X289" s="85">
        <f t="shared" si="17"/>
        <v>4.3858023250804228E-2</v>
      </c>
      <c r="Y289" s="102"/>
    </row>
    <row r="290" spans="1:25" ht="14.1" customHeight="1" thickBot="1">
      <c r="A290" s="87">
        <v>2</v>
      </c>
      <c r="H290" s="121" t="s">
        <v>73</v>
      </c>
      <c r="M290" s="187" t="str">
        <f>$H$5</f>
        <v>Mammography System Compliance Inspection</v>
      </c>
      <c r="O290" s="100"/>
      <c r="P290" s="554" t="str">
        <f>AK31&amp;"/"&amp;AL31</f>
        <v>Mo/Rh</v>
      </c>
      <c r="Q290" s="415">
        <f t="shared" si="18"/>
        <v>26</v>
      </c>
      <c r="R290" s="81">
        <f t="shared" si="18"/>
        <v>50</v>
      </c>
      <c r="S290" s="82">
        <f>IF(AQ31="","",AQ31)</f>
        <v>28.453651428222656</v>
      </c>
      <c r="T290" s="82">
        <f t="shared" si="19"/>
        <v>744.3673095703125</v>
      </c>
      <c r="U290" s="82">
        <f t="shared" si="19"/>
        <v>2.7267579087868374</v>
      </c>
      <c r="V290" s="83">
        <f t="shared" si="15"/>
        <v>5.4535158175736752E-2</v>
      </c>
      <c r="W290" s="82">
        <f t="shared" si="16"/>
        <v>3.663188688875743</v>
      </c>
      <c r="X290" s="85">
        <f t="shared" si="17"/>
        <v>9.4371208777794466E-2</v>
      </c>
      <c r="Y290" s="102"/>
    </row>
    <row r="291" spans="1:25" ht="14.1" customHeight="1" thickTop="1">
      <c r="A291" s="87">
        <v>3</v>
      </c>
      <c r="B291" s="129"/>
      <c r="C291" s="347" t="s">
        <v>333</v>
      </c>
      <c r="D291" s="348" t="str">
        <f>IF(P280="","",P280)</f>
        <v>Barracuda</v>
      </c>
      <c r="E291" s="347" t="s">
        <v>340</v>
      </c>
      <c r="F291" s="744" t="str">
        <f>IF(P281="","",P281)</f>
        <v>BC1-05100117</v>
      </c>
      <c r="G291" s="130"/>
      <c r="H291" s="347" t="s">
        <v>334</v>
      </c>
      <c r="I291" s="700">
        <f>IF(S280="","",S280)</f>
        <v>42051</v>
      </c>
      <c r="J291" s="700"/>
      <c r="K291" s="130"/>
      <c r="L291" s="130"/>
      <c r="M291" s="132"/>
      <c r="O291" s="100"/>
      <c r="P291" s="555"/>
      <c r="Q291" s="415">
        <f t="shared" si="18"/>
        <v>28</v>
      </c>
      <c r="R291" s="81">
        <f t="shared" si="18"/>
        <v>50</v>
      </c>
      <c r="S291" s="82">
        <f>IF(AQ32="","",AQ32)</f>
        <v>30.686857223510742</v>
      </c>
      <c r="T291" s="82">
        <f t="shared" si="19"/>
        <v>725.75537109375</v>
      </c>
      <c r="U291" s="82">
        <f t="shared" si="19"/>
        <v>3.5208894828241402</v>
      </c>
      <c r="V291" s="83">
        <f t="shared" si="15"/>
        <v>7.0417789656482807E-2</v>
      </c>
      <c r="W291" s="82">
        <f t="shared" si="16"/>
        <v>4.8513447134645133</v>
      </c>
      <c r="X291" s="85">
        <f t="shared" si="17"/>
        <v>9.5959186553955078E-2</v>
      </c>
      <c r="Y291" s="102"/>
    </row>
    <row r="292" spans="1:25" ht="14.1" customHeight="1">
      <c r="A292" s="87">
        <v>4</v>
      </c>
      <c r="B292" s="138"/>
      <c r="C292" s="23"/>
      <c r="D292" s="23"/>
      <c r="E292" s="23"/>
      <c r="F292" s="23"/>
      <c r="G292" s="23"/>
      <c r="H292" s="237" t="s">
        <v>336</v>
      </c>
      <c r="I292" s="743">
        <f>IF(S281="","",S281)</f>
        <v>42782</v>
      </c>
      <c r="J292" s="743"/>
      <c r="K292" s="23"/>
      <c r="M292" s="140"/>
      <c r="O292" s="236"/>
      <c r="P292" s="555"/>
      <c r="Q292" s="415">
        <f>AH38</f>
        <v>30</v>
      </c>
      <c r="R292" s="81">
        <f>AI38</f>
        <v>50</v>
      </c>
      <c r="S292" s="82">
        <f>IF(AQ38="","",AQ38)</f>
        <v>32.663410186767578</v>
      </c>
      <c r="T292" s="82">
        <f>IF(AN38="","",AN38)</f>
        <v>501.97589111328125</v>
      </c>
      <c r="U292" s="82">
        <f>IF(AO38="","",AO38)</f>
        <v>4.3936777741735593</v>
      </c>
      <c r="V292" s="83">
        <f t="shared" si="15"/>
        <v>8.7873555483471186E-2</v>
      </c>
      <c r="W292" s="82">
        <f t="shared" si="16"/>
        <v>8.7527665211754861</v>
      </c>
      <c r="X292" s="85">
        <f t="shared" si="17"/>
        <v>8.8780339558919272E-2</v>
      </c>
      <c r="Y292" s="102"/>
    </row>
    <row r="293" spans="1:25" ht="14.1" customHeight="1">
      <c r="A293" s="87">
        <v>5</v>
      </c>
      <c r="B293" s="138"/>
      <c r="C293" s="220" t="s">
        <v>331</v>
      </c>
      <c r="D293" s="139"/>
      <c r="E293" s="139"/>
      <c r="F293" s="139"/>
      <c r="G293" s="139"/>
      <c r="H293" s="139"/>
      <c r="I293" s="139"/>
      <c r="J293" s="139"/>
      <c r="K293" s="139"/>
      <c r="M293" s="140"/>
      <c r="O293" s="100"/>
      <c r="P293" s="555"/>
      <c r="Q293" s="415">
        <f>AH39</f>
        <v>32</v>
      </c>
      <c r="R293" s="81">
        <f>AI39</f>
        <v>50</v>
      </c>
      <c r="S293" s="82">
        <f>IF(AQ39="","",AQ39)</f>
        <v>34.784206390380859</v>
      </c>
      <c r="T293" s="82">
        <f>IF(AN39="","",AN39)</f>
        <v>501.46990966796875</v>
      </c>
      <c r="U293" s="82">
        <f>IF(AO39="","",AO39)</f>
        <v>5.3198718272417294</v>
      </c>
      <c r="V293" s="83">
        <f t="shared" si="15"/>
        <v>0.10639743654483459</v>
      </c>
      <c r="W293" s="82">
        <f t="shared" si="16"/>
        <v>10.608556415207646</v>
      </c>
      <c r="X293" s="85">
        <f t="shared" si="17"/>
        <v>8.7006449699401855E-2</v>
      </c>
      <c r="Y293" s="102"/>
    </row>
    <row r="294" spans="1:25" ht="14.1" customHeight="1">
      <c r="A294" s="87">
        <v>6</v>
      </c>
      <c r="B294" s="138"/>
      <c r="C294" s="237"/>
      <c r="F294" s="696" t="s">
        <v>337</v>
      </c>
      <c r="G294" s="696"/>
      <c r="H294" s="696"/>
      <c r="I294" s="422"/>
      <c r="J294" s="422"/>
      <c r="K294" s="181"/>
      <c r="M294" s="140"/>
      <c r="O294" s="100"/>
      <c r="P294" s="473"/>
      <c r="Q294" s="415">
        <f t="shared" ref="Q294:R296" si="20">AH45</f>
        <v>34</v>
      </c>
      <c r="R294" s="81">
        <f t="shared" si="20"/>
        <v>50</v>
      </c>
      <c r="S294" s="82">
        <f>IF(AQ45="","",AQ45)</f>
        <v>36.858070373535156</v>
      </c>
      <c r="T294" s="82">
        <f t="shared" ref="T294:U296" si="21">IF(AN45="","",AN45)</f>
        <v>725.75177001953125</v>
      </c>
      <c r="U294" s="82">
        <f t="shared" si="21"/>
        <v>6.3087103640583919</v>
      </c>
      <c r="V294" s="83">
        <f t="shared" si="15"/>
        <v>0.12617420728116785</v>
      </c>
      <c r="W294" s="82">
        <f t="shared" si="16"/>
        <v>8.6926558427664773</v>
      </c>
      <c r="X294" s="85">
        <f t="shared" si="17"/>
        <v>8.4060893339269305E-2</v>
      </c>
      <c r="Y294" s="102"/>
    </row>
    <row r="295" spans="1:25" ht="14.1" customHeight="1" thickBot="1">
      <c r="A295" s="87">
        <v>7</v>
      </c>
      <c r="B295" s="138"/>
      <c r="C295" s="91" t="s">
        <v>71</v>
      </c>
      <c r="D295" s="422" t="s">
        <v>269</v>
      </c>
      <c r="E295" s="422" t="s">
        <v>72</v>
      </c>
      <c r="F295" s="422" t="s">
        <v>25</v>
      </c>
      <c r="G295" s="422" t="s">
        <v>26</v>
      </c>
      <c r="H295" s="422" t="s">
        <v>27</v>
      </c>
      <c r="I295" s="422" t="s">
        <v>338</v>
      </c>
      <c r="J295" s="422" t="s">
        <v>339</v>
      </c>
      <c r="K295" s="422" t="s">
        <v>542</v>
      </c>
      <c r="M295" s="140"/>
      <c r="O295" s="100"/>
      <c r="P295" s="554" t="str">
        <f>AK46&amp;"/"&amp;AL46</f>
        <v>W/Rh</v>
      </c>
      <c r="Q295" s="416">
        <f t="shared" si="20"/>
        <v>26</v>
      </c>
      <c r="R295" s="81">
        <f t="shared" si="20"/>
        <v>50</v>
      </c>
      <c r="S295" s="82">
        <f>IF(AQ46="","",AQ46)</f>
        <v>28.246963500976563</v>
      </c>
      <c r="T295" s="82">
        <f t="shared" si="21"/>
        <v>498.44940185546875</v>
      </c>
      <c r="U295" s="82">
        <f t="shared" si="21"/>
        <v>1.050965411949325</v>
      </c>
      <c r="V295" s="83">
        <f>IF(U295="","",U295/R295)</f>
        <v>2.1019308238986501E-2</v>
      </c>
      <c r="W295" s="82">
        <f>IF(U295="","",U295/(T295/1000))</f>
        <v>2.1084696020039857</v>
      </c>
      <c r="X295" s="85">
        <f t="shared" si="17"/>
        <v>8.6421673114483177E-2</v>
      </c>
      <c r="Y295" s="102"/>
    </row>
    <row r="296" spans="1:25" ht="14.1" customHeight="1">
      <c r="A296" s="87">
        <v>8</v>
      </c>
      <c r="B296" s="138"/>
      <c r="C296" s="556" t="str">
        <f>P284</f>
        <v>Mo/Mo</v>
      </c>
      <c r="D296" s="534">
        <f>IF(Q284="","",Q284)</f>
        <v>24</v>
      </c>
      <c r="E296" s="534">
        <f>IF(R284="","",R284)</f>
        <v>50</v>
      </c>
      <c r="F296" s="557">
        <f>IF(S284="","",S284)</f>
        <v>24.65478515625</v>
      </c>
      <c r="G296" s="557">
        <f>IF(T284="","",T284)</f>
        <v>727.2587890625</v>
      </c>
      <c r="H296" s="557">
        <f>IF(U284="","",U284)</f>
        <v>2.6133427130977487</v>
      </c>
      <c r="I296" s="558">
        <f>IF(V284="","",V284)</f>
        <v>5.2266854261954973E-2</v>
      </c>
      <c r="J296" s="557">
        <f>IF(W284="","",W284)</f>
        <v>3.5934150984501341</v>
      </c>
      <c r="K296" s="559">
        <f>IF(X284="","",X284)</f>
        <v>2.728271484375E-2</v>
      </c>
      <c r="M296" s="140"/>
      <c r="O296" s="100"/>
      <c r="P296" s="555"/>
      <c r="Q296" s="416">
        <f t="shared" si="20"/>
        <v>28</v>
      </c>
      <c r="R296" s="81">
        <f t="shared" si="20"/>
        <v>50</v>
      </c>
      <c r="S296" s="82">
        <f>IF(AQ47="","",AQ47)</f>
        <v>29.9244384765625</v>
      </c>
      <c r="T296" s="82">
        <f t="shared" si="21"/>
        <v>498.44290161132812</v>
      </c>
      <c r="U296" s="82">
        <f t="shared" si="21"/>
        <v>1.2977184192012217</v>
      </c>
      <c r="V296" s="83">
        <f>IF(U296="","",U296/R296)</f>
        <v>2.5954368384024432E-2</v>
      </c>
      <c r="W296" s="82">
        <f>IF(U296="","",U296/(T296/1000))</f>
        <v>2.6035447891946233</v>
      </c>
      <c r="X296" s="85">
        <f t="shared" si="17"/>
        <v>6.8729945591517863E-2</v>
      </c>
      <c r="Y296" s="102"/>
    </row>
    <row r="297" spans="1:25" ht="14.1" customHeight="1">
      <c r="A297" s="87">
        <v>9</v>
      </c>
      <c r="B297" s="138"/>
      <c r="C297" s="560"/>
      <c r="D297" s="389">
        <f>IF(Q285="","",Q285)</f>
        <v>26</v>
      </c>
      <c r="E297" s="389">
        <f>IF(R285="","",R285)</f>
        <v>50</v>
      </c>
      <c r="F297" s="399">
        <f>IF(S285="","",S285)</f>
        <v>26.530229568481445</v>
      </c>
      <c r="G297" s="399">
        <f>IF(T285="","",T285)</f>
        <v>501.46990966796875</v>
      </c>
      <c r="H297" s="399">
        <f>IF(U285="","",U285)</f>
        <v>3.4556161009565352</v>
      </c>
      <c r="I297" s="390">
        <f>IF(V285="","",V285)</f>
        <v>6.9112322019130701E-2</v>
      </c>
      <c r="J297" s="399">
        <f>IF(W285="","",W285)</f>
        <v>6.8909739833533656</v>
      </c>
      <c r="K297" s="536">
        <f>IF(X285="","",X285)</f>
        <v>2.0393444941594049E-2</v>
      </c>
      <c r="M297" s="140"/>
      <c r="O297" s="100"/>
      <c r="P297" s="555"/>
      <c r="Q297" s="415">
        <f>AH55</f>
        <v>30</v>
      </c>
      <c r="R297" s="81">
        <f>AI55</f>
        <v>50</v>
      </c>
      <c r="S297" s="82">
        <f>IF(AQ55="","",AQ55)</f>
        <v>31.47088623046875</v>
      </c>
      <c r="T297" s="82">
        <f>IF(AN55="","",AN55)</f>
        <v>736.33441162109375</v>
      </c>
      <c r="U297" s="82">
        <f>IF(AO55="","",AO55)</f>
        <v>1.5399143175531333</v>
      </c>
      <c r="V297" s="83">
        <f>IF(U297="","",U297/R297)</f>
        <v>3.0798286351062666E-2</v>
      </c>
      <c r="W297" s="82">
        <f>IF(U297="","",U297/(T297/1000))</f>
        <v>2.091324666143064</v>
      </c>
      <c r="X297" s="85">
        <f t="shared" si="17"/>
        <v>4.9029541015624997E-2</v>
      </c>
      <c r="Y297" s="102"/>
    </row>
    <row r="298" spans="1:25" ht="14.1" customHeight="1">
      <c r="A298" s="87">
        <v>10</v>
      </c>
      <c r="B298" s="138"/>
      <c r="C298" s="560"/>
      <c r="D298" s="389">
        <f>IF(Q286="","",Q286)</f>
        <v>28</v>
      </c>
      <c r="E298" s="389">
        <f>IF(R286="","",R286)</f>
        <v>50</v>
      </c>
      <c r="F298" s="399">
        <f>IF(S286="","",S286)</f>
        <v>28.695768356323242</v>
      </c>
      <c r="G298" s="399">
        <f>IF(T286="","",T286)</f>
        <v>499.95989990234375</v>
      </c>
      <c r="H298" s="399">
        <f>IF(U286="","",U286)</f>
        <v>4.3674283775710725</v>
      </c>
      <c r="I298" s="390">
        <f>IF(V286="","",V286)</f>
        <v>8.7348567551421452E-2</v>
      </c>
      <c r="J298" s="399">
        <f>IF(W286="","",W286)</f>
        <v>8.7355573485476619</v>
      </c>
      <c r="K298" s="536">
        <f>IF(X286="","",X286)</f>
        <v>2.4848869868687222E-2</v>
      </c>
      <c r="M298" s="140"/>
      <c r="O298" s="100"/>
      <c r="P298" s="555"/>
      <c r="Q298" s="415">
        <f>AH56</f>
        <v>32</v>
      </c>
      <c r="R298" s="81">
        <f>AI56</f>
        <v>50</v>
      </c>
      <c r="S298" s="82">
        <f>IF(AQ56="","",AQ56)</f>
        <v>33.171131134033203</v>
      </c>
      <c r="T298" s="82">
        <f>IF(AN56="","",AN56)</f>
        <v>498.44290161132812</v>
      </c>
      <c r="U298" s="82">
        <f>IF(AO56="","",AO56)</f>
        <v>1.7877585087608185</v>
      </c>
      <c r="V298" s="83">
        <f>IF(U298="","",U298/R298)</f>
        <v>3.5755170175216372E-2</v>
      </c>
      <c r="W298" s="82">
        <f>IF(U298="","",U298/(T298/1000))</f>
        <v>3.5866866655769183</v>
      </c>
      <c r="X298" s="85">
        <f t="shared" si="17"/>
        <v>3.6597847938537598E-2</v>
      </c>
      <c r="Y298" s="102"/>
    </row>
    <row r="299" spans="1:25" ht="14.1" customHeight="1">
      <c r="A299" s="87">
        <v>11</v>
      </c>
      <c r="B299" s="138"/>
      <c r="C299" s="560"/>
      <c r="D299" s="389">
        <f>IF(Q287="","",Q287)</f>
        <v>30</v>
      </c>
      <c r="E299" s="389">
        <f>IF(R287="","",R287)</f>
        <v>50</v>
      </c>
      <c r="F299" s="399">
        <f>IF(S287="","",S287)</f>
        <v>30.888139724731445</v>
      </c>
      <c r="G299" s="399">
        <f>IF(T287="","",T287)</f>
        <v>501.972412109375</v>
      </c>
      <c r="H299" s="399">
        <f>IF(U287="","",U287)</f>
        <v>5.3627483558487627</v>
      </c>
      <c r="I299" s="390">
        <f>IF(V287="","",V287)</f>
        <v>0.10725496711697526</v>
      </c>
      <c r="J299" s="399">
        <f>IF(W287="","",W287)</f>
        <v>10.683352762980668</v>
      </c>
      <c r="K299" s="536">
        <f>IF(X287="","",X287)</f>
        <v>2.9604657491048177E-2</v>
      </c>
      <c r="M299" s="140"/>
      <c r="O299" s="100"/>
      <c r="P299" s="473"/>
      <c r="Q299" s="415">
        <f>AH62</f>
        <v>34</v>
      </c>
      <c r="R299" s="81">
        <f>AI62</f>
        <v>50</v>
      </c>
      <c r="S299" s="82">
        <f>IF(AQ62="","",AQ62)</f>
        <v>34.977096557617188</v>
      </c>
      <c r="T299" s="82">
        <f>IF(AN62="","",AN62)</f>
        <v>737.33892822265625</v>
      </c>
      <c r="U299" s="82">
        <f>IF(AO62="","",AO62)</f>
        <v>2.0371236308011751</v>
      </c>
      <c r="V299" s="83">
        <f>IF(U299="","",U299/R299)</f>
        <v>4.0742472616023505E-2</v>
      </c>
      <c r="W299" s="82">
        <f>IF(U299="","",U299/(T299/1000))</f>
        <v>2.7628049365461136</v>
      </c>
      <c r="X299" s="85">
        <f t="shared" si="17"/>
        <v>2.873813404756434E-2</v>
      </c>
      <c r="Y299" s="102"/>
    </row>
    <row r="300" spans="1:25" ht="14.1" customHeight="1" thickBot="1">
      <c r="A300" s="87">
        <v>12</v>
      </c>
      <c r="B300" s="138"/>
      <c r="C300" s="560"/>
      <c r="D300" s="389">
        <f>IF(Q288="","",Q288)</f>
        <v>32</v>
      </c>
      <c r="E300" s="389">
        <f>IF(R288="","",R288)</f>
        <v>50</v>
      </c>
      <c r="F300" s="399">
        <f>IF(S288="","",S288)</f>
        <v>33.159122467041016</v>
      </c>
      <c r="G300" s="399">
        <f>IF(T288="","",T288)</f>
        <v>725.75537109375</v>
      </c>
      <c r="H300" s="399">
        <f>IF(U288="","",U288)</f>
        <v>6.4288276585437671</v>
      </c>
      <c r="I300" s="390">
        <f>IF(V288="","",V288)</f>
        <v>0.12857655317087535</v>
      </c>
      <c r="J300" s="399">
        <f>IF(W288="","",W288)</f>
        <v>8.8581192983183836</v>
      </c>
      <c r="K300" s="536">
        <f>IF(X288="","",X288)</f>
        <v>3.6222577095031738E-2</v>
      </c>
      <c r="M300" s="140"/>
      <c r="O300" s="100"/>
      <c r="P300" s="181"/>
      <c r="Q300" s="350"/>
      <c r="R300" s="350"/>
      <c r="S300" s="350"/>
      <c r="T300" s="351"/>
      <c r="U300" s="352"/>
      <c r="V300" s="350"/>
      <c r="W300" s="350"/>
      <c r="X300" s="353"/>
      <c r="Y300" s="102"/>
    </row>
    <row r="301" spans="1:25" ht="14.1" customHeight="1" thickBot="1">
      <c r="A301" s="87">
        <v>13</v>
      </c>
      <c r="B301" s="138"/>
      <c r="C301" s="569"/>
      <c r="D301" s="563">
        <f>IF(Q289="","",Q289)</f>
        <v>34</v>
      </c>
      <c r="E301" s="563">
        <f>IF(R289="","",R289)</f>
        <v>50</v>
      </c>
      <c r="F301" s="564">
        <f>IF(S289="","",S289)</f>
        <v>35.491172790527344</v>
      </c>
      <c r="G301" s="564">
        <f>IF(T289="","",T289)</f>
        <v>500.96688842773437</v>
      </c>
      <c r="H301" s="564">
        <f>IF(U289="","",U289)</f>
        <v>7.5735123255710457</v>
      </c>
      <c r="I301" s="565">
        <f>IF(V289="","",V289)</f>
        <v>0.15147024651142091</v>
      </c>
      <c r="J301" s="564">
        <f>IF(W289="","",W289)</f>
        <v>15.117790218312086</v>
      </c>
      <c r="K301" s="527">
        <f>IF(X289="","",X289)</f>
        <v>4.3858023250804228E-2</v>
      </c>
      <c r="L301" s="491" t="str">
        <f>IF(MAX(K296:K301)&lt;0.05,"Pass","Fail")</f>
        <v>Pass</v>
      </c>
      <c r="M301" s="140"/>
      <c r="O301" s="100"/>
      <c r="X301" s="353"/>
      <c r="Y301" s="102"/>
    </row>
    <row r="302" spans="1:25" ht="14.1" customHeight="1">
      <c r="A302" s="87">
        <v>14</v>
      </c>
      <c r="B302" s="138"/>
      <c r="C302" s="570" t="str">
        <f>P290</f>
        <v>Mo/Rh</v>
      </c>
      <c r="D302" s="534">
        <f>IF(Q290="","",Q290)</f>
        <v>26</v>
      </c>
      <c r="E302" s="534">
        <f>IF(R290="","",R290)</f>
        <v>50</v>
      </c>
      <c r="F302" s="557">
        <f>IF(S290="","",S290)</f>
        <v>28.453651428222656</v>
      </c>
      <c r="G302" s="557">
        <f>IF(T290="","",T290)</f>
        <v>744.3673095703125</v>
      </c>
      <c r="H302" s="557">
        <f>IF(U290="","",U290)</f>
        <v>2.7267579087868374</v>
      </c>
      <c r="I302" s="558">
        <f>IF(V290="","",V290)</f>
        <v>5.4535158175736752E-2</v>
      </c>
      <c r="J302" s="557">
        <f>IF(W290="","",W290)</f>
        <v>3.663188688875743</v>
      </c>
      <c r="K302" s="559">
        <f>IF(X290="","",X290)</f>
        <v>9.4371208777794466E-2</v>
      </c>
      <c r="M302" s="140"/>
      <c r="O302" s="100"/>
      <c r="P302" s="187" t="s">
        <v>204</v>
      </c>
      <c r="Q302" s="97" t="s">
        <v>341</v>
      </c>
      <c r="Y302" s="102"/>
    </row>
    <row r="303" spans="1:25" ht="14.1" customHeight="1" thickBot="1">
      <c r="A303" s="87">
        <v>15</v>
      </c>
      <c r="B303" s="138"/>
      <c r="C303" s="561"/>
      <c r="D303" s="389">
        <f>IF(Q291="","",Q291)</f>
        <v>28</v>
      </c>
      <c r="E303" s="389">
        <f>IF(R291="","",R291)</f>
        <v>50</v>
      </c>
      <c r="F303" s="399">
        <f>IF(S291="","",S291)</f>
        <v>30.686857223510742</v>
      </c>
      <c r="G303" s="399">
        <f>IF(T291="","",T291)</f>
        <v>725.75537109375</v>
      </c>
      <c r="H303" s="399">
        <f>IF(U291="","",U291)</f>
        <v>3.5208894828241402</v>
      </c>
      <c r="I303" s="390">
        <f>IF(V291="","",V291)</f>
        <v>7.0417789656482807E-2</v>
      </c>
      <c r="J303" s="399">
        <f>IF(W291="","",W291)</f>
        <v>4.8513447134645133</v>
      </c>
      <c r="K303" s="536">
        <f>IF(X291="","",X291)</f>
        <v>9.5959186553955078E-2</v>
      </c>
      <c r="M303" s="140"/>
      <c r="O303" s="110"/>
      <c r="P303" s="111"/>
      <c r="Q303" s="111"/>
      <c r="R303" s="111"/>
      <c r="S303" s="111"/>
      <c r="T303" s="111"/>
      <c r="U303" s="111"/>
      <c r="V303" s="111"/>
      <c r="W303" s="111"/>
      <c r="X303" s="111"/>
      <c r="Y303" s="112"/>
    </row>
    <row r="304" spans="1:25" ht="14.1" customHeight="1" thickBot="1">
      <c r="A304" s="87">
        <v>16</v>
      </c>
      <c r="B304" s="138"/>
      <c r="C304" s="561"/>
      <c r="D304" s="389">
        <f>IF(Q292="","",Q292)</f>
        <v>30</v>
      </c>
      <c r="E304" s="389">
        <f>IF(R292="","",R292)</f>
        <v>50</v>
      </c>
      <c r="F304" s="399">
        <f>IF(S292="","",S292)</f>
        <v>32.663410186767578</v>
      </c>
      <c r="G304" s="399">
        <f>IF(T292="","",T292)</f>
        <v>501.97589111328125</v>
      </c>
      <c r="H304" s="399">
        <f>IF(U292="","",U292)</f>
        <v>4.3936777741735593</v>
      </c>
      <c r="I304" s="390">
        <f>IF(V292="","",V292)</f>
        <v>8.7873555483471186E-2</v>
      </c>
      <c r="J304" s="399">
        <f>IF(W292="","",W292)</f>
        <v>8.7527665211754861</v>
      </c>
      <c r="K304" s="536">
        <f>IF(X292="","",X292)</f>
        <v>8.8780339558919272E-2</v>
      </c>
      <c r="M304" s="140"/>
      <c r="O304" s="210" t="s">
        <v>342</v>
      </c>
      <c r="P304" s="93"/>
      <c r="Q304" s="93"/>
      <c r="R304" s="93"/>
      <c r="S304" s="93"/>
      <c r="T304" s="93"/>
      <c r="U304" s="93"/>
      <c r="V304" s="93"/>
      <c r="W304" s="93"/>
      <c r="X304" s="93"/>
      <c r="Y304" s="94"/>
    </row>
    <row r="305" spans="1:25" ht="14.1" customHeight="1" thickBot="1">
      <c r="A305" s="87">
        <v>17</v>
      </c>
      <c r="B305" s="138"/>
      <c r="C305" s="561"/>
      <c r="D305" s="389">
        <f>IF(Q293="","",Q293)</f>
        <v>32</v>
      </c>
      <c r="E305" s="389">
        <f>IF(R293="","",R293)</f>
        <v>50</v>
      </c>
      <c r="F305" s="399">
        <f>IF(S293="","",S293)</f>
        <v>34.784206390380859</v>
      </c>
      <c r="G305" s="399">
        <f>IF(T293="","",T293)</f>
        <v>501.46990966796875</v>
      </c>
      <c r="H305" s="399">
        <f>IF(U293="","",U293)</f>
        <v>5.3198718272417294</v>
      </c>
      <c r="I305" s="390">
        <f>IF(V293="","",V293)</f>
        <v>0.10639743654483459</v>
      </c>
      <c r="J305" s="399">
        <f>IF(W293="","",W293)</f>
        <v>10.608556415207646</v>
      </c>
      <c r="K305" s="536">
        <f>IF(X293="","",X293)</f>
        <v>8.7006449699401855E-2</v>
      </c>
      <c r="M305" s="140"/>
      <c r="O305" s="100"/>
      <c r="P305" s="432" t="s">
        <v>95</v>
      </c>
      <c r="Q305" s="433" t="str">
        <f>AK10&amp;"/"&amp;AL10</f>
        <v>Mo/Mo</v>
      </c>
      <c r="R305" s="572" t="s">
        <v>173</v>
      </c>
      <c r="S305" s="578">
        <f>AH12</f>
        <v>28</v>
      </c>
      <c r="T305" s="94"/>
      <c r="U305" s="432" t="s">
        <v>95</v>
      </c>
      <c r="V305" s="433" t="str">
        <f>AK47&amp;"/"&amp;AL47</f>
        <v>W/Rh</v>
      </c>
      <c r="W305" s="434" t="s">
        <v>173</v>
      </c>
      <c r="X305" s="583">
        <f>AH47</f>
        <v>28</v>
      </c>
      <c r="Y305" s="94"/>
    </row>
    <row r="306" spans="1:25" ht="14.1" customHeight="1" thickBot="1">
      <c r="A306" s="87">
        <v>18</v>
      </c>
      <c r="B306" s="138"/>
      <c r="C306" s="562"/>
      <c r="D306" s="563">
        <f>IF(Q294="","",Q294)</f>
        <v>34</v>
      </c>
      <c r="E306" s="563">
        <f>IF(R294="","",R294)</f>
        <v>50</v>
      </c>
      <c r="F306" s="564">
        <f>IF(S294="","",S294)</f>
        <v>36.858070373535156</v>
      </c>
      <c r="G306" s="564">
        <f>IF(T294="","",T294)</f>
        <v>725.75177001953125</v>
      </c>
      <c r="H306" s="564">
        <f>IF(U294="","",U294)</f>
        <v>6.3087103640583919</v>
      </c>
      <c r="I306" s="565">
        <f>IF(V294="","",V294)</f>
        <v>0.12617420728116785</v>
      </c>
      <c r="J306" s="564">
        <f>IF(W294="","",W294)</f>
        <v>8.6926558427664773</v>
      </c>
      <c r="K306" s="527">
        <f>IF(X294="","",X294)</f>
        <v>8.4060893339269305E-2</v>
      </c>
      <c r="L306" s="491" t="str">
        <f>IF(MAX(K301:K306)&lt;0.05,"Pass","Fail")</f>
        <v>Fail</v>
      </c>
      <c r="M306" s="140"/>
      <c r="O306" s="430"/>
      <c r="P306" s="584"/>
      <c r="R306" s="237" t="s">
        <v>219</v>
      </c>
      <c r="S306" s="223">
        <f>AI12</f>
        <v>50</v>
      </c>
      <c r="T306" s="285"/>
      <c r="W306" s="237" t="s">
        <v>219</v>
      </c>
      <c r="X306" s="223">
        <f>AI47</f>
        <v>50</v>
      </c>
      <c r="Y306" s="102"/>
    </row>
    <row r="307" spans="1:25" ht="14.1" customHeight="1" thickBot="1">
      <c r="A307" s="87">
        <v>19</v>
      </c>
      <c r="B307" s="138"/>
      <c r="C307" s="561" t="str">
        <f>P295</f>
        <v>W/Rh</v>
      </c>
      <c r="D307" s="529">
        <f>IF(Q295="","",Q295)</f>
        <v>26</v>
      </c>
      <c r="E307" s="529">
        <f>IF(R295="","",R295)</f>
        <v>50</v>
      </c>
      <c r="F307" s="566">
        <f>IF(S295="","",S295)</f>
        <v>28.246963500976563</v>
      </c>
      <c r="G307" s="566">
        <f>IF(T295="","",T295)</f>
        <v>498.44940185546875</v>
      </c>
      <c r="H307" s="566">
        <f>IF(U295="","",U295)</f>
        <v>1.050965411949325</v>
      </c>
      <c r="I307" s="567">
        <f>IF(V295="","",V295)</f>
        <v>2.1019308238986501E-2</v>
      </c>
      <c r="J307" s="566">
        <f>IF(W295="","",W295)</f>
        <v>2.1084696020039857</v>
      </c>
      <c r="K307" s="568">
        <f>IF(X295="","",X295)</f>
        <v>8.6421673114483177E-2</v>
      </c>
      <c r="M307" s="140"/>
      <c r="O307" s="431"/>
      <c r="P307" s="435" t="s">
        <v>25</v>
      </c>
      <c r="Q307" s="181" t="s">
        <v>26</v>
      </c>
      <c r="R307" s="181" t="s">
        <v>27</v>
      </c>
      <c r="S307" s="181" t="s">
        <v>338</v>
      </c>
      <c r="T307" s="285" t="s">
        <v>339</v>
      </c>
      <c r="U307" s="440" t="s">
        <v>25</v>
      </c>
      <c r="V307" s="441" t="s">
        <v>26</v>
      </c>
      <c r="W307" s="441" t="s">
        <v>27</v>
      </c>
      <c r="X307" s="441" t="s">
        <v>338</v>
      </c>
      <c r="Y307" s="442" t="s">
        <v>339</v>
      </c>
    </row>
    <row r="308" spans="1:25" ht="14.1" customHeight="1">
      <c r="A308" s="87">
        <v>20</v>
      </c>
      <c r="B308" s="138"/>
      <c r="C308" s="561"/>
      <c r="D308" s="389">
        <f>IF(Q296="","",Q296)</f>
        <v>28</v>
      </c>
      <c r="E308" s="389">
        <f>IF(R296="","",R296)</f>
        <v>50</v>
      </c>
      <c r="F308" s="399">
        <f>IF(S296="","",S296)</f>
        <v>29.9244384765625</v>
      </c>
      <c r="G308" s="399">
        <f>IF(T296="","",T296)</f>
        <v>498.44290161132812</v>
      </c>
      <c r="H308" s="399">
        <f>IF(U296="","",U296)</f>
        <v>1.2977184192012217</v>
      </c>
      <c r="I308" s="390">
        <f>IF(V296="","",V296)</f>
        <v>2.5954368384024432E-2</v>
      </c>
      <c r="J308" s="399">
        <f>IF(W296="","",W296)</f>
        <v>2.6035447891946233</v>
      </c>
      <c r="K308" s="536">
        <f>IF(X296="","",X296)</f>
        <v>6.8729945591517863E-2</v>
      </c>
      <c r="M308" s="140"/>
      <c r="O308" s="431"/>
      <c r="P308" s="439">
        <f>IF(AQ12="","",AQ12)</f>
        <v>28.695768356323242</v>
      </c>
      <c r="Q308" s="361">
        <f t="shared" ref="Q308:R311" si="22">IF(AN12="","",AN12)</f>
        <v>499.95989990234375</v>
      </c>
      <c r="R308" s="361">
        <f t="shared" si="22"/>
        <v>4.3674283775710725</v>
      </c>
      <c r="S308" s="317">
        <f>IF(R308="","",R308/$S$306)</f>
        <v>8.7348567551421452E-2</v>
      </c>
      <c r="T308" s="318">
        <f>IF(OR(R308="",Q308=""),"",R308/(Q308/1000))</f>
        <v>8.7355573485476619</v>
      </c>
      <c r="U308" s="439">
        <f>IF(AQ47="","",AQ47)</f>
        <v>29.9244384765625</v>
      </c>
      <c r="V308" s="361">
        <f t="shared" ref="V308:W311" si="23">IF(AN47="","",AN47)</f>
        <v>498.44290161132812</v>
      </c>
      <c r="W308" s="361">
        <f t="shared" si="23"/>
        <v>1.2977184192012217</v>
      </c>
      <c r="X308" s="317">
        <f>IF(W308="","",W308/$X$306)</f>
        <v>2.5954368384024432E-2</v>
      </c>
      <c r="Y308" s="318">
        <f>IF(OR(W308="",V308=""),"",W308/(V308/1000))</f>
        <v>2.6035447891946233</v>
      </c>
    </row>
    <row r="309" spans="1:25" ht="14.1" customHeight="1">
      <c r="A309" s="87">
        <v>21</v>
      </c>
      <c r="B309" s="138"/>
      <c r="C309" s="561"/>
      <c r="D309" s="389">
        <f>IF(Q297="","",Q297)</f>
        <v>30</v>
      </c>
      <c r="E309" s="389">
        <f>IF(R297="","",R297)</f>
        <v>50</v>
      </c>
      <c r="F309" s="399">
        <f>IF(S297="","",S297)</f>
        <v>31.47088623046875</v>
      </c>
      <c r="G309" s="399">
        <f>IF(T297="","",T297)</f>
        <v>736.33441162109375</v>
      </c>
      <c r="H309" s="399">
        <f>IF(U297="","",U297)</f>
        <v>1.5399143175531333</v>
      </c>
      <c r="I309" s="390">
        <f>IF(V297="","",V297)</f>
        <v>3.0798286351062666E-2</v>
      </c>
      <c r="J309" s="399">
        <f>IF(W297="","",W297)</f>
        <v>2.091324666143064</v>
      </c>
      <c r="K309" s="536">
        <f>IF(X297="","",X297)</f>
        <v>4.9029541015624997E-2</v>
      </c>
      <c r="M309" s="140"/>
      <c r="O309" s="431"/>
      <c r="P309" s="436">
        <f>IF(AQ13="","",AQ13)</f>
        <v>28.642902374267578</v>
      </c>
      <c r="Q309" s="82">
        <f t="shared" si="22"/>
        <v>501.97491455078125</v>
      </c>
      <c r="R309" s="82">
        <f t="shared" si="22"/>
        <v>4.3695605960882729</v>
      </c>
      <c r="S309" s="83">
        <f>IF(R309="","",R309/$S$306)</f>
        <v>8.7391211921765452E-2</v>
      </c>
      <c r="T309" s="320">
        <f>IF(OR(R309="",Q309=""),"",R309/(Q309/1000))</f>
        <v>8.7047389609072496</v>
      </c>
      <c r="U309" s="436">
        <f>IF(AQ48="","",AQ48)</f>
        <v>29.957025527954102</v>
      </c>
      <c r="V309" s="82">
        <f t="shared" si="23"/>
        <v>719.70281982421875</v>
      </c>
      <c r="W309" s="82">
        <f t="shared" si="23"/>
        <v>1.2968506340809187</v>
      </c>
      <c r="X309" s="83">
        <f>IF(W309="","",W309/$X$306)</f>
        <v>2.5937012681618375E-2</v>
      </c>
      <c r="Y309" s="320">
        <f t="shared" ref="Y309:Y311" si="24">IF(OR(W309="",V309=""),"",W309/(V309/1000))</f>
        <v>1.8019251812819954</v>
      </c>
    </row>
    <row r="310" spans="1:25" ht="14.1" customHeight="1" thickBot="1">
      <c r="A310" s="87">
        <v>22</v>
      </c>
      <c r="B310" s="138"/>
      <c r="C310" s="561"/>
      <c r="D310" s="389">
        <f>IF(Q298="","",Q298)</f>
        <v>32</v>
      </c>
      <c r="E310" s="389">
        <f>IF(R298="","",R298)</f>
        <v>50</v>
      </c>
      <c r="F310" s="399">
        <f>IF(S298="","",S298)</f>
        <v>33.171131134033203</v>
      </c>
      <c r="G310" s="399">
        <f>IF(T298="","",T298)</f>
        <v>498.44290161132812</v>
      </c>
      <c r="H310" s="399">
        <f>IF(U298="","",U298)</f>
        <v>1.7877585087608185</v>
      </c>
      <c r="I310" s="390">
        <f>IF(V298="","",V298)</f>
        <v>3.5755170175216372E-2</v>
      </c>
      <c r="J310" s="399">
        <f>IF(W298="","",W298)</f>
        <v>3.5866866655769183</v>
      </c>
      <c r="K310" s="536">
        <f>IF(X298="","",X298)</f>
        <v>3.6597847938537598E-2</v>
      </c>
      <c r="M310" s="140"/>
      <c r="O310" s="431"/>
      <c r="P310" s="436">
        <f>IF(AQ14="","",AQ14)</f>
        <v>28.735700607299805</v>
      </c>
      <c r="Q310" s="82">
        <f t="shared" si="22"/>
        <v>725.24920654296875</v>
      </c>
      <c r="R310" s="82">
        <f t="shared" si="22"/>
        <v>4.3617308714429504</v>
      </c>
      <c r="S310" s="83">
        <f>IF(R310="","",R310/$S$306)</f>
        <v>8.7234617428859004E-2</v>
      </c>
      <c r="T310" s="320">
        <f>IF(OR(R310="",Q310=""),"",R310/(Q310/1000))</f>
        <v>6.0141132621625717</v>
      </c>
      <c r="U310" s="436">
        <f>IF(AQ49="","",AQ49)</f>
        <v>29.957025527954102</v>
      </c>
      <c r="V310" s="82">
        <f t="shared" si="23"/>
        <v>719.70281982421875</v>
      </c>
      <c r="W310" s="82">
        <f t="shared" si="23"/>
        <v>1.2968506340809187</v>
      </c>
      <c r="X310" s="83">
        <f>IF(W310="","",W310/$X$306)</f>
        <v>2.5937012681618375E-2</v>
      </c>
      <c r="Y310" s="320">
        <f t="shared" si="24"/>
        <v>1.8019251812819954</v>
      </c>
    </row>
    <row r="311" spans="1:25" ht="14.1" customHeight="1" thickBot="1">
      <c r="A311" s="87">
        <v>23</v>
      </c>
      <c r="B311" s="138"/>
      <c r="C311" s="562"/>
      <c r="D311" s="563">
        <f>IF(Q299="","",Q299)</f>
        <v>34</v>
      </c>
      <c r="E311" s="563">
        <f>IF(R299="","",R299)</f>
        <v>50</v>
      </c>
      <c r="F311" s="564">
        <f>IF(S299="","",S299)</f>
        <v>34.977096557617188</v>
      </c>
      <c r="G311" s="564">
        <f>IF(T299="","",T299)</f>
        <v>737.33892822265625</v>
      </c>
      <c r="H311" s="564">
        <f>IF(U299="","",U299)</f>
        <v>2.0371236308011751</v>
      </c>
      <c r="I311" s="565">
        <f>IF(V299="","",V299)</f>
        <v>4.0742472616023505E-2</v>
      </c>
      <c r="J311" s="564">
        <f>IF(W299="","",W299)</f>
        <v>2.7628049365461136</v>
      </c>
      <c r="K311" s="527">
        <f>IF(X299="","",X299)</f>
        <v>2.873813404756434E-2</v>
      </c>
      <c r="L311" s="491" t="str">
        <f>IF(MAX(K306:K311)&lt;0.05,"Pass","Fail")</f>
        <v>Fail</v>
      </c>
      <c r="M311" s="140"/>
      <c r="O311" s="431"/>
      <c r="P311" s="590">
        <f>IF(AQ15="","",AQ15)</f>
        <v>28.678216934204102</v>
      </c>
      <c r="Q311" s="310">
        <f t="shared" si="22"/>
        <v>727.2587890625</v>
      </c>
      <c r="R311" s="310">
        <f t="shared" si="22"/>
        <v>4.3670988626170848</v>
      </c>
      <c r="S311" s="324">
        <f>IF(R311="","",R311/$S$306)</f>
        <v>8.734197725234169E-2</v>
      </c>
      <c r="T311" s="325">
        <f>IF(OR(R311="",Q311=""),"",R311/(Q311/1000))</f>
        <v>6.0048760197819764</v>
      </c>
      <c r="U311" s="590">
        <f>IF(AQ50="","",AQ50)</f>
        <v>29.957025527954102</v>
      </c>
      <c r="V311" s="310">
        <f t="shared" si="23"/>
        <v>719.70281982421875</v>
      </c>
      <c r="W311" s="310">
        <f t="shared" si="23"/>
        <v>1.2968506340809187</v>
      </c>
      <c r="X311" s="324">
        <f>IF(W311="","",W311/$X$306)</f>
        <v>2.5937012681618375E-2</v>
      </c>
      <c r="Y311" s="325">
        <f t="shared" si="24"/>
        <v>1.8019251812819954</v>
      </c>
    </row>
    <row r="312" spans="1:25" ht="14.1" customHeight="1">
      <c r="A312" s="87">
        <v>24</v>
      </c>
      <c r="B312" s="138"/>
      <c r="J312" s="572"/>
      <c r="K312" s="483"/>
      <c r="M312" s="140"/>
      <c r="O312" s="430" t="s">
        <v>210</v>
      </c>
      <c r="P312" s="585">
        <f t="shared" ref="P312:Y312" si="25">IF(OR(P308="",P309="",P310="",P311=""),"",AVERAGE(P308:P311))</f>
        <v>28.688147068023682</v>
      </c>
      <c r="Q312" s="586">
        <f t="shared" si="25"/>
        <v>613.61070251464844</v>
      </c>
      <c r="R312" s="587">
        <f t="shared" si="25"/>
        <v>4.3664546769298447</v>
      </c>
      <c r="S312" s="588">
        <f t="shared" si="25"/>
        <v>8.7329093538596914E-2</v>
      </c>
      <c r="T312" s="589">
        <f t="shared" si="25"/>
        <v>7.3648213978498642</v>
      </c>
      <c r="U312" s="585">
        <f t="shared" si="25"/>
        <v>29.948878765106201</v>
      </c>
      <c r="V312" s="586">
        <f t="shared" si="25"/>
        <v>664.38784027099609</v>
      </c>
      <c r="W312" s="587">
        <f t="shared" si="25"/>
        <v>1.2970675803609943</v>
      </c>
      <c r="X312" s="588">
        <f t="shared" si="25"/>
        <v>2.5941351607219894E-2</v>
      </c>
      <c r="Y312" s="589">
        <f t="shared" si="25"/>
        <v>2.0023300832601523</v>
      </c>
    </row>
    <row r="313" spans="1:25" ht="14.1" customHeight="1">
      <c r="A313" s="87">
        <v>25</v>
      </c>
      <c r="B313" s="138"/>
      <c r="M313" s="140"/>
      <c r="O313" s="430" t="s">
        <v>344</v>
      </c>
      <c r="P313" s="436">
        <f t="shared" ref="P313:Y313" si="26">IF(OR(P308="",P309="",P310="",P311=""),"",_xlfn.STDEV.S(P308:P311))</f>
        <v>3.8579411624116974E-2</v>
      </c>
      <c r="Q313" s="82">
        <f t="shared" si="26"/>
        <v>130.07446232370623</v>
      </c>
      <c r="R313" s="82">
        <f t="shared" si="26"/>
        <v>3.3328736467237302E-3</v>
      </c>
      <c r="S313" s="83">
        <f t="shared" si="26"/>
        <v>6.6657472934474212E-5</v>
      </c>
      <c r="T313" s="320">
        <f t="shared" si="26"/>
        <v>1.5650516521258018</v>
      </c>
      <c r="U313" s="436">
        <f t="shared" si="26"/>
        <v>1.6293525695800781E-2</v>
      </c>
      <c r="V313" s="82">
        <f t="shared" si="26"/>
        <v>110.62995910644531</v>
      </c>
      <c r="W313" s="82">
        <f t="shared" si="26"/>
        <v>4.3389256015147209E-4</v>
      </c>
      <c r="X313" s="83">
        <f t="shared" si="26"/>
        <v>8.6778512030285404E-6</v>
      </c>
      <c r="Y313" s="320">
        <f t="shared" si="26"/>
        <v>0.4008098039563136</v>
      </c>
    </row>
    <row r="314" spans="1:25" ht="14.1" customHeight="1" thickBot="1">
      <c r="A314" s="87">
        <v>26</v>
      </c>
      <c r="B314" s="138"/>
      <c r="M314" s="140"/>
      <c r="O314" s="430" t="s">
        <v>274</v>
      </c>
      <c r="P314" s="265">
        <f t="shared" ref="P314:Y314" si="27">IF(OR(P312="",P313=""),"",P313/P312)</f>
        <v>1.3447857588236598E-3</v>
      </c>
      <c r="Q314" s="259">
        <f t="shared" si="27"/>
        <v>0.21198206255309085</v>
      </c>
      <c r="R314" s="259">
        <f t="shared" si="27"/>
        <v>7.632905625547798E-4</v>
      </c>
      <c r="S314" s="437">
        <f t="shared" si="27"/>
        <v>7.6329056255477503E-4</v>
      </c>
      <c r="T314" s="438">
        <f t="shared" si="27"/>
        <v>0.21250368034487754</v>
      </c>
      <c r="U314" s="265">
        <f t="shared" si="27"/>
        <v>5.4404459758221617E-4</v>
      </c>
      <c r="V314" s="259">
        <f t="shared" si="27"/>
        <v>0.16651412383062375</v>
      </c>
      <c r="W314" s="259">
        <f t="shared" si="27"/>
        <v>3.3451808272835944E-4</v>
      </c>
      <c r="X314" s="437">
        <f t="shared" si="27"/>
        <v>3.3451808272832458E-4</v>
      </c>
      <c r="Y314" s="438">
        <f t="shared" si="27"/>
        <v>0.20017169362192441</v>
      </c>
    </row>
    <row r="315" spans="1:25" ht="14.1" customHeight="1">
      <c r="A315" s="87">
        <v>27</v>
      </c>
      <c r="B315" s="138"/>
      <c r="I315" s="23"/>
      <c r="J315" s="23"/>
      <c r="M315" s="140"/>
      <c r="O315" s="430" t="s">
        <v>346</v>
      </c>
      <c r="P315" s="284"/>
      <c r="Q315" s="284"/>
      <c r="R315" s="427"/>
      <c r="S315" s="428">
        <f>IF(AB86="","",AB86)</f>
        <v>0.10918095238095238</v>
      </c>
      <c r="T315" s="429">
        <f>IF(AB87="","",AB87)</f>
        <v>8.4628788331235718</v>
      </c>
      <c r="U315" s="284"/>
      <c r="V315" s="284"/>
      <c r="W315" s="427"/>
      <c r="X315" s="428" t="str">
        <f>IF(AG86="","",AG86)</f>
        <v/>
      </c>
      <c r="Y315" s="429" t="str">
        <f>IF(AG87="","",AG87)</f>
        <v/>
      </c>
    </row>
    <row r="316" spans="1:25" ht="14.1" customHeight="1">
      <c r="A316" s="87">
        <v>28</v>
      </c>
      <c r="B316" s="138"/>
      <c r="I316" s="23"/>
      <c r="J316" s="23"/>
      <c r="M316" s="140"/>
      <c r="O316" s="100"/>
      <c r="P316" s="187" t="s">
        <v>204</v>
      </c>
      <c r="Q316" s="212" t="s">
        <v>347</v>
      </c>
      <c r="Y316" s="102"/>
    </row>
    <row r="317" spans="1:25" ht="14.1" customHeight="1">
      <c r="A317" s="87">
        <v>29</v>
      </c>
      <c r="B317" s="138"/>
      <c r="I317" s="23"/>
      <c r="J317" s="23"/>
      <c r="M317" s="140"/>
      <c r="O317" s="100"/>
      <c r="Q317" s="212" t="s">
        <v>348</v>
      </c>
      <c r="Y317" s="102"/>
    </row>
    <row r="318" spans="1:25" ht="14.1" customHeight="1" thickBot="1">
      <c r="A318" s="87">
        <v>30</v>
      </c>
      <c r="B318" s="138"/>
      <c r="M318" s="140"/>
      <c r="O318" s="110"/>
      <c r="P318" s="111"/>
      <c r="Q318" s="355" t="s">
        <v>349</v>
      </c>
      <c r="R318" s="111"/>
      <c r="S318" s="111"/>
      <c r="T318" s="111"/>
      <c r="U318" s="111"/>
      <c r="V318" s="111"/>
      <c r="W318" s="111"/>
      <c r="X318" s="111"/>
      <c r="Y318" s="112"/>
    </row>
    <row r="319" spans="1:25" ht="14.1" customHeight="1">
      <c r="A319" s="87">
        <v>31</v>
      </c>
      <c r="B319" s="138"/>
      <c r="M319" s="140"/>
      <c r="O319" s="210" t="s">
        <v>350</v>
      </c>
      <c r="P319" s="93"/>
      <c r="Q319" s="93"/>
      <c r="R319" s="93"/>
      <c r="S319" s="93"/>
      <c r="T319" s="93"/>
      <c r="U319" s="93"/>
      <c r="V319" s="93"/>
      <c r="W319" s="93"/>
      <c r="X319" s="93"/>
      <c r="Y319" s="94"/>
    </row>
    <row r="320" spans="1:25" ht="14.1" customHeight="1">
      <c r="A320" s="87">
        <v>32</v>
      </c>
      <c r="B320" s="138"/>
      <c r="M320" s="140"/>
      <c r="O320" s="100"/>
      <c r="P320" s="105" t="s">
        <v>95</v>
      </c>
      <c r="Q320" s="223" t="str">
        <f>AK10&amp;"/"&amp;AL10</f>
        <v>Mo/Mo</v>
      </c>
      <c r="R320" s="105" t="s">
        <v>173</v>
      </c>
      <c r="S320" s="223">
        <f>AH12</f>
        <v>28</v>
      </c>
      <c r="T320" s="80"/>
      <c r="Y320" s="102"/>
    </row>
    <row r="321" spans="1:25" ht="14.1" customHeight="1">
      <c r="A321" s="87">
        <v>33</v>
      </c>
      <c r="B321" s="138"/>
      <c r="M321" s="140"/>
      <c r="O321" s="100"/>
      <c r="P321" s="80" t="s">
        <v>72</v>
      </c>
      <c r="Q321" s="80" t="s">
        <v>25</v>
      </c>
      <c r="R321" s="80" t="s">
        <v>26</v>
      </c>
      <c r="S321" s="80" t="s">
        <v>27</v>
      </c>
      <c r="T321" s="80" t="s">
        <v>338</v>
      </c>
      <c r="U321" s="80" t="s">
        <v>339</v>
      </c>
      <c r="V321" s="23"/>
      <c r="W321" s="23"/>
      <c r="X321" s="23"/>
      <c r="Y321" s="102"/>
    </row>
    <row r="322" spans="1:25" ht="14.1" customHeight="1">
      <c r="A322" s="87">
        <v>34</v>
      </c>
      <c r="B322" s="138"/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40"/>
      <c r="O322" s="100"/>
      <c r="P322" s="81">
        <f>IF(AI20="","",AI20)</f>
        <v>20</v>
      </c>
      <c r="Q322" s="82">
        <f>IF(AQ20="","",AQ20)</f>
        <v>28.771793365478516</v>
      </c>
      <c r="R322" s="180">
        <f>IF(AN20="","",AN20)</f>
        <v>741.38079833984375</v>
      </c>
      <c r="S322" s="82">
        <f>IF(AO20="","",AO20)</f>
        <v>1.7523690841367223</v>
      </c>
      <c r="T322" s="83">
        <f>IF(S322="","",S322/P322)</f>
        <v>8.7618454206836116E-2</v>
      </c>
      <c r="U322" s="82">
        <f>IF(OR(S322="",R322=""),"",S322/(R322/1000))</f>
        <v>2.3636558811082784</v>
      </c>
      <c r="V322" s="23"/>
      <c r="W322" s="23"/>
      <c r="X322" s="23"/>
      <c r="Y322" s="102"/>
    </row>
    <row r="323" spans="1:25" ht="14.1" customHeight="1">
      <c r="A323" s="87">
        <v>35</v>
      </c>
      <c r="B323" s="138"/>
      <c r="C323" s="139"/>
      <c r="D323" s="139"/>
      <c r="E323" s="139"/>
      <c r="F323" s="139"/>
      <c r="G323" s="139"/>
      <c r="H323" s="139"/>
      <c r="I323" s="139"/>
      <c r="J323" s="139"/>
      <c r="K323" s="139"/>
      <c r="L323" s="139"/>
      <c r="M323" s="140"/>
      <c r="O323" s="100"/>
      <c r="P323" s="81">
        <f>IF(AI12="","",AI12)</f>
        <v>50</v>
      </c>
      <c r="Q323" s="82">
        <f>P312</f>
        <v>28.688147068023682</v>
      </c>
      <c r="R323" s="180">
        <f>Q312</f>
        <v>613.61070251464844</v>
      </c>
      <c r="S323" s="82">
        <f>R312</f>
        <v>4.3664546769298447</v>
      </c>
      <c r="T323" s="83">
        <f>S312</f>
        <v>8.7329093538596914E-2</v>
      </c>
      <c r="U323" s="82">
        <f>T312</f>
        <v>7.3648213978498642</v>
      </c>
      <c r="V323" s="23"/>
      <c r="W323" s="23"/>
      <c r="X323" s="23"/>
      <c r="Y323" s="102"/>
    </row>
    <row r="324" spans="1:25" ht="14.1" customHeight="1">
      <c r="A324" s="87">
        <v>36</v>
      </c>
      <c r="B324" s="138"/>
      <c r="C324" s="139"/>
      <c r="D324" s="139"/>
      <c r="E324" s="139"/>
      <c r="F324" s="139"/>
      <c r="G324" s="139"/>
      <c r="H324" s="139"/>
      <c r="I324" s="139"/>
      <c r="J324" s="139"/>
      <c r="K324" s="139"/>
      <c r="L324" s="139"/>
      <c r="M324" s="140"/>
      <c r="O324" s="100"/>
      <c r="P324" s="81">
        <f>IF(AI21="","",AI21)</f>
        <v>100</v>
      </c>
      <c r="Q324" s="82">
        <f>IF(AQ21="","",AQ21)</f>
        <v>28.691770553588867</v>
      </c>
      <c r="R324" s="180">
        <f>IF(AN21="","",AN21)</f>
        <v>988.330810546875</v>
      </c>
      <c r="S324" s="82">
        <f>IF(AO21="","",AO21)</f>
        <v>8.7168072525813436</v>
      </c>
      <c r="T324" s="83">
        <f>IF(S324="","",S324/P324)</f>
        <v>8.7168072525813434E-2</v>
      </c>
      <c r="U324" s="82">
        <f>IF(OR(S324="",R324=""),"",S324/(R324/1000))</f>
        <v>8.8197263098152892</v>
      </c>
      <c r="V324" s="23"/>
      <c r="W324" s="23"/>
      <c r="X324" s="23"/>
      <c r="Y324" s="102"/>
    </row>
    <row r="325" spans="1:25" ht="14.1" customHeight="1">
      <c r="A325" s="87">
        <v>37</v>
      </c>
      <c r="B325" s="138"/>
      <c r="C325" s="139"/>
      <c r="D325" s="139"/>
      <c r="E325" s="139"/>
      <c r="F325" s="139"/>
      <c r="G325" s="139"/>
      <c r="H325" s="139"/>
      <c r="I325" s="139"/>
      <c r="J325" s="139"/>
      <c r="K325" s="139"/>
      <c r="L325" s="139"/>
      <c r="M325" s="140"/>
      <c r="O325" s="100"/>
      <c r="P325" s="81">
        <f>IF(AI22="","",AI22)</f>
        <v>320</v>
      </c>
      <c r="Q325" s="82">
        <f>IF(AQ22="","",AQ22)</f>
        <v>28.702774047851563</v>
      </c>
      <c r="R325" s="180">
        <f>IF(AN22="","",AN22)</f>
        <v>3323.8720703125</v>
      </c>
      <c r="S325" s="82">
        <f>IF(AO22="","",AO22)</f>
        <v>27.882943450098598</v>
      </c>
      <c r="T325" s="83">
        <f>IF(S325="","",S325/P325)</f>
        <v>8.713419828155812E-2</v>
      </c>
      <c r="U325" s="82">
        <f>IF(OR(S325="",R325=""),"",S325/(R325/1000))</f>
        <v>8.3886933252148701</v>
      </c>
      <c r="V325" s="23"/>
      <c r="W325" s="23"/>
      <c r="X325" s="23"/>
      <c r="Y325" s="102"/>
    </row>
    <row r="326" spans="1:25" ht="14.1" customHeight="1">
      <c r="A326" s="87">
        <v>38</v>
      </c>
      <c r="B326" s="138"/>
      <c r="C326" s="139"/>
      <c r="D326" s="139"/>
      <c r="E326" s="139"/>
      <c r="F326" s="139"/>
      <c r="G326" s="139"/>
      <c r="H326" s="139"/>
      <c r="I326" s="139"/>
      <c r="J326" s="139"/>
      <c r="K326" s="139"/>
      <c r="L326" s="139"/>
      <c r="M326" s="140"/>
      <c r="O326" s="100"/>
      <c r="S326" s="105" t="s">
        <v>351</v>
      </c>
      <c r="T326" s="256">
        <f>IF(OR(T322="",T323="",T324="",T325=""),"",(MAX(T322:T325)-MIN(T322:T325))/(MAX(T322:T325)+MIN(T322:T325)))</f>
        <v>2.7710934190836199E-3</v>
      </c>
      <c r="V326" s="23"/>
      <c r="W326" s="23"/>
      <c r="X326" s="23"/>
      <c r="Y326" s="102"/>
    </row>
    <row r="327" spans="1:25" ht="14.1" customHeight="1">
      <c r="A327" s="87">
        <v>39</v>
      </c>
      <c r="B327" s="138"/>
      <c r="C327" s="139"/>
      <c r="D327" s="139"/>
      <c r="E327" s="139"/>
      <c r="F327" s="139"/>
      <c r="G327" s="139"/>
      <c r="H327" s="139"/>
      <c r="I327" s="139"/>
      <c r="J327" s="139"/>
      <c r="K327" s="139"/>
      <c r="L327" s="139"/>
      <c r="M327" s="140"/>
      <c r="O327" s="100"/>
      <c r="P327" s="187" t="s">
        <v>204</v>
      </c>
      <c r="Q327" s="212" t="s">
        <v>352</v>
      </c>
      <c r="Y327" s="102"/>
    </row>
    <row r="328" spans="1:25" ht="14.1" customHeight="1">
      <c r="A328" s="87">
        <v>40</v>
      </c>
      <c r="B328" s="138"/>
      <c r="C328" s="139"/>
      <c r="D328" s="139"/>
      <c r="E328" s="139"/>
      <c r="F328" s="139"/>
      <c r="G328" s="139"/>
      <c r="H328" s="139"/>
      <c r="I328" s="139"/>
      <c r="J328" s="139"/>
      <c r="K328" s="139"/>
      <c r="L328" s="139"/>
      <c r="M328" s="140"/>
      <c r="O328" s="356">
        <f>IF(R325="","",IF(R325/1000&gt;=3,1,2))</f>
        <v>1</v>
      </c>
      <c r="P328" s="91" t="s">
        <v>353</v>
      </c>
      <c r="Y328" s="102"/>
    </row>
    <row r="329" spans="1:25" ht="14.1" customHeight="1" thickBot="1">
      <c r="A329" s="87">
        <v>41</v>
      </c>
      <c r="B329" s="138"/>
      <c r="C329" s="139"/>
      <c r="D329" s="139"/>
      <c r="E329" s="139"/>
      <c r="F329" s="139"/>
      <c r="G329" s="139"/>
      <c r="H329" s="139"/>
      <c r="I329" s="139"/>
      <c r="J329" s="139"/>
      <c r="K329" s="139"/>
      <c r="L329" s="139"/>
      <c r="M329" s="140"/>
      <c r="O329" s="110"/>
      <c r="P329" s="111"/>
      <c r="Q329" s="111"/>
      <c r="R329" s="111"/>
      <c r="S329" s="111"/>
      <c r="T329" s="111"/>
      <c r="U329" s="111"/>
      <c r="V329" s="111"/>
      <c r="W329" s="111"/>
      <c r="X329" s="111"/>
      <c r="Y329" s="112"/>
    </row>
    <row r="330" spans="1:25" ht="14.1" customHeight="1">
      <c r="A330" s="87">
        <v>42</v>
      </c>
      <c r="B330" s="138"/>
      <c r="C330" s="139"/>
      <c r="D330" s="139"/>
      <c r="E330" s="139"/>
      <c r="F330" s="139"/>
      <c r="G330" s="139"/>
      <c r="H330" s="139"/>
      <c r="I330" s="139"/>
      <c r="J330" s="139"/>
      <c r="K330" s="139"/>
      <c r="L330" s="139"/>
      <c r="M330" s="140"/>
      <c r="O330" s="210" t="s">
        <v>355</v>
      </c>
      <c r="P330" s="93"/>
      <c r="Q330" s="417">
        <v>1</v>
      </c>
      <c r="R330" s="93" t="s">
        <v>549</v>
      </c>
      <c r="S330" s="93"/>
      <c r="T330" s="93"/>
      <c r="U330" s="93"/>
      <c r="V330" s="93"/>
      <c r="W330" s="93"/>
      <c r="X330" s="93"/>
      <c r="Y330" s="94"/>
    </row>
    <row r="331" spans="1:25" ht="14.1" customHeight="1">
      <c r="A331" s="87">
        <v>43</v>
      </c>
      <c r="B331" s="138"/>
      <c r="C331" s="139"/>
      <c r="D331" s="139"/>
      <c r="E331" s="139"/>
      <c r="F331" s="139"/>
      <c r="G331" s="139"/>
      <c r="H331" s="139"/>
      <c r="I331" s="139"/>
      <c r="J331" s="139"/>
      <c r="K331" s="139"/>
      <c r="L331" s="139"/>
      <c r="M331" s="140"/>
      <c r="O331" s="100"/>
      <c r="P331" s="312" t="s">
        <v>71</v>
      </c>
      <c r="Q331" s="312" t="str">
        <f>AK12&amp;"/"&amp;AL12</f>
        <v>Mo/Mo</v>
      </c>
      <c r="R331" s="312" t="str">
        <f>AK24&amp;"/"&amp;AL24</f>
        <v>Mo/Mo</v>
      </c>
      <c r="S331" s="312" t="str">
        <f>AK32&amp;"/"&amp;AL32</f>
        <v>Mo/Rh</v>
      </c>
      <c r="T331" s="312" t="str">
        <f>AK39&amp;"/"&amp;AL39</f>
        <v>Mo/Rh</v>
      </c>
      <c r="U331" s="312" t="str">
        <f>AK47&amp;"/"&amp;AL47</f>
        <v>W/Rh</v>
      </c>
      <c r="V331" s="312" t="str">
        <f>AK56&amp;"/"&amp;AL56</f>
        <v>W/Rh</v>
      </c>
      <c r="W331" s="217"/>
      <c r="X331" s="284"/>
      <c r="Y331" s="102"/>
    </row>
    <row r="332" spans="1:25" ht="14.1" customHeight="1">
      <c r="A332" s="87">
        <v>44</v>
      </c>
      <c r="B332" s="138"/>
      <c r="C332" s="139"/>
      <c r="D332" s="139"/>
      <c r="E332" s="139"/>
      <c r="F332" s="139"/>
      <c r="G332" s="139"/>
      <c r="H332" s="139"/>
      <c r="I332" s="139"/>
      <c r="J332" s="139"/>
      <c r="K332" s="139"/>
      <c r="L332" s="139"/>
      <c r="M332" s="140"/>
      <c r="O332" s="100"/>
      <c r="P332" s="81" t="s">
        <v>269</v>
      </c>
      <c r="Q332" s="81">
        <f>AH12</f>
        <v>28</v>
      </c>
      <c r="R332" s="81">
        <f>AH24</f>
        <v>32</v>
      </c>
      <c r="S332" s="81">
        <f>AH32</f>
        <v>28</v>
      </c>
      <c r="T332" s="81">
        <f>AH39</f>
        <v>32</v>
      </c>
      <c r="U332" s="81">
        <f>AH47</f>
        <v>28</v>
      </c>
      <c r="V332" s="81">
        <f>AH56</f>
        <v>32</v>
      </c>
      <c r="W332" s="217"/>
      <c r="X332" s="284"/>
      <c r="Y332" s="102"/>
    </row>
    <row r="333" spans="1:25" ht="14.1" customHeight="1">
      <c r="A333" s="87">
        <v>45</v>
      </c>
      <c r="B333" s="138"/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40"/>
      <c r="O333" s="100"/>
      <c r="P333" s="181" t="s">
        <v>356</v>
      </c>
      <c r="Q333" s="701" t="s">
        <v>357</v>
      </c>
      <c r="R333" s="701"/>
      <c r="S333" s="701"/>
      <c r="T333" s="701"/>
      <c r="U333" s="701"/>
      <c r="V333" s="701"/>
      <c r="W333" s="403"/>
      <c r="X333" s="403"/>
      <c r="Y333" s="102"/>
    </row>
    <row r="334" spans="1:25" ht="14.1" customHeight="1">
      <c r="A334" s="87">
        <v>46</v>
      </c>
      <c r="B334" s="138"/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40"/>
      <c r="O334" s="100"/>
      <c r="P334" s="180">
        <v>0</v>
      </c>
      <c r="Q334" s="357">
        <f>IF(AO12="","",AO12)</f>
        <v>4.3674283775710725</v>
      </c>
      <c r="R334" s="357">
        <f>IF(AO24="","",AO24)</f>
        <v>6.4288276585437671</v>
      </c>
      <c r="S334" s="357">
        <f>IF(AO32="","",AO32)</f>
        <v>3.5208894828241402</v>
      </c>
      <c r="T334" s="357">
        <f>IF(AO39="","",AO39)</f>
        <v>5.3198718272417294</v>
      </c>
      <c r="U334" s="357">
        <f>IF(AO47="","",AO47)</f>
        <v>1.2977184192012217</v>
      </c>
      <c r="V334" s="357">
        <f>IF(AO56="","",AO56)</f>
        <v>1.7877585087608185</v>
      </c>
      <c r="W334" s="404"/>
      <c r="X334" s="405"/>
      <c r="Y334" s="102"/>
    </row>
    <row r="335" spans="1:25" ht="14.1" customHeight="1">
      <c r="A335" s="87">
        <v>47</v>
      </c>
      <c r="B335" s="138"/>
      <c r="C335" s="139"/>
      <c r="D335" s="139"/>
      <c r="E335" s="139"/>
      <c r="F335" s="139"/>
      <c r="G335" s="139"/>
      <c r="H335" s="139"/>
      <c r="I335" s="139"/>
      <c r="J335" s="139"/>
      <c r="K335" s="139"/>
      <c r="L335" s="139"/>
      <c r="M335" s="140"/>
      <c r="O335" s="100"/>
      <c r="P335" s="180">
        <v>0.3</v>
      </c>
      <c r="Q335" s="357">
        <f>IF(OR(AO16="",AO17=""),"",AVERAGE(AO16:AO17))</f>
        <v>2.5228292079059624</v>
      </c>
      <c r="R335" s="384"/>
      <c r="S335" s="384"/>
      <c r="T335" s="384"/>
      <c r="U335" s="393"/>
      <c r="V335" s="393"/>
      <c r="W335" s="406"/>
      <c r="X335" s="407"/>
      <c r="Y335" s="102"/>
    </row>
    <row r="336" spans="1:25" ht="14.1" customHeight="1">
      <c r="A336" s="87">
        <v>48</v>
      </c>
      <c r="B336" s="138"/>
      <c r="C336" s="139"/>
      <c r="D336" s="139"/>
      <c r="E336" s="139"/>
      <c r="F336" s="139"/>
      <c r="G336" s="139"/>
      <c r="H336" s="139"/>
      <c r="I336" s="139"/>
      <c r="J336" s="139"/>
      <c r="K336" s="139"/>
      <c r="L336" s="139"/>
      <c r="M336" s="140"/>
      <c r="O336" s="100"/>
      <c r="P336" s="180">
        <v>0.4</v>
      </c>
      <c r="Q336" s="336">
        <f>IF(OR(AO18="",AO19=""),"",AVERAGE(AO18:AO19))</f>
        <v>2.1348566428075015</v>
      </c>
      <c r="R336" s="357">
        <f>IF(OR(AO26="",AO27=""),"",AVERAGE(AO26:AO27))</f>
        <v>3.3078083168718506</v>
      </c>
      <c r="S336" s="357">
        <f>IF(OR(AO34="",AO35=""),"",AVERAGE(AO34:AO35))</f>
        <v>1.8666658393131028</v>
      </c>
      <c r="T336" s="357">
        <f>IF(OR(AO41="",AO42=""),"",AVERAGE(AO41:AO42))</f>
        <v>2.9316636536018983</v>
      </c>
      <c r="U336" s="384"/>
      <c r="V336" s="384"/>
      <c r="W336" s="404"/>
      <c r="X336" s="405"/>
      <c r="Y336" s="102"/>
    </row>
    <row r="337" spans="1:25" ht="14.1" customHeight="1">
      <c r="A337" s="87">
        <v>49</v>
      </c>
      <c r="B337" s="138"/>
      <c r="M337" s="140"/>
      <c r="O337" s="100"/>
      <c r="P337" s="359">
        <v>0.5</v>
      </c>
      <c r="Q337" s="391"/>
      <c r="R337" s="385">
        <f>IF(OR(AO28="",AO29=""),"",AVERAGE(AO28:AO29))</f>
        <v>2.8523743852620376</v>
      </c>
      <c r="S337" s="385">
        <f>IF(OR(AO36="",AO37=""),"",AVERAGE(AO36:AO37))</f>
        <v>1.6170093827243441</v>
      </c>
      <c r="T337" s="385">
        <f>IF(OR(AO43="",AO44=""),"",AVERAGE(AO43:AO44))</f>
        <v>2.5561012582335945</v>
      </c>
      <c r="U337" s="360">
        <f>IF(OR(AO51="",AO52=""),"",AVERAGE(AO51:AO52))</f>
        <v>0.69854535730547496</v>
      </c>
      <c r="V337" s="384"/>
      <c r="W337" s="404"/>
      <c r="X337" s="405"/>
      <c r="Y337" s="102"/>
    </row>
    <row r="338" spans="1:25" ht="14.1" customHeight="1">
      <c r="A338" s="87">
        <v>50</v>
      </c>
      <c r="B338" s="138"/>
      <c r="M338" s="140"/>
      <c r="O338" s="100"/>
      <c r="P338" s="389">
        <v>0.6</v>
      </c>
      <c r="Q338" s="392"/>
      <c r="R338" s="392"/>
      <c r="S338" s="392"/>
      <c r="T338" s="392"/>
      <c r="U338" s="390">
        <f>IF(OR(AO53="",AO54=""),"",AVERAGE(AO53:AO54))</f>
        <v>0.62337913814079959</v>
      </c>
      <c r="V338" s="390">
        <f>IF(OR(AO58="",AO59=""),"",AVERAGE(AO58:AO59))</f>
        <v>0.89611374422920886</v>
      </c>
      <c r="W338" s="408"/>
      <c r="X338" s="407"/>
      <c r="Y338" s="102"/>
    </row>
    <row r="339" spans="1:25" ht="14.1" customHeight="1">
      <c r="A339" s="87">
        <v>51</v>
      </c>
      <c r="B339" s="138"/>
      <c r="M339" s="140"/>
      <c r="O339" s="100"/>
      <c r="P339" s="389">
        <v>0.7</v>
      </c>
      <c r="Q339" s="392"/>
      <c r="R339" s="392"/>
      <c r="S339" s="392"/>
      <c r="T339" s="392"/>
      <c r="U339" s="392"/>
      <c r="V339" s="390">
        <f>IF(OR(AO60="",AO61=""),"",AVERAGE(AO60:AO61))</f>
        <v>0.80967029701921633</v>
      </c>
      <c r="W339" s="408"/>
      <c r="X339" s="407"/>
      <c r="Y339" s="102"/>
    </row>
    <row r="340" spans="1:25" ht="14.1" customHeight="1">
      <c r="A340" s="87">
        <v>52</v>
      </c>
      <c r="B340" s="138"/>
      <c r="M340" s="140"/>
      <c r="O340" s="100"/>
      <c r="P340" s="386">
        <v>0</v>
      </c>
      <c r="Q340" s="387">
        <f>IF(AO13="","",AO13)</f>
        <v>4.3695605960882729</v>
      </c>
      <c r="R340" s="387">
        <f>IF(AO25="","",AO25)</f>
        <v>6.4326828765200483</v>
      </c>
      <c r="S340" s="387">
        <f>IF(AO33="","",AO33)</f>
        <v>3.5217951140207329</v>
      </c>
      <c r="T340" s="387">
        <f>IF(AO40="","",AO40)</f>
        <v>5.3188816775991459</v>
      </c>
      <c r="U340" s="387">
        <f>IF(AO48="","",AO48)</f>
        <v>1.2968506340809187</v>
      </c>
      <c r="V340" s="388">
        <f>IF(AO57="","",AO57)</f>
        <v>1.7866348948633326</v>
      </c>
      <c r="W340" s="404"/>
      <c r="X340" s="405"/>
      <c r="Y340" s="102"/>
    </row>
    <row r="341" spans="1:25" ht="14.1" customHeight="1">
      <c r="A341" s="87">
        <v>53</v>
      </c>
      <c r="B341" s="138"/>
      <c r="M341" s="140"/>
      <c r="O341" s="100"/>
      <c r="P341" s="81" t="s">
        <v>358</v>
      </c>
      <c r="Q341" s="82">
        <f>IF(OR(Q335="",Q336=""),"",($P$336*LN(2*Q335/AVERAGE(Q334,Q340))-($P$335*LN(2*Q336/AVERAGE(Q334,Q340))))/LN(Q335/Q336))</f>
        <v>0.38630281595542537</v>
      </c>
      <c r="R341" s="82">
        <f>IF(OR(R336="",R337=""),"",($P$337*LN(2*R336/AVERAGE(R334,R340))-($P$336*LN(2*R337/AVERAGE(R334,R340))))/LN(R336/R337))</f>
        <v>0.41913200680196</v>
      </c>
      <c r="S341" s="82">
        <f>IF(OR(S336="",S337=""),"",($P$337*LN(2*S336/AVERAGE(S334,S340))-($P$336*LN(2*S337/AVERAGE(S334,S340))))/LN(S336/S337))</f>
        <v>0.44071641870962269</v>
      </c>
      <c r="T341" s="82">
        <f>IF(OR(T336="",T337=""),"",($P$337*LN(2*T336/AVERAGE(T334,T340))-($P$336*LN(2*T337/AVERAGE(T334,T340))))/LN(T336/T337))</f>
        <v>0.47102144000097945</v>
      </c>
      <c r="U341" s="82">
        <f>IF(OR(U337="",U338=""),"",($P$338*LN(2*U337/AVERAGE(U334,U340))-($P$337*LN(2*U338/AVERAGE(U334,U340))))/LN(U337/U338))</f>
        <v>0.56510485549154887</v>
      </c>
      <c r="V341" s="82">
        <f>IF(OR(V338="",V339=""),"",($P$339*LN(2*V338/AVERAGE(V334,V340))-($P$338*LN(2*V339/AVERAGE(V334,V340))))/LN(V338/V339))</f>
        <v>0.60277104001797266</v>
      </c>
      <c r="W341" s="409"/>
      <c r="X341" s="410"/>
      <c r="Y341" s="102"/>
    </row>
    <row r="342" spans="1:25" ht="14.1" customHeight="1" thickBot="1">
      <c r="A342" s="87">
        <v>54</v>
      </c>
      <c r="B342" s="138"/>
      <c r="C342" s="220" t="s">
        <v>343</v>
      </c>
      <c r="D342" s="139"/>
      <c r="E342" s="139"/>
      <c r="F342" s="139"/>
      <c r="G342" s="139"/>
      <c r="H342" s="139"/>
      <c r="I342" s="139"/>
      <c r="J342" s="139"/>
      <c r="K342" s="139"/>
      <c r="L342" s="139"/>
      <c r="M342" s="140"/>
      <c r="O342" s="100"/>
      <c r="P342" s="81" t="s">
        <v>359</v>
      </c>
      <c r="Q342" s="256">
        <f t="shared" ref="Q342:V342" si="28">IF(OR(Q334="",Q340=""),"",ABS(Q340-Q334)/Q334)</f>
        <v>4.8820915487712743E-4</v>
      </c>
      <c r="R342" s="256">
        <f t="shared" si="28"/>
        <v>5.9967667217796557E-4</v>
      </c>
      <c r="S342" s="256">
        <f t="shared" si="28"/>
        <v>2.5721659285547603E-4</v>
      </c>
      <c r="T342" s="256">
        <f t="shared" si="28"/>
        <v>1.861228380565814E-4</v>
      </c>
      <c r="U342" s="256">
        <f t="shared" si="28"/>
        <v>6.6870062677933453E-4</v>
      </c>
      <c r="V342" s="256">
        <f t="shared" si="28"/>
        <v>6.285042929342694E-4</v>
      </c>
      <c r="W342" s="411"/>
      <c r="X342" s="412"/>
      <c r="Y342" s="102"/>
    </row>
    <row r="343" spans="1:25" ht="14.1" customHeight="1">
      <c r="A343" s="87">
        <v>55</v>
      </c>
      <c r="B343" s="138"/>
      <c r="C343" s="237"/>
      <c r="D343" s="432" t="s">
        <v>95</v>
      </c>
      <c r="E343" s="433" t="str">
        <f>Q305</f>
        <v>Mo/Mo</v>
      </c>
      <c r="F343" s="572" t="s">
        <v>173</v>
      </c>
      <c r="G343" s="578">
        <f>S305</f>
        <v>28</v>
      </c>
      <c r="H343" s="94"/>
      <c r="I343" s="432" t="s">
        <v>95</v>
      </c>
      <c r="J343" s="433" t="str">
        <f>V305</f>
        <v>W/Rh</v>
      </c>
      <c r="K343" s="434" t="s">
        <v>173</v>
      </c>
      <c r="L343" s="619">
        <f>X305</f>
        <v>28</v>
      </c>
      <c r="M343" s="594"/>
      <c r="O343" s="100"/>
      <c r="P343" s="81" t="s">
        <v>360</v>
      </c>
      <c r="Q343" s="362">
        <f>IF($Q$330=1,Q332/100+0.03,Q332/100)</f>
        <v>0.31000000000000005</v>
      </c>
      <c r="R343" s="362">
        <f>IF($Q$330=1,R332/100+0.03,R332/100)</f>
        <v>0.35</v>
      </c>
      <c r="S343" s="362">
        <f>IF($Q$330=1,S332/100+0.03,S332/100)</f>
        <v>0.31000000000000005</v>
      </c>
      <c r="T343" s="362">
        <f>IF($Q$330=1,T332/100+0.03,T332/100)</f>
        <v>0.35</v>
      </c>
      <c r="U343" s="362">
        <f>IF($B$175=1,U332/100+0.03,U332/100)</f>
        <v>0.28000000000000003</v>
      </c>
      <c r="V343" s="362">
        <f>IF($B$175=1,V332/100+0.03,V332/100)</f>
        <v>0.32</v>
      </c>
      <c r="W343" s="413"/>
      <c r="X343" s="414"/>
      <c r="Y343" s="102"/>
    </row>
    <row r="344" spans="1:25" ht="14.1" customHeight="1">
      <c r="A344" s="87">
        <v>56</v>
      </c>
      <c r="B344" s="138"/>
      <c r="C344" s="237"/>
      <c r="D344" s="584"/>
      <c r="E344" s="139"/>
      <c r="F344" s="237" t="s">
        <v>219</v>
      </c>
      <c r="G344" s="420">
        <f>S306</f>
        <v>50</v>
      </c>
      <c r="H344" s="285"/>
      <c r="I344" s="139"/>
      <c r="J344" s="139"/>
      <c r="K344" s="237" t="s">
        <v>219</v>
      </c>
      <c r="L344" s="420">
        <f>X306</f>
        <v>50</v>
      </c>
      <c r="M344" s="140"/>
      <c r="O344" s="100"/>
      <c r="P344" s="363" t="s">
        <v>361</v>
      </c>
      <c r="Q344" s="362">
        <f>Q332/100+0.12</f>
        <v>0.4</v>
      </c>
      <c r="R344" s="362">
        <f>R332/100+0.12</f>
        <v>0.44</v>
      </c>
      <c r="S344" s="362">
        <f>S332/100+0.19</f>
        <v>0.47000000000000003</v>
      </c>
      <c r="T344" s="362">
        <f>T332/100+0.19</f>
        <v>0.51</v>
      </c>
      <c r="U344" s="362"/>
      <c r="V344" s="362"/>
      <c r="W344" s="413"/>
      <c r="X344" s="414"/>
      <c r="Y344" s="102"/>
    </row>
    <row r="345" spans="1:25" ht="14.1" customHeight="1" thickBot="1">
      <c r="A345" s="87">
        <v>57</v>
      </c>
      <c r="B345" s="138"/>
      <c r="C345" s="181"/>
      <c r="D345" s="440" t="s">
        <v>25</v>
      </c>
      <c r="E345" s="441" t="s">
        <v>26</v>
      </c>
      <c r="F345" s="441" t="s">
        <v>27</v>
      </c>
      <c r="G345" s="441" t="s">
        <v>338</v>
      </c>
      <c r="H345" s="442" t="s">
        <v>339</v>
      </c>
      <c r="I345" s="440" t="s">
        <v>25</v>
      </c>
      <c r="J345" s="441" t="s">
        <v>26</v>
      </c>
      <c r="K345" s="441" t="s">
        <v>27</v>
      </c>
      <c r="L345" s="441" t="s">
        <v>338</v>
      </c>
      <c r="M345" s="595" t="s">
        <v>339</v>
      </c>
      <c r="O345" s="100"/>
      <c r="P345" s="364"/>
      <c r="Q345" s="365" t="str">
        <f>IF(Q341="","",IF(AND(Q341&gt;=Q343,Q341&lt;=Q344),"Pass","Fail"))</f>
        <v>Pass</v>
      </c>
      <c r="R345" s="365" t="str">
        <f>IF(R341="","",IF(AND(R341&gt;=R343,R341&lt;=R344),"Pass","Fail"))</f>
        <v>Pass</v>
      </c>
      <c r="S345" s="365" t="str">
        <f>IF(S341="","",IF(AND(S341&gt;=S343,S341&lt;=S344),"Pass","Fail"))</f>
        <v>Pass</v>
      </c>
      <c r="T345" s="365" t="str">
        <f>IF(T341="","",IF(AND(T341&gt;=T343,T341&lt;=T344),"Pass","Fail"))</f>
        <v>Pass</v>
      </c>
      <c r="U345" s="365" t="str">
        <f>IF(U341="","",IF(U341&gt;=U343,"Pass","Fail"))</f>
        <v>Pass</v>
      </c>
      <c r="V345" s="365" t="str">
        <f>IF(V341="","",IF(V341&gt;=V343,"Pass","Fail"))</f>
        <v>Pass</v>
      </c>
      <c r="W345" s="217"/>
      <c r="X345" s="284"/>
      <c r="Y345" s="313"/>
    </row>
    <row r="346" spans="1:25" ht="14.1" customHeight="1" thickBot="1">
      <c r="A346" s="87">
        <v>58</v>
      </c>
      <c r="B346" s="138"/>
      <c r="C346" s="181"/>
      <c r="D346" s="577">
        <f>IF(P308="","",P308)</f>
        <v>28.695768356323242</v>
      </c>
      <c r="E346" s="566">
        <f>IF(Q308="","",Q308)</f>
        <v>499.95989990234375</v>
      </c>
      <c r="F346" s="566">
        <f>IF(R308="","",R308)</f>
        <v>4.3674283775710725</v>
      </c>
      <c r="G346" s="567">
        <f>IF(S308="","",S308)</f>
        <v>8.7348567551421452E-2</v>
      </c>
      <c r="H346" s="579">
        <f>IF(T308="","",T308)</f>
        <v>8.7355573485476619</v>
      </c>
      <c r="I346" s="582">
        <f>IF(U308="","",U308)</f>
        <v>29.9244384765625</v>
      </c>
      <c r="J346" s="557">
        <f>IF(V308="","",V308)</f>
        <v>498.44290161132812</v>
      </c>
      <c r="K346" s="557">
        <f>IF(W308="","",W308)</f>
        <v>1.2977184192012217</v>
      </c>
      <c r="L346" s="558">
        <f>IF(X308="","",X308)</f>
        <v>2.5954368384024432E-2</v>
      </c>
      <c r="M346" s="596">
        <f>IF(Y308="","",Y308)</f>
        <v>2.6035447891946233</v>
      </c>
      <c r="O346" s="110"/>
      <c r="P346" s="187" t="s">
        <v>204</v>
      </c>
      <c r="Q346" s="266" t="s">
        <v>362</v>
      </c>
      <c r="R346" s="23"/>
      <c r="S346" s="23"/>
      <c r="T346" s="23"/>
      <c r="U346" s="23"/>
      <c r="V346" s="23"/>
      <c r="W346" s="23"/>
      <c r="X346" s="23"/>
      <c r="Y346" s="112"/>
    </row>
    <row r="347" spans="1:25" ht="14.1" customHeight="1">
      <c r="A347" s="87">
        <v>59</v>
      </c>
      <c r="B347" s="138"/>
      <c r="C347" s="181"/>
      <c r="D347" s="573">
        <f>IF(P309="","",P309)</f>
        <v>28.642902374267578</v>
      </c>
      <c r="E347" s="399">
        <f>IF(Q309="","",Q309)</f>
        <v>501.97491455078125</v>
      </c>
      <c r="F347" s="399">
        <f>IF(R309="","",R309)</f>
        <v>4.3695605960882729</v>
      </c>
      <c r="G347" s="390">
        <f>IF(S309="","",S309)</f>
        <v>8.7391211921765452E-2</v>
      </c>
      <c r="H347" s="580">
        <f>IF(T309="","",T309)</f>
        <v>8.7047389609072496</v>
      </c>
      <c r="I347" s="573">
        <f>IF(U309="","",U309)</f>
        <v>29.957025527954102</v>
      </c>
      <c r="J347" s="399">
        <f>IF(V309="","",V309)</f>
        <v>719.70281982421875</v>
      </c>
      <c r="K347" s="399">
        <f>IF(W309="","",W309)</f>
        <v>1.2968506340809187</v>
      </c>
      <c r="L347" s="390">
        <f>IF(X309="","",X309)</f>
        <v>2.5937012681618375E-2</v>
      </c>
      <c r="M347" s="597">
        <f>IF(Y309="","",Y309)</f>
        <v>1.8019251812819954</v>
      </c>
      <c r="O347" s="210" t="s">
        <v>325</v>
      </c>
      <c r="P347" s="93"/>
      <c r="Q347" s="93"/>
      <c r="R347" s="93"/>
      <c r="S347" s="93"/>
      <c r="T347" s="93"/>
      <c r="U347" s="93"/>
      <c r="V347" s="93"/>
      <c r="W347" s="93"/>
      <c r="X347" s="93"/>
      <c r="Y347" s="94"/>
    </row>
    <row r="348" spans="1:25" ht="14.1" customHeight="1">
      <c r="A348" s="87">
        <v>60</v>
      </c>
      <c r="B348" s="138"/>
      <c r="C348" s="181"/>
      <c r="D348" s="573">
        <f>IF(P310="","",P310)</f>
        <v>28.735700607299805</v>
      </c>
      <c r="E348" s="399">
        <f>IF(Q310="","",Q310)</f>
        <v>725.24920654296875</v>
      </c>
      <c r="F348" s="399">
        <f>IF(R310="","",R310)</f>
        <v>4.3617308714429504</v>
      </c>
      <c r="G348" s="390">
        <f>IF(S310="","",S310)</f>
        <v>8.7234617428859004E-2</v>
      </c>
      <c r="H348" s="580">
        <f>IF(T310="","",T310)</f>
        <v>6.0141132621625717</v>
      </c>
      <c r="I348" s="573">
        <f>IF(U310="","",U310)</f>
        <v>29.957025527954102</v>
      </c>
      <c r="J348" s="399">
        <f>IF(V310="","",V310)</f>
        <v>719.70281982421875</v>
      </c>
      <c r="K348" s="399">
        <f>IF(W310="","",W310)</f>
        <v>1.2968506340809187</v>
      </c>
      <c r="L348" s="390">
        <f>IF(X310="","",X310)</f>
        <v>2.5937012681618375E-2</v>
      </c>
      <c r="M348" s="597">
        <f>IF(Y310="","",Y310)</f>
        <v>1.8019251812819954</v>
      </c>
      <c r="O348" s="366" t="s">
        <v>326</v>
      </c>
      <c r="P348" s="105" t="s">
        <v>44</v>
      </c>
      <c r="Q348" s="344" t="s">
        <v>543</v>
      </c>
      <c r="R348" s="105" t="s">
        <v>340</v>
      </c>
      <c r="S348" s="344">
        <v>58556570</v>
      </c>
      <c r="U348" s="105" t="s">
        <v>363</v>
      </c>
      <c r="V348" s="344" t="s">
        <v>544</v>
      </c>
      <c r="Y348" s="102"/>
    </row>
    <row r="349" spans="1:25" ht="14.1" customHeight="1" thickBot="1">
      <c r="A349" s="87">
        <v>61</v>
      </c>
      <c r="B349" s="138"/>
      <c r="C349" s="181"/>
      <c r="D349" s="575">
        <f>IF(P311="","",P311)</f>
        <v>28.678216934204102</v>
      </c>
      <c r="E349" s="564">
        <f>IF(Q311="","",Q311)</f>
        <v>727.2587890625</v>
      </c>
      <c r="F349" s="564">
        <f>IF(R311="","",R311)</f>
        <v>4.3670988626170848</v>
      </c>
      <c r="G349" s="565">
        <f>IF(S311="","",S311)</f>
        <v>8.734197725234169E-2</v>
      </c>
      <c r="H349" s="581">
        <f>IF(T311="","",T311)</f>
        <v>6.0048760197819764</v>
      </c>
      <c r="I349" s="575">
        <f>IF(U311="","",U311)</f>
        <v>29.957025527954102</v>
      </c>
      <c r="J349" s="564">
        <f>IF(V311="","",V311)</f>
        <v>719.70281982421875</v>
      </c>
      <c r="K349" s="564">
        <f>IF(W311="","",W311)</f>
        <v>1.2968506340809187</v>
      </c>
      <c r="L349" s="565">
        <f>IF(X311="","",X311)</f>
        <v>2.5937012681618375E-2</v>
      </c>
      <c r="M349" s="598">
        <f>IF(Y311="","",Y311)</f>
        <v>1.8019251812819954</v>
      </c>
      <c r="O349" s="100"/>
      <c r="Y349" s="102"/>
    </row>
    <row r="350" spans="1:25" ht="14.1" customHeight="1">
      <c r="A350" s="87">
        <v>62</v>
      </c>
      <c r="B350" s="138"/>
      <c r="C350" s="237" t="s">
        <v>210</v>
      </c>
      <c r="D350" s="577">
        <f>IF(P312="","",P312)</f>
        <v>28.688147068023682</v>
      </c>
      <c r="E350" s="566">
        <f>IF(Q312="","",Q312)</f>
        <v>613.61070251464844</v>
      </c>
      <c r="F350" s="566">
        <f>IF(R312="","",R312)</f>
        <v>4.3664546769298447</v>
      </c>
      <c r="G350" s="567">
        <f>IF(S312="","",S312)</f>
        <v>8.7329093538596914E-2</v>
      </c>
      <c r="H350" s="579">
        <f>IF(T312="","",T312)</f>
        <v>7.3648213978498642</v>
      </c>
      <c r="I350" s="577">
        <f>IF(U312="","",U312)</f>
        <v>29.948878765106201</v>
      </c>
      <c r="J350" s="566">
        <f>IF(V312="","",V312)</f>
        <v>664.38784027099609</v>
      </c>
      <c r="K350" s="566">
        <f>IF(W312="","",W312)</f>
        <v>1.2970675803609943</v>
      </c>
      <c r="L350" s="567">
        <f>IF(X312="","",X312)</f>
        <v>2.5941351607219894E-2</v>
      </c>
      <c r="M350" s="599">
        <f>IF(Y312="","",Y312)</f>
        <v>2.0023300832601523</v>
      </c>
      <c r="O350" s="100"/>
      <c r="P350" s="105"/>
      <c r="R350" s="91" t="s">
        <v>322</v>
      </c>
      <c r="V350" s="91" t="s">
        <v>322</v>
      </c>
      <c r="Y350" s="102"/>
    </row>
    <row r="351" spans="1:25" ht="14.1" customHeight="1">
      <c r="A351" s="87">
        <v>63</v>
      </c>
      <c r="B351" s="138"/>
      <c r="C351" s="237" t="s">
        <v>344</v>
      </c>
      <c r="D351" s="573">
        <f>IF(P313="","",P313)</f>
        <v>3.8579411624116974E-2</v>
      </c>
      <c r="E351" s="399">
        <f>IF(Q313="","",Q313)</f>
        <v>130.07446232370623</v>
      </c>
      <c r="F351" s="399">
        <f>IF(R313="","",R313)</f>
        <v>3.3328736467237302E-3</v>
      </c>
      <c r="G351" s="390">
        <f>IF(S313="","",S313)</f>
        <v>6.6657472934474212E-5</v>
      </c>
      <c r="H351" s="580">
        <f>IF(T313="","",T313)</f>
        <v>1.5650516521258018</v>
      </c>
      <c r="I351" s="573">
        <f>IF(U313="","",U313)</f>
        <v>1.6293525695800781E-2</v>
      </c>
      <c r="J351" s="399">
        <f>IF(V313="","",V313)</f>
        <v>110.62995910644531</v>
      </c>
      <c r="K351" s="399">
        <f>IF(W313="","",W313)</f>
        <v>4.3389256015147209E-4</v>
      </c>
      <c r="L351" s="390">
        <f>IF(X313="","",X313)</f>
        <v>8.6778512030285404E-6</v>
      </c>
      <c r="M351" s="597">
        <f>IF(Y313="","",Y313)</f>
        <v>0.4008098039563136</v>
      </c>
      <c r="O351" s="100"/>
      <c r="P351" s="105" t="s">
        <v>173</v>
      </c>
      <c r="Q351" s="219">
        <v>28</v>
      </c>
      <c r="R351" s="196" t="str">
        <f t="shared" ref="R351:R356" si="29">IF(AB91="","",AB91)</f>
        <v/>
      </c>
      <c r="T351" s="105" t="s">
        <v>187</v>
      </c>
      <c r="U351" s="219">
        <v>5</v>
      </c>
      <c r="V351" s="196" t="str">
        <f>IF(AB97="","",AB97)</f>
        <v/>
      </c>
      <c r="Y351" s="102"/>
    </row>
    <row r="352" spans="1:25" ht="14.1" customHeight="1" thickBot="1">
      <c r="A352" s="87">
        <v>64</v>
      </c>
      <c r="B352" s="138"/>
      <c r="C352" s="430" t="s">
        <v>274</v>
      </c>
      <c r="D352" s="525">
        <f>IF(P314="","",P314)</f>
        <v>1.3447857588236598E-3</v>
      </c>
      <c r="E352" s="593"/>
      <c r="F352" s="526">
        <f>IF(R314="","",R314)</f>
        <v>7.632905625547798E-4</v>
      </c>
      <c r="G352" s="526">
        <f>IF(S314="","",S314)</f>
        <v>7.6329056255477503E-4</v>
      </c>
      <c r="H352" s="592"/>
      <c r="I352" s="525">
        <f>IF(U314="","",U314)</f>
        <v>5.4404459758221617E-4</v>
      </c>
      <c r="J352" s="593"/>
      <c r="K352" s="526">
        <f>IF(W314="","",W314)</f>
        <v>3.3451808272835944E-4</v>
      </c>
      <c r="L352" s="526">
        <f>IF(X314="","",X314)</f>
        <v>3.3451808272832458E-4</v>
      </c>
      <c r="M352" s="600"/>
      <c r="O352" s="100"/>
      <c r="P352" s="105" t="s">
        <v>176</v>
      </c>
      <c r="Q352" s="219">
        <v>116.3</v>
      </c>
      <c r="R352" s="196" t="str">
        <f t="shared" si="29"/>
        <v/>
      </c>
      <c r="T352" s="105" t="s">
        <v>189</v>
      </c>
      <c r="U352" s="219">
        <v>4</v>
      </c>
      <c r="V352" s="196" t="str">
        <f>IF(AB98="","",AB98)</f>
        <v/>
      </c>
      <c r="Y352" s="102"/>
    </row>
    <row r="353" spans="1:25" ht="14.1" customHeight="1" thickBot="1">
      <c r="A353" s="87">
        <v>65</v>
      </c>
      <c r="B353" s="138"/>
      <c r="C353" s="237"/>
      <c r="D353" s="446"/>
      <c r="E353" s="446"/>
      <c r="F353" s="446"/>
      <c r="G353" s="591" t="s">
        <v>576</v>
      </c>
      <c r="H353" s="491" t="str">
        <f>IF(H350&gt;7,"Pass","Fail")</f>
        <v>Pass</v>
      </c>
      <c r="I353" s="139"/>
      <c r="J353" s="139"/>
      <c r="K353" s="139"/>
      <c r="L353" s="237" t="s">
        <v>577</v>
      </c>
      <c r="M353" s="601" t="str">
        <f>IF(M350&gt;2,"Pass","Fail")</f>
        <v>Pass</v>
      </c>
      <c r="O353" s="100"/>
      <c r="P353" s="105" t="s">
        <v>332</v>
      </c>
      <c r="Q353" s="219">
        <v>1.76</v>
      </c>
      <c r="R353" s="196" t="str">
        <f t="shared" si="29"/>
        <v/>
      </c>
      <c r="T353" s="105" t="s">
        <v>191</v>
      </c>
      <c r="U353" s="219">
        <v>4</v>
      </c>
      <c r="V353" s="196" t="str">
        <f>IF(AB99="","",AB99)</f>
        <v/>
      </c>
      <c r="Y353" s="102"/>
    </row>
    <row r="354" spans="1:25" ht="14.1" customHeight="1" thickBot="1">
      <c r="A354" s="87">
        <v>66</v>
      </c>
      <c r="B354" s="138"/>
      <c r="C354" s="237"/>
      <c r="D354" s="139"/>
      <c r="E354" s="139"/>
      <c r="F354" s="181"/>
      <c r="G354" s="181"/>
      <c r="H354" s="139"/>
      <c r="I354" s="139"/>
      <c r="J354" s="139"/>
      <c r="K354" s="139"/>
      <c r="L354" s="139"/>
      <c r="M354" s="140"/>
      <c r="O354" s="100"/>
      <c r="P354" s="105" t="s">
        <v>182</v>
      </c>
      <c r="Q354" s="219">
        <v>1.1299999999999999</v>
      </c>
      <c r="R354" s="196" t="str">
        <f t="shared" si="29"/>
        <v/>
      </c>
      <c r="T354" s="105" t="s">
        <v>218</v>
      </c>
      <c r="U354" s="218" t="str">
        <f>IF(OR(U351="",U352="",U353=""),"",IF(AND(U351&gt;=5,U352&gt;=4,U353&gt;=4),"Pass","Fail"))</f>
        <v>Pass</v>
      </c>
      <c r="Y354" s="102"/>
    </row>
    <row r="355" spans="1:25" ht="14.1" customHeight="1">
      <c r="A355" s="87">
        <v>67</v>
      </c>
      <c r="B355" s="138"/>
      <c r="C355" s="139"/>
      <c r="D355" s="14" t="s">
        <v>204</v>
      </c>
      <c r="E355" s="175" t="s">
        <v>347</v>
      </c>
      <c r="F355" s="139"/>
      <c r="G355" s="139"/>
      <c r="H355" s="139"/>
      <c r="I355" s="139"/>
      <c r="J355" s="139"/>
      <c r="K355" s="139"/>
      <c r="L355" s="139"/>
      <c r="M355" s="140"/>
      <c r="O355" s="100"/>
      <c r="P355" s="105" t="s">
        <v>184</v>
      </c>
      <c r="Q355" s="219">
        <v>1.82</v>
      </c>
      <c r="R355" s="196" t="str">
        <f t="shared" si="29"/>
        <v/>
      </c>
      <c r="T355" s="187" t="s">
        <v>204</v>
      </c>
      <c r="U355" s="212" t="s">
        <v>364</v>
      </c>
      <c r="Y355" s="102"/>
    </row>
    <row r="356" spans="1:25" ht="14.1" customHeight="1">
      <c r="A356" s="87">
        <v>68</v>
      </c>
      <c r="B356" s="138"/>
      <c r="C356" s="139"/>
      <c r="D356" s="139"/>
      <c r="E356" s="175" t="s">
        <v>348</v>
      </c>
      <c r="F356" s="139"/>
      <c r="G356" s="139"/>
      <c r="H356" s="139"/>
      <c r="I356" s="139"/>
      <c r="J356" s="139"/>
      <c r="K356" s="139"/>
      <c r="L356" s="139"/>
      <c r="M356" s="140"/>
      <c r="O356" s="100"/>
      <c r="P356" s="105" t="s">
        <v>185</v>
      </c>
      <c r="Q356" s="86">
        <f>IF(OR(Q354="",Q355=""),"",Q355-Q354)</f>
        <v>0.69000000000000017</v>
      </c>
      <c r="R356" s="196" t="str">
        <f t="shared" si="29"/>
        <v/>
      </c>
      <c r="Y356" s="102"/>
    </row>
    <row r="357" spans="1:25" ht="14.1" customHeight="1">
      <c r="A357" s="87">
        <v>69</v>
      </c>
      <c r="B357" s="138"/>
      <c r="C357" s="139"/>
      <c r="D357" s="139"/>
      <c r="E357" s="175" t="s">
        <v>349</v>
      </c>
      <c r="F357" s="139"/>
      <c r="G357" s="139"/>
      <c r="H357" s="139"/>
      <c r="I357" s="139"/>
      <c r="J357" s="139"/>
      <c r="K357" s="139"/>
      <c r="L357" s="139"/>
      <c r="M357" s="140"/>
      <c r="O357" s="100"/>
      <c r="Y357" s="102"/>
    </row>
    <row r="358" spans="1:25" ht="14.1" customHeight="1" thickBot="1">
      <c r="A358" s="87">
        <v>70</v>
      </c>
      <c r="B358" s="151"/>
      <c r="C358" s="152"/>
      <c r="D358" s="152"/>
      <c r="E358" s="152"/>
      <c r="F358" s="152"/>
      <c r="G358" s="152"/>
      <c r="H358" s="152"/>
      <c r="I358" s="152"/>
      <c r="J358" s="152"/>
      <c r="K358" s="152"/>
      <c r="L358" s="152"/>
      <c r="M358" s="153"/>
      <c r="O358" s="366" t="s">
        <v>365</v>
      </c>
      <c r="Y358" s="102"/>
    </row>
    <row r="359" spans="1:25" ht="14.1" customHeight="1" thickTop="1">
      <c r="A359" s="87">
        <v>71</v>
      </c>
      <c r="C359" s="183" t="s">
        <v>11</v>
      </c>
      <c r="D359" s="489">
        <f>IF($P$7="","",$P$7)</f>
        <v>42178</v>
      </c>
      <c r="E359" s="97"/>
      <c r="F359" s="97"/>
      <c r="G359" s="97"/>
      <c r="H359" s="97"/>
      <c r="I359" s="97"/>
      <c r="J359" s="97"/>
      <c r="K359" s="97"/>
      <c r="L359" s="183" t="s">
        <v>12</v>
      </c>
      <c r="M359" s="490" t="str">
        <f>IF($X$7="","",$X$7)</f>
        <v>Eugene Mah</v>
      </c>
      <c r="O359" s="100"/>
      <c r="Q359" s="105" t="s">
        <v>330</v>
      </c>
      <c r="R359" s="344" t="s">
        <v>545</v>
      </c>
      <c r="U359" s="105" t="s">
        <v>330</v>
      </c>
      <c r="V359" s="344"/>
      <c r="Y359" s="102"/>
    </row>
    <row r="360" spans="1:25" ht="14.1" customHeight="1" thickBot="1">
      <c r="A360" s="87">
        <v>72</v>
      </c>
      <c r="C360" s="183" t="s">
        <v>121</v>
      </c>
      <c r="D360" s="620" t="str">
        <f>IF($R$14="","",$R$14)</f>
        <v>1C10</v>
      </c>
      <c r="E360" s="97"/>
      <c r="F360" s="97"/>
      <c r="G360" s="97"/>
      <c r="H360" s="97"/>
      <c r="I360" s="97"/>
      <c r="J360" s="97"/>
      <c r="K360" s="97"/>
      <c r="L360" s="183" t="s">
        <v>37</v>
      </c>
      <c r="M360" s="620">
        <f>IF($R$13="","",$R$13)</f>
        <v>1732</v>
      </c>
      <c r="O360" s="100"/>
      <c r="Q360" s="91" t="s">
        <v>254</v>
      </c>
      <c r="R360" s="91" t="s">
        <v>255</v>
      </c>
      <c r="U360" s="91" t="s">
        <v>254</v>
      </c>
      <c r="V360" s="91" t="s">
        <v>255</v>
      </c>
      <c r="Y360" s="102"/>
    </row>
    <row r="361" spans="1:25" ht="14.1" customHeight="1" thickTop="1">
      <c r="A361" s="87">
        <v>1</v>
      </c>
      <c r="B361" s="129"/>
      <c r="C361" s="130"/>
      <c r="D361" s="130"/>
      <c r="E361" s="130"/>
      <c r="F361" s="130"/>
      <c r="G361" s="130"/>
      <c r="H361" s="130"/>
      <c r="I361" s="130"/>
      <c r="J361" s="130"/>
      <c r="K361" s="130"/>
      <c r="L361" s="130"/>
      <c r="M361" s="621" t="str">
        <f>$H$2</f>
        <v>Medical University of South Carolina</v>
      </c>
      <c r="O361" s="236"/>
      <c r="P361" s="105" t="s">
        <v>187</v>
      </c>
      <c r="Q361" s="219"/>
      <c r="R361" s="219"/>
      <c r="T361" s="105" t="s">
        <v>187</v>
      </c>
      <c r="U361" s="219"/>
      <c r="V361" s="219"/>
      <c r="Y361" s="102"/>
    </row>
    <row r="362" spans="1:25" ht="14.1" customHeight="1">
      <c r="A362" s="87">
        <v>2</v>
      </c>
      <c r="B362" s="138"/>
      <c r="C362" s="139"/>
      <c r="D362" s="139"/>
      <c r="E362" s="139"/>
      <c r="F362" s="139"/>
      <c r="G362" s="139"/>
      <c r="H362" s="622" t="s">
        <v>73</v>
      </c>
      <c r="I362" s="139"/>
      <c r="J362" s="139"/>
      <c r="K362" s="139"/>
      <c r="L362" s="139"/>
      <c r="M362" s="623" t="str">
        <f>$H$5</f>
        <v>Mammography System Compliance Inspection</v>
      </c>
      <c r="O362" s="236"/>
      <c r="P362" s="105" t="s">
        <v>189</v>
      </c>
      <c r="Q362" s="219"/>
      <c r="R362" s="219"/>
      <c r="T362" s="105" t="s">
        <v>189</v>
      </c>
      <c r="U362" s="219"/>
      <c r="V362" s="219"/>
      <c r="Y362" s="102"/>
    </row>
    <row r="363" spans="1:25" ht="14.1" customHeight="1">
      <c r="A363" s="87">
        <v>3</v>
      </c>
      <c r="B363" s="138"/>
      <c r="C363" s="220" t="s">
        <v>350</v>
      </c>
      <c r="D363" s="139"/>
      <c r="E363" s="139"/>
      <c r="F363" s="139"/>
      <c r="G363" s="139"/>
      <c r="H363" s="139"/>
      <c r="I363" s="139"/>
      <c r="J363" s="139"/>
      <c r="K363" s="139"/>
      <c r="L363" s="139"/>
      <c r="M363" s="140"/>
      <c r="O363" s="236"/>
      <c r="P363" s="105" t="s">
        <v>191</v>
      </c>
      <c r="Q363" s="219"/>
      <c r="R363" s="219"/>
      <c r="T363" s="105" t="s">
        <v>191</v>
      </c>
      <c r="U363" s="219"/>
      <c r="V363" s="219"/>
      <c r="Y363" s="102"/>
    </row>
    <row r="364" spans="1:25" ht="14.1" customHeight="1">
      <c r="A364" s="87">
        <v>4</v>
      </c>
      <c r="B364" s="138"/>
      <c r="C364" s="237" t="s">
        <v>51</v>
      </c>
      <c r="D364" s="214" t="str">
        <f>IF(Q320="","",Q320)</f>
        <v>Mo/Mo</v>
      </c>
      <c r="E364" s="237" t="s">
        <v>54</v>
      </c>
      <c r="F364" s="214">
        <f>IF(S320="","",S320)</f>
        <v>28</v>
      </c>
      <c r="G364" s="139"/>
      <c r="H364" s="139"/>
      <c r="I364" s="139"/>
      <c r="J364" s="139"/>
      <c r="K364" s="139"/>
      <c r="L364" s="139"/>
      <c r="M364" s="140"/>
      <c r="O364" s="100"/>
      <c r="Y364" s="102"/>
    </row>
    <row r="365" spans="1:25" ht="14.1" customHeight="1" thickBot="1">
      <c r="A365" s="87">
        <v>5</v>
      </c>
      <c r="B365" s="138"/>
      <c r="C365" s="139"/>
      <c r="D365" s="181"/>
      <c r="E365" s="139"/>
      <c r="F365" s="139"/>
      <c r="G365" s="139"/>
      <c r="H365" s="139"/>
      <c r="I365" s="139"/>
      <c r="J365" s="139"/>
      <c r="K365" s="139"/>
      <c r="L365" s="139"/>
      <c r="M365" s="140"/>
      <c r="O365" s="366" t="s">
        <v>366</v>
      </c>
      <c r="Q365" s="23"/>
      <c r="R365" s="105" t="s">
        <v>367</v>
      </c>
      <c r="S365" s="344" t="str">
        <f>Q265</f>
        <v>Gammex RMI 805298-120407</v>
      </c>
      <c r="Y365" s="102"/>
    </row>
    <row r="366" spans="1:25" ht="14.1" customHeight="1" thickBot="1">
      <c r="A366" s="87">
        <v>6</v>
      </c>
      <c r="B366" s="138"/>
      <c r="C366" s="349" t="s">
        <v>354</v>
      </c>
      <c r="D366" s="349" t="s">
        <v>25</v>
      </c>
      <c r="E366" s="349" t="s">
        <v>345</v>
      </c>
      <c r="F366" s="349" t="s">
        <v>338</v>
      </c>
      <c r="G366" s="349" t="s">
        <v>339</v>
      </c>
      <c r="H366" s="139"/>
      <c r="I366" s="491" t="str">
        <f>IF(F371&lt;=0.1,"Pass","Fail")</f>
        <v>Pass</v>
      </c>
      <c r="J366" s="139" t="s">
        <v>578</v>
      </c>
      <c r="K366" s="139"/>
      <c r="L366" s="139"/>
      <c r="M366" s="140"/>
      <c r="O366" s="100"/>
      <c r="P366" s="105" t="s">
        <v>71</v>
      </c>
      <c r="Q366" s="367" t="s">
        <v>237</v>
      </c>
      <c r="R366" s="367" t="s">
        <v>262</v>
      </c>
      <c r="S366" s="367" t="s">
        <v>238</v>
      </c>
      <c r="T366" s="105" t="s">
        <v>322</v>
      </c>
      <c r="U366" s="105" t="s">
        <v>71</v>
      </c>
      <c r="V366" s="367" t="s">
        <v>237</v>
      </c>
      <c r="W366" s="367" t="s">
        <v>262</v>
      </c>
      <c r="X366" s="367" t="s">
        <v>238</v>
      </c>
      <c r="Y366" s="102"/>
    </row>
    <row r="367" spans="1:25" ht="14.1" customHeight="1" thickBot="1">
      <c r="A367" s="87">
        <v>7</v>
      </c>
      <c r="B367" s="138"/>
      <c r="C367" s="81">
        <f>IF(P322="","",P322)</f>
        <v>20</v>
      </c>
      <c r="D367" s="82">
        <f>IF(Q322="","",Q322)</f>
        <v>28.771793365478516</v>
      </c>
      <c r="E367" s="82">
        <f>IF(S322="","",S322)</f>
        <v>1.7523690841367223</v>
      </c>
      <c r="F367" s="83">
        <f>IF(T322="","",T322)</f>
        <v>8.7618454206836116E-2</v>
      </c>
      <c r="G367" s="82">
        <f>IF(U322="","",U322)</f>
        <v>2.3636558811082784</v>
      </c>
      <c r="H367" s="139"/>
      <c r="I367" s="491" t="str">
        <f>IF(O328="","",IF(O328=1,"Pass","Fail"))</f>
        <v>Pass</v>
      </c>
      <c r="J367" s="139" t="s">
        <v>579</v>
      </c>
      <c r="K367" s="139"/>
      <c r="L367" s="139"/>
      <c r="M367" s="140"/>
      <c r="O367" s="100"/>
      <c r="P367" s="105" t="s">
        <v>269</v>
      </c>
      <c r="Q367" s="368">
        <v>28</v>
      </c>
      <c r="R367" s="369">
        <v>28</v>
      </c>
      <c r="S367" s="370">
        <v>28</v>
      </c>
      <c r="T367" s="23"/>
      <c r="U367" s="105" t="s">
        <v>269</v>
      </c>
      <c r="V367" s="371" t="str">
        <f>IF(AB101="","",AB101)</f>
        <v/>
      </c>
      <c r="W367" s="372" t="str">
        <f>IF(AB106="","",AB106)</f>
        <v/>
      </c>
      <c r="X367" s="373" t="str">
        <f>IF(AB111="","",AB111)</f>
        <v/>
      </c>
      <c r="Y367" s="102"/>
    </row>
    <row r="368" spans="1:25" ht="14.1" customHeight="1">
      <c r="A368" s="87">
        <v>8</v>
      </c>
      <c r="B368" s="138"/>
      <c r="C368" s="81">
        <f>IF(P323="","",P323)</f>
        <v>50</v>
      </c>
      <c r="D368" s="82">
        <f>IF(Q323="","",Q323)</f>
        <v>28.688147068023682</v>
      </c>
      <c r="E368" s="82">
        <f>IF(S323="","",S323)</f>
        <v>4.3664546769298447</v>
      </c>
      <c r="F368" s="83">
        <f>IF(T323="","",T323)</f>
        <v>8.7329093538596914E-2</v>
      </c>
      <c r="G368" s="82">
        <f>IF(U323="","",U323)</f>
        <v>7.3648213978498642</v>
      </c>
      <c r="H368" s="139"/>
      <c r="I368" s="139"/>
      <c r="J368" s="139"/>
      <c r="K368" s="139"/>
      <c r="L368" s="139"/>
      <c r="M368" s="140"/>
      <c r="O368" s="100"/>
      <c r="P368" s="105" t="s">
        <v>72</v>
      </c>
      <c r="Q368" s="374">
        <v>80.599999999999994</v>
      </c>
      <c r="R368" s="375">
        <v>62.5</v>
      </c>
      <c r="S368" s="376">
        <v>116.3</v>
      </c>
      <c r="T368" s="23"/>
      <c r="U368" s="105" t="s">
        <v>72</v>
      </c>
      <c r="V368" s="377" t="str">
        <f>IF(AB102="","",AB102)</f>
        <v/>
      </c>
      <c r="W368" s="378" t="str">
        <f>IF(AB107="","",AB107)</f>
        <v/>
      </c>
      <c r="X368" s="379" t="str">
        <f>IF(AB112="","",AB112)</f>
        <v/>
      </c>
      <c r="Y368" s="102"/>
    </row>
    <row r="369" spans="1:25" ht="14.1" customHeight="1">
      <c r="A369" s="87">
        <v>9</v>
      </c>
      <c r="B369" s="138"/>
      <c r="C369" s="81">
        <f>IF(P324="","",P324)</f>
        <v>100</v>
      </c>
      <c r="D369" s="82">
        <f>IF(Q324="","",Q324)</f>
        <v>28.691770553588867</v>
      </c>
      <c r="E369" s="82">
        <f>IF(S324="","",S324)</f>
        <v>8.7168072525813436</v>
      </c>
      <c r="F369" s="83">
        <f>IF(T324="","",T324)</f>
        <v>8.7168072525813434E-2</v>
      </c>
      <c r="G369" s="82">
        <f>IF(U324="","",U324)</f>
        <v>8.8197263098152892</v>
      </c>
      <c r="H369" s="139"/>
      <c r="I369" s="139"/>
      <c r="J369" s="139"/>
      <c r="K369" s="139"/>
      <c r="L369" s="139"/>
      <c r="M369" s="140"/>
      <c r="O369" s="100"/>
      <c r="P369" s="105" t="s">
        <v>368</v>
      </c>
      <c r="Q369" s="374">
        <v>5</v>
      </c>
      <c r="R369" s="375">
        <v>5</v>
      </c>
      <c r="S369" s="376">
        <v>5</v>
      </c>
      <c r="T369" s="23"/>
      <c r="U369" s="105" t="s">
        <v>368</v>
      </c>
      <c r="V369" s="377" t="str">
        <f>IF(AB103="","",AB103)</f>
        <v/>
      </c>
      <c r="W369" s="378" t="str">
        <f>IF(AB108="","",AB108)</f>
        <v/>
      </c>
      <c r="X369" s="379" t="str">
        <f>IF(AB113="","",AB113)</f>
        <v/>
      </c>
      <c r="Y369" s="102"/>
    </row>
    <row r="370" spans="1:25" ht="14.1" customHeight="1" thickBot="1">
      <c r="A370" s="87">
        <v>10</v>
      </c>
      <c r="B370" s="138"/>
      <c r="C370" s="81">
        <f>IF(P325="","",P325)</f>
        <v>320</v>
      </c>
      <c r="D370" s="82">
        <f>IF(Q325="","",Q325)</f>
        <v>28.702774047851563</v>
      </c>
      <c r="E370" s="82">
        <f>IF(S325="","",S325)</f>
        <v>27.882943450098598</v>
      </c>
      <c r="F370" s="83">
        <f>IF(T325="","",T325)</f>
        <v>8.713419828155812E-2</v>
      </c>
      <c r="G370" s="82">
        <f>IF(U325="","",U325)</f>
        <v>8.3886933252148701</v>
      </c>
      <c r="H370" s="139"/>
      <c r="I370" s="139"/>
      <c r="J370" s="139"/>
      <c r="K370" s="139"/>
      <c r="L370" s="139"/>
      <c r="M370" s="140"/>
      <c r="O370" s="100"/>
      <c r="P370" s="105" t="s">
        <v>369</v>
      </c>
      <c r="Q370" s="374">
        <v>4</v>
      </c>
      <c r="R370" s="375">
        <v>4</v>
      </c>
      <c r="S370" s="376">
        <v>4</v>
      </c>
      <c r="T370" s="23"/>
      <c r="U370" s="105" t="s">
        <v>369</v>
      </c>
      <c r="V370" s="377" t="str">
        <f>IF(AB104="","",AB104)</f>
        <v/>
      </c>
      <c r="W370" s="378" t="str">
        <f>IF(AB109="","",AB109)</f>
        <v/>
      </c>
      <c r="X370" s="379" t="str">
        <f>IF(AB114="","",AB114)</f>
        <v/>
      </c>
      <c r="Y370" s="102"/>
    </row>
    <row r="371" spans="1:25" ht="14.1" customHeight="1" thickBot="1">
      <c r="A371" s="87">
        <v>11</v>
      </c>
      <c r="B371" s="138"/>
      <c r="C371" s="139"/>
      <c r="D371" s="139"/>
      <c r="E371" s="237" t="s">
        <v>351</v>
      </c>
      <c r="F371" s="358">
        <f>IF(T326="","",T326)</f>
        <v>2.7710934190836199E-3</v>
      </c>
      <c r="G371" s="139"/>
      <c r="H371" s="139"/>
      <c r="I371" s="139"/>
      <c r="J371" s="139"/>
      <c r="K371" s="139"/>
      <c r="L371" s="139"/>
      <c r="M371" s="140"/>
      <c r="O371" s="100"/>
      <c r="P371" s="105" t="s">
        <v>370</v>
      </c>
      <c r="Q371" s="374">
        <v>4</v>
      </c>
      <c r="R371" s="375">
        <v>4</v>
      </c>
      <c r="S371" s="376">
        <v>4</v>
      </c>
      <c r="T371" s="23"/>
      <c r="U371" s="105" t="s">
        <v>370</v>
      </c>
      <c r="V371" s="377" t="str">
        <f>IF(AB105="","",AB105)</f>
        <v/>
      </c>
      <c r="W371" s="378" t="str">
        <f>IF(AB110="","",AB110)</f>
        <v/>
      </c>
      <c r="X371" s="379" t="str">
        <f>IF(AB115="","",AB115)</f>
        <v/>
      </c>
      <c r="Y371" s="102"/>
    </row>
    <row r="372" spans="1:25" ht="14.1" customHeight="1">
      <c r="A372" s="87">
        <v>12</v>
      </c>
      <c r="B372" s="138"/>
      <c r="C372" s="139"/>
      <c r="D372" s="14" t="s">
        <v>204</v>
      </c>
      <c r="E372" s="175" t="s">
        <v>352</v>
      </c>
      <c r="F372" s="139"/>
      <c r="G372" s="139"/>
      <c r="H372" s="139"/>
      <c r="I372" s="139"/>
      <c r="J372" s="139"/>
      <c r="K372" s="139"/>
      <c r="L372" s="139"/>
      <c r="M372" s="140"/>
      <c r="O372" s="100"/>
      <c r="P372" s="380"/>
      <c r="Q372" s="13" t="str">
        <f>IF(Q369="","",IF(AND(Q369&gt;=5,Q370&gt;=4,Q371&gt;=4),"Pass","Fail"))</f>
        <v>Pass</v>
      </c>
      <c r="R372" s="13" t="str">
        <f>IF(R369="","",IF(AND(R369&gt;=5,R370&gt;=4,R371&gt;=4),"Pass","Fail"))</f>
        <v>Pass</v>
      </c>
      <c r="S372" s="13" t="str">
        <f>IF(S369="","",IF(AND(S369&gt;=5,S370&gt;=4,S371&gt;=4),"Pass","Fail"))</f>
        <v>Pass</v>
      </c>
      <c r="T372" s="23"/>
      <c r="U372" s="23"/>
      <c r="V372" s="23"/>
      <c r="Y372" s="102"/>
    </row>
    <row r="373" spans="1:25" ht="14.1" customHeight="1" thickBot="1">
      <c r="A373" s="87">
        <v>13</v>
      </c>
      <c r="B373" s="138"/>
      <c r="C373" s="139"/>
      <c r="D373" s="139"/>
      <c r="E373" s="139"/>
      <c r="F373" s="139"/>
      <c r="G373" s="139"/>
      <c r="H373" s="139"/>
      <c r="I373" s="139"/>
      <c r="J373" s="139"/>
      <c r="K373" s="139"/>
      <c r="L373" s="139"/>
      <c r="M373" s="140"/>
      <c r="O373" s="110"/>
      <c r="P373" s="381" t="s">
        <v>204</v>
      </c>
      <c r="Q373" s="382" t="s">
        <v>371</v>
      </c>
      <c r="R373" s="267"/>
      <c r="S373" s="267"/>
      <c r="T373" s="111"/>
      <c r="U373" s="111"/>
      <c r="V373" s="111"/>
      <c r="W373" s="111"/>
      <c r="X373" s="111"/>
      <c r="Y373" s="112"/>
    </row>
    <row r="374" spans="1:25" ht="14.1" customHeight="1" thickBot="1">
      <c r="A374" s="87">
        <v>14</v>
      </c>
      <c r="B374" s="138"/>
      <c r="C374" s="220" t="s">
        <v>355</v>
      </c>
      <c r="D374" s="139"/>
      <c r="E374" s="139"/>
      <c r="F374" s="139"/>
      <c r="G374" s="139"/>
      <c r="H374" s="139"/>
      <c r="I374" s="139"/>
      <c r="J374" s="139"/>
      <c r="K374" s="139"/>
      <c r="L374" s="139"/>
      <c r="M374" s="140"/>
      <c r="O374" s="213" t="s">
        <v>372</v>
      </c>
      <c r="Y374" s="102"/>
    </row>
    <row r="375" spans="1:25" ht="14.1" customHeight="1">
      <c r="A375" s="87">
        <v>15</v>
      </c>
      <c r="B375" s="138"/>
      <c r="C375" s="533" t="s">
        <v>71</v>
      </c>
      <c r="D375" s="534" t="str">
        <f>Q331</f>
        <v>Mo/Mo</v>
      </c>
      <c r="E375" s="534" t="str">
        <f>R331</f>
        <v>Mo/Mo</v>
      </c>
      <c r="F375" s="534" t="str">
        <f>S331</f>
        <v>Mo/Rh</v>
      </c>
      <c r="G375" s="534" t="str">
        <f>T331</f>
        <v>Mo/Rh</v>
      </c>
      <c r="H375" s="534" t="str">
        <f>U331</f>
        <v>W/Rh</v>
      </c>
      <c r="I375" s="535" t="str">
        <f>V331</f>
        <v>W/Rh</v>
      </c>
      <c r="J375" s="139"/>
      <c r="K375" s="139"/>
      <c r="L375" s="139"/>
      <c r="M375" s="140"/>
      <c r="O375" s="100"/>
      <c r="T375" s="91" t="s">
        <v>373</v>
      </c>
      <c r="U375" s="91" t="s">
        <v>374</v>
      </c>
      <c r="Y375" s="102"/>
    </row>
    <row r="376" spans="1:25" ht="14.1" customHeight="1">
      <c r="A376" s="87">
        <v>16</v>
      </c>
      <c r="B376" s="138"/>
      <c r="C376" s="538" t="s">
        <v>468</v>
      </c>
      <c r="D376" s="399">
        <f>IF(Q341="","",Q341)</f>
        <v>0.38630281595542537</v>
      </c>
      <c r="E376" s="399">
        <f>IF(R341="","",R341)</f>
        <v>0.41913200680196</v>
      </c>
      <c r="F376" s="399">
        <f>IF(S341="","",S341)</f>
        <v>0.44071641870962269</v>
      </c>
      <c r="G376" s="399">
        <f>IF(T341="","",T341)</f>
        <v>0.47102144000097945</v>
      </c>
      <c r="H376" s="399">
        <f>IF(U341="","",U341)</f>
        <v>0.56510485549154887</v>
      </c>
      <c r="I376" s="574">
        <f>IF(V341="","",V341)</f>
        <v>0.60277104001797266</v>
      </c>
      <c r="J376" s="139"/>
      <c r="K376" s="139"/>
      <c r="L376" s="139"/>
      <c r="M376" s="140"/>
      <c r="O376" s="100"/>
      <c r="P376" s="105" t="s">
        <v>173</v>
      </c>
      <c r="Q376" s="211">
        <v>28</v>
      </c>
      <c r="R376" s="105"/>
      <c r="S376" s="105" t="s">
        <v>375</v>
      </c>
      <c r="T376" s="219">
        <v>436.8</v>
      </c>
      <c r="U376" s="219">
        <v>6</v>
      </c>
      <c r="Y376" s="102"/>
    </row>
    <row r="377" spans="1:25" ht="14.1" customHeight="1">
      <c r="A377" s="87">
        <v>17</v>
      </c>
      <c r="B377" s="138"/>
      <c r="C377" s="538" t="s">
        <v>580</v>
      </c>
      <c r="D377" s="85">
        <f>IF(Q342="","",Q342)</f>
        <v>4.8820915487712743E-4</v>
      </c>
      <c r="E377" s="85">
        <f>IF(R342="","",R342)</f>
        <v>5.9967667217796557E-4</v>
      </c>
      <c r="F377" s="85">
        <f>IF(S342="","",S342)</f>
        <v>2.5721659285547603E-4</v>
      </c>
      <c r="G377" s="85">
        <f>IF(T342="","",T342)</f>
        <v>1.861228380565814E-4</v>
      </c>
      <c r="H377" s="85">
        <f>IF(U342="","",U342)</f>
        <v>6.6870062677933453E-4</v>
      </c>
      <c r="I377" s="536">
        <f>IF(V342="","",V342)</f>
        <v>6.285042929342694E-4</v>
      </c>
      <c r="J377" s="139"/>
      <c r="K377" s="139"/>
      <c r="L377" s="139"/>
      <c r="M377" s="140"/>
      <c r="O377" s="100"/>
      <c r="P377" s="105" t="s">
        <v>176</v>
      </c>
      <c r="Q377" s="211">
        <v>116.3</v>
      </c>
      <c r="R377" s="105"/>
      <c r="S377" s="105" t="s">
        <v>376</v>
      </c>
      <c r="T377" s="219">
        <v>454.8</v>
      </c>
      <c r="U377" s="219">
        <v>5.9</v>
      </c>
      <c r="Y377" s="102"/>
    </row>
    <row r="378" spans="1:25" ht="14.1" customHeight="1">
      <c r="A378" s="87">
        <v>18</v>
      </c>
      <c r="B378" s="138"/>
      <c r="C378" s="451" t="s">
        <v>360</v>
      </c>
      <c r="D378" s="399">
        <f>Q343</f>
        <v>0.31000000000000005</v>
      </c>
      <c r="E378" s="399">
        <f>R343</f>
        <v>0.35</v>
      </c>
      <c r="F378" s="399">
        <f>S343</f>
        <v>0.31000000000000005</v>
      </c>
      <c r="G378" s="399">
        <f>T343</f>
        <v>0.35</v>
      </c>
      <c r="H378" s="399">
        <f>U343</f>
        <v>0.28000000000000003</v>
      </c>
      <c r="I378" s="574">
        <f>V343</f>
        <v>0.32</v>
      </c>
      <c r="J378" s="139"/>
      <c r="K378" s="139"/>
      <c r="L378" s="139"/>
      <c r="M378" s="140"/>
      <c r="O378" s="100"/>
      <c r="P378" s="105" t="s">
        <v>51</v>
      </c>
      <c r="Q378" s="344" t="s">
        <v>52</v>
      </c>
      <c r="Y378" s="102"/>
    </row>
    <row r="379" spans="1:25" ht="14.1" customHeight="1" thickBot="1">
      <c r="A379" s="87">
        <v>19</v>
      </c>
      <c r="B379" s="138"/>
      <c r="C379" s="603" t="s">
        <v>361</v>
      </c>
      <c r="D379" s="564">
        <f>Q344</f>
        <v>0.4</v>
      </c>
      <c r="E379" s="564">
        <f>R344</f>
        <v>0.44</v>
      </c>
      <c r="F379" s="564">
        <f>S344</f>
        <v>0.47000000000000003</v>
      </c>
      <c r="G379" s="564">
        <f>T344</f>
        <v>0.51</v>
      </c>
      <c r="H379" s="564"/>
      <c r="I379" s="576"/>
      <c r="J379" s="139"/>
      <c r="K379" s="139"/>
      <c r="L379" s="139"/>
      <c r="M379" s="140"/>
      <c r="O379" s="100"/>
      <c r="P379" s="105" t="s">
        <v>54</v>
      </c>
      <c r="Q379" s="344" t="s">
        <v>55</v>
      </c>
      <c r="T379" s="80" t="s">
        <v>321</v>
      </c>
      <c r="U379" s="80" t="s">
        <v>322</v>
      </c>
      <c r="V379" s="80" t="s">
        <v>290</v>
      </c>
      <c r="W379" s="80" t="s">
        <v>377</v>
      </c>
      <c r="X379" s="80" t="s">
        <v>291</v>
      </c>
      <c r="Y379" s="102"/>
    </row>
    <row r="380" spans="1:25" ht="14.1" customHeight="1" thickBot="1">
      <c r="A380" s="87">
        <v>20</v>
      </c>
      <c r="B380" s="138"/>
      <c r="C380" s="139"/>
      <c r="D380" s="602" t="str">
        <f>Q345</f>
        <v>Pass</v>
      </c>
      <c r="E380" s="602" t="str">
        <f>R345</f>
        <v>Pass</v>
      </c>
      <c r="F380" s="602" t="str">
        <f>S345</f>
        <v>Pass</v>
      </c>
      <c r="G380" s="602" t="str">
        <f>T345</f>
        <v>Pass</v>
      </c>
      <c r="H380" s="602" t="str">
        <f>U345</f>
        <v>Pass</v>
      </c>
      <c r="I380" s="602" t="str">
        <f>V345</f>
        <v>Pass</v>
      </c>
      <c r="J380" s="139"/>
      <c r="K380" s="139"/>
      <c r="L380" s="139"/>
      <c r="M380" s="140"/>
      <c r="O380" s="100"/>
      <c r="S380" s="91" t="s">
        <v>198</v>
      </c>
      <c r="T380" s="329">
        <f>IF(OR(T377="",U377=""),"",(T377-50)/U377)</f>
        <v>68.610169491525426</v>
      </c>
      <c r="U380" s="196">
        <f>IF(AB116="","",AB116)</f>
        <v>55.679999999999993</v>
      </c>
      <c r="V380" s="330">
        <f>IF(OR(T380="",W380=""),"",(T380-W380)/W380)</f>
        <v>4.5567959334431897E-2</v>
      </c>
      <c r="W380" s="383">
        <v>65.62</v>
      </c>
      <c r="X380" s="331" t="str">
        <f>IF(T380="","",IF(AND(T380&gt;=40,ABS(V380)&lt;=0.15),"Pass","Fail"))</f>
        <v>Pass</v>
      </c>
      <c r="Y380" s="102"/>
    </row>
    <row r="381" spans="1:25" ht="14.1" customHeight="1">
      <c r="A381" s="87">
        <v>21</v>
      </c>
      <c r="B381" s="138"/>
      <c r="C381" s="139"/>
      <c r="D381" s="14" t="s">
        <v>204</v>
      </c>
      <c r="E381" s="551" t="s">
        <v>362</v>
      </c>
      <c r="F381" s="139"/>
      <c r="G381" s="139"/>
      <c r="H381" s="139"/>
      <c r="I381" s="139"/>
      <c r="J381" s="139"/>
      <c r="K381" s="139"/>
      <c r="L381" s="139"/>
      <c r="M381" s="140"/>
      <c r="O381" s="100"/>
      <c r="S381" s="91" t="s">
        <v>199</v>
      </c>
      <c r="T381" s="329">
        <f>IF(OR(T377="",T376=""),"",(T377-T376)/U377)</f>
        <v>3.0508474576271185</v>
      </c>
      <c r="U381" s="196">
        <f>IF(AB117="","",AB117)</f>
        <v>2.6800000000000068</v>
      </c>
      <c r="V381" s="330">
        <f>IF(OR(T381="",W381=""),"",(T381-W381)/W381)</f>
        <v>0.14263949723862118</v>
      </c>
      <c r="W381" s="383">
        <v>2.67</v>
      </c>
      <c r="X381" s="86" t="str">
        <f>IF(T381="","",IF(AND(T381&gt;=2,ABS(V381)&lt;=0.15),"Pass","Fail"))</f>
        <v>Pass</v>
      </c>
      <c r="Y381" s="102"/>
    </row>
    <row r="382" spans="1:25" ht="14.1" customHeight="1">
      <c r="A382" s="87">
        <v>22</v>
      </c>
      <c r="B382" s="138"/>
      <c r="C382" s="139"/>
      <c r="D382" s="139"/>
      <c r="E382" s="139"/>
      <c r="F382" s="139"/>
      <c r="G382" s="139"/>
      <c r="H382" s="139"/>
      <c r="I382" s="139"/>
      <c r="J382" s="139"/>
      <c r="K382" s="139"/>
      <c r="L382" s="139"/>
      <c r="M382" s="140"/>
      <c r="O382" s="100"/>
      <c r="P382" s="187" t="s">
        <v>204</v>
      </c>
      <c r="Q382" s="175" t="s">
        <v>378</v>
      </c>
      <c r="R382" s="139"/>
      <c r="S382" s="139"/>
      <c r="T382" s="139"/>
      <c r="U382" s="139"/>
      <c r="V382" s="139"/>
      <c r="W382" s="139"/>
      <c r="X382" s="139"/>
      <c r="Y382" s="102"/>
    </row>
    <row r="383" spans="1:25" ht="14.1" customHeight="1">
      <c r="A383" s="87">
        <v>23</v>
      </c>
      <c r="B383" s="138"/>
      <c r="C383" s="220" t="s">
        <v>320</v>
      </c>
      <c r="D383" s="139"/>
      <c r="E383" s="139"/>
      <c r="F383" s="139"/>
      <c r="G383" s="139"/>
      <c r="H383" s="139"/>
      <c r="I383" s="139"/>
      <c r="J383" s="139"/>
      <c r="K383" s="139"/>
      <c r="L383" s="139"/>
      <c r="M383" s="140"/>
      <c r="O383" s="100"/>
      <c r="Q383" s="212" t="s">
        <v>379</v>
      </c>
      <c r="Y383" s="102"/>
    </row>
    <row r="384" spans="1:25" ht="14.1" customHeight="1" thickBot="1">
      <c r="A384" s="87">
        <v>24</v>
      </c>
      <c r="B384" s="138"/>
      <c r="C384" s="139"/>
      <c r="D384" s="237" t="s">
        <v>173</v>
      </c>
      <c r="E384" s="214">
        <f>IF(Q376="","",Q376)</f>
        <v>28</v>
      </c>
      <c r="F384" s="139"/>
      <c r="G384" s="139"/>
      <c r="H384" s="139" t="s">
        <v>321</v>
      </c>
      <c r="I384" s="139" t="s">
        <v>322</v>
      </c>
      <c r="J384" s="139" t="s">
        <v>290</v>
      </c>
      <c r="K384" s="139" t="s">
        <v>291</v>
      </c>
      <c r="L384" s="139"/>
      <c r="M384" s="140"/>
      <c r="O384" s="110"/>
      <c r="P384" s="111"/>
      <c r="Q384" s="111"/>
      <c r="R384" s="111"/>
      <c r="S384" s="111"/>
      <c r="T384" s="111"/>
      <c r="U384" s="111"/>
      <c r="V384" s="111"/>
      <c r="W384" s="111"/>
      <c r="X384" s="111"/>
      <c r="Y384" s="112"/>
    </row>
    <row r="385" spans="1:25" ht="14.1" customHeight="1" thickBot="1">
      <c r="A385" s="87">
        <v>25</v>
      </c>
      <c r="B385" s="138"/>
      <c r="C385" s="139"/>
      <c r="D385" s="237" t="s">
        <v>176</v>
      </c>
      <c r="E385" s="214">
        <f>IF(Q377="","",Q377)</f>
        <v>116.3</v>
      </c>
      <c r="F385" s="139"/>
      <c r="G385" s="237" t="s">
        <v>198</v>
      </c>
      <c r="H385" s="604">
        <f>IF(T380="","",T380)</f>
        <v>68.610169491525426</v>
      </c>
      <c r="I385" s="493">
        <f>IF(U380="","",U380)</f>
        <v>55.679999999999993</v>
      </c>
      <c r="J385" s="606">
        <f>IF(V380="","",V380)</f>
        <v>4.5567959334431897E-2</v>
      </c>
      <c r="K385" s="607" t="str">
        <f>IF(X380="","",X380)</f>
        <v>Pass</v>
      </c>
      <c r="L385" s="139"/>
      <c r="M385" s="140"/>
      <c r="O385" s="618"/>
      <c r="P385" s="444"/>
    </row>
    <row r="386" spans="1:25" ht="14.1" customHeight="1" thickBot="1">
      <c r="A386" s="87">
        <v>26</v>
      </c>
      <c r="B386" s="138"/>
      <c r="C386" s="139"/>
      <c r="D386" s="237" t="s">
        <v>51</v>
      </c>
      <c r="E386" s="214" t="str">
        <f>IF(Q378="","",Q378)</f>
        <v>W</v>
      </c>
      <c r="F386" s="139"/>
      <c r="G386" s="237" t="s">
        <v>199</v>
      </c>
      <c r="H386" s="605">
        <f>IF(T381="","",T381)</f>
        <v>3.0508474576271185</v>
      </c>
      <c r="I386" s="498">
        <f>IF(U381="","",U381)</f>
        <v>2.6800000000000068</v>
      </c>
      <c r="J386" s="608">
        <f>IF(V381="","",V381)</f>
        <v>0.14263949723862118</v>
      </c>
      <c r="K386" s="550" t="str">
        <f>IF(X381="","",X381)</f>
        <v>Pass</v>
      </c>
      <c r="L386" s="139"/>
      <c r="M386" s="140"/>
      <c r="O386" s="625"/>
      <c r="P386" s="625"/>
      <c r="Q386" s="625"/>
      <c r="R386" s="625"/>
      <c r="S386" s="625"/>
      <c r="T386" s="626" t="s">
        <v>587</v>
      </c>
      <c r="U386" s="625"/>
      <c r="V386" s="625"/>
      <c r="W386" s="625"/>
      <c r="X386" s="625"/>
      <c r="Y386" s="625"/>
    </row>
    <row r="387" spans="1:25" ht="14.1" customHeight="1" thickBot="1">
      <c r="A387" s="87">
        <v>27</v>
      </c>
      <c r="B387" s="138"/>
      <c r="C387" s="139"/>
      <c r="D387" s="237" t="s">
        <v>54</v>
      </c>
      <c r="E387" s="214" t="str">
        <f>IF(Q379="","",Q379)</f>
        <v>Rh</v>
      </c>
      <c r="F387" s="139"/>
      <c r="G387" s="139"/>
      <c r="H387" s="139"/>
      <c r="I387" s="139"/>
      <c r="J387" s="139"/>
      <c r="K387" s="139"/>
      <c r="L387" s="139"/>
      <c r="M387" s="140"/>
      <c r="O387" s="625"/>
      <c r="P387" s="627" t="s">
        <v>588</v>
      </c>
      <c r="Q387" s="625"/>
      <c r="R387" s="625"/>
      <c r="S387" s="625"/>
      <c r="T387" s="625"/>
      <c r="U387" s="625"/>
      <c r="V387" s="625"/>
      <c r="W387" s="625"/>
      <c r="X387" s="625"/>
      <c r="Y387" s="625"/>
    </row>
    <row r="388" spans="1:25" ht="14.1" customHeight="1" thickTop="1">
      <c r="A388" s="87">
        <v>28</v>
      </c>
      <c r="B388" s="138"/>
      <c r="C388" s="139"/>
      <c r="D388" s="14" t="s">
        <v>204</v>
      </c>
      <c r="E388" s="175" t="s">
        <v>323</v>
      </c>
      <c r="F388" s="139"/>
      <c r="G388" s="139"/>
      <c r="H388" s="139"/>
      <c r="I388" s="139"/>
      <c r="J388" s="139"/>
      <c r="K388" s="139"/>
      <c r="L388" s="139"/>
      <c r="M388" s="140"/>
      <c r="O388" s="628"/>
      <c r="P388" s="629"/>
      <c r="Q388" s="629"/>
      <c r="R388" s="630"/>
      <c r="S388" s="631" t="s">
        <v>589</v>
      </c>
      <c r="T388" s="629"/>
      <c r="U388" s="629"/>
      <c r="V388" s="629"/>
      <c r="W388" s="629"/>
      <c r="X388" s="629"/>
      <c r="Y388" s="632"/>
    </row>
    <row r="389" spans="1:25" ht="14.1" customHeight="1">
      <c r="A389" s="87">
        <v>29</v>
      </c>
      <c r="B389" s="138"/>
      <c r="C389" s="139"/>
      <c r="D389" s="139"/>
      <c r="E389" s="175" t="s">
        <v>324</v>
      </c>
      <c r="F389" s="139"/>
      <c r="G389" s="139"/>
      <c r="H389" s="139"/>
      <c r="I389" s="139"/>
      <c r="J389" s="139"/>
      <c r="K389" s="139"/>
      <c r="L389" s="139"/>
      <c r="M389" s="140"/>
      <c r="O389" s="633"/>
      <c r="P389" s="634" t="s">
        <v>224</v>
      </c>
      <c r="Q389" s="635"/>
      <c r="R389" s="636"/>
      <c r="S389" s="677" t="str">
        <f>IF(OR(AD720=0,AD720=""),"",AD720)</f>
        <v/>
      </c>
      <c r="T389" s="637"/>
      <c r="U389" s="637"/>
      <c r="V389" s="637"/>
      <c r="W389" s="637"/>
      <c r="X389" s="637"/>
      <c r="Y389" s="638"/>
    </row>
    <row r="390" spans="1:25" ht="14.1" customHeight="1">
      <c r="A390" s="87">
        <v>30</v>
      </c>
      <c r="B390" s="138"/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40"/>
      <c r="O390" s="639"/>
      <c r="P390" s="640" t="s">
        <v>590</v>
      </c>
      <c r="Q390" s="641"/>
      <c r="R390" s="642">
        <f>LEN(Q389)</f>
        <v>0</v>
      </c>
      <c r="S390" s="678"/>
      <c r="T390" s="643">
        <f>LEN(S389)</f>
        <v>0</v>
      </c>
      <c r="U390" s="644"/>
      <c r="V390" s="645"/>
      <c r="W390" s="645"/>
      <c r="X390" s="645"/>
      <c r="Y390" s="646"/>
    </row>
    <row r="391" spans="1:25" ht="14.1" customHeight="1">
      <c r="A391" s="87">
        <v>31</v>
      </c>
      <c r="B391" s="138"/>
      <c r="C391" s="220" t="s">
        <v>325</v>
      </c>
      <c r="D391" s="139"/>
      <c r="E391" s="139"/>
      <c r="F391" s="139"/>
      <c r="G391" s="139"/>
      <c r="H391" s="139"/>
      <c r="I391" s="139"/>
      <c r="J391" s="139"/>
      <c r="K391" s="139"/>
      <c r="L391" s="139"/>
      <c r="M391" s="140"/>
      <c r="O391" s="639"/>
      <c r="P391" s="634" t="s">
        <v>591</v>
      </c>
      <c r="Q391" s="635"/>
      <c r="R391" s="636"/>
      <c r="S391" s="677" t="str">
        <f>IF(OR(AD722=0,AD722=""),"",AD722)</f>
        <v/>
      </c>
      <c r="T391" s="637"/>
      <c r="U391" s="637"/>
      <c r="V391" s="637"/>
      <c r="W391" s="637"/>
      <c r="X391" s="637"/>
      <c r="Y391" s="638"/>
    </row>
    <row r="392" spans="1:25" ht="14.1" customHeight="1" thickBot="1">
      <c r="A392" s="87">
        <v>32</v>
      </c>
      <c r="B392" s="138"/>
      <c r="C392" s="139"/>
      <c r="D392" s="624" t="s">
        <v>326</v>
      </c>
      <c r="E392" s="624"/>
      <c r="F392" s="445"/>
      <c r="G392" s="445"/>
      <c r="H392" s="624" t="s">
        <v>327</v>
      </c>
      <c r="I392" s="624"/>
      <c r="J392" s="139"/>
      <c r="K392" s="445"/>
      <c r="L392" s="423" t="s">
        <v>328</v>
      </c>
      <c r="M392" s="423"/>
      <c r="O392" s="639"/>
      <c r="P392" s="640" t="s">
        <v>590</v>
      </c>
      <c r="Q392" s="641"/>
      <c r="R392" s="642">
        <f>LEN(Q391)</f>
        <v>0</v>
      </c>
      <c r="S392" s="678"/>
      <c r="T392" s="643">
        <f>LEN(S391)</f>
        <v>0</v>
      </c>
      <c r="U392" s="644"/>
      <c r="V392" s="637"/>
      <c r="W392" s="637"/>
      <c r="X392" s="637"/>
      <c r="Y392" s="638"/>
    </row>
    <row r="393" spans="1:25" ht="14.1" customHeight="1">
      <c r="A393" s="87">
        <v>33</v>
      </c>
      <c r="B393" s="138"/>
      <c r="C393" s="445"/>
      <c r="D393" s="237" t="s">
        <v>173</v>
      </c>
      <c r="E393" s="609">
        <f>IF(Q351="","",Q351)</f>
        <v>28</v>
      </c>
      <c r="F393" s="445"/>
      <c r="G393" s="237" t="s">
        <v>71</v>
      </c>
      <c r="H393" s="614" t="s">
        <v>237</v>
      </c>
      <c r="I393" s="615" t="s">
        <v>262</v>
      </c>
      <c r="J393" s="616" t="s">
        <v>238</v>
      </c>
      <c r="K393" s="445"/>
      <c r="L393" s="181" t="s">
        <v>254</v>
      </c>
      <c r="M393" s="340" t="s">
        <v>255</v>
      </c>
      <c r="O393" s="647"/>
      <c r="P393" s="634" t="s">
        <v>591</v>
      </c>
      <c r="Q393" s="635"/>
      <c r="R393" s="636"/>
      <c r="S393" s="677" t="str">
        <f>IF(OR(AD724=0,AD724=""),"",AD724)</f>
        <v/>
      </c>
      <c r="T393" s="645"/>
      <c r="U393" s="645"/>
      <c r="V393" s="645"/>
      <c r="W393" s="645"/>
      <c r="X393" s="645"/>
      <c r="Y393" s="646"/>
    </row>
    <row r="394" spans="1:25" ht="14.1" customHeight="1" thickBot="1">
      <c r="A394" s="87">
        <v>34</v>
      </c>
      <c r="B394" s="138"/>
      <c r="C394" s="445"/>
      <c r="D394" s="237" t="s">
        <v>176</v>
      </c>
      <c r="E394" s="610">
        <f>IF(Q352="","",Q352)</f>
        <v>116.3</v>
      </c>
      <c r="F394" s="445"/>
      <c r="G394" s="237" t="s">
        <v>173</v>
      </c>
      <c r="H394" s="451">
        <f>Q367</f>
        <v>28</v>
      </c>
      <c r="I394" s="389">
        <f>R367</f>
        <v>28</v>
      </c>
      <c r="J394" s="452">
        <f>S367</f>
        <v>28</v>
      </c>
      <c r="K394" s="445"/>
      <c r="L394" s="237" t="s">
        <v>330</v>
      </c>
      <c r="M394" s="342" t="str">
        <f>IF(R359="","",R359)</f>
        <v>ME-MAM01</v>
      </c>
      <c r="O394" s="639"/>
      <c r="P394" s="640" t="s">
        <v>590</v>
      </c>
      <c r="Q394" s="641"/>
      <c r="R394" s="642">
        <f>LEN(Q393)</f>
        <v>0</v>
      </c>
      <c r="S394" s="678"/>
      <c r="T394" s="643">
        <f>LEN(S393)</f>
        <v>0</v>
      </c>
      <c r="U394" s="644"/>
      <c r="V394" s="637"/>
      <c r="W394" s="637"/>
      <c r="X394" s="637"/>
      <c r="Y394" s="638"/>
    </row>
    <row r="395" spans="1:25" ht="14.1" customHeight="1">
      <c r="A395" s="87">
        <v>35</v>
      </c>
      <c r="B395" s="138"/>
      <c r="C395" s="445"/>
      <c r="D395" s="237" t="s">
        <v>332</v>
      </c>
      <c r="E395" s="610">
        <f>IF(Q353="","",Q353)</f>
        <v>1.76</v>
      </c>
      <c r="F395" s="445"/>
      <c r="G395" s="237" t="s">
        <v>176</v>
      </c>
      <c r="H395" s="451">
        <f>Q368</f>
        <v>80.599999999999994</v>
      </c>
      <c r="I395" s="389">
        <f>R368</f>
        <v>62.5</v>
      </c>
      <c r="J395" s="452">
        <f>S368</f>
        <v>116.3</v>
      </c>
      <c r="K395" s="237" t="s">
        <v>187</v>
      </c>
      <c r="L395" s="279" t="str">
        <f>IF(Q361="","",Q361)</f>
        <v/>
      </c>
      <c r="M395" s="343" t="str">
        <f>IF(R361="","",R361)</f>
        <v/>
      </c>
      <c r="O395" s="639"/>
      <c r="P395" s="634" t="s">
        <v>591</v>
      </c>
      <c r="Q395" s="635"/>
      <c r="R395" s="636"/>
      <c r="S395" s="677" t="str">
        <f>IF(OR(AD726=0,AD726=""),"",AD726)</f>
        <v/>
      </c>
      <c r="T395" s="637"/>
      <c r="U395" s="637"/>
      <c r="V395" s="637"/>
      <c r="W395" s="637"/>
      <c r="X395" s="637"/>
      <c r="Y395" s="638"/>
    </row>
    <row r="396" spans="1:25" ht="14.1" customHeight="1">
      <c r="A396" s="87">
        <v>36</v>
      </c>
      <c r="B396" s="138"/>
      <c r="C396" s="445"/>
      <c r="D396" s="237" t="s">
        <v>182</v>
      </c>
      <c r="E396" s="610">
        <f>IF(Q354="","",Q354)</f>
        <v>1.1299999999999999</v>
      </c>
      <c r="F396" s="445"/>
      <c r="G396" s="237" t="s">
        <v>187</v>
      </c>
      <c r="H396" s="451">
        <f>Q369</f>
        <v>5</v>
      </c>
      <c r="I396" s="389">
        <f>R369</f>
        <v>5</v>
      </c>
      <c r="J396" s="452">
        <f>S369</f>
        <v>5</v>
      </c>
      <c r="K396" s="237" t="s">
        <v>189</v>
      </c>
      <c r="L396" s="281" t="str">
        <f>IF(Q362="","",Q362)</f>
        <v/>
      </c>
      <c r="M396" s="345" t="str">
        <f>IF(R362="","",R362)</f>
        <v/>
      </c>
      <c r="O396" s="647"/>
      <c r="P396" s="640" t="s">
        <v>590</v>
      </c>
      <c r="Q396" s="641"/>
      <c r="R396" s="642">
        <f>LEN(Q395)</f>
        <v>0</v>
      </c>
      <c r="S396" s="678"/>
      <c r="T396" s="643">
        <f>LEN(S395)</f>
        <v>0</v>
      </c>
      <c r="U396" s="644"/>
      <c r="V396" s="645"/>
      <c r="W396" s="645"/>
      <c r="X396" s="645"/>
      <c r="Y396" s="646"/>
    </row>
    <row r="397" spans="1:25" ht="14.1" customHeight="1" thickBot="1">
      <c r="A397" s="87">
        <v>37</v>
      </c>
      <c r="B397" s="138"/>
      <c r="C397" s="445"/>
      <c r="D397" s="237" t="s">
        <v>184</v>
      </c>
      <c r="E397" s="610">
        <f>IF(Q355="","",Q355)</f>
        <v>1.82</v>
      </c>
      <c r="F397" s="445"/>
      <c r="G397" s="237" t="s">
        <v>189</v>
      </c>
      <c r="H397" s="451">
        <f>Q370</f>
        <v>4</v>
      </c>
      <c r="I397" s="389">
        <f>R370</f>
        <v>4</v>
      </c>
      <c r="J397" s="452">
        <f>S370</f>
        <v>4</v>
      </c>
      <c r="K397" s="237" t="s">
        <v>191</v>
      </c>
      <c r="L397" s="282" t="str">
        <f>IF(Q363="","",Q363)</f>
        <v/>
      </c>
      <c r="M397" s="346" t="str">
        <f>IF(R363="","",R363)</f>
        <v/>
      </c>
      <c r="O397" s="639"/>
      <c r="P397" s="634" t="s">
        <v>591</v>
      </c>
      <c r="Q397" s="635"/>
      <c r="R397" s="636"/>
      <c r="S397" s="677" t="str">
        <f>IF(OR(AD728=0,AD728=""),"",AD728)</f>
        <v/>
      </c>
      <c r="T397" s="637"/>
      <c r="U397" s="637"/>
      <c r="V397" s="637"/>
      <c r="W397" s="637"/>
      <c r="X397" s="637"/>
      <c r="Y397" s="638"/>
    </row>
    <row r="398" spans="1:25" ht="14.1" customHeight="1" thickBot="1">
      <c r="A398" s="87">
        <v>38</v>
      </c>
      <c r="B398" s="138"/>
      <c r="C398" s="445"/>
      <c r="D398" s="237" t="s">
        <v>185</v>
      </c>
      <c r="E398" s="610">
        <f>IF(Q356="","",Q356)</f>
        <v>0.69000000000000017</v>
      </c>
      <c r="F398" s="445"/>
      <c r="G398" s="237" t="s">
        <v>191</v>
      </c>
      <c r="H398" s="501">
        <f>Q371</f>
        <v>4</v>
      </c>
      <c r="I398" s="563">
        <f>R371</f>
        <v>4</v>
      </c>
      <c r="J398" s="502">
        <f>S371</f>
        <v>4</v>
      </c>
      <c r="K398" s="445"/>
      <c r="L398" s="237" t="s">
        <v>330</v>
      </c>
      <c r="M398" s="342" t="str">
        <f>IF(V359="","",V359)</f>
        <v/>
      </c>
      <c r="O398" s="639"/>
      <c r="P398" s="640" t="s">
        <v>590</v>
      </c>
      <c r="Q398" s="641"/>
      <c r="R398" s="642">
        <f>LEN(Q397)</f>
        <v>0</v>
      </c>
      <c r="S398" s="678"/>
      <c r="T398" s="643">
        <f>LEN(S397)</f>
        <v>0</v>
      </c>
      <c r="U398" s="644"/>
      <c r="V398" s="637"/>
      <c r="W398" s="637"/>
      <c r="X398" s="637"/>
      <c r="Y398" s="638"/>
    </row>
    <row r="399" spans="1:25" ht="14.1" customHeight="1" thickBot="1">
      <c r="A399" s="87">
        <v>39</v>
      </c>
      <c r="B399" s="138"/>
      <c r="C399" s="139"/>
      <c r="D399" s="237" t="s">
        <v>187</v>
      </c>
      <c r="E399" s="610">
        <f>IF(U351="","",U351)</f>
        <v>5</v>
      </c>
      <c r="F399" s="445"/>
      <c r="G399" s="237"/>
      <c r="H399" s="612" t="str">
        <f>Q372</f>
        <v>Pass</v>
      </c>
      <c r="I399" s="546" t="str">
        <f>R372</f>
        <v>Pass</v>
      </c>
      <c r="J399" s="613" t="str">
        <f>S372</f>
        <v>Pass</v>
      </c>
      <c r="K399" s="237" t="s">
        <v>187</v>
      </c>
      <c r="L399" s="279" t="str">
        <f>IF(U361="","",U361)</f>
        <v/>
      </c>
      <c r="M399" s="343" t="str">
        <f>IF(V361="","",V361)</f>
        <v/>
      </c>
      <c r="O399" s="647"/>
      <c r="P399" s="634" t="s">
        <v>591</v>
      </c>
      <c r="Q399" s="635"/>
      <c r="R399" s="636"/>
      <c r="S399" s="677" t="str">
        <f>IF(OR(AD730=0,AD730=""),"",AD730)</f>
        <v/>
      </c>
      <c r="T399" s="645"/>
      <c r="U399" s="645"/>
      <c r="V399" s="645"/>
      <c r="W399" s="645"/>
      <c r="X399" s="645"/>
      <c r="Y399" s="646"/>
    </row>
    <row r="400" spans="1:25" ht="14.1" customHeight="1">
      <c r="A400" s="87">
        <v>40</v>
      </c>
      <c r="B400" s="138"/>
      <c r="C400" s="139"/>
      <c r="D400" s="237" t="s">
        <v>189</v>
      </c>
      <c r="E400" s="610">
        <f>IF(U352="","",U352)</f>
        <v>4</v>
      </c>
      <c r="F400" s="139"/>
      <c r="G400" s="139"/>
      <c r="H400" s="139"/>
      <c r="I400" s="181"/>
      <c r="J400" s="181"/>
      <c r="K400" s="237" t="s">
        <v>189</v>
      </c>
      <c r="L400" s="281" t="str">
        <f>IF(U362="","",U362)</f>
        <v/>
      </c>
      <c r="M400" s="345" t="str">
        <f>IF(V362="","",V362)</f>
        <v/>
      </c>
      <c r="O400" s="639"/>
      <c r="P400" s="640" t="s">
        <v>590</v>
      </c>
      <c r="Q400" s="661"/>
      <c r="R400" s="662">
        <f>LEN(Q399)</f>
        <v>0</v>
      </c>
      <c r="S400" s="679"/>
      <c r="T400" s="663">
        <f>LEN(S399)</f>
        <v>0</v>
      </c>
      <c r="U400" s="664"/>
      <c r="V400" s="650"/>
      <c r="W400" s="650"/>
      <c r="X400" s="650"/>
      <c r="Y400" s="638"/>
    </row>
    <row r="401" spans="1:25" ht="14.1" customHeight="1" thickBot="1">
      <c r="A401" s="87">
        <v>41</v>
      </c>
      <c r="B401" s="138"/>
      <c r="C401" s="139"/>
      <c r="D401" s="237" t="s">
        <v>191</v>
      </c>
      <c r="E401" s="611">
        <f>IF(U353="","",U353)</f>
        <v>4</v>
      </c>
      <c r="F401" s="139"/>
      <c r="G401" s="139"/>
      <c r="H401" s="139"/>
      <c r="I401" s="139"/>
      <c r="J401" s="139"/>
      <c r="K401" s="237" t="s">
        <v>191</v>
      </c>
      <c r="L401" s="282" t="str">
        <f>IF(U363="","",U363)</f>
        <v/>
      </c>
      <c r="M401" s="346" t="str">
        <f>IF(V363="","",V363)</f>
        <v/>
      </c>
      <c r="O401" s="639"/>
      <c r="P401" s="634" t="s">
        <v>591</v>
      </c>
      <c r="Q401" s="635"/>
      <c r="R401" s="636"/>
      <c r="S401" s="677" t="str">
        <f>IF(OR(AD732=0,AD732=""),"",AD732)</f>
        <v/>
      </c>
      <c r="T401" s="645"/>
      <c r="U401" s="645"/>
      <c r="V401" s="645"/>
      <c r="W401" s="645"/>
      <c r="X401" s="645"/>
      <c r="Y401" s="638"/>
    </row>
    <row r="402" spans="1:25" ht="14.1" customHeight="1">
      <c r="A402" s="87">
        <v>42</v>
      </c>
      <c r="B402" s="138"/>
      <c r="C402" s="139"/>
      <c r="D402" s="139"/>
      <c r="E402" s="139"/>
      <c r="F402" s="139"/>
      <c r="G402" s="139"/>
      <c r="H402" s="139"/>
      <c r="I402" s="139"/>
      <c r="J402" s="139"/>
      <c r="K402" s="139"/>
      <c r="L402" s="139"/>
      <c r="M402" s="140"/>
      <c r="O402" s="647"/>
      <c r="P402" s="640" t="s">
        <v>590</v>
      </c>
      <c r="Q402" s="661"/>
      <c r="R402" s="662">
        <f>LEN(Q401)</f>
        <v>0</v>
      </c>
      <c r="S402" s="679"/>
      <c r="T402" s="663">
        <f>LEN(S401)</f>
        <v>0</v>
      </c>
      <c r="U402" s="664"/>
      <c r="V402" s="650"/>
      <c r="W402" s="650"/>
      <c r="X402" s="650"/>
      <c r="Y402" s="646"/>
    </row>
    <row r="403" spans="1:25" ht="14.1" customHeight="1">
      <c r="A403" s="87">
        <v>43</v>
      </c>
      <c r="B403" s="138"/>
      <c r="C403" s="139"/>
      <c r="D403" s="14" t="s">
        <v>204</v>
      </c>
      <c r="E403" s="78" t="s">
        <v>371</v>
      </c>
      <c r="F403" s="139"/>
      <c r="G403" s="139"/>
      <c r="H403" s="139"/>
      <c r="I403" s="139"/>
      <c r="J403" s="139"/>
      <c r="K403" s="139"/>
      <c r="L403" s="139"/>
      <c r="M403" s="140"/>
      <c r="O403" s="639"/>
      <c r="P403" s="634" t="s">
        <v>591</v>
      </c>
      <c r="Q403" s="635"/>
      <c r="R403" s="636"/>
      <c r="S403" s="677" t="str">
        <f>IF(OR(AD734=0,AD734=""),"",AD734)</f>
        <v/>
      </c>
      <c r="T403" s="645"/>
      <c r="U403" s="645"/>
      <c r="V403" s="645"/>
      <c r="W403" s="645"/>
      <c r="X403" s="645"/>
      <c r="Y403" s="638"/>
    </row>
    <row r="404" spans="1:25" ht="14.1" customHeight="1">
      <c r="A404" s="87">
        <v>44</v>
      </c>
      <c r="B404" s="138"/>
      <c r="C404" s="139"/>
      <c r="D404" s="139"/>
      <c r="E404" s="139"/>
      <c r="F404" s="139"/>
      <c r="G404" s="139"/>
      <c r="H404" s="139"/>
      <c r="I404" s="139"/>
      <c r="J404" s="139"/>
      <c r="K404" s="139"/>
      <c r="L404" s="139"/>
      <c r="M404" s="140"/>
      <c r="O404" s="639"/>
      <c r="P404" s="640" t="s">
        <v>590</v>
      </c>
      <c r="Q404" s="661"/>
      <c r="R404" s="662">
        <f>LEN(Q403)</f>
        <v>0</v>
      </c>
      <c r="S404" s="679"/>
      <c r="T404" s="663">
        <f>LEN(S403)</f>
        <v>0</v>
      </c>
      <c r="U404" s="664"/>
      <c r="V404" s="650"/>
      <c r="W404" s="650"/>
      <c r="X404" s="650"/>
      <c r="Y404" s="638"/>
    </row>
    <row r="405" spans="1:25" ht="14.1" customHeight="1">
      <c r="A405" s="87">
        <v>45</v>
      </c>
      <c r="B405" s="138"/>
      <c r="C405" s="682" t="s">
        <v>224</v>
      </c>
      <c r="D405" s="657" t="str">
        <f>IF(Q389="","",IF(LEN(Q389)&lt;=135,Q389,IF(LEN(Q389)&lt;=260,LEFT(Q389,SEARCH(" ",Q389,125)),LEFT(Q389,SEARCH(" ",Q389,130)))))</f>
        <v/>
      </c>
      <c r="E405" s="658"/>
      <c r="F405" s="658"/>
      <c r="G405" s="658"/>
      <c r="H405" s="658"/>
      <c r="I405" s="658"/>
      <c r="J405" s="658"/>
      <c r="K405" s="658"/>
      <c r="L405" s="658"/>
      <c r="M405" s="140"/>
      <c r="O405" s="647"/>
      <c r="P405" s="634"/>
      <c r="Q405" s="667"/>
      <c r="R405" s="668"/>
      <c r="S405" s="669"/>
      <c r="T405" s="673"/>
      <c r="U405" s="673"/>
      <c r="V405" s="673"/>
      <c r="W405" s="673"/>
      <c r="X405" s="673"/>
      <c r="Y405" s="646"/>
    </row>
    <row r="406" spans="1:25" ht="14.1" customHeight="1">
      <c r="A406" s="87">
        <v>46</v>
      </c>
      <c r="B406" s="138"/>
      <c r="C406" s="651"/>
      <c r="D406" s="732" t="str">
        <f>IF(LEN(Q389)&lt;=135,"",IF(LEN(Q389)&lt;=260,RIGHT(Q389,LEN(Q389)-SEARCH(" ",Q389,125)),MID(Q389,SEARCH(" ",Q389,130),IF(LEN(Q389)&lt;=265,LEN(Q389),SEARCH(" ",Q389,255)-SEARCH(" ",Q389,130)))))</f>
        <v/>
      </c>
      <c r="E406" s="733"/>
      <c r="F406" s="733"/>
      <c r="G406" s="733"/>
      <c r="H406" s="733"/>
      <c r="I406" s="733"/>
      <c r="J406" s="733"/>
      <c r="K406" s="733"/>
      <c r="L406" s="733"/>
      <c r="M406" s="140"/>
      <c r="O406" s="639"/>
      <c r="P406" s="640"/>
      <c r="Q406" s="671"/>
      <c r="R406" s="672"/>
      <c r="S406" s="672"/>
      <c r="T406" s="672"/>
      <c r="U406" s="674"/>
      <c r="V406" s="670"/>
      <c r="W406" s="670"/>
      <c r="X406" s="670"/>
      <c r="Y406" s="638"/>
    </row>
    <row r="407" spans="1:25" ht="14.1" customHeight="1">
      <c r="A407" s="87">
        <v>47</v>
      </c>
      <c r="B407" s="138"/>
      <c r="C407" s="651"/>
      <c r="D407" s="732" t="str">
        <f>IF(LEN(Q389)&lt;=265,"",RIGHT(Q389,LEN(Q389)-SEARCH(" ",Q389,255)))</f>
        <v/>
      </c>
      <c r="E407" s="733"/>
      <c r="F407" s="733"/>
      <c r="G407" s="733"/>
      <c r="H407" s="733"/>
      <c r="I407" s="733"/>
      <c r="J407" s="733"/>
      <c r="K407" s="733"/>
      <c r="L407" s="733"/>
      <c r="M407" s="140"/>
      <c r="O407" s="639"/>
      <c r="P407" s="648"/>
      <c r="Q407" s="649"/>
      <c r="R407" s="665"/>
      <c r="S407" s="666"/>
      <c r="T407" s="650"/>
      <c r="U407" s="650"/>
      <c r="V407" s="650"/>
      <c r="W407" s="650"/>
      <c r="X407" s="650"/>
      <c r="Y407" s="638"/>
    </row>
    <row r="408" spans="1:25" ht="14.1" customHeight="1">
      <c r="A408" s="87">
        <v>48</v>
      </c>
      <c r="B408" s="138"/>
      <c r="C408" s="659"/>
      <c r="D408" s="732" t="str">
        <f>IF(Q391="","",IF(LEN(Q391)&lt;=135,Q391,IF(LEN(Q391)&lt;=260,LEFT(Q391,SEARCH(" ",Q391,125)),LEFT(Q391,SEARCH(" ",Q391,130)))))</f>
        <v/>
      </c>
      <c r="E408" s="733"/>
      <c r="F408" s="733"/>
      <c r="G408" s="733"/>
      <c r="H408" s="733"/>
      <c r="I408" s="733"/>
      <c r="J408" s="733"/>
      <c r="K408" s="733"/>
      <c r="L408" s="733"/>
      <c r="M408" s="140"/>
      <c r="O408" s="647"/>
      <c r="P408" s="675"/>
      <c r="Q408" s="675"/>
      <c r="R408" s="668"/>
      <c r="S408" s="673"/>
      <c r="T408" s="673"/>
      <c r="U408" s="673"/>
      <c r="V408" s="673"/>
      <c r="W408" s="673"/>
      <c r="X408" s="673"/>
      <c r="Y408" s="646"/>
    </row>
    <row r="409" spans="1:25" ht="14.1" customHeight="1">
      <c r="A409" s="87">
        <v>49</v>
      </c>
      <c r="B409" s="138"/>
      <c r="C409" s="659"/>
      <c r="D409" s="732" t="str">
        <f>IF(LEN(Q391)&lt;=135,"",IF(LEN(Q391)&lt;=260,RIGHT(Q391,LEN(Q391)-SEARCH(" ",Q391,125)),MID(Q391,SEARCH(" ",Q391,130),IF(LEN(Q391)&lt;=265,LEN(Q391),SEARCH(" ",Q391,255)-SEARCH(" ",Q391,130)))))</f>
        <v/>
      </c>
      <c r="E409" s="733"/>
      <c r="F409" s="733"/>
      <c r="G409" s="733"/>
      <c r="H409" s="733"/>
      <c r="I409" s="733"/>
      <c r="J409" s="733"/>
      <c r="K409" s="733"/>
      <c r="L409" s="733"/>
      <c r="M409" s="140"/>
      <c r="O409" s="639"/>
      <c r="P409" s="675"/>
      <c r="Q409" s="675"/>
      <c r="R409" s="668"/>
      <c r="S409" s="670"/>
      <c r="T409" s="670"/>
      <c r="U409" s="670"/>
      <c r="V409" s="670"/>
      <c r="W409" s="670"/>
      <c r="X409" s="670"/>
      <c r="Y409" s="638"/>
    </row>
    <row r="410" spans="1:25" ht="14.1" customHeight="1">
      <c r="A410" s="87">
        <v>50</v>
      </c>
      <c r="B410" s="138"/>
      <c r="C410" s="659"/>
      <c r="D410" s="732" t="str">
        <f>IF(LEN(Q391)&lt;=265,"",RIGHT(Q391,LEN(Q391)-SEARCH(" ",Q391,255)))</f>
        <v/>
      </c>
      <c r="E410" s="733"/>
      <c r="F410" s="733"/>
      <c r="G410" s="733"/>
      <c r="H410" s="733"/>
      <c r="I410" s="733"/>
      <c r="J410" s="733"/>
      <c r="K410" s="733"/>
      <c r="L410" s="733"/>
      <c r="M410" s="140"/>
      <c r="O410" s="639"/>
      <c r="P410" s="675"/>
      <c r="Q410" s="675"/>
      <c r="R410" s="668"/>
      <c r="S410" s="670"/>
      <c r="T410" s="670"/>
      <c r="U410" s="670"/>
      <c r="V410" s="670"/>
      <c r="W410" s="670"/>
      <c r="X410" s="670"/>
      <c r="Y410" s="638"/>
    </row>
    <row r="411" spans="1:25" ht="14.1" customHeight="1">
      <c r="A411" s="87">
        <v>51</v>
      </c>
      <c r="B411" s="138"/>
      <c r="C411" s="660"/>
      <c r="D411" s="732" t="str">
        <f>IF(Q393="","",IF(LEN(Q393)&lt;=135,Q393,IF(LEN(Q393)&lt;=260,LEFT(Q393,SEARCH(" ",Q393,125)),LEFT(Q393,SEARCH(" ",Q393,130)))))</f>
        <v/>
      </c>
      <c r="E411" s="733"/>
      <c r="F411" s="733"/>
      <c r="G411" s="733"/>
      <c r="H411" s="733"/>
      <c r="I411" s="733"/>
      <c r="J411" s="733"/>
      <c r="K411" s="733"/>
      <c r="L411" s="733"/>
      <c r="M411" s="140"/>
      <c r="O411" s="647"/>
      <c r="P411" s="675"/>
      <c r="Q411" s="675"/>
      <c r="R411" s="668"/>
      <c r="S411" s="676"/>
      <c r="T411" s="673"/>
      <c r="U411" s="673"/>
      <c r="V411" s="670"/>
      <c r="W411" s="670"/>
      <c r="X411" s="670"/>
      <c r="Y411" s="646"/>
    </row>
    <row r="412" spans="1:25" ht="14.1" customHeight="1">
      <c r="A412" s="87">
        <v>52</v>
      </c>
      <c r="B412" s="138"/>
      <c r="C412" s="660"/>
      <c r="D412" s="732" t="str">
        <f>IF(LEN(Q393)&lt;=135,"",IF(LEN(Q393)&lt;=260,RIGHT(Q393,LEN(Q393)-SEARCH(" ",Q393,125)),MID(Q393,SEARCH(" ",Q393,130),IF(LEN(Q393)&lt;=265,LEN(Q393),SEARCH(" ",Q393,255)-SEARCH(" ",Q393,130)))))</f>
        <v/>
      </c>
      <c r="E412" s="733"/>
      <c r="F412" s="733"/>
      <c r="G412" s="733"/>
      <c r="H412" s="733"/>
      <c r="I412" s="733"/>
      <c r="J412" s="733"/>
      <c r="K412" s="733"/>
      <c r="L412" s="733"/>
      <c r="M412" s="140"/>
      <c r="O412" s="639"/>
      <c r="P412" s="675"/>
      <c r="Q412" s="675"/>
      <c r="R412" s="668"/>
      <c r="S412" s="670"/>
      <c r="T412" s="668"/>
      <c r="U412" s="670"/>
      <c r="V412" s="668"/>
      <c r="W412" s="670"/>
      <c r="X412" s="670"/>
      <c r="Y412" s="638"/>
    </row>
    <row r="413" spans="1:25" ht="14.1" customHeight="1">
      <c r="A413" s="87">
        <v>53</v>
      </c>
      <c r="B413" s="138"/>
      <c r="C413" s="660"/>
      <c r="D413" s="732" t="str">
        <f>IF(LEN(Q393)&lt;=265,"",RIGHT(Q393,LEN(Q393)-SEARCH(" ",Q393,255)))</f>
        <v/>
      </c>
      <c r="E413" s="733"/>
      <c r="F413" s="733"/>
      <c r="G413" s="733"/>
      <c r="H413" s="733"/>
      <c r="I413" s="733"/>
      <c r="J413" s="733"/>
      <c r="K413" s="733"/>
      <c r="L413" s="733"/>
      <c r="M413" s="140"/>
      <c r="O413" s="639"/>
      <c r="P413" s="675"/>
      <c r="Q413" s="675"/>
      <c r="R413" s="668"/>
      <c r="S413" s="670"/>
      <c r="T413" s="668"/>
      <c r="U413" s="670"/>
      <c r="V413" s="668"/>
      <c r="W413" s="670"/>
      <c r="X413" s="670"/>
      <c r="Y413" s="638"/>
    </row>
    <row r="414" spans="1:25" ht="14.1" customHeight="1">
      <c r="A414" s="87">
        <v>54</v>
      </c>
      <c r="B414" s="138"/>
      <c r="C414" s="634"/>
      <c r="D414" s="732" t="str">
        <f>IF(Q395="","",IF(LEN(Q395)&lt;=135,Q395,IF(LEN(Q395)&lt;=260,LEFT(Q395,SEARCH(" ",Q395,125)),LEFT(Q395,SEARCH(" ",Q395,130)))))</f>
        <v/>
      </c>
      <c r="E414" s="733"/>
      <c r="F414" s="733"/>
      <c r="G414" s="733"/>
      <c r="H414" s="733"/>
      <c r="I414" s="733"/>
      <c r="J414" s="733"/>
      <c r="K414" s="733"/>
      <c r="L414" s="733"/>
      <c r="M414" s="140"/>
      <c r="O414" s="647"/>
      <c r="P414" s="675"/>
      <c r="Q414" s="675"/>
      <c r="R414" s="668"/>
      <c r="S414" s="670"/>
      <c r="T414" s="668"/>
      <c r="U414" s="670"/>
      <c r="V414" s="668"/>
      <c r="W414" s="670"/>
      <c r="X414" s="670"/>
      <c r="Y414" s="646"/>
    </row>
    <row r="415" spans="1:25" ht="14.1" customHeight="1" thickBot="1">
      <c r="A415" s="87">
        <v>55</v>
      </c>
      <c r="B415" s="138"/>
      <c r="C415" s="651"/>
      <c r="D415" s="732" t="str">
        <f>IF(LEN(Q395)&lt;=135,"",IF(LEN(Q395)&lt;=260,RIGHT(Q395,LEN(Q395)-SEARCH(" ",Q395,125)),MID(Q395,SEARCH(" ",Q395,130),IF(LEN(Q395)&lt;=265,LEN(Q395),SEARCH(" ",Q395,255)-SEARCH(" ",Q395,130)))))</f>
        <v/>
      </c>
      <c r="E415" s="733"/>
      <c r="F415" s="733"/>
      <c r="G415" s="733"/>
      <c r="H415" s="733"/>
      <c r="I415" s="733"/>
      <c r="J415" s="733"/>
      <c r="K415" s="733"/>
      <c r="L415" s="733"/>
      <c r="M415" s="140"/>
      <c r="O415" s="652"/>
      <c r="P415" s="653"/>
      <c r="Q415" s="654"/>
      <c r="R415" s="655"/>
      <c r="S415" s="653"/>
      <c r="T415" s="653"/>
      <c r="U415" s="653"/>
      <c r="V415" s="653"/>
      <c r="W415" s="653"/>
      <c r="X415" s="653"/>
      <c r="Y415" s="656"/>
    </row>
    <row r="416" spans="1:25" ht="14.1" customHeight="1" thickTop="1">
      <c r="A416" s="87">
        <v>56</v>
      </c>
      <c r="B416" s="138"/>
      <c r="C416" s="651"/>
      <c r="D416" s="732" t="str">
        <f>IF(LEN(Q395)&lt;=265,"",RIGHT(Q395,LEN(Q395)-SEARCH(" ",Q395,255)))</f>
        <v/>
      </c>
      <c r="E416" s="733"/>
      <c r="F416" s="733"/>
      <c r="G416" s="733"/>
      <c r="H416" s="733"/>
      <c r="I416" s="733"/>
      <c r="J416" s="733"/>
      <c r="K416" s="733"/>
      <c r="L416" s="733"/>
      <c r="M416" s="140"/>
    </row>
    <row r="417" spans="1:13" ht="14.1" customHeight="1">
      <c r="A417" s="87">
        <v>57</v>
      </c>
      <c r="B417" s="138"/>
      <c r="C417" s="634"/>
      <c r="D417" s="732" t="str">
        <f>IF(Q397="","",IF(LEN(Q397)&lt;=135,Q397,IF(LEN(Q397)&lt;=260,LEFT(Q397,SEARCH(" ",Q397,125)),LEFT(Q397,SEARCH(" ",Q397,130)))))</f>
        <v/>
      </c>
      <c r="E417" s="733"/>
      <c r="F417" s="733"/>
      <c r="G417" s="733"/>
      <c r="H417" s="733"/>
      <c r="I417" s="733"/>
      <c r="J417" s="733"/>
      <c r="K417" s="733"/>
      <c r="L417" s="733"/>
      <c r="M417" s="140"/>
    </row>
    <row r="418" spans="1:13" ht="14.1" customHeight="1">
      <c r="A418" s="87">
        <v>58</v>
      </c>
      <c r="B418" s="138"/>
      <c r="C418" s="651"/>
      <c r="D418" s="732" t="str">
        <f>IF(LEN(Q397)&lt;=135,"",IF(LEN(Q397)&lt;=260,RIGHT(Q397,LEN(Q397)-SEARCH(" ",Q397,125)),MID(Q397,SEARCH(" ",Q397,130),IF(LEN(Q397)&lt;=265,LEN(Q397),SEARCH(" ",Q397,255)-SEARCH(" ",Q397,130)))))</f>
        <v/>
      </c>
      <c r="E418" s="733"/>
      <c r="F418" s="733"/>
      <c r="G418" s="733"/>
      <c r="H418" s="733"/>
      <c r="I418" s="733"/>
      <c r="J418" s="733"/>
      <c r="K418" s="733"/>
      <c r="L418" s="733"/>
      <c r="M418" s="140"/>
    </row>
    <row r="419" spans="1:13" ht="14.1" customHeight="1">
      <c r="A419" s="87">
        <v>59</v>
      </c>
      <c r="B419" s="138"/>
      <c r="C419" s="651"/>
      <c r="D419" s="732" t="str">
        <f>IF(LEN(Q397)&lt;=265,"",RIGHT(Q397,LEN(Q397)-SEARCH(" ",Q397,255)))</f>
        <v/>
      </c>
      <c r="E419" s="733"/>
      <c r="F419" s="733"/>
      <c r="G419" s="733"/>
      <c r="H419" s="733"/>
      <c r="I419" s="733"/>
      <c r="J419" s="733"/>
      <c r="K419" s="733"/>
      <c r="L419" s="733"/>
      <c r="M419" s="140"/>
    </row>
    <row r="420" spans="1:13" ht="14.1" customHeight="1">
      <c r="A420" s="87">
        <v>60</v>
      </c>
      <c r="B420" s="138"/>
      <c r="C420" s="634"/>
      <c r="D420" s="732" t="str">
        <f>IF(Q399="","",IF(LEN(Q399)&lt;=135,Q399,IF(LEN(Q399)&lt;=260,LEFT(Q399,SEARCH(" ",Q399,125)),LEFT(Q399,SEARCH(" ",Q399,130)))))</f>
        <v/>
      </c>
      <c r="E420" s="733"/>
      <c r="F420" s="733"/>
      <c r="G420" s="733"/>
      <c r="H420" s="733"/>
      <c r="I420" s="733"/>
      <c r="J420" s="733"/>
      <c r="K420" s="733"/>
      <c r="L420" s="733"/>
      <c r="M420" s="140"/>
    </row>
    <row r="421" spans="1:13" ht="14.1" customHeight="1">
      <c r="A421" s="87">
        <v>61</v>
      </c>
      <c r="B421" s="138"/>
      <c r="C421" s="651"/>
      <c r="D421" s="732" t="str">
        <f>IF(LEN(Q399)&lt;=135,"",IF(LEN(Q399)&lt;=260,RIGHT(Q399,LEN(Q399)-SEARCH(" ",Q399,125)),MID(Q399,SEARCH(" ",Q399,130),IF(LEN(Q399)&lt;=265,LEN(Q399),SEARCH(" ",Q399,255)-SEARCH(" ",Q399,130)))))</f>
        <v/>
      </c>
      <c r="E421" s="733"/>
      <c r="F421" s="733"/>
      <c r="G421" s="733"/>
      <c r="H421" s="733"/>
      <c r="I421" s="733"/>
      <c r="J421" s="733"/>
      <c r="K421" s="733"/>
      <c r="L421" s="733"/>
      <c r="M421" s="140"/>
    </row>
    <row r="422" spans="1:13" ht="14.1" customHeight="1">
      <c r="A422" s="87">
        <v>62</v>
      </c>
      <c r="B422" s="138"/>
      <c r="C422" s="651"/>
      <c r="D422" s="732" t="str">
        <f>IF(LEN(Q399)&lt;=265,"",RIGHT(Q399,LEN(Q399)-SEARCH(" ",Q399,255)))</f>
        <v/>
      </c>
      <c r="E422" s="733"/>
      <c r="F422" s="733"/>
      <c r="G422" s="733"/>
      <c r="H422" s="733"/>
      <c r="I422" s="733"/>
      <c r="J422" s="733"/>
      <c r="K422" s="733"/>
      <c r="L422" s="734"/>
      <c r="M422" s="140"/>
    </row>
    <row r="423" spans="1:13" ht="14.1" customHeight="1">
      <c r="A423" s="87">
        <v>63</v>
      </c>
      <c r="B423" s="138"/>
      <c r="C423" s="634"/>
      <c r="D423" s="732" t="str">
        <f>IF(Q401="","",IF(LEN(Q401)&lt;=135,Q401,IF(LEN(Q401)&lt;=260,LEFT(Q401,SEARCH(" ",Q401,125)),LEFT(Q401,SEARCH(" ",Q401,130)))))</f>
        <v/>
      </c>
      <c r="E423" s="733"/>
      <c r="F423" s="733"/>
      <c r="G423" s="733"/>
      <c r="H423" s="733"/>
      <c r="I423" s="733"/>
      <c r="J423" s="733"/>
      <c r="K423" s="733"/>
      <c r="L423" s="734"/>
      <c r="M423" s="140"/>
    </row>
    <row r="424" spans="1:13" ht="14.1" customHeight="1">
      <c r="A424" s="87">
        <v>64</v>
      </c>
      <c r="B424" s="138"/>
      <c r="C424" s="139"/>
      <c r="D424" s="732" t="str">
        <f>IF(LEN(Q401)&lt;=135,"",IF(LEN(Q401)&lt;=260,RIGHT(Q401,LEN(Q401)-SEARCH(" ",Q401,125)),MID(Q401,SEARCH(" ",Q401,130),IF(LEN(Q401)&lt;=265,LEN(Q401),SEARCH(" ",Q401,255)-SEARCH(" ",Q401,130)))))</f>
        <v/>
      </c>
      <c r="E424" s="734"/>
      <c r="F424" s="734"/>
      <c r="G424" s="734"/>
      <c r="H424" s="734"/>
      <c r="I424" s="734"/>
      <c r="J424" s="734"/>
      <c r="K424" s="734"/>
      <c r="L424" s="734"/>
      <c r="M424" s="140"/>
    </row>
    <row r="425" spans="1:13" ht="14.1" customHeight="1">
      <c r="A425" s="87">
        <v>65</v>
      </c>
      <c r="B425" s="138"/>
      <c r="C425" s="139"/>
      <c r="D425" s="732" t="str">
        <f>IF(LEN(Q401)&lt;=265,"",RIGHT(Q401,LEN(Q401)-SEARCH(" ",Q401,255)))</f>
        <v/>
      </c>
      <c r="E425" s="734"/>
      <c r="F425" s="734"/>
      <c r="G425" s="734"/>
      <c r="H425" s="734"/>
      <c r="I425" s="734"/>
      <c r="J425" s="734"/>
      <c r="K425" s="734"/>
      <c r="L425" s="734"/>
      <c r="M425" s="140"/>
    </row>
    <row r="426" spans="1:13" ht="14.1" customHeight="1">
      <c r="A426" s="87">
        <v>66</v>
      </c>
      <c r="B426" s="138"/>
      <c r="C426" s="139"/>
      <c r="D426" s="732" t="str">
        <f>IF(Q403="","",IF(LEN(Q403)&lt;=135,Q403,IF(LEN(Q403)&lt;=260,LEFT(Q403,SEARCH(" ",Q403,125)),LEFT(Q403,SEARCH(" ",Q403,130)))))</f>
        <v/>
      </c>
      <c r="E426" s="734"/>
      <c r="F426" s="734"/>
      <c r="G426" s="734"/>
      <c r="H426" s="734"/>
      <c r="I426" s="734"/>
      <c r="J426" s="734"/>
      <c r="K426" s="734"/>
      <c r="L426" s="734"/>
      <c r="M426" s="140"/>
    </row>
    <row r="427" spans="1:13" ht="14.1" customHeight="1">
      <c r="A427" s="87">
        <v>67</v>
      </c>
      <c r="B427" s="138"/>
      <c r="C427" s="651"/>
      <c r="D427" s="732" t="str">
        <f>IF(LEN(Q403)&lt;=135,"",IF(LEN(Q403)&lt;=260,RIGHT(Q403,LEN(Q403)-SEARCH(" ",Q403,125)),MID(Q403,SEARCH(" ",Q403,130),IF(LEN(Q403)&lt;=265,LEN(Q403),SEARCH(" ",Q403,255)-SEARCH(" ",Q403,130)))))</f>
        <v/>
      </c>
      <c r="E427" s="733"/>
      <c r="F427" s="733"/>
      <c r="G427" s="733"/>
      <c r="H427" s="733"/>
      <c r="I427" s="733"/>
      <c r="J427" s="733"/>
      <c r="K427" s="733"/>
      <c r="L427" s="735"/>
      <c r="M427" s="140"/>
    </row>
    <row r="428" spans="1:13" ht="14.1" customHeight="1">
      <c r="A428" s="87">
        <v>68</v>
      </c>
      <c r="B428" s="138"/>
      <c r="C428" s="139"/>
      <c r="D428" s="732" t="str">
        <f>IF(LEN(Q403)&lt;=265,"",RIGHT(Q403,LEN(Q403)-SEARCH(" ",Q403,255)))</f>
        <v/>
      </c>
      <c r="E428" s="734"/>
      <c r="F428" s="734"/>
      <c r="G428" s="734"/>
      <c r="H428" s="734"/>
      <c r="I428" s="734"/>
      <c r="J428" s="734"/>
      <c r="K428" s="734"/>
      <c r="L428" s="734"/>
      <c r="M428" s="140"/>
    </row>
    <row r="429" spans="1:13" ht="14.1" customHeight="1">
      <c r="A429" s="87">
        <v>69</v>
      </c>
      <c r="B429" s="138"/>
      <c r="C429" s="139"/>
      <c r="D429" s="139"/>
      <c r="E429" s="139"/>
      <c r="F429" s="139"/>
      <c r="G429" s="139"/>
      <c r="H429" s="139"/>
      <c r="I429" s="139"/>
      <c r="J429" s="139"/>
      <c r="K429" s="139"/>
      <c r="L429" s="139"/>
      <c r="M429" s="140"/>
    </row>
    <row r="430" spans="1:13" ht="14.1" customHeight="1" thickBot="1">
      <c r="A430" s="87">
        <v>70</v>
      </c>
      <c r="B430" s="151"/>
      <c r="C430" s="680"/>
      <c r="D430" s="681"/>
      <c r="E430" s="653"/>
      <c r="F430" s="653"/>
      <c r="G430" s="653"/>
      <c r="H430" s="653"/>
      <c r="I430" s="653"/>
      <c r="J430" s="653"/>
      <c r="K430" s="653"/>
      <c r="L430" s="152"/>
      <c r="M430" s="153"/>
    </row>
    <row r="431" spans="1:13" ht="14.1" customHeight="1" thickTop="1">
      <c r="A431" s="87">
        <v>71</v>
      </c>
      <c r="C431" s="183" t="s">
        <v>11</v>
      </c>
      <c r="D431" s="489">
        <f>IF($P$7="","",$P$7)</f>
        <v>42178</v>
      </c>
      <c r="E431" s="97"/>
      <c r="F431" s="97"/>
      <c r="G431" s="97"/>
      <c r="H431" s="97"/>
      <c r="I431" s="97"/>
      <c r="J431" s="97"/>
      <c r="K431" s="97"/>
      <c r="L431" s="183" t="s">
        <v>12</v>
      </c>
      <c r="M431" s="490" t="str">
        <f>IF($X$7="","",$X$7)</f>
        <v>Eugene Mah</v>
      </c>
    </row>
    <row r="432" spans="1:13" ht="14.1" customHeight="1">
      <c r="A432" s="87">
        <v>72</v>
      </c>
      <c r="C432" s="183" t="s">
        <v>121</v>
      </c>
      <c r="D432" s="490" t="str">
        <f>IF($R$14="","",$R$14)</f>
        <v>1C10</v>
      </c>
      <c r="E432" s="97"/>
      <c r="F432" s="97"/>
      <c r="G432" s="97"/>
      <c r="H432" s="97"/>
      <c r="I432" s="97"/>
      <c r="J432" s="97"/>
      <c r="K432" s="97"/>
      <c r="L432" s="183" t="s">
        <v>37</v>
      </c>
      <c r="M432" s="490">
        <f>IF($R$13="","",$R$13)</f>
        <v>1732</v>
      </c>
    </row>
  </sheetData>
  <mergeCells count="57">
    <mergeCell ref="F294:H294"/>
    <mergeCell ref="I291:J291"/>
    <mergeCell ref="I292:J292"/>
    <mergeCell ref="F18:G18"/>
    <mergeCell ref="K18:L18"/>
    <mergeCell ref="H250:J250"/>
    <mergeCell ref="D179:G179"/>
    <mergeCell ref="D186:F186"/>
    <mergeCell ref="H186:J186"/>
    <mergeCell ref="K186:M186"/>
    <mergeCell ref="F13:G13"/>
    <mergeCell ref="K13:L13"/>
    <mergeCell ref="F16:G16"/>
    <mergeCell ref="K16:L16"/>
    <mergeCell ref="F17:G17"/>
    <mergeCell ref="K17:L17"/>
    <mergeCell ref="F10:G10"/>
    <mergeCell ref="K10:L10"/>
    <mergeCell ref="F11:G11"/>
    <mergeCell ref="K11:L11"/>
    <mergeCell ref="F12:G12"/>
    <mergeCell ref="K12:L12"/>
    <mergeCell ref="F21:G21"/>
    <mergeCell ref="K21:L21"/>
    <mergeCell ref="F22:G22"/>
    <mergeCell ref="K22:L22"/>
    <mergeCell ref="K23:L23"/>
    <mergeCell ref="F24:G24"/>
    <mergeCell ref="K24:L24"/>
    <mergeCell ref="F25:G25"/>
    <mergeCell ref="F26:G26"/>
    <mergeCell ref="F28:G28"/>
    <mergeCell ref="K28:L28"/>
    <mergeCell ref="K27:L27"/>
    <mergeCell ref="F29:G29"/>
    <mergeCell ref="K29:L29"/>
    <mergeCell ref="F30:G30"/>
    <mergeCell ref="K30:L30"/>
    <mergeCell ref="D35:F35"/>
    <mergeCell ref="G35:I35"/>
    <mergeCell ref="J35:L35"/>
    <mergeCell ref="G36:I36"/>
    <mergeCell ref="L44:M44"/>
    <mergeCell ref="P121:R122"/>
    <mergeCell ref="V121:X122"/>
    <mergeCell ref="S121:U122"/>
    <mergeCell ref="U197:W197"/>
    <mergeCell ref="U251:W251"/>
    <mergeCell ref="S282:U282"/>
    <mergeCell ref="Q333:V333"/>
    <mergeCell ref="Q197:S197"/>
    <mergeCell ref="P129:R130"/>
    <mergeCell ref="S129:U130"/>
    <mergeCell ref="V129:X130"/>
    <mergeCell ref="P173:S173"/>
    <mergeCell ref="Q182:S182"/>
    <mergeCell ref="U182:W182"/>
  </mergeCells>
  <conditionalFormatting sqref="Q266:S266">
    <cfRule type="cellIs" dxfId="55" priority="66" stopIfTrue="1" operator="equal">
      <formula>"Fail"</formula>
    </cfRule>
  </conditionalFormatting>
  <conditionalFormatting sqref="Q305">
    <cfRule type="cellIs" dxfId="54" priority="68" stopIfTrue="1" operator="equal">
      <formula>"Fail"</formula>
    </cfRule>
  </conditionalFormatting>
  <conditionalFormatting sqref="Q320">
    <cfRule type="cellIs" dxfId="53" priority="70" stopIfTrue="1" operator="equal">
      <formula>"Fail"</formula>
    </cfRule>
  </conditionalFormatting>
  <conditionalFormatting sqref="Q266:S266">
    <cfRule type="cellIs" dxfId="52" priority="65" stopIfTrue="1" operator="equal">
      <formula>"Pass"</formula>
    </cfRule>
  </conditionalFormatting>
  <conditionalFormatting sqref="Q305">
    <cfRule type="cellIs" dxfId="51" priority="67" stopIfTrue="1" operator="equal">
      <formula>"Pass"</formula>
    </cfRule>
  </conditionalFormatting>
  <conditionalFormatting sqref="Q320">
    <cfRule type="cellIs" dxfId="50" priority="69" stopIfTrue="1" operator="equal">
      <formula>"Pass"</formula>
    </cfRule>
  </conditionalFormatting>
  <conditionalFormatting sqref="X284:X299">
    <cfRule type="cellIs" dxfId="49" priority="57" operator="lessThan">
      <formula>0.05</formula>
    </cfRule>
    <cfRule type="cellIs" dxfId="48" priority="60" operator="greaterThan">
      <formula>0.05</formula>
    </cfRule>
  </conditionalFormatting>
  <conditionalFormatting sqref="U224:U227">
    <cfRule type="cellIs" dxfId="47" priority="58" operator="lessThan">
      <formula>0.1</formula>
    </cfRule>
    <cfRule type="cellIs" dxfId="46" priority="59" operator="greaterThan">
      <formula>0.1</formula>
    </cfRule>
  </conditionalFormatting>
  <conditionalFormatting sqref="T381">
    <cfRule type="cellIs" dxfId="45" priority="55" operator="lessThan">
      <formula>2</formula>
    </cfRule>
    <cfRule type="cellIs" dxfId="44" priority="56" operator="greaterThan">
      <formula>2</formula>
    </cfRule>
  </conditionalFormatting>
  <conditionalFormatting sqref="T380">
    <cfRule type="cellIs" dxfId="43" priority="53" operator="lessThan">
      <formula>40</formula>
    </cfRule>
    <cfRule type="cellIs" dxfId="42" priority="54" operator="greaterThan">
      <formula>40</formula>
    </cfRule>
  </conditionalFormatting>
  <conditionalFormatting sqref="V380:V381">
    <cfRule type="cellIs" dxfId="41" priority="51" operator="greaterThan">
      <formula>0.15</formula>
    </cfRule>
    <cfRule type="cellIs" dxfId="40" priority="52" operator="lessThan">
      <formula>0.15</formula>
    </cfRule>
  </conditionalFormatting>
  <conditionalFormatting sqref="X243:Y243">
    <cfRule type="cellIs" dxfId="39" priority="49" operator="lessThan">
      <formula>0.15</formula>
    </cfRule>
    <cfRule type="cellIs" dxfId="38" priority="50" operator="greaterThan">
      <formula>0.15</formula>
    </cfRule>
  </conditionalFormatting>
  <conditionalFormatting sqref="P245:V245">
    <cfRule type="cellIs" dxfId="37" priority="47" operator="lessThan">
      <formula>0.05</formula>
    </cfRule>
    <cfRule type="cellIs" dxfId="36" priority="48" operator="greaterThan">
      <formula>0.05</formula>
    </cfRule>
  </conditionalFormatting>
  <conditionalFormatting sqref="X226">
    <cfRule type="cellIs" dxfId="35" priority="45" operator="lessThan">
      <formula>0.05</formula>
    </cfRule>
    <cfRule type="cellIs" dxfId="34" priority="46" operator="greaterThan">
      <formula>0.05</formula>
    </cfRule>
  </conditionalFormatting>
  <conditionalFormatting sqref="Q188:S189 U188:W189 Q203:S204 U203:W204">
    <cfRule type="cellIs" dxfId="33" priority="43" operator="lessThan">
      <formula>13</formula>
    </cfRule>
    <cfRule type="cellIs" dxfId="32" priority="44" operator="greaterThan">
      <formula>13</formula>
    </cfRule>
  </conditionalFormatting>
  <conditionalFormatting sqref="Q205:S205 U205:W205">
    <cfRule type="cellIs" dxfId="31" priority="41" operator="lessThan">
      <formula>6.5</formula>
    </cfRule>
    <cfRule type="cellIs" dxfId="30" priority="42" operator="greaterThan">
      <formula>6.5</formula>
    </cfRule>
  </conditionalFormatting>
  <conditionalFormatting sqref="Q206:S206 U206:W206">
    <cfRule type="cellIs" dxfId="29" priority="39" operator="lessThan">
      <formula>5</formula>
    </cfRule>
    <cfRule type="cellIs" dxfId="28" priority="40" operator="greaterThan">
      <formula>5</formula>
    </cfRule>
  </conditionalFormatting>
  <conditionalFormatting sqref="Q260:S260">
    <cfRule type="cellIs" dxfId="27" priority="37" operator="lessThan">
      <formula>0.07</formula>
    </cfRule>
    <cfRule type="cellIs" dxfId="26" priority="38" operator="greaterThan">
      <formula>0.07</formula>
    </cfRule>
  </conditionalFormatting>
  <conditionalFormatting sqref="X271">
    <cfRule type="cellIs" dxfId="25" priority="35" operator="lessThan">
      <formula>3</formula>
    </cfRule>
    <cfRule type="cellIs" dxfId="24" priority="36" operator="greaterThan">
      <formula>3</formula>
    </cfRule>
  </conditionalFormatting>
  <conditionalFormatting sqref="X276">
    <cfRule type="cellIs" dxfId="23" priority="34" operator="between">
      <formula>-0.15</formula>
      <formula>0.15</formula>
    </cfRule>
  </conditionalFormatting>
  <conditionalFormatting sqref="P314:S314">
    <cfRule type="cellIs" dxfId="22" priority="31" operator="greaterThan">
      <formula>0.02</formula>
    </cfRule>
    <cfRule type="cellIs" dxfId="21" priority="32" operator="lessThan">
      <formula>0.02</formula>
    </cfRule>
  </conditionalFormatting>
  <conditionalFormatting sqref="Q341">
    <cfRule type="cellIs" dxfId="20" priority="30" operator="between">
      <formula>$Q$343</formula>
      <formula>"$Q$320"</formula>
    </cfRule>
  </conditionalFormatting>
  <conditionalFormatting sqref="R341">
    <cfRule type="cellIs" dxfId="19" priority="29" operator="between">
      <formula>$R$343</formula>
      <formula>$R$344</formula>
    </cfRule>
  </conditionalFormatting>
  <conditionalFormatting sqref="S341">
    <cfRule type="cellIs" dxfId="18" priority="27" operator="between">
      <formula>$S$343</formula>
      <formula>$S$344</formula>
    </cfRule>
  </conditionalFormatting>
  <conditionalFormatting sqref="T341">
    <cfRule type="cellIs" dxfId="17" priority="26" operator="between">
      <formula>$T$343</formula>
      <formula>$T$344</formula>
    </cfRule>
  </conditionalFormatting>
  <conditionalFormatting sqref="U341">
    <cfRule type="cellIs" dxfId="16" priority="25" operator="greaterThan">
      <formula>$U$343</formula>
    </cfRule>
  </conditionalFormatting>
  <conditionalFormatting sqref="V341">
    <cfRule type="cellIs" dxfId="15" priority="24" operator="greaterThan">
      <formula>$V$343</formula>
    </cfRule>
  </conditionalFormatting>
  <conditionalFormatting sqref="Q217:R217">
    <cfRule type="containsText" dxfId="14" priority="22" operator="containsText" text="Fail">
      <formula>NOT(ISERROR(SEARCH("Fail",Q217)))</formula>
    </cfRule>
    <cfRule type="containsText" dxfId="13" priority="23" operator="containsText" text="Pass">
      <formula>NOT(ISERROR(SEARCH("Pass",Q217)))</formula>
    </cfRule>
  </conditionalFormatting>
  <conditionalFormatting sqref="V305">
    <cfRule type="cellIs" dxfId="12" priority="21" stopIfTrue="1" operator="equal">
      <formula>"Fail"</formula>
    </cfRule>
  </conditionalFormatting>
  <conditionalFormatting sqref="V305">
    <cfRule type="cellIs" dxfId="11" priority="20" stopIfTrue="1" operator="equal">
      <formula>"Pass"</formula>
    </cfRule>
  </conditionalFormatting>
  <conditionalFormatting sqref="U314:X314">
    <cfRule type="cellIs" dxfId="10" priority="18" operator="greaterThan">
      <formula>0.02</formula>
    </cfRule>
    <cfRule type="cellIs" dxfId="9" priority="19" operator="lessThan">
      <formula>0.02</formula>
    </cfRule>
  </conditionalFormatting>
  <conditionalFormatting sqref="T312">
    <cfRule type="cellIs" dxfId="8" priority="16" operator="lessThan">
      <formula>7</formula>
    </cfRule>
    <cfRule type="cellIs" dxfId="7" priority="17" operator="greaterThan">
      <formula>7</formula>
    </cfRule>
  </conditionalFormatting>
  <conditionalFormatting sqref="Y312">
    <cfRule type="cellIs" dxfId="6" priority="14" operator="lessThan">
      <formula>2</formula>
    </cfRule>
    <cfRule type="cellIs" dxfId="5" priority="15" operator="greaterThan">
      <formula>2</formula>
    </cfRule>
  </conditionalFormatting>
  <conditionalFormatting sqref="U253:W257">
    <cfRule type="cellIs" dxfId="4" priority="13" operator="greaterThan">
      <formula>0.07</formula>
    </cfRule>
  </conditionalFormatting>
  <conditionalFormatting sqref="J343">
    <cfRule type="cellIs" dxfId="3" priority="2" stopIfTrue="1" operator="equal">
      <formula>"Fail"</formula>
    </cfRule>
  </conditionalFormatting>
  <conditionalFormatting sqref="J343">
    <cfRule type="cellIs" dxfId="2" priority="1" stopIfTrue="1" operator="equal">
      <formula>"Pass"</formula>
    </cfRule>
  </conditionalFormatting>
  <conditionalFormatting sqref="E343">
    <cfRule type="cellIs" dxfId="1" priority="4" stopIfTrue="1" operator="equal">
      <formula>"Fail"</formula>
    </cfRule>
  </conditionalFormatting>
  <conditionalFormatting sqref="E343">
    <cfRule type="cellIs" dxfId="0" priority="3" stopIfTrue="1" operator="equal">
      <formula>"Pass"</formula>
    </cfRule>
  </conditionalFormatting>
  <pageMargins left="0.51181102362204722" right="0.51181102362204722" top="0.51181102362204722" bottom="0.51181102362204722" header="0.51181102362204722" footer="0.51181102362204722"/>
  <pageSetup scale="73" fitToHeight="0" pageOrder="overThenDown" orientation="portrait" r:id="rId1"/>
  <headerFoot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55"/>
  <sheetViews>
    <sheetView topLeftCell="A19" workbookViewId="0">
      <selection activeCell="K41" sqref="K41"/>
    </sheetView>
  </sheetViews>
  <sheetFormatPr defaultRowHeight="14.25"/>
  <cols>
    <col min="1" max="1" width="5.25" style="16" customWidth="1"/>
    <col min="2" max="2" width="5.625" style="16" customWidth="1"/>
    <col min="3" max="3" width="6.25" style="16" customWidth="1"/>
    <col min="4" max="4" width="7.75" style="16" customWidth="1"/>
    <col min="5" max="5" width="6.25" style="16" customWidth="1"/>
    <col min="6" max="7" width="7.75" style="16" customWidth="1"/>
    <col min="8" max="10" width="8" style="16" customWidth="1"/>
    <col min="11" max="12" width="8.875" style="16" customWidth="1"/>
    <col min="13" max="13" width="7" style="16" customWidth="1"/>
    <col min="14" max="14" width="16" style="16" customWidth="1"/>
  </cols>
  <sheetData>
    <row r="1" spans="1:14" ht="25.5">
      <c r="A1" s="719" t="s">
        <v>380</v>
      </c>
      <c r="B1" s="719"/>
      <c r="C1" s="719"/>
      <c r="D1" s="719"/>
      <c r="E1" s="719"/>
      <c r="F1" s="719"/>
      <c r="G1" s="719"/>
      <c r="H1" s="719"/>
      <c r="I1" s="719"/>
      <c r="J1" s="719"/>
      <c r="K1" s="719"/>
      <c r="L1" s="719"/>
      <c r="M1" s="719"/>
      <c r="N1" s="719"/>
    </row>
    <row r="2" spans="1:14" ht="25.5">
      <c r="A2" s="719" t="s">
        <v>381</v>
      </c>
      <c r="B2" s="719"/>
      <c r="C2" s="719"/>
      <c r="D2" s="719"/>
      <c r="E2" s="719"/>
      <c r="F2" s="719"/>
      <c r="G2" s="719"/>
      <c r="H2" s="719"/>
      <c r="I2" s="719"/>
      <c r="J2" s="719"/>
      <c r="K2" s="719"/>
      <c r="L2" s="719"/>
      <c r="M2" s="719"/>
      <c r="N2" s="719"/>
    </row>
    <row r="3" spans="1:14" ht="16.5" customHeight="1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</row>
    <row r="4" spans="1:14" ht="16.5" customHeight="1">
      <c r="A4" s="18" t="s">
        <v>382</v>
      </c>
      <c r="B4" s="18"/>
      <c r="C4" s="716"/>
      <c r="D4" s="716"/>
      <c r="E4" s="716"/>
      <c r="F4" s="716"/>
      <c r="G4" s="716"/>
      <c r="H4" s="716"/>
      <c r="J4" s="19"/>
      <c r="K4" s="1" t="s">
        <v>383</v>
      </c>
      <c r="L4" s="716"/>
      <c r="M4" s="716"/>
      <c r="N4" s="716"/>
    </row>
    <row r="5" spans="1:14" ht="16.5" customHeight="1">
      <c r="A5" s="18" t="s">
        <v>384</v>
      </c>
      <c r="B5" s="18"/>
      <c r="C5" s="716"/>
      <c r="D5" s="716"/>
      <c r="E5" s="716"/>
      <c r="F5" s="716"/>
      <c r="G5" s="716"/>
      <c r="H5" s="716"/>
      <c r="J5" s="19"/>
      <c r="K5" s="1" t="s">
        <v>385</v>
      </c>
      <c r="L5" s="716"/>
      <c r="M5" s="716"/>
      <c r="N5" s="716"/>
    </row>
    <row r="6" spans="1:14" ht="16.5" customHeight="1">
      <c r="A6" s="18" t="s">
        <v>386</v>
      </c>
      <c r="B6" s="18"/>
      <c r="C6" s="18"/>
      <c r="D6" s="18"/>
      <c r="E6" s="716"/>
      <c r="F6" s="716"/>
      <c r="G6" s="716"/>
      <c r="H6" s="716"/>
      <c r="J6" s="19"/>
      <c r="K6" s="1" t="s">
        <v>387</v>
      </c>
      <c r="L6" s="716"/>
      <c r="M6" s="716"/>
      <c r="N6" s="716"/>
    </row>
    <row r="7" spans="1:14" ht="16.5" customHeight="1">
      <c r="A7" s="18" t="s">
        <v>388</v>
      </c>
      <c r="B7" s="18"/>
      <c r="C7" s="18"/>
      <c r="D7" s="18"/>
      <c r="E7" s="717" t="s">
        <v>389</v>
      </c>
      <c r="F7" s="717"/>
      <c r="G7" s="717"/>
      <c r="H7" s="717"/>
      <c r="J7" s="19"/>
      <c r="K7" s="1" t="s">
        <v>390</v>
      </c>
      <c r="L7" s="716"/>
      <c r="M7" s="716"/>
      <c r="N7" s="716"/>
    </row>
    <row r="8" spans="1:14" ht="16.5" customHeight="1">
      <c r="A8" s="18" t="s">
        <v>391</v>
      </c>
      <c r="B8" s="18"/>
      <c r="C8" s="18"/>
      <c r="D8" s="18"/>
      <c r="E8" s="716"/>
      <c r="F8" s="716"/>
      <c r="G8" s="716"/>
      <c r="H8" s="716"/>
      <c r="J8" s="19"/>
      <c r="K8" s="1" t="s">
        <v>392</v>
      </c>
      <c r="L8" s="716"/>
      <c r="M8" s="716"/>
      <c r="N8" s="716"/>
    </row>
    <row r="9" spans="1:14" ht="11.25" customHeight="1">
      <c r="A9" s="18"/>
      <c r="B9" s="18"/>
      <c r="C9" s="18"/>
      <c r="D9" s="18"/>
      <c r="E9" s="20"/>
      <c r="F9" s="21"/>
      <c r="G9" s="21"/>
      <c r="H9" s="21"/>
      <c r="J9" s="19"/>
      <c r="K9" s="1"/>
      <c r="L9" s="21"/>
      <c r="M9" s="21"/>
      <c r="N9" s="21"/>
    </row>
    <row r="10" spans="1:14" ht="16.5" customHeight="1">
      <c r="A10" s="2" t="s">
        <v>393</v>
      </c>
      <c r="E10" s="712"/>
      <c r="F10" s="712"/>
      <c r="G10" s="712"/>
      <c r="H10" s="712"/>
      <c r="I10" s="22" t="s">
        <v>394</v>
      </c>
    </row>
    <row r="11" spans="1:14" ht="11.25" customHeight="1">
      <c r="C11" s="18"/>
      <c r="D11" s="18"/>
      <c r="E11" s="18"/>
      <c r="F11" s="18"/>
      <c r="G11" s="18"/>
      <c r="H11" s="6"/>
      <c r="I11" s="6"/>
      <c r="K11" s="8"/>
      <c r="L11" s="8"/>
      <c r="M11" s="8"/>
      <c r="N11" s="8"/>
    </row>
    <row r="12" spans="1:14" ht="16.5" customHeight="1" thickBot="1">
      <c r="A12" s="18" t="s">
        <v>395</v>
      </c>
      <c r="B12" s="18"/>
      <c r="C12" s="18"/>
      <c r="D12" s="18"/>
      <c r="E12" s="718" t="s">
        <v>396</v>
      </c>
      <c r="F12" s="718"/>
      <c r="G12" s="718" t="s">
        <v>390</v>
      </c>
      <c r="H12" s="718"/>
      <c r="I12" s="718" t="s">
        <v>17</v>
      </c>
      <c r="J12" s="718"/>
      <c r="K12" s="718" t="s">
        <v>393</v>
      </c>
      <c r="L12" s="718"/>
      <c r="M12" s="718"/>
      <c r="N12" s="718"/>
    </row>
    <row r="13" spans="1:14" ht="16.5" customHeight="1" thickTop="1">
      <c r="A13" s="18"/>
      <c r="B13" s="18"/>
      <c r="C13" s="18"/>
      <c r="D13" s="3" t="s">
        <v>397</v>
      </c>
      <c r="E13" s="715"/>
      <c r="F13" s="715"/>
      <c r="G13" s="715"/>
      <c r="H13" s="715"/>
      <c r="I13" s="715"/>
      <c r="J13" s="715"/>
      <c r="K13" s="715"/>
      <c r="L13" s="715"/>
      <c r="M13" s="715"/>
      <c r="N13" s="715"/>
    </row>
    <row r="14" spans="1:14" ht="16.5" customHeight="1">
      <c r="D14" s="3" t="s">
        <v>398</v>
      </c>
      <c r="E14" s="712"/>
      <c r="F14" s="712"/>
      <c r="G14" s="712"/>
      <c r="H14" s="712"/>
      <c r="I14" s="712"/>
      <c r="J14" s="712"/>
      <c r="K14" s="712"/>
      <c r="L14" s="712"/>
      <c r="M14" s="712"/>
      <c r="N14" s="712"/>
    </row>
    <row r="15" spans="1:14" s="23" customFormat="1" ht="36" customHeight="1">
      <c r="A15" s="713" t="s">
        <v>399</v>
      </c>
      <c r="B15" s="713"/>
      <c r="C15" s="713"/>
      <c r="D15" s="713"/>
      <c r="E15" s="713"/>
      <c r="F15" s="713"/>
      <c r="G15" s="713"/>
      <c r="H15" s="713"/>
      <c r="I15" s="713"/>
      <c r="J15" s="713"/>
      <c r="K15" s="713"/>
      <c r="L15" s="713"/>
      <c r="M15" s="713"/>
      <c r="N15" s="713"/>
    </row>
    <row r="16" spans="1:14" ht="16.5" customHeight="1">
      <c r="A16" s="2" t="s">
        <v>400</v>
      </c>
      <c r="B16" s="2"/>
      <c r="C16" s="7"/>
      <c r="D16" s="24" t="s">
        <v>401</v>
      </c>
      <c r="E16" s="24"/>
      <c r="F16" s="24"/>
      <c r="G16" s="4"/>
      <c r="H16" s="25"/>
      <c r="I16" s="26"/>
      <c r="J16" s="4"/>
      <c r="K16" s="24"/>
      <c r="L16" s="24"/>
      <c r="N16" s="3" t="s">
        <v>402</v>
      </c>
    </row>
    <row r="17" spans="1:14" ht="13.5" customHeight="1">
      <c r="A17" s="27"/>
      <c r="B17" s="27"/>
      <c r="D17" s="15"/>
      <c r="G17" s="15"/>
      <c r="H17" s="28"/>
      <c r="I17" s="29"/>
      <c r="J17" s="29"/>
      <c r="K17" s="29"/>
      <c r="L17" s="29"/>
      <c r="M17" s="29"/>
    </row>
    <row r="18" spans="1:14" ht="21" customHeight="1">
      <c r="A18" s="714" t="s">
        <v>403</v>
      </c>
      <c r="B18" s="714"/>
      <c r="C18" s="714"/>
      <c r="D18" s="714"/>
      <c r="E18" s="714"/>
      <c r="F18" s="714"/>
      <c r="G18" s="714"/>
      <c r="H18" s="714"/>
      <c r="I18" s="714"/>
      <c r="J18" s="714"/>
      <c r="K18" s="714"/>
      <c r="L18" s="714"/>
      <c r="M18" s="714"/>
      <c r="N18" s="714"/>
    </row>
    <row r="19" spans="1:14" ht="15" customHeight="1">
      <c r="A19" s="710" t="s">
        <v>404</v>
      </c>
      <c r="B19" s="710"/>
      <c r="C19" s="710"/>
      <c r="D19" s="710"/>
      <c r="E19" s="710"/>
      <c r="F19" s="710"/>
      <c r="G19" s="710"/>
      <c r="H19" s="710"/>
      <c r="I19" s="710"/>
      <c r="J19" s="710"/>
      <c r="K19" s="710"/>
      <c r="L19" s="710"/>
      <c r="M19" s="710"/>
      <c r="N19" s="710"/>
    </row>
    <row r="20" spans="1:14" ht="15" customHeight="1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30" t="s">
        <v>405</v>
      </c>
    </row>
    <row r="21" spans="1:14" ht="15.75" customHeight="1">
      <c r="A21" s="31" t="s">
        <v>406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2"/>
    </row>
    <row r="22" spans="1:14" ht="15.75" customHeight="1">
      <c r="A22" s="31" t="s">
        <v>407</v>
      </c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2"/>
    </row>
    <row r="23" spans="1:14" ht="15.75" customHeight="1">
      <c r="A23" s="31" t="s">
        <v>408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2"/>
    </row>
    <row r="24" spans="1:14" ht="15.75" customHeight="1">
      <c r="A24" s="31" t="s">
        <v>409</v>
      </c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2"/>
    </row>
    <row r="25" spans="1:14" ht="15.75" customHeight="1">
      <c r="A25" s="31" t="s">
        <v>410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2"/>
    </row>
    <row r="26" spans="1:14" ht="15.75" customHeight="1">
      <c r="A26" s="31" t="s">
        <v>411</v>
      </c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2"/>
    </row>
    <row r="27" spans="1:14" ht="15.75" customHeight="1">
      <c r="A27" s="31" t="s">
        <v>412</v>
      </c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2"/>
    </row>
    <row r="28" spans="1:14" ht="15.75" customHeight="1">
      <c r="A28" s="31" t="s">
        <v>413</v>
      </c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2"/>
    </row>
    <row r="29" spans="1:14" ht="15.75" customHeight="1">
      <c r="A29" s="31" t="s">
        <v>414</v>
      </c>
      <c r="B29" s="31"/>
      <c r="C29" s="31"/>
      <c r="D29" s="31"/>
      <c r="E29" s="31"/>
      <c r="F29" s="9"/>
      <c r="G29" s="33"/>
      <c r="H29" s="34"/>
      <c r="I29" s="33"/>
      <c r="J29" s="31"/>
      <c r="K29" s="31"/>
      <c r="L29" s="31"/>
      <c r="M29" s="31"/>
      <c r="N29" s="32"/>
    </row>
    <row r="30" spans="1:14" ht="15.75" customHeight="1">
      <c r="A30" s="31"/>
      <c r="B30" s="31"/>
      <c r="C30" s="35" t="s">
        <v>415</v>
      </c>
      <c r="D30" s="31"/>
      <c r="E30" s="31"/>
      <c r="F30" s="9" t="s">
        <v>286</v>
      </c>
      <c r="G30">
        <f>Sheet1!T380</f>
        <v>68.610169491525426</v>
      </c>
      <c r="H30" s="9" t="s">
        <v>287</v>
      </c>
      <c r="I30">
        <f>Sheet1!T381</f>
        <v>3.0508474576271185</v>
      </c>
      <c r="J30" s="36"/>
      <c r="K30" s="31"/>
      <c r="L30" s="31"/>
      <c r="M30" s="31"/>
      <c r="N30" s="37"/>
    </row>
    <row r="31" spans="1:14" ht="15.75" customHeight="1">
      <c r="A31" s="31"/>
      <c r="B31" s="31"/>
      <c r="C31" s="35" t="s">
        <v>416</v>
      </c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2"/>
    </row>
    <row r="32" spans="1:14" ht="15.75" customHeight="1">
      <c r="A32" s="31"/>
      <c r="B32" s="31"/>
      <c r="C32" s="35" t="s">
        <v>417</v>
      </c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2"/>
    </row>
    <row r="33" spans="1:14" ht="15.75" customHeight="1">
      <c r="A33" s="31" t="s">
        <v>418</v>
      </c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8"/>
    </row>
    <row r="34" spans="1:14" ht="15.75" customHeight="1">
      <c r="A34" s="31"/>
      <c r="B34" s="31"/>
      <c r="C34" s="35" t="s">
        <v>419</v>
      </c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/>
    </row>
    <row r="35" spans="1:14" ht="15.75" customHeight="1">
      <c r="A35" s="31"/>
      <c r="B35" s="31"/>
      <c r="C35" s="39" t="s">
        <v>420</v>
      </c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40"/>
    </row>
    <row r="36" spans="1:14" ht="15.75" customHeight="1">
      <c r="A36" s="41"/>
      <c r="B36" s="41"/>
      <c r="C36" s="42" t="s">
        <v>421</v>
      </c>
      <c r="D36" s="35"/>
      <c r="E36" s="35"/>
      <c r="F36" s="9"/>
      <c r="G36" s="9" t="s">
        <v>368</v>
      </c>
      <c r="H36" s="43"/>
      <c r="I36" s="9" t="s">
        <v>369</v>
      </c>
      <c r="J36" s="43"/>
      <c r="K36" s="9" t="s">
        <v>370</v>
      </c>
      <c r="L36" s="43"/>
      <c r="M36" s="44"/>
      <c r="N36" s="41"/>
    </row>
    <row r="37" spans="1:14" ht="15.75" customHeight="1">
      <c r="A37" s="31" t="s">
        <v>422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2"/>
    </row>
    <row r="38" spans="1:14" ht="15.75" customHeight="1">
      <c r="A38" s="31"/>
      <c r="B38" s="31"/>
      <c r="C38" s="35" t="s">
        <v>423</v>
      </c>
      <c r="D38" s="35"/>
      <c r="E38" s="35"/>
      <c r="F38" s="31"/>
      <c r="G38" s="31"/>
      <c r="H38" s="31"/>
      <c r="I38" s="31"/>
      <c r="J38" s="31"/>
      <c r="K38" s="31"/>
      <c r="L38" s="402">
        <f>Sheet1!X271</f>
        <v>0.96285315624580348</v>
      </c>
      <c r="M38" s="35" t="s">
        <v>345</v>
      </c>
      <c r="N38" s="41"/>
    </row>
    <row r="39" spans="1:14" ht="15.75" customHeight="1">
      <c r="A39" s="31" t="s">
        <v>424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2"/>
    </row>
    <row r="40" spans="1:14" ht="15.75" customHeight="1">
      <c r="A40" s="31" t="s">
        <v>425</v>
      </c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2"/>
    </row>
    <row r="41" spans="1:14" ht="15.75" customHeight="1">
      <c r="A41" s="31" t="s">
        <v>426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2"/>
    </row>
    <row r="42" spans="1:14" ht="15.75" customHeight="1">
      <c r="A42" s="31" t="s">
        <v>427</v>
      </c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2"/>
    </row>
    <row r="43" spans="1:14" ht="15.75" customHeight="1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40"/>
    </row>
    <row r="44" spans="1:14" ht="15.75" customHeight="1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40"/>
    </row>
    <row r="45" spans="1:14" ht="15.75" customHeight="1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40"/>
    </row>
    <row r="46" spans="1:14" ht="15.75" customHeight="1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40"/>
    </row>
    <row r="47" spans="1:14" ht="15.75" customHeight="1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40"/>
    </row>
    <row r="48" spans="1:14" ht="15.75" customHeight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40"/>
    </row>
    <row r="49" spans="1:14" ht="15.75" customHeight="1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40"/>
    </row>
    <row r="50" spans="1:14" ht="15.75" customHeight="1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40"/>
    </row>
    <row r="51" spans="1:14" ht="15.75" customHeight="1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40"/>
    </row>
    <row r="52" spans="1:14" ht="15.75" customHeight="1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40"/>
    </row>
    <row r="53" spans="1:14" ht="15.75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40"/>
    </row>
    <row r="54" spans="1:14" ht="15.75" customHeight="1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40"/>
    </row>
    <row r="55" spans="1:14" ht="15.75" customHeight="1">
      <c r="A55" s="711" t="s">
        <v>428</v>
      </c>
      <c r="B55" s="711"/>
      <c r="C55" s="711"/>
      <c r="D55" s="711"/>
      <c r="E55" s="711"/>
      <c r="F55" s="711"/>
      <c r="G55" s="711"/>
      <c r="H55" s="711"/>
      <c r="I55" s="711"/>
      <c r="J55" s="711"/>
      <c r="K55" s="711"/>
      <c r="L55" s="711"/>
      <c r="M55" s="711"/>
      <c r="N55" s="711"/>
    </row>
  </sheetData>
  <mergeCells count="29">
    <mergeCell ref="A1:N1"/>
    <mergeCell ref="A2:N2"/>
    <mergeCell ref="C4:H4"/>
    <mergeCell ref="L4:N4"/>
    <mergeCell ref="C5:H5"/>
    <mergeCell ref="L5:N5"/>
    <mergeCell ref="E13:F13"/>
    <mergeCell ref="G13:H13"/>
    <mergeCell ref="I13:J13"/>
    <mergeCell ref="K13:N13"/>
    <mergeCell ref="E6:H6"/>
    <mergeCell ref="L6:N6"/>
    <mergeCell ref="E7:H7"/>
    <mergeCell ref="L7:N7"/>
    <mergeCell ref="E8:H8"/>
    <mergeCell ref="L8:N8"/>
    <mergeCell ref="E10:H10"/>
    <mergeCell ref="E12:F12"/>
    <mergeCell ref="G12:H12"/>
    <mergeCell ref="I12:J12"/>
    <mergeCell ref="K12:N12"/>
    <mergeCell ref="A19:N19"/>
    <mergeCell ref="A55:N55"/>
    <mergeCell ref="E14:F14"/>
    <mergeCell ref="G14:H14"/>
    <mergeCell ref="I14:J14"/>
    <mergeCell ref="K14:N14"/>
    <mergeCell ref="A15:N15"/>
    <mergeCell ref="A18:N18"/>
  </mergeCells>
  <conditionalFormatting sqref="N21:N24 N28:N30 N32:N54">
    <cfRule type="cellIs" priority="15" stopIfTrue="1" operator="equal">
      <formula>"Fail"</formula>
    </cfRule>
  </conditionalFormatting>
  <conditionalFormatting sqref="N25">
    <cfRule type="cellIs" priority="16" stopIfTrue="1" operator="equal">
      <formula>"Fail"</formula>
    </cfRule>
  </conditionalFormatting>
  <conditionalFormatting sqref="N26">
    <cfRule type="cellIs" priority="17" stopIfTrue="1" operator="equal">
      <formula>"Fail"</formula>
    </cfRule>
  </conditionalFormatting>
  <conditionalFormatting sqref="N27">
    <cfRule type="cellIs" priority="18" stopIfTrue="1" operator="equal">
      <formula>"Fail"</formula>
    </cfRule>
  </conditionalFormatting>
  <conditionalFormatting sqref="N31">
    <cfRule type="cellIs" priority="19" stopIfTrue="1" operator="equal">
      <formula>"Fail"</formula>
    </cfRule>
  </conditionalFormatting>
  <dataValidations count="4">
    <dataValidation type="list" allowBlank="1" showErrorMessage="1" sqref="H36">
      <formula1>FiberList</formula1>
    </dataValidation>
    <dataValidation type="list" allowBlank="1" showErrorMessage="1" sqref="J36 L36">
      <formula1>#NAME?</formula1>
    </dataValidation>
    <dataValidation type="list" allowBlank="1" showErrorMessage="1" sqref="N21:N29 N31:N35 N37 N39:N41">
      <formula1>NA</formula1>
    </dataValidation>
    <dataValidation type="list" allowBlank="1" showErrorMessage="1" sqref="N42:N54">
      <formula1>MGD</formula1>
    </dataValidation>
  </dataValidations>
  <pageMargins left="0" right="0" top="0.39370078740157477" bottom="0.39370078740157477" header="0" footer="0"/>
  <pageSetup paperSize="0" scale="68" fitToWidth="0" fitToHeight="0" pageOrder="overThenDown" horizontalDpi="0" verticalDpi="0" copies="0"/>
  <headerFooter>
    <oddHeader>&amp;C&amp;A</oddHeader>
    <oddFooter>&amp;CPage &amp;P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9"/>
  <sheetViews>
    <sheetView workbookViewId="0">
      <selection sqref="A1:K1"/>
    </sheetView>
  </sheetViews>
  <sheetFormatPr defaultRowHeight="14.25"/>
  <cols>
    <col min="1" max="1" width="4.125" customWidth="1"/>
    <col min="2" max="2" width="20.25" customWidth="1"/>
    <col min="3" max="4" width="9.125" customWidth="1"/>
    <col min="5" max="5" width="9.5" customWidth="1"/>
    <col min="6" max="6" width="3.375" customWidth="1"/>
    <col min="7" max="7" width="14.5" customWidth="1"/>
    <col min="8" max="8" width="9" customWidth="1"/>
    <col min="9" max="9" width="10" customWidth="1"/>
    <col min="10" max="10" width="8.875" customWidth="1"/>
    <col min="11" max="11" width="9.125" customWidth="1"/>
    <col min="12" max="1024" width="8.375" customWidth="1"/>
  </cols>
  <sheetData>
    <row r="1" spans="1:12" ht="27" customHeight="1">
      <c r="A1" s="724" t="s">
        <v>380</v>
      </c>
      <c r="B1" s="724"/>
      <c r="C1" s="724"/>
      <c r="D1" s="724"/>
      <c r="E1" s="724"/>
      <c r="F1" s="724"/>
      <c r="G1" s="724"/>
      <c r="H1" s="724"/>
      <c r="I1" s="724"/>
      <c r="J1" s="724"/>
      <c r="K1" s="724"/>
    </row>
    <row r="2" spans="1:12" ht="18" customHeight="1">
      <c r="A2" s="725" t="s">
        <v>429</v>
      </c>
      <c r="B2" s="725"/>
      <c r="C2" s="725"/>
      <c r="D2" s="725"/>
      <c r="E2" s="725"/>
      <c r="F2" s="725"/>
      <c r="G2" s="725"/>
      <c r="H2" s="725"/>
      <c r="I2" s="725"/>
      <c r="J2" s="725"/>
      <c r="K2" s="725"/>
    </row>
    <row r="3" spans="1:12" ht="15.75" customHeight="1"/>
    <row r="4" spans="1:12" ht="24" customHeight="1">
      <c r="A4" s="721" t="s">
        <v>430</v>
      </c>
      <c r="B4" s="721"/>
      <c r="C4" s="721"/>
      <c r="D4" s="721"/>
      <c r="E4" s="721"/>
      <c r="F4" s="721"/>
      <c r="G4" s="721"/>
      <c r="H4" s="721"/>
      <c r="I4" s="721"/>
      <c r="J4" s="721"/>
      <c r="K4" s="721"/>
    </row>
    <row r="5" spans="1:12" ht="42" customHeight="1">
      <c r="A5" s="726" t="s">
        <v>431</v>
      </c>
      <c r="B5" s="726"/>
      <c r="C5" s="726"/>
      <c r="D5" s="726"/>
      <c r="E5" s="726"/>
      <c r="F5" s="726"/>
      <c r="G5" s="726"/>
      <c r="H5" s="726"/>
      <c r="I5" s="726"/>
      <c r="J5" s="726"/>
      <c r="K5" s="726"/>
    </row>
    <row r="6" spans="1:12" ht="15" customHeight="1">
      <c r="A6" s="46" t="s">
        <v>432</v>
      </c>
      <c r="B6" s="47"/>
      <c r="C6" s="47"/>
      <c r="D6" s="47"/>
      <c r="E6" s="47"/>
      <c r="F6" s="47"/>
      <c r="G6" s="47"/>
      <c r="H6" s="47"/>
      <c r="I6" s="48"/>
      <c r="J6" s="49"/>
      <c r="K6" s="49"/>
    </row>
    <row r="7" spans="1:12" ht="15" customHeight="1">
      <c r="A7" s="50" t="s">
        <v>433</v>
      </c>
      <c r="B7" s="45"/>
      <c r="C7" s="45"/>
      <c r="D7" s="45"/>
      <c r="E7" s="45"/>
      <c r="F7" s="45"/>
      <c r="G7" s="45"/>
      <c r="H7" s="45"/>
      <c r="I7" s="45"/>
      <c r="J7" s="45"/>
      <c r="K7" s="45"/>
    </row>
    <row r="8" spans="1:12" ht="15" customHeight="1">
      <c r="J8" s="727"/>
      <c r="K8" s="727"/>
    </row>
    <row r="9" spans="1:12" ht="15" customHeight="1">
      <c r="A9" s="51"/>
      <c r="E9" s="51"/>
      <c r="H9" s="52" t="s">
        <v>434</v>
      </c>
      <c r="I9" s="53"/>
      <c r="J9" s="723" t="s">
        <v>405</v>
      </c>
      <c r="K9" s="723"/>
    </row>
    <row r="10" spans="1:12" ht="15.75" customHeight="1">
      <c r="A10" s="54" t="s">
        <v>435</v>
      </c>
      <c r="B10" s="55" t="s">
        <v>436</v>
      </c>
      <c r="C10" s="56"/>
      <c r="E10" s="51"/>
      <c r="H10" s="57" t="s">
        <v>437</v>
      </c>
      <c r="J10" s="716"/>
      <c r="K10" s="716"/>
    </row>
    <row r="11" spans="1:12" ht="15.75" customHeight="1">
      <c r="A11" s="58" t="s">
        <v>438</v>
      </c>
      <c r="B11" s="55" t="s">
        <v>439</v>
      </c>
      <c r="C11" s="56"/>
      <c r="E11" s="51"/>
      <c r="H11" s="59" t="s">
        <v>440</v>
      </c>
      <c r="J11" s="716"/>
      <c r="K11" s="716"/>
    </row>
    <row r="12" spans="1:12" ht="15.75" customHeight="1">
      <c r="A12" s="58" t="s">
        <v>441</v>
      </c>
      <c r="B12" s="55" t="s">
        <v>442</v>
      </c>
      <c r="C12" s="56"/>
      <c r="E12" s="51"/>
      <c r="H12" s="60" t="s">
        <v>443</v>
      </c>
      <c r="J12" s="716"/>
      <c r="K12" s="716"/>
    </row>
    <row r="13" spans="1:12" ht="15.75" customHeight="1">
      <c r="A13" s="61" t="s">
        <v>444</v>
      </c>
      <c r="B13" s="55" t="s">
        <v>445</v>
      </c>
      <c r="C13" s="56"/>
      <c r="E13" s="51"/>
      <c r="H13" s="60" t="s">
        <v>443</v>
      </c>
      <c r="J13" s="716"/>
      <c r="K13" s="716"/>
    </row>
    <row r="14" spans="1:12" ht="15.75" customHeight="1">
      <c r="A14" s="61" t="s">
        <v>446</v>
      </c>
      <c r="B14" s="55" t="s">
        <v>447</v>
      </c>
      <c r="C14" s="56"/>
      <c r="E14" s="51"/>
      <c r="H14" s="60" t="s">
        <v>448</v>
      </c>
      <c r="J14" s="716"/>
      <c r="K14" s="716"/>
      <c r="L14" s="51"/>
    </row>
    <row r="15" spans="1:12" ht="15.75" customHeight="1">
      <c r="A15" s="58" t="s">
        <v>449</v>
      </c>
      <c r="B15" s="55" t="s">
        <v>450</v>
      </c>
      <c r="C15" s="56"/>
      <c r="E15" s="51"/>
      <c r="H15" s="60" t="s">
        <v>451</v>
      </c>
      <c r="J15" s="716"/>
      <c r="K15" s="716"/>
      <c r="L15" s="51"/>
    </row>
    <row r="16" spans="1:12" ht="15.75" customHeight="1">
      <c r="A16" s="58" t="s">
        <v>452</v>
      </c>
      <c r="B16" s="55" t="s">
        <v>453</v>
      </c>
      <c r="C16" s="56"/>
      <c r="E16" s="51"/>
      <c r="H16" s="60" t="s">
        <v>454</v>
      </c>
      <c r="J16" s="716"/>
      <c r="K16" s="716"/>
      <c r="L16" s="51"/>
    </row>
    <row r="17" spans="1:12" ht="15.75" customHeight="1">
      <c r="A17" s="58" t="s">
        <v>455</v>
      </c>
      <c r="B17" s="62" t="s">
        <v>456</v>
      </c>
      <c r="C17" s="56"/>
      <c r="H17" s="63" t="s">
        <v>457</v>
      </c>
      <c r="I17" s="64"/>
      <c r="J17" s="716"/>
      <c r="K17" s="716"/>
      <c r="L17" s="65"/>
    </row>
    <row r="18" spans="1:12" ht="15.75" customHeight="1">
      <c r="A18" s="66"/>
      <c r="B18" s="67"/>
      <c r="E18" s="51"/>
      <c r="H18" s="68"/>
      <c r="J18" s="69"/>
      <c r="K18" s="69"/>
      <c r="L18" s="51"/>
    </row>
    <row r="19" spans="1:12" ht="24" customHeight="1">
      <c r="A19" s="721" t="s">
        <v>458</v>
      </c>
      <c r="B19" s="721"/>
      <c r="C19" s="721"/>
      <c r="D19" s="721"/>
      <c r="E19" s="721"/>
      <c r="F19" s="721"/>
      <c r="G19" s="721"/>
      <c r="H19" s="721"/>
      <c r="I19" s="721"/>
      <c r="J19" s="721"/>
      <c r="K19" s="721"/>
    </row>
    <row r="20" spans="1:12" ht="15" customHeight="1">
      <c r="A20" s="70"/>
      <c r="B20" s="71"/>
      <c r="C20" s="71"/>
      <c r="D20" s="71"/>
      <c r="E20" s="71"/>
      <c r="F20" s="71"/>
      <c r="G20" s="71"/>
      <c r="H20" s="71"/>
      <c r="I20" s="71"/>
      <c r="J20" s="71"/>
      <c r="K20" s="71"/>
    </row>
    <row r="21" spans="1:12" ht="290.25" customHeight="1">
      <c r="A21" s="712"/>
      <c r="B21" s="712"/>
      <c r="C21" s="712"/>
      <c r="D21" s="712"/>
      <c r="E21" s="712"/>
      <c r="F21" s="712"/>
      <c r="G21" s="712"/>
      <c r="H21" s="712"/>
      <c r="I21" s="712"/>
      <c r="J21" s="712"/>
      <c r="K21" s="712"/>
    </row>
    <row r="22" spans="1:12" ht="15" customHeight="1">
      <c r="A22" s="722"/>
      <c r="B22" s="722"/>
      <c r="C22" s="722"/>
      <c r="D22" s="722"/>
      <c r="E22" s="722"/>
      <c r="F22" s="722"/>
      <c r="G22" s="722"/>
      <c r="H22" s="722"/>
      <c r="I22" s="722"/>
      <c r="J22" s="722"/>
      <c r="K22" s="722"/>
    </row>
    <row r="23" spans="1:12" hidden="1">
      <c r="A23" s="722"/>
      <c r="B23" s="722"/>
      <c r="C23" s="722"/>
      <c r="D23" s="722"/>
      <c r="E23" s="722"/>
      <c r="F23" s="722"/>
      <c r="G23" s="722"/>
      <c r="H23" s="722"/>
      <c r="I23" s="722"/>
      <c r="J23" s="722"/>
      <c r="K23" s="722"/>
    </row>
    <row r="24" spans="1:12" hidden="1">
      <c r="A24" s="722"/>
      <c r="B24" s="722"/>
      <c r="C24" s="722"/>
      <c r="D24" s="722"/>
      <c r="E24" s="722"/>
      <c r="F24" s="722"/>
      <c r="G24" s="722"/>
      <c r="H24" s="722"/>
      <c r="I24" s="722"/>
      <c r="J24" s="722"/>
      <c r="K24" s="722"/>
    </row>
    <row r="25" spans="1:12" hidden="1">
      <c r="A25" s="722"/>
      <c r="B25" s="722"/>
      <c r="C25" s="722"/>
      <c r="D25" s="722"/>
      <c r="E25" s="722"/>
      <c r="F25" s="722"/>
      <c r="G25" s="722"/>
      <c r="H25" s="722"/>
      <c r="I25" s="722"/>
      <c r="J25" s="722"/>
      <c r="K25" s="722"/>
    </row>
    <row r="26" spans="1:12" hidden="1">
      <c r="A26" s="722"/>
      <c r="B26" s="722"/>
      <c r="C26" s="722"/>
      <c r="D26" s="722"/>
      <c r="E26" s="722"/>
      <c r="F26" s="722"/>
      <c r="G26" s="722"/>
      <c r="H26" s="722"/>
      <c r="I26" s="722"/>
      <c r="J26" s="722"/>
      <c r="K26" s="722"/>
    </row>
    <row r="27" spans="1:12" hidden="1">
      <c r="A27" s="722"/>
      <c r="B27" s="722"/>
      <c r="C27" s="722"/>
      <c r="D27" s="722"/>
      <c r="E27" s="722"/>
      <c r="F27" s="722"/>
      <c r="G27" s="722"/>
      <c r="H27" s="722"/>
      <c r="I27" s="722"/>
      <c r="J27" s="722"/>
      <c r="K27" s="722"/>
    </row>
    <row r="28" spans="1:12" hidden="1">
      <c r="A28" s="722"/>
      <c r="B28" s="722"/>
      <c r="C28" s="722"/>
      <c r="D28" s="722"/>
      <c r="E28" s="722"/>
      <c r="F28" s="722"/>
      <c r="G28" s="722"/>
      <c r="H28" s="722"/>
      <c r="I28" s="722"/>
      <c r="J28" s="722"/>
      <c r="K28" s="722"/>
    </row>
    <row r="29" spans="1:12" ht="201.75" customHeight="1">
      <c r="A29" s="720" t="s">
        <v>459</v>
      </c>
      <c r="B29" s="720"/>
      <c r="C29" s="720"/>
      <c r="D29" s="720"/>
      <c r="E29" s="720"/>
      <c r="F29" s="720"/>
      <c r="G29" s="720"/>
      <c r="H29" s="720"/>
      <c r="I29" s="720"/>
      <c r="J29" s="720"/>
      <c r="K29" s="720"/>
    </row>
  </sheetData>
  <mergeCells count="18">
    <mergeCell ref="J9:K9"/>
    <mergeCell ref="A1:K1"/>
    <mergeCell ref="A2:K2"/>
    <mergeCell ref="A4:K4"/>
    <mergeCell ref="A5:K5"/>
    <mergeCell ref="J8:K8"/>
    <mergeCell ref="A29:K29"/>
    <mergeCell ref="J10:K10"/>
    <mergeCell ref="J11:K11"/>
    <mergeCell ref="J12:K12"/>
    <mergeCell ref="J13:K13"/>
    <mergeCell ref="J14:K14"/>
    <mergeCell ref="J15:K15"/>
    <mergeCell ref="J16:K16"/>
    <mergeCell ref="J17:K17"/>
    <mergeCell ref="A19:K19"/>
    <mergeCell ref="A21:K21"/>
    <mergeCell ref="A22:K28"/>
  </mergeCells>
  <conditionalFormatting sqref="J10:J17">
    <cfRule type="cellIs" priority="20" stopIfTrue="1" operator="equal">
      <formula>"Fail"</formula>
    </cfRule>
  </conditionalFormatting>
  <dataValidations count="2">
    <dataValidation type="list" allowBlank="1" showErrorMessage="1" sqref="J14:J15 I17:J17">
      <formula1>MGD</formula1>
    </dataValidation>
    <dataValidation type="list" allowBlank="1" showErrorMessage="1" sqref="J10:J13 J16 L17">
      <formula1>NA</formula1>
    </dataValidation>
  </dataValidations>
  <pageMargins left="0" right="0" top="0.39370078740157477" bottom="0.39370078740157477" header="0" footer="0"/>
  <pageSetup paperSize="0" scale="68" fitToWidth="0" fitToHeight="0" pageOrder="overThenDown" horizontalDpi="0" verticalDpi="0" copies="0"/>
  <headerFooter>
    <oddHeader>&amp;C&amp;A</oddHeader>
    <oddFooter>&amp;CPage &amp;P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D125"/>
  <sheetViews>
    <sheetView topLeftCell="A62" workbookViewId="0">
      <selection activeCell="D73" sqref="D73"/>
    </sheetView>
  </sheetViews>
  <sheetFormatPr defaultRowHeight="14.1" customHeight="1"/>
  <cols>
    <col min="1" max="30" width="10.625" style="91" customWidth="1"/>
    <col min="31" max="16384" width="9" style="91"/>
  </cols>
  <sheetData>
    <row r="1" spans="1:30" ht="14.1" customHeight="1" thickBot="1">
      <c r="A1" s="146" t="s">
        <v>460</v>
      </c>
      <c r="K1" s="146" t="s">
        <v>461</v>
      </c>
      <c r="U1" s="91" t="s">
        <v>462</v>
      </c>
    </row>
    <row r="2" spans="1:30" ht="14.1" customHeight="1">
      <c r="A2" s="400"/>
      <c r="B2" s="728" t="s">
        <v>25</v>
      </c>
      <c r="C2" s="728"/>
      <c r="D2" s="728"/>
      <c r="E2" s="728"/>
      <c r="F2" s="728"/>
      <c r="G2" s="728"/>
      <c r="H2" s="728"/>
      <c r="I2" s="728"/>
      <c r="J2" s="728"/>
      <c r="K2" s="400"/>
      <c r="L2" s="728" t="s">
        <v>25</v>
      </c>
      <c r="M2" s="728"/>
      <c r="N2" s="728"/>
      <c r="O2" s="728"/>
      <c r="P2" s="728"/>
      <c r="Q2" s="728"/>
      <c r="R2" s="728"/>
      <c r="S2" s="728"/>
      <c r="T2" s="728"/>
      <c r="U2" s="400"/>
      <c r="V2" s="728" t="s">
        <v>25</v>
      </c>
      <c r="W2" s="728"/>
      <c r="X2" s="728"/>
      <c r="Y2" s="728"/>
      <c r="Z2" s="728"/>
      <c r="AA2" s="728"/>
      <c r="AB2" s="728"/>
      <c r="AC2" s="728"/>
      <c r="AD2" s="728"/>
    </row>
    <row r="3" spans="1:30" ht="14.1" customHeight="1">
      <c r="A3" s="281" t="s">
        <v>358</v>
      </c>
      <c r="B3" s="81">
        <v>23</v>
      </c>
      <c r="C3" s="81">
        <v>24</v>
      </c>
      <c r="D3" s="81">
        <v>25</v>
      </c>
      <c r="E3" s="81">
        <v>26</v>
      </c>
      <c r="F3" s="81">
        <v>27</v>
      </c>
      <c r="G3" s="81">
        <v>28</v>
      </c>
      <c r="H3" s="81">
        <v>29</v>
      </c>
      <c r="I3" s="81">
        <v>30</v>
      </c>
      <c r="J3" s="300">
        <v>31</v>
      </c>
      <c r="K3" s="281" t="s">
        <v>358</v>
      </c>
      <c r="L3" s="81">
        <v>23</v>
      </c>
      <c r="M3" s="81">
        <v>24</v>
      </c>
      <c r="N3" s="81">
        <v>25</v>
      </c>
      <c r="O3" s="81">
        <v>26</v>
      </c>
      <c r="P3" s="81">
        <v>27</v>
      </c>
      <c r="Q3" s="81">
        <v>28</v>
      </c>
      <c r="R3" s="81">
        <v>29</v>
      </c>
      <c r="S3" s="81">
        <v>30</v>
      </c>
      <c r="T3" s="300">
        <v>31</v>
      </c>
      <c r="U3" s="281" t="s">
        <v>358</v>
      </c>
      <c r="V3" s="81">
        <v>23</v>
      </c>
      <c r="W3" s="81">
        <v>24</v>
      </c>
      <c r="X3" s="81">
        <v>25</v>
      </c>
      <c r="Y3" s="81">
        <v>26</v>
      </c>
      <c r="Z3" s="81">
        <v>27</v>
      </c>
      <c r="AA3" s="81">
        <v>28</v>
      </c>
      <c r="AB3" s="81">
        <v>29</v>
      </c>
      <c r="AC3" s="81">
        <v>30</v>
      </c>
      <c r="AD3" s="300">
        <v>31</v>
      </c>
    </row>
    <row r="4" spans="1:30" ht="14.1" customHeight="1">
      <c r="A4" s="281">
        <v>0.23</v>
      </c>
      <c r="B4" s="81">
        <v>116</v>
      </c>
      <c r="C4" s="81"/>
      <c r="D4" s="81"/>
      <c r="E4" s="81"/>
      <c r="F4" s="81"/>
      <c r="G4" s="81"/>
      <c r="H4" s="81"/>
      <c r="I4" s="81"/>
      <c r="J4" s="300"/>
      <c r="K4" s="281">
        <v>0.23</v>
      </c>
      <c r="L4" s="81"/>
      <c r="M4" s="81"/>
      <c r="N4" s="81"/>
      <c r="O4" s="81"/>
      <c r="P4" s="81"/>
      <c r="Q4" s="81"/>
      <c r="R4" s="81"/>
      <c r="S4" s="81"/>
      <c r="T4" s="300"/>
      <c r="U4" s="281">
        <v>0.23</v>
      </c>
      <c r="V4" s="81"/>
      <c r="W4" s="81"/>
      <c r="X4" s="81"/>
      <c r="Y4" s="81"/>
      <c r="Z4" s="81"/>
      <c r="AA4" s="81"/>
      <c r="AB4" s="81"/>
      <c r="AC4" s="81"/>
      <c r="AD4" s="300"/>
    </row>
    <row r="5" spans="1:30" ht="14.1" customHeight="1">
      <c r="A5" s="281">
        <v>0.24</v>
      </c>
      <c r="B5" s="81">
        <v>121</v>
      </c>
      <c r="C5" s="81">
        <v>124</v>
      </c>
      <c r="D5" s="81"/>
      <c r="E5" s="81"/>
      <c r="F5" s="81"/>
      <c r="G5" s="81"/>
      <c r="H5" s="81"/>
      <c r="I5" s="81"/>
      <c r="J5" s="300"/>
      <c r="K5" s="281">
        <v>0.24</v>
      </c>
      <c r="L5" s="81"/>
      <c r="M5" s="81"/>
      <c r="N5" s="81"/>
      <c r="O5" s="81"/>
      <c r="P5" s="81"/>
      <c r="Q5" s="81"/>
      <c r="R5" s="81"/>
      <c r="S5" s="81"/>
      <c r="T5" s="300"/>
      <c r="U5" s="281">
        <v>0.24</v>
      </c>
      <c r="V5" s="81"/>
      <c r="W5" s="81"/>
      <c r="X5" s="81"/>
      <c r="Y5" s="81"/>
      <c r="Z5" s="81"/>
      <c r="AA5" s="81"/>
      <c r="AB5" s="81"/>
      <c r="AC5" s="81"/>
      <c r="AD5" s="300"/>
    </row>
    <row r="6" spans="1:30" ht="14.1" customHeight="1">
      <c r="A6" s="281">
        <v>0.25</v>
      </c>
      <c r="B6" s="81">
        <v>126</v>
      </c>
      <c r="C6" s="81">
        <v>129</v>
      </c>
      <c r="D6" s="81">
        <v>131</v>
      </c>
      <c r="E6" s="81"/>
      <c r="F6" s="81"/>
      <c r="G6" s="81"/>
      <c r="H6" s="81"/>
      <c r="I6" s="81"/>
      <c r="J6" s="300"/>
      <c r="K6" s="281">
        <v>0.25</v>
      </c>
      <c r="L6" s="81"/>
      <c r="M6" s="81"/>
      <c r="N6" s="81"/>
      <c r="O6" s="81"/>
      <c r="P6" s="81"/>
      <c r="Q6" s="81"/>
      <c r="R6" s="81"/>
      <c r="S6" s="81"/>
      <c r="T6" s="300"/>
      <c r="U6" s="281">
        <v>0.25</v>
      </c>
      <c r="V6" s="81"/>
      <c r="W6" s="81"/>
      <c r="X6" s="81"/>
      <c r="Y6" s="81"/>
      <c r="Z6" s="81"/>
      <c r="AA6" s="81"/>
      <c r="AB6" s="81"/>
      <c r="AC6" s="81"/>
      <c r="AD6" s="300"/>
    </row>
    <row r="7" spans="1:30" ht="14.1" customHeight="1">
      <c r="A7" s="281">
        <v>0.26</v>
      </c>
      <c r="B7" s="81">
        <v>130</v>
      </c>
      <c r="C7" s="81">
        <v>133</v>
      </c>
      <c r="D7" s="81">
        <v>135</v>
      </c>
      <c r="E7" s="81">
        <v>138</v>
      </c>
      <c r="F7" s="81"/>
      <c r="G7" s="81"/>
      <c r="H7" s="81"/>
      <c r="I7" s="81"/>
      <c r="J7" s="300"/>
      <c r="K7" s="281">
        <v>0.26</v>
      </c>
      <c r="L7" s="81"/>
      <c r="M7" s="81"/>
      <c r="N7" s="81"/>
      <c r="O7" s="81"/>
      <c r="P7" s="81"/>
      <c r="Q7" s="81"/>
      <c r="R7" s="81"/>
      <c r="S7" s="81"/>
      <c r="T7" s="300"/>
      <c r="U7" s="281">
        <v>0.26</v>
      </c>
      <c r="V7" s="81"/>
      <c r="W7" s="81"/>
      <c r="X7" s="81"/>
      <c r="Y7" s="81"/>
      <c r="Z7" s="81"/>
      <c r="AA7" s="81"/>
      <c r="AB7" s="81"/>
      <c r="AC7" s="81"/>
      <c r="AD7" s="300"/>
    </row>
    <row r="8" spans="1:30" ht="14.1" customHeight="1">
      <c r="A8" s="281">
        <v>0.27</v>
      </c>
      <c r="B8" s="81">
        <v>135</v>
      </c>
      <c r="C8" s="81">
        <v>138</v>
      </c>
      <c r="D8" s="81">
        <v>140</v>
      </c>
      <c r="E8" s="81">
        <v>142</v>
      </c>
      <c r="F8" s="81">
        <v>143</v>
      </c>
      <c r="G8" s="81"/>
      <c r="H8" s="81"/>
      <c r="I8" s="81"/>
      <c r="J8" s="300"/>
      <c r="K8" s="281">
        <v>0.27</v>
      </c>
      <c r="L8" s="81"/>
      <c r="M8" s="81"/>
      <c r="N8" s="81"/>
      <c r="O8" s="81"/>
      <c r="P8" s="81"/>
      <c r="Q8" s="81"/>
      <c r="R8" s="81"/>
      <c r="S8" s="81"/>
      <c r="T8" s="300"/>
      <c r="U8" s="281">
        <v>0.27</v>
      </c>
      <c r="V8" s="81"/>
      <c r="W8" s="81"/>
      <c r="X8" s="81"/>
      <c r="Y8" s="81"/>
      <c r="Z8" s="81"/>
      <c r="AA8" s="81"/>
      <c r="AB8" s="81"/>
      <c r="AC8" s="81"/>
      <c r="AD8" s="300"/>
    </row>
    <row r="9" spans="1:30" ht="14.1" customHeight="1">
      <c r="A9" s="281">
        <v>0.28000000000000003</v>
      </c>
      <c r="B9" s="81">
        <v>140</v>
      </c>
      <c r="C9" s="81">
        <v>142</v>
      </c>
      <c r="D9" s="81">
        <v>144</v>
      </c>
      <c r="E9" s="81">
        <v>146</v>
      </c>
      <c r="F9" s="81">
        <v>147</v>
      </c>
      <c r="G9" s="81">
        <v>149</v>
      </c>
      <c r="H9" s="81"/>
      <c r="I9" s="81"/>
      <c r="J9" s="300"/>
      <c r="K9" s="281">
        <v>0.28000000000000003</v>
      </c>
      <c r="L9" s="81"/>
      <c r="M9" s="81"/>
      <c r="N9" s="81">
        <v>149</v>
      </c>
      <c r="O9" s="81">
        <v>151</v>
      </c>
      <c r="P9" s="81">
        <v>154</v>
      </c>
      <c r="Q9" s="81"/>
      <c r="R9" s="81"/>
      <c r="S9" s="81"/>
      <c r="T9" s="300"/>
      <c r="U9" s="281">
        <v>0.28000000000000003</v>
      </c>
      <c r="V9" s="81"/>
      <c r="W9" s="81"/>
      <c r="X9" s="81">
        <v>150</v>
      </c>
      <c r="Y9" s="81">
        <v>155</v>
      </c>
      <c r="Z9" s="81">
        <v>159</v>
      </c>
      <c r="AA9" s="81"/>
      <c r="AB9" s="81"/>
      <c r="AC9" s="81"/>
      <c r="AD9" s="300"/>
    </row>
    <row r="10" spans="1:30" ht="14.1" customHeight="1">
      <c r="A10" s="281">
        <v>0.28999999999999998</v>
      </c>
      <c r="B10" s="81">
        <v>144</v>
      </c>
      <c r="C10" s="81">
        <v>146</v>
      </c>
      <c r="D10" s="81">
        <v>148</v>
      </c>
      <c r="E10" s="81">
        <v>150</v>
      </c>
      <c r="F10" s="81">
        <v>151</v>
      </c>
      <c r="G10" s="81">
        <v>153</v>
      </c>
      <c r="H10" s="81">
        <v>154</v>
      </c>
      <c r="I10" s="81"/>
      <c r="J10" s="300"/>
      <c r="K10" s="281">
        <v>0.28999999999999998</v>
      </c>
      <c r="L10" s="81"/>
      <c r="M10" s="81"/>
      <c r="N10" s="81">
        <v>154</v>
      </c>
      <c r="O10" s="81">
        <v>156</v>
      </c>
      <c r="P10" s="81">
        <v>158</v>
      </c>
      <c r="Q10" s="81">
        <v>159</v>
      </c>
      <c r="R10" s="81"/>
      <c r="S10" s="81"/>
      <c r="T10" s="300"/>
      <c r="U10" s="281">
        <v>0.28999999999999998</v>
      </c>
      <c r="V10" s="81"/>
      <c r="W10" s="81"/>
      <c r="X10" s="81">
        <v>155</v>
      </c>
      <c r="Y10" s="81">
        <v>160</v>
      </c>
      <c r="Z10" s="81">
        <v>164</v>
      </c>
      <c r="AA10" s="81">
        <v>168</v>
      </c>
      <c r="AB10" s="81"/>
      <c r="AC10" s="81"/>
      <c r="AD10" s="300"/>
    </row>
    <row r="11" spans="1:30" ht="14.1" customHeight="1">
      <c r="A11" s="281">
        <v>0.3</v>
      </c>
      <c r="B11" s="81">
        <v>149</v>
      </c>
      <c r="C11" s="81">
        <v>151</v>
      </c>
      <c r="D11" s="81">
        <v>153</v>
      </c>
      <c r="E11" s="81">
        <v>155</v>
      </c>
      <c r="F11" s="81">
        <v>156</v>
      </c>
      <c r="G11" s="81">
        <v>157</v>
      </c>
      <c r="H11" s="81">
        <v>158</v>
      </c>
      <c r="I11" s="81">
        <v>159</v>
      </c>
      <c r="J11" s="300"/>
      <c r="K11" s="281">
        <v>0.3</v>
      </c>
      <c r="L11" s="81"/>
      <c r="M11" s="81"/>
      <c r="N11" s="81">
        <v>158</v>
      </c>
      <c r="O11" s="81">
        <v>160</v>
      </c>
      <c r="P11" s="81">
        <v>162</v>
      </c>
      <c r="Q11" s="81">
        <v>162</v>
      </c>
      <c r="R11" s="81">
        <v>163</v>
      </c>
      <c r="S11" s="81"/>
      <c r="T11" s="300"/>
      <c r="U11" s="281">
        <v>0.3</v>
      </c>
      <c r="V11" s="81"/>
      <c r="W11" s="81"/>
      <c r="X11" s="81">
        <v>160</v>
      </c>
      <c r="Y11" s="81">
        <v>164</v>
      </c>
      <c r="Z11" s="81">
        <v>168</v>
      </c>
      <c r="AA11" s="81">
        <v>172</v>
      </c>
      <c r="AB11" s="81">
        <v>176</v>
      </c>
      <c r="AC11" s="81"/>
      <c r="AD11" s="300"/>
    </row>
    <row r="12" spans="1:30" ht="14.1" customHeight="1">
      <c r="A12" s="281">
        <v>0.31</v>
      </c>
      <c r="B12" s="81">
        <v>154</v>
      </c>
      <c r="C12" s="81">
        <v>156</v>
      </c>
      <c r="D12" s="81">
        <v>157</v>
      </c>
      <c r="E12" s="81">
        <v>159</v>
      </c>
      <c r="F12" s="81">
        <v>160</v>
      </c>
      <c r="G12" s="81">
        <v>161</v>
      </c>
      <c r="H12" s="81">
        <v>162</v>
      </c>
      <c r="I12" s="81">
        <v>163</v>
      </c>
      <c r="J12" s="300">
        <v>164</v>
      </c>
      <c r="K12" s="281">
        <v>0.31</v>
      </c>
      <c r="L12" s="81"/>
      <c r="M12" s="81"/>
      <c r="N12" s="81">
        <v>163</v>
      </c>
      <c r="O12" s="81">
        <v>164</v>
      </c>
      <c r="P12" s="81">
        <v>166</v>
      </c>
      <c r="Q12" s="81">
        <v>166</v>
      </c>
      <c r="R12" s="81">
        <v>167</v>
      </c>
      <c r="S12" s="81">
        <v>167</v>
      </c>
      <c r="T12" s="300"/>
      <c r="U12" s="281">
        <v>0.31</v>
      </c>
      <c r="V12" s="81"/>
      <c r="W12" s="81"/>
      <c r="X12" s="81">
        <v>165</v>
      </c>
      <c r="Y12" s="81">
        <v>168</v>
      </c>
      <c r="Z12" s="81">
        <v>172</v>
      </c>
      <c r="AA12" s="81">
        <v>174</v>
      </c>
      <c r="AB12" s="81">
        <v>180</v>
      </c>
      <c r="AC12" s="81">
        <v>182</v>
      </c>
      <c r="AD12" s="300"/>
    </row>
    <row r="13" spans="1:30" ht="14.1" customHeight="1">
      <c r="A13" s="281">
        <v>0.32</v>
      </c>
      <c r="B13" s="81">
        <v>158</v>
      </c>
      <c r="C13" s="81">
        <v>160</v>
      </c>
      <c r="D13" s="81">
        <v>162</v>
      </c>
      <c r="E13" s="81">
        <v>163</v>
      </c>
      <c r="F13" s="81">
        <v>164</v>
      </c>
      <c r="G13" s="81">
        <v>166</v>
      </c>
      <c r="H13" s="81">
        <v>167</v>
      </c>
      <c r="I13" s="81">
        <v>168</v>
      </c>
      <c r="J13" s="300">
        <v>168</v>
      </c>
      <c r="K13" s="281">
        <v>0.32</v>
      </c>
      <c r="L13" s="81"/>
      <c r="M13" s="81"/>
      <c r="N13" s="81">
        <v>167</v>
      </c>
      <c r="O13" s="81">
        <v>169</v>
      </c>
      <c r="P13" s="81">
        <v>171</v>
      </c>
      <c r="Q13" s="81">
        <v>171</v>
      </c>
      <c r="R13" s="81">
        <v>171</v>
      </c>
      <c r="S13" s="81">
        <v>172</v>
      </c>
      <c r="T13" s="300">
        <v>172</v>
      </c>
      <c r="U13" s="281">
        <v>0.32</v>
      </c>
      <c r="V13" s="81"/>
      <c r="W13" s="81"/>
      <c r="X13" s="81">
        <v>169</v>
      </c>
      <c r="Y13" s="81">
        <v>173</v>
      </c>
      <c r="Z13" s="81">
        <v>177</v>
      </c>
      <c r="AA13" s="81">
        <v>181</v>
      </c>
      <c r="AB13" s="81">
        <v>184</v>
      </c>
      <c r="AC13" s="81">
        <v>186</v>
      </c>
      <c r="AD13" s="300">
        <v>188</v>
      </c>
    </row>
    <row r="14" spans="1:30" ht="14.1" customHeight="1">
      <c r="A14" s="281">
        <v>0.33</v>
      </c>
      <c r="B14" s="81">
        <v>163</v>
      </c>
      <c r="C14" s="81">
        <v>165</v>
      </c>
      <c r="D14" s="81">
        <v>166</v>
      </c>
      <c r="E14" s="81">
        <v>168</v>
      </c>
      <c r="F14" s="81">
        <v>169</v>
      </c>
      <c r="G14" s="81">
        <v>170</v>
      </c>
      <c r="H14" s="81">
        <v>171</v>
      </c>
      <c r="I14" s="81">
        <v>173</v>
      </c>
      <c r="J14" s="300">
        <v>173</v>
      </c>
      <c r="K14" s="281">
        <v>0.33</v>
      </c>
      <c r="L14" s="81"/>
      <c r="M14" s="81"/>
      <c r="N14" s="81">
        <v>171</v>
      </c>
      <c r="O14" s="81">
        <v>173</v>
      </c>
      <c r="P14" s="81">
        <v>175</v>
      </c>
      <c r="Q14" s="81">
        <v>176</v>
      </c>
      <c r="R14" s="81">
        <v>176</v>
      </c>
      <c r="S14" s="81">
        <v>176</v>
      </c>
      <c r="T14" s="300">
        <v>176</v>
      </c>
      <c r="U14" s="281">
        <v>0.33</v>
      </c>
      <c r="V14" s="81"/>
      <c r="W14" s="81"/>
      <c r="X14" s="81">
        <v>174</v>
      </c>
      <c r="Y14" s="81">
        <v>178</v>
      </c>
      <c r="Z14" s="81">
        <v>181</v>
      </c>
      <c r="AA14" s="81">
        <v>185</v>
      </c>
      <c r="AB14" s="81">
        <v>188</v>
      </c>
      <c r="AC14" s="81">
        <v>190</v>
      </c>
      <c r="AD14" s="300">
        <v>192</v>
      </c>
    </row>
    <row r="15" spans="1:30" ht="14.1" customHeight="1">
      <c r="A15" s="281">
        <v>0.34</v>
      </c>
      <c r="B15" s="81">
        <v>168</v>
      </c>
      <c r="C15" s="81">
        <v>170</v>
      </c>
      <c r="D15" s="81">
        <v>171</v>
      </c>
      <c r="E15" s="81">
        <v>172</v>
      </c>
      <c r="F15" s="81">
        <v>173</v>
      </c>
      <c r="G15" s="81">
        <v>174</v>
      </c>
      <c r="H15" s="81">
        <v>175</v>
      </c>
      <c r="I15" s="81">
        <v>176</v>
      </c>
      <c r="J15" s="300">
        <v>177</v>
      </c>
      <c r="K15" s="281">
        <v>0.34</v>
      </c>
      <c r="L15" s="81"/>
      <c r="M15" s="81"/>
      <c r="N15" s="81">
        <v>176</v>
      </c>
      <c r="O15" s="81">
        <v>178</v>
      </c>
      <c r="P15" s="81">
        <v>179</v>
      </c>
      <c r="Q15" s="81">
        <v>179</v>
      </c>
      <c r="R15" s="81">
        <v>180</v>
      </c>
      <c r="S15" s="81">
        <v>180</v>
      </c>
      <c r="T15" s="300">
        <v>180</v>
      </c>
      <c r="U15" s="281">
        <v>0.34</v>
      </c>
      <c r="V15" s="81"/>
      <c r="W15" s="81"/>
      <c r="X15" s="81">
        <v>179</v>
      </c>
      <c r="Y15" s="81">
        <v>183</v>
      </c>
      <c r="Z15" s="81">
        <v>186</v>
      </c>
      <c r="AA15" s="81">
        <v>190</v>
      </c>
      <c r="AB15" s="81">
        <v>193</v>
      </c>
      <c r="AC15" s="81">
        <v>195</v>
      </c>
      <c r="AD15" s="300">
        <v>196</v>
      </c>
    </row>
    <row r="16" spans="1:30" ht="14.1" customHeight="1">
      <c r="A16" s="281">
        <v>0.35</v>
      </c>
      <c r="B16" s="81"/>
      <c r="C16" s="81">
        <v>174</v>
      </c>
      <c r="D16" s="81">
        <v>175</v>
      </c>
      <c r="E16" s="81">
        <v>176</v>
      </c>
      <c r="F16" s="81">
        <v>177</v>
      </c>
      <c r="G16" s="81">
        <v>178</v>
      </c>
      <c r="H16" s="81">
        <v>179</v>
      </c>
      <c r="I16" s="81">
        <v>180</v>
      </c>
      <c r="J16" s="300">
        <v>181</v>
      </c>
      <c r="K16" s="281">
        <v>0.35</v>
      </c>
      <c r="L16" s="81"/>
      <c r="M16" s="81"/>
      <c r="N16" s="81">
        <v>180</v>
      </c>
      <c r="O16" s="81">
        <v>181</v>
      </c>
      <c r="P16" s="81">
        <v>183</v>
      </c>
      <c r="Q16" s="81">
        <v>183</v>
      </c>
      <c r="R16" s="81">
        <v>184</v>
      </c>
      <c r="S16" s="81">
        <v>185</v>
      </c>
      <c r="T16" s="300">
        <v>185</v>
      </c>
      <c r="U16" s="281">
        <v>0.35</v>
      </c>
      <c r="V16" s="81"/>
      <c r="W16" s="81"/>
      <c r="X16" s="81">
        <v>184</v>
      </c>
      <c r="Y16" s="81">
        <v>187</v>
      </c>
      <c r="Z16" s="81">
        <v>190</v>
      </c>
      <c r="AA16" s="81">
        <v>194</v>
      </c>
      <c r="AB16" s="81">
        <v>197</v>
      </c>
      <c r="AC16" s="81">
        <v>199</v>
      </c>
      <c r="AD16" s="300">
        <v>201</v>
      </c>
    </row>
    <row r="17" spans="1:30" ht="14.1" customHeight="1">
      <c r="A17" s="281">
        <v>0.36</v>
      </c>
      <c r="B17" s="81"/>
      <c r="C17" s="81"/>
      <c r="D17" s="81">
        <v>179</v>
      </c>
      <c r="E17" s="81">
        <v>181</v>
      </c>
      <c r="F17" s="81">
        <v>182</v>
      </c>
      <c r="G17" s="81">
        <v>183</v>
      </c>
      <c r="H17" s="81">
        <v>184</v>
      </c>
      <c r="I17" s="81">
        <v>185</v>
      </c>
      <c r="J17" s="300">
        <v>185</v>
      </c>
      <c r="K17" s="281">
        <v>0.36</v>
      </c>
      <c r="L17" s="81"/>
      <c r="M17" s="81"/>
      <c r="N17" s="81">
        <v>185</v>
      </c>
      <c r="O17" s="81">
        <v>186</v>
      </c>
      <c r="P17" s="81">
        <v>187</v>
      </c>
      <c r="Q17" s="81">
        <v>187</v>
      </c>
      <c r="R17" s="81">
        <v>188</v>
      </c>
      <c r="S17" s="81">
        <v>188</v>
      </c>
      <c r="T17" s="300">
        <v>189</v>
      </c>
      <c r="U17" s="281">
        <v>0.36</v>
      </c>
      <c r="V17" s="81"/>
      <c r="W17" s="81"/>
      <c r="X17" s="81">
        <v>189</v>
      </c>
      <c r="Y17" s="81">
        <v>192</v>
      </c>
      <c r="Z17" s="81">
        <v>195</v>
      </c>
      <c r="AA17" s="81">
        <v>198</v>
      </c>
      <c r="AB17" s="81">
        <v>201</v>
      </c>
      <c r="AC17" s="81">
        <v>204</v>
      </c>
      <c r="AD17" s="300">
        <v>205</v>
      </c>
    </row>
    <row r="18" spans="1:30" ht="14.1" customHeight="1">
      <c r="A18" s="281">
        <v>0.37</v>
      </c>
      <c r="B18" s="81"/>
      <c r="C18" s="81"/>
      <c r="D18" s="81"/>
      <c r="E18" s="81">
        <v>185</v>
      </c>
      <c r="F18" s="81">
        <v>186</v>
      </c>
      <c r="G18" s="81">
        <v>187</v>
      </c>
      <c r="H18" s="81">
        <v>188</v>
      </c>
      <c r="I18" s="81">
        <v>189</v>
      </c>
      <c r="J18" s="300">
        <v>190</v>
      </c>
      <c r="K18" s="281">
        <v>0.37</v>
      </c>
      <c r="L18" s="81"/>
      <c r="M18" s="81"/>
      <c r="N18" s="81">
        <v>189</v>
      </c>
      <c r="O18" s="81">
        <v>190</v>
      </c>
      <c r="P18" s="81">
        <v>191</v>
      </c>
      <c r="Q18" s="81">
        <v>191</v>
      </c>
      <c r="R18" s="81">
        <v>192</v>
      </c>
      <c r="S18" s="81">
        <v>193</v>
      </c>
      <c r="T18" s="300">
        <v>193</v>
      </c>
      <c r="U18" s="281">
        <v>0.37</v>
      </c>
      <c r="V18" s="81"/>
      <c r="W18" s="81"/>
      <c r="X18" s="81">
        <v>193</v>
      </c>
      <c r="Y18" s="81">
        <v>196</v>
      </c>
      <c r="Z18" s="81">
        <v>199</v>
      </c>
      <c r="AA18" s="81">
        <v>202</v>
      </c>
      <c r="AB18" s="81">
        <v>205</v>
      </c>
      <c r="AC18" s="81">
        <v>207</v>
      </c>
      <c r="AD18" s="300">
        <v>209</v>
      </c>
    </row>
    <row r="19" spans="1:30" ht="14.1" customHeight="1">
      <c r="A19" s="281">
        <v>0.38</v>
      </c>
      <c r="B19" s="81"/>
      <c r="C19" s="81"/>
      <c r="D19" s="81"/>
      <c r="E19" s="81"/>
      <c r="F19" s="81">
        <v>190</v>
      </c>
      <c r="G19" s="81">
        <v>191</v>
      </c>
      <c r="H19" s="81">
        <v>192</v>
      </c>
      <c r="I19" s="81">
        <v>193</v>
      </c>
      <c r="J19" s="300">
        <v>194</v>
      </c>
      <c r="K19" s="281">
        <v>0.38</v>
      </c>
      <c r="L19" s="81"/>
      <c r="M19" s="81"/>
      <c r="N19" s="81">
        <v>193</v>
      </c>
      <c r="O19" s="81">
        <v>194</v>
      </c>
      <c r="P19" s="81">
        <v>196</v>
      </c>
      <c r="Q19" s="81">
        <v>196</v>
      </c>
      <c r="R19" s="81">
        <v>197</v>
      </c>
      <c r="S19" s="81">
        <v>197</v>
      </c>
      <c r="T19" s="300">
        <v>197</v>
      </c>
      <c r="U19" s="281">
        <v>0.38</v>
      </c>
      <c r="V19" s="81"/>
      <c r="W19" s="81"/>
      <c r="X19" s="81">
        <v>198</v>
      </c>
      <c r="Y19" s="81">
        <v>201</v>
      </c>
      <c r="Z19" s="81">
        <v>204</v>
      </c>
      <c r="AA19" s="81">
        <v>207</v>
      </c>
      <c r="AB19" s="81">
        <v>209</v>
      </c>
      <c r="AC19" s="81">
        <v>211</v>
      </c>
      <c r="AD19" s="300">
        <v>213</v>
      </c>
    </row>
    <row r="20" spans="1:30" ht="14.1" customHeight="1">
      <c r="A20" s="281">
        <v>0.39</v>
      </c>
      <c r="B20" s="81"/>
      <c r="C20" s="81"/>
      <c r="D20" s="81"/>
      <c r="E20" s="81"/>
      <c r="F20" s="81"/>
      <c r="G20" s="81">
        <v>196</v>
      </c>
      <c r="H20" s="81">
        <v>197</v>
      </c>
      <c r="I20" s="81">
        <v>198</v>
      </c>
      <c r="J20" s="300">
        <v>198</v>
      </c>
      <c r="K20" s="281">
        <v>0.39</v>
      </c>
      <c r="L20" s="81"/>
      <c r="M20" s="81"/>
      <c r="N20" s="81">
        <v>198</v>
      </c>
      <c r="O20" s="81">
        <v>199</v>
      </c>
      <c r="P20" s="81">
        <v>200</v>
      </c>
      <c r="Q20" s="81">
        <v>200</v>
      </c>
      <c r="R20" s="81">
        <v>201</v>
      </c>
      <c r="S20" s="81">
        <v>201</v>
      </c>
      <c r="T20" s="300">
        <v>202</v>
      </c>
      <c r="U20" s="281">
        <v>0.39</v>
      </c>
      <c r="V20" s="81"/>
      <c r="W20" s="81"/>
      <c r="X20" s="81">
        <v>203</v>
      </c>
      <c r="Y20" s="81">
        <v>206</v>
      </c>
      <c r="Z20" s="81">
        <v>208</v>
      </c>
      <c r="AA20" s="81">
        <v>211</v>
      </c>
      <c r="AB20" s="81">
        <v>214</v>
      </c>
      <c r="AC20" s="81">
        <v>216</v>
      </c>
      <c r="AD20" s="300">
        <v>217</v>
      </c>
    </row>
    <row r="21" spans="1:30" ht="14.1" customHeight="1">
      <c r="A21" s="281">
        <v>0.4</v>
      </c>
      <c r="B21" s="81"/>
      <c r="C21" s="81"/>
      <c r="D21" s="81"/>
      <c r="E21" s="81"/>
      <c r="F21" s="81"/>
      <c r="G21" s="81"/>
      <c r="H21" s="81">
        <v>201</v>
      </c>
      <c r="I21" s="81">
        <v>202</v>
      </c>
      <c r="J21" s="300">
        <v>203</v>
      </c>
      <c r="K21" s="281">
        <v>0.4</v>
      </c>
      <c r="L21" s="81"/>
      <c r="M21" s="81"/>
      <c r="N21" s="81">
        <v>202</v>
      </c>
      <c r="O21" s="81">
        <v>203</v>
      </c>
      <c r="P21" s="81">
        <v>204</v>
      </c>
      <c r="Q21" s="81">
        <v>204</v>
      </c>
      <c r="R21" s="81">
        <v>205</v>
      </c>
      <c r="S21" s="81">
        <v>205</v>
      </c>
      <c r="T21" s="300">
        <v>206</v>
      </c>
      <c r="U21" s="281">
        <v>0.4</v>
      </c>
      <c r="V21" s="81"/>
      <c r="W21" s="81"/>
      <c r="X21" s="81">
        <v>208</v>
      </c>
      <c r="Y21" s="81">
        <v>211</v>
      </c>
      <c r="Z21" s="81">
        <v>213</v>
      </c>
      <c r="AA21" s="81">
        <v>216</v>
      </c>
      <c r="AB21" s="81">
        <v>218</v>
      </c>
      <c r="AC21" s="81">
        <v>220</v>
      </c>
      <c r="AD21" s="300">
        <v>221</v>
      </c>
    </row>
    <row r="22" spans="1:30" ht="14.1" customHeight="1">
      <c r="A22" s="281">
        <v>0.41</v>
      </c>
      <c r="B22" s="81"/>
      <c r="C22" s="81"/>
      <c r="D22" s="81"/>
      <c r="E22" s="81"/>
      <c r="F22" s="81"/>
      <c r="G22" s="81"/>
      <c r="H22" s="81"/>
      <c r="I22" s="81">
        <v>206</v>
      </c>
      <c r="J22" s="300">
        <v>207</v>
      </c>
      <c r="K22" s="281">
        <v>0.41</v>
      </c>
      <c r="L22" s="81"/>
      <c r="M22" s="81"/>
      <c r="N22" s="81">
        <v>206</v>
      </c>
      <c r="O22" s="81">
        <v>207</v>
      </c>
      <c r="P22" s="81">
        <v>208</v>
      </c>
      <c r="Q22" s="81">
        <v>208</v>
      </c>
      <c r="R22" s="81">
        <v>209</v>
      </c>
      <c r="S22" s="81">
        <v>209</v>
      </c>
      <c r="T22" s="300">
        <v>210</v>
      </c>
      <c r="U22" s="281">
        <v>0.41</v>
      </c>
      <c r="V22" s="81"/>
      <c r="W22" s="81"/>
      <c r="X22" s="81">
        <v>213</v>
      </c>
      <c r="Y22" s="81">
        <v>215</v>
      </c>
      <c r="Z22" s="81">
        <v>217</v>
      </c>
      <c r="AA22" s="81">
        <v>220</v>
      </c>
      <c r="AB22" s="81">
        <v>222</v>
      </c>
      <c r="AC22" s="81">
        <v>224</v>
      </c>
      <c r="AD22" s="300">
        <v>225</v>
      </c>
    </row>
    <row r="23" spans="1:30" ht="14.1" customHeight="1" thickBot="1">
      <c r="A23" s="282">
        <v>0.42</v>
      </c>
      <c r="B23" s="283"/>
      <c r="C23" s="283"/>
      <c r="D23" s="283"/>
      <c r="E23" s="283"/>
      <c r="F23" s="283"/>
      <c r="G23" s="283"/>
      <c r="H23" s="283"/>
      <c r="I23" s="283"/>
      <c r="J23" s="252">
        <v>211</v>
      </c>
      <c r="K23" s="282">
        <v>0.42</v>
      </c>
      <c r="L23" s="283"/>
      <c r="M23" s="283"/>
      <c r="N23" s="283">
        <v>211</v>
      </c>
      <c r="O23" s="283">
        <v>211</v>
      </c>
      <c r="P23" s="283">
        <v>212</v>
      </c>
      <c r="Q23" s="283">
        <v>212</v>
      </c>
      <c r="R23" s="283">
        <v>213</v>
      </c>
      <c r="S23" s="283">
        <v>213</v>
      </c>
      <c r="T23" s="252">
        <v>214</v>
      </c>
      <c r="U23" s="282">
        <v>0.42</v>
      </c>
      <c r="V23" s="283"/>
      <c r="W23" s="283"/>
      <c r="X23" s="283">
        <v>218</v>
      </c>
      <c r="Y23" s="283">
        <v>220</v>
      </c>
      <c r="Z23" s="283">
        <v>222</v>
      </c>
      <c r="AA23" s="283">
        <v>224</v>
      </c>
      <c r="AB23" s="283">
        <v>226</v>
      </c>
      <c r="AC23" s="283">
        <v>228</v>
      </c>
      <c r="AD23" s="252">
        <v>229</v>
      </c>
    </row>
    <row r="25" spans="1:30" ht="14.1" customHeight="1" thickBot="1">
      <c r="A25" s="146" t="s">
        <v>463</v>
      </c>
      <c r="N25" s="146" t="s">
        <v>464</v>
      </c>
    </row>
    <row r="26" spans="1:30" ht="14.1" customHeight="1">
      <c r="A26" s="400"/>
      <c r="B26" s="729" t="s">
        <v>25</v>
      </c>
      <c r="C26" s="729"/>
      <c r="D26" s="729"/>
      <c r="E26" s="729"/>
      <c r="F26" s="729"/>
      <c r="G26" s="729"/>
      <c r="H26" s="729"/>
      <c r="I26" s="729"/>
      <c r="J26" s="729"/>
      <c r="K26" s="729"/>
      <c r="L26" s="729"/>
      <c r="M26" s="297"/>
      <c r="N26" s="400"/>
      <c r="O26" s="728" t="s">
        <v>25</v>
      </c>
      <c r="P26" s="728"/>
      <c r="Q26" s="728"/>
      <c r="R26" s="728"/>
      <c r="S26" s="728"/>
      <c r="T26" s="728"/>
      <c r="U26" s="728"/>
      <c r="V26" s="728"/>
      <c r="W26" s="728"/>
      <c r="X26" s="728"/>
      <c r="Y26" s="728"/>
      <c r="Z26" s="728"/>
      <c r="AA26" s="728"/>
    </row>
    <row r="27" spans="1:30" ht="14.1" customHeight="1">
      <c r="A27" s="281" t="s">
        <v>358</v>
      </c>
      <c r="B27" s="81">
        <v>22</v>
      </c>
      <c r="C27" s="81">
        <v>23</v>
      </c>
      <c r="D27" s="81">
        <v>24</v>
      </c>
      <c r="E27" s="81">
        <v>25</v>
      </c>
      <c r="F27" s="81">
        <v>26</v>
      </c>
      <c r="G27" s="81">
        <v>27</v>
      </c>
      <c r="H27" s="81">
        <v>28</v>
      </c>
      <c r="I27" s="81">
        <v>29</v>
      </c>
      <c r="J27" s="81">
        <v>30</v>
      </c>
      <c r="K27" s="81">
        <v>31</v>
      </c>
      <c r="L27" s="81">
        <v>32</v>
      </c>
      <c r="M27" s="300">
        <v>33</v>
      </c>
      <c r="N27" s="281" t="s">
        <v>358</v>
      </c>
      <c r="O27" s="81">
        <v>27</v>
      </c>
      <c r="P27" s="81">
        <v>28</v>
      </c>
      <c r="Q27" s="81">
        <v>29</v>
      </c>
      <c r="R27" s="81">
        <v>30</v>
      </c>
      <c r="S27" s="81">
        <v>31</v>
      </c>
      <c r="T27" s="81">
        <v>32</v>
      </c>
      <c r="U27" s="81">
        <v>33</v>
      </c>
      <c r="V27" s="81">
        <v>34</v>
      </c>
      <c r="W27" s="81">
        <v>35</v>
      </c>
      <c r="X27" s="81">
        <v>36</v>
      </c>
      <c r="Y27" s="81">
        <v>37</v>
      </c>
      <c r="Z27" s="81">
        <v>38</v>
      </c>
      <c r="AA27" s="300">
        <v>39</v>
      </c>
    </row>
    <row r="28" spans="1:30" ht="14.1" customHeight="1">
      <c r="A28" s="281">
        <v>0.3</v>
      </c>
      <c r="B28" s="81">
        <v>152</v>
      </c>
      <c r="C28" s="81">
        <v>157</v>
      </c>
      <c r="D28" s="81">
        <v>163</v>
      </c>
      <c r="E28" s="81">
        <v>166</v>
      </c>
      <c r="F28" s="81">
        <v>170</v>
      </c>
      <c r="G28" s="81">
        <v>173</v>
      </c>
      <c r="H28" s="81">
        <v>175</v>
      </c>
      <c r="I28" s="81">
        <v>177</v>
      </c>
      <c r="J28" s="81">
        <v>179</v>
      </c>
      <c r="K28" s="81">
        <v>182</v>
      </c>
      <c r="L28" s="81">
        <v>184</v>
      </c>
      <c r="M28" s="300">
        <v>187</v>
      </c>
      <c r="N28" s="281">
        <v>0.3</v>
      </c>
      <c r="O28" s="81">
        <v>222</v>
      </c>
      <c r="P28" s="81">
        <v>226</v>
      </c>
      <c r="Q28" s="81">
        <v>229</v>
      </c>
      <c r="R28" s="81">
        <v>231</v>
      </c>
      <c r="S28" s="81">
        <v>234</v>
      </c>
      <c r="T28" s="81">
        <v>236</v>
      </c>
      <c r="U28" s="81">
        <v>239</v>
      </c>
      <c r="V28" s="81">
        <v>241</v>
      </c>
      <c r="W28" s="81">
        <v>244</v>
      </c>
      <c r="X28" s="81">
        <v>246</v>
      </c>
      <c r="Y28" s="81">
        <v>248</v>
      </c>
      <c r="Z28" s="81">
        <v>250</v>
      </c>
      <c r="AA28" s="300">
        <v>252</v>
      </c>
    </row>
    <row r="29" spans="1:30" ht="14.1" customHeight="1">
      <c r="A29" s="281">
        <v>0.32500000000000001</v>
      </c>
      <c r="B29" s="81">
        <v>163</v>
      </c>
      <c r="C29" s="81">
        <v>169</v>
      </c>
      <c r="D29" s="81">
        <v>174</v>
      </c>
      <c r="E29" s="81">
        <v>177</v>
      </c>
      <c r="F29" s="81">
        <v>181</v>
      </c>
      <c r="G29" s="81">
        <v>183</v>
      </c>
      <c r="H29" s="81">
        <v>186</v>
      </c>
      <c r="I29" s="81">
        <v>188</v>
      </c>
      <c r="J29" s="81">
        <v>190</v>
      </c>
      <c r="K29" s="81">
        <v>192</v>
      </c>
      <c r="L29" s="81">
        <v>195</v>
      </c>
      <c r="M29" s="300">
        <v>197</v>
      </c>
      <c r="N29" s="281">
        <v>0.32500000000000001</v>
      </c>
      <c r="O29" s="81">
        <v>233</v>
      </c>
      <c r="P29" s="81">
        <v>236</v>
      </c>
      <c r="Q29" s="81">
        <v>239</v>
      </c>
      <c r="R29" s="81">
        <v>242</v>
      </c>
      <c r="S29" s="81">
        <v>244</v>
      </c>
      <c r="T29" s="81">
        <v>246</v>
      </c>
      <c r="U29" s="81">
        <v>248</v>
      </c>
      <c r="V29" s="81">
        <v>251</v>
      </c>
      <c r="W29" s="81">
        <v>253</v>
      </c>
      <c r="X29" s="81">
        <v>256</v>
      </c>
      <c r="Y29" s="81">
        <v>258</v>
      </c>
      <c r="Z29" s="81">
        <v>260</v>
      </c>
      <c r="AA29" s="300">
        <v>262</v>
      </c>
    </row>
    <row r="30" spans="1:30" ht="14.1" customHeight="1">
      <c r="A30" s="281">
        <v>0.35</v>
      </c>
      <c r="B30" s="81">
        <v>175</v>
      </c>
      <c r="C30" s="81">
        <v>180</v>
      </c>
      <c r="D30" s="81">
        <v>185</v>
      </c>
      <c r="E30" s="81">
        <v>188</v>
      </c>
      <c r="F30" s="81">
        <v>191</v>
      </c>
      <c r="G30" s="81">
        <v>194</v>
      </c>
      <c r="H30" s="81">
        <v>196</v>
      </c>
      <c r="I30" s="81">
        <v>198</v>
      </c>
      <c r="J30" s="81">
        <v>200</v>
      </c>
      <c r="K30" s="81">
        <v>202</v>
      </c>
      <c r="L30" s="81">
        <v>205</v>
      </c>
      <c r="M30" s="300">
        <v>207</v>
      </c>
      <c r="N30" s="281">
        <v>0.35</v>
      </c>
      <c r="O30" s="81">
        <v>244</v>
      </c>
      <c r="P30" s="81">
        <v>247</v>
      </c>
      <c r="Q30" s="81">
        <v>249</v>
      </c>
      <c r="R30" s="81">
        <v>252</v>
      </c>
      <c r="S30" s="81">
        <v>254</v>
      </c>
      <c r="T30" s="81">
        <v>256</v>
      </c>
      <c r="U30" s="81">
        <v>258</v>
      </c>
      <c r="V30" s="81">
        <v>260</v>
      </c>
      <c r="W30" s="81">
        <v>263</v>
      </c>
      <c r="X30" s="81">
        <v>265</v>
      </c>
      <c r="Y30" s="81">
        <v>267</v>
      </c>
      <c r="Z30" s="81">
        <v>269</v>
      </c>
      <c r="AA30" s="300">
        <v>271</v>
      </c>
    </row>
    <row r="31" spans="1:30" ht="14.1" customHeight="1">
      <c r="A31" s="281">
        <v>0.375</v>
      </c>
      <c r="B31" s="81">
        <v>186</v>
      </c>
      <c r="C31" s="81">
        <v>191</v>
      </c>
      <c r="D31" s="81">
        <v>196</v>
      </c>
      <c r="E31" s="81">
        <v>199</v>
      </c>
      <c r="F31" s="81">
        <v>202</v>
      </c>
      <c r="G31" s="81">
        <v>205</v>
      </c>
      <c r="H31" s="81">
        <v>207</v>
      </c>
      <c r="I31" s="81">
        <v>209</v>
      </c>
      <c r="J31" s="81">
        <v>211</v>
      </c>
      <c r="K31" s="81">
        <v>213</v>
      </c>
      <c r="L31" s="81">
        <v>215</v>
      </c>
      <c r="M31" s="300">
        <v>218</v>
      </c>
      <c r="N31" s="281">
        <v>0.375</v>
      </c>
      <c r="O31" s="81">
        <v>254</v>
      </c>
      <c r="P31" s="81">
        <v>257</v>
      </c>
      <c r="Q31" s="81">
        <v>260</v>
      </c>
      <c r="R31" s="81">
        <v>262</v>
      </c>
      <c r="S31" s="81">
        <v>264</v>
      </c>
      <c r="T31" s="81">
        <v>266</v>
      </c>
      <c r="U31" s="81">
        <v>268</v>
      </c>
      <c r="V31" s="81">
        <v>270</v>
      </c>
      <c r="W31" s="81">
        <v>273</v>
      </c>
      <c r="X31" s="81">
        <v>275</v>
      </c>
      <c r="Y31" s="81">
        <v>277</v>
      </c>
      <c r="Z31" s="81">
        <v>279</v>
      </c>
      <c r="AA31" s="300">
        <v>281</v>
      </c>
    </row>
    <row r="32" spans="1:30" ht="14.1" customHeight="1">
      <c r="A32" s="281">
        <v>0.4</v>
      </c>
      <c r="B32" s="81">
        <v>198</v>
      </c>
      <c r="C32" s="81">
        <v>203</v>
      </c>
      <c r="D32" s="81">
        <v>207</v>
      </c>
      <c r="E32" s="81">
        <v>210</v>
      </c>
      <c r="F32" s="81">
        <v>213</v>
      </c>
      <c r="G32" s="81">
        <v>215</v>
      </c>
      <c r="H32" s="81">
        <v>217</v>
      </c>
      <c r="I32" s="81">
        <v>219</v>
      </c>
      <c r="J32" s="81">
        <v>221</v>
      </c>
      <c r="K32" s="81">
        <v>223</v>
      </c>
      <c r="L32" s="81">
        <v>226</v>
      </c>
      <c r="M32" s="300">
        <v>228</v>
      </c>
      <c r="N32" s="281">
        <v>0.4</v>
      </c>
      <c r="O32" s="81">
        <v>265</v>
      </c>
      <c r="P32" s="81">
        <v>267</v>
      </c>
      <c r="Q32" s="81">
        <v>270</v>
      </c>
      <c r="R32" s="81">
        <v>272</v>
      </c>
      <c r="S32" s="81">
        <v>274</v>
      </c>
      <c r="T32" s="81">
        <v>276</v>
      </c>
      <c r="U32" s="81">
        <v>278</v>
      </c>
      <c r="V32" s="81">
        <v>280</v>
      </c>
      <c r="W32" s="81">
        <v>282</v>
      </c>
      <c r="X32" s="81">
        <v>284</v>
      </c>
      <c r="Y32" s="81">
        <v>286</v>
      </c>
      <c r="Z32" s="81">
        <v>288</v>
      </c>
      <c r="AA32" s="300">
        <v>290</v>
      </c>
    </row>
    <row r="33" spans="1:27" ht="14.1" customHeight="1">
      <c r="A33" s="281">
        <v>0.42499999999999999</v>
      </c>
      <c r="B33" s="81">
        <v>209</v>
      </c>
      <c r="C33" s="81">
        <v>214</v>
      </c>
      <c r="D33" s="81">
        <v>218</v>
      </c>
      <c r="E33" s="81">
        <v>221</v>
      </c>
      <c r="F33" s="81">
        <v>224</v>
      </c>
      <c r="G33" s="81">
        <v>226</v>
      </c>
      <c r="H33" s="81">
        <v>228</v>
      </c>
      <c r="I33" s="81">
        <v>230</v>
      </c>
      <c r="J33" s="81">
        <v>232</v>
      </c>
      <c r="K33" s="81">
        <v>234</v>
      </c>
      <c r="L33" s="81">
        <v>236</v>
      </c>
      <c r="M33" s="300">
        <v>238</v>
      </c>
      <c r="N33" s="281">
        <v>0.42499999999999999</v>
      </c>
      <c r="O33" s="81">
        <v>275</v>
      </c>
      <c r="P33" s="81">
        <v>278</v>
      </c>
      <c r="Q33" s="81">
        <v>280</v>
      </c>
      <c r="R33" s="81">
        <v>282</v>
      </c>
      <c r="S33" s="81">
        <v>284</v>
      </c>
      <c r="T33" s="81">
        <v>286</v>
      </c>
      <c r="U33" s="81">
        <v>288</v>
      </c>
      <c r="V33" s="81">
        <v>290</v>
      </c>
      <c r="W33" s="81">
        <v>292</v>
      </c>
      <c r="X33" s="81">
        <v>294</v>
      </c>
      <c r="Y33" s="81">
        <v>296</v>
      </c>
      <c r="Z33" s="81">
        <v>298</v>
      </c>
      <c r="AA33" s="300">
        <v>300</v>
      </c>
    </row>
    <row r="34" spans="1:27" ht="14.1" customHeight="1">
      <c r="A34" s="281">
        <v>0.45</v>
      </c>
      <c r="B34" s="81">
        <v>221</v>
      </c>
      <c r="C34" s="81">
        <v>226</v>
      </c>
      <c r="D34" s="81">
        <v>230</v>
      </c>
      <c r="E34" s="81">
        <v>232</v>
      </c>
      <c r="F34" s="81">
        <v>235</v>
      </c>
      <c r="G34" s="81">
        <v>237</v>
      </c>
      <c r="H34" s="81">
        <v>238</v>
      </c>
      <c r="I34" s="81">
        <v>240</v>
      </c>
      <c r="J34" s="81">
        <v>242</v>
      </c>
      <c r="K34" s="81">
        <v>244</v>
      </c>
      <c r="L34" s="81">
        <v>246</v>
      </c>
      <c r="M34" s="300">
        <v>248</v>
      </c>
      <c r="N34" s="281">
        <v>0.45</v>
      </c>
      <c r="O34" s="81">
        <v>286</v>
      </c>
      <c r="P34" s="81">
        <v>288</v>
      </c>
      <c r="Q34" s="81">
        <v>290</v>
      </c>
      <c r="R34" s="81">
        <v>292</v>
      </c>
      <c r="S34" s="81">
        <v>294</v>
      </c>
      <c r="T34" s="81">
        <v>296</v>
      </c>
      <c r="U34" s="81">
        <v>298</v>
      </c>
      <c r="V34" s="81">
        <v>299</v>
      </c>
      <c r="W34" s="81">
        <v>301</v>
      </c>
      <c r="X34" s="81">
        <v>303</v>
      </c>
      <c r="Y34" s="81">
        <v>305</v>
      </c>
      <c r="Z34" s="81">
        <v>307</v>
      </c>
      <c r="AA34" s="300">
        <v>309</v>
      </c>
    </row>
    <row r="35" spans="1:27" ht="14.1" customHeight="1">
      <c r="A35" s="281">
        <v>0.47499999999999998</v>
      </c>
      <c r="B35" s="81">
        <v>233</v>
      </c>
      <c r="C35" s="81">
        <v>237</v>
      </c>
      <c r="D35" s="81">
        <v>241</v>
      </c>
      <c r="E35" s="81">
        <v>243</v>
      </c>
      <c r="F35" s="81">
        <v>245</v>
      </c>
      <c r="G35" s="81">
        <v>247</v>
      </c>
      <c r="H35" s="81">
        <v>249</v>
      </c>
      <c r="I35" s="81">
        <v>251</v>
      </c>
      <c r="J35" s="81">
        <v>253</v>
      </c>
      <c r="K35" s="81">
        <v>254</v>
      </c>
      <c r="L35" s="81">
        <v>256</v>
      </c>
      <c r="M35" s="300">
        <v>258</v>
      </c>
      <c r="N35" s="281">
        <v>0.47499999999999998</v>
      </c>
      <c r="O35" s="81">
        <v>296</v>
      </c>
      <c r="P35" s="81">
        <v>298</v>
      </c>
      <c r="Q35" s="81">
        <v>3090</v>
      </c>
      <c r="R35" s="81">
        <v>302</v>
      </c>
      <c r="S35" s="81">
        <v>304</v>
      </c>
      <c r="T35" s="81">
        <v>305</v>
      </c>
      <c r="U35" s="81">
        <v>307</v>
      </c>
      <c r="V35" s="81">
        <v>309</v>
      </c>
      <c r="W35" s="81">
        <v>311</v>
      </c>
      <c r="X35" s="81">
        <v>313</v>
      </c>
      <c r="Y35" s="81">
        <v>315</v>
      </c>
      <c r="Z35" s="81">
        <v>317</v>
      </c>
      <c r="AA35" s="300">
        <v>318</v>
      </c>
    </row>
    <row r="36" spans="1:27" ht="14.1" customHeight="1">
      <c r="A36" s="281">
        <v>0.5</v>
      </c>
      <c r="B36" s="81">
        <v>244</v>
      </c>
      <c r="C36" s="81">
        <v>248</v>
      </c>
      <c r="D36" s="81">
        <v>252</v>
      </c>
      <c r="E36" s="81">
        <v>254</v>
      </c>
      <c r="F36" s="81">
        <v>256</v>
      </c>
      <c r="G36" s="81">
        <v>258</v>
      </c>
      <c r="H36" s="81">
        <v>260</v>
      </c>
      <c r="I36" s="81">
        <v>261</v>
      </c>
      <c r="J36" s="81">
        <v>263</v>
      </c>
      <c r="K36" s="81">
        <v>265</v>
      </c>
      <c r="L36" s="81">
        <v>267</v>
      </c>
      <c r="M36" s="300">
        <v>269</v>
      </c>
      <c r="N36" s="281">
        <v>0.5</v>
      </c>
      <c r="O36" s="81">
        <v>306</v>
      </c>
      <c r="P36" s="81">
        <v>308</v>
      </c>
      <c r="Q36" s="81">
        <v>310</v>
      </c>
      <c r="R36" s="81">
        <v>312</v>
      </c>
      <c r="S36" s="81">
        <v>313</v>
      </c>
      <c r="T36" s="81">
        <v>315</v>
      </c>
      <c r="U36" s="81">
        <v>317</v>
      </c>
      <c r="V36" s="81">
        <v>319</v>
      </c>
      <c r="W36" s="81">
        <v>320</v>
      </c>
      <c r="X36" s="81">
        <v>322</v>
      </c>
      <c r="Y36" s="81">
        <v>324</v>
      </c>
      <c r="Z36" s="81">
        <v>326</v>
      </c>
      <c r="AA36" s="300">
        <v>328</v>
      </c>
    </row>
    <row r="37" spans="1:27" ht="14.1" customHeight="1">
      <c r="A37" s="281">
        <v>0.52500000000000002</v>
      </c>
      <c r="B37" s="81">
        <v>256</v>
      </c>
      <c r="C37" s="81">
        <v>260</v>
      </c>
      <c r="D37" s="81">
        <v>263</v>
      </c>
      <c r="E37" s="81">
        <v>265</v>
      </c>
      <c r="F37" s="81">
        <v>267</v>
      </c>
      <c r="G37" s="81">
        <v>269</v>
      </c>
      <c r="H37" s="81">
        <v>270</v>
      </c>
      <c r="I37" s="81">
        <v>272</v>
      </c>
      <c r="J37" s="81">
        <v>273</v>
      </c>
      <c r="K37" s="81">
        <v>275</v>
      </c>
      <c r="L37" s="81">
        <v>277</v>
      </c>
      <c r="M37" s="300">
        <v>279</v>
      </c>
      <c r="N37" s="281">
        <v>0.52500000000000002</v>
      </c>
      <c r="O37" s="81">
        <v>316</v>
      </c>
      <c r="P37" s="81">
        <v>318</v>
      </c>
      <c r="Q37" s="81">
        <v>320</v>
      </c>
      <c r="R37" s="81">
        <v>322</v>
      </c>
      <c r="S37" s="81">
        <v>323</v>
      </c>
      <c r="T37" s="81">
        <v>325</v>
      </c>
      <c r="U37" s="81">
        <v>326</v>
      </c>
      <c r="V37" s="81">
        <v>328</v>
      </c>
      <c r="W37" s="81">
        <v>330</v>
      </c>
      <c r="X37" s="81">
        <v>332</v>
      </c>
      <c r="Y37" s="81">
        <v>333</v>
      </c>
      <c r="Z37" s="81">
        <v>335</v>
      </c>
      <c r="AA37" s="300">
        <v>337</v>
      </c>
    </row>
    <row r="38" spans="1:27" ht="14.1" customHeight="1">
      <c r="A38" s="281">
        <v>0.55000000000000004</v>
      </c>
      <c r="B38" s="81">
        <v>267</v>
      </c>
      <c r="C38" s="81">
        <v>271</v>
      </c>
      <c r="D38" s="81">
        <v>274</v>
      </c>
      <c r="E38" s="81">
        <v>276</v>
      </c>
      <c r="F38" s="81">
        <v>278</v>
      </c>
      <c r="G38" s="81">
        <v>279</v>
      </c>
      <c r="H38" s="81">
        <v>281</v>
      </c>
      <c r="I38" s="81">
        <v>282</v>
      </c>
      <c r="J38" s="81">
        <v>284</v>
      </c>
      <c r="K38" s="81">
        <v>285</v>
      </c>
      <c r="L38" s="81">
        <v>287</v>
      </c>
      <c r="M38" s="300">
        <v>289</v>
      </c>
      <c r="N38" s="281">
        <v>0.55000000000000004</v>
      </c>
      <c r="O38" s="81">
        <v>326</v>
      </c>
      <c r="P38" s="81">
        <v>328</v>
      </c>
      <c r="Q38" s="81">
        <v>330</v>
      </c>
      <c r="R38" s="81">
        <v>331</v>
      </c>
      <c r="S38" s="81">
        <v>333</v>
      </c>
      <c r="T38" s="81">
        <v>334</v>
      </c>
      <c r="U38" s="81">
        <v>336</v>
      </c>
      <c r="V38" s="81">
        <v>338</v>
      </c>
      <c r="W38" s="81">
        <v>339</v>
      </c>
      <c r="X38" s="81">
        <v>341</v>
      </c>
      <c r="Y38" s="81">
        <v>343</v>
      </c>
      <c r="Z38" s="81">
        <v>344</v>
      </c>
      <c r="AA38" s="300">
        <v>346</v>
      </c>
    </row>
    <row r="39" spans="1:27" ht="14.1" customHeight="1">
      <c r="A39" s="281">
        <v>0.57499999999999996</v>
      </c>
      <c r="B39" s="81">
        <v>279</v>
      </c>
      <c r="C39" s="81">
        <v>282</v>
      </c>
      <c r="D39" s="81">
        <v>285</v>
      </c>
      <c r="E39" s="81">
        <v>287</v>
      </c>
      <c r="F39" s="81">
        <v>288</v>
      </c>
      <c r="G39" s="81">
        <v>290</v>
      </c>
      <c r="H39" s="81">
        <v>291</v>
      </c>
      <c r="I39" s="81">
        <v>292</v>
      </c>
      <c r="J39" s="81">
        <v>294</v>
      </c>
      <c r="K39" s="81">
        <v>296</v>
      </c>
      <c r="L39" s="81">
        <v>297</v>
      </c>
      <c r="M39" s="300">
        <v>299</v>
      </c>
      <c r="N39" s="281">
        <v>0.57499999999999996</v>
      </c>
      <c r="O39" s="81">
        <v>336</v>
      </c>
      <c r="P39" s="81">
        <v>338</v>
      </c>
      <c r="Q39" s="81">
        <v>339</v>
      </c>
      <c r="R39" s="81">
        <v>341</v>
      </c>
      <c r="S39" s="81">
        <v>342</v>
      </c>
      <c r="T39" s="81">
        <v>344</v>
      </c>
      <c r="U39" s="81">
        <v>345</v>
      </c>
      <c r="V39" s="81">
        <v>347</v>
      </c>
      <c r="W39" s="81">
        <v>349</v>
      </c>
      <c r="X39" s="81">
        <v>350</v>
      </c>
      <c r="Y39" s="81">
        <v>352</v>
      </c>
      <c r="Z39" s="81">
        <v>354</v>
      </c>
      <c r="AA39" s="300">
        <v>355</v>
      </c>
    </row>
    <row r="40" spans="1:27" ht="14.1" customHeight="1">
      <c r="A40" s="281">
        <v>0.6</v>
      </c>
      <c r="B40" s="81">
        <v>290</v>
      </c>
      <c r="C40" s="81">
        <v>293</v>
      </c>
      <c r="D40" s="81">
        <v>296</v>
      </c>
      <c r="E40" s="81">
        <v>297</v>
      </c>
      <c r="F40" s="81">
        <v>299</v>
      </c>
      <c r="G40" s="81">
        <v>300</v>
      </c>
      <c r="H40" s="81">
        <v>301</v>
      </c>
      <c r="I40" s="81">
        <v>303</v>
      </c>
      <c r="J40" s="81">
        <v>304</v>
      </c>
      <c r="K40" s="81">
        <v>306</v>
      </c>
      <c r="L40" s="81">
        <v>308</v>
      </c>
      <c r="M40" s="300">
        <v>310</v>
      </c>
      <c r="N40" s="281">
        <v>0.6</v>
      </c>
      <c r="O40" s="81">
        <v>346</v>
      </c>
      <c r="P40" s="81">
        <v>348</v>
      </c>
      <c r="Q40" s="81">
        <v>349</v>
      </c>
      <c r="R40" s="81">
        <v>350</v>
      </c>
      <c r="S40" s="81">
        <v>352</v>
      </c>
      <c r="T40" s="81">
        <v>353</v>
      </c>
      <c r="U40" s="81">
        <v>355</v>
      </c>
      <c r="V40" s="81">
        <v>356</v>
      </c>
      <c r="W40" s="81">
        <v>358</v>
      </c>
      <c r="X40" s="81">
        <v>359</v>
      </c>
      <c r="Y40" s="81">
        <v>361</v>
      </c>
      <c r="Z40" s="81">
        <v>363</v>
      </c>
      <c r="AA40" s="300">
        <v>364</v>
      </c>
    </row>
    <row r="41" spans="1:27" ht="14.1" customHeight="1">
      <c r="A41" s="281">
        <v>0.625</v>
      </c>
      <c r="B41" s="81">
        <v>301</v>
      </c>
      <c r="C41" s="81">
        <v>304</v>
      </c>
      <c r="D41" s="81">
        <v>306</v>
      </c>
      <c r="E41" s="81">
        <v>308</v>
      </c>
      <c r="F41" s="81">
        <v>309</v>
      </c>
      <c r="G41" s="81">
        <v>310</v>
      </c>
      <c r="H41" s="81">
        <v>312</v>
      </c>
      <c r="I41" s="81">
        <v>313</v>
      </c>
      <c r="J41" s="81">
        <v>315</v>
      </c>
      <c r="K41" s="81">
        <v>316</v>
      </c>
      <c r="L41" s="81">
        <v>318</v>
      </c>
      <c r="M41" s="300">
        <v>320</v>
      </c>
      <c r="N41" s="281">
        <v>0.625</v>
      </c>
      <c r="O41" s="81">
        <v>356</v>
      </c>
      <c r="P41" s="81">
        <v>357</v>
      </c>
      <c r="Q41" s="81">
        <v>358</v>
      </c>
      <c r="R41" s="81">
        <v>360</v>
      </c>
      <c r="S41" s="81">
        <v>361</v>
      </c>
      <c r="T41" s="81">
        <v>362</v>
      </c>
      <c r="U41" s="81">
        <v>364</v>
      </c>
      <c r="V41" s="81">
        <v>365</v>
      </c>
      <c r="W41" s="81">
        <v>367</v>
      </c>
      <c r="X41" s="81">
        <v>368</v>
      </c>
      <c r="Y41" s="81">
        <v>370</v>
      </c>
      <c r="Z41" s="81">
        <v>372</v>
      </c>
      <c r="AA41" s="300">
        <v>373</v>
      </c>
    </row>
    <row r="42" spans="1:27" ht="14.1" customHeight="1">
      <c r="A42" s="281">
        <v>0.65</v>
      </c>
      <c r="B42" s="81">
        <v>312</v>
      </c>
      <c r="C42" s="81">
        <v>314</v>
      </c>
      <c r="D42" s="81">
        <v>317</v>
      </c>
      <c r="E42" s="81">
        <v>318</v>
      </c>
      <c r="F42" s="81">
        <v>320</v>
      </c>
      <c r="G42" s="81">
        <v>321</v>
      </c>
      <c r="H42" s="81">
        <v>322</v>
      </c>
      <c r="I42" s="81">
        <v>323</v>
      </c>
      <c r="J42" s="81">
        <v>325</v>
      </c>
      <c r="K42" s="81">
        <v>326</v>
      </c>
      <c r="L42" s="81">
        <v>328</v>
      </c>
      <c r="M42" s="300">
        <v>330</v>
      </c>
      <c r="N42" s="281">
        <v>0.65</v>
      </c>
      <c r="O42" s="81">
        <v>365</v>
      </c>
      <c r="P42" s="81">
        <v>367</v>
      </c>
      <c r="Q42" s="81">
        <v>368</v>
      </c>
      <c r="R42" s="81">
        <v>369</v>
      </c>
      <c r="S42" s="81">
        <v>370</v>
      </c>
      <c r="T42" s="81">
        <v>372</v>
      </c>
      <c r="U42" s="81">
        <v>373</v>
      </c>
      <c r="V42" s="81">
        <v>375</v>
      </c>
      <c r="W42" s="81">
        <v>376</v>
      </c>
      <c r="X42" s="81">
        <v>378</v>
      </c>
      <c r="Y42" s="81">
        <v>379</v>
      </c>
      <c r="Z42" s="81">
        <v>381</v>
      </c>
      <c r="AA42" s="300">
        <v>382</v>
      </c>
    </row>
    <row r="43" spans="1:27" ht="14.1" customHeight="1">
      <c r="A43" s="281">
        <v>0.67500000000000004</v>
      </c>
      <c r="B43" s="81">
        <v>322</v>
      </c>
      <c r="C43" s="81">
        <v>325</v>
      </c>
      <c r="D43" s="81">
        <v>327</v>
      </c>
      <c r="E43" s="81">
        <v>328</v>
      </c>
      <c r="F43" s="81">
        <v>330</v>
      </c>
      <c r="G43" s="81">
        <v>331</v>
      </c>
      <c r="H43" s="81">
        <v>333</v>
      </c>
      <c r="I43" s="81">
        <v>333</v>
      </c>
      <c r="J43" s="81">
        <v>335</v>
      </c>
      <c r="K43" s="81">
        <v>336</v>
      </c>
      <c r="L43" s="81">
        <v>338</v>
      </c>
      <c r="M43" s="300">
        <v>340</v>
      </c>
      <c r="N43" s="281">
        <v>0.67500000000000004</v>
      </c>
      <c r="O43" s="81">
        <v>374</v>
      </c>
      <c r="P43" s="81">
        <v>376</v>
      </c>
      <c r="Q43" s="81">
        <v>377</v>
      </c>
      <c r="R43" s="81">
        <v>378</v>
      </c>
      <c r="S43" s="81">
        <v>379</v>
      </c>
      <c r="T43" s="81">
        <v>381</v>
      </c>
      <c r="U43" s="81">
        <v>382</v>
      </c>
      <c r="V43" s="81">
        <v>383</v>
      </c>
      <c r="W43" s="81">
        <v>385</v>
      </c>
      <c r="X43" s="81">
        <v>386</v>
      </c>
      <c r="Y43" s="81">
        <v>388</v>
      </c>
      <c r="Z43" s="81">
        <v>390</v>
      </c>
      <c r="AA43" s="300">
        <v>391</v>
      </c>
    </row>
    <row r="44" spans="1:27" ht="14.1" customHeight="1">
      <c r="A44" s="281">
        <v>0.7</v>
      </c>
      <c r="B44" s="81">
        <v>333</v>
      </c>
      <c r="C44" s="81">
        <v>335</v>
      </c>
      <c r="D44" s="81">
        <v>337</v>
      </c>
      <c r="E44" s="81">
        <v>339</v>
      </c>
      <c r="F44" s="81">
        <v>340</v>
      </c>
      <c r="G44" s="81">
        <v>341</v>
      </c>
      <c r="H44" s="81">
        <v>342</v>
      </c>
      <c r="I44" s="81">
        <v>343</v>
      </c>
      <c r="J44" s="81">
        <v>345</v>
      </c>
      <c r="K44" s="81">
        <v>346</v>
      </c>
      <c r="L44" s="81">
        <v>348</v>
      </c>
      <c r="M44" s="300">
        <v>350</v>
      </c>
      <c r="N44" s="281">
        <v>0.7</v>
      </c>
      <c r="O44" s="81">
        <v>384</v>
      </c>
      <c r="P44" s="81">
        <v>385</v>
      </c>
      <c r="Q44" s="81">
        <v>386</v>
      </c>
      <c r="R44" s="81">
        <v>387</v>
      </c>
      <c r="S44" s="81">
        <v>388</v>
      </c>
      <c r="T44" s="81">
        <v>390</v>
      </c>
      <c r="U44" s="81">
        <v>391</v>
      </c>
      <c r="V44" s="81">
        <v>392</v>
      </c>
      <c r="W44" s="81">
        <v>394</v>
      </c>
      <c r="X44" s="81">
        <v>395</v>
      </c>
      <c r="Y44" s="81">
        <v>397</v>
      </c>
      <c r="Z44" s="81">
        <v>398</v>
      </c>
      <c r="AA44" s="300">
        <v>400</v>
      </c>
    </row>
    <row r="45" spans="1:27" ht="14.1" customHeight="1">
      <c r="A45" s="281">
        <v>0.72499999999999998</v>
      </c>
      <c r="B45" s="81">
        <v>342</v>
      </c>
      <c r="C45" s="81">
        <v>345</v>
      </c>
      <c r="D45" s="81">
        <v>347</v>
      </c>
      <c r="E45" s="81">
        <v>348</v>
      </c>
      <c r="F45" s="81">
        <v>349</v>
      </c>
      <c r="G45" s="81">
        <v>351</v>
      </c>
      <c r="H45" s="81">
        <v>352</v>
      </c>
      <c r="I45" s="81">
        <v>353</v>
      </c>
      <c r="J45" s="81">
        <v>354</v>
      </c>
      <c r="K45" s="81">
        <v>356</v>
      </c>
      <c r="L45" s="81">
        <v>358</v>
      </c>
      <c r="M45" s="300">
        <v>360</v>
      </c>
      <c r="N45" s="281">
        <v>0.72499999999999998</v>
      </c>
      <c r="O45" s="81">
        <v>393</v>
      </c>
      <c r="P45" s="81">
        <v>394</v>
      </c>
      <c r="Q45" s="81">
        <v>395</v>
      </c>
      <c r="R45" s="81">
        <v>396</v>
      </c>
      <c r="S45" s="81">
        <v>397</v>
      </c>
      <c r="T45" s="81">
        <v>399</v>
      </c>
      <c r="U45" s="81">
        <v>400</v>
      </c>
      <c r="V45" s="81">
        <v>401</v>
      </c>
      <c r="W45" s="81">
        <v>403</v>
      </c>
      <c r="X45" s="81">
        <v>404</v>
      </c>
      <c r="Y45" s="81">
        <v>406</v>
      </c>
      <c r="Z45" s="81">
        <v>407</v>
      </c>
      <c r="AA45" s="300">
        <v>408</v>
      </c>
    </row>
    <row r="46" spans="1:27" ht="14.1" customHeight="1">
      <c r="A46" s="281">
        <v>0.75</v>
      </c>
      <c r="B46" s="81">
        <v>352</v>
      </c>
      <c r="C46" s="81">
        <v>355</v>
      </c>
      <c r="D46" s="81">
        <v>357</v>
      </c>
      <c r="E46" s="81">
        <v>358</v>
      </c>
      <c r="F46" s="81">
        <v>359</v>
      </c>
      <c r="G46" s="81">
        <v>360</v>
      </c>
      <c r="H46" s="81">
        <v>361</v>
      </c>
      <c r="I46" s="81">
        <v>363</v>
      </c>
      <c r="J46" s="81">
        <v>364</v>
      </c>
      <c r="K46" s="81">
        <v>366</v>
      </c>
      <c r="L46" s="81">
        <v>368</v>
      </c>
      <c r="M46" s="300">
        <v>369</v>
      </c>
      <c r="N46" s="281">
        <v>0.75</v>
      </c>
      <c r="O46" s="81">
        <v>402</v>
      </c>
      <c r="P46" s="81">
        <v>403</v>
      </c>
      <c r="Q46" s="81">
        <v>404</v>
      </c>
      <c r="R46" s="81">
        <v>405</v>
      </c>
      <c r="S46" s="81">
        <v>406</v>
      </c>
      <c r="T46" s="81">
        <v>407</v>
      </c>
      <c r="U46" s="81">
        <v>409</v>
      </c>
      <c r="V46" s="81">
        <v>410</v>
      </c>
      <c r="W46" s="81">
        <v>411</v>
      </c>
      <c r="X46" s="81">
        <v>413</v>
      </c>
      <c r="Y46" s="81">
        <v>414</v>
      </c>
      <c r="Z46" s="81">
        <v>416</v>
      </c>
      <c r="AA46" s="300">
        <v>417</v>
      </c>
    </row>
    <row r="47" spans="1:27" ht="14.1" customHeight="1">
      <c r="A47" s="281">
        <v>0.77500000000000002</v>
      </c>
      <c r="B47" s="81">
        <v>361</v>
      </c>
      <c r="C47" s="81">
        <v>365</v>
      </c>
      <c r="D47" s="81">
        <v>367</v>
      </c>
      <c r="E47" s="81">
        <v>368</v>
      </c>
      <c r="F47" s="81">
        <v>369</v>
      </c>
      <c r="G47" s="81">
        <v>370</v>
      </c>
      <c r="H47" s="81">
        <v>371</v>
      </c>
      <c r="I47" s="81">
        <v>372</v>
      </c>
      <c r="J47" s="81">
        <v>374</v>
      </c>
      <c r="K47" s="81">
        <v>375</v>
      </c>
      <c r="L47" s="81">
        <v>377</v>
      </c>
      <c r="M47" s="300">
        <v>379</v>
      </c>
      <c r="N47" s="281">
        <v>0.77500000000000002</v>
      </c>
      <c r="O47" s="81">
        <v>410</v>
      </c>
      <c r="P47" s="81">
        <v>411</v>
      </c>
      <c r="Q47" s="81">
        <v>412</v>
      </c>
      <c r="R47" s="81">
        <v>413</v>
      </c>
      <c r="S47" s="81">
        <v>415</v>
      </c>
      <c r="T47" s="81">
        <v>416</v>
      </c>
      <c r="U47" s="81">
        <v>417</v>
      </c>
      <c r="V47" s="81">
        <v>418</v>
      </c>
      <c r="W47" s="81">
        <v>420</v>
      </c>
      <c r="X47" s="81">
        <v>421</v>
      </c>
      <c r="Y47" s="81">
        <v>423</v>
      </c>
      <c r="Z47" s="81">
        <v>424</v>
      </c>
      <c r="AA47" s="300">
        <v>425</v>
      </c>
    </row>
    <row r="48" spans="1:27" ht="14.1" customHeight="1" thickBot="1">
      <c r="A48" s="282">
        <v>0.8</v>
      </c>
      <c r="B48" s="283">
        <v>369</v>
      </c>
      <c r="C48" s="283">
        <v>374</v>
      </c>
      <c r="D48" s="283">
        <v>376</v>
      </c>
      <c r="E48" s="283">
        <v>377</v>
      </c>
      <c r="F48" s="283">
        <v>378</v>
      </c>
      <c r="G48" s="283">
        <v>379</v>
      </c>
      <c r="H48" s="283">
        <v>380</v>
      </c>
      <c r="I48" s="283">
        <v>382</v>
      </c>
      <c r="J48" s="283">
        <v>383</v>
      </c>
      <c r="K48" s="283">
        <v>385</v>
      </c>
      <c r="L48" s="283">
        <v>387</v>
      </c>
      <c r="M48" s="252">
        <v>389</v>
      </c>
      <c r="N48" s="282">
        <v>0.8</v>
      </c>
      <c r="O48" s="283">
        <v>419</v>
      </c>
      <c r="P48" s="283">
        <v>420</v>
      </c>
      <c r="Q48" s="283">
        <v>421</v>
      </c>
      <c r="R48" s="283">
        <v>422</v>
      </c>
      <c r="S48" s="283">
        <v>423</v>
      </c>
      <c r="T48" s="283">
        <v>424</v>
      </c>
      <c r="U48" s="283">
        <v>425</v>
      </c>
      <c r="V48" s="283">
        <v>427</v>
      </c>
      <c r="W48" s="283">
        <v>428</v>
      </c>
      <c r="X48" s="283">
        <v>429</v>
      </c>
      <c r="Y48" s="283">
        <v>431</v>
      </c>
      <c r="Z48" s="283">
        <v>432</v>
      </c>
      <c r="AA48" s="252">
        <v>434</v>
      </c>
    </row>
    <row r="50" spans="1:19" ht="14.1" customHeight="1">
      <c r="A50" s="146" t="s">
        <v>465</v>
      </c>
    </row>
    <row r="51" spans="1:19" ht="14.1" customHeight="1">
      <c r="B51" s="730" t="s">
        <v>466</v>
      </c>
      <c r="C51" s="730" t="s">
        <v>467</v>
      </c>
      <c r="D51" s="731" t="s">
        <v>468</v>
      </c>
      <c r="E51" s="731"/>
      <c r="F51" s="731"/>
      <c r="G51" s="731"/>
      <c r="H51" s="731"/>
      <c r="I51" s="731"/>
      <c r="J51" s="731"/>
      <c r="K51" s="731"/>
    </row>
    <row r="52" spans="1:19" ht="14.1" customHeight="1">
      <c r="B52" s="730"/>
      <c r="C52" s="730"/>
      <c r="D52" s="312">
        <v>0.25</v>
      </c>
      <c r="E52" s="312">
        <v>0.3</v>
      </c>
      <c r="F52" s="312">
        <v>0.35</v>
      </c>
      <c r="G52" s="312">
        <v>0.4</v>
      </c>
      <c r="H52" s="312">
        <v>0.45</v>
      </c>
      <c r="I52" s="312">
        <v>0.5</v>
      </c>
      <c r="J52" s="312">
        <v>0.55000000000000004</v>
      </c>
      <c r="K52" s="312">
        <v>0.6</v>
      </c>
      <c r="L52" s="91" t="s">
        <v>469</v>
      </c>
      <c r="M52" s="91" t="s">
        <v>470</v>
      </c>
    </row>
    <row r="53" spans="1:19" ht="14.1" customHeight="1">
      <c r="A53" s="179" t="s">
        <v>471</v>
      </c>
      <c r="B53" s="81">
        <v>45</v>
      </c>
      <c r="C53" s="81">
        <v>53</v>
      </c>
      <c r="D53" s="81">
        <v>0.13</v>
      </c>
      <c r="E53" s="81">
        <v>0.155</v>
      </c>
      <c r="F53" s="81">
        <v>0.17699999999999999</v>
      </c>
      <c r="G53" s="81">
        <v>0.19800000000000001</v>
      </c>
      <c r="H53" s="81">
        <v>0.22</v>
      </c>
      <c r="I53" s="81">
        <v>0.245</v>
      </c>
      <c r="J53" s="81">
        <v>0.27200000000000002</v>
      </c>
      <c r="K53" s="81">
        <v>0.29499999999999998</v>
      </c>
      <c r="L53" s="395">
        <f>SLOPE(D53:K53,$D$52:$K$52)</f>
        <v>0.46809523809523801</v>
      </c>
      <c r="M53" s="395">
        <f>INTERCEPT(D53:K53,$D$52:$K$52)</f>
        <v>1.2559523809523854E-2</v>
      </c>
    </row>
    <row r="54" spans="1:19" ht="14.1" customHeight="1">
      <c r="A54" s="179" t="s">
        <v>472</v>
      </c>
      <c r="B54" s="81">
        <v>45</v>
      </c>
      <c r="C54" s="81">
        <v>53</v>
      </c>
      <c r="D54" s="81"/>
      <c r="E54" s="81">
        <v>1.109</v>
      </c>
      <c r="F54" s="81">
        <v>1.105</v>
      </c>
      <c r="G54" s="81">
        <v>1.1020000000000001</v>
      </c>
      <c r="H54" s="81">
        <v>1.099</v>
      </c>
      <c r="I54" s="81">
        <v>1.0960000000000001</v>
      </c>
      <c r="J54" s="81">
        <v>1.091</v>
      </c>
      <c r="K54" s="81">
        <v>1.0880000000000001</v>
      </c>
      <c r="L54" s="395">
        <f>SLOPE(D54:K54,$D$52:$K$52)</f>
        <v>-6.928571428571409E-2</v>
      </c>
      <c r="M54" s="395">
        <f>INTERCEPT(D54:K54,$D$52:$K$52)</f>
        <v>1.1297499999999998</v>
      </c>
    </row>
    <row r="55" spans="1:19" ht="14.1" customHeight="1">
      <c r="A55" s="179" t="s">
        <v>471</v>
      </c>
      <c r="B55" s="81">
        <v>50</v>
      </c>
      <c r="C55" s="81">
        <v>60</v>
      </c>
      <c r="D55" s="81">
        <v>0.112</v>
      </c>
      <c r="E55" s="81">
        <v>0.13500000000000001</v>
      </c>
      <c r="F55" s="81">
        <v>0.154</v>
      </c>
      <c r="G55" s="81">
        <v>0.17199999999999999</v>
      </c>
      <c r="H55" s="81">
        <v>0.192</v>
      </c>
      <c r="I55" s="81">
        <v>0.214</v>
      </c>
      <c r="J55" s="81">
        <v>0.23599999999999999</v>
      </c>
      <c r="K55" s="81">
        <v>0.26100000000000001</v>
      </c>
      <c r="L55" s="395">
        <f>SLOPE(D55:K55,$D$52:$K$52)</f>
        <v>0.41619047619047611</v>
      </c>
      <c r="M55" s="395">
        <f>INTERCEPT(D55:K55,$D$52:$K$52)</f>
        <v>7.6190476190476641E-3</v>
      </c>
    </row>
    <row r="56" spans="1:19" ht="14.1" customHeight="1">
      <c r="A56" s="179" t="s">
        <v>472</v>
      </c>
      <c r="B56" s="81">
        <v>50</v>
      </c>
      <c r="C56" s="81">
        <v>60</v>
      </c>
      <c r="D56" s="81"/>
      <c r="E56" s="83">
        <v>1.1639999999999999</v>
      </c>
      <c r="F56" s="83">
        <v>1.1599999999999999</v>
      </c>
      <c r="G56" s="83">
        <v>1.151</v>
      </c>
      <c r="H56" s="83">
        <v>1.1499999999999999</v>
      </c>
      <c r="I56" s="83">
        <v>1.1439999999999999</v>
      </c>
      <c r="J56" s="83">
        <v>1.139</v>
      </c>
      <c r="K56" s="83">
        <v>1.1339999999999999</v>
      </c>
      <c r="L56" s="395">
        <f>SLOPE(D56:K56,$D$52:$K$52)</f>
        <v>-9.9285714285714269E-2</v>
      </c>
      <c r="M56" s="395">
        <f>INTERCEPT(D56:K56,$D$52:$K$52)</f>
        <v>1.1935357142857141</v>
      </c>
    </row>
    <row r="58" spans="1:19" ht="14.1" customHeight="1">
      <c r="B58" s="81" t="s">
        <v>237</v>
      </c>
      <c r="C58" s="81" t="s">
        <v>262</v>
      </c>
      <c r="D58" s="81" t="s">
        <v>238</v>
      </c>
    </row>
    <row r="59" spans="1:19" ht="14.1" customHeight="1">
      <c r="A59" s="179" t="s">
        <v>473</v>
      </c>
      <c r="B59" s="81">
        <v>1</v>
      </c>
      <c r="C59" s="81">
        <v>1.0169999999999999</v>
      </c>
      <c r="D59" s="81">
        <v>1.042</v>
      </c>
    </row>
    <row r="61" spans="1:19" ht="14.1" customHeight="1">
      <c r="A61" s="146" t="s">
        <v>474</v>
      </c>
      <c r="C61" s="91" t="s">
        <v>475</v>
      </c>
      <c r="N61" s="220"/>
      <c r="O61" s="139"/>
      <c r="P61" s="139"/>
      <c r="Q61" s="139"/>
      <c r="R61" s="139"/>
      <c r="S61" s="139"/>
    </row>
    <row r="62" spans="1:19" ht="14.1" customHeight="1">
      <c r="A62" s="124" t="s">
        <v>71</v>
      </c>
      <c r="B62" s="79" t="s">
        <v>269</v>
      </c>
      <c r="C62" s="79" t="s">
        <v>476</v>
      </c>
      <c r="D62" s="79" t="s">
        <v>338</v>
      </c>
      <c r="E62" s="124" t="s">
        <v>71</v>
      </c>
      <c r="F62" s="79" t="s">
        <v>269</v>
      </c>
      <c r="G62" s="79" t="s">
        <v>476</v>
      </c>
      <c r="H62" s="79" t="s">
        <v>338</v>
      </c>
      <c r="I62" s="124" t="s">
        <v>71</v>
      </c>
      <c r="J62" s="79" t="s">
        <v>269</v>
      </c>
      <c r="K62" s="79" t="s">
        <v>476</v>
      </c>
      <c r="L62" s="79" t="s">
        <v>338</v>
      </c>
      <c r="O62" s="695"/>
      <c r="P62" s="695"/>
      <c r="Q62" s="695"/>
      <c r="R62" s="695"/>
      <c r="S62" s="695"/>
    </row>
    <row r="63" spans="1:19" ht="14.1" customHeight="1">
      <c r="A63" s="79" t="str">
        <f>Sheet1!P284</f>
        <v>Mo/Mo</v>
      </c>
      <c r="B63" s="79">
        <f>Sheet1!Q284</f>
        <v>24</v>
      </c>
      <c r="C63" s="79">
        <f t="shared" ref="C63:C68" si="0">B63^2</f>
        <v>576</v>
      </c>
      <c r="D63" s="395">
        <f>Sheet1!V284</f>
        <v>5.2266854261954973E-2</v>
      </c>
      <c r="E63" s="79" t="str">
        <f>Sheet1!P290</f>
        <v>Mo/Rh</v>
      </c>
      <c r="F63" s="79">
        <f>Sheet1!Q290</f>
        <v>26</v>
      </c>
      <c r="G63" s="79">
        <f t="shared" ref="G63:G67" si="1">F63^2</f>
        <v>676</v>
      </c>
      <c r="H63" s="395">
        <f>Sheet1!V290</f>
        <v>5.4535158175736752E-2</v>
      </c>
      <c r="I63" s="396" t="str">
        <f>Sheet1!P295</f>
        <v>W/Rh</v>
      </c>
      <c r="J63" s="79">
        <f>Sheet1!Q295</f>
        <v>26</v>
      </c>
      <c r="K63" s="79">
        <f t="shared" ref="K63:K67" si="2">J63^2</f>
        <v>676</v>
      </c>
      <c r="L63" s="394">
        <f>Sheet1!V295</f>
        <v>2.1019308238986501E-2</v>
      </c>
      <c r="O63" s="181"/>
      <c r="P63" s="181"/>
      <c r="Q63" s="181"/>
      <c r="R63" s="181"/>
      <c r="S63" s="181"/>
    </row>
    <row r="64" spans="1:19" ht="14.1" customHeight="1">
      <c r="A64" s="124"/>
      <c r="B64" s="79">
        <f>Sheet1!Q285</f>
        <v>26</v>
      </c>
      <c r="C64" s="79">
        <f t="shared" si="0"/>
        <v>676</v>
      </c>
      <c r="D64" s="395">
        <f>Sheet1!V285</f>
        <v>6.9112322019130701E-2</v>
      </c>
      <c r="E64" s="124"/>
      <c r="F64" s="79">
        <f>Sheet1!Q291</f>
        <v>28</v>
      </c>
      <c r="G64" s="79">
        <f t="shared" si="1"/>
        <v>784</v>
      </c>
      <c r="H64" s="395">
        <f>Sheet1!V291</f>
        <v>7.0417789656482807E-2</v>
      </c>
      <c r="I64" s="396"/>
      <c r="J64" s="79">
        <f>Sheet1!Q296</f>
        <v>28</v>
      </c>
      <c r="K64" s="79">
        <f t="shared" si="2"/>
        <v>784</v>
      </c>
      <c r="L64" s="394">
        <f>Sheet1!V296</f>
        <v>2.5954368384024432E-2</v>
      </c>
      <c r="O64" s="353"/>
      <c r="P64" s="353"/>
      <c r="Q64" s="353"/>
      <c r="R64" s="353"/>
      <c r="S64" s="353"/>
    </row>
    <row r="65" spans="1:19" ht="14.1" customHeight="1">
      <c r="A65" s="79"/>
      <c r="B65" s="79">
        <f>Sheet1!Q286</f>
        <v>28</v>
      </c>
      <c r="C65" s="79">
        <f t="shared" si="0"/>
        <v>784</v>
      </c>
      <c r="D65" s="395">
        <f>Sheet1!V286</f>
        <v>8.7348567551421452E-2</v>
      </c>
      <c r="E65" s="79"/>
      <c r="F65" s="79">
        <f>Sheet1!Q292</f>
        <v>30</v>
      </c>
      <c r="G65" s="79">
        <f t="shared" si="1"/>
        <v>900</v>
      </c>
      <c r="H65" s="395">
        <f>Sheet1!V292</f>
        <v>8.7873555483471186E-2</v>
      </c>
      <c r="I65" s="396"/>
      <c r="J65" s="79">
        <f>Sheet1!Q297</f>
        <v>30</v>
      </c>
      <c r="K65" s="79">
        <f t="shared" si="2"/>
        <v>900</v>
      </c>
      <c r="L65" s="394">
        <f>Sheet1!V297</f>
        <v>3.0798286351062666E-2</v>
      </c>
      <c r="O65" s="353"/>
      <c r="P65" s="353"/>
      <c r="Q65" s="353"/>
      <c r="R65" s="353"/>
      <c r="S65" s="353"/>
    </row>
    <row r="66" spans="1:19" ht="14.1" customHeight="1">
      <c r="A66" s="79"/>
      <c r="B66" s="79">
        <f>Sheet1!Q287</f>
        <v>30</v>
      </c>
      <c r="C66" s="79">
        <f t="shared" si="0"/>
        <v>900</v>
      </c>
      <c r="D66" s="395">
        <f>Sheet1!V287</f>
        <v>0.10725496711697526</v>
      </c>
      <c r="E66" s="79"/>
      <c r="F66" s="79">
        <f>Sheet1!Q293</f>
        <v>32</v>
      </c>
      <c r="G66" s="79">
        <f t="shared" si="1"/>
        <v>1024</v>
      </c>
      <c r="H66" s="395">
        <f>Sheet1!V293</f>
        <v>0.10639743654483459</v>
      </c>
      <c r="I66" s="396"/>
      <c r="J66" s="79">
        <f>Sheet1!Q298</f>
        <v>32</v>
      </c>
      <c r="K66" s="79">
        <f t="shared" si="2"/>
        <v>1024</v>
      </c>
      <c r="L66" s="394">
        <f>Sheet1!V298</f>
        <v>3.5755170175216372E-2</v>
      </c>
      <c r="O66" s="353"/>
      <c r="P66" s="353"/>
      <c r="Q66" s="353"/>
      <c r="R66" s="353"/>
      <c r="S66" s="353"/>
    </row>
    <row r="67" spans="1:19" ht="14.1" customHeight="1">
      <c r="A67" s="79"/>
      <c r="B67" s="79">
        <f>Sheet1!Q288</f>
        <v>32</v>
      </c>
      <c r="C67" s="79">
        <f t="shared" si="0"/>
        <v>1024</v>
      </c>
      <c r="D67" s="395">
        <f>Sheet1!V288</f>
        <v>0.12857655317087535</v>
      </c>
      <c r="E67" s="79"/>
      <c r="F67" s="79">
        <f>Sheet1!Q294</f>
        <v>34</v>
      </c>
      <c r="G67" s="79">
        <f t="shared" si="1"/>
        <v>1156</v>
      </c>
      <c r="H67" s="395">
        <f>Sheet1!V294</f>
        <v>0.12617420728116785</v>
      </c>
      <c r="I67" s="396"/>
      <c r="J67" s="79">
        <f>Sheet1!Q299</f>
        <v>34</v>
      </c>
      <c r="K67" s="79">
        <f t="shared" si="2"/>
        <v>1156</v>
      </c>
      <c r="L67" s="394">
        <f>Sheet1!V299</f>
        <v>4.0742472616023505E-2</v>
      </c>
      <c r="O67" s="353"/>
      <c r="P67" s="353"/>
      <c r="Q67" s="353"/>
      <c r="R67" s="353"/>
      <c r="S67" s="353"/>
    </row>
    <row r="68" spans="1:19" ht="14.1" customHeight="1">
      <c r="A68" s="79"/>
      <c r="B68" s="79">
        <f>Sheet1!Q289</f>
        <v>34</v>
      </c>
      <c r="C68" s="79">
        <f t="shared" si="0"/>
        <v>1156</v>
      </c>
      <c r="D68" s="395">
        <f>Sheet1!V289</f>
        <v>0.15147024651142091</v>
      </c>
      <c r="E68" s="79"/>
      <c r="F68" s="79"/>
      <c r="G68" s="79"/>
      <c r="I68" s="354"/>
      <c r="L68" s="139"/>
      <c r="O68" s="353"/>
      <c r="P68" s="353"/>
      <c r="Q68" s="353"/>
      <c r="R68" s="353"/>
      <c r="S68" s="353"/>
    </row>
    <row r="69" spans="1:19" ht="14.1" customHeight="1">
      <c r="A69" s="79"/>
      <c r="B69" s="79"/>
      <c r="O69" s="353"/>
      <c r="P69" s="353"/>
      <c r="Q69" s="353"/>
      <c r="R69" s="353"/>
      <c r="S69" s="353"/>
    </row>
    <row r="70" spans="1:19" ht="14.1" customHeight="1">
      <c r="C70" s="79"/>
      <c r="D70" s="79" t="str">
        <f>A63</f>
        <v>Mo/Mo</v>
      </c>
      <c r="E70" s="79" t="str">
        <f>E63</f>
        <v>Mo/Rh</v>
      </c>
      <c r="F70" s="396" t="str">
        <f>I63</f>
        <v>W/Rh</v>
      </c>
      <c r="G70" s="105"/>
      <c r="K70" s="105"/>
      <c r="O70" s="353"/>
      <c r="P70" s="353"/>
      <c r="Q70" s="353"/>
      <c r="R70" s="353"/>
      <c r="S70" s="353"/>
    </row>
    <row r="71" spans="1:19" ht="14.1" customHeight="1">
      <c r="C71" s="105" t="s">
        <v>479</v>
      </c>
      <c r="D71" s="91">
        <f>SLOPE(D63:D70,$C$63:$C$70)</f>
        <v>1.7106210021953082E-4</v>
      </c>
      <c r="E71" s="91">
        <f>SLOPE(H63:H68,$G$63:$G$68)</f>
        <v>1.4939507285117507E-4</v>
      </c>
      <c r="F71" s="91">
        <f>SLOPE(L63:L68,$G$63:$G$68)</f>
        <v>4.098156664096495E-5</v>
      </c>
      <c r="G71" s="105"/>
      <c r="K71" s="105"/>
      <c r="N71" s="139"/>
      <c r="O71" s="353"/>
      <c r="P71" s="353"/>
      <c r="Q71" s="353"/>
      <c r="R71" s="353"/>
      <c r="S71" s="353"/>
    </row>
    <row r="72" spans="1:19" ht="14.1" customHeight="1">
      <c r="C72" s="105" t="s">
        <v>480</v>
      </c>
      <c r="D72" s="91">
        <f>INTERCEPT(D63:D70,$C$63:$C$70)</f>
        <v>-4.6520699015223502E-2</v>
      </c>
      <c r="E72" s="91">
        <f>INTERCEPT(H63:H68,$G$63:$G$68)</f>
        <v>-4.6571096720528338E-2</v>
      </c>
      <c r="F72" s="91">
        <f>INTERCEPT(L63:L68,$G$63:$G$68)</f>
        <v>-6.3573413569334748E-3</v>
      </c>
      <c r="N72" s="139"/>
      <c r="O72" s="353"/>
      <c r="P72" s="353"/>
      <c r="Q72" s="353"/>
      <c r="R72" s="353"/>
      <c r="S72" s="353"/>
    </row>
    <row r="73" spans="1:19" ht="14.1" customHeight="1">
      <c r="A73" s="146" t="s">
        <v>355</v>
      </c>
      <c r="C73" s="105" t="s">
        <v>592</v>
      </c>
      <c r="D73" s="91">
        <f>RSQ(D63:D68,C63:C68)</f>
        <v>0.99996797263766768</v>
      </c>
      <c r="E73" s="91">
        <f>RSQ(H63:H67,G63:G67)</f>
        <v>0.99998936032692332</v>
      </c>
      <c r="F73" s="91">
        <f>RSQ(L63:L67,K63:K67)</f>
        <v>0.99871596389868389</v>
      </c>
      <c r="N73" s="139"/>
      <c r="O73" s="353"/>
      <c r="P73" s="353"/>
      <c r="Q73" s="353"/>
      <c r="R73" s="353"/>
      <c r="S73" s="353"/>
    </row>
    <row r="74" spans="1:19" ht="14.1" customHeight="1">
      <c r="A74" s="124" t="s">
        <v>71</v>
      </c>
      <c r="B74" s="79" t="s">
        <v>269</v>
      </c>
      <c r="C74" s="79" t="s">
        <v>358</v>
      </c>
      <c r="D74" s="124" t="s">
        <v>71</v>
      </c>
      <c r="E74" s="79" t="s">
        <v>269</v>
      </c>
      <c r="F74" s="79" t="s">
        <v>358</v>
      </c>
      <c r="G74" s="124" t="s">
        <v>71</v>
      </c>
      <c r="H74" s="79" t="s">
        <v>269</v>
      </c>
      <c r="I74" s="79" t="s">
        <v>358</v>
      </c>
      <c r="K74" s="363" t="s">
        <v>23</v>
      </c>
      <c r="L74" s="363" t="s">
        <v>24</v>
      </c>
      <c r="M74" s="363" t="s">
        <v>481</v>
      </c>
      <c r="O74" s="353"/>
      <c r="P74" s="353"/>
      <c r="Q74" s="353"/>
      <c r="R74" s="353"/>
      <c r="S74" s="353"/>
    </row>
    <row r="75" spans="1:19" ht="14.1" customHeight="1">
      <c r="A75" s="79" t="str">
        <f>Sheet1!Q331</f>
        <v>Mo/Mo</v>
      </c>
      <c r="B75" s="79">
        <f>Sheet1!Q332</f>
        <v>28</v>
      </c>
      <c r="C75" s="354">
        <f>Sheet1!Q341</f>
        <v>0.38630281595542537</v>
      </c>
      <c r="D75" s="79" t="str">
        <f>Sheet1!S331</f>
        <v>Mo/Rh</v>
      </c>
      <c r="E75" s="79">
        <f>Sheet1!S332</f>
        <v>28</v>
      </c>
      <c r="F75" s="354">
        <f>Sheet1!S341</f>
        <v>0.44071641870962269</v>
      </c>
      <c r="G75" s="79" t="str">
        <f>Sheet1!U331</f>
        <v>W/Rh</v>
      </c>
      <c r="H75" s="79">
        <f>Sheet1!U332</f>
        <v>28</v>
      </c>
      <c r="I75" s="354">
        <f>Sheet1!U341</f>
        <v>0.56510485549154887</v>
      </c>
      <c r="K75" s="363" t="s">
        <v>32</v>
      </c>
      <c r="L75" s="363" t="s">
        <v>32</v>
      </c>
      <c r="M75" s="363">
        <v>0.12</v>
      </c>
      <c r="O75" s="353"/>
      <c r="P75" s="353"/>
      <c r="Q75" s="353"/>
      <c r="R75" s="353"/>
      <c r="S75" s="353"/>
    </row>
    <row r="76" spans="1:19" ht="14.1" customHeight="1">
      <c r="A76" s="124"/>
      <c r="B76" s="79">
        <f>Sheet1!R332</f>
        <v>32</v>
      </c>
      <c r="C76" s="354">
        <f>Sheet1!R341</f>
        <v>0.41913200680196</v>
      </c>
      <c r="D76" s="124"/>
      <c r="E76" s="79">
        <f>Sheet1!T332</f>
        <v>32</v>
      </c>
      <c r="F76" s="354">
        <f>Sheet1!T341</f>
        <v>0.47102144000097945</v>
      </c>
      <c r="H76" s="79">
        <f>Sheet1!V332</f>
        <v>32</v>
      </c>
      <c r="I76" s="354">
        <f>Sheet1!V341</f>
        <v>0.60277104001797266</v>
      </c>
      <c r="K76" s="363" t="s">
        <v>32</v>
      </c>
      <c r="L76" s="363" t="s">
        <v>55</v>
      </c>
      <c r="M76" s="363">
        <v>0.19</v>
      </c>
      <c r="O76" s="353"/>
      <c r="P76" s="353"/>
      <c r="Q76" s="353"/>
      <c r="R76" s="353"/>
      <c r="S76" s="353"/>
    </row>
    <row r="77" spans="1:19" ht="14.1" customHeight="1">
      <c r="A77" s="79"/>
      <c r="B77" s="79"/>
      <c r="D77" s="79"/>
      <c r="E77" s="79"/>
      <c r="K77" s="363" t="s">
        <v>55</v>
      </c>
      <c r="L77" s="363" t="s">
        <v>55</v>
      </c>
      <c r="M77" s="363">
        <v>0.22</v>
      </c>
      <c r="O77" s="353"/>
      <c r="P77" s="353"/>
      <c r="Q77" s="353"/>
      <c r="R77" s="353"/>
      <c r="S77" s="353"/>
    </row>
    <row r="78" spans="1:19" ht="14.1" customHeight="1">
      <c r="D78" s="79" t="str">
        <f>A75</f>
        <v>Mo/Mo</v>
      </c>
      <c r="E78" s="79" t="str">
        <f>D75</f>
        <v>Mo/Rh</v>
      </c>
      <c r="F78" s="79" t="str">
        <f>G75</f>
        <v>W/Rh</v>
      </c>
      <c r="H78" s="105"/>
      <c r="K78" s="401" t="s">
        <v>482</v>
      </c>
      <c r="L78" s="401" t="s">
        <v>483</v>
      </c>
      <c r="M78" s="401"/>
      <c r="O78" s="353"/>
      <c r="P78" s="353"/>
      <c r="Q78" s="353"/>
      <c r="R78" s="353"/>
      <c r="S78" s="353"/>
    </row>
    <row r="79" spans="1:19" ht="14.1" customHeight="1">
      <c r="C79" s="105" t="s">
        <v>479</v>
      </c>
      <c r="D79" s="79">
        <f>SLOPE(C75:C76,B75:B76)</f>
        <v>8.2072977116336571E-3</v>
      </c>
      <c r="E79" s="79">
        <f>SLOPE(F75:F76,E75:E76)</f>
        <v>7.5762553228391899E-3</v>
      </c>
      <c r="F79" s="79">
        <f>SLOPE(I75:I76,H75:H76)</f>
        <v>9.4165461316059462E-3</v>
      </c>
      <c r="H79" s="105"/>
      <c r="K79" s="401"/>
      <c r="L79" s="401" t="s">
        <v>484</v>
      </c>
      <c r="M79" s="401"/>
      <c r="O79" s="353"/>
      <c r="P79" s="353"/>
      <c r="Q79" s="353"/>
      <c r="R79" s="353"/>
      <c r="S79" s="353"/>
    </row>
    <row r="80" spans="1:19" ht="14.1" customHeight="1">
      <c r="C80" s="105" t="s">
        <v>480</v>
      </c>
      <c r="D80" s="79">
        <f>INTERCEPT(C75:C76,B75:B76)</f>
        <v>0.15649848002968295</v>
      </c>
      <c r="E80" s="79">
        <f>INTERCEPT(F75:F76,E75:E76)</f>
        <v>0.2285812696701254</v>
      </c>
      <c r="F80" s="79">
        <f>INTERCEPT(I75:I76,H75:H76)</f>
        <v>0.30144156380658244</v>
      </c>
      <c r="K80" s="401"/>
      <c r="L80" s="401" t="s">
        <v>485</v>
      </c>
      <c r="M80" s="401"/>
      <c r="O80" s="353"/>
      <c r="P80" s="353"/>
      <c r="Q80" s="353"/>
      <c r="R80" s="353"/>
      <c r="S80" s="353"/>
    </row>
    <row r="81" spans="1:19" ht="14.1" customHeight="1">
      <c r="N81" s="139"/>
      <c r="O81" s="353"/>
      <c r="P81" s="353"/>
      <c r="Q81" s="353"/>
      <c r="R81" s="353"/>
      <c r="S81" s="353"/>
    </row>
    <row r="82" spans="1:19" ht="14.1" customHeight="1">
      <c r="A82" s="146" t="s">
        <v>486</v>
      </c>
      <c r="B82" s="91" t="str">
        <f>"DGN values (mrad/R) for "&amp;Sheet1!$T$265&amp;" kV and HVL="&amp;ROUND(Sheet1!$X$268,2)&amp;" mm Al"</f>
        <v>DGN values (mrad/R) for 28 kV and HVL=0.57 mm Al</v>
      </c>
      <c r="N82" s="139"/>
      <c r="O82" s="353"/>
      <c r="P82" s="353"/>
      <c r="Q82" s="353"/>
      <c r="R82" s="353"/>
      <c r="S82" s="353"/>
    </row>
    <row r="83" spans="1:19" ht="14.1" customHeight="1">
      <c r="A83" s="364" t="s">
        <v>237</v>
      </c>
      <c r="B83" s="364" t="s">
        <v>262</v>
      </c>
      <c r="C83" s="364" t="s">
        <v>487</v>
      </c>
      <c r="D83" s="364" t="s">
        <v>465</v>
      </c>
      <c r="E83" s="364" t="s">
        <v>477</v>
      </c>
      <c r="F83" s="364" t="s">
        <v>238</v>
      </c>
      <c r="N83" s="139"/>
      <c r="O83" s="353"/>
      <c r="P83" s="353"/>
      <c r="Q83" s="353"/>
      <c r="R83" s="353"/>
      <c r="S83" s="353"/>
    </row>
    <row r="84" spans="1:19" ht="14.1" customHeight="1">
      <c r="A84" s="72">
        <f>IF(Sheet1!$X$268="","",VLOOKUP(Sheet1!X268,A3:J23,MATCH(Sheet1!T265,A3:J3,0)))</f>
        <v>0</v>
      </c>
      <c r="B84" s="72">
        <f>IF(Sheet1!$X$268="","",VLOOKUP(Sheet1!X268,K3:T23,MATCH(Sheet1!T265,K3:T3,0)))</f>
        <v>212</v>
      </c>
      <c r="C84" s="72">
        <f>IF(Sheet1!$X$268="","",VLOOKUP(Sheet1!X268,U3:AD23,MATCH(Sheet1!T265,U3:AD3,0)))</f>
        <v>224</v>
      </c>
      <c r="D84" s="395">
        <f>IF(OR(Sheet1!$X$269="",Sheet1!$X$268=""),"TBD",(L53*Sheet1!X268+M53)*(L54*Sheet1!X268+M54)*HLOOKUP(Sheet1!$Q$266,B58:D59,2))</f>
        <v>0.31487683161432339</v>
      </c>
      <c r="E84" s="79">
        <f>IF(ISERR(Sheet1!$X$268),"TBD",VLOOKUP(Sheet1!X268,N27:AA48,MATCH(Sheet1!$T$265,N27:AA27,0)))</f>
        <v>328</v>
      </c>
      <c r="F84" s="79">
        <f>IF(ISERR(Sheet1!$X$268),"TBD",VLOOKUP(Sheet1!X268,A27:M48,MATCH(Sheet1!T265,A27:M27,0)))</f>
        <v>281</v>
      </c>
      <c r="N84" s="139"/>
      <c r="O84" s="353"/>
      <c r="P84" s="353"/>
      <c r="Q84" s="353"/>
      <c r="R84" s="353"/>
      <c r="S84" s="353"/>
    </row>
    <row r="85" spans="1:19" ht="14.1" customHeight="1">
      <c r="N85" s="139"/>
      <c r="O85" s="353"/>
      <c r="P85" s="353"/>
      <c r="Q85" s="353"/>
      <c r="R85" s="353"/>
      <c r="S85" s="353"/>
    </row>
    <row r="86" spans="1:19" ht="14.1" customHeight="1">
      <c r="A86" s="146" t="s">
        <v>488</v>
      </c>
      <c r="N86" s="139"/>
      <c r="O86" s="353"/>
      <c r="P86" s="353"/>
      <c r="Q86" s="353"/>
      <c r="R86" s="353"/>
      <c r="S86" s="353"/>
    </row>
    <row r="87" spans="1:19" ht="14.1" customHeight="1">
      <c r="B87" s="79" t="s">
        <v>269</v>
      </c>
      <c r="D87" s="81" t="s">
        <v>489</v>
      </c>
      <c r="E87" s="81" t="s">
        <v>490</v>
      </c>
      <c r="F87" s="81" t="s">
        <v>476</v>
      </c>
      <c r="G87" s="81" t="s">
        <v>491</v>
      </c>
      <c r="H87" s="81" t="s">
        <v>492</v>
      </c>
      <c r="I87" s="81" t="s">
        <v>493</v>
      </c>
      <c r="J87" s="81" t="s">
        <v>494</v>
      </c>
      <c r="N87" s="139"/>
      <c r="O87" s="353"/>
      <c r="P87" s="353"/>
      <c r="Q87" s="353"/>
      <c r="R87" s="353"/>
      <c r="S87" s="353"/>
    </row>
    <row r="88" spans="1:19" ht="14.1" customHeight="1">
      <c r="A88" s="91" t="s">
        <v>238</v>
      </c>
      <c r="B88" s="79" t="s">
        <v>495</v>
      </c>
      <c r="C88" s="81">
        <v>27.585999999999999</v>
      </c>
      <c r="D88" s="81">
        <v>-8375.0727645925508</v>
      </c>
      <c r="E88" s="81">
        <v>975.92543560432796</v>
      </c>
      <c r="F88" s="81">
        <v>-37.913729682039403</v>
      </c>
      <c r="G88" s="81">
        <v>0.49086583472609402</v>
      </c>
      <c r="H88" s="81">
        <v>0</v>
      </c>
      <c r="I88" s="81">
        <v>0</v>
      </c>
      <c r="J88" s="81">
        <v>0</v>
      </c>
      <c r="N88" s="139"/>
      <c r="O88" s="353"/>
      <c r="P88" s="353"/>
      <c r="Q88" s="353"/>
      <c r="R88" s="353"/>
      <c r="S88" s="353"/>
    </row>
    <row r="89" spans="1:19" ht="14.1" customHeight="1">
      <c r="B89" s="79" t="s">
        <v>496</v>
      </c>
      <c r="C89" s="81">
        <v>27.585999999999999</v>
      </c>
      <c r="D89" s="81">
        <v>-9984.6167916494396</v>
      </c>
      <c r="E89" s="81">
        <v>1436.52454571413</v>
      </c>
      <c r="F89" s="81">
        <v>-82.505102185254898</v>
      </c>
      <c r="G89" s="81">
        <v>2.36559081763837</v>
      </c>
      <c r="H89" s="81">
        <v>-3.38672433779705E-2</v>
      </c>
      <c r="I89" s="81">
        <v>1.93686920423126E-4</v>
      </c>
      <c r="J89" s="81">
        <v>0</v>
      </c>
      <c r="N89" s="139"/>
      <c r="O89" s="353"/>
      <c r="P89" s="353"/>
      <c r="Q89" s="353"/>
      <c r="R89" s="353"/>
      <c r="S89" s="353"/>
    </row>
    <row r="90" spans="1:19" ht="14.1" customHeight="1">
      <c r="C90" s="91" t="s">
        <v>497</v>
      </c>
      <c r="N90" s="139"/>
      <c r="O90" s="353"/>
      <c r="P90" s="353"/>
      <c r="Q90" s="353"/>
      <c r="R90" s="353"/>
      <c r="S90" s="353"/>
    </row>
    <row r="91" spans="1:19" ht="14.1" customHeight="1">
      <c r="C91" s="91" t="s">
        <v>498</v>
      </c>
      <c r="N91" s="139"/>
      <c r="O91" s="353"/>
      <c r="P91" s="353"/>
      <c r="Q91" s="353"/>
      <c r="R91" s="353"/>
      <c r="S91" s="353"/>
    </row>
    <row r="92" spans="1:19" ht="14.1" customHeight="1">
      <c r="B92" s="79" t="s">
        <v>269</v>
      </c>
      <c r="D92" s="81" t="s">
        <v>489</v>
      </c>
      <c r="E92" s="81" t="s">
        <v>490</v>
      </c>
      <c r="F92" s="81" t="s">
        <v>476</v>
      </c>
      <c r="G92" s="81" t="s">
        <v>491</v>
      </c>
      <c r="H92" s="81" t="s">
        <v>492</v>
      </c>
      <c r="I92" s="81" t="s">
        <v>493</v>
      </c>
      <c r="J92" s="81" t="s">
        <v>494</v>
      </c>
      <c r="N92" s="139"/>
      <c r="O92" s="353"/>
      <c r="P92" s="353"/>
      <c r="Q92" s="353"/>
      <c r="R92" s="353"/>
      <c r="S92" s="353"/>
    </row>
    <row r="93" spans="1:19" ht="14.1" customHeight="1">
      <c r="A93" s="91" t="s">
        <v>477</v>
      </c>
      <c r="B93" s="79" t="s">
        <v>495</v>
      </c>
      <c r="C93" s="81">
        <v>30.1</v>
      </c>
      <c r="D93" s="81">
        <v>-540847.69550077303</v>
      </c>
      <c r="E93" s="81">
        <v>100186.23364273099</v>
      </c>
      <c r="F93" s="81">
        <v>-7418.4790179812599</v>
      </c>
      <c r="G93" s="81">
        <v>274.47660929577501</v>
      </c>
      <c r="H93" s="81">
        <v>-5.07436954359087</v>
      </c>
      <c r="I93" s="81">
        <v>3.7500574787580898E-2</v>
      </c>
      <c r="J93" s="81">
        <v>0</v>
      </c>
      <c r="N93" s="139"/>
      <c r="O93" s="353"/>
      <c r="P93" s="353"/>
      <c r="Q93" s="353"/>
      <c r="R93" s="353"/>
      <c r="S93" s="353"/>
    </row>
    <row r="94" spans="1:19" ht="14.1" customHeight="1">
      <c r="B94" s="79" t="s">
        <v>496</v>
      </c>
      <c r="C94" s="81">
        <v>30.1</v>
      </c>
      <c r="D94" s="81">
        <v>-11057.773936199201</v>
      </c>
      <c r="E94" s="81">
        <v>1297.2285673766901</v>
      </c>
      <c r="F94" s="81">
        <v>-56.989188989725697</v>
      </c>
      <c r="G94" s="81">
        <v>1.1115828564217201</v>
      </c>
      <c r="H94" s="81">
        <v>-8.1233997365129599E-3</v>
      </c>
      <c r="I94" s="81">
        <v>0</v>
      </c>
      <c r="J94" s="81">
        <v>0</v>
      </c>
      <c r="N94" s="139"/>
      <c r="O94" s="353"/>
      <c r="P94" s="353"/>
      <c r="Q94" s="353"/>
      <c r="R94" s="353"/>
      <c r="S94" s="353"/>
    </row>
    <row r="95" spans="1:19" ht="14.1" customHeight="1">
      <c r="C95" s="91" t="s">
        <v>499</v>
      </c>
      <c r="N95" s="139"/>
      <c r="O95" s="353"/>
      <c r="P95" s="353"/>
      <c r="Q95" s="353"/>
      <c r="R95" s="353"/>
      <c r="S95" s="353"/>
    </row>
    <row r="96" spans="1:19" ht="14.1" customHeight="1">
      <c r="C96" s="91" t="s">
        <v>500</v>
      </c>
      <c r="N96" s="139"/>
      <c r="O96" s="353"/>
      <c r="P96" s="353"/>
      <c r="Q96" s="353"/>
      <c r="R96" s="353"/>
      <c r="S96" s="353"/>
    </row>
    <row r="97" spans="1:19" ht="14.1" customHeight="1">
      <c r="N97" s="139"/>
      <c r="O97" s="353"/>
      <c r="P97" s="353"/>
      <c r="Q97" s="353"/>
      <c r="R97" s="353"/>
      <c r="S97" s="353"/>
    </row>
    <row r="98" spans="1:19" ht="14.1" customHeight="1">
      <c r="A98" s="146" t="s">
        <v>501</v>
      </c>
      <c r="N98" s="139"/>
      <c r="O98" s="353"/>
      <c r="P98" s="353"/>
      <c r="Q98" s="353"/>
      <c r="R98" s="353"/>
      <c r="S98" s="353"/>
    </row>
    <row r="99" spans="1:19" ht="14.1" customHeight="1">
      <c r="B99" s="79" t="s">
        <v>269</v>
      </c>
      <c r="D99" s="81" t="s">
        <v>489</v>
      </c>
      <c r="E99" s="81" t="s">
        <v>490</v>
      </c>
      <c r="F99" s="81" t="s">
        <v>476</v>
      </c>
      <c r="G99" s="81" t="s">
        <v>491</v>
      </c>
      <c r="H99" s="81" t="s">
        <v>492</v>
      </c>
      <c r="N99" s="139"/>
      <c r="O99" s="353"/>
      <c r="P99" s="353"/>
      <c r="Q99" s="353"/>
      <c r="R99" s="353"/>
      <c r="S99" s="353"/>
    </row>
    <row r="100" spans="1:19" ht="14.1" customHeight="1">
      <c r="A100" s="91" t="s">
        <v>238</v>
      </c>
      <c r="B100" s="79" t="s">
        <v>495</v>
      </c>
      <c r="C100" s="81">
        <v>26.9</v>
      </c>
      <c r="D100" s="179">
        <v>138.88667000000001</v>
      </c>
      <c r="E100" s="179">
        <v>-10.72639</v>
      </c>
      <c r="F100" s="179">
        <v>0.26216</v>
      </c>
      <c r="G100" s="179">
        <v>-8.1999999999999998E-4</v>
      </c>
      <c r="H100" s="179"/>
      <c r="N100" s="139"/>
      <c r="O100" s="353"/>
      <c r="P100" s="353"/>
      <c r="Q100" s="353"/>
      <c r="R100" s="353"/>
      <c r="S100" s="353"/>
    </row>
    <row r="101" spans="1:19" ht="14.1" customHeight="1">
      <c r="B101" s="79" t="s">
        <v>496</v>
      </c>
      <c r="C101" s="81">
        <v>26.9</v>
      </c>
      <c r="D101" s="179">
        <v>-5009.7751651999997</v>
      </c>
      <c r="E101" s="179">
        <v>605.73200599999996</v>
      </c>
      <c r="F101" s="179">
        <v>-27.3018617</v>
      </c>
      <c r="G101" s="179">
        <v>0.54671139999999996</v>
      </c>
      <c r="H101" s="179">
        <v>-4.0986E-3</v>
      </c>
      <c r="N101" s="139"/>
      <c r="O101" s="353"/>
      <c r="P101" s="353"/>
      <c r="Q101" s="353"/>
      <c r="R101" s="353"/>
      <c r="S101" s="353"/>
    </row>
    <row r="102" spans="1:19" ht="14.1" customHeight="1">
      <c r="N102" s="139"/>
      <c r="O102" s="353"/>
      <c r="P102" s="353"/>
      <c r="Q102" s="353"/>
      <c r="R102" s="353"/>
      <c r="S102" s="353"/>
    </row>
    <row r="103" spans="1:19" ht="14.1" customHeight="1">
      <c r="A103" s="91" t="s">
        <v>477</v>
      </c>
      <c r="B103" s="79" t="s">
        <v>269</v>
      </c>
      <c r="D103" s="81" t="s">
        <v>489</v>
      </c>
      <c r="E103" s="81" t="s">
        <v>490</v>
      </c>
      <c r="F103" s="81" t="s">
        <v>476</v>
      </c>
      <c r="G103" s="81" t="s">
        <v>491</v>
      </c>
      <c r="H103" s="81" t="s">
        <v>492</v>
      </c>
      <c r="N103" s="139"/>
      <c r="O103" s="353"/>
      <c r="P103" s="353"/>
      <c r="Q103" s="353"/>
      <c r="R103" s="353"/>
      <c r="S103" s="353"/>
    </row>
    <row r="104" spans="1:19" ht="14.1" customHeight="1">
      <c r="B104" s="79" t="s">
        <v>495</v>
      </c>
      <c r="C104" s="81">
        <v>28.7</v>
      </c>
      <c r="D104" s="81">
        <v>296.34185000000002</v>
      </c>
      <c r="E104" s="81">
        <v>-31.629249999999999</v>
      </c>
      <c r="F104" s="81">
        <v>1.18025</v>
      </c>
      <c r="G104" s="81">
        <v>-1.417E-2</v>
      </c>
      <c r="H104" s="81"/>
      <c r="N104" s="139"/>
      <c r="O104" s="353"/>
      <c r="P104" s="353"/>
      <c r="Q104" s="353"/>
      <c r="R104" s="353"/>
      <c r="S104" s="353"/>
    </row>
    <row r="105" spans="1:19" ht="14.1" customHeight="1">
      <c r="B105" s="79" t="s">
        <v>496</v>
      </c>
      <c r="C105" s="81">
        <v>28.7</v>
      </c>
      <c r="D105" s="81">
        <v>4.8344690000000003</v>
      </c>
      <c r="E105" s="81">
        <v>0.919242</v>
      </c>
      <c r="F105" s="81"/>
      <c r="G105" s="81"/>
      <c r="H105" s="81"/>
      <c r="N105" s="139"/>
      <c r="O105" s="353"/>
      <c r="P105" s="353"/>
      <c r="Q105" s="353"/>
      <c r="R105" s="353"/>
      <c r="S105" s="353"/>
    </row>
    <row r="106" spans="1:19" ht="14.1" customHeight="1">
      <c r="N106" s="139"/>
      <c r="O106" s="353"/>
      <c r="P106" s="353"/>
      <c r="Q106" s="353"/>
      <c r="R106" s="353"/>
      <c r="S106" s="353"/>
    </row>
    <row r="107" spans="1:19" ht="14.1" customHeight="1">
      <c r="A107" s="91" t="s">
        <v>478</v>
      </c>
      <c r="D107" s="81" t="s">
        <v>489</v>
      </c>
      <c r="E107" s="81" t="s">
        <v>490</v>
      </c>
      <c r="F107" s="81" t="s">
        <v>476</v>
      </c>
      <c r="G107" s="81" t="s">
        <v>491</v>
      </c>
      <c r="H107" s="81" t="s">
        <v>492</v>
      </c>
      <c r="N107" s="139"/>
      <c r="O107" s="353"/>
      <c r="P107" s="353"/>
      <c r="Q107" s="353"/>
      <c r="R107" s="353"/>
      <c r="S107" s="353"/>
    </row>
    <row r="108" spans="1:19" ht="14.1" customHeight="1">
      <c r="B108" s="79" t="s">
        <v>495</v>
      </c>
      <c r="C108" s="81">
        <v>28.7</v>
      </c>
      <c r="D108" s="81">
        <v>49.311149999999998</v>
      </c>
      <c r="E108" s="81">
        <v>-2.9301699999999999</v>
      </c>
      <c r="F108" s="81">
        <v>7.3789999999999994E-2</v>
      </c>
      <c r="G108" s="81"/>
      <c r="H108" s="81"/>
      <c r="N108" s="139"/>
      <c r="O108" s="353"/>
      <c r="P108" s="353"/>
      <c r="Q108" s="353"/>
      <c r="R108" s="353"/>
      <c r="S108" s="353"/>
    </row>
    <row r="109" spans="1:19" ht="14.1" customHeight="1">
      <c r="B109" s="79"/>
      <c r="C109" s="314" t="s">
        <v>502</v>
      </c>
      <c r="D109" s="81">
        <v>-24.875</v>
      </c>
      <c r="E109" s="81">
        <v>1.8031999999999999</v>
      </c>
      <c r="F109" s="81"/>
      <c r="G109" s="81"/>
      <c r="H109" s="81"/>
      <c r="N109" s="139"/>
      <c r="O109" s="353"/>
      <c r="P109" s="353"/>
      <c r="Q109" s="353"/>
      <c r="R109" s="353"/>
      <c r="S109" s="353"/>
    </row>
    <row r="110" spans="1:19" ht="14.1" customHeight="1">
      <c r="B110" s="79" t="s">
        <v>496</v>
      </c>
      <c r="C110" s="81">
        <v>30.1</v>
      </c>
      <c r="D110" s="81">
        <v>-4.8346099999999996</v>
      </c>
      <c r="E110" s="81">
        <v>1.1571499999999999</v>
      </c>
      <c r="F110" s="81"/>
      <c r="G110" s="81"/>
      <c r="H110" s="81"/>
      <c r="N110" s="139"/>
      <c r="O110" s="353"/>
      <c r="P110" s="353"/>
      <c r="Q110" s="353"/>
      <c r="R110" s="353"/>
      <c r="S110" s="353"/>
    </row>
    <row r="111" spans="1:19" ht="14.1" customHeight="1">
      <c r="N111" s="139"/>
      <c r="O111" s="353"/>
      <c r="P111" s="353"/>
      <c r="Q111" s="353"/>
      <c r="R111" s="353"/>
      <c r="S111" s="353"/>
    </row>
    <row r="112" spans="1:19" ht="14.1" customHeight="1">
      <c r="N112" s="139"/>
      <c r="O112" s="353"/>
      <c r="P112" s="353"/>
      <c r="Q112" s="353"/>
      <c r="R112" s="353"/>
      <c r="S112" s="353"/>
    </row>
    <row r="113" spans="1:19" ht="14.1" customHeight="1">
      <c r="A113" s="91" t="s">
        <v>503</v>
      </c>
      <c r="N113" s="139"/>
      <c r="O113" s="353"/>
      <c r="P113" s="353"/>
      <c r="Q113" s="353"/>
      <c r="R113" s="353"/>
      <c r="S113" s="353"/>
    </row>
    <row r="114" spans="1:19" ht="14.1" customHeight="1">
      <c r="C114" s="79" t="s">
        <v>504</v>
      </c>
      <c r="D114" s="79" t="s">
        <v>505</v>
      </c>
      <c r="E114" s="79" t="s">
        <v>506</v>
      </c>
      <c r="F114" s="79" t="s">
        <v>507</v>
      </c>
      <c r="G114" s="79" t="s">
        <v>508</v>
      </c>
      <c r="N114" s="139"/>
      <c r="O114" s="353"/>
      <c r="P114" s="353"/>
      <c r="Q114" s="353"/>
      <c r="R114" s="353"/>
      <c r="S114" s="353"/>
    </row>
    <row r="115" spans="1:19" ht="14.1" customHeight="1">
      <c r="B115" s="105" t="s">
        <v>436</v>
      </c>
      <c r="C115" s="79" t="s">
        <v>509</v>
      </c>
      <c r="D115" s="79" t="s">
        <v>510</v>
      </c>
      <c r="E115" s="79" t="s">
        <v>511</v>
      </c>
      <c r="F115" s="79" t="s">
        <v>510</v>
      </c>
      <c r="G115" s="79" t="s">
        <v>329</v>
      </c>
      <c r="N115" s="139"/>
      <c r="O115" s="353"/>
      <c r="P115" s="353"/>
      <c r="Q115" s="353"/>
      <c r="R115" s="353"/>
      <c r="S115" s="353"/>
    </row>
    <row r="116" spans="1:19" ht="14.1" customHeight="1">
      <c r="B116" s="105" t="s">
        <v>442</v>
      </c>
      <c r="C116" s="79" t="s">
        <v>509</v>
      </c>
      <c r="D116" s="79" t="s">
        <v>510</v>
      </c>
      <c r="E116" s="79" t="s">
        <v>510</v>
      </c>
      <c r="F116" s="79" t="s">
        <v>510</v>
      </c>
      <c r="G116" s="79" t="s">
        <v>329</v>
      </c>
      <c r="N116" s="139"/>
      <c r="O116" s="353"/>
      <c r="P116" s="353"/>
      <c r="Q116" s="353"/>
      <c r="R116" s="353"/>
      <c r="S116" s="353"/>
    </row>
    <row r="117" spans="1:19" ht="14.1" customHeight="1">
      <c r="B117" s="105" t="s">
        <v>512</v>
      </c>
      <c r="C117" s="79" t="s">
        <v>509</v>
      </c>
      <c r="D117" s="79" t="s">
        <v>510</v>
      </c>
      <c r="E117" s="79" t="s">
        <v>511</v>
      </c>
      <c r="F117" s="79" t="s">
        <v>510</v>
      </c>
      <c r="G117" s="79" t="s">
        <v>329</v>
      </c>
      <c r="N117" s="139"/>
      <c r="O117" s="353"/>
      <c r="P117" s="353"/>
      <c r="Q117" s="353"/>
      <c r="R117" s="353"/>
      <c r="S117" s="353"/>
    </row>
    <row r="118" spans="1:19" ht="14.1" customHeight="1">
      <c r="B118" s="105" t="s">
        <v>513</v>
      </c>
      <c r="C118" s="79" t="s">
        <v>509</v>
      </c>
      <c r="D118" s="79" t="s">
        <v>510</v>
      </c>
      <c r="E118" s="79" t="s">
        <v>510</v>
      </c>
      <c r="F118" s="79" t="s">
        <v>510</v>
      </c>
      <c r="G118" s="79" t="s">
        <v>329</v>
      </c>
      <c r="N118" s="139"/>
      <c r="O118" s="353"/>
      <c r="P118" s="353"/>
      <c r="Q118" s="353"/>
      <c r="R118" s="353"/>
      <c r="S118" s="353"/>
    </row>
    <row r="119" spans="1:19" ht="14.1" customHeight="1">
      <c r="B119" s="105" t="s">
        <v>514</v>
      </c>
      <c r="C119" s="79" t="s">
        <v>509</v>
      </c>
      <c r="D119" s="79" t="s">
        <v>510</v>
      </c>
      <c r="E119" s="79" t="s">
        <v>510</v>
      </c>
      <c r="F119" s="79" t="s">
        <v>510</v>
      </c>
      <c r="G119" s="79" t="s">
        <v>329</v>
      </c>
      <c r="N119" s="139"/>
      <c r="O119" s="353"/>
      <c r="P119" s="353"/>
      <c r="Q119" s="353"/>
      <c r="R119" s="353"/>
      <c r="S119" s="353"/>
    </row>
    <row r="120" spans="1:19" ht="14.1" customHeight="1">
      <c r="B120" s="105" t="s">
        <v>515</v>
      </c>
      <c r="C120" s="79" t="s">
        <v>509</v>
      </c>
      <c r="D120" s="79" t="s">
        <v>510</v>
      </c>
      <c r="E120" s="79" t="s">
        <v>510</v>
      </c>
      <c r="F120" s="79" t="s">
        <v>510</v>
      </c>
      <c r="G120" s="79" t="s">
        <v>329</v>
      </c>
      <c r="N120" s="139"/>
      <c r="O120" s="353"/>
      <c r="P120" s="353"/>
      <c r="Q120" s="353"/>
      <c r="R120" s="353"/>
      <c r="S120" s="353"/>
    </row>
    <row r="121" spans="1:19" ht="14.1" customHeight="1">
      <c r="B121" s="105" t="s">
        <v>295</v>
      </c>
      <c r="C121" s="79" t="s">
        <v>509</v>
      </c>
      <c r="D121" s="79" t="s">
        <v>510</v>
      </c>
      <c r="E121" s="79" t="s">
        <v>510</v>
      </c>
      <c r="F121" s="79" t="s">
        <v>510</v>
      </c>
      <c r="G121" s="79" t="s">
        <v>329</v>
      </c>
      <c r="N121" s="139"/>
      <c r="O121" s="353"/>
      <c r="P121" s="353"/>
      <c r="Q121" s="353"/>
      <c r="R121" s="353"/>
      <c r="S121" s="353"/>
    </row>
    <row r="122" spans="1:19" ht="14.1" customHeight="1">
      <c r="B122" s="105" t="s">
        <v>516</v>
      </c>
      <c r="C122" s="79" t="s">
        <v>509</v>
      </c>
      <c r="D122" s="79" t="s">
        <v>510</v>
      </c>
      <c r="E122" s="79" t="s">
        <v>510</v>
      </c>
      <c r="F122" s="79" t="s">
        <v>510</v>
      </c>
      <c r="G122" s="79" t="s">
        <v>329</v>
      </c>
      <c r="N122" s="139"/>
      <c r="O122" s="353"/>
      <c r="P122" s="353"/>
      <c r="Q122" s="353"/>
      <c r="R122" s="353"/>
      <c r="S122" s="353"/>
    </row>
    <row r="123" spans="1:19" ht="14.1" customHeight="1">
      <c r="B123" s="105" t="s">
        <v>517</v>
      </c>
      <c r="C123" s="79" t="s">
        <v>509</v>
      </c>
      <c r="D123" s="79" t="s">
        <v>510</v>
      </c>
      <c r="E123" s="79" t="s">
        <v>510</v>
      </c>
      <c r="F123" s="79" t="s">
        <v>510</v>
      </c>
      <c r="G123" s="79" t="s">
        <v>329</v>
      </c>
      <c r="N123" s="139"/>
      <c r="O123" s="139"/>
      <c r="P123" s="139"/>
      <c r="Q123" s="139"/>
      <c r="R123" s="139"/>
      <c r="S123" s="139"/>
    </row>
    <row r="124" spans="1:19" ht="14.1" customHeight="1">
      <c r="B124" s="105" t="s">
        <v>358</v>
      </c>
      <c r="C124" s="79" t="s">
        <v>509</v>
      </c>
      <c r="D124" s="79" t="s">
        <v>510</v>
      </c>
      <c r="E124" s="79" t="s">
        <v>510</v>
      </c>
      <c r="F124" s="79" t="s">
        <v>510</v>
      </c>
      <c r="G124" s="79" t="s">
        <v>329</v>
      </c>
    </row>
    <row r="125" spans="1:19" ht="14.1" customHeight="1">
      <c r="B125" s="105" t="s">
        <v>269</v>
      </c>
      <c r="C125" s="79" t="s">
        <v>509</v>
      </c>
      <c r="D125" s="79" t="s">
        <v>510</v>
      </c>
      <c r="E125" s="79" t="s">
        <v>510</v>
      </c>
      <c r="F125" s="79" t="s">
        <v>510</v>
      </c>
      <c r="G125" s="79" t="s">
        <v>329</v>
      </c>
    </row>
  </sheetData>
  <mergeCells count="10">
    <mergeCell ref="O62:P62"/>
    <mergeCell ref="Q62:S62"/>
    <mergeCell ref="B2:J2"/>
    <mergeCell ref="L2:T2"/>
    <mergeCell ref="V2:AD2"/>
    <mergeCell ref="B26:L26"/>
    <mergeCell ref="O26:AA26"/>
    <mergeCell ref="B51:B52"/>
    <mergeCell ref="C51:C52"/>
    <mergeCell ref="D51:K51"/>
  </mergeCells>
  <pageMargins left="0" right="0" top="0.39370078740157477" bottom="0.39370078740157477" header="0" footer="0"/>
  <pageSetup paperSize="0" scale="68" fitToWidth="0" fitToHeight="0" pageOrder="overThenDown" horizontalDpi="0" verticalDpi="0" copies="0"/>
  <headerFooter>
    <oddHeader>&amp;C&amp;A</oddHeader>
    <oddFooter>&amp;CPage &amp;P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"/>
  <sheetViews>
    <sheetView workbookViewId="0"/>
  </sheetViews>
  <sheetFormatPr defaultRowHeight="14.25"/>
  <cols>
    <col min="1" max="1024" width="8.375" customWidth="1"/>
  </cols>
  <sheetData>
    <row r="1" spans="1:3">
      <c r="A1" s="73" t="s">
        <v>518</v>
      </c>
    </row>
    <row r="2" spans="1:3">
      <c r="B2" t="s">
        <v>519</v>
      </c>
    </row>
    <row r="3" spans="1:3">
      <c r="B3" t="s">
        <v>520</v>
      </c>
    </row>
    <row r="4" spans="1:3">
      <c r="B4" t="s">
        <v>521</v>
      </c>
    </row>
    <row r="5" spans="1:3">
      <c r="B5" t="s">
        <v>522</v>
      </c>
    </row>
    <row r="6" spans="1:3">
      <c r="B6" t="s">
        <v>523</v>
      </c>
    </row>
    <row r="8" spans="1:3">
      <c r="A8" s="73" t="s">
        <v>524</v>
      </c>
    </row>
    <row r="9" spans="1:3">
      <c r="A9" s="73"/>
      <c r="B9" t="s">
        <v>497</v>
      </c>
    </row>
    <row r="10" spans="1:3">
      <c r="A10" s="73"/>
      <c r="B10" t="s">
        <v>498</v>
      </c>
    </row>
    <row r="11" spans="1:3">
      <c r="B11" s="71" t="s">
        <v>525</v>
      </c>
      <c r="C11" s="71" t="s">
        <v>526</v>
      </c>
    </row>
    <row r="12" spans="1:3">
      <c r="B12" s="74">
        <v>25.03</v>
      </c>
      <c r="C12" s="75">
        <f>IF(B12&lt;A22,B12+B22+B12*C22+B12^2*D22+B12^3*E22+B12^4*F22+B12^5*G22+B12^6*H22,B12+B23+B12*C23+B12^2*D23+B12^3*E23+B12^4*F23+B12^5*G23+B12^6*H23)</f>
        <v>21.808137925164374</v>
      </c>
    </row>
    <row r="14" spans="1:3">
      <c r="A14" s="73" t="s">
        <v>527</v>
      </c>
    </row>
    <row r="15" spans="1:3">
      <c r="A15" s="73"/>
      <c r="B15" t="s">
        <v>499</v>
      </c>
    </row>
    <row r="16" spans="1:3">
      <c r="A16" s="73"/>
      <c r="B16" t="s">
        <v>500</v>
      </c>
    </row>
    <row r="17" spans="1:8">
      <c r="B17" s="71" t="s">
        <v>525</v>
      </c>
      <c r="C17" s="71" t="s">
        <v>526</v>
      </c>
    </row>
    <row r="18" spans="1:8">
      <c r="B18" s="74">
        <v>37.1</v>
      </c>
      <c r="C18" s="75">
        <f>IF(B18&gt;37.1,40,IF(B18&lt;A28,B18+B28+B18*C28+B18^2*D28+B18^3*E28+B18^4*F28+B18^5*G28+B18^6*H28,B18+B29+B18*C29+B18^2*D29+B18^3*E29+B18^4*F29+B18^5*G29+B18^6*H29))</f>
        <v>38.967510688751645</v>
      </c>
    </row>
    <row r="22" spans="1:8">
      <c r="A22">
        <v>27.585999999999999</v>
      </c>
      <c r="B22">
        <v>-8375.0727645925508</v>
      </c>
      <c r="C22">
        <v>975.92543560432796</v>
      </c>
      <c r="D22">
        <v>-37.913729682039403</v>
      </c>
      <c r="E22">
        <v>0.49086583472609402</v>
      </c>
      <c r="F22">
        <v>0</v>
      </c>
      <c r="G22">
        <v>0</v>
      </c>
      <c r="H22">
        <v>0</v>
      </c>
    </row>
    <row r="23" spans="1:8">
      <c r="B23">
        <v>-9984.6167916494396</v>
      </c>
      <c r="C23">
        <v>1436.52454571413</v>
      </c>
      <c r="D23">
        <v>-82.505102185254898</v>
      </c>
      <c r="E23">
        <v>2.36559081763837</v>
      </c>
      <c r="F23">
        <v>-3.38672433779705E-2</v>
      </c>
      <c r="G23">
        <v>1.93686920423126E-4</v>
      </c>
      <c r="H23">
        <v>0</v>
      </c>
    </row>
    <row r="28" spans="1:8">
      <c r="A28">
        <v>30.1</v>
      </c>
      <c r="B28">
        <v>-540847.69550077303</v>
      </c>
      <c r="C28">
        <v>100186.23364273099</v>
      </c>
      <c r="D28">
        <v>-7418.4790179812599</v>
      </c>
      <c r="E28">
        <v>274.47660929577501</v>
      </c>
      <c r="F28">
        <v>-5.07436954359087</v>
      </c>
      <c r="G28">
        <v>3.7500574787580898E-2</v>
      </c>
      <c r="H28">
        <v>0</v>
      </c>
    </row>
    <row r="29" spans="1:8">
      <c r="B29">
        <v>-11057.773936199201</v>
      </c>
      <c r="C29">
        <v>1297.2285673766901</v>
      </c>
      <c r="D29">
        <v>-56.989188989725697</v>
      </c>
      <c r="E29">
        <v>1.1115828564217201</v>
      </c>
      <c r="F29">
        <v>-8.1233997365129599E-3</v>
      </c>
      <c r="G29">
        <v>0</v>
      </c>
      <c r="H29">
        <v>0</v>
      </c>
    </row>
  </sheetData>
  <conditionalFormatting sqref="C12">
    <cfRule type="cellIs" priority="21" stopIfTrue="1" operator="lessThan">
      <formula>21.8</formula>
    </cfRule>
  </conditionalFormatting>
  <conditionalFormatting sqref="C18">
    <cfRule type="cellIs" priority="24" stopIfTrue="1" operator="lessThan">
      <formula>21.8</formula>
    </cfRule>
  </conditionalFormatting>
  <conditionalFormatting sqref="C12">
    <cfRule type="cellIs" priority="23" stopIfTrue="1" operator="greaterThanOrEqual">
      <formula>40</formula>
    </cfRule>
  </conditionalFormatting>
  <conditionalFormatting sqref="C18">
    <cfRule type="cellIs" priority="26" stopIfTrue="1" operator="greaterThanOrEqual">
      <formula>40</formula>
    </cfRule>
  </conditionalFormatting>
  <conditionalFormatting sqref="C12">
    <cfRule type="cellIs" priority="22" stopIfTrue="1" operator="between">
      <formula>24</formula>
      <formula>27</formula>
    </cfRule>
  </conditionalFormatting>
  <conditionalFormatting sqref="C18">
    <cfRule type="cellIs" priority="25" stopIfTrue="1" operator="between">
      <formula>25.35</formula>
      <formula>31.55</formula>
    </cfRule>
  </conditionalFormatting>
  <pageMargins left="0" right="0" top="0.39370078740157477" bottom="0.39370078740157477" header="0" footer="0"/>
  <pageSetup paperSize="0" scale="68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2"/>
  <sheetViews>
    <sheetView workbookViewId="0"/>
  </sheetViews>
  <sheetFormatPr defaultRowHeight="14.25"/>
  <cols>
    <col min="1" max="1" width="9.625" customWidth="1"/>
    <col min="2" max="1024" width="8.375" customWidth="1"/>
  </cols>
  <sheetData>
    <row r="1" spans="1:1">
      <c r="A1" s="73" t="s">
        <v>528</v>
      </c>
    </row>
    <row r="2" spans="1:1">
      <c r="A2" t="s">
        <v>529</v>
      </c>
    </row>
    <row r="3" spans="1:1">
      <c r="A3" t="s">
        <v>530</v>
      </c>
    </row>
    <row r="5" spans="1:1">
      <c r="A5" s="73" t="s">
        <v>531</v>
      </c>
    </row>
    <row r="6" spans="1:1">
      <c r="A6" t="s">
        <v>529</v>
      </c>
    </row>
    <row r="7" spans="1:1">
      <c r="A7" t="s">
        <v>530</v>
      </c>
    </row>
    <row r="8" spans="1:1">
      <c r="A8" t="s">
        <v>532</v>
      </c>
    </row>
    <row r="10" spans="1:1">
      <c r="A10" s="76" t="s">
        <v>533</v>
      </c>
    </row>
    <row r="11" spans="1:1">
      <c r="A11" s="77">
        <v>6</v>
      </c>
    </row>
    <row r="12" spans="1:1">
      <c r="A12" s="77">
        <v>5.5</v>
      </c>
    </row>
    <row r="13" spans="1:1">
      <c r="A13" s="77">
        <v>5</v>
      </c>
    </row>
    <row r="14" spans="1:1">
      <c r="A14" s="77">
        <v>4.5</v>
      </c>
    </row>
    <row r="15" spans="1:1">
      <c r="A15" s="77">
        <v>4</v>
      </c>
    </row>
    <row r="16" spans="1:1">
      <c r="A16" s="77">
        <v>3.5</v>
      </c>
    </row>
    <row r="17" spans="1:1">
      <c r="A17" s="77">
        <v>3</v>
      </c>
    </row>
    <row r="18" spans="1:1">
      <c r="A18" s="77">
        <v>2.5</v>
      </c>
    </row>
    <row r="19" spans="1:1">
      <c r="A19" s="77">
        <v>2</v>
      </c>
    </row>
    <row r="20" spans="1:1">
      <c r="A20" s="77">
        <v>1.5</v>
      </c>
    </row>
    <row r="21" spans="1:1">
      <c r="A21" s="77">
        <v>1</v>
      </c>
    </row>
    <row r="22" spans="1:1">
      <c r="A22" s="77">
        <v>0.5</v>
      </c>
    </row>
  </sheetData>
  <pageMargins left="0" right="0" top="0.39370078740157477" bottom="0.39370078740157477" header="0" footer="0"/>
  <pageSetup paperSize="0" scale="68" fitToWidth="0" fitToHeight="0" pageOrder="overThenDown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3009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Sheet1</vt:lpstr>
      <vt:lpstr>QC Test Summary-Siemens</vt:lpstr>
      <vt:lpstr>Tech QC Eval-Siemens</vt:lpstr>
      <vt:lpstr>Tables</vt:lpstr>
      <vt:lpstr>Corrected kV</vt:lpstr>
      <vt:lpstr>dropdowns</vt:lpstr>
      <vt:lpstr>ESE</vt:lpstr>
      <vt:lpstr>MGD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Mah</dc:creator>
  <cp:lastModifiedBy>Eugene Mah</cp:lastModifiedBy>
  <cp:revision>247</cp:revision>
  <cp:lastPrinted>2015-06-25T19:19:01Z</cp:lastPrinted>
  <dcterms:created xsi:type="dcterms:W3CDTF">2014-08-25T14:38:09Z</dcterms:created>
  <dcterms:modified xsi:type="dcterms:W3CDTF">2015-06-25T19:25:52Z</dcterms:modified>
</cp:coreProperties>
</file>