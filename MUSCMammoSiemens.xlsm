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Tables" sheetId="4" r:id="rId4"/>
    <sheet name="Corrected kV" sheetId="5" r:id="rId5"/>
    <sheet name="dropdowns" sheetId="10" r:id="rId6"/>
  </sheets>
  <definedNames>
    <definedName name="_xlnm._FilterDatabase" localSheetId="5"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I380" i="1" l="1"/>
  <c r="H380" i="1"/>
  <c r="G380" i="1"/>
  <c r="F380" i="1"/>
  <c r="E380" i="1"/>
  <c r="D380" i="1"/>
  <c r="G379" i="1"/>
  <c r="F379" i="1"/>
  <c r="E379" i="1"/>
  <c r="D379" i="1"/>
  <c r="I378" i="1"/>
  <c r="H378" i="1"/>
  <c r="G378" i="1"/>
  <c r="F378" i="1"/>
  <c r="E378" i="1"/>
  <c r="D378" i="1"/>
  <c r="I377" i="1"/>
  <c r="H377" i="1"/>
  <c r="G377" i="1"/>
  <c r="F377" i="1"/>
  <c r="E377" i="1"/>
  <c r="D377" i="1"/>
  <c r="I376" i="1"/>
  <c r="H376" i="1"/>
  <c r="G376" i="1"/>
  <c r="F376" i="1"/>
  <c r="E376" i="1"/>
  <c r="D376" i="1"/>
  <c r="I375" i="1"/>
  <c r="H375" i="1"/>
  <c r="G375" i="1"/>
  <c r="F375" i="1"/>
  <c r="E375" i="1"/>
  <c r="D375" i="1"/>
  <c r="I374" i="1"/>
  <c r="H374" i="1"/>
  <c r="G374" i="1"/>
  <c r="F374" i="1"/>
  <c r="E374" i="1"/>
  <c r="D374" i="1"/>
  <c r="R261" i="1"/>
  <c r="S260" i="1"/>
  <c r="S261" i="1" s="1"/>
  <c r="R260" i="1"/>
  <c r="Q260" i="1"/>
  <c r="Q261" i="1" s="1"/>
  <c r="X270" i="1"/>
  <c r="I366" i="1"/>
  <c r="M353" i="1"/>
  <c r="H353" i="1"/>
  <c r="L301" i="1"/>
  <c r="L311" i="1"/>
  <c r="L306" i="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398" i="1" l="1"/>
  <c r="I398" i="1"/>
  <c r="H398" i="1"/>
  <c r="J397" i="1"/>
  <c r="I397" i="1"/>
  <c r="H397" i="1"/>
  <c r="J396" i="1"/>
  <c r="I396" i="1"/>
  <c r="H396" i="1"/>
  <c r="J395" i="1"/>
  <c r="I395" i="1"/>
  <c r="H395" i="1"/>
  <c r="J394" i="1"/>
  <c r="I394" i="1"/>
  <c r="H394" i="1"/>
  <c r="J393" i="1"/>
  <c r="I393" i="1"/>
  <c r="H393" i="1"/>
  <c r="S253" i="1"/>
  <c r="R253" i="1"/>
  <c r="Q253" i="1"/>
  <c r="L185" i="1"/>
  <c r="I185" i="1"/>
  <c r="D185" i="1"/>
  <c r="S365" i="1" l="1"/>
  <c r="L5" i="8" l="1"/>
  <c r="D428" i="1" l="1"/>
  <c r="D427" i="1"/>
  <c r="D426" i="1"/>
  <c r="D425" i="1"/>
  <c r="D424" i="1"/>
  <c r="D423" i="1"/>
  <c r="R404" i="1"/>
  <c r="S403" i="1"/>
  <c r="T404" i="1" s="1"/>
  <c r="R402" i="1"/>
  <c r="S401" i="1"/>
  <c r="T402" i="1" s="1"/>
  <c r="D420" i="1" l="1"/>
  <c r="D419" i="1"/>
  <c r="D418" i="1"/>
  <c r="D417" i="1"/>
  <c r="D416" i="1"/>
  <c r="D415" i="1"/>
  <c r="D414" i="1"/>
  <c r="D413" i="1"/>
  <c r="D412" i="1"/>
  <c r="D411" i="1"/>
  <c r="D410" i="1"/>
  <c r="D409" i="1"/>
  <c r="D408" i="1"/>
  <c r="D407" i="1"/>
  <c r="D406" i="1"/>
  <c r="D405" i="1"/>
  <c r="D421" i="1"/>
  <c r="D422" i="1"/>
  <c r="R400" i="1"/>
  <c r="S399" i="1"/>
  <c r="T400" i="1" s="1"/>
  <c r="R398" i="1"/>
  <c r="S397" i="1"/>
  <c r="T398" i="1" s="1"/>
  <c r="R396" i="1"/>
  <c r="S395" i="1"/>
  <c r="T396" i="1" s="1"/>
  <c r="R394" i="1"/>
  <c r="S393" i="1"/>
  <c r="T394" i="1" s="1"/>
  <c r="R392" i="1"/>
  <c r="S391" i="1"/>
  <c r="T392" i="1" s="1"/>
  <c r="R390" i="1"/>
  <c r="S389" i="1"/>
  <c r="T390"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W311" i="1"/>
  <c r="V311" i="1"/>
  <c r="J349" i="1" s="1"/>
  <c r="U311" i="1"/>
  <c r="I349" i="1" s="1"/>
  <c r="W310" i="1"/>
  <c r="K348" i="1" s="1"/>
  <c r="V310" i="1"/>
  <c r="J348" i="1" s="1"/>
  <c r="U310" i="1"/>
  <c r="I348" i="1" s="1"/>
  <c r="W309" i="1"/>
  <c r="K347" i="1" s="1"/>
  <c r="V309" i="1"/>
  <c r="J347" i="1" s="1"/>
  <c r="U309" i="1"/>
  <c r="I347" i="1" s="1"/>
  <c r="W308" i="1"/>
  <c r="K346" i="1" s="1"/>
  <c r="V308" i="1"/>
  <c r="U308" i="1"/>
  <c r="I346" i="1" s="1"/>
  <c r="Y315" i="1"/>
  <c r="X315" i="1"/>
  <c r="Y311" i="1" l="1"/>
  <c r="M349" i="1" s="1"/>
  <c r="K349" i="1"/>
  <c r="V313" i="1"/>
  <c r="J351" i="1" s="1"/>
  <c r="J346" i="1"/>
  <c r="Y309" i="1"/>
  <c r="M347" i="1" s="1"/>
  <c r="Y310" i="1"/>
  <c r="M348" i="1" s="1"/>
  <c r="U312" i="1"/>
  <c r="I350" i="1" s="1"/>
  <c r="W313" i="1"/>
  <c r="K351" i="1" s="1"/>
  <c r="Y308" i="1"/>
  <c r="V312" i="1"/>
  <c r="U313" i="1"/>
  <c r="I351" i="1" s="1"/>
  <c r="W312" i="1"/>
  <c r="V314" i="1" l="1"/>
  <c r="J350" i="1"/>
  <c r="W314" i="1"/>
  <c r="K352" i="1" s="1"/>
  <c r="K350" i="1"/>
  <c r="Y313" i="1"/>
  <c r="M351" i="1" s="1"/>
  <c r="M346" i="1"/>
  <c r="U314" i="1"/>
  <c r="I352" i="1" s="1"/>
  <c r="Y312" i="1"/>
  <c r="M350" i="1" s="1"/>
  <c r="Y314" i="1" l="1"/>
  <c r="AD89" i="1"/>
  <c r="X306" i="1" l="1"/>
  <c r="L344" i="1" s="1"/>
  <c r="V305" i="1"/>
  <c r="J343" i="1" s="1"/>
  <c r="X305" i="1"/>
  <c r="L343" i="1" s="1"/>
  <c r="X371" i="1"/>
  <c r="W371" i="1"/>
  <c r="V371" i="1"/>
  <c r="X370" i="1"/>
  <c r="W370" i="1"/>
  <c r="V370" i="1"/>
  <c r="X369" i="1"/>
  <c r="W369" i="1"/>
  <c r="V369" i="1"/>
  <c r="X368" i="1"/>
  <c r="W368" i="1"/>
  <c r="V368" i="1"/>
  <c r="X367" i="1"/>
  <c r="W367" i="1"/>
  <c r="V367" i="1"/>
  <c r="AD115" i="1"/>
  <c r="AD114" i="1"/>
  <c r="AD113" i="1"/>
  <c r="AD112" i="1"/>
  <c r="AD111" i="1"/>
  <c r="AD110" i="1"/>
  <c r="AD109" i="1"/>
  <c r="AD108" i="1"/>
  <c r="AD107" i="1"/>
  <c r="AD106" i="1"/>
  <c r="AD105" i="1"/>
  <c r="AD104" i="1"/>
  <c r="AD103" i="1"/>
  <c r="X309" i="1" l="1"/>
  <c r="L347" i="1" s="1"/>
  <c r="X308" i="1"/>
  <c r="L346" i="1" s="1"/>
  <c r="X310" i="1"/>
  <c r="L348" i="1" s="1"/>
  <c r="X311" i="1"/>
  <c r="L349" i="1" s="1"/>
  <c r="V339" i="1"/>
  <c r="V338" i="1"/>
  <c r="U338" i="1"/>
  <c r="U337" i="1"/>
  <c r="T337" i="1"/>
  <c r="T336" i="1"/>
  <c r="S337" i="1"/>
  <c r="S336" i="1"/>
  <c r="R336" i="1"/>
  <c r="R337" i="1"/>
  <c r="Q335" i="1"/>
  <c r="Q336" i="1"/>
  <c r="V340" i="1"/>
  <c r="U340" i="1"/>
  <c r="T340" i="1"/>
  <c r="S340" i="1"/>
  <c r="R340" i="1"/>
  <c r="Q340" i="1"/>
  <c r="V334" i="1"/>
  <c r="U334" i="1"/>
  <c r="T334" i="1"/>
  <c r="S334" i="1"/>
  <c r="R334" i="1"/>
  <c r="Q334" i="1"/>
  <c r="V332" i="1"/>
  <c r="H76" i="4" s="1"/>
  <c r="V331" i="1"/>
  <c r="U332" i="1"/>
  <c r="H75" i="4" s="1"/>
  <c r="U331" i="1"/>
  <c r="T332" i="1"/>
  <c r="T343" i="1" s="1"/>
  <c r="T331" i="1"/>
  <c r="S332" i="1"/>
  <c r="S344" i="1" s="1"/>
  <c r="S331" i="1"/>
  <c r="R331" i="1"/>
  <c r="R332" i="1"/>
  <c r="R343" i="1" s="1"/>
  <c r="Q332" i="1"/>
  <c r="Q343" i="1" s="1"/>
  <c r="Q331" i="1"/>
  <c r="A75" i="4" l="1"/>
  <c r="D78" i="4" s="1"/>
  <c r="D75" i="4"/>
  <c r="E78" i="4" s="1"/>
  <c r="G75" i="4"/>
  <c r="F78" i="4" s="1"/>
  <c r="V341" i="1"/>
  <c r="X313" i="1"/>
  <c r="L351" i="1" s="1"/>
  <c r="X312" i="1"/>
  <c r="L350" i="1" s="1"/>
  <c r="U341" i="1"/>
  <c r="B75" i="4"/>
  <c r="R341" i="1"/>
  <c r="E75" i="4"/>
  <c r="S343" i="1"/>
  <c r="E76" i="4"/>
  <c r="T344" i="1"/>
  <c r="Q341" i="1"/>
  <c r="T341" i="1"/>
  <c r="S341" i="1"/>
  <c r="C76" i="4" l="1"/>
  <c r="F75" i="4"/>
  <c r="I76" i="4"/>
  <c r="F76" i="4"/>
  <c r="I75" i="4"/>
  <c r="C75" i="4"/>
  <c r="D79" i="4" s="1"/>
  <c r="X314" i="1"/>
  <c r="L352" i="1" s="1"/>
  <c r="AD88" i="1"/>
  <c r="F79" i="4"/>
  <c r="F80" i="4"/>
  <c r="E80" i="4"/>
  <c r="E79" i="4"/>
  <c r="S325" i="1"/>
  <c r="R325" i="1"/>
  <c r="Q325" i="1"/>
  <c r="S324" i="1"/>
  <c r="R324" i="1"/>
  <c r="Q324" i="1"/>
  <c r="S322" i="1"/>
  <c r="R322" i="1"/>
  <c r="Q322" i="1"/>
  <c r="S306" i="1"/>
  <c r="G344" i="1" s="1"/>
  <c r="R311" i="1"/>
  <c r="F349" i="1" s="1"/>
  <c r="Q311" i="1"/>
  <c r="E349" i="1" s="1"/>
  <c r="R310" i="1"/>
  <c r="F348" i="1" s="1"/>
  <c r="Q310" i="1"/>
  <c r="E348" i="1" s="1"/>
  <c r="R309" i="1"/>
  <c r="F347" i="1" s="1"/>
  <c r="Q309" i="1"/>
  <c r="E347" i="1" s="1"/>
  <c r="R308" i="1"/>
  <c r="F346" i="1" s="1"/>
  <c r="Q308" i="1"/>
  <c r="E346" i="1" s="1"/>
  <c r="U299" i="1"/>
  <c r="H311" i="1" s="1"/>
  <c r="T299" i="1"/>
  <c r="G311" i="1" s="1"/>
  <c r="S299" i="1"/>
  <c r="F311" i="1" s="1"/>
  <c r="U298" i="1"/>
  <c r="H310" i="1" s="1"/>
  <c r="T298" i="1"/>
  <c r="G310" i="1" s="1"/>
  <c r="S298" i="1"/>
  <c r="F310" i="1" s="1"/>
  <c r="U297" i="1"/>
  <c r="H309" i="1" s="1"/>
  <c r="T297" i="1"/>
  <c r="G309" i="1" s="1"/>
  <c r="S297" i="1"/>
  <c r="F309" i="1" s="1"/>
  <c r="U296" i="1"/>
  <c r="H308" i="1" s="1"/>
  <c r="T296" i="1"/>
  <c r="G308" i="1" s="1"/>
  <c r="S296" i="1"/>
  <c r="F308" i="1" s="1"/>
  <c r="U295" i="1"/>
  <c r="H307" i="1" s="1"/>
  <c r="T295" i="1"/>
  <c r="G307" i="1" s="1"/>
  <c r="S295" i="1"/>
  <c r="F307" i="1" s="1"/>
  <c r="U294" i="1"/>
  <c r="H306" i="1" s="1"/>
  <c r="T294" i="1"/>
  <c r="G306" i="1" s="1"/>
  <c r="S294" i="1"/>
  <c r="F306" i="1" s="1"/>
  <c r="U293" i="1"/>
  <c r="H305" i="1" s="1"/>
  <c r="T293" i="1"/>
  <c r="G305" i="1" s="1"/>
  <c r="S293" i="1"/>
  <c r="F305" i="1" s="1"/>
  <c r="U292" i="1"/>
  <c r="H304" i="1" s="1"/>
  <c r="T292" i="1"/>
  <c r="G304" i="1" s="1"/>
  <c r="S292" i="1"/>
  <c r="F304" i="1" s="1"/>
  <c r="U291" i="1"/>
  <c r="H303" i="1" s="1"/>
  <c r="T291" i="1"/>
  <c r="G303" i="1" s="1"/>
  <c r="S291" i="1"/>
  <c r="F303" i="1" s="1"/>
  <c r="U290" i="1"/>
  <c r="H302" i="1" s="1"/>
  <c r="T290" i="1"/>
  <c r="G302" i="1" s="1"/>
  <c r="S290" i="1"/>
  <c r="F302" i="1" s="1"/>
  <c r="U289" i="1"/>
  <c r="H301" i="1" s="1"/>
  <c r="T289" i="1"/>
  <c r="G301" i="1" s="1"/>
  <c r="S289" i="1"/>
  <c r="F301" i="1" s="1"/>
  <c r="U288" i="1"/>
  <c r="H300" i="1" s="1"/>
  <c r="T288" i="1"/>
  <c r="G300" i="1" s="1"/>
  <c r="S288" i="1"/>
  <c r="F300" i="1" s="1"/>
  <c r="U287" i="1"/>
  <c r="H299" i="1" s="1"/>
  <c r="T287" i="1"/>
  <c r="G299" i="1" s="1"/>
  <c r="S287" i="1"/>
  <c r="F299" i="1" s="1"/>
  <c r="U286" i="1"/>
  <c r="H298" i="1" s="1"/>
  <c r="T286" i="1"/>
  <c r="G298" i="1" s="1"/>
  <c r="S286" i="1"/>
  <c r="F298" i="1" s="1"/>
  <c r="U285" i="1"/>
  <c r="H297" i="1" s="1"/>
  <c r="T285" i="1"/>
  <c r="G297" i="1" s="1"/>
  <c r="S285" i="1"/>
  <c r="F297" i="1" s="1"/>
  <c r="U284" i="1"/>
  <c r="H296" i="1" s="1"/>
  <c r="T284" i="1"/>
  <c r="G296" i="1" s="1"/>
  <c r="S284" i="1"/>
  <c r="F296" i="1" s="1"/>
  <c r="X268" i="1" l="1"/>
  <c r="C84" i="4" s="1"/>
  <c r="S309" i="1"/>
  <c r="G347" i="1" s="1"/>
  <c r="W285" i="1"/>
  <c r="J297" i="1" s="1"/>
  <c r="W289" i="1"/>
  <c r="J301" i="1" s="1"/>
  <c r="W293" i="1"/>
  <c r="J305" i="1" s="1"/>
  <c r="W297" i="1"/>
  <c r="J309" i="1" s="1"/>
  <c r="T308" i="1"/>
  <c r="H346" i="1" s="1"/>
  <c r="S308" i="1"/>
  <c r="G346" i="1" s="1"/>
  <c r="T311" i="1"/>
  <c r="H349" i="1" s="1"/>
  <c r="W287" i="1"/>
  <c r="J299" i="1" s="1"/>
  <c r="W291" i="1"/>
  <c r="J303" i="1" s="1"/>
  <c r="W295" i="1"/>
  <c r="J307" i="1" s="1"/>
  <c r="W299" i="1"/>
  <c r="J311" i="1" s="1"/>
  <c r="T310" i="1"/>
  <c r="H348" i="1" s="1"/>
  <c r="S311" i="1"/>
  <c r="G349" i="1" s="1"/>
  <c r="U325" i="1"/>
  <c r="T309" i="1"/>
  <c r="H347" i="1" s="1"/>
  <c r="S310" i="1"/>
  <c r="G348" i="1" s="1"/>
  <c r="U324" i="1"/>
  <c r="U322" i="1"/>
  <c r="W286" i="1"/>
  <c r="J298" i="1" s="1"/>
  <c r="W288" i="1"/>
  <c r="J300" i="1" s="1"/>
  <c r="W290" i="1"/>
  <c r="J302" i="1" s="1"/>
  <c r="W292" i="1"/>
  <c r="J304" i="1" s="1"/>
  <c r="W294" i="1"/>
  <c r="J306" i="1" s="1"/>
  <c r="W296" i="1"/>
  <c r="J308" i="1" s="1"/>
  <c r="W298" i="1"/>
  <c r="J310" i="1" s="1"/>
  <c r="W284" i="1"/>
  <c r="J296" i="1" s="1"/>
  <c r="S244" i="1"/>
  <c r="G243" i="1" s="1"/>
  <c r="R244" i="1"/>
  <c r="F243" i="1" s="1"/>
  <c r="Q244" i="1"/>
  <c r="E243" i="1" s="1"/>
  <c r="P244" i="1"/>
  <c r="D243" i="1" s="1"/>
  <c r="A84" i="4" l="1"/>
  <c r="F84" i="4"/>
  <c r="B84" i="4"/>
  <c r="E84" i="4"/>
  <c r="R142" i="1" l="1"/>
  <c r="I148" i="1" s="1"/>
  <c r="F252" i="1" l="1"/>
  <c r="E252" i="1"/>
  <c r="D252" i="1"/>
  <c r="B76" i="4" l="1"/>
  <c r="C18" i="5"/>
  <c r="C12" i="5"/>
  <c r="M56" i="4"/>
  <c r="L56" i="4"/>
  <c r="M55" i="4"/>
  <c r="L55" i="4"/>
  <c r="M54" i="4"/>
  <c r="L54" i="4"/>
  <c r="M53" i="4"/>
  <c r="L53" i="4"/>
  <c r="U381" i="1"/>
  <c r="I386" i="1" s="1"/>
  <c r="T381" i="1"/>
  <c r="I30" i="8" s="1"/>
  <c r="U380" i="1"/>
  <c r="I385" i="1" s="1"/>
  <c r="T380" i="1"/>
  <c r="G30" i="8" s="1"/>
  <c r="S372" i="1"/>
  <c r="J399" i="1" s="1"/>
  <c r="R372" i="1"/>
  <c r="I399" i="1" s="1"/>
  <c r="Q372" i="1"/>
  <c r="H399" i="1" s="1"/>
  <c r="R356" i="1"/>
  <c r="Q356" i="1"/>
  <c r="E398" i="1" s="1"/>
  <c r="R355" i="1"/>
  <c r="U354" i="1"/>
  <c r="R354" i="1"/>
  <c r="V353" i="1"/>
  <c r="R353" i="1"/>
  <c r="V352" i="1"/>
  <c r="R352" i="1"/>
  <c r="V351" i="1"/>
  <c r="R351" i="1"/>
  <c r="R344" i="1"/>
  <c r="Q344" i="1"/>
  <c r="V343" i="1"/>
  <c r="U343" i="1"/>
  <c r="U342" i="1"/>
  <c r="T342" i="1"/>
  <c r="S342" i="1"/>
  <c r="Q342" i="1"/>
  <c r="E370" i="1"/>
  <c r="O328" i="1"/>
  <c r="I367" i="1" s="1"/>
  <c r="D370" i="1"/>
  <c r="P325" i="1"/>
  <c r="D369" i="1"/>
  <c r="P324" i="1"/>
  <c r="P323" i="1"/>
  <c r="C368" i="1" s="1"/>
  <c r="P322" i="1"/>
  <c r="S320" i="1"/>
  <c r="F364" i="1" s="1"/>
  <c r="Q320" i="1"/>
  <c r="D364" i="1" s="1"/>
  <c r="T315" i="1"/>
  <c r="S315" i="1"/>
  <c r="P311" i="1"/>
  <c r="D349" i="1" s="1"/>
  <c r="P310" i="1"/>
  <c r="D348" i="1" s="1"/>
  <c r="P309" i="1"/>
  <c r="D347" i="1" s="1"/>
  <c r="P308" i="1"/>
  <c r="D346" i="1" s="1"/>
  <c r="S305" i="1"/>
  <c r="G343" i="1" s="1"/>
  <c r="Q305" i="1"/>
  <c r="E343" i="1" s="1"/>
  <c r="R299" i="1"/>
  <c r="E311" i="1" s="1"/>
  <c r="Q299" i="1"/>
  <c r="D311" i="1" s="1"/>
  <c r="R298" i="1"/>
  <c r="E310" i="1" s="1"/>
  <c r="Q298" i="1"/>
  <c r="D310" i="1" s="1"/>
  <c r="R297" i="1"/>
  <c r="E309" i="1" s="1"/>
  <c r="Q297" i="1"/>
  <c r="D309" i="1" s="1"/>
  <c r="R296" i="1"/>
  <c r="E308" i="1" s="1"/>
  <c r="Q296" i="1"/>
  <c r="D308" i="1" s="1"/>
  <c r="R295" i="1"/>
  <c r="E307" i="1" s="1"/>
  <c r="Q295" i="1"/>
  <c r="D307" i="1" s="1"/>
  <c r="P295" i="1"/>
  <c r="R294" i="1"/>
  <c r="Q294" i="1"/>
  <c r="D306" i="1" s="1"/>
  <c r="R293" i="1"/>
  <c r="Q293" i="1"/>
  <c r="D305" i="1" s="1"/>
  <c r="R292" i="1"/>
  <c r="E304" i="1" s="1"/>
  <c r="Q292" i="1"/>
  <c r="D304" i="1" s="1"/>
  <c r="R291" i="1"/>
  <c r="E303" i="1" s="1"/>
  <c r="Q291" i="1"/>
  <c r="D303" i="1" s="1"/>
  <c r="R290" i="1"/>
  <c r="E302" i="1" s="1"/>
  <c r="Q290" i="1"/>
  <c r="D302" i="1" s="1"/>
  <c r="P290" i="1"/>
  <c r="M290" i="1"/>
  <c r="R289" i="1"/>
  <c r="E301" i="1" s="1"/>
  <c r="Q289" i="1"/>
  <c r="D301" i="1" s="1"/>
  <c r="M289" i="1"/>
  <c r="R288" i="1"/>
  <c r="E300" i="1" s="1"/>
  <c r="Q288" i="1"/>
  <c r="D300" i="1" s="1"/>
  <c r="R287" i="1"/>
  <c r="E299" i="1" s="1"/>
  <c r="Q287" i="1"/>
  <c r="D299" i="1" s="1"/>
  <c r="R286" i="1"/>
  <c r="E298" i="1" s="1"/>
  <c r="Q286" i="1"/>
  <c r="D298" i="1" s="1"/>
  <c r="M401" i="1"/>
  <c r="L401" i="1"/>
  <c r="E401" i="1"/>
  <c r="R285" i="1"/>
  <c r="E297" i="1" s="1"/>
  <c r="Q285" i="1"/>
  <c r="M400" i="1"/>
  <c r="L400" i="1"/>
  <c r="E400" i="1"/>
  <c r="R284" i="1"/>
  <c r="Q284" i="1"/>
  <c r="D296" i="1" s="1"/>
  <c r="P284" i="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T269"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D41" i="1" s="1"/>
  <c r="AC41" i="1" s="1"/>
  <c r="R25" i="1"/>
  <c r="AD30" i="1" s="1"/>
  <c r="AC30" i="1" s="1"/>
  <c r="V24" i="1"/>
  <c r="AD40" i="1" s="1"/>
  <c r="AC40" i="1" s="1"/>
  <c r="R23" i="1"/>
  <c r="F22" i="1" s="1"/>
  <c r="V22" i="1"/>
  <c r="K22" i="1" s="1"/>
  <c r="R22" i="1"/>
  <c r="AD28" i="1" s="1"/>
  <c r="AC28" i="1" s="1"/>
  <c r="V21" i="1"/>
  <c r="AD38" i="1" s="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17" i="1" l="1"/>
  <c r="AC17" i="1" s="1"/>
  <c r="E8" i="8"/>
  <c r="L8" i="8"/>
  <c r="D432" i="1"/>
  <c r="AD22" i="1"/>
  <c r="AC22" i="1" s="1"/>
  <c r="L7" i="8"/>
  <c r="AD62" i="1"/>
  <c r="AD59" i="1"/>
  <c r="AD60" i="1"/>
  <c r="H196" i="1"/>
  <c r="H197" i="1"/>
  <c r="V284" i="1"/>
  <c r="E296" i="1"/>
  <c r="B64" i="4"/>
  <c r="D297" i="1"/>
  <c r="V294" i="1"/>
  <c r="E306" i="1"/>
  <c r="AD74" i="1"/>
  <c r="A63" i="4"/>
  <c r="D70" i="4" s="1"/>
  <c r="C296" i="1"/>
  <c r="I63" i="4"/>
  <c r="F70" i="4" s="1"/>
  <c r="C307" i="1"/>
  <c r="E63" i="4"/>
  <c r="E70" i="4" s="1"/>
  <c r="C302" i="1"/>
  <c r="V293"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284" i="1"/>
  <c r="K296" i="1" s="1"/>
  <c r="B63" i="4"/>
  <c r="C63" i="4" s="1"/>
  <c r="X286" i="1"/>
  <c r="K298" i="1" s="1"/>
  <c r="B65" i="4"/>
  <c r="C65" i="4" s="1"/>
  <c r="X287" i="1"/>
  <c r="K299" i="1" s="1"/>
  <c r="B66" i="4"/>
  <c r="C66" i="4" s="1"/>
  <c r="X290" i="1"/>
  <c r="K302" i="1" s="1"/>
  <c r="F63" i="4"/>
  <c r="G63" i="4" s="1"/>
  <c r="X294" i="1"/>
  <c r="K306" i="1" s="1"/>
  <c r="F67" i="4"/>
  <c r="G67" i="4" s="1"/>
  <c r="X299" i="1"/>
  <c r="K311" i="1" s="1"/>
  <c r="J67" i="4"/>
  <c r="K67" i="4" s="1"/>
  <c r="X293" i="1"/>
  <c r="K305" i="1" s="1"/>
  <c r="F66" i="4"/>
  <c r="G66" i="4" s="1"/>
  <c r="X298" i="1"/>
  <c r="K310" i="1" s="1"/>
  <c r="J66" i="4"/>
  <c r="K66" i="4" s="1"/>
  <c r="X291" i="1"/>
  <c r="K303" i="1" s="1"/>
  <c r="F64" i="4"/>
  <c r="G64" i="4" s="1"/>
  <c r="X292" i="1"/>
  <c r="K304" i="1" s="1"/>
  <c r="F65" i="4"/>
  <c r="G65" i="4" s="1"/>
  <c r="X297" i="1"/>
  <c r="K309" i="1" s="1"/>
  <c r="J65" i="4"/>
  <c r="K65" i="4" s="1"/>
  <c r="U345" i="1"/>
  <c r="X288" i="1"/>
  <c r="K300" i="1" s="1"/>
  <c r="B67" i="4"/>
  <c r="C67" i="4" s="1"/>
  <c r="X289" i="1"/>
  <c r="K301" i="1" s="1"/>
  <c r="B68" i="4"/>
  <c r="C68" i="4" s="1"/>
  <c r="X295" i="1"/>
  <c r="K307" i="1" s="1"/>
  <c r="J63" i="4"/>
  <c r="K63" i="4" s="1"/>
  <c r="X296" i="1"/>
  <c r="K308" i="1" s="1"/>
  <c r="J64" i="4"/>
  <c r="K64" i="4" s="1"/>
  <c r="V345" i="1"/>
  <c r="D80" i="4"/>
  <c r="F24" i="1"/>
  <c r="AD116" i="1"/>
  <c r="U254" i="1"/>
  <c r="H253" i="1" s="1"/>
  <c r="AD13" i="1"/>
  <c r="AC13" i="1" s="1"/>
  <c r="F13" i="1"/>
  <c r="K21" i="1"/>
  <c r="K23" i="1"/>
  <c r="K24" i="1"/>
  <c r="H41" i="1"/>
  <c r="F40" i="1"/>
  <c r="K40" i="1"/>
  <c r="AD70" i="1"/>
  <c r="G40" i="1"/>
  <c r="AD66" i="1"/>
  <c r="K28" i="1"/>
  <c r="W255" i="1"/>
  <c r="J254" i="1" s="1"/>
  <c r="W256" i="1"/>
  <c r="J255" i="1" s="1"/>
  <c r="F25" i="1"/>
  <c r="V285" i="1"/>
  <c r="C64" i="4"/>
  <c r="V286" i="1"/>
  <c r="V295" i="1"/>
  <c r="C367" i="1"/>
  <c r="T322" i="1"/>
  <c r="F367" i="1" s="1"/>
  <c r="V287" i="1"/>
  <c r="V288" i="1"/>
  <c r="V290" i="1"/>
  <c r="V291" i="1"/>
  <c r="V296" i="1"/>
  <c r="I308" i="1" s="1"/>
  <c r="V297" i="1"/>
  <c r="V298" i="1"/>
  <c r="V299" i="1"/>
  <c r="V380" i="1"/>
  <c r="J385" i="1" s="1"/>
  <c r="F26" i="1"/>
  <c r="V292" i="1"/>
  <c r="C370" i="1"/>
  <c r="T325" i="1"/>
  <c r="F370" i="1" s="1"/>
  <c r="AD9" i="1"/>
  <c r="AC9" i="1" s="1"/>
  <c r="K29" i="1"/>
  <c r="X285" i="1"/>
  <c r="K297" i="1" s="1"/>
  <c r="V289" i="1"/>
  <c r="C369" i="1"/>
  <c r="T324" i="1"/>
  <c r="F369" i="1" s="1"/>
  <c r="V381" i="1"/>
  <c r="J386" i="1" s="1"/>
  <c r="AD96" i="1"/>
  <c r="F39" i="1"/>
  <c r="E39" i="1"/>
  <c r="E38" i="1"/>
  <c r="AD49" i="1"/>
  <c r="AD46" i="1"/>
  <c r="K30" i="1"/>
  <c r="G367" i="1"/>
  <c r="P313" i="1"/>
  <c r="D351" i="1" s="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Q312" i="1"/>
  <c r="Q345" i="1"/>
  <c r="F11" i="1"/>
  <c r="AD12" i="1"/>
  <c r="AC12" i="1" s="1"/>
  <c r="AD21" i="1"/>
  <c r="AC21" i="1" s="1"/>
  <c r="M216" i="1"/>
  <c r="T243" i="1"/>
  <c r="P245" i="1"/>
  <c r="D244" i="1" s="1"/>
  <c r="G369" i="1"/>
  <c r="E369" i="1"/>
  <c r="AD39" i="1"/>
  <c r="AC39" i="1" s="1"/>
  <c r="Q245" i="1"/>
  <c r="E244" i="1" s="1"/>
  <c r="D367" i="1"/>
  <c r="K16" i="1"/>
  <c r="D216" i="1"/>
  <c r="S274" i="1"/>
  <c r="F273" i="1" s="1"/>
  <c r="Q313" i="1"/>
  <c r="E351" i="1" s="1"/>
  <c r="P312" i="1"/>
  <c r="D350" i="1" s="1"/>
  <c r="V342"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R345" i="1"/>
  <c r="R312" i="1"/>
  <c r="G370" i="1"/>
  <c r="AD23" i="1"/>
  <c r="AC23" i="1" s="1"/>
  <c r="F18" i="1"/>
  <c r="E155" i="1"/>
  <c r="E174" i="1"/>
  <c r="E176" i="1"/>
  <c r="K10" i="1"/>
  <c r="F17" i="1"/>
  <c r="L41" i="1"/>
  <c r="R313" i="1"/>
  <c r="F351" i="1" s="1"/>
  <c r="R342" i="1"/>
  <c r="R323" i="1" l="1"/>
  <c r="E350" i="1"/>
  <c r="D68" i="4"/>
  <c r="I301" i="1"/>
  <c r="L65" i="4"/>
  <c r="I309" i="1"/>
  <c r="D67" i="4"/>
  <c r="I300" i="1"/>
  <c r="L63" i="4"/>
  <c r="I307" i="1"/>
  <c r="H67" i="4"/>
  <c r="I306" i="1"/>
  <c r="D63" i="4"/>
  <c r="I296" i="1"/>
  <c r="D66" i="4"/>
  <c r="I299" i="1"/>
  <c r="D65" i="4"/>
  <c r="I298" i="1"/>
  <c r="S323" i="1"/>
  <c r="F350" i="1"/>
  <c r="H65" i="4"/>
  <c r="I304" i="1"/>
  <c r="L67" i="4"/>
  <c r="I311" i="1"/>
  <c r="H64" i="4"/>
  <c r="I303" i="1"/>
  <c r="L66" i="4"/>
  <c r="I310" i="1"/>
  <c r="H63" i="4"/>
  <c r="I302" i="1"/>
  <c r="D64" i="4"/>
  <c r="I297" i="1"/>
  <c r="H66" i="4"/>
  <c r="E71" i="4" s="1"/>
  <c r="I305" i="1"/>
  <c r="Y241" i="1"/>
  <c r="L240" i="1" s="1"/>
  <c r="H242" i="1"/>
  <c r="V240" i="1"/>
  <c r="J239" i="1" s="1"/>
  <c r="L64" i="4"/>
  <c r="S345" i="1"/>
  <c r="G272" i="1"/>
  <c r="V238" i="1"/>
  <c r="J237" i="1" s="1"/>
  <c r="V241" i="1"/>
  <c r="J240" i="1" s="1"/>
  <c r="V239" i="1"/>
  <c r="J238" i="1" s="1"/>
  <c r="V242" i="1"/>
  <c r="J241" i="1" s="1"/>
  <c r="Q323" i="1"/>
  <c r="D368" i="1" s="1"/>
  <c r="Y242" i="1"/>
  <c r="L241" i="1" s="1"/>
  <c r="Y240" i="1"/>
  <c r="L239" i="1" s="1"/>
  <c r="Y239" i="1"/>
  <c r="L238" i="1" s="1"/>
  <c r="X243" i="1"/>
  <c r="X381" i="1"/>
  <c r="K386" i="1" s="1"/>
  <c r="X380" i="1"/>
  <c r="K385" i="1" s="1"/>
  <c r="Q314" i="1"/>
  <c r="P314" i="1"/>
  <c r="D352" i="1" s="1"/>
  <c r="T245" i="1"/>
  <c r="H244" i="1" s="1"/>
  <c r="Y238" i="1"/>
  <c r="L237" i="1" s="1"/>
  <c r="P246" i="1"/>
  <c r="D245" i="1" s="1"/>
  <c r="T345" i="1"/>
  <c r="S312" i="1"/>
  <c r="U245" i="1"/>
  <c r="I244" i="1" s="1"/>
  <c r="T313" i="1"/>
  <c r="H351" i="1" s="1"/>
  <c r="S313" i="1"/>
  <c r="G351" i="1" s="1"/>
  <c r="E368" i="1"/>
  <c r="R314" i="1"/>
  <c r="F352" i="1" s="1"/>
  <c r="T312" i="1"/>
  <c r="E73" i="4" l="1"/>
  <c r="D73" i="4"/>
  <c r="D71" i="4"/>
  <c r="F73" i="4"/>
  <c r="E72" i="4"/>
  <c r="F72" i="4"/>
  <c r="D72" i="4"/>
  <c r="U323" i="1"/>
  <c r="H350" i="1"/>
  <c r="T323" i="1"/>
  <c r="G350" i="1"/>
  <c r="F260" i="1"/>
  <c r="F259" i="1"/>
  <c r="X244" i="1"/>
  <c r="K243" i="1" s="1"/>
  <c r="K242" i="1"/>
  <c r="E260" i="1"/>
  <c r="E259" i="1"/>
  <c r="D260" i="1"/>
  <c r="D259" i="1"/>
  <c r="F71" i="4"/>
  <c r="U272" i="1" s="1"/>
  <c r="H271" i="1" s="1"/>
  <c r="V244" i="1"/>
  <c r="J243" i="1" s="1"/>
  <c r="V243" i="1"/>
  <c r="J242" i="1" s="1"/>
  <c r="Y243" i="1"/>
  <c r="L242" i="1" s="1"/>
  <c r="S314" i="1"/>
  <c r="G352" i="1" s="1"/>
  <c r="AD86" i="1"/>
  <c r="G368" i="1"/>
  <c r="AD87" i="1"/>
  <c r="T314" i="1"/>
  <c r="U270" i="1" l="1"/>
  <c r="H269" i="1" s="1"/>
  <c r="U269" i="1"/>
  <c r="H268" i="1" s="1"/>
  <c r="U271" i="1"/>
  <c r="H270" i="1" s="1"/>
  <c r="V245" i="1"/>
  <c r="B82" i="4"/>
  <c r="K267" i="1"/>
  <c r="Y244" i="1"/>
  <c r="L243" i="1" s="1"/>
  <c r="T326" i="1"/>
  <c r="F371"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<sst xmlns="http://schemas.openxmlformats.org/spreadsheetml/2006/main" count="1569" uniqueCount="581">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</sst>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3">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b/>
      <sz val="12"/>
      <name val="Times New Roman"/>
      <family val="1"/>
    </font>
    <font>
      <sz val="10"/>
      <name val="Times New Roman"/>
      <family val="1"/>
    </font>
    <font>
      <sz val="8"/>
      <name val="Times New Roman"/>
      <family val="1"/>
    </font>
    <font>
      <b/>
      <sz val="10"/>
      <color indexed="12"/>
      <name val="Times New Roman"/>
      <family val="1"/>
    </font>
    <font>
      <sz val="10"/>
      <color indexed="12"/>
      <name val="Times New Roman"/>
      <family val="1"/>
    </font>
    <font>
      <sz val="10"/>
      <color indexed="53"/>
      <name val="Times New Roman"/>
      <family val="1"/>
    </font>
    <font>
      <b/>
      <sz val="10"/>
      <color indexed="53"/>
      <name val="Times New Roman"/>
      <family val="1"/>
    </font>
    <font>
      <b/>
      <sz val="8"/>
      <color indexed="53"/>
      <name val="Times New Roman"/>
      <family val="1"/>
    </font>
    <font>
      <sz val="8"/>
      <color indexed="61"/>
      <name val="Times New Roman"/>
      <family val="1"/>
    </font>
    <font>
      <sz val="9"/>
      <name val="Times New Roman"/>
      <family val="1"/>
    </font>
    <font>
      <sz val="10"/>
      <color indexed="61"/>
      <name val="Times New Roman"/>
      <family val="1"/>
    </font>
    <font>
      <b/>
      <sz val="8"/>
      <name val="Times New Roman"/>
      <family val="1"/>
    </font>
    <font>
      <b/>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s>
  <fills count="21">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14999847407452621"/>
        <bgColor indexed="64"/>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s>
  <borders count="15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3" fillId="17" borderId="74">
      <alignment horizontal="left" vertical="center"/>
      <protection locked="0"/>
    </xf>
    <xf numFmtId="0" fontId="35" fillId="0" borderId="0"/>
    <xf numFmtId="0" fontId="40" fillId="0" borderId="0">
      <alignment vertical="top"/>
    </xf>
  </cellStyleXfs>
  <cellXfs count="784">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4"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0" borderId="20" xfId="0" applyFont="1" applyFill="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64" fontId="7" fillId="8" borderId="62"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3"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4"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5"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0" xfId="0" applyFont="1" applyFill="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6"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7"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8" xfId="0" applyFont="1" applyBorder="1" applyAlignment="1">
      <alignment horizontal="center" vertical="center"/>
    </xf>
    <xf numFmtId="0" fontId="7" fillId="0" borderId="69" xfId="0" applyFont="1" applyBorder="1" applyAlignment="1">
      <alignment horizontal="center" vertical="center"/>
    </xf>
    <xf numFmtId="0" fontId="7" fillId="0" borderId="2" xfId="0" applyFont="1" applyBorder="1" applyAlignment="1">
      <alignment horizontal="right" vertical="center"/>
    </xf>
    <xf numFmtId="0" fontId="7" fillId="0" borderId="70" xfId="0" applyFont="1" applyBorder="1" applyAlignment="1">
      <alignment horizontal="center" vertical="center"/>
    </xf>
    <xf numFmtId="0" fontId="7" fillId="0" borderId="71" xfId="0" applyFont="1" applyBorder="1" applyAlignment="1">
      <alignment horizontal="center" vertical="center"/>
    </xf>
    <xf numFmtId="0" fontId="7" fillId="0" borderId="19" xfId="0" applyFont="1" applyBorder="1" applyAlignment="1">
      <alignment horizontal="center" vertical="center"/>
    </xf>
    <xf numFmtId="2" fontId="7" fillId="0" borderId="19" xfId="0" applyNumberFormat="1" applyFont="1" applyBorder="1" applyAlignment="1">
      <alignment horizontal="center" vertical="center"/>
    </xf>
    <xf numFmtId="164" fontId="7" fillId="0" borderId="19" xfId="0" applyNumberFormat="1"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67" fontId="7" fillId="0" borderId="11" xfId="0" applyNumberFormat="1" applyFont="1" applyFill="1" applyBorder="1" applyAlignment="1" applyProtection="1">
      <alignment horizontal="center" vertical="center"/>
      <protection locked="0"/>
    </xf>
    <xf numFmtId="10" fontId="7" fillId="0" borderId="45" xfId="0" applyNumberFormat="1" applyFont="1" applyBorder="1" applyAlignment="1">
      <alignment horizontal="center" vertical="center"/>
    </xf>
    <xf numFmtId="164" fontId="7" fillId="0" borderId="30" xfId="0" applyNumberFormat="1" applyFont="1" applyBorder="1" applyAlignment="1">
      <alignment horizontal="center" vertical="center"/>
    </xf>
    <xf numFmtId="167" fontId="7" fillId="0" borderId="30" xfId="0" applyNumberFormat="1" applyFont="1" applyFill="1" applyBorder="1" applyAlignment="1" applyProtection="1">
      <alignment horizontal="center" vertical="center"/>
      <protection locked="0"/>
    </xf>
    <xf numFmtId="2" fontId="7" fillId="0" borderId="52" xfId="0" applyNumberFormat="1" applyFont="1" applyBorder="1" applyAlignment="1">
      <alignment horizontal="center" vertical="center"/>
    </xf>
    <xf numFmtId="2" fontId="7" fillId="0" borderId="11" xfId="0" applyNumberFormat="1"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9" borderId="47" xfId="0" applyFont="1" applyFill="1" applyBorder="1" applyAlignment="1">
      <alignment horizontal="center" vertical="center"/>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3"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3"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167" fontId="7" fillId="15" borderId="11" xfId="0" applyNumberFormat="1" applyFont="1" applyFill="1" applyBorder="1" applyAlignment="1" applyProtection="1">
      <alignment horizontal="center" vertical="center"/>
      <protection locked="0"/>
    </xf>
    <xf numFmtId="167" fontId="7" fillId="0" borderId="30" xfId="0" applyNumberFormat="1" applyFont="1" applyFill="1" applyBorder="1" applyAlignment="1">
      <alignment horizontal="center" vertical="center"/>
    </xf>
    <xf numFmtId="164" fontId="7" fillId="0" borderId="58" xfId="0" applyNumberFormat="1" applyFont="1" applyBorder="1" applyAlignment="1">
      <alignment horizontal="center" vertical="center"/>
    </xf>
    <xf numFmtId="167" fontId="7" fillId="0" borderId="58" xfId="0" applyNumberFormat="1" applyFont="1" applyFill="1" applyBorder="1" applyAlignment="1" applyProtection="1">
      <alignment horizontal="center" vertical="center"/>
      <protection locked="0"/>
    </xf>
    <xf numFmtId="167" fontId="7" fillId="0" borderId="47" xfId="0" applyNumberFormat="1" applyFont="1" applyFill="1" applyBorder="1" applyAlignment="1" applyProtection="1">
      <alignment horizontal="center" vertical="center"/>
      <protection locked="0"/>
    </xf>
    <xf numFmtId="0" fontId="7" fillId="0" borderId="74" xfId="0" applyFont="1" applyBorder="1" applyAlignment="1">
      <alignment horizontal="center" vertical="center"/>
    </xf>
    <xf numFmtId="167" fontId="7" fillId="0" borderId="74" xfId="0" applyNumberFormat="1" applyFont="1" applyBorder="1" applyAlignment="1">
      <alignment horizontal="center" vertical="center"/>
    </xf>
    <xf numFmtId="167" fontId="7" fillId="15" borderId="30" xfId="0" applyNumberFormat="1" applyFont="1" applyFill="1" applyBorder="1" applyAlignment="1">
      <alignment horizontal="center" vertical="center"/>
    </xf>
    <xf numFmtId="167" fontId="7" fillId="15" borderId="74" xfId="0" applyNumberFormat="1" applyFont="1" applyFill="1" applyBorder="1" applyAlignment="1">
      <alignment horizontal="center" vertical="center"/>
    </xf>
    <xf numFmtId="167" fontId="7" fillId="15" borderId="11" xfId="0" applyNumberFormat="1" applyFont="1" applyFill="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4"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0" fontId="7" fillId="0" borderId="0" xfId="0" applyFont="1" applyFill="1" applyBorder="1" applyAlignment="1" applyProtection="1">
      <alignment vertical="center"/>
      <protection locked="0"/>
    </xf>
    <xf numFmtId="167" fontId="7" fillId="0" borderId="44" xfId="0" applyNumberFormat="1" applyFont="1" applyFill="1" applyBorder="1" applyAlignment="1" applyProtection="1">
      <alignment horizontal="center" vertical="center"/>
      <protection locked="0"/>
    </xf>
    <xf numFmtId="167" fontId="7" fillId="0" borderId="0" xfId="0" applyNumberFormat="1" applyFont="1" applyFill="1" applyBorder="1" applyAlignment="1" applyProtection="1">
      <alignment horizontal="center" vertical="center"/>
      <protection locked="0"/>
    </xf>
    <xf numFmtId="167" fontId="7" fillId="0" borderId="44"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2" fontId="7" fillId="0" borderId="44" xfId="0" applyNumberFormat="1" applyFont="1" applyFill="1" applyBorder="1" applyAlignment="1">
      <alignment horizontal="center" vertical="center"/>
    </xf>
    <xf numFmtId="2" fontId="7" fillId="0" borderId="0"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44" xfId="0" applyNumberFormat="1" applyFont="1" applyFill="1" applyBorder="1" applyAlignment="1" applyProtection="1">
      <alignment horizontal="center" vertical="center"/>
      <protection locked="0"/>
    </xf>
    <xf numFmtId="2" fontId="7" fillId="0" borderId="0" xfId="0" applyNumberFormat="1" applyFont="1" applyFill="1" applyBorder="1" applyAlignment="1" applyProtection="1">
      <alignment horizontal="center" vertical="center"/>
      <protection locked="0"/>
    </xf>
    <xf numFmtId="0" fontId="7" fillId="0" borderId="73" xfId="0" applyFont="1" applyBorder="1" applyAlignment="1">
      <alignment horizontal="center" vertical="center"/>
    </xf>
    <xf numFmtId="0" fontId="7" fillId="0" borderId="73" xfId="0" applyFont="1" applyFill="1" applyBorder="1" applyAlignment="1">
      <alignment horizontal="center" vertical="center"/>
    </xf>
    <xf numFmtId="0" fontId="7" fillId="8" borderId="20" xfId="0" applyNumberFormat="1" applyFont="1" applyFill="1" applyBorder="1" applyAlignment="1">
      <alignment horizontal="center" vertical="center"/>
    </xf>
    <xf numFmtId="0" fontId="7" fillId="0" borderId="47" xfId="0" applyFont="1" applyFill="1" applyBorder="1" applyAlignment="1">
      <alignment horizontal="center" vertical="center"/>
    </xf>
    <xf numFmtId="0" fontId="7" fillId="0" borderId="74"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4" xfId="0" applyNumberFormat="1" applyFont="1" applyFill="1" applyBorder="1" applyAlignment="1" applyProtection="1">
      <alignment horizontal="center" vertical="center"/>
    </xf>
    <xf numFmtId="0" fontId="7" fillId="0" borderId="78" xfId="0" applyFont="1" applyFill="1" applyBorder="1" applyAlignment="1">
      <alignment horizontal="center" vertical="center"/>
    </xf>
    <xf numFmtId="0" fontId="7" fillId="0" borderId="59"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9" xfId="0" applyFont="1" applyBorder="1" applyAlignment="1">
      <alignment horizontal="right" vertical="center"/>
    </xf>
    <xf numFmtId="0" fontId="7" fillId="0" borderId="79" xfId="0" applyFont="1" applyBorder="1" applyAlignment="1">
      <alignment horizontal="center" vertical="center"/>
    </xf>
    <xf numFmtId="0" fontId="7" fillId="0" borderId="4" xfId="0" applyFont="1" applyBorder="1" applyAlignment="1">
      <alignment horizontal="right" vertical="center"/>
    </xf>
    <xf numFmtId="0" fontId="7" fillId="0" borderId="80"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1" xfId="0" applyFont="1" applyBorder="1" applyAlignment="1">
      <alignment horizontal="center" vertical="center"/>
    </xf>
    <xf numFmtId="0" fontId="7" fillId="0" borderId="74" xfId="0" applyNumberFormat="1" applyFont="1" applyBorder="1" applyAlignment="1">
      <alignment horizontal="center" vertical="center"/>
    </xf>
    <xf numFmtId="0" fontId="9" fillId="0" borderId="74" xfId="0" applyNumberFormat="1" applyFont="1" applyBorder="1" applyAlignment="1">
      <alignment horizontal="center" vertical="center"/>
    </xf>
    <xf numFmtId="0" fontId="7" fillId="0" borderId="82" xfId="0" applyFont="1" applyBorder="1" applyAlignment="1">
      <alignment horizontal="right" vertical="center"/>
    </xf>
    <xf numFmtId="0" fontId="7" fillId="0" borderId="85" xfId="0" applyFont="1" applyBorder="1" applyAlignment="1">
      <alignment horizontal="center" vertical="center"/>
    </xf>
    <xf numFmtId="0" fontId="7" fillId="0" borderId="86" xfId="0"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9" fillId="0" borderId="89"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3" xfId="0" applyFont="1" applyBorder="1" applyAlignment="1">
      <alignment horizontal="right"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89" xfId="0" applyFont="1" applyFill="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96"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9" xfId="0" applyNumberFormat="1" applyFont="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9" xfId="0" applyFont="1" applyFill="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9" fillId="0" borderId="99" xfId="0" applyNumberFormat="1" applyFont="1" applyBorder="1" applyAlignment="1">
      <alignment horizontal="center" vertical="center"/>
    </xf>
    <xf numFmtId="0" fontId="6" fillId="0" borderId="101" xfId="0" applyFont="1" applyBorder="1" applyAlignment="1">
      <alignment vertical="center"/>
    </xf>
    <xf numFmtId="0" fontId="15" fillId="0" borderId="101" xfId="0" applyFont="1" applyBorder="1" applyAlignment="1">
      <alignment vertical="center"/>
    </xf>
    <xf numFmtId="0" fontId="7" fillId="0" borderId="84"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9" xfId="0" applyFont="1" applyBorder="1" applyAlignment="1">
      <alignment vertical="center"/>
    </xf>
    <xf numFmtId="0" fontId="7" fillId="0" borderId="105" xfId="0" applyFont="1" applyBorder="1" applyAlignment="1">
      <alignment vertical="center"/>
    </xf>
    <xf numFmtId="0" fontId="7" fillId="0" borderId="101" xfId="0" applyFont="1" applyBorder="1" applyAlignment="1">
      <alignment vertical="center"/>
    </xf>
    <xf numFmtId="0" fontId="7" fillId="0" borderId="106"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3" xfId="0" applyFont="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94" xfId="0" applyFont="1" applyBorder="1" applyAlignment="1">
      <alignment vertical="center"/>
    </xf>
    <xf numFmtId="0" fontId="7" fillId="0" borderId="87" xfId="0" applyFont="1" applyBorder="1" applyAlignment="1">
      <alignment horizontal="center" vertical="center"/>
    </xf>
    <xf numFmtId="0" fontId="7" fillId="0" borderId="89" xfId="0" applyFont="1" applyBorder="1" applyAlignment="1">
      <alignment horizontal="center" vertical="center"/>
    </xf>
    <xf numFmtId="0" fontId="7" fillId="0" borderId="107"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2" xfId="0" applyFont="1" applyBorder="1" applyAlignment="1">
      <alignment horizontal="center" vertical="center"/>
    </xf>
    <xf numFmtId="0" fontId="7" fillId="0" borderId="114" xfId="0" applyFont="1" applyBorder="1" applyAlignment="1">
      <alignment horizontal="center" vertical="center"/>
    </xf>
    <xf numFmtId="0" fontId="7" fillId="0" borderId="108" xfId="0" applyFont="1" applyBorder="1" applyAlignment="1">
      <alignment horizontal="center" vertical="center"/>
    </xf>
    <xf numFmtId="10" fontId="7" fillId="0" borderId="109" xfId="9" applyNumberFormat="1" applyFont="1" applyBorder="1" applyAlignment="1">
      <alignment horizontal="center" vertical="center"/>
    </xf>
    <xf numFmtId="10" fontId="7" fillId="0" borderId="111" xfId="9" applyNumberFormat="1" applyFont="1" applyBorder="1" applyAlignment="1">
      <alignment horizontal="center" vertical="center"/>
    </xf>
    <xf numFmtId="0" fontId="7" fillId="0" borderId="113" xfId="0" applyFont="1" applyBorder="1" applyAlignment="1">
      <alignment horizontal="center" vertical="center"/>
    </xf>
    <xf numFmtId="10" fontId="7" fillId="0" borderId="114" xfId="9" applyNumberFormat="1" applyFont="1" applyBorder="1" applyAlignment="1">
      <alignment horizontal="center" vertical="center"/>
    </xf>
    <xf numFmtId="10" fontId="7" fillId="0" borderId="115" xfId="9" applyNumberFormat="1" applyFont="1" applyBorder="1" applyAlignment="1">
      <alignment horizontal="center" vertical="center"/>
    </xf>
    <xf numFmtId="164" fontId="7" fillId="0" borderId="74" xfId="0" applyNumberFormat="1" applyFont="1" applyBorder="1" applyAlignment="1">
      <alignment horizontal="center" vertical="center"/>
    </xf>
    <xf numFmtId="0" fontId="7" fillId="0" borderId="96" xfId="0" applyFont="1" applyBorder="1" applyAlignment="1">
      <alignment vertical="center"/>
    </xf>
    <xf numFmtId="164" fontId="7" fillId="0" borderId="85" xfId="0" applyNumberFormat="1" applyFont="1" applyBorder="1" applyAlignment="1">
      <alignment horizontal="center" vertical="center"/>
    </xf>
    <xf numFmtId="164" fontId="7" fillId="0" borderId="86"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7"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64" fontId="7" fillId="0" borderId="96" xfId="0"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0" fontId="7" fillId="0" borderId="89" xfId="9" applyNumberFormat="1" applyFont="1" applyBorder="1" applyAlignment="1">
      <alignment horizontal="center" vertical="center"/>
    </xf>
    <xf numFmtId="164" fontId="7" fillId="0" borderId="83" xfId="0" applyNumberFormat="1" applyFont="1" applyBorder="1" applyAlignment="1">
      <alignment horizontal="center" vertical="center"/>
    </xf>
    <xf numFmtId="0" fontId="7" fillId="0" borderId="98" xfId="0" applyFont="1" applyBorder="1" applyAlignment="1">
      <alignment horizontal="center" vertical="center"/>
    </xf>
    <xf numFmtId="10" fontId="7" fillId="0" borderId="85" xfId="9" applyNumberFormat="1" applyFont="1" applyBorder="1" applyAlignment="1">
      <alignment horizontal="center" vertical="center"/>
    </xf>
    <xf numFmtId="10" fontId="7" fillId="0" borderId="116" xfId="9" applyNumberFormat="1" applyFont="1" applyBorder="1" applyAlignment="1">
      <alignment horizontal="center" vertical="center"/>
    </xf>
    <xf numFmtId="10" fontId="7" fillId="0" borderId="83"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96" xfId="0" applyFont="1" applyBorder="1" applyAlignment="1">
      <alignment horizontal="center" vertical="center"/>
    </xf>
    <xf numFmtId="10" fontId="7" fillId="0" borderId="86" xfId="9" applyNumberFormat="1" applyFont="1" applyBorder="1" applyAlignment="1">
      <alignment horizontal="center" vertical="center"/>
    </xf>
    <xf numFmtId="0" fontId="7" fillId="0" borderId="94" xfId="0" applyFont="1" applyBorder="1" applyAlignment="1">
      <alignment horizontal="right" vertical="center"/>
    </xf>
    <xf numFmtId="0" fontId="7" fillId="0" borderId="85" xfId="0" applyFont="1" applyBorder="1" applyAlignment="1">
      <alignment horizontal="right" vertical="center"/>
    </xf>
    <xf numFmtId="0" fontId="7" fillId="0" borderId="87" xfId="0" applyFont="1" applyBorder="1" applyAlignment="1">
      <alignment horizontal="right"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164" fontId="7" fillId="0" borderId="99" xfId="0" applyNumberFormat="1" applyFont="1" applyBorder="1" applyAlignment="1">
      <alignment horizontal="center" vertical="center"/>
    </xf>
    <xf numFmtId="0" fontId="7" fillId="0" borderId="122" xfId="0" applyFont="1" applyBorder="1" applyAlignment="1">
      <alignment horizontal="center" vertical="center"/>
    </xf>
    <xf numFmtId="0" fontId="7" fillId="0" borderId="123" xfId="0" applyFont="1" applyBorder="1" applyAlignment="1">
      <alignment vertical="center"/>
    </xf>
    <xf numFmtId="0" fontId="7" fillId="0" borderId="101" xfId="0" applyFont="1" applyBorder="1" applyAlignment="1">
      <alignment horizontal="right" vertical="center"/>
    </xf>
    <xf numFmtId="0" fontId="7" fillId="0" borderId="101" xfId="0" applyFont="1" applyBorder="1" applyAlignment="1">
      <alignment horizontal="center" vertical="center"/>
    </xf>
    <xf numFmtId="0" fontId="9" fillId="0" borderId="101" xfId="0" applyFont="1" applyBorder="1" applyAlignment="1">
      <alignment vertical="center"/>
    </xf>
    <xf numFmtId="10" fontId="7" fillId="0" borderId="117" xfId="9" applyNumberFormat="1" applyFont="1" applyBorder="1" applyAlignment="1">
      <alignment horizontal="center" vertical="center"/>
    </xf>
    <xf numFmtId="0" fontId="7" fillId="0" borderId="124" xfId="0" applyFont="1" applyFill="1" applyBorder="1" applyAlignment="1">
      <alignment horizontal="center" vertical="center"/>
    </xf>
    <xf numFmtId="0" fontId="7" fillId="0" borderId="83" xfId="0" applyFont="1" applyFill="1" applyBorder="1" applyAlignment="1">
      <alignment horizontal="center" vertical="center"/>
    </xf>
    <xf numFmtId="0" fontId="18" fillId="0" borderId="0" xfId="0" applyFont="1" applyBorder="1" applyAlignment="1">
      <alignment vertical="center"/>
    </xf>
    <xf numFmtId="0" fontId="7" fillId="0" borderId="115" xfId="0" applyFont="1" applyBorder="1" applyAlignment="1">
      <alignment horizontal="center" vertical="center"/>
    </xf>
    <xf numFmtId="0" fontId="7" fillId="0" borderId="125" xfId="0" applyFont="1" applyBorder="1" applyAlignment="1">
      <alignment horizontal="center" vertical="center"/>
    </xf>
    <xf numFmtId="0" fontId="7" fillId="0" borderId="115" xfId="0" applyFont="1" applyFill="1" applyBorder="1" applyAlignment="1">
      <alignment horizontal="center" vertical="center"/>
    </xf>
    <xf numFmtId="0" fontId="7" fillId="0" borderId="125" xfId="0" applyFont="1" applyFill="1" applyBorder="1" applyAlignment="1">
      <alignment horizontal="center" vertical="center"/>
    </xf>
    <xf numFmtId="0" fontId="7" fillId="0" borderId="126" xfId="0" applyFont="1" applyBorder="1" applyAlignment="1">
      <alignment horizontal="center" vertical="center"/>
    </xf>
    <xf numFmtId="2" fontId="7" fillId="0" borderId="95" xfId="0" applyNumberFormat="1" applyFont="1" applyBorder="1" applyAlignment="1">
      <alignment horizontal="center" vertical="center"/>
    </xf>
    <xf numFmtId="167" fontId="7" fillId="0" borderId="95" xfId="0" applyNumberFormat="1" applyFont="1" applyBorder="1" applyAlignment="1">
      <alignment horizontal="center" vertical="center"/>
    </xf>
    <xf numFmtId="10" fontId="7" fillId="0" borderId="96" xfId="9" applyNumberFormat="1" applyFont="1" applyBorder="1" applyAlignment="1">
      <alignment horizontal="center" vertical="center"/>
    </xf>
    <xf numFmtId="0" fontId="7" fillId="0" borderId="127" xfId="0" applyFont="1" applyBorder="1" applyAlignment="1">
      <alignment horizontal="center" vertical="center"/>
    </xf>
    <xf numFmtId="0" fontId="7" fillId="0" borderId="127" xfId="0" applyFont="1" applyFill="1" applyBorder="1" applyAlignment="1">
      <alignment horizontal="center" vertical="center"/>
    </xf>
    <xf numFmtId="0" fontId="7" fillId="0" borderId="120" xfId="0" applyFont="1" applyFill="1" applyBorder="1" applyAlignment="1">
      <alignment horizontal="center" vertical="center"/>
    </xf>
    <xf numFmtId="0" fontId="7" fillId="0" borderId="88" xfId="0" applyFont="1" applyBorder="1" applyAlignment="1">
      <alignment horizontal="center" vertical="center"/>
    </xf>
    <xf numFmtId="2" fontId="7" fillId="0" borderId="88" xfId="0" applyNumberFormat="1" applyFont="1" applyBorder="1" applyAlignment="1">
      <alignment horizontal="center" vertical="center"/>
    </xf>
    <xf numFmtId="167" fontId="7" fillId="0" borderId="88" xfId="0" applyNumberFormat="1" applyFont="1" applyBorder="1" applyAlignment="1">
      <alignment horizontal="center" vertical="center"/>
    </xf>
    <xf numFmtId="2" fontId="7" fillId="0" borderId="98" xfId="0" applyNumberFormat="1" applyFont="1" applyBorder="1" applyAlignment="1">
      <alignment horizontal="center" vertical="center"/>
    </xf>
    <xf numFmtId="167" fontId="7" fillId="0" borderId="98" xfId="0" applyNumberFormat="1" applyFont="1" applyBorder="1" applyAlignment="1">
      <alignment horizontal="center" vertical="center"/>
    </xf>
    <xf numFmtId="10" fontId="7" fillId="0" borderId="99" xfId="9" applyNumberFormat="1" applyFont="1" applyBorder="1" applyAlignment="1">
      <alignment horizontal="center" vertical="center"/>
    </xf>
    <xf numFmtId="0" fontId="7" fillId="0" borderId="120" xfId="0" applyFont="1" applyBorder="1" applyAlignment="1">
      <alignment horizontal="center" vertical="center"/>
    </xf>
    <xf numFmtId="0" fontId="7" fillId="0" borderId="126" xfId="0" applyFont="1" applyFill="1" applyBorder="1" applyAlignment="1">
      <alignment horizontal="center" vertical="center"/>
    </xf>
    <xf numFmtId="0" fontId="7" fillId="0" borderId="118" xfId="0" applyFont="1" applyBorder="1" applyAlignment="1">
      <alignment horizontal="right" vertical="center"/>
    </xf>
    <xf numFmtId="0" fontId="7" fillId="0" borderId="84" xfId="0" applyFont="1" applyBorder="1" applyAlignment="1">
      <alignment horizontal="right"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87" xfId="0" applyNumberFormat="1" applyFont="1" applyBorder="1" applyAlignment="1">
      <alignment horizontal="center" vertical="center"/>
    </xf>
    <xf numFmtId="2" fontId="7" fillId="0" borderId="89" xfId="0" applyNumberFormat="1" applyFont="1" applyBorder="1" applyAlignment="1">
      <alignment horizontal="center" vertical="center"/>
    </xf>
    <xf numFmtId="2" fontId="7" fillId="0" borderId="97" xfId="0" applyNumberFormat="1" applyFont="1" applyBorder="1" applyAlignment="1">
      <alignment horizontal="center" vertical="center"/>
    </xf>
    <xf numFmtId="0" fontId="7" fillId="0" borderId="103" xfId="0" applyFont="1" applyFill="1" applyBorder="1" applyAlignment="1">
      <alignment horizontal="center" vertical="center"/>
    </xf>
    <xf numFmtId="2" fontId="7" fillId="0" borderId="129" xfId="0" applyNumberFormat="1" applyFont="1" applyBorder="1" applyAlignment="1">
      <alignment horizontal="center" vertical="center"/>
    </xf>
    <xf numFmtId="2" fontId="7" fillId="0" borderId="82"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94" xfId="0" applyNumberFormat="1" applyFont="1" applyBorder="1" applyAlignment="1">
      <alignment horizontal="center" vertical="center"/>
    </xf>
    <xf numFmtId="0" fontId="7" fillId="0" borderId="5" xfId="0" applyFont="1" applyFill="1" applyBorder="1" applyAlignment="1">
      <alignment horizontal="center" vertical="center"/>
    </xf>
    <xf numFmtId="0" fontId="7" fillId="0" borderId="79" xfId="0" applyFont="1" applyBorder="1" applyAlignment="1">
      <alignment vertical="center"/>
    </xf>
    <xf numFmtId="2" fontId="7" fillId="0" borderId="131"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2"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6" borderId="130" xfId="9" applyNumberFormat="1" applyFont="1" applyFill="1" applyBorder="1" applyAlignment="1">
      <alignment horizontal="center" vertical="center"/>
    </xf>
    <xf numFmtId="10" fontId="7" fillId="16" borderId="88" xfId="9" applyNumberFormat="1" applyFont="1" applyFill="1" applyBorder="1" applyAlignment="1">
      <alignment horizontal="center" vertical="center"/>
    </xf>
    <xf numFmtId="0" fontId="7" fillId="0" borderId="77" xfId="0" applyFont="1" applyBorder="1" applyAlignment="1">
      <alignment vertical="center"/>
    </xf>
    <xf numFmtId="0" fontId="7" fillId="0" borderId="50" xfId="0" applyFont="1" applyBorder="1" applyAlignment="1">
      <alignment horizontal="center" vertical="center"/>
    </xf>
    <xf numFmtId="2" fontId="7" fillId="0" borderId="119"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2" xfId="0" applyNumberFormat="1" applyFont="1" applyBorder="1" applyAlignment="1">
      <alignment horizontal="center" vertical="center"/>
    </xf>
    <xf numFmtId="2" fontId="7" fillId="0" borderId="100" xfId="0" applyNumberFormat="1" applyFont="1" applyBorder="1" applyAlignment="1">
      <alignment horizontal="center" vertical="center"/>
    </xf>
    <xf numFmtId="10" fontId="7" fillId="16" borderId="92" xfId="9" applyNumberFormat="1" applyFont="1" applyFill="1" applyBorder="1" applyAlignment="1">
      <alignment horizontal="center" vertical="center"/>
    </xf>
    <xf numFmtId="0" fontId="7" fillId="0" borderId="90" xfId="0" applyFont="1" applyBorder="1" applyAlignment="1">
      <alignment horizontal="center" vertical="center"/>
    </xf>
    <xf numFmtId="0" fontId="7" fillId="0" borderId="121" xfId="0" applyFont="1" applyBorder="1" applyAlignment="1">
      <alignment horizontal="center" vertical="center"/>
    </xf>
    <xf numFmtId="0" fontId="7" fillId="0" borderId="87" xfId="0" applyFont="1" applyBorder="1" applyAlignment="1" applyProtection="1">
      <alignment horizontal="center" vertical="center"/>
      <protection locked="0"/>
    </xf>
    <xf numFmtId="164" fontId="7" fillId="0" borderId="107" xfId="0" applyNumberFormat="1" applyFont="1" applyBorder="1" applyAlignment="1" applyProtection="1">
      <alignment horizontal="center" vertical="center"/>
      <protection locked="0"/>
    </xf>
    <xf numFmtId="164" fontId="7" fillId="0" borderId="112" xfId="0" applyNumberFormat="1" applyFont="1" applyBorder="1" applyAlignment="1" applyProtection="1">
      <alignment horizontal="center" vertical="center"/>
      <protection locked="0"/>
    </xf>
    <xf numFmtId="10" fontId="7" fillId="0" borderId="133" xfId="0" applyNumberFormat="1" applyFont="1" applyFill="1" applyBorder="1" applyAlignment="1">
      <alignment horizontal="center" vertical="center"/>
    </xf>
    <xf numFmtId="0" fontId="7" fillId="0" borderId="83" xfId="2" applyFont="1" applyFill="1" applyBorder="1" applyAlignment="1">
      <alignment horizontal="center" vertical="center"/>
    </xf>
    <xf numFmtId="10" fontId="7" fillId="0" borderId="134" xfId="0" applyNumberFormat="1" applyFont="1" applyFill="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horizontal="center" vertical="center"/>
    </xf>
    <xf numFmtId="0" fontId="7" fillId="0" borderId="137" xfId="0" applyFont="1" applyBorder="1" applyAlignment="1">
      <alignment horizontal="center" vertical="center"/>
    </xf>
    <xf numFmtId="0" fontId="7" fillId="0" borderId="138" xfId="0" applyFont="1" applyBorder="1" applyAlignment="1">
      <alignment vertical="center"/>
    </xf>
    <xf numFmtId="0" fontId="12" fillId="0" borderId="0" xfId="0" applyFont="1" applyFill="1" applyBorder="1" applyAlignment="1">
      <alignment vertical="center"/>
    </xf>
    <xf numFmtId="0" fontId="7" fillId="0" borderId="5" xfId="0" applyFont="1" applyFill="1" applyBorder="1" applyAlignment="1">
      <alignment horizontal="center"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0" fillId="0" borderId="0" xfId="0" applyBorder="1" applyAlignment="1" applyProtection="1">
      <alignment horizontal="center" vertical="center"/>
    </xf>
    <xf numFmtId="0" fontId="22" fillId="0" borderId="0" xfId="0" applyFont="1" applyBorder="1" applyAlignment="1" applyProtection="1">
      <alignment horizontal="center" vertical="center"/>
    </xf>
    <xf numFmtId="0" fontId="23" fillId="0" borderId="14" xfId="0" applyFont="1" applyBorder="1" applyAlignment="1">
      <alignment horizontal="left" vertical="center"/>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24" fillId="0" borderId="2" xfId="0" applyFont="1" applyBorder="1" applyAlignment="1" applyProtection="1">
      <alignment horizontal="left" vertical="center"/>
    </xf>
    <xf numFmtId="0" fontId="25" fillId="0" borderId="2" xfId="0" applyFont="1" applyBorder="1" applyAlignment="1" applyProtection="1">
      <alignment horizontal="left" vertical="center"/>
    </xf>
    <xf numFmtId="0" fontId="0" fillId="0" borderId="3" xfId="0" applyBorder="1" applyAlignment="1" applyProtection="1">
      <alignment horizontal="center" vertical="center"/>
    </xf>
    <xf numFmtId="0" fontId="0" fillId="0" borderId="7" xfId="0" applyBorder="1" applyAlignment="1" applyProtection="1">
      <alignment horizontal="left" vertical="center"/>
    </xf>
    <xf numFmtId="0" fontId="23" fillId="0" borderId="0" xfId="0" applyFont="1" applyBorder="1" applyAlignment="1" applyProtection="1">
      <alignment horizontal="right" vertical="center"/>
    </xf>
    <xf numFmtId="174" fontId="23" fillId="18" borderId="74" xfId="10" applyNumberFormat="1" applyFont="1" applyFill="1" applyBorder="1" applyProtection="1">
      <alignment horizontal="left" vertical="center"/>
      <protection locked="0"/>
    </xf>
    <xf numFmtId="0" fontId="24" fillId="0" borderId="81" xfId="0" applyFont="1" applyBorder="1" applyAlignment="1" applyProtection="1">
      <alignment horizontal="left" vertical="center"/>
    </xf>
    <xf numFmtId="0" fontId="23" fillId="0" borderId="81"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7" xfId="0" applyFont="1" applyBorder="1" applyAlignment="1" applyProtection="1">
      <alignment horizontal="left" vertical="center"/>
    </xf>
    <xf numFmtId="0" fontId="27" fillId="0" borderId="0" xfId="0" applyFont="1" applyBorder="1" applyAlignment="1">
      <alignment horizontal="right" vertical="center"/>
    </xf>
    <xf numFmtId="174" fontId="28" fillId="0" borderId="81" xfId="0" applyNumberFormat="1" applyFont="1" applyBorder="1" applyAlignment="1" applyProtection="1">
      <alignment horizontal="center" vertical="center"/>
    </xf>
    <xf numFmtId="174" fontId="29" fillId="0" borderId="81" xfId="0" applyNumberFormat="1" applyFont="1" applyBorder="1" applyAlignment="1" applyProtection="1">
      <alignment horizontal="center" vertical="center"/>
    </xf>
    <xf numFmtId="174" fontId="29" fillId="0" borderId="93" xfId="0" applyNumberFormat="1" applyFont="1" applyBorder="1" applyAlignment="1" applyProtection="1">
      <alignment horizontal="center" vertical="center"/>
    </xf>
    <xf numFmtId="0" fontId="30" fillId="0" borderId="81" xfId="0" applyFont="1" applyBorder="1" applyAlignment="1" applyProtection="1">
      <alignment horizontal="left" vertical="center"/>
    </xf>
    <xf numFmtId="0" fontId="23" fillId="0" borderId="81" xfId="0" applyFont="1" applyBorder="1" applyAlignment="1" applyProtection="1">
      <alignment horizontal="left" vertical="center"/>
    </xf>
    <xf numFmtId="0" fontId="23" fillId="0" borderId="8" xfId="0" applyFont="1" applyBorder="1" applyAlignment="1" applyProtection="1">
      <alignment horizontal="left" vertical="center"/>
    </xf>
    <xf numFmtId="0" fontId="31" fillId="0" borderId="7" xfId="0" applyFont="1" applyBorder="1" applyAlignment="1" applyProtection="1">
      <alignment horizontal="left" vertical="center"/>
    </xf>
    <xf numFmtId="0" fontId="23" fillId="0" borderId="0" xfId="0" applyFont="1" applyBorder="1" applyAlignment="1">
      <alignment horizontal="left" vertical="center"/>
    </xf>
    <xf numFmtId="174" fontId="0" fillId="0" borderId="0" xfId="0" applyNumberFormat="1" applyBorder="1" applyAlignment="1">
      <alignment horizontal="center"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horizontal="left" vertical="center"/>
    </xf>
    <xf numFmtId="0" fontId="23" fillId="0" borderId="13" xfId="0" applyFont="1" applyBorder="1" applyAlignment="1" applyProtection="1">
      <alignment horizontal="left" vertical="center"/>
    </xf>
    <xf numFmtId="0" fontId="23" fillId="0" borderId="14" xfId="0" applyFont="1" applyBorder="1" applyAlignment="1" applyProtection="1">
      <alignment horizontal="center" vertical="center"/>
    </xf>
    <xf numFmtId="174" fontId="23" fillId="0" borderId="14" xfId="0" applyNumberFormat="1" applyFont="1" applyBorder="1" applyAlignment="1" applyProtection="1">
      <alignment horizontal="center" vertical="center"/>
    </xf>
    <xf numFmtId="0" fontId="24" fillId="0" borderId="14" xfId="0" applyFont="1" applyBorder="1" applyAlignment="1" applyProtection="1">
      <alignment horizontal="left" vertical="center"/>
    </xf>
    <xf numFmtId="0" fontId="23" fillId="0" borderId="15" xfId="0" applyFont="1" applyBorder="1" applyAlignment="1" applyProtection="1">
      <alignment horizontal="center" vertical="center"/>
    </xf>
    <xf numFmtId="0" fontId="23" fillId="0" borderId="139" xfId="0" applyFont="1" applyBorder="1" applyAlignment="1" applyProtection="1">
      <alignment horizontal="center" vertical="center"/>
    </xf>
    <xf numFmtId="1" fontId="23" fillId="0" borderId="0" xfId="0" applyNumberFormat="1" applyFont="1" applyBorder="1" applyAlignment="1" applyProtection="1">
      <alignment horizontal="right" vertical="center"/>
    </xf>
    <xf numFmtId="1" fontId="23" fillId="0" borderId="0" xfId="0" applyNumberFormat="1" applyFont="1" applyBorder="1" applyAlignment="1" applyProtection="1">
      <alignment horizontal="center" vertical="center"/>
    </xf>
    <xf numFmtId="174" fontId="28" fillId="0" borderId="0" xfId="0" applyNumberFormat="1" applyFont="1" applyBorder="1" applyAlignment="1" applyProtection="1">
      <alignment horizontal="center" vertical="center"/>
    </xf>
    <xf numFmtId="174" fontId="29" fillId="0" borderId="0" xfId="0" applyNumberFormat="1" applyFont="1" applyBorder="1" applyAlignment="1" applyProtection="1">
      <alignment horizontal="center" vertical="center"/>
    </xf>
    <xf numFmtId="174" fontId="29" fillId="0" borderId="124" xfId="0" applyNumberFormat="1" applyFont="1" applyBorder="1" applyAlignment="1" applyProtection="1">
      <alignment horizontal="center" vertical="center"/>
    </xf>
    <xf numFmtId="0" fontId="30" fillId="0" borderId="0" xfId="0" applyFont="1" applyBorder="1" applyAlignment="1" applyProtection="1">
      <alignment horizontal="left" vertical="center"/>
    </xf>
    <xf numFmtId="0" fontId="24" fillId="0" borderId="0" xfId="0" applyFont="1" applyBorder="1" applyAlignment="1" applyProtection="1">
      <alignment horizontal="left" vertical="center"/>
    </xf>
    <xf numFmtId="0" fontId="26" fillId="0" borderId="0" xfId="0" applyFont="1" applyBorder="1" applyAlignment="1" applyProtection="1">
      <alignment horizontal="left" vertical="center"/>
    </xf>
    <xf numFmtId="174" fontId="23" fillId="0" borderId="0" xfId="10" applyNumberFormat="1" applyFont="1" applyFill="1" applyBorder="1" applyProtection="1">
      <alignment horizontal="left" vertical="center"/>
      <protection locked="0"/>
    </xf>
    <xf numFmtId="0" fontId="24" fillId="0" borderId="0" xfId="0" applyFont="1" applyFill="1" applyBorder="1" applyAlignment="1" applyProtection="1">
      <alignment horizontal="left" vertical="center"/>
    </xf>
    <xf numFmtId="0" fontId="26" fillId="0" borderId="0" xfId="0" applyFont="1" applyFill="1" applyBorder="1" applyAlignment="1" applyProtection="1">
      <alignment horizontal="left" vertical="center"/>
    </xf>
    <xf numFmtId="0" fontId="23" fillId="0" borderId="0" xfId="0" applyFont="1" applyFill="1" applyBorder="1" applyAlignment="1" applyProtection="1">
      <alignment horizontal="center" vertical="center"/>
    </xf>
    <xf numFmtId="174" fontId="28" fillId="0" borderId="0" xfId="0" applyNumberFormat="1" applyFont="1" applyFill="1" applyBorder="1" applyAlignment="1" applyProtection="1">
      <alignment horizontal="center" vertical="center"/>
    </xf>
    <xf numFmtId="174" fontId="29" fillId="0" borderId="0" xfId="0" applyNumberFormat="1" applyFont="1" applyFill="1" applyBorder="1" applyAlignment="1" applyProtection="1">
      <alignment horizontal="center" vertical="center"/>
    </xf>
    <xf numFmtId="0" fontId="23" fillId="0" borderId="0" xfId="0" applyFont="1" applyFill="1" applyBorder="1" applyAlignment="1" applyProtection="1">
      <alignment horizontal="left" vertical="center"/>
    </xf>
    <xf numFmtId="0" fontId="32" fillId="0" borderId="0" xfId="0" applyFont="1" applyFill="1" applyBorder="1" applyAlignment="1" applyProtection="1">
      <alignment horizontal="center" vertical="center"/>
    </xf>
    <xf numFmtId="174" fontId="24" fillId="0" borderId="0" xfId="0" applyNumberFormat="1" applyFont="1" applyFill="1" applyBorder="1" applyAlignment="1" applyProtection="1">
      <alignment horizontal="left" vertical="center"/>
    </xf>
    <xf numFmtId="0" fontId="33" fillId="0" borderId="0" xfId="0" applyFont="1" applyFill="1" applyBorder="1" applyAlignment="1" applyProtection="1">
      <alignment horizontal="left" vertical="center"/>
    </xf>
    <xf numFmtId="0" fontId="26" fillId="0" borderId="128" xfId="0" applyFont="1" applyBorder="1" applyAlignment="1" applyProtection="1">
      <alignment horizontal="left" vertical="center"/>
    </xf>
    <xf numFmtId="174" fontId="29" fillId="0" borderId="140" xfId="0" applyNumberFormat="1" applyFont="1" applyBorder="1" applyAlignment="1" applyProtection="1">
      <alignment horizontal="center" vertical="center"/>
    </xf>
    <xf numFmtId="174" fontId="29" fillId="0" borderId="141" xfId="0" applyNumberFormat="1" applyFont="1" applyBorder="1" applyAlignment="1" applyProtection="1">
      <alignment horizontal="center" vertical="center"/>
    </xf>
    <xf numFmtId="0" fontId="23" fillId="0" borderId="14" xfId="0" applyFont="1" applyBorder="1" applyAlignment="1" applyProtection="1">
      <alignment horizontal="left" vertical="center"/>
    </xf>
    <xf numFmtId="0" fontId="24" fillId="0" borderId="14" xfId="0" applyFont="1" applyBorder="1" applyAlignment="1" applyProtection="1">
      <alignment vertical="center"/>
    </xf>
    <xf numFmtId="0" fontId="34" fillId="0" borderId="0" xfId="0" applyFont="1" applyBorder="1" applyAlignment="1" applyProtection="1">
      <alignment horizontal="right" vertical="center"/>
    </xf>
    <xf numFmtId="0" fontId="7" fillId="0" borderId="0" xfId="0" applyFont="1" applyAlignment="1">
      <alignment horizontal="center" vertical="center"/>
    </xf>
    <xf numFmtId="0" fontId="23" fillId="0" borderId="142" xfId="0" applyFont="1" applyBorder="1" applyAlignment="1" applyProtection="1">
      <alignment horizontal="center" vertical="center"/>
    </xf>
    <xf numFmtId="0" fontId="7" fillId="0" borderId="142" xfId="0" applyFont="1" applyBorder="1" applyAlignment="1">
      <alignment vertical="center"/>
    </xf>
    <xf numFmtId="0" fontId="23" fillId="0" borderId="142" xfId="0" applyFont="1" applyBorder="1" applyAlignment="1">
      <alignment horizontal="center" vertical="center"/>
    </xf>
    <xf numFmtId="0" fontId="6" fillId="0" borderId="0" xfId="0" applyFont="1" applyBorder="1" applyAlignment="1">
      <alignment horizontal="right" vertical="center"/>
    </xf>
    <xf numFmtId="0" fontId="7" fillId="0" borderId="76" xfId="0" applyFont="1" applyBorder="1" applyAlignment="1">
      <alignment vertical="center"/>
    </xf>
    <xf numFmtId="0" fontId="7" fillId="0" borderId="91" xfId="0" applyFont="1" applyBorder="1" applyAlignment="1">
      <alignment horizontal="center" vertical="center"/>
    </xf>
    <xf numFmtId="0" fontId="7" fillId="0" borderId="91" xfId="0" applyNumberFormat="1" applyFont="1" applyBorder="1" applyAlignment="1">
      <alignment horizontal="center" vertical="center"/>
    </xf>
    <xf numFmtId="0" fontId="7" fillId="0" borderId="92" xfId="0" applyNumberFormat="1" applyFont="1" applyBorder="1" applyAlignment="1">
      <alignment horizontal="center" vertical="center"/>
    </xf>
    <xf numFmtId="0" fontId="7" fillId="0" borderId="100" xfId="0" applyNumberFormat="1" applyFont="1" applyBorder="1" applyAlignment="1">
      <alignment horizontal="center" vertical="center"/>
    </xf>
    <xf numFmtId="0" fontId="7" fillId="0" borderId="70" xfId="0" applyFont="1" applyBorder="1" applyAlignment="1">
      <alignment horizontal="left" vertical="center"/>
    </xf>
    <xf numFmtId="0" fontId="35" fillId="0" borderId="0" xfId="11"/>
    <xf numFmtId="0" fontId="38" fillId="0" borderId="0" xfId="11" applyFont="1" applyFill="1" applyBorder="1" applyAlignment="1">
      <alignment horizontal="center"/>
    </xf>
    <xf numFmtId="0" fontId="38" fillId="0" borderId="0" xfId="11" applyFont="1" applyFill="1"/>
    <xf numFmtId="0" fontId="38" fillId="0" borderId="74" xfId="11" applyFont="1" applyFill="1" applyBorder="1" applyAlignment="1">
      <alignment horizontal="center"/>
    </xf>
    <xf numFmtId="0" fontId="35" fillId="0" borderId="0" xfId="11" applyFill="1"/>
    <xf numFmtId="0" fontId="40" fillId="0" borderId="0" xfId="11" applyFont="1" applyFill="1"/>
    <xf numFmtId="164" fontId="40" fillId="0" borderId="75" xfId="11" applyNumberFormat="1" applyFont="1" applyFill="1" applyBorder="1" applyAlignment="1">
      <alignment horizontal="center"/>
    </xf>
    <xf numFmtId="164" fontId="35" fillId="0" borderId="74" xfId="11" applyNumberFormat="1" applyFont="1" applyFill="1" applyBorder="1" applyAlignment="1">
      <alignment horizontal="center"/>
    </xf>
    <xf numFmtId="0" fontId="40" fillId="0" borderId="0" xfId="11" applyFont="1" applyFill="1" applyAlignment="1">
      <alignment horizontal="right"/>
    </xf>
    <xf numFmtId="2" fontId="40" fillId="0" borderId="0" xfId="11" applyNumberFormat="1" applyFont="1" applyFill="1" applyAlignment="1"/>
    <xf numFmtId="0" fontId="39" fillId="0" borderId="0" xfId="11" applyFont="1" applyFill="1" applyAlignment="1">
      <alignment vertical="top"/>
    </xf>
    <xf numFmtId="0" fontId="38" fillId="0" borderId="93" xfId="11" applyFont="1" applyFill="1" applyBorder="1" applyAlignment="1">
      <alignment horizontal="center"/>
    </xf>
    <xf numFmtId="0" fontId="38" fillId="0" borderId="0" xfId="11" applyFont="1" applyFill="1" applyAlignment="1">
      <alignment horizontal="center"/>
    </xf>
    <xf numFmtId="0" fontId="39" fillId="0" borderId="0" xfId="11" applyFont="1" applyFill="1"/>
    <xf numFmtId="0" fontId="40" fillId="0" borderId="81" xfId="11" applyFont="1" applyFill="1" applyBorder="1" applyAlignment="1">
      <alignment horizontal="right"/>
    </xf>
    <xf numFmtId="0" fontId="40" fillId="0" borderId="0" xfId="11" applyFont="1" applyFill="1" applyBorder="1" applyAlignment="1">
      <alignment horizontal="right"/>
    </xf>
    <xf numFmtId="0" fontId="42" fillId="0" borderId="0" xfId="11" applyFont="1" applyAlignment="1">
      <alignment horizontal="center"/>
    </xf>
    <xf numFmtId="0" fontId="38" fillId="0" borderId="0" xfId="11" applyFont="1"/>
    <xf numFmtId="0" fontId="44" fillId="0" borderId="0" xfId="11" applyFont="1" applyBorder="1" applyAlignment="1">
      <alignment horizontal="center"/>
    </xf>
    <xf numFmtId="0" fontId="45" fillId="0" borderId="0" xfId="11" applyFont="1" applyAlignment="1">
      <alignment horizontal="right"/>
    </xf>
    <xf numFmtId="0" fontId="42" fillId="0" borderId="0" xfId="11" applyFont="1" applyAlignment="1">
      <alignment horizontal="right"/>
    </xf>
    <xf numFmtId="0" fontId="45" fillId="0" borderId="0" xfId="11" applyFont="1"/>
    <xf numFmtId="0" fontId="42" fillId="0" borderId="0" xfId="11" applyFont="1" applyAlignment="1">
      <alignment horizontal="left"/>
    </xf>
    <xf numFmtId="0" fontId="35" fillId="0" borderId="0" xfId="11" applyFont="1" applyAlignment="1">
      <alignment horizontal="right"/>
    </xf>
    <xf numFmtId="0" fontId="35" fillId="0" borderId="0" xfId="11" applyFont="1"/>
    <xf numFmtId="0" fontId="46" fillId="0" borderId="0" xfId="11" applyFont="1" applyAlignment="1">
      <alignment horizontal="right"/>
    </xf>
    <xf numFmtId="0" fontId="47" fillId="0" borderId="0" xfId="11" applyFont="1" applyAlignment="1">
      <alignment horizontal="center"/>
    </xf>
    <xf numFmtId="0" fontId="35" fillId="0" borderId="0" xfId="11" applyFont="1" applyAlignment="1">
      <alignment horizontal="left"/>
    </xf>
    <xf numFmtId="0" fontId="40" fillId="0" borderId="0" xfId="11" applyFont="1"/>
    <xf numFmtId="0" fontId="38" fillId="0" borderId="0" xfId="11" applyFont="1" applyAlignment="1">
      <alignment horizontal="left"/>
    </xf>
    <xf numFmtId="0" fontId="35" fillId="0" borderId="0" xfId="11" applyAlignment="1">
      <alignment vertical="center"/>
    </xf>
    <xf numFmtId="0" fontId="35" fillId="0" borderId="0" xfId="11" applyFont="1" applyBorder="1" applyAlignment="1"/>
    <xf numFmtId="0" fontId="38" fillId="0" borderId="0" xfId="11" applyFont="1" applyBorder="1" applyAlignment="1"/>
    <xf numFmtId="0" fontId="48" fillId="0" borderId="0" xfId="11" applyFont="1"/>
    <xf numFmtId="0" fontId="35" fillId="19" borderId="0" xfId="11" applyFont="1" applyFill="1" applyBorder="1" applyAlignment="1">
      <alignment horizontal="left"/>
    </xf>
    <xf numFmtId="0" fontId="38" fillId="0" borderId="0" xfId="11" applyFont="1" applyAlignment="1">
      <alignment horizontal="right"/>
    </xf>
    <xf numFmtId="0" fontId="38" fillId="0" borderId="0" xfId="11" applyFont="1" applyBorder="1"/>
    <xf numFmtId="14" fontId="35" fillId="19" borderId="0" xfId="11" applyNumberFormat="1" applyFont="1" applyFill="1" applyBorder="1" applyAlignment="1">
      <alignment horizontal="left"/>
    </xf>
    <xf numFmtId="0" fontId="50" fillId="0" borderId="0" xfId="11" applyFont="1" applyAlignment="1">
      <alignment horizontal="center"/>
    </xf>
    <xf numFmtId="0" fontId="35" fillId="0" borderId="0" xfId="11" applyAlignment="1">
      <alignment horizontal="centerContinuous"/>
    </xf>
    <xf numFmtId="0" fontId="43" fillId="0" borderId="0" xfId="11" applyFont="1" applyAlignment="1">
      <alignment horizontal="centerContinuous"/>
    </xf>
    <xf numFmtId="0" fontId="35" fillId="0" borderId="0" xfId="11" applyBorder="1"/>
    <xf numFmtId="2" fontId="54" fillId="0" borderId="0" xfId="11" applyNumberFormat="1" applyFont="1" applyAlignment="1">
      <alignment horizontal="center" vertical="center" wrapText="1"/>
    </xf>
    <xf numFmtId="0" fontId="38" fillId="0" borderId="0" xfId="11" applyFont="1" applyAlignment="1">
      <alignment horizontal="center" vertical="center"/>
    </xf>
    <xf numFmtId="0" fontId="35" fillId="0" borderId="0" xfId="11" applyNumberFormat="1" applyFont="1" applyFill="1" applyAlignment="1"/>
    <xf numFmtId="0" fontId="35" fillId="0" borderId="0" xfId="11" applyNumberFormat="1" applyFont="1" applyFill="1" applyBorder="1" applyAlignment="1"/>
    <xf numFmtId="0" fontId="40" fillId="0" borderId="0" xfId="11" applyFont="1" applyBorder="1" applyAlignment="1">
      <alignment horizontal="center"/>
    </xf>
    <xf numFmtId="0" fontId="40" fillId="0" borderId="0" xfId="11" applyNumberFormat="1" applyFont="1" applyFill="1" applyAlignment="1"/>
    <xf numFmtId="49" fontId="40" fillId="0" borderId="0" xfId="11" applyNumberFormat="1" applyFont="1" applyAlignment="1"/>
    <xf numFmtId="0" fontId="40" fillId="0" borderId="0" xfId="11" applyFont="1" applyAlignment="1">
      <alignment horizontal="center" vertical="center"/>
    </xf>
    <xf numFmtId="0" fontId="40" fillId="0" borderId="0" xfId="11" applyNumberFormat="1" applyFont="1" applyAlignment="1"/>
    <xf numFmtId="0" fontId="40" fillId="0" borderId="0" xfId="11" applyFont="1" applyAlignment="1">
      <alignment horizontal="right" vertical="center"/>
    </xf>
    <xf numFmtId="0" fontId="40" fillId="0" borderId="0" xfId="11" applyFont="1" applyAlignment="1">
      <alignment horizontal="center"/>
    </xf>
    <xf numFmtId="49" fontId="40" fillId="0" borderId="0" xfId="11" applyNumberFormat="1" applyFont="1" applyAlignment="1">
      <alignment horizontal="left"/>
    </xf>
    <xf numFmtId="0" fontId="45" fillId="0" borderId="0" xfId="11" applyFont="1" applyAlignment="1"/>
    <xf numFmtId="0" fontId="55" fillId="19" borderId="0" xfId="12" applyFont="1" applyFill="1" applyBorder="1" applyAlignment="1">
      <alignment horizontal="left" wrapText="1"/>
    </xf>
    <xf numFmtId="0" fontId="55" fillId="19" borderId="0" xfId="12" applyFont="1" applyFill="1" applyBorder="1" applyAlignment="1">
      <alignment horizontal="left"/>
    </xf>
    <xf numFmtId="0" fontId="56" fillId="19" borderId="0" xfId="12" applyFont="1" applyFill="1" applyBorder="1" applyAlignment="1">
      <alignment horizontal="center" wrapText="1"/>
    </xf>
    <xf numFmtId="2" fontId="57" fillId="20" borderId="0" xfId="12" applyNumberFormat="1" applyFont="1" applyFill="1" applyAlignment="1"/>
    <xf numFmtId="0" fontId="56" fillId="19" borderId="0" xfId="12" applyFont="1" applyFill="1" applyBorder="1" applyAlignment="1"/>
    <xf numFmtId="0" fontId="55" fillId="19" borderId="0" xfId="12" applyFont="1" applyFill="1" applyBorder="1" applyAlignment="1"/>
    <xf numFmtId="0" fontId="35" fillId="0" borderId="0" xfId="11" applyFont="1" applyAlignment="1">
      <alignment horizontal="centerContinuous"/>
    </xf>
    <xf numFmtId="0" fontId="35" fillId="0" borderId="0" xfId="11" applyNumberFormat="1" applyFont="1" applyAlignment="1">
      <alignment horizontal="centerContinuous"/>
    </xf>
    <xf numFmtId="0" fontId="38" fillId="0" borderId="0" xfId="11" applyFont="1" applyAlignment="1">
      <alignment horizontal="centerContinuous"/>
    </xf>
    <xf numFmtId="0" fontId="43" fillId="0" borderId="0" xfId="11" applyFont="1" applyBorder="1" applyAlignment="1">
      <alignment horizontal="centerContinuous"/>
    </xf>
    <xf numFmtId="0" fontId="58" fillId="0" borderId="0" xfId="11" applyFont="1" applyAlignment="1">
      <alignment horizontal="centerContinuous"/>
    </xf>
    <xf numFmtId="0" fontId="59" fillId="0" borderId="0" xfId="11" applyFont="1" applyAlignment="1">
      <alignment horizontal="centerContinuous"/>
    </xf>
    <xf numFmtId="164" fontId="35" fillId="0" borderId="0" xfId="11" applyNumberFormat="1" applyAlignment="1">
      <alignment horizontal="left"/>
    </xf>
    <xf numFmtId="0" fontId="46" fillId="0" borderId="0" xfId="11" applyFont="1" applyAlignment="1">
      <alignment horizontal="left"/>
    </xf>
    <xf numFmtId="0" fontId="46" fillId="0" borderId="0" xfId="11" applyFont="1"/>
    <xf numFmtId="2" fontId="35" fillId="0" borderId="74"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62" fillId="0" borderId="139" xfId="0" applyFont="1" applyBorder="1" applyAlignment="1" applyProtection="1">
      <alignment vertical="center"/>
    </xf>
    <xf numFmtId="0" fontId="62" fillId="0" borderId="142"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168" fontId="7" fillId="0" borderId="20" xfId="0" applyNumberFormat="1" applyFont="1" applyFill="1" applyBorder="1" applyAlignment="1">
      <alignment horizontal="center" vertical="center"/>
    </xf>
    <xf numFmtId="0" fontId="7" fillId="0" borderId="154" xfId="0" applyFont="1" applyBorder="1" applyAlignment="1">
      <alignment horizontal="center" vertical="center"/>
    </xf>
    <xf numFmtId="0" fontId="7" fillId="0" borderId="155" xfId="0" applyFont="1" applyBorder="1" applyAlignment="1">
      <alignment horizontal="center" vertical="center"/>
    </xf>
    <xf numFmtId="0" fontId="7" fillId="0" borderId="156" xfId="0" applyFont="1" applyBorder="1" applyAlignment="1">
      <alignment horizontal="center" vertical="center"/>
    </xf>
    <xf numFmtId="0" fontId="7" fillId="0" borderId="123" xfId="0" applyFont="1" applyBorder="1" applyAlignment="1">
      <alignment horizontal="center" vertical="center"/>
    </xf>
    <xf numFmtId="0" fontId="36" fillId="0" borderId="0" xfId="11" applyFont="1" applyBorder="1" applyAlignment="1">
      <alignment horizontal="center"/>
    </xf>
    <xf numFmtId="0" fontId="35" fillId="0" borderId="147" xfId="11" applyFont="1" applyBorder="1" applyAlignment="1">
      <alignment horizontal="center"/>
    </xf>
    <xf numFmtId="0" fontId="35" fillId="0" borderId="145" xfId="11" applyFont="1" applyBorder="1" applyAlignment="1">
      <alignment horizontal="center"/>
    </xf>
    <xf numFmtId="0" fontId="39" fillId="0" borderId="0" xfId="11" applyFont="1" applyAlignment="1">
      <alignment horizontal="center" vertical="center"/>
    </xf>
    <xf numFmtId="0" fontId="38" fillId="0" borderId="82" xfId="11" applyFont="1" applyBorder="1" applyAlignment="1">
      <alignment horizontal="center"/>
    </xf>
    <xf numFmtId="0" fontId="38" fillId="0" borderId="144" xfId="11" applyFont="1" applyBorder="1" applyAlignment="1">
      <alignment horizontal="center"/>
    </xf>
    <xf numFmtId="0" fontId="35" fillId="0" borderId="82" xfId="11" applyFont="1" applyBorder="1" applyAlignment="1">
      <alignment horizontal="center"/>
    </xf>
    <xf numFmtId="0" fontId="35" fillId="0" borderId="93" xfId="11" applyFont="1" applyBorder="1" applyAlignment="1">
      <alignment horizontal="center"/>
    </xf>
    <xf numFmtId="0" fontId="35" fillId="0" borderId="144" xfId="11" applyFont="1" applyBorder="1" applyAlignment="1">
      <alignment horizontal="center"/>
    </xf>
    <xf numFmtId="0" fontId="43" fillId="0" borderId="0" xfId="11" applyFont="1" applyAlignment="1">
      <alignment horizontal="center" vertical="center"/>
    </xf>
    <xf numFmtId="0" fontId="39" fillId="0" borderId="0" xfId="11" applyFont="1" applyAlignment="1">
      <alignment horizontal="left" vertical="center" wrapText="1"/>
    </xf>
    <xf numFmtId="0" fontId="35" fillId="0" borderId="150" xfId="11" applyFont="1" applyBorder="1" applyAlignment="1">
      <alignment horizontal="center"/>
    </xf>
    <xf numFmtId="0" fontId="35" fillId="0" borderId="148" xfId="11" applyFont="1" applyBorder="1" applyAlignment="1">
      <alignment horizontal="center"/>
    </xf>
    <xf numFmtId="0" fontId="40" fillId="0" borderId="147" xfId="11" applyFont="1" applyBorder="1" applyAlignment="1">
      <alignment horizontal="center"/>
    </xf>
    <xf numFmtId="0" fontId="40" fillId="0" borderId="145" xfId="11" applyFont="1" applyBorder="1" applyAlignment="1">
      <alignment horizontal="center"/>
    </xf>
    <xf numFmtId="0" fontId="50" fillId="0" borderId="0" xfId="11" applyFont="1" applyAlignment="1">
      <alignment horizontal="center"/>
    </xf>
    <xf numFmtId="0" fontId="35" fillId="19" borderId="82" xfId="11" applyFont="1" applyFill="1" applyBorder="1" applyAlignment="1">
      <alignment horizontal="center"/>
    </xf>
    <xf numFmtId="0" fontId="35" fillId="19" borderId="93" xfId="11" applyFont="1" applyFill="1" applyBorder="1" applyAlignment="1">
      <alignment horizontal="center"/>
    </xf>
    <xf numFmtId="0" fontId="35" fillId="19" borderId="144" xfId="11" applyFont="1" applyFill="1" applyBorder="1" applyAlignment="1">
      <alignment horizontal="center"/>
    </xf>
    <xf numFmtId="0" fontId="35" fillId="0" borderId="149" xfId="11" applyFont="1" applyBorder="1" applyAlignment="1">
      <alignment horizontal="center"/>
    </xf>
    <xf numFmtId="175" fontId="35" fillId="19" borderId="82" xfId="11" applyNumberFormat="1" applyFont="1" applyFill="1" applyBorder="1" applyAlignment="1">
      <alignment horizontal="center"/>
    </xf>
    <xf numFmtId="175" fontId="35" fillId="19" borderId="93" xfId="11" applyNumberFormat="1" applyFont="1" applyFill="1" applyBorder="1" applyAlignment="1">
      <alignment horizontal="center"/>
    </xf>
    <xf numFmtId="175" fontId="35" fillId="19" borderId="144" xfId="11" applyNumberFormat="1" applyFont="1" applyFill="1" applyBorder="1" applyAlignment="1">
      <alignment horizontal="center"/>
    </xf>
    <xf numFmtId="0" fontId="35" fillId="0" borderId="82" xfId="11" applyBorder="1" applyAlignment="1">
      <alignment horizontal="center"/>
    </xf>
    <xf numFmtId="0" fontId="35" fillId="0" borderId="93" xfId="11" applyBorder="1" applyAlignment="1">
      <alignment horizontal="center"/>
    </xf>
    <xf numFmtId="0" fontId="35" fillId="0" borderId="144" xfId="11" applyBorder="1" applyAlignment="1">
      <alignment horizontal="center"/>
    </xf>
    <xf numFmtId="0" fontId="35" fillId="0" borderId="146" xfId="11" applyFont="1" applyBorder="1" applyAlignment="1">
      <alignment horizontal="center"/>
    </xf>
    <xf numFmtId="0" fontId="60" fillId="7" borderId="11" xfId="0" applyFont="1" applyFill="1" applyBorder="1" applyAlignment="1">
      <alignment horizontal="center" vertical="top"/>
    </xf>
    <xf numFmtId="0" fontId="45" fillId="19" borderId="82" xfId="11" applyFont="1" applyFill="1" applyBorder="1" applyAlignment="1">
      <alignment horizontal="center"/>
    </xf>
    <xf numFmtId="0" fontId="45" fillId="19" borderId="93" xfId="11" applyFont="1" applyFill="1" applyBorder="1" applyAlignment="1">
      <alignment horizontal="center"/>
    </xf>
    <xf numFmtId="0" fontId="45" fillId="19" borderId="144" xfId="11" applyFont="1" applyFill="1" applyBorder="1" applyAlignment="1">
      <alignment horizontal="center"/>
    </xf>
    <xf numFmtId="173" fontId="35" fillId="19" borderId="82" xfId="11" applyNumberFormat="1" applyFont="1" applyFill="1" applyBorder="1" applyAlignment="1">
      <alignment horizontal="center"/>
    </xf>
    <xf numFmtId="173" fontId="35" fillId="19" borderId="93" xfId="11" applyNumberFormat="1" applyFont="1" applyFill="1" applyBorder="1" applyAlignment="1">
      <alignment horizontal="center"/>
    </xf>
    <xf numFmtId="173" fontId="35" fillId="19" borderId="144" xfId="11" applyNumberFormat="1" applyFont="1" applyFill="1" applyBorder="1" applyAlignment="1">
      <alignment horizontal="center"/>
    </xf>
    <xf numFmtId="0" fontId="50" fillId="0" borderId="0" xfId="11" applyFont="1" applyBorder="1" applyAlignment="1">
      <alignment horizontal="center"/>
    </xf>
    <xf numFmtId="0" fontId="42" fillId="0" borderId="0" xfId="11" applyFont="1" applyAlignment="1">
      <alignment horizontal="center"/>
    </xf>
    <xf numFmtId="0" fontId="38" fillId="0" borderId="0" xfId="11" applyFont="1" applyAlignment="1">
      <alignment horizontal="center"/>
    </xf>
    <xf numFmtId="0" fontId="55" fillId="19" borderId="0" xfId="12" applyNumberFormat="1" applyFont="1" applyFill="1" applyBorder="1" applyAlignment="1">
      <alignment horizontal="left" wrapText="1"/>
    </xf>
    <xf numFmtId="0" fontId="35" fillId="0" borderId="82" xfId="11" applyBorder="1" applyAlignment="1">
      <alignment horizontal="left" vertical="top" wrapText="1"/>
    </xf>
    <xf numFmtId="0" fontId="35" fillId="0" borderId="93" xfId="11" applyBorder="1" applyAlignment="1">
      <alignment horizontal="left" vertical="top" wrapText="1"/>
    </xf>
    <xf numFmtId="0" fontId="35" fillId="0" borderId="144" xfId="11" applyBorder="1" applyAlignment="1">
      <alignment horizontal="left" vertical="top" wrapText="1"/>
    </xf>
    <xf numFmtId="0" fontId="38" fillId="0" borderId="153" xfId="11" applyFont="1" applyFill="1" applyBorder="1" applyAlignment="1">
      <alignment horizontal="left" vertical="center" wrapText="1"/>
    </xf>
    <xf numFmtId="0" fontId="38" fillId="0" borderId="152" xfId="11" applyFont="1" applyFill="1" applyBorder="1" applyAlignment="1">
      <alignment horizontal="left" vertical="center" wrapText="1"/>
    </xf>
    <xf numFmtId="0" fontId="38" fillId="0" borderId="151" xfId="11" applyFont="1" applyFill="1" applyBorder="1" applyAlignment="1">
      <alignment horizontal="left" vertical="center" wrapText="1"/>
    </xf>
    <xf numFmtId="0" fontId="35" fillId="0" borderId="124" xfId="11" applyBorder="1" applyAlignment="1">
      <alignment horizontal="left" vertical="top" wrapText="1"/>
    </xf>
    <xf numFmtId="0" fontId="35" fillId="0" borderId="0" xfId="11" applyBorder="1" applyAlignment="1">
      <alignment horizontal="left" vertical="top" wrapText="1"/>
    </xf>
    <xf numFmtId="0" fontId="38" fillId="20" borderId="82" xfId="11" applyNumberFormat="1" applyFont="1" applyFill="1" applyBorder="1" applyAlignment="1">
      <alignment horizontal="center"/>
    </xf>
    <xf numFmtId="0" fontId="38" fillId="20" borderId="144" xfId="11" applyNumberFormat="1" applyFont="1" applyFill="1" applyBorder="1" applyAlignment="1">
      <alignment horizontal="center"/>
    </xf>
    <xf numFmtId="0" fontId="43" fillId="0" borderId="0" xfId="11" applyFont="1" applyAlignment="1">
      <alignment horizontal="center"/>
    </xf>
    <xf numFmtId="0" fontId="7" fillId="7" borderId="76"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7"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6"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0" borderId="22" xfId="0" applyFont="1" applyFill="1" applyBorder="1" applyAlignment="1" applyProtection="1">
      <alignment horizontal="center" vertical="center"/>
      <protection locked="0"/>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70"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04" xfId="0" applyFont="1" applyBorder="1" applyAlignment="1">
      <alignment horizontal="center" vertical="center"/>
    </xf>
    <xf numFmtId="0" fontId="7" fillId="0" borderId="143"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2" xfId="0" applyFont="1" applyFill="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26</c:v>
                </c:pt>
                <c:pt idx="2">
                  <c:v>28</c:v>
                </c:pt>
                <c:pt idx="3">
                  <c:v>30</c:v>
                </c:pt>
                <c:pt idx="4">
                  <c:v>32</c:v>
                </c:pt>
                <c:pt idx="5">
                  <c:v>34</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26</c:v>
                </c:pt>
                <c:pt idx="1">
                  <c:v>28</c:v>
                </c:pt>
                <c:pt idx="2">
                  <c:v>30</c:v>
                </c:pt>
                <c:pt idx="3">
                  <c:v>32</c:v>
                </c:pt>
                <c:pt idx="4">
                  <c:v>34</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26</c:v>
                </c:pt>
                <c:pt idx="1">
                  <c:v>28</c:v>
                </c:pt>
                <c:pt idx="2">
                  <c:v>30</c:v>
                </c:pt>
                <c:pt idx="3">
                  <c:v>32</c:v>
                </c:pt>
                <c:pt idx="4">
                  <c:v>34</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55997664"/>
        <c:axId val="255881128"/>
      </c:scatterChart>
      <c:valAx>
        <c:axId val="255997664"/>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81128"/>
        <c:crosses val="autoZero"/>
        <c:crossBetween val="midCat"/>
      </c:valAx>
      <c:valAx>
        <c:axId val="255881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97664"/>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showGridLines="0" topLeftCell="A19" zoomScaleNormal="100" workbookViewId="0">
      <selection activeCell="P26" sqref="P26"/>
    </sheetView>
  </sheetViews>
  <sheetFormatPr defaultRowHeight="12.75"/>
  <cols>
    <col min="1" max="1" width="5" style="618" customWidth="1"/>
    <col min="2" max="2" width="5.375" style="618" customWidth="1"/>
    <col min="3" max="3" width="5.875" style="618" customWidth="1"/>
    <col min="4" max="4" width="7.375" style="618" customWidth="1"/>
    <col min="5" max="5" width="5.875" style="618" customWidth="1"/>
    <col min="6" max="7" width="7.375" style="618" customWidth="1"/>
    <col min="8" max="10" width="7.625" style="618" customWidth="1"/>
    <col min="11" max="12" width="8.375" style="618" customWidth="1"/>
    <col min="13" max="13" width="6.625" style="618" customWidth="1"/>
    <col min="14" max="14" width="15.125" style="618" customWidth="1"/>
    <col min="15" max="16384" width="9" style="618"/>
  </cols>
  <sheetData>
    <row r="1" spans="1:14" ht="26.25">
      <c r="A1" s="715" t="s">
        <v>380</v>
      </c>
      <c r="B1" s="715"/>
      <c r="C1" s="715"/>
      <c r="D1" s="715"/>
      <c r="E1" s="715"/>
      <c r="F1" s="715"/>
      <c r="G1" s="715"/>
      <c r="H1" s="715"/>
      <c r="I1" s="715"/>
      <c r="J1" s="715"/>
      <c r="K1" s="715"/>
      <c r="L1" s="715"/>
      <c r="M1" s="715"/>
      <c r="N1" s="715"/>
    </row>
    <row r="2" spans="1:14" ht="26.25">
      <c r="A2" s="715" t="s">
        <v>381</v>
      </c>
      <c r="B2" s="715"/>
      <c r="C2" s="715"/>
      <c r="D2" s="715"/>
      <c r="E2" s="715"/>
      <c r="F2" s="715"/>
      <c r="G2" s="715"/>
      <c r="H2" s="715"/>
      <c r="I2" s="715"/>
      <c r="J2" s="715"/>
      <c r="K2" s="715"/>
      <c r="L2" s="715"/>
      <c r="M2" s="715"/>
      <c r="N2" s="715"/>
    </row>
    <row r="3" spans="1:14" ht="16.5" customHeight="1">
      <c r="A3" s="656"/>
      <c r="B3" s="656"/>
      <c r="C3" s="656"/>
      <c r="D3" s="656"/>
      <c r="E3" s="656"/>
      <c r="F3" s="656"/>
      <c r="G3" s="656"/>
      <c r="H3" s="656"/>
      <c r="I3" s="656"/>
      <c r="J3" s="656"/>
      <c r="K3" s="656"/>
      <c r="L3" s="656"/>
      <c r="M3" s="656"/>
      <c r="N3" s="656"/>
    </row>
    <row r="4" spans="1:14" ht="16.5" customHeight="1">
      <c r="A4" s="635" t="s">
        <v>382</v>
      </c>
      <c r="B4" s="635"/>
      <c r="C4" s="716" t="str">
        <f>Sheet1!R10</f>
        <v/>
      </c>
      <c r="D4" s="717"/>
      <c r="E4" s="717"/>
      <c r="F4" s="717"/>
      <c r="G4" s="717"/>
      <c r="H4" s="718"/>
      <c r="J4" s="654"/>
      <c r="K4" s="653" t="s">
        <v>383</v>
      </c>
      <c r="L4" s="720"/>
      <c r="M4" s="721"/>
      <c r="N4" s="722"/>
    </row>
    <row r="5" spans="1:14" ht="16.5" customHeight="1">
      <c r="A5" s="635" t="s">
        <v>384</v>
      </c>
      <c r="B5" s="635"/>
      <c r="C5" s="716"/>
      <c r="D5" s="717"/>
      <c r="E5" s="717"/>
      <c r="F5" s="717"/>
      <c r="G5" s="717"/>
      <c r="H5" s="718"/>
      <c r="J5" s="654"/>
      <c r="K5" s="653" t="s">
        <v>385</v>
      </c>
      <c r="L5" s="720">
        <f>Sheet1!P7</f>
        <v>0</v>
      </c>
      <c r="M5" s="721"/>
      <c r="N5" s="722"/>
    </row>
    <row r="6" spans="1:14" ht="16.5" customHeight="1">
      <c r="A6" s="635" t="s">
        <v>386</v>
      </c>
      <c r="B6" s="635"/>
      <c r="C6" s="635"/>
      <c r="D6" s="635"/>
      <c r="E6" s="727" t="s">
        <v>13</v>
      </c>
      <c r="F6" s="727"/>
      <c r="G6" s="727"/>
      <c r="H6" s="727"/>
      <c r="J6" s="654"/>
      <c r="K6" s="653" t="s">
        <v>387</v>
      </c>
      <c r="L6" s="716"/>
      <c r="M6" s="717"/>
      <c r="N6" s="718"/>
    </row>
    <row r="7" spans="1:14" ht="16.5" customHeight="1">
      <c r="A7" s="635" t="s">
        <v>388</v>
      </c>
      <c r="B7" s="635"/>
      <c r="C7" s="635"/>
      <c r="D7" s="635"/>
      <c r="E7" s="728" t="s">
        <v>389</v>
      </c>
      <c r="F7" s="729"/>
      <c r="G7" s="729"/>
      <c r="H7" s="730"/>
      <c r="J7" s="654"/>
      <c r="K7" s="653" t="s">
        <v>390</v>
      </c>
      <c r="L7" s="716" t="str">
        <f>Sheet1!R18</f>
        <v/>
      </c>
      <c r="M7" s="717"/>
      <c r="N7" s="718"/>
    </row>
    <row r="8" spans="1:14" ht="16.5" customHeight="1">
      <c r="A8" s="635" t="s">
        <v>391</v>
      </c>
      <c r="B8" s="635"/>
      <c r="C8" s="635"/>
      <c r="D8" s="635"/>
      <c r="E8" s="731" t="str">
        <f>Sheet1!V12</f>
        <v/>
      </c>
      <c r="F8" s="732"/>
      <c r="G8" s="732"/>
      <c r="H8" s="733"/>
      <c r="J8" s="654"/>
      <c r="K8" s="653" t="s">
        <v>392</v>
      </c>
      <c r="L8" s="716" t="str">
        <f>Sheet1!R14</f>
        <v/>
      </c>
      <c r="M8" s="717"/>
      <c r="N8" s="718"/>
    </row>
    <row r="9" spans="1:14" ht="11.25" customHeight="1">
      <c r="A9" s="635"/>
      <c r="B9" s="635"/>
      <c r="C9" s="635"/>
      <c r="D9" s="635"/>
      <c r="E9" s="655"/>
      <c r="F9" s="652"/>
      <c r="G9" s="652"/>
      <c r="H9" s="652"/>
      <c r="J9" s="654"/>
      <c r="K9" s="653"/>
      <c r="L9" s="652"/>
      <c r="M9" s="652"/>
      <c r="N9" s="652"/>
    </row>
    <row r="10" spans="1:14" ht="16.5" customHeight="1">
      <c r="A10" s="647" t="s">
        <v>575</v>
      </c>
      <c r="E10" s="723"/>
      <c r="F10" s="724"/>
      <c r="G10" s="724"/>
      <c r="H10" s="725"/>
      <c r="I10" s="651" t="s">
        <v>574</v>
      </c>
    </row>
    <row r="11" spans="1:14" ht="11.25" customHeight="1">
      <c r="C11" s="635"/>
      <c r="D11" s="635"/>
      <c r="E11" s="635"/>
      <c r="F11" s="635"/>
      <c r="G11" s="635"/>
      <c r="H11" s="650"/>
      <c r="I11" s="650"/>
      <c r="K11" s="649"/>
      <c r="L11" s="649"/>
      <c r="M11" s="649"/>
      <c r="N11" s="649"/>
    </row>
    <row r="12" spans="1:14" ht="16.5" customHeight="1" thickBot="1">
      <c r="A12" s="635" t="s">
        <v>394</v>
      </c>
      <c r="B12" s="635"/>
      <c r="C12" s="635"/>
      <c r="D12" s="635"/>
      <c r="E12" s="711" t="s">
        <v>395</v>
      </c>
      <c r="F12" s="712"/>
      <c r="G12" s="711" t="s">
        <v>390</v>
      </c>
      <c r="H12" s="712"/>
      <c r="I12" s="711" t="s">
        <v>17</v>
      </c>
      <c r="J12" s="712"/>
      <c r="K12" s="711" t="s">
        <v>393</v>
      </c>
      <c r="L12" s="719"/>
      <c r="M12" s="719"/>
      <c r="N12" s="712"/>
    </row>
    <row r="13" spans="1:14" ht="16.5" customHeight="1" thickTop="1">
      <c r="A13" s="635"/>
      <c r="B13" s="635"/>
      <c r="C13" s="635"/>
      <c r="D13" s="641" t="s">
        <v>396</v>
      </c>
      <c r="E13" s="701"/>
      <c r="F13" s="702"/>
      <c r="G13" s="701"/>
      <c r="H13" s="702"/>
      <c r="I13" s="713"/>
      <c r="J13" s="714"/>
      <c r="K13" s="701"/>
      <c r="L13" s="726"/>
      <c r="M13" s="726"/>
      <c r="N13" s="702"/>
    </row>
    <row r="14" spans="1:14" ht="16.5" customHeight="1">
      <c r="D14" s="641" t="s">
        <v>397</v>
      </c>
      <c r="E14" s="706"/>
      <c r="F14" s="708"/>
      <c r="G14" s="706"/>
      <c r="H14" s="708"/>
      <c r="I14" s="704"/>
      <c r="J14" s="705"/>
      <c r="K14" s="706"/>
      <c r="L14" s="707"/>
      <c r="M14" s="707"/>
      <c r="N14" s="708"/>
    </row>
    <row r="15" spans="1:14" s="648" customFormat="1" ht="36" customHeight="1">
      <c r="A15" s="710" t="s">
        <v>398</v>
      </c>
      <c r="B15" s="710"/>
      <c r="C15" s="710"/>
      <c r="D15" s="710"/>
      <c r="E15" s="710"/>
      <c r="F15" s="710"/>
      <c r="G15" s="710"/>
      <c r="H15" s="710"/>
      <c r="I15" s="710"/>
      <c r="J15" s="710"/>
      <c r="K15" s="710"/>
      <c r="L15" s="710"/>
      <c r="M15" s="710"/>
      <c r="N15" s="710"/>
    </row>
    <row r="16" spans="1:14" ht="16.5" customHeight="1">
      <c r="A16" s="647" t="s">
        <v>399</v>
      </c>
      <c r="B16" s="647"/>
      <c r="C16" s="646"/>
      <c r="D16" s="642" t="s">
        <v>400</v>
      </c>
      <c r="E16" s="642"/>
      <c r="F16" s="642"/>
      <c r="G16" s="643"/>
      <c r="H16" s="645"/>
      <c r="I16" s="644"/>
      <c r="J16" s="643"/>
      <c r="K16" s="642"/>
      <c r="L16" s="642"/>
      <c r="N16" s="641" t="s">
        <v>401</v>
      </c>
    </row>
    <row r="17" spans="1:14" ht="13.5" customHeight="1">
      <c r="A17" s="640"/>
      <c r="B17" s="640"/>
      <c r="C17" s="639"/>
      <c r="D17" s="638"/>
      <c r="E17" s="639"/>
      <c r="F17" s="639"/>
      <c r="G17" s="638"/>
      <c r="H17" s="637"/>
      <c r="I17" s="636"/>
      <c r="J17" s="636"/>
      <c r="K17" s="636"/>
      <c r="L17" s="636"/>
      <c r="M17" s="636"/>
    </row>
    <row r="18" spans="1:14" ht="21" customHeight="1">
      <c r="A18" s="709" t="s">
        <v>402</v>
      </c>
      <c r="B18" s="709"/>
      <c r="C18" s="709"/>
      <c r="D18" s="709"/>
      <c r="E18" s="709"/>
      <c r="F18" s="709"/>
      <c r="G18" s="709"/>
      <c r="H18" s="709"/>
      <c r="I18" s="709"/>
      <c r="J18" s="709"/>
      <c r="K18" s="709"/>
      <c r="L18" s="709"/>
      <c r="M18" s="709"/>
      <c r="N18" s="709"/>
    </row>
    <row r="19" spans="1:14" ht="15" customHeight="1">
      <c r="A19" s="703" t="s">
        <v>573</v>
      </c>
      <c r="B19" s="703"/>
      <c r="C19" s="703"/>
      <c r="D19" s="703"/>
      <c r="E19" s="703"/>
      <c r="F19" s="703"/>
      <c r="G19" s="703"/>
      <c r="H19" s="703"/>
      <c r="I19" s="703"/>
      <c r="J19" s="703"/>
      <c r="K19" s="703"/>
      <c r="L19" s="703"/>
      <c r="M19" s="703"/>
      <c r="N19" s="703"/>
    </row>
    <row r="20" spans="1:14" ht="15" customHeight="1">
      <c r="A20" s="635"/>
      <c r="B20" s="635"/>
      <c r="C20" s="635"/>
      <c r="D20" s="635"/>
      <c r="E20" s="635"/>
      <c r="F20" s="635"/>
      <c r="G20" s="635"/>
      <c r="H20" s="635"/>
      <c r="I20" s="635"/>
      <c r="J20" s="635"/>
      <c r="K20" s="635"/>
      <c r="L20" s="635"/>
      <c r="M20" s="635"/>
      <c r="N20" s="634" t="s">
        <v>403</v>
      </c>
    </row>
    <row r="21" spans="1:14" ht="15.75" customHeight="1">
      <c r="A21" s="620" t="s">
        <v>572</v>
      </c>
      <c r="B21" s="620"/>
      <c r="C21" s="620"/>
      <c r="D21" s="620"/>
      <c r="E21" s="620"/>
      <c r="F21" s="620"/>
      <c r="G21" s="620"/>
      <c r="H21" s="620"/>
      <c r="I21" s="620"/>
      <c r="J21" s="620"/>
      <c r="K21" s="620"/>
      <c r="L21" s="620"/>
      <c r="M21" s="620"/>
      <c r="N21" s="621"/>
    </row>
    <row r="22" spans="1:14" ht="15.75" customHeight="1">
      <c r="A22" s="620" t="s">
        <v>404</v>
      </c>
      <c r="B22" s="620"/>
      <c r="C22" s="620"/>
      <c r="D22" s="620"/>
      <c r="E22" s="620"/>
      <c r="F22" s="620"/>
      <c r="G22" s="620"/>
      <c r="H22" s="620"/>
      <c r="I22" s="620"/>
      <c r="J22" s="620"/>
      <c r="K22" s="620"/>
      <c r="L22" s="620"/>
      <c r="M22" s="620"/>
      <c r="N22" s="621"/>
    </row>
    <row r="23" spans="1:14" ht="15.75" customHeight="1">
      <c r="A23" s="620" t="s">
        <v>405</v>
      </c>
      <c r="B23" s="620"/>
      <c r="C23" s="620"/>
      <c r="D23" s="620"/>
      <c r="E23" s="620"/>
      <c r="F23" s="620"/>
      <c r="G23" s="620"/>
      <c r="H23" s="620"/>
      <c r="I23" s="620"/>
      <c r="J23" s="620"/>
      <c r="K23" s="620"/>
      <c r="L23" s="620"/>
      <c r="M23" s="620"/>
      <c r="N23" s="621"/>
    </row>
    <row r="24" spans="1:14" ht="15.75" customHeight="1">
      <c r="A24" s="620" t="s">
        <v>406</v>
      </c>
      <c r="B24" s="620"/>
      <c r="C24" s="620"/>
      <c r="D24" s="620"/>
      <c r="E24" s="620"/>
      <c r="F24" s="620"/>
      <c r="G24" s="620"/>
      <c r="H24" s="620"/>
      <c r="I24" s="620"/>
      <c r="J24" s="620"/>
      <c r="K24" s="620"/>
      <c r="L24" s="620"/>
      <c r="M24" s="620"/>
      <c r="N24" s="621"/>
    </row>
    <row r="25" spans="1:14" ht="15.75" customHeight="1">
      <c r="A25" s="620" t="s">
        <v>407</v>
      </c>
      <c r="B25" s="620"/>
      <c r="C25" s="620"/>
      <c r="D25" s="620"/>
      <c r="E25" s="620"/>
      <c r="F25" s="620"/>
      <c r="G25" s="620"/>
      <c r="H25" s="620"/>
      <c r="I25" s="620"/>
      <c r="J25" s="620"/>
      <c r="K25" s="620"/>
      <c r="L25" s="620"/>
      <c r="M25" s="620"/>
      <c r="N25" s="621"/>
    </row>
    <row r="26" spans="1:14" ht="15.75" customHeight="1">
      <c r="A26" s="620" t="s">
        <v>408</v>
      </c>
      <c r="B26" s="620"/>
      <c r="C26" s="620"/>
      <c r="D26" s="620"/>
      <c r="E26" s="620"/>
      <c r="F26" s="620"/>
      <c r="G26" s="620"/>
      <c r="H26" s="620"/>
      <c r="I26" s="620"/>
      <c r="J26" s="620"/>
      <c r="K26" s="620"/>
      <c r="L26" s="620"/>
      <c r="M26" s="620"/>
      <c r="N26" s="621"/>
    </row>
    <row r="27" spans="1:14" ht="15.75" customHeight="1">
      <c r="A27" s="620" t="s">
        <v>409</v>
      </c>
      <c r="B27" s="620"/>
      <c r="C27" s="620"/>
      <c r="D27" s="620"/>
      <c r="E27" s="620"/>
      <c r="F27" s="620"/>
      <c r="G27" s="620"/>
      <c r="H27" s="620"/>
      <c r="I27" s="620"/>
      <c r="J27" s="620"/>
      <c r="K27" s="620"/>
      <c r="L27" s="620"/>
      <c r="M27" s="620"/>
      <c r="N27" s="621"/>
    </row>
    <row r="28" spans="1:14" ht="15.75" customHeight="1">
      <c r="A28" s="620" t="s">
        <v>571</v>
      </c>
      <c r="B28" s="620"/>
      <c r="C28" s="620"/>
      <c r="D28" s="620"/>
      <c r="E28" s="620"/>
      <c r="F28" s="620"/>
      <c r="G28" s="620"/>
      <c r="H28" s="620"/>
      <c r="I28" s="620"/>
      <c r="J28" s="620"/>
      <c r="K28" s="620"/>
      <c r="L28" s="620"/>
      <c r="M28" s="620"/>
      <c r="N28" s="621"/>
    </row>
    <row r="29" spans="1:14" ht="15.75" customHeight="1">
      <c r="A29" s="620" t="s">
        <v>410</v>
      </c>
      <c r="B29" s="620"/>
      <c r="C29" s="620"/>
      <c r="D29" s="620"/>
      <c r="E29" s="620"/>
      <c r="F29" s="626"/>
      <c r="G29" s="632"/>
      <c r="H29" s="633"/>
      <c r="I29" s="632"/>
      <c r="J29" s="620"/>
      <c r="K29" s="620"/>
      <c r="L29" s="620"/>
      <c r="M29" s="620"/>
      <c r="N29" s="621"/>
    </row>
    <row r="30" spans="1:14" ht="15.75" customHeight="1">
      <c r="A30" s="620"/>
      <c r="B30" s="620"/>
      <c r="C30" s="623" t="s">
        <v>411</v>
      </c>
      <c r="D30" s="620"/>
      <c r="E30" s="620"/>
      <c r="F30" s="626" t="s">
        <v>286</v>
      </c>
      <c r="G30" s="688" t="str">
        <f>Sheet1!T380</f>
        <v/>
      </c>
      <c r="H30" s="626" t="s">
        <v>287</v>
      </c>
      <c r="I30" s="688" t="str">
        <f>Sheet1!T381</f>
        <v/>
      </c>
      <c r="J30" s="631"/>
      <c r="K30" s="620"/>
      <c r="L30" s="620"/>
      <c r="M30" s="620"/>
      <c r="N30" s="630"/>
    </row>
    <row r="31" spans="1:14" ht="15.75" customHeight="1">
      <c r="A31" s="620"/>
      <c r="B31" s="620"/>
      <c r="C31" s="623" t="s">
        <v>570</v>
      </c>
      <c r="D31" s="620"/>
      <c r="E31" s="620"/>
      <c r="F31" s="620"/>
      <c r="G31" s="620"/>
      <c r="H31" s="620"/>
      <c r="I31" s="620"/>
      <c r="J31" s="620"/>
      <c r="K31" s="620"/>
      <c r="L31" s="620"/>
      <c r="M31" s="620"/>
      <c r="N31" s="621"/>
    </row>
    <row r="32" spans="1:14" ht="15.75" customHeight="1">
      <c r="A32" s="620"/>
      <c r="B32" s="620"/>
      <c r="C32" s="623" t="s">
        <v>412</v>
      </c>
      <c r="D32" s="620"/>
      <c r="E32" s="620"/>
      <c r="F32" s="620"/>
      <c r="G32" s="620"/>
      <c r="H32" s="620"/>
      <c r="I32" s="620"/>
      <c r="J32" s="620"/>
      <c r="K32" s="620"/>
      <c r="L32" s="620"/>
      <c r="M32" s="620"/>
      <c r="N32" s="621"/>
    </row>
    <row r="33" spans="1:14" ht="15.75" customHeight="1">
      <c r="A33" s="620" t="s">
        <v>413</v>
      </c>
      <c r="B33" s="620"/>
      <c r="C33" s="620"/>
      <c r="D33" s="620"/>
      <c r="E33" s="620"/>
      <c r="F33" s="620"/>
      <c r="G33" s="620"/>
      <c r="H33" s="620"/>
      <c r="I33" s="620"/>
      <c r="J33" s="620"/>
      <c r="K33" s="620"/>
      <c r="L33" s="620"/>
      <c r="M33" s="620"/>
      <c r="N33" s="629"/>
    </row>
    <row r="34" spans="1:14" ht="15.75" customHeight="1">
      <c r="A34" s="620"/>
      <c r="B34" s="620"/>
      <c r="C34" s="623" t="s">
        <v>569</v>
      </c>
      <c r="D34" s="620"/>
      <c r="E34" s="620"/>
      <c r="F34" s="620"/>
      <c r="G34" s="620"/>
      <c r="H34" s="620"/>
      <c r="I34" s="620"/>
      <c r="J34" s="620"/>
      <c r="K34" s="620"/>
      <c r="L34" s="620"/>
      <c r="M34" s="620"/>
      <c r="N34" s="621"/>
    </row>
    <row r="35" spans="1:14" ht="15.75" customHeight="1">
      <c r="A35" s="620"/>
      <c r="B35" s="620"/>
      <c r="C35" s="628" t="s">
        <v>568</v>
      </c>
      <c r="D35" s="620"/>
      <c r="E35" s="620"/>
      <c r="F35" s="620"/>
      <c r="G35" s="620"/>
      <c r="H35" s="620"/>
      <c r="I35" s="620"/>
      <c r="J35" s="620"/>
      <c r="K35" s="620"/>
      <c r="L35" s="620"/>
      <c r="M35" s="620"/>
      <c r="N35" s="619"/>
    </row>
    <row r="36" spans="1:14" ht="15.75" customHeight="1">
      <c r="A36" s="622"/>
      <c r="B36" s="622"/>
      <c r="C36" s="627" t="s">
        <v>414</v>
      </c>
      <c r="D36" s="623"/>
      <c r="E36" s="623"/>
      <c r="F36" s="626"/>
      <c r="G36" s="626" t="s">
        <v>368</v>
      </c>
      <c r="H36" s="625"/>
      <c r="I36" s="626" t="s">
        <v>369</v>
      </c>
      <c r="J36" s="625"/>
      <c r="K36" s="626" t="s">
        <v>370</v>
      </c>
      <c r="L36" s="625"/>
      <c r="M36" s="624"/>
      <c r="N36" s="622"/>
    </row>
    <row r="37" spans="1:14" ht="15.75" customHeight="1">
      <c r="A37" s="620" t="s">
        <v>415</v>
      </c>
      <c r="B37" s="620"/>
      <c r="C37" s="620"/>
      <c r="D37" s="620"/>
      <c r="E37" s="620"/>
      <c r="F37" s="620"/>
      <c r="G37" s="620"/>
      <c r="H37" s="620"/>
      <c r="I37" s="620"/>
      <c r="J37" s="620"/>
      <c r="K37" s="620"/>
      <c r="L37" s="620"/>
      <c r="M37" s="620"/>
      <c r="N37" s="621"/>
    </row>
    <row r="38" spans="1:14" ht="15.75" customHeight="1">
      <c r="A38" s="620"/>
      <c r="B38" s="620"/>
      <c r="C38" s="623" t="s">
        <v>567</v>
      </c>
      <c r="D38" s="623"/>
      <c r="E38" s="623"/>
      <c r="F38" s="620"/>
      <c r="G38" s="620"/>
      <c r="H38" s="620"/>
      <c r="I38" s="620"/>
      <c r="J38" s="620"/>
      <c r="K38" s="620"/>
      <c r="L38" s="688" t="str">
        <f>MGD</f>
        <v/>
      </c>
      <c r="M38" s="623" t="s">
        <v>345</v>
      </c>
      <c r="N38" s="622"/>
    </row>
    <row r="39" spans="1:14" ht="15.75" customHeight="1">
      <c r="A39" s="620" t="s">
        <v>566</v>
      </c>
      <c r="B39" s="620"/>
      <c r="C39" s="620"/>
      <c r="D39" s="620"/>
      <c r="E39" s="620"/>
      <c r="F39" s="620"/>
      <c r="G39" s="620"/>
      <c r="H39" s="620"/>
      <c r="I39" s="620"/>
      <c r="J39" s="620"/>
      <c r="K39" s="620"/>
      <c r="L39" s="620"/>
      <c r="M39" s="620"/>
      <c r="N39" s="621"/>
    </row>
    <row r="40" spans="1:14" ht="15.75" customHeight="1">
      <c r="A40" s="620" t="s">
        <v>416</v>
      </c>
      <c r="B40" s="620"/>
      <c r="C40" s="620"/>
      <c r="D40" s="620"/>
      <c r="E40" s="620"/>
      <c r="F40" s="620"/>
      <c r="G40" s="620"/>
      <c r="H40" s="620"/>
      <c r="I40" s="620"/>
      <c r="J40" s="620"/>
      <c r="K40" s="620"/>
      <c r="L40" s="620"/>
      <c r="M40" s="620"/>
      <c r="N40" s="621"/>
    </row>
    <row r="41" spans="1:14" ht="15.75" customHeight="1">
      <c r="A41" s="620" t="s">
        <v>417</v>
      </c>
      <c r="B41" s="620"/>
      <c r="C41" s="620"/>
      <c r="D41" s="620"/>
      <c r="E41" s="620"/>
      <c r="F41" s="620"/>
      <c r="G41" s="620"/>
      <c r="H41" s="620"/>
      <c r="I41" s="620"/>
      <c r="J41" s="620"/>
      <c r="K41" s="620"/>
      <c r="L41" s="620"/>
      <c r="M41" s="620"/>
      <c r="N41" s="621"/>
    </row>
    <row r="42" spans="1:14" ht="15.75" customHeight="1">
      <c r="A42" s="620" t="s">
        <v>565</v>
      </c>
      <c r="B42" s="620"/>
      <c r="C42" s="620"/>
      <c r="D42" s="620"/>
      <c r="E42" s="620"/>
      <c r="F42" s="620"/>
      <c r="G42" s="620"/>
      <c r="H42" s="620"/>
      <c r="I42" s="620"/>
      <c r="J42" s="620"/>
      <c r="K42" s="620"/>
      <c r="L42" s="620"/>
      <c r="M42" s="620"/>
      <c r="N42" s="621"/>
    </row>
    <row r="43" spans="1:14" ht="15.75" customHeight="1">
      <c r="A43" s="620"/>
      <c r="B43" s="620"/>
      <c r="C43" s="620"/>
      <c r="D43" s="620"/>
      <c r="E43" s="620"/>
      <c r="F43" s="620"/>
      <c r="G43" s="620"/>
      <c r="H43" s="620"/>
      <c r="I43" s="620"/>
      <c r="J43" s="620"/>
      <c r="K43" s="620"/>
      <c r="L43" s="620"/>
      <c r="M43" s="620"/>
      <c r="N43" s="619"/>
    </row>
    <row r="44" spans="1:14" ht="15.75" customHeight="1">
      <c r="A44" s="620"/>
      <c r="B44" s="620"/>
      <c r="C44" s="620"/>
      <c r="D44" s="620"/>
      <c r="E44" s="620"/>
      <c r="F44" s="620"/>
      <c r="G44" s="620"/>
      <c r="H44" s="620"/>
      <c r="I44" s="620"/>
      <c r="J44" s="620"/>
      <c r="K44" s="620"/>
      <c r="L44" s="620"/>
      <c r="M44" s="620"/>
      <c r="N44" s="619"/>
    </row>
    <row r="45" spans="1:14" ht="15.75" customHeight="1">
      <c r="A45" s="620"/>
      <c r="B45" s="620"/>
      <c r="C45" s="620"/>
      <c r="D45" s="620"/>
      <c r="E45" s="620"/>
      <c r="F45" s="620"/>
      <c r="G45" s="620"/>
      <c r="H45" s="620"/>
      <c r="I45" s="620"/>
      <c r="J45" s="620"/>
      <c r="K45" s="620"/>
      <c r="L45" s="620"/>
      <c r="M45" s="620"/>
      <c r="N45" s="619"/>
    </row>
    <row r="46" spans="1:14" ht="15.75" customHeight="1">
      <c r="A46" s="620"/>
      <c r="B46" s="620"/>
      <c r="C46" s="620"/>
      <c r="D46" s="620"/>
      <c r="E46" s="620"/>
      <c r="F46" s="620"/>
      <c r="G46" s="620"/>
      <c r="H46" s="620"/>
      <c r="I46" s="620"/>
      <c r="J46" s="620"/>
      <c r="K46" s="620"/>
      <c r="L46" s="620"/>
      <c r="M46" s="620"/>
      <c r="N46" s="619"/>
    </row>
    <row r="47" spans="1:14" ht="15.75" customHeight="1">
      <c r="A47" s="620"/>
      <c r="B47" s="620"/>
      <c r="C47" s="620"/>
      <c r="D47" s="620"/>
      <c r="E47" s="620"/>
      <c r="F47" s="620"/>
      <c r="G47" s="620"/>
      <c r="H47" s="620"/>
      <c r="I47" s="620"/>
      <c r="J47" s="620"/>
      <c r="K47" s="620"/>
      <c r="L47" s="620"/>
      <c r="M47" s="620"/>
      <c r="N47" s="619"/>
    </row>
    <row r="48" spans="1:14" ht="15.75" customHeight="1">
      <c r="A48" s="620"/>
      <c r="B48" s="620"/>
      <c r="C48" s="620"/>
      <c r="D48" s="620"/>
      <c r="E48" s="620"/>
      <c r="F48" s="620"/>
      <c r="G48" s="620"/>
      <c r="H48" s="620"/>
      <c r="I48" s="620"/>
      <c r="J48" s="620"/>
      <c r="K48" s="620"/>
      <c r="L48" s="620"/>
      <c r="M48" s="620"/>
      <c r="N48" s="619"/>
    </row>
    <row r="49" spans="1:14" ht="15.75" customHeight="1">
      <c r="A49" s="620"/>
      <c r="B49" s="620"/>
      <c r="C49" s="620"/>
      <c r="D49" s="620"/>
      <c r="E49" s="620"/>
      <c r="F49" s="620"/>
      <c r="G49" s="620"/>
      <c r="H49" s="620"/>
      <c r="I49" s="620"/>
      <c r="J49" s="620"/>
      <c r="K49" s="620"/>
      <c r="L49" s="620"/>
      <c r="M49" s="620"/>
      <c r="N49" s="619"/>
    </row>
    <row r="50" spans="1:14" ht="15.75" customHeight="1">
      <c r="A50" s="620"/>
      <c r="B50" s="620"/>
      <c r="C50" s="620"/>
      <c r="D50" s="620"/>
      <c r="E50" s="620"/>
      <c r="F50" s="620"/>
      <c r="G50" s="620"/>
      <c r="H50" s="620"/>
      <c r="I50" s="620"/>
      <c r="J50" s="620"/>
      <c r="K50" s="620"/>
      <c r="L50" s="620"/>
      <c r="M50" s="620"/>
      <c r="N50" s="619"/>
    </row>
    <row r="51" spans="1:14" ht="15.75" customHeight="1">
      <c r="A51" s="620"/>
      <c r="B51" s="620"/>
      <c r="C51" s="620"/>
      <c r="D51" s="620"/>
      <c r="E51" s="620"/>
      <c r="F51" s="620"/>
      <c r="G51" s="620"/>
      <c r="H51" s="620"/>
      <c r="I51" s="620"/>
      <c r="J51" s="620"/>
      <c r="K51" s="620"/>
      <c r="L51" s="620"/>
      <c r="M51" s="620"/>
      <c r="N51" s="619"/>
    </row>
    <row r="52" spans="1:14" ht="15.75" customHeight="1">
      <c r="A52" s="620"/>
      <c r="B52" s="620"/>
      <c r="C52" s="620"/>
      <c r="D52" s="620"/>
      <c r="E52" s="620"/>
      <c r="F52" s="620"/>
      <c r="G52" s="620"/>
      <c r="H52" s="620"/>
      <c r="I52" s="620"/>
      <c r="J52" s="620"/>
      <c r="K52" s="620"/>
      <c r="L52" s="620"/>
      <c r="M52" s="620"/>
      <c r="N52" s="619"/>
    </row>
    <row r="53" spans="1:14" ht="15.75" customHeight="1">
      <c r="A53" s="620"/>
      <c r="B53" s="620"/>
      <c r="C53" s="620"/>
      <c r="D53" s="620"/>
      <c r="E53" s="620"/>
      <c r="F53" s="620"/>
      <c r="G53" s="620"/>
      <c r="H53" s="620"/>
      <c r="I53" s="620"/>
      <c r="J53" s="620"/>
      <c r="K53" s="620"/>
      <c r="L53" s="620"/>
      <c r="M53" s="620"/>
      <c r="N53" s="619"/>
    </row>
    <row r="54" spans="1:14" ht="15.75" customHeight="1">
      <c r="A54" s="620"/>
      <c r="B54" s="620"/>
      <c r="C54" s="620"/>
      <c r="D54" s="620"/>
      <c r="E54" s="620"/>
      <c r="F54" s="620"/>
      <c r="G54" s="620"/>
      <c r="H54" s="620"/>
      <c r="I54" s="620"/>
      <c r="J54" s="620"/>
      <c r="K54" s="620"/>
      <c r="L54" s="620"/>
      <c r="M54" s="620"/>
      <c r="N54" s="619"/>
    </row>
    <row r="55" spans="1:14" ht="15.75" customHeight="1">
      <c r="A55" s="700" t="s">
        <v>564</v>
      </c>
      <c r="B55" s="700"/>
      <c r="C55" s="700"/>
      <c r="D55" s="700"/>
      <c r="E55" s="700"/>
      <c r="F55" s="700"/>
      <c r="G55" s="700"/>
      <c r="H55" s="700"/>
      <c r="I55" s="700"/>
      <c r="J55" s="700"/>
      <c r="K55" s="700"/>
      <c r="L55" s="700"/>
      <c r="M55" s="700"/>
      <c r="N55" s="700"/>
    </row>
  </sheetData>
  <mergeCells count="29">
    <mergeCell ref="E8:H8"/>
    <mergeCell ref="E13:F13"/>
    <mergeCell ref="E12:F12"/>
    <mergeCell ref="G12:H12"/>
    <mergeCell ref="I12:J12"/>
    <mergeCell ref="I13:J13"/>
    <mergeCell ref="A1:N1"/>
    <mergeCell ref="A2:N2"/>
    <mergeCell ref="L7:N7"/>
    <mergeCell ref="K12:N12"/>
    <mergeCell ref="L4:N4"/>
    <mergeCell ref="L5:N5"/>
    <mergeCell ref="E10:H10"/>
    <mergeCell ref="C4:H4"/>
    <mergeCell ref="C5:H5"/>
    <mergeCell ref="L6:N6"/>
    <mergeCell ref="L8:N8"/>
    <mergeCell ref="K13:N13"/>
    <mergeCell ref="E6:H6"/>
    <mergeCell ref="E7:H7"/>
    <mergeCell ref="A55:N55"/>
    <mergeCell ref="G13:H13"/>
    <mergeCell ref="A19:N19"/>
    <mergeCell ref="I14:J14"/>
    <mergeCell ref="K14:N14"/>
    <mergeCell ref="A18:N18"/>
    <mergeCell ref="E14:F14"/>
    <mergeCell ref="G14:H14"/>
    <mergeCell ref="A15:N15"/>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showGridLines="0" workbookViewId="0">
      <selection activeCell="C4" sqref="C4:H4"/>
    </sheetView>
  </sheetViews>
  <sheetFormatPr defaultRowHeight="12.75"/>
  <cols>
    <col min="1" max="1" width="3.875" style="618" customWidth="1"/>
    <col min="2" max="2" width="19.125" style="618" customWidth="1"/>
    <col min="3" max="4" width="8.625" style="618" customWidth="1"/>
    <col min="5" max="5" width="9" style="618" customWidth="1"/>
    <col min="6" max="6" width="3.25" style="618" customWidth="1"/>
    <col min="7" max="7" width="13.75" style="618" customWidth="1"/>
    <col min="8" max="8" width="8.5" style="618" customWidth="1"/>
    <col min="9" max="9" width="9.5" style="618" customWidth="1"/>
    <col min="10" max="10" width="8.375" style="618" customWidth="1"/>
    <col min="11" max="11" width="8.625" style="618" customWidth="1"/>
    <col min="12" max="16384" width="9" style="618"/>
  </cols>
  <sheetData>
    <row r="1" spans="1:12" ht="27" customHeight="1">
      <c r="A1" s="734" t="s">
        <v>380</v>
      </c>
      <c r="B1" s="734"/>
      <c r="C1" s="734"/>
      <c r="D1" s="734"/>
      <c r="E1" s="734"/>
      <c r="F1" s="734"/>
      <c r="G1" s="734"/>
      <c r="H1" s="734"/>
      <c r="I1" s="734"/>
      <c r="J1" s="734"/>
      <c r="K1" s="734"/>
    </row>
    <row r="2" spans="1:12" ht="18" customHeight="1">
      <c r="A2" s="684" t="s">
        <v>418</v>
      </c>
      <c r="B2" s="683"/>
      <c r="C2" s="683"/>
      <c r="D2" s="683"/>
      <c r="E2" s="683"/>
      <c r="F2" s="683"/>
      <c r="G2" s="683"/>
      <c r="H2" s="683"/>
      <c r="I2" s="683"/>
      <c r="J2" s="683"/>
      <c r="K2" s="683"/>
    </row>
    <row r="3" spans="1:12" ht="15.75" customHeight="1"/>
    <row r="4" spans="1:12" ht="24" customHeight="1">
      <c r="A4" s="682" t="s">
        <v>419</v>
      </c>
      <c r="B4" s="681"/>
      <c r="C4" s="679"/>
      <c r="D4" s="679"/>
      <c r="E4" s="679"/>
      <c r="F4" s="679"/>
      <c r="G4" s="679"/>
      <c r="H4" s="679"/>
      <c r="I4" s="679"/>
      <c r="J4" s="680"/>
      <c r="K4" s="679"/>
    </row>
    <row r="5" spans="1:12" ht="42" customHeight="1">
      <c r="A5" s="737" t="s">
        <v>580</v>
      </c>
      <c r="B5" s="737"/>
      <c r="C5" s="737"/>
      <c r="D5" s="737"/>
      <c r="E5" s="737"/>
      <c r="F5" s="737"/>
      <c r="G5" s="737"/>
      <c r="H5" s="737"/>
      <c r="I5" s="737"/>
      <c r="J5" s="737"/>
      <c r="K5" s="737"/>
    </row>
    <row r="6" spans="1:12" ht="15" customHeight="1">
      <c r="A6" s="678" t="s">
        <v>579</v>
      </c>
      <c r="B6" s="677"/>
      <c r="C6" s="677"/>
      <c r="D6" s="677"/>
      <c r="E6" s="677"/>
      <c r="F6" s="677"/>
      <c r="G6" s="677"/>
      <c r="H6" s="677"/>
      <c r="I6" s="676"/>
      <c r="J6" s="675"/>
      <c r="K6" s="675"/>
    </row>
    <row r="7" spans="1:12" ht="15" customHeight="1">
      <c r="A7" s="674" t="s">
        <v>578</v>
      </c>
      <c r="B7" s="673"/>
      <c r="C7" s="673"/>
      <c r="D7" s="673"/>
      <c r="E7" s="673"/>
      <c r="F7" s="673"/>
      <c r="G7" s="673"/>
      <c r="H7" s="673"/>
      <c r="I7" s="673"/>
      <c r="J7" s="673"/>
      <c r="K7" s="673"/>
    </row>
    <row r="8" spans="1:12" ht="15" customHeight="1">
      <c r="J8" s="736"/>
      <c r="K8" s="736"/>
    </row>
    <row r="9" spans="1:12" ht="15" customHeight="1">
      <c r="A9" s="659"/>
      <c r="E9" s="659"/>
      <c r="H9" s="634" t="s">
        <v>420</v>
      </c>
      <c r="I9" s="672"/>
      <c r="J9" s="735" t="s">
        <v>403</v>
      </c>
      <c r="K9" s="735"/>
    </row>
    <row r="10" spans="1:12" ht="15.75" customHeight="1">
      <c r="A10" s="671" t="s">
        <v>421</v>
      </c>
      <c r="B10" s="623" t="s">
        <v>422</v>
      </c>
      <c r="C10" s="622"/>
      <c r="E10" s="659"/>
      <c r="H10" s="670" t="s">
        <v>423</v>
      </c>
      <c r="J10" s="746"/>
      <c r="K10" s="747"/>
    </row>
    <row r="11" spans="1:12" ht="15.75" customHeight="1">
      <c r="A11" s="666" t="s">
        <v>424</v>
      </c>
      <c r="B11" s="623" t="s">
        <v>425</v>
      </c>
      <c r="C11" s="622"/>
      <c r="E11" s="659"/>
      <c r="H11" s="669" t="s">
        <v>426</v>
      </c>
      <c r="J11" s="746"/>
      <c r="K11" s="747"/>
    </row>
    <row r="12" spans="1:12" ht="15.75" customHeight="1">
      <c r="A12" s="666" t="s">
        <v>427</v>
      </c>
      <c r="B12" s="623" t="s">
        <v>428</v>
      </c>
      <c r="C12" s="622"/>
      <c r="E12" s="659"/>
      <c r="H12" s="667" t="s">
        <v>429</v>
      </c>
      <c r="J12" s="746"/>
      <c r="K12" s="747"/>
    </row>
    <row r="13" spans="1:12" ht="15.75" customHeight="1">
      <c r="A13" s="668" t="s">
        <v>430</v>
      </c>
      <c r="B13" s="623" t="s">
        <v>431</v>
      </c>
      <c r="C13" s="622"/>
      <c r="E13" s="659"/>
      <c r="H13" s="667" t="s">
        <v>429</v>
      </c>
      <c r="J13" s="746"/>
      <c r="K13" s="747"/>
    </row>
    <row r="14" spans="1:12" ht="15.75" customHeight="1">
      <c r="A14" s="668" t="s">
        <v>432</v>
      </c>
      <c r="B14" s="623" t="s">
        <v>433</v>
      </c>
      <c r="C14" s="622"/>
      <c r="E14" s="659"/>
      <c r="H14" s="667" t="s">
        <v>434</v>
      </c>
      <c r="J14" s="746"/>
      <c r="K14" s="747"/>
      <c r="L14" s="659"/>
    </row>
    <row r="15" spans="1:12" ht="15.75" customHeight="1">
      <c r="A15" s="666" t="s">
        <v>435</v>
      </c>
      <c r="B15" s="623" t="s">
        <v>436</v>
      </c>
      <c r="C15" s="622"/>
      <c r="E15" s="659"/>
      <c r="H15" s="667" t="s">
        <v>437</v>
      </c>
      <c r="J15" s="746"/>
      <c r="K15" s="747"/>
      <c r="L15" s="659"/>
    </row>
    <row r="16" spans="1:12" ht="15.75" customHeight="1">
      <c r="A16" s="666" t="s">
        <v>438</v>
      </c>
      <c r="B16" s="623" t="s">
        <v>439</v>
      </c>
      <c r="C16" s="622"/>
      <c r="E16" s="659"/>
      <c r="H16" s="667" t="s">
        <v>440</v>
      </c>
      <c r="J16" s="746"/>
      <c r="K16" s="747"/>
      <c r="L16" s="659"/>
    </row>
    <row r="17" spans="1:12" ht="15.75" customHeight="1">
      <c r="A17" s="666" t="s">
        <v>441</v>
      </c>
      <c r="B17" s="665" t="s">
        <v>577</v>
      </c>
      <c r="C17" s="622"/>
      <c r="H17" s="664" t="s">
        <v>442</v>
      </c>
      <c r="I17" s="619"/>
      <c r="J17" s="746"/>
      <c r="K17" s="747"/>
      <c r="L17" s="663"/>
    </row>
    <row r="18" spans="1:12" ht="15.75" customHeight="1">
      <c r="A18" s="635"/>
      <c r="B18" s="662"/>
      <c r="E18" s="659"/>
      <c r="H18" s="661"/>
      <c r="J18" s="660"/>
      <c r="K18" s="660"/>
      <c r="L18" s="659"/>
    </row>
    <row r="19" spans="1:12" ht="24" customHeight="1">
      <c r="A19" s="748" t="s">
        <v>443</v>
      </c>
      <c r="B19" s="748"/>
      <c r="C19" s="748"/>
      <c r="D19" s="748"/>
      <c r="E19" s="748"/>
      <c r="F19" s="748"/>
      <c r="G19" s="748"/>
      <c r="H19" s="748"/>
      <c r="I19" s="748"/>
      <c r="J19" s="748"/>
      <c r="K19" s="748"/>
    </row>
    <row r="20" spans="1:12" ht="15" customHeight="1">
      <c r="A20" s="658"/>
      <c r="B20" s="657"/>
      <c r="C20" s="657"/>
      <c r="D20" s="657"/>
      <c r="E20" s="657"/>
      <c r="F20" s="657"/>
      <c r="G20" s="657"/>
      <c r="H20" s="657"/>
      <c r="I20" s="657"/>
      <c r="J20" s="657"/>
      <c r="K20" s="657"/>
    </row>
    <row r="21" spans="1:12" ht="290.25" customHeight="1">
      <c r="A21" s="738"/>
      <c r="B21" s="739"/>
      <c r="C21" s="739"/>
      <c r="D21" s="739"/>
      <c r="E21" s="739"/>
      <c r="F21" s="739"/>
      <c r="G21" s="739"/>
      <c r="H21" s="739"/>
      <c r="I21" s="739"/>
      <c r="J21" s="739"/>
      <c r="K21" s="740"/>
    </row>
    <row r="22" spans="1:12" ht="15" customHeight="1" thickBot="1">
      <c r="A22" s="744"/>
      <c r="B22" s="744"/>
      <c r="C22" s="744"/>
      <c r="D22" s="744"/>
      <c r="E22" s="744"/>
      <c r="F22" s="744"/>
      <c r="G22" s="744"/>
      <c r="H22" s="744"/>
      <c r="I22" s="744"/>
      <c r="J22" s="744"/>
      <c r="K22" s="744"/>
    </row>
    <row r="23" spans="1:12" ht="13.5" hidden="1" thickBot="1">
      <c r="A23" s="745"/>
      <c r="B23" s="745"/>
      <c r="C23" s="745"/>
      <c r="D23" s="745"/>
      <c r="E23" s="745"/>
      <c r="F23" s="745"/>
      <c r="G23" s="745"/>
      <c r="H23" s="745"/>
      <c r="I23" s="745"/>
      <c r="J23" s="745"/>
      <c r="K23" s="745"/>
    </row>
    <row r="24" spans="1:12" ht="13.5" hidden="1" thickBot="1">
      <c r="A24" s="745"/>
      <c r="B24" s="745"/>
      <c r="C24" s="745"/>
      <c r="D24" s="745"/>
      <c r="E24" s="745"/>
      <c r="F24" s="745"/>
      <c r="G24" s="745"/>
      <c r="H24" s="745"/>
      <c r="I24" s="745"/>
      <c r="J24" s="745"/>
      <c r="K24" s="745"/>
    </row>
    <row r="25" spans="1:12" ht="13.5" hidden="1" thickBot="1">
      <c r="A25" s="745"/>
      <c r="B25" s="745"/>
      <c r="C25" s="745"/>
      <c r="D25" s="745"/>
      <c r="E25" s="745"/>
      <c r="F25" s="745"/>
      <c r="G25" s="745"/>
      <c r="H25" s="745"/>
      <c r="I25" s="745"/>
      <c r="J25" s="745"/>
      <c r="K25" s="745"/>
    </row>
    <row r="26" spans="1:12" ht="13.5" hidden="1" thickBot="1">
      <c r="A26" s="745"/>
      <c r="B26" s="745"/>
      <c r="C26" s="745"/>
      <c r="D26" s="745"/>
      <c r="E26" s="745"/>
      <c r="F26" s="745"/>
      <c r="G26" s="745"/>
      <c r="H26" s="745"/>
      <c r="I26" s="745"/>
      <c r="J26" s="745"/>
      <c r="K26" s="745"/>
    </row>
    <row r="27" spans="1:12" ht="13.5" hidden="1" thickBot="1">
      <c r="A27" s="745"/>
      <c r="B27" s="745"/>
      <c r="C27" s="745"/>
      <c r="D27" s="745"/>
      <c r="E27" s="745"/>
      <c r="F27" s="745"/>
      <c r="G27" s="745"/>
      <c r="H27" s="745"/>
      <c r="I27" s="745"/>
      <c r="J27" s="745"/>
      <c r="K27" s="745"/>
    </row>
    <row r="28" spans="1:12" ht="13.5" hidden="1" thickBot="1">
      <c r="A28" s="745"/>
      <c r="B28" s="745"/>
      <c r="C28" s="745"/>
      <c r="D28" s="745"/>
      <c r="E28" s="745"/>
      <c r="F28" s="745"/>
      <c r="G28" s="745"/>
      <c r="H28" s="745"/>
      <c r="I28" s="745"/>
      <c r="J28" s="745"/>
      <c r="K28" s="745"/>
    </row>
    <row r="29" spans="1:12" ht="201.75" customHeight="1" thickBot="1">
      <c r="A29" s="741" t="s">
        <v>576</v>
      </c>
      <c r="B29" s="742"/>
      <c r="C29" s="742"/>
      <c r="D29" s="742"/>
      <c r="E29" s="742"/>
      <c r="F29" s="742"/>
      <c r="G29" s="742"/>
      <c r="H29" s="742"/>
      <c r="I29" s="742"/>
      <c r="J29" s="742"/>
      <c r="K29" s="743"/>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32"/>
  <sheetViews>
    <sheetView tabSelected="1" topLeftCell="C357" zoomScale="75" zoomScaleNormal="75" workbookViewId="0">
      <selection activeCell="K374" sqref="K374"/>
    </sheetView>
  </sheetViews>
  <sheetFormatPr defaultRowHeight="14.1" customHeight="1"/>
  <cols>
    <col min="1" max="1" width="2.375" style="13" customWidth="1"/>
    <col min="2" max="2" width="2.375" style="25" customWidth="1"/>
    <col min="3" max="13" width="10.625" style="25" customWidth="1"/>
    <col min="14" max="14" width="2.375" style="25" customWidth="1"/>
    <col min="15" max="43" width="10.625" style="25" customWidth="1"/>
    <col min="44" max="16384" width="9" style="6"/>
  </cols>
  <sheetData>
    <row r="1" spans="1:43" ht="14.1" customHeight="1" thickTop="1">
      <c r="A1" s="21"/>
      <c r="B1" s="22"/>
      <c r="C1" s="23"/>
      <c r="D1" s="23"/>
      <c r="E1" s="23"/>
      <c r="F1" s="23"/>
      <c r="G1" s="23"/>
      <c r="H1" s="23"/>
      <c r="I1" s="23"/>
      <c r="J1" s="23"/>
      <c r="K1" s="23"/>
      <c r="L1" s="23"/>
      <c r="M1" s="24"/>
      <c r="O1" s="26" t="s">
        <v>0</v>
      </c>
      <c r="P1" s="27"/>
      <c r="Q1" s="27"/>
      <c r="R1" s="27"/>
      <c r="S1" s="27"/>
      <c r="T1" s="27"/>
      <c r="U1" s="27"/>
      <c r="V1" s="27"/>
      <c r="W1" s="27"/>
      <c r="X1" s="27"/>
      <c r="Y1" s="28"/>
      <c r="AA1" s="29" t="s">
        <v>1</v>
      </c>
    </row>
    <row r="2" spans="1:43" ht="14.1" customHeight="1">
      <c r="A2" s="21">
        <v>2</v>
      </c>
      <c r="B2" s="30"/>
      <c r="C2" s="31"/>
      <c r="D2" s="31"/>
      <c r="E2" s="31"/>
      <c r="F2" s="31"/>
      <c r="G2" s="31"/>
      <c r="H2" s="32" t="s">
        <v>2</v>
      </c>
      <c r="I2" s="31"/>
      <c r="J2" s="31"/>
      <c r="K2" s="31"/>
      <c r="L2" s="31"/>
      <c r="M2" s="33"/>
      <c r="O2" s="34"/>
      <c r="T2" s="35" t="s">
        <v>2</v>
      </c>
      <c r="Y2" s="36"/>
      <c r="AA2" s="37" t="s">
        <v>3</v>
      </c>
    </row>
    <row r="3" spans="1:43" ht="14.1" customHeight="1">
      <c r="A3" s="21">
        <v>3</v>
      </c>
      <c r="B3" s="30"/>
      <c r="C3" s="31"/>
      <c r="D3" s="31"/>
      <c r="E3" s="31"/>
      <c r="F3" s="31"/>
      <c r="G3" s="31"/>
      <c r="H3" s="32" t="s">
        <v>4</v>
      </c>
      <c r="I3" s="31"/>
      <c r="J3" s="31"/>
      <c r="K3" s="31"/>
      <c r="L3" s="31"/>
      <c r="M3" s="33"/>
      <c r="O3" s="34"/>
      <c r="T3" s="35" t="s">
        <v>4</v>
      </c>
      <c r="Y3" s="36"/>
      <c r="AA3" s="38" t="str">
        <f>IF(AB7="","",AB7)</f>
        <v/>
      </c>
    </row>
    <row r="4" spans="1:43" ht="14.1" customHeight="1">
      <c r="A4" s="21">
        <v>4</v>
      </c>
      <c r="B4" s="30"/>
      <c r="C4" s="31"/>
      <c r="D4" s="31"/>
      <c r="E4" s="31"/>
      <c r="F4" s="31"/>
      <c r="G4" s="31"/>
      <c r="H4" s="31"/>
      <c r="I4" s="31"/>
      <c r="J4" s="31"/>
      <c r="K4" s="31"/>
      <c r="L4" s="31"/>
      <c r="M4" s="33"/>
      <c r="O4" s="34"/>
      <c r="T4" s="13"/>
      <c r="Y4" s="36"/>
      <c r="AA4" s="39" t="s">
        <v>5</v>
      </c>
      <c r="AB4" s="40" t="s">
        <v>6</v>
      </c>
    </row>
    <row r="5" spans="1:43" ht="14.1" customHeight="1">
      <c r="A5" s="21">
        <v>5</v>
      </c>
      <c r="B5" s="30"/>
      <c r="C5" s="31"/>
      <c r="D5" s="31"/>
      <c r="E5" s="31"/>
      <c r="F5" s="31"/>
      <c r="G5" s="31"/>
      <c r="H5" s="32" t="s">
        <v>7</v>
      </c>
      <c r="I5" s="31"/>
      <c r="J5" s="31"/>
      <c r="K5" s="31"/>
      <c r="L5" s="31"/>
      <c r="M5" s="33"/>
      <c r="O5" s="34"/>
      <c r="T5" s="35" t="s">
        <v>7</v>
      </c>
      <c r="Y5" s="36"/>
    </row>
    <row r="6" spans="1:43" ht="14.1" customHeight="1" thickBot="1">
      <c r="A6" s="21">
        <v>6</v>
      </c>
      <c r="B6" s="41"/>
      <c r="C6" s="42"/>
      <c r="D6" s="42"/>
      <c r="E6" s="42"/>
      <c r="F6" s="42"/>
      <c r="G6" s="42"/>
      <c r="H6" s="42"/>
      <c r="I6" s="42"/>
      <c r="J6" s="42"/>
      <c r="K6" s="42"/>
      <c r="L6" s="42"/>
      <c r="M6" s="43"/>
      <c r="O6" s="44"/>
      <c r="P6" s="45"/>
      <c r="Q6" s="45"/>
      <c r="R6" s="45"/>
      <c r="S6" s="45"/>
      <c r="T6" s="45"/>
      <c r="U6" s="45"/>
      <c r="V6" s="45"/>
      <c r="W6" s="45"/>
      <c r="X6" s="45"/>
      <c r="Y6" s="46"/>
      <c r="AA6" s="47" t="s">
        <v>8</v>
      </c>
      <c r="AB6" s="25" t="s">
        <v>9</v>
      </c>
      <c r="AD6" s="25" t="s">
        <v>10</v>
      </c>
    </row>
    <row r="7" spans="1:43" ht="14.1" customHeight="1" thickTop="1">
      <c r="A7" s="21">
        <v>7</v>
      </c>
      <c r="O7" s="25" t="s">
        <v>11</v>
      </c>
      <c r="P7" s="48"/>
      <c r="Q7" s="49"/>
      <c r="W7" s="25" t="s">
        <v>12</v>
      </c>
      <c r="X7" s="50" t="str">
        <f>IF(Y7&lt;&gt;"",Y7,IF(AB9="","",AB9))</f>
        <v>Eugene Mah</v>
      </c>
      <c r="Y7" s="51" t="s">
        <v>13</v>
      </c>
      <c r="AA7" s="39" t="s">
        <v>1</v>
      </c>
      <c r="AB7" s="52"/>
      <c r="AC7" s="53" t="str">
        <f t="shared" ref="AC7:AC19" si="0">IF(AB7&lt;&gt;AD7,"Change","")</f>
        <v>Change</v>
      </c>
      <c r="AD7" s="54" t="str">
        <f>IF(OR(AA2="",AA2=0),"",AA2)</f>
        <v>Page1,HVLPage,ExpChart,ImgQuality,Compg1,GraphAcryl,LeedsTO10</v>
      </c>
    </row>
    <row r="8" spans="1:43" ht="14.1" customHeight="1" thickBot="1">
      <c r="A8" s="21">
        <v>8</v>
      </c>
      <c r="G8" s="55"/>
      <c r="H8" s="55" t="s">
        <v>14</v>
      </c>
      <c r="O8" s="25" t="s">
        <v>15</v>
      </c>
      <c r="P8" s="56" t="str">
        <f>IF(AB8="","",AB8)</f>
        <v/>
      </c>
      <c r="Q8" s="57"/>
      <c r="T8" s="58" t="s">
        <v>14</v>
      </c>
      <c r="W8" s="59"/>
      <c r="X8" s="59"/>
      <c r="Y8" s="60"/>
      <c r="AA8" s="39" t="s">
        <v>16</v>
      </c>
      <c r="AB8" s="61"/>
      <c r="AC8" s="53" t="str">
        <f t="shared" si="0"/>
        <v/>
      </c>
      <c r="AD8" s="62" t="str">
        <f>IF(P7="","",P7)</f>
        <v/>
      </c>
    </row>
    <row r="9" spans="1:43" ht="14.1" customHeight="1" thickTop="1">
      <c r="A9" s="21">
        <v>9</v>
      </c>
      <c r="B9" s="63"/>
      <c r="C9" s="64"/>
      <c r="D9" s="65" t="s">
        <v>17</v>
      </c>
      <c r="E9" s="64"/>
      <c r="F9" s="64"/>
      <c r="G9" s="64"/>
      <c r="H9" s="64"/>
      <c r="I9" s="64"/>
      <c r="J9" s="64"/>
      <c r="K9" s="64"/>
      <c r="L9" s="64"/>
      <c r="M9" s="66"/>
      <c r="O9" s="67"/>
      <c r="P9" s="68" t="s">
        <v>17</v>
      </c>
      <c r="Q9" s="27"/>
      <c r="R9" s="27"/>
      <c r="S9" s="69" t="s">
        <v>18</v>
      </c>
      <c r="T9" s="27"/>
      <c r="U9" s="27"/>
      <c r="V9" s="27"/>
      <c r="W9" s="69" t="s">
        <v>18</v>
      </c>
      <c r="X9" s="27"/>
      <c r="Y9" s="28"/>
      <c r="AA9" s="39" t="s">
        <v>19</v>
      </c>
      <c r="AB9" s="70" t="s">
        <v>13</v>
      </c>
      <c r="AC9" s="53" t="str">
        <f t="shared" si="0"/>
        <v/>
      </c>
      <c r="AD9" s="71" t="str">
        <f>IF(X7="","",X7)</f>
        <v>Eugene Mah</v>
      </c>
      <c r="AH9" s="13" t="s">
        <v>20</v>
      </c>
      <c r="AI9" s="13" t="s">
        <v>21</v>
      </c>
      <c r="AJ9" s="13" t="s">
        <v>22</v>
      </c>
      <c r="AK9" s="13" t="s">
        <v>23</v>
      </c>
      <c r="AL9" s="13" t="s">
        <v>24</v>
      </c>
      <c r="AM9" s="13" t="s">
        <v>25</v>
      </c>
      <c r="AN9" s="13" t="s">
        <v>26</v>
      </c>
      <c r="AO9" s="13" t="s">
        <v>27</v>
      </c>
      <c r="AP9" s="13" t="s">
        <v>28</v>
      </c>
      <c r="AQ9" s="13" t="s">
        <v>29</v>
      </c>
    </row>
    <row r="10" spans="1:43" ht="14.1" customHeight="1">
      <c r="A10" s="21">
        <v>10</v>
      </c>
      <c r="B10" s="72"/>
      <c r="C10" s="73"/>
      <c r="E10" s="39" t="s">
        <v>30</v>
      </c>
      <c r="F10" s="759" t="str">
        <f>IF(R10="","",R10)</f>
        <v/>
      </c>
      <c r="G10" s="759"/>
      <c r="J10" s="39" t="s">
        <v>31</v>
      </c>
      <c r="K10" s="759" t="str">
        <f>IF(V10="","",V10)</f>
        <v/>
      </c>
      <c r="L10" s="759"/>
      <c r="M10" s="74"/>
      <c r="O10" s="34"/>
      <c r="Q10" s="39" t="s">
        <v>30</v>
      </c>
      <c r="R10" s="50" t="str">
        <f>IF(S10&lt;&gt;"",S10,IF(AB10="","",AB10))</f>
        <v/>
      </c>
      <c r="S10" s="51"/>
      <c r="U10" s="39" t="s">
        <v>31</v>
      </c>
      <c r="V10" s="50" t="str">
        <f>IF(W10&lt;&gt;"",W10,IF(AB15="","",AB15))</f>
        <v/>
      </c>
      <c r="W10" s="51"/>
      <c r="Y10" s="36"/>
      <c r="AA10" s="39" t="s">
        <v>30</v>
      </c>
      <c r="AB10" s="70"/>
      <c r="AC10" s="53" t="str">
        <f t="shared" si="0"/>
        <v/>
      </c>
      <c r="AD10" s="71" t="str">
        <f>IF(R10="","",R10)</f>
        <v/>
      </c>
      <c r="AH10" s="20">
        <v>24</v>
      </c>
      <c r="AI10" s="20">
        <v>50</v>
      </c>
      <c r="AJ10" s="75">
        <v>0</v>
      </c>
      <c r="AK10" s="20" t="s">
        <v>32</v>
      </c>
      <c r="AL10" s="20" t="s">
        <v>32</v>
      </c>
      <c r="AM10" s="20"/>
      <c r="AN10" s="20"/>
      <c r="AO10" s="20"/>
      <c r="AP10" s="20"/>
      <c r="AQ10" s="76"/>
    </row>
    <row r="11" spans="1:43" ht="14.1" customHeight="1">
      <c r="A11" s="21">
        <v>11</v>
      </c>
      <c r="B11" s="72"/>
      <c r="C11" s="73"/>
      <c r="E11" s="39" t="s">
        <v>33</v>
      </c>
      <c r="F11" s="769" t="str">
        <f>IF(R11="","",R11)</f>
        <v/>
      </c>
      <c r="G11" s="769"/>
      <c r="J11" s="39" t="s">
        <v>34</v>
      </c>
      <c r="K11" s="759" t="str">
        <f>IF(V11="","",V11)</f>
        <v/>
      </c>
      <c r="L11" s="759"/>
      <c r="M11" s="74"/>
      <c r="O11" s="34"/>
      <c r="Q11" s="39" t="s">
        <v>33</v>
      </c>
      <c r="R11" s="50" t="str">
        <f>IF(S11&lt;&gt;"",S11,IF(AB11="","",AB11))</f>
        <v/>
      </c>
      <c r="S11" s="51"/>
      <c r="U11" s="39" t="s">
        <v>34</v>
      </c>
      <c r="V11" s="50" t="str">
        <f>IF(W11&lt;&gt;"",W11,IF(AB16="","",AB16))</f>
        <v/>
      </c>
      <c r="W11" s="51"/>
      <c r="Y11" s="36"/>
      <c r="AA11" s="39" t="s">
        <v>33</v>
      </c>
      <c r="AB11" s="70"/>
      <c r="AC11" s="53" t="str">
        <f t="shared" si="0"/>
        <v/>
      </c>
      <c r="AD11" s="71" t="str">
        <f>IF(R11="","",R11)</f>
        <v/>
      </c>
      <c r="AH11" s="20">
        <v>26</v>
      </c>
      <c r="AI11" s="20">
        <v>50</v>
      </c>
      <c r="AJ11" s="75">
        <v>0</v>
      </c>
      <c r="AK11" s="20" t="s">
        <v>32</v>
      </c>
      <c r="AL11" s="20" t="s">
        <v>32</v>
      </c>
      <c r="AM11" s="20"/>
      <c r="AN11" s="20"/>
      <c r="AO11" s="20"/>
      <c r="AP11" s="20"/>
      <c r="AQ11" s="76"/>
    </row>
    <row r="12" spans="1:43" ht="14.1" customHeight="1">
      <c r="A12" s="21">
        <v>12</v>
      </c>
      <c r="B12" s="72"/>
      <c r="C12" s="73"/>
      <c r="E12" s="39" t="s">
        <v>35</v>
      </c>
      <c r="F12" s="769" t="str">
        <f>IF(R12="","",R12)</f>
        <v/>
      </c>
      <c r="G12" s="769"/>
      <c r="J12" s="39" t="s">
        <v>36</v>
      </c>
      <c r="K12" s="770" t="str">
        <f>IF(V12="","",V12)</f>
        <v/>
      </c>
      <c r="L12" s="770"/>
      <c r="M12" s="74"/>
      <c r="O12" s="34"/>
      <c r="Q12" s="39" t="s">
        <v>35</v>
      </c>
      <c r="R12" s="50" t="str">
        <f>IF(S12&lt;&gt;"",S12,IF(AB12="","",AB12))</f>
        <v/>
      </c>
      <c r="S12" s="51"/>
      <c r="U12" s="39" t="s">
        <v>36</v>
      </c>
      <c r="V12" s="77" t="str">
        <f>IF(W12&lt;&gt;"",W12,IF(AB17="","",AB17))</f>
        <v/>
      </c>
      <c r="W12" s="78"/>
      <c r="Y12" s="36"/>
      <c r="AA12" s="39" t="s">
        <v>35</v>
      </c>
      <c r="AB12" s="70"/>
      <c r="AC12" s="53" t="str">
        <f t="shared" si="0"/>
        <v/>
      </c>
      <c r="AD12" s="71" t="str">
        <f>IF(R12="","",R12)</f>
        <v/>
      </c>
      <c r="AH12" s="20">
        <v>28</v>
      </c>
      <c r="AI12" s="20">
        <v>50</v>
      </c>
      <c r="AJ12" s="75">
        <v>0</v>
      </c>
      <c r="AK12" s="20" t="s">
        <v>32</v>
      </c>
      <c r="AL12" s="20" t="s">
        <v>32</v>
      </c>
      <c r="AM12" s="20"/>
      <c r="AN12" s="20"/>
      <c r="AO12" s="20"/>
      <c r="AP12" s="20"/>
      <c r="AQ12" s="76"/>
    </row>
    <row r="13" spans="1:43" ht="14.1" customHeight="1">
      <c r="A13" s="21">
        <v>13</v>
      </c>
      <c r="B13" s="72"/>
      <c r="C13" s="73"/>
      <c r="E13" s="39" t="s">
        <v>37</v>
      </c>
      <c r="F13" s="769" t="str">
        <f>IF(R13="","",R13)</f>
        <v/>
      </c>
      <c r="G13" s="769"/>
      <c r="J13" s="39" t="s">
        <v>38</v>
      </c>
      <c r="K13" s="759" t="str">
        <f>IF(V13="","",V13)</f>
        <v/>
      </c>
      <c r="L13" s="759"/>
      <c r="M13" s="74"/>
      <c r="O13" s="34"/>
      <c r="Q13" s="39" t="s">
        <v>37</v>
      </c>
      <c r="R13" s="50" t="str">
        <f>IF(S13&lt;&gt;"",S13,IF(AB13="","",AB13))</f>
        <v/>
      </c>
      <c r="S13" s="51"/>
      <c r="U13" s="39" t="s">
        <v>38</v>
      </c>
      <c r="V13" s="50" t="str">
        <f>IF(W13&lt;&gt;"",W13,IF(AB18="","",AB18))</f>
        <v/>
      </c>
      <c r="W13" s="51"/>
      <c r="Y13" s="36"/>
      <c r="AA13" s="39" t="s">
        <v>37</v>
      </c>
      <c r="AB13" s="70"/>
      <c r="AC13" s="53" t="str">
        <f t="shared" si="0"/>
        <v/>
      </c>
      <c r="AD13" s="71" t="str">
        <f>IF(R13="","",R13)</f>
        <v/>
      </c>
      <c r="AH13" s="20">
        <v>28</v>
      </c>
      <c r="AI13" s="20">
        <v>50</v>
      </c>
      <c r="AJ13" s="75">
        <v>0</v>
      </c>
      <c r="AK13" s="20" t="s">
        <v>32</v>
      </c>
      <c r="AL13" s="20" t="s">
        <v>32</v>
      </c>
      <c r="AM13" s="20"/>
      <c r="AN13" s="20"/>
      <c r="AO13" s="20"/>
      <c r="AP13" s="20"/>
      <c r="AQ13" s="76"/>
    </row>
    <row r="14" spans="1:43" ht="14.1" customHeight="1">
      <c r="A14" s="21">
        <v>14</v>
      </c>
      <c r="B14" s="72"/>
      <c r="C14" s="73"/>
      <c r="M14" s="74"/>
      <c r="O14" s="34"/>
      <c r="Q14" s="39" t="s">
        <v>39</v>
      </c>
      <c r="R14" s="50" t="str">
        <f>IF(S14&lt;&gt;"",S14,IF(AB14="","",AB14))</f>
        <v/>
      </c>
      <c r="S14" s="51"/>
      <c r="U14" s="39" t="s">
        <v>40</v>
      </c>
      <c r="V14" s="50" t="str">
        <f>IF(W14&lt;&gt;"",W14,IF(AB19="","",AB19))</f>
        <v/>
      </c>
      <c r="W14" s="51"/>
      <c r="Y14" s="36"/>
      <c r="AA14" s="39" t="s">
        <v>39</v>
      </c>
      <c r="AB14" s="79"/>
      <c r="AC14" s="53" t="str">
        <f t="shared" si="0"/>
        <v/>
      </c>
      <c r="AD14" s="71" t="str">
        <f>IF(R14="","",R14)</f>
        <v/>
      </c>
      <c r="AH14" s="20">
        <v>28</v>
      </c>
      <c r="AI14" s="20">
        <v>50</v>
      </c>
      <c r="AJ14" s="75">
        <v>0</v>
      </c>
      <c r="AK14" s="20" t="s">
        <v>32</v>
      </c>
      <c r="AL14" s="20" t="s">
        <v>32</v>
      </c>
      <c r="AM14" s="20"/>
      <c r="AN14" s="20"/>
      <c r="AO14" s="20"/>
      <c r="AP14" s="20"/>
      <c r="AQ14" s="76"/>
    </row>
    <row r="15" spans="1:43" ht="14.1" customHeight="1">
      <c r="A15" s="21">
        <v>15</v>
      </c>
      <c r="B15" s="72"/>
      <c r="C15" s="73"/>
      <c r="D15" s="80" t="s">
        <v>41</v>
      </c>
      <c r="M15" s="74"/>
      <c r="O15" s="34"/>
      <c r="Y15" s="36"/>
      <c r="AA15" s="39" t="s">
        <v>31</v>
      </c>
      <c r="AB15" s="70"/>
      <c r="AC15" s="53" t="str">
        <f t="shared" si="0"/>
        <v/>
      </c>
      <c r="AD15" s="71" t="str">
        <f>IF(V10="","",V10)</f>
        <v/>
      </c>
      <c r="AH15" s="20">
        <v>28</v>
      </c>
      <c r="AI15" s="20">
        <v>50</v>
      </c>
      <c r="AJ15" s="75">
        <v>0</v>
      </c>
      <c r="AK15" s="20" t="s">
        <v>32</v>
      </c>
      <c r="AL15" s="20" t="s">
        <v>32</v>
      </c>
      <c r="AM15" s="20"/>
      <c r="AN15" s="20"/>
      <c r="AO15" s="20"/>
      <c r="AP15" s="20"/>
      <c r="AQ15" s="76"/>
    </row>
    <row r="16" spans="1:43" ht="14.1" customHeight="1">
      <c r="A16" s="21">
        <v>16</v>
      </c>
      <c r="B16" s="72"/>
      <c r="C16" s="73"/>
      <c r="E16" s="39" t="s">
        <v>42</v>
      </c>
      <c r="F16" s="759" t="str">
        <f>IF(R17="","",R17)</f>
        <v/>
      </c>
      <c r="G16" s="759"/>
      <c r="J16" s="39" t="s">
        <v>43</v>
      </c>
      <c r="K16" s="770" t="str">
        <f>IF(V17="","",V17)</f>
        <v/>
      </c>
      <c r="L16" s="770"/>
      <c r="M16" s="74"/>
      <c r="O16" s="34"/>
      <c r="P16" s="80" t="s">
        <v>41</v>
      </c>
      <c r="Y16" s="36"/>
      <c r="AA16" s="39" t="s">
        <v>34</v>
      </c>
      <c r="AB16" s="70"/>
      <c r="AC16" s="53" t="str">
        <f t="shared" si="0"/>
        <v/>
      </c>
      <c r="AD16" s="71" t="str">
        <f>IF(V11="","",V11)</f>
        <v/>
      </c>
      <c r="AH16" s="20">
        <v>28</v>
      </c>
      <c r="AI16" s="20">
        <v>50</v>
      </c>
      <c r="AJ16" s="75">
        <v>0.3</v>
      </c>
      <c r="AK16" s="20" t="s">
        <v>32</v>
      </c>
      <c r="AL16" s="20" t="s">
        <v>32</v>
      </c>
      <c r="AM16" s="20"/>
      <c r="AN16" s="20"/>
      <c r="AO16" s="20"/>
      <c r="AP16" s="20"/>
      <c r="AQ16" s="76"/>
    </row>
    <row r="17" spans="1:43" ht="14.1" customHeight="1">
      <c r="A17" s="21">
        <v>17</v>
      </c>
      <c r="B17" s="72"/>
      <c r="C17" s="73"/>
      <c r="E17" s="39" t="s">
        <v>44</v>
      </c>
      <c r="F17" s="759" t="str">
        <f>IF(R18="","",R18)</f>
        <v/>
      </c>
      <c r="G17" s="759"/>
      <c r="J17" s="39" t="s">
        <v>45</v>
      </c>
      <c r="K17" s="771" t="str">
        <f>IF(V18="","",V18)</f>
        <v/>
      </c>
      <c r="L17" s="771"/>
      <c r="M17" s="74"/>
      <c r="O17" s="34"/>
      <c r="Q17" s="39" t="s">
        <v>42</v>
      </c>
      <c r="R17" s="50" t="str">
        <f>IF(S17&lt;&gt;"",S17,IF(AB21="","",AB21))</f>
        <v/>
      </c>
      <c r="S17" s="51"/>
      <c r="U17" s="39" t="s">
        <v>43</v>
      </c>
      <c r="V17" s="77" t="str">
        <f>IF(W17&lt;&gt;"",W17,IF(AB24="","",AB24))</f>
        <v/>
      </c>
      <c r="W17" s="81"/>
      <c r="Y17" s="36"/>
      <c r="AA17" s="39" t="s">
        <v>36</v>
      </c>
      <c r="AB17" s="82"/>
      <c r="AC17" s="53" t="str">
        <f t="shared" si="0"/>
        <v/>
      </c>
      <c r="AD17" s="83" t="str">
        <f>IF(V12="","",V12)</f>
        <v/>
      </c>
      <c r="AH17" s="20">
        <v>28</v>
      </c>
      <c r="AI17" s="20">
        <v>50</v>
      </c>
      <c r="AJ17" s="75">
        <v>0.3</v>
      </c>
      <c r="AK17" s="20" t="s">
        <v>32</v>
      </c>
      <c r="AL17" s="20" t="s">
        <v>32</v>
      </c>
      <c r="AM17" s="20"/>
      <c r="AN17" s="20"/>
      <c r="AO17" s="20"/>
      <c r="AP17" s="20"/>
      <c r="AQ17" s="76"/>
    </row>
    <row r="18" spans="1:43" ht="14.1" customHeight="1">
      <c r="A18" s="21">
        <v>18</v>
      </c>
      <c r="B18" s="72"/>
      <c r="C18" s="73"/>
      <c r="E18" s="39" t="s">
        <v>46</v>
      </c>
      <c r="F18" s="759" t="str">
        <f>IF(R19="","",R19)</f>
        <v/>
      </c>
      <c r="G18" s="759"/>
      <c r="J18" s="39" t="s">
        <v>47</v>
      </c>
      <c r="K18" s="759" t="str">
        <f>IF(V19="","",V19)</f>
        <v/>
      </c>
      <c r="L18" s="759"/>
      <c r="M18" s="74"/>
      <c r="O18" s="34"/>
      <c r="Q18" s="39" t="s">
        <v>44</v>
      </c>
      <c r="R18" s="50" t="str">
        <f>IF(S18&lt;&gt;"",S18,IF(AB22="","",AB22))</f>
        <v/>
      </c>
      <c r="S18" s="51"/>
      <c r="U18" s="39" t="s">
        <v>45</v>
      </c>
      <c r="V18" s="50" t="str">
        <f>IF(W18&lt;&gt;"",W18,IF(AB25="","",AB25))</f>
        <v/>
      </c>
      <c r="W18" s="51"/>
      <c r="Y18" s="36"/>
      <c r="AA18" s="39" t="s">
        <v>38</v>
      </c>
      <c r="AB18" s="70"/>
      <c r="AC18" s="53" t="str">
        <f t="shared" si="0"/>
        <v/>
      </c>
      <c r="AD18" s="71" t="str">
        <f>IF(V13="","",V13)</f>
        <v/>
      </c>
      <c r="AH18" s="20">
        <v>28</v>
      </c>
      <c r="AI18" s="20">
        <v>50</v>
      </c>
      <c r="AJ18" s="75">
        <v>0.4</v>
      </c>
      <c r="AK18" s="20" t="s">
        <v>32</v>
      </c>
      <c r="AL18" s="20" t="s">
        <v>32</v>
      </c>
      <c r="AM18" s="20"/>
      <c r="AN18" s="20"/>
      <c r="AO18" s="20"/>
      <c r="AP18" s="20"/>
      <c r="AQ18" s="76"/>
    </row>
    <row r="19" spans="1:43" ht="14.1" customHeight="1">
      <c r="A19" s="21">
        <v>19</v>
      </c>
      <c r="B19" s="72"/>
      <c r="C19" s="73"/>
      <c r="M19" s="74"/>
      <c r="O19" s="34"/>
      <c r="Q19" s="39" t="s">
        <v>46</v>
      </c>
      <c r="R19" s="50" t="str">
        <f>IF(S19&lt;&gt;"",S19,IF(AB23="","",AB23))</f>
        <v/>
      </c>
      <c r="S19" s="51"/>
      <c r="U19" s="39" t="s">
        <v>47</v>
      </c>
      <c r="V19" s="50" t="str">
        <f>IF(W19&lt;&gt;"",W19,IF(AB26="","",AB26))</f>
        <v/>
      </c>
      <c r="W19" s="51"/>
      <c r="Y19" s="36"/>
      <c r="AA19" s="39" t="s">
        <v>48</v>
      </c>
      <c r="AB19" s="70"/>
      <c r="AC19" s="53" t="str">
        <f t="shared" si="0"/>
        <v/>
      </c>
      <c r="AD19" s="71" t="str">
        <f>IF(V14="","",V14)</f>
        <v/>
      </c>
      <c r="AH19" s="20">
        <v>28</v>
      </c>
      <c r="AI19" s="20">
        <v>50</v>
      </c>
      <c r="AJ19" s="75">
        <v>0.4</v>
      </c>
      <c r="AK19" s="20" t="s">
        <v>32</v>
      </c>
      <c r="AL19" s="20" t="s">
        <v>32</v>
      </c>
      <c r="AM19" s="20"/>
      <c r="AN19" s="20"/>
      <c r="AO19" s="20"/>
      <c r="AP19" s="20"/>
      <c r="AQ19" s="76"/>
    </row>
    <row r="20" spans="1:43" ht="14.1" customHeight="1">
      <c r="A20" s="21">
        <v>20</v>
      </c>
      <c r="B20" s="72"/>
      <c r="C20" s="73"/>
      <c r="D20" s="80" t="s">
        <v>49</v>
      </c>
      <c r="J20" s="84"/>
      <c r="M20" s="74"/>
      <c r="O20" s="34"/>
      <c r="Y20" s="36"/>
      <c r="AA20" s="47" t="s">
        <v>41</v>
      </c>
      <c r="AH20" s="20">
        <v>28</v>
      </c>
      <c r="AI20" s="20">
        <v>20</v>
      </c>
      <c r="AJ20" s="75">
        <v>0</v>
      </c>
      <c r="AK20" s="20" t="s">
        <v>32</v>
      </c>
      <c r="AL20" s="20" t="s">
        <v>32</v>
      </c>
      <c r="AM20" s="20"/>
      <c r="AN20" s="20"/>
      <c r="AO20" s="20"/>
      <c r="AP20" s="20"/>
      <c r="AQ20" s="76"/>
    </row>
    <row r="21" spans="1:43" ht="14.1" customHeight="1">
      <c r="A21" s="21">
        <v>21</v>
      </c>
      <c r="B21" s="72"/>
      <c r="C21" s="73"/>
      <c r="E21" s="39" t="s">
        <v>50</v>
      </c>
      <c r="F21" s="759" t="str">
        <f>IF(R22="","",R22)</f>
        <v/>
      </c>
      <c r="G21" s="759"/>
      <c r="J21" s="39" t="s">
        <v>51</v>
      </c>
      <c r="K21" s="759" t="str">
        <f>IF(V21="","",V21)</f>
        <v/>
      </c>
      <c r="L21" s="759"/>
      <c r="M21" s="74"/>
      <c r="O21" s="34"/>
      <c r="P21" s="80" t="s">
        <v>49</v>
      </c>
      <c r="U21" s="80" t="s">
        <v>51</v>
      </c>
      <c r="V21" s="50" t="str">
        <f>IF(W21&lt;&gt;"",W21,IF(AB38="","",AB38))</f>
        <v/>
      </c>
      <c r="W21" s="51"/>
      <c r="Y21" s="36"/>
      <c r="AA21" s="39" t="s">
        <v>42</v>
      </c>
      <c r="AB21" s="70"/>
      <c r="AC21" s="53" t="str">
        <f t="shared" ref="AC21:AC26" si="1">IF(AB21&lt;&gt;AD21,"Change","")</f>
        <v/>
      </c>
      <c r="AD21" s="71" t="str">
        <f>IF(R17="","",R17)</f>
        <v/>
      </c>
      <c r="AH21" s="20">
        <v>28</v>
      </c>
      <c r="AI21" s="20">
        <v>100</v>
      </c>
      <c r="AJ21" s="75">
        <v>0</v>
      </c>
      <c r="AK21" s="20" t="s">
        <v>32</v>
      </c>
      <c r="AL21" s="20" t="s">
        <v>32</v>
      </c>
      <c r="AM21" s="20"/>
      <c r="AN21" s="20"/>
      <c r="AO21" s="20"/>
      <c r="AP21" s="20"/>
      <c r="AQ21" s="76"/>
    </row>
    <row r="22" spans="1:43" ht="14.1" customHeight="1">
      <c r="A22" s="21">
        <v>22</v>
      </c>
      <c r="B22" s="72"/>
      <c r="C22" s="73"/>
      <c r="E22" s="39" t="s">
        <v>43</v>
      </c>
      <c r="F22" s="770" t="str">
        <f>IF(R23="","",R23)</f>
        <v/>
      </c>
      <c r="G22" s="770"/>
      <c r="J22" s="39"/>
      <c r="K22" s="759" t="str">
        <f>IF(V22="","",V22)</f>
        <v/>
      </c>
      <c r="L22" s="759"/>
      <c r="M22" s="74"/>
      <c r="O22" s="34"/>
      <c r="Q22" s="39" t="s">
        <v>50</v>
      </c>
      <c r="R22" s="50" t="str">
        <f>IF(S22&lt;&gt;"",S22,IF(AB28="","",AB28))</f>
        <v/>
      </c>
      <c r="S22" s="51"/>
      <c r="V22" s="50" t="str">
        <f>IF(W22&lt;&gt;"",W22,IF(AB39="","",AB39))</f>
        <v/>
      </c>
      <c r="W22" s="51"/>
      <c r="Y22" s="36"/>
      <c r="AA22" s="39" t="s">
        <v>44</v>
      </c>
      <c r="AB22" s="70"/>
      <c r="AC22" s="53" t="str">
        <f t="shared" si="1"/>
        <v/>
      </c>
      <c r="AD22" s="71" t="str">
        <f>IF(R18="","",R18)</f>
        <v/>
      </c>
      <c r="AH22" s="20">
        <v>28</v>
      </c>
      <c r="AI22" s="20">
        <v>320</v>
      </c>
      <c r="AJ22" s="75">
        <v>0</v>
      </c>
      <c r="AK22" s="20" t="s">
        <v>32</v>
      </c>
      <c r="AL22" s="20" t="s">
        <v>32</v>
      </c>
      <c r="AM22" s="20"/>
      <c r="AN22" s="20"/>
      <c r="AO22" s="20"/>
      <c r="AP22" s="20"/>
      <c r="AQ22" s="76"/>
    </row>
    <row r="23" spans="1:43" ht="14.1" customHeight="1">
      <c r="A23" s="21">
        <v>23</v>
      </c>
      <c r="B23" s="72"/>
      <c r="C23" s="73"/>
      <c r="D23" s="80" t="s">
        <v>53</v>
      </c>
      <c r="J23" s="39" t="s">
        <v>54</v>
      </c>
      <c r="K23" s="759" t="str">
        <f>IF(V24="","",V24)</f>
        <v/>
      </c>
      <c r="L23" s="759"/>
      <c r="M23" s="74"/>
      <c r="O23" s="34"/>
      <c r="Q23" s="39" t="s">
        <v>43</v>
      </c>
      <c r="R23" s="77" t="str">
        <f>IF(S23&lt;&gt;"",S23,IF(AB29="","",AB29))</f>
        <v/>
      </c>
      <c r="S23" s="81"/>
      <c r="V23" s="6"/>
      <c r="W23" s="6"/>
      <c r="Y23" s="36"/>
      <c r="AA23" s="39" t="s">
        <v>46</v>
      </c>
      <c r="AB23" s="70"/>
      <c r="AC23" s="53" t="str">
        <f t="shared" si="1"/>
        <v/>
      </c>
      <c r="AD23" s="71" t="str">
        <f>IF(R19="","",R19)</f>
        <v/>
      </c>
      <c r="AH23" s="20">
        <v>30</v>
      </c>
      <c r="AI23" s="20">
        <v>50</v>
      </c>
      <c r="AJ23" s="75">
        <v>0</v>
      </c>
      <c r="AK23" s="20" t="s">
        <v>32</v>
      </c>
      <c r="AL23" s="20" t="s">
        <v>32</v>
      </c>
      <c r="AM23" s="20"/>
      <c r="AN23" s="20"/>
      <c r="AO23" s="20"/>
      <c r="AP23" s="20"/>
      <c r="AQ23" s="76"/>
    </row>
    <row r="24" spans="1:43" ht="14.1" customHeight="1">
      <c r="A24" s="21">
        <v>24</v>
      </c>
      <c r="B24" s="72"/>
      <c r="C24" s="73"/>
      <c r="E24" s="39" t="s">
        <v>42</v>
      </c>
      <c r="F24" s="759" t="str">
        <f>IF(R25="","",R25)</f>
        <v/>
      </c>
      <c r="G24" s="759"/>
      <c r="K24" s="759" t="str">
        <f>IF(V25="","",V25)</f>
        <v/>
      </c>
      <c r="L24" s="759"/>
      <c r="M24" s="74"/>
      <c r="O24" s="34"/>
      <c r="P24" s="80" t="s">
        <v>53</v>
      </c>
      <c r="U24" s="80" t="s">
        <v>54</v>
      </c>
      <c r="V24" s="50" t="str">
        <f>IF(W24&lt;&gt;"",W24,IF(AB40="","",AB40))</f>
        <v/>
      </c>
      <c r="W24" s="51"/>
      <c r="Y24" s="36"/>
      <c r="AA24" s="39" t="s">
        <v>43</v>
      </c>
      <c r="AB24" s="82"/>
      <c r="AC24" s="53" t="str">
        <f t="shared" si="1"/>
        <v/>
      </c>
      <c r="AD24" s="83" t="str">
        <f>IF(V17="","",V17)</f>
        <v/>
      </c>
      <c r="AH24" s="20">
        <v>32</v>
      </c>
      <c r="AI24" s="20">
        <v>50</v>
      </c>
      <c r="AJ24" s="75">
        <v>0</v>
      </c>
      <c r="AK24" s="20" t="s">
        <v>32</v>
      </c>
      <c r="AL24" s="20" t="s">
        <v>32</v>
      </c>
      <c r="AM24" s="20"/>
      <c r="AN24" s="20"/>
      <c r="AO24" s="20"/>
      <c r="AP24" s="20"/>
      <c r="AQ24" s="76"/>
    </row>
    <row r="25" spans="1:43" ht="14.1" customHeight="1">
      <c r="A25" s="21">
        <v>25</v>
      </c>
      <c r="B25" s="72"/>
      <c r="C25" s="73"/>
      <c r="E25" s="39" t="s">
        <v>44</v>
      </c>
      <c r="F25" s="759" t="str">
        <f>IF(R26="","",R26)</f>
        <v/>
      </c>
      <c r="G25" s="759"/>
      <c r="J25" s="6"/>
      <c r="K25" s="6"/>
      <c r="L25" s="6"/>
      <c r="M25" s="74"/>
      <c r="O25" s="34"/>
      <c r="Q25" s="39" t="s">
        <v>42</v>
      </c>
      <c r="R25" s="50" t="str">
        <f>IF(S25&lt;&gt;"",S25,IF(AB30="","",AB30))</f>
        <v/>
      </c>
      <c r="S25" s="51"/>
      <c r="V25" s="50" t="str">
        <f>IF(W25&lt;&gt;"",W25,IF(AB44="","",AB44))</f>
        <v/>
      </c>
      <c r="W25" s="51"/>
      <c r="Y25" s="36"/>
      <c r="AA25" s="39" t="s">
        <v>45</v>
      </c>
      <c r="AB25" s="70"/>
      <c r="AC25" s="53" t="str">
        <f t="shared" si="1"/>
        <v/>
      </c>
      <c r="AD25" s="71" t="str">
        <f>IF(V18="","",V18)</f>
        <v/>
      </c>
      <c r="AH25" s="20">
        <v>32</v>
      </c>
      <c r="AI25" s="20">
        <v>50</v>
      </c>
      <c r="AJ25" s="75">
        <v>0</v>
      </c>
      <c r="AK25" s="20" t="s">
        <v>32</v>
      </c>
      <c r="AL25" s="20" t="s">
        <v>32</v>
      </c>
      <c r="AM25" s="20"/>
      <c r="AN25" s="20"/>
      <c r="AO25" s="20"/>
      <c r="AP25" s="20"/>
      <c r="AQ25" s="76"/>
    </row>
    <row r="26" spans="1:43" ht="14.1" customHeight="1">
      <c r="A26" s="21">
        <v>26</v>
      </c>
      <c r="B26" s="72"/>
      <c r="C26" s="73"/>
      <c r="E26" s="39" t="s">
        <v>45</v>
      </c>
      <c r="F26" s="759" t="str">
        <f>IF(R27="","",R27)</f>
        <v/>
      </c>
      <c r="G26" s="759"/>
      <c r="I26" s="80" t="s">
        <v>56</v>
      </c>
      <c r="J26" s="6"/>
      <c r="K26" s="6"/>
      <c r="L26" s="6"/>
      <c r="M26" s="74"/>
      <c r="O26" s="34"/>
      <c r="Q26" s="39" t="s">
        <v>44</v>
      </c>
      <c r="R26" s="50" t="str">
        <f>IF(S26&lt;&gt;"",S26,IF(AB31="","",AB31))</f>
        <v/>
      </c>
      <c r="S26" s="51"/>
      <c r="V26" s="6"/>
      <c r="W26" s="6"/>
      <c r="Y26" s="36"/>
      <c r="AA26" s="39" t="s">
        <v>47</v>
      </c>
      <c r="AB26" s="70"/>
      <c r="AC26" s="53" t="str">
        <f t="shared" si="1"/>
        <v/>
      </c>
      <c r="AD26" s="71" t="str">
        <f>IF(V19="","",V19)</f>
        <v/>
      </c>
      <c r="AH26" s="20">
        <v>32</v>
      </c>
      <c r="AI26" s="20">
        <v>50</v>
      </c>
      <c r="AJ26" s="75">
        <v>0.4</v>
      </c>
      <c r="AK26" s="20" t="s">
        <v>32</v>
      </c>
      <c r="AL26" s="20" t="s">
        <v>32</v>
      </c>
      <c r="AM26" s="20"/>
      <c r="AN26" s="20"/>
      <c r="AO26" s="20"/>
      <c r="AP26" s="20"/>
      <c r="AQ26" s="76"/>
    </row>
    <row r="27" spans="1:43" ht="14.1" customHeight="1">
      <c r="A27" s="21">
        <v>27</v>
      </c>
      <c r="B27" s="72"/>
      <c r="C27" s="73"/>
      <c r="D27" s="80" t="s">
        <v>57</v>
      </c>
      <c r="J27" s="39" t="s">
        <v>58</v>
      </c>
      <c r="K27" s="759" t="str">
        <f>IF(V28="","",V28)</f>
        <v/>
      </c>
      <c r="L27" s="759"/>
      <c r="M27" s="74"/>
      <c r="O27" s="34"/>
      <c r="Q27" s="39" t="s">
        <v>45</v>
      </c>
      <c r="R27" s="50" t="str">
        <f>IF(S27&lt;&gt;"",S27,IF(AB32="","",AB32))</f>
        <v/>
      </c>
      <c r="S27" s="51"/>
      <c r="U27" s="84" t="s">
        <v>56</v>
      </c>
      <c r="Y27" s="36"/>
      <c r="AA27" s="80" t="s">
        <v>49</v>
      </c>
      <c r="AH27" s="20">
        <v>32</v>
      </c>
      <c r="AI27" s="20">
        <v>50</v>
      </c>
      <c r="AJ27" s="75">
        <v>0.4</v>
      </c>
      <c r="AK27" s="20" t="s">
        <v>32</v>
      </c>
      <c r="AL27" s="20" t="s">
        <v>32</v>
      </c>
      <c r="AM27" s="20"/>
      <c r="AN27" s="20"/>
      <c r="AO27" s="20"/>
      <c r="AP27" s="20"/>
      <c r="AQ27" s="76"/>
    </row>
    <row r="28" spans="1:43" ht="14.1" customHeight="1">
      <c r="A28" s="21">
        <v>28</v>
      </c>
      <c r="B28" s="72"/>
      <c r="C28" s="73"/>
      <c r="E28" s="39" t="s">
        <v>42</v>
      </c>
      <c r="F28" s="759" t="str">
        <f>IF(R29="","",R29)</f>
        <v/>
      </c>
      <c r="G28" s="759"/>
      <c r="I28" s="6"/>
      <c r="J28" s="39" t="s">
        <v>59</v>
      </c>
      <c r="K28" s="759" t="str">
        <f>IF(V29="","",V29)</f>
        <v/>
      </c>
      <c r="L28" s="759"/>
      <c r="M28" s="74"/>
      <c r="O28" s="34"/>
      <c r="P28" s="80" t="s">
        <v>57</v>
      </c>
      <c r="U28" s="39" t="s">
        <v>58</v>
      </c>
      <c r="V28" s="50" t="str">
        <f>IF(W28&lt;&gt;"",W28,IF(AB36="","",AB36))</f>
        <v/>
      </c>
      <c r="W28" s="51"/>
      <c r="Y28" s="36"/>
      <c r="AA28" s="39" t="s">
        <v>50</v>
      </c>
      <c r="AB28" s="70"/>
      <c r="AC28" s="53" t="str">
        <f t="shared" ref="AC28:AC43" si="2">IF(AB28&lt;&gt;AD28,"Change","")</f>
        <v/>
      </c>
      <c r="AD28" s="71" t="str">
        <f>IF(R22="","",R22)</f>
        <v/>
      </c>
      <c r="AH28" s="20">
        <v>32</v>
      </c>
      <c r="AI28" s="20">
        <v>50</v>
      </c>
      <c r="AJ28" s="75">
        <v>0.5</v>
      </c>
      <c r="AK28" s="20" t="s">
        <v>32</v>
      </c>
      <c r="AL28" s="20" t="s">
        <v>32</v>
      </c>
      <c r="AM28" s="20"/>
      <c r="AN28" s="20"/>
      <c r="AO28" s="20"/>
      <c r="AP28" s="20"/>
      <c r="AQ28" s="76"/>
    </row>
    <row r="29" spans="1:43" ht="14.1" customHeight="1">
      <c r="A29" s="21">
        <v>29</v>
      </c>
      <c r="B29" s="72"/>
      <c r="C29" s="73"/>
      <c r="E29" s="39" t="s">
        <v>44</v>
      </c>
      <c r="F29" s="759" t="str">
        <f>IF(R30="","",R30)</f>
        <v/>
      </c>
      <c r="G29" s="759"/>
      <c r="I29" s="80" t="s">
        <v>60</v>
      </c>
      <c r="J29" s="39" t="s">
        <v>61</v>
      </c>
      <c r="K29" s="759" t="str">
        <f>IF(V32="","",V32)</f>
        <v/>
      </c>
      <c r="L29" s="759"/>
      <c r="M29" s="74"/>
      <c r="O29" s="34"/>
      <c r="Q29" s="39" t="s">
        <v>42</v>
      </c>
      <c r="R29" s="50" t="str">
        <f>IF(S29&lt;&gt;"",S29,IF(AB33="","",AB33))</f>
        <v/>
      </c>
      <c r="S29" s="51"/>
      <c r="U29" s="39" t="s">
        <v>59</v>
      </c>
      <c r="V29" s="50" t="str">
        <f>IF(W29&lt;&gt;"",W29,IF(AB37="","",AB37))</f>
        <v/>
      </c>
      <c r="W29" s="51"/>
      <c r="Y29" s="36"/>
      <c r="AA29" s="39" t="s">
        <v>43</v>
      </c>
      <c r="AB29" s="82"/>
      <c r="AC29" s="53" t="str">
        <f t="shared" si="2"/>
        <v/>
      </c>
      <c r="AD29" s="83" t="str">
        <f>IF(R23="","",R23)</f>
        <v/>
      </c>
      <c r="AH29" s="20">
        <v>32</v>
      </c>
      <c r="AI29" s="20">
        <v>50</v>
      </c>
      <c r="AJ29" s="75">
        <v>0.5</v>
      </c>
      <c r="AK29" s="20" t="s">
        <v>32</v>
      </c>
      <c r="AL29" s="20" t="s">
        <v>32</v>
      </c>
      <c r="AM29" s="20"/>
      <c r="AN29" s="20"/>
      <c r="AO29" s="20"/>
      <c r="AP29" s="20"/>
      <c r="AQ29" s="76"/>
    </row>
    <row r="30" spans="1:43" ht="14.1" customHeight="1">
      <c r="A30" s="21">
        <v>30</v>
      </c>
      <c r="B30" s="72"/>
      <c r="C30" s="73"/>
      <c r="E30" s="39" t="s">
        <v>45</v>
      </c>
      <c r="F30" s="759" t="str">
        <f>IF(R31="","",R31)</f>
        <v/>
      </c>
      <c r="G30" s="759"/>
      <c r="J30" s="39" t="s">
        <v>62</v>
      </c>
      <c r="K30" s="759" t="str">
        <f>IF(V33="","",V33)</f>
        <v/>
      </c>
      <c r="L30" s="759"/>
      <c r="M30" s="74"/>
      <c r="O30" s="34"/>
      <c r="Q30" s="39" t="s">
        <v>44</v>
      </c>
      <c r="R30" s="50" t="str">
        <f>IF(S30&lt;&gt;"",S30,IF(AB34="","",AB34))</f>
        <v/>
      </c>
      <c r="S30" s="51"/>
      <c r="Y30" s="36"/>
      <c r="AA30" s="39" t="s">
        <v>42</v>
      </c>
      <c r="AB30" s="70"/>
      <c r="AC30" s="53" t="str">
        <f t="shared" si="2"/>
        <v/>
      </c>
      <c r="AD30" s="71" t="str">
        <f>IF(R25="","",R25)</f>
        <v/>
      </c>
      <c r="AH30" s="20">
        <v>34</v>
      </c>
      <c r="AI30" s="20">
        <v>50</v>
      </c>
      <c r="AJ30" s="75">
        <v>0</v>
      </c>
      <c r="AK30" s="20" t="s">
        <v>32</v>
      </c>
      <c r="AL30" s="20" t="s">
        <v>32</v>
      </c>
      <c r="AM30" s="20"/>
      <c r="AN30" s="20"/>
      <c r="AO30" s="20"/>
      <c r="AP30" s="20"/>
      <c r="AQ30" s="76"/>
    </row>
    <row r="31" spans="1:43" ht="14.1" customHeight="1" thickBot="1">
      <c r="A31" s="21">
        <v>31</v>
      </c>
      <c r="B31" s="85"/>
      <c r="C31" s="86"/>
      <c r="D31" s="86"/>
      <c r="E31" s="86"/>
      <c r="F31" s="86"/>
      <c r="G31" s="86"/>
      <c r="H31" s="86"/>
      <c r="I31" s="86"/>
      <c r="J31" s="86"/>
      <c r="K31" s="86"/>
      <c r="L31" s="86"/>
      <c r="M31" s="87"/>
      <c r="O31" s="34"/>
      <c r="Q31" s="39" t="s">
        <v>45</v>
      </c>
      <c r="R31" s="50" t="str">
        <f>IF(S31&lt;&gt;"",S31,IF(AB35="","",AB35))</f>
        <v/>
      </c>
      <c r="S31" s="51"/>
      <c r="U31" s="80" t="s">
        <v>60</v>
      </c>
      <c r="Y31" s="36"/>
      <c r="AA31" s="39" t="s">
        <v>44</v>
      </c>
      <c r="AB31" s="70"/>
      <c r="AC31" s="53" t="str">
        <f t="shared" si="2"/>
        <v/>
      </c>
      <c r="AD31" s="71" t="str">
        <f>IF(R26="","",R26)</f>
        <v/>
      </c>
      <c r="AH31" s="20">
        <v>26</v>
      </c>
      <c r="AI31" s="20">
        <v>50</v>
      </c>
      <c r="AJ31" s="75">
        <v>0</v>
      </c>
      <c r="AK31" s="20" t="s">
        <v>32</v>
      </c>
      <c r="AL31" s="20" t="s">
        <v>55</v>
      </c>
      <c r="AM31" s="20"/>
      <c r="AN31" s="20"/>
      <c r="AO31" s="20"/>
      <c r="AP31" s="20"/>
      <c r="AQ31" s="76"/>
    </row>
    <row r="32" spans="1:43" ht="14.1" customHeight="1" thickTop="1">
      <c r="A32" s="21">
        <v>32</v>
      </c>
      <c r="O32" s="34"/>
      <c r="U32" s="39" t="s">
        <v>61</v>
      </c>
      <c r="V32" s="50" t="str">
        <f>IF(W32&lt;&gt;"",W32,IF(AB45="","",AB45))</f>
        <v/>
      </c>
      <c r="W32" s="51"/>
      <c r="Y32" s="36"/>
      <c r="AA32" s="39" t="s">
        <v>45</v>
      </c>
      <c r="AB32" s="70"/>
      <c r="AC32" s="53" t="str">
        <f t="shared" si="2"/>
        <v/>
      </c>
      <c r="AD32" s="71" t="str">
        <f>IF(R27="","",R27)</f>
        <v/>
      </c>
      <c r="AH32" s="20">
        <v>28</v>
      </c>
      <c r="AI32" s="20">
        <v>50</v>
      </c>
      <c r="AJ32" s="75">
        <v>0</v>
      </c>
      <c r="AK32" s="20" t="s">
        <v>32</v>
      </c>
      <c r="AL32" s="20" t="s">
        <v>55</v>
      </c>
      <c r="AM32" s="20"/>
      <c r="AN32" s="20"/>
      <c r="AO32" s="20"/>
      <c r="AP32" s="20"/>
      <c r="AQ32" s="76"/>
    </row>
    <row r="33" spans="1:43" ht="14.1" customHeight="1" thickBot="1">
      <c r="A33" s="21">
        <v>33</v>
      </c>
      <c r="H33" s="55" t="s">
        <v>63</v>
      </c>
      <c r="O33" s="34"/>
      <c r="U33" s="39" t="s">
        <v>62</v>
      </c>
      <c r="V33" s="50" t="str">
        <f>IF(W33&lt;&gt;"",W33,IF(AB46="","",AB46))</f>
        <v/>
      </c>
      <c r="W33" s="51"/>
      <c r="Y33" s="36"/>
      <c r="AA33" s="39" t="s">
        <v>42</v>
      </c>
      <c r="AB33" s="70"/>
      <c r="AC33" s="53" t="str">
        <f t="shared" si="2"/>
        <v/>
      </c>
      <c r="AD33" s="71" t="str">
        <f>IF(R29="","",R29)</f>
        <v/>
      </c>
      <c r="AH33" s="20">
        <v>28</v>
      </c>
      <c r="AI33" s="20">
        <v>50</v>
      </c>
      <c r="AJ33" s="75">
        <v>0</v>
      </c>
      <c r="AK33" s="20" t="s">
        <v>32</v>
      </c>
      <c r="AL33" s="20" t="s">
        <v>55</v>
      </c>
      <c r="AM33" s="20"/>
      <c r="AN33" s="20"/>
      <c r="AO33" s="20"/>
      <c r="AP33" s="20"/>
      <c r="AQ33" s="76"/>
    </row>
    <row r="34" spans="1:43" ht="14.1" customHeight="1" thickTop="1" thickBot="1">
      <c r="A34" s="21">
        <v>34</v>
      </c>
      <c r="B34" s="63"/>
      <c r="C34" s="64"/>
      <c r="D34" s="64"/>
      <c r="E34" s="64"/>
      <c r="F34" s="64"/>
      <c r="G34" s="64"/>
      <c r="H34" s="64"/>
      <c r="I34" s="64"/>
      <c r="J34" s="64"/>
      <c r="K34" s="64"/>
      <c r="L34" s="64"/>
      <c r="M34" s="66"/>
      <c r="O34" s="34"/>
      <c r="U34" s="6"/>
      <c r="V34" s="6"/>
      <c r="W34" s="6"/>
      <c r="Y34" s="36"/>
      <c r="AA34" s="39" t="s">
        <v>44</v>
      </c>
      <c r="AB34" s="70"/>
      <c r="AC34" s="53" t="str">
        <f t="shared" si="2"/>
        <v/>
      </c>
      <c r="AD34" s="71" t="str">
        <f>IF(R30="","",R30)</f>
        <v/>
      </c>
      <c r="AH34" s="20">
        <v>28</v>
      </c>
      <c r="AI34" s="20">
        <v>50</v>
      </c>
      <c r="AJ34" s="75">
        <v>0.4</v>
      </c>
      <c r="AK34" s="20" t="s">
        <v>32</v>
      </c>
      <c r="AL34" s="20" t="s">
        <v>55</v>
      </c>
      <c r="AM34" s="20"/>
      <c r="AN34" s="20"/>
      <c r="AO34" s="20"/>
      <c r="AP34" s="20"/>
      <c r="AQ34" s="76"/>
    </row>
    <row r="35" spans="1:43" ht="14.1" customHeight="1" thickBot="1">
      <c r="A35" s="21">
        <v>35</v>
      </c>
      <c r="B35" s="72"/>
      <c r="C35" s="88" t="s">
        <v>64</v>
      </c>
      <c r="D35" s="768" t="s">
        <v>65</v>
      </c>
      <c r="E35" s="768"/>
      <c r="F35" s="768"/>
      <c r="G35" s="768" t="s">
        <v>66</v>
      </c>
      <c r="H35" s="768"/>
      <c r="I35" s="768"/>
      <c r="J35" s="768" t="s">
        <v>67</v>
      </c>
      <c r="K35" s="768"/>
      <c r="L35" s="768"/>
      <c r="M35" s="74"/>
      <c r="O35" s="44"/>
      <c r="P35" s="45"/>
      <c r="Q35" s="45"/>
      <c r="R35" s="45"/>
      <c r="S35" s="45"/>
      <c r="T35" s="45"/>
      <c r="U35" s="45"/>
      <c r="V35" s="45"/>
      <c r="W35" s="45"/>
      <c r="X35" s="45"/>
      <c r="Y35" s="46"/>
      <c r="AA35" s="39" t="s">
        <v>45</v>
      </c>
      <c r="AB35" s="70"/>
      <c r="AC35" s="53" t="str">
        <f t="shared" si="2"/>
        <v/>
      </c>
      <c r="AD35" s="71" t="str">
        <f>IF(R31="","",R31)</f>
        <v/>
      </c>
      <c r="AH35" s="20">
        <v>28</v>
      </c>
      <c r="AI35" s="20">
        <v>50</v>
      </c>
      <c r="AJ35" s="75">
        <v>0.4</v>
      </c>
      <c r="AK35" s="20" t="s">
        <v>32</v>
      </c>
      <c r="AL35" s="20" t="s">
        <v>55</v>
      </c>
      <c r="AM35" s="20"/>
      <c r="AN35" s="20"/>
      <c r="AO35" s="20"/>
      <c r="AP35" s="20"/>
      <c r="AQ35" s="76"/>
    </row>
    <row r="36" spans="1:43" ht="14.1" customHeight="1">
      <c r="A36" s="21">
        <v>36</v>
      </c>
      <c r="B36" s="72"/>
      <c r="C36" s="89" t="s">
        <v>68</v>
      </c>
      <c r="D36" s="90"/>
      <c r="E36" s="91"/>
      <c r="F36" s="92"/>
      <c r="G36" s="764" t="s">
        <v>69</v>
      </c>
      <c r="H36" s="764"/>
      <c r="I36" s="764"/>
      <c r="J36" s="90"/>
      <c r="K36" s="91"/>
      <c r="L36" s="92"/>
      <c r="M36" s="74"/>
      <c r="AA36" s="39" t="s">
        <v>58</v>
      </c>
      <c r="AB36" s="70"/>
      <c r="AC36" s="53" t="str">
        <f t="shared" si="2"/>
        <v/>
      </c>
      <c r="AD36" s="71" t="str">
        <f>IF(V28="","",V28)</f>
        <v/>
      </c>
      <c r="AH36" s="20">
        <v>28</v>
      </c>
      <c r="AI36" s="20">
        <v>50</v>
      </c>
      <c r="AJ36" s="75">
        <v>0.5</v>
      </c>
      <c r="AK36" s="20" t="s">
        <v>32</v>
      </c>
      <c r="AL36" s="20" t="s">
        <v>55</v>
      </c>
      <c r="AM36" s="20"/>
      <c r="AN36" s="20"/>
      <c r="AO36" s="20"/>
      <c r="AP36" s="20"/>
      <c r="AQ36" s="76"/>
    </row>
    <row r="37" spans="1:43" ht="14.1" customHeight="1" thickBot="1">
      <c r="A37" s="21">
        <v>37</v>
      </c>
      <c r="B37" s="72"/>
      <c r="C37" s="89" t="s">
        <v>70</v>
      </c>
      <c r="D37" s="93" t="s">
        <v>71</v>
      </c>
      <c r="E37" s="94" t="s">
        <v>25</v>
      </c>
      <c r="F37" s="95" t="s">
        <v>72</v>
      </c>
      <c r="G37" s="93" t="s">
        <v>71</v>
      </c>
      <c r="H37" s="94" t="s">
        <v>25</v>
      </c>
      <c r="I37" s="95" t="s">
        <v>72</v>
      </c>
      <c r="J37" s="93" t="s">
        <v>71</v>
      </c>
      <c r="K37" s="94" t="s">
        <v>25</v>
      </c>
      <c r="L37" s="95" t="s">
        <v>72</v>
      </c>
      <c r="M37" s="74"/>
      <c r="T37" s="58" t="s">
        <v>73</v>
      </c>
      <c r="AA37" s="39" t="s">
        <v>59</v>
      </c>
      <c r="AB37" s="70"/>
      <c r="AC37" s="53" t="str">
        <f t="shared" si="2"/>
        <v/>
      </c>
      <c r="AD37" s="71" t="str">
        <f>IF(V29="","",V29)</f>
        <v/>
      </c>
      <c r="AH37" s="20">
        <v>28</v>
      </c>
      <c r="AI37" s="20">
        <v>50</v>
      </c>
      <c r="AJ37" s="75">
        <v>0.5</v>
      </c>
      <c r="AK37" s="20" t="s">
        <v>32</v>
      </c>
      <c r="AL37" s="20" t="s">
        <v>55</v>
      </c>
      <c r="AM37" s="20"/>
      <c r="AN37" s="20"/>
      <c r="AO37" s="20"/>
      <c r="AP37" s="20"/>
      <c r="AQ37" s="76"/>
    </row>
    <row r="38" spans="1:43" ht="14.1" customHeight="1" thickTop="1">
      <c r="A38" s="21">
        <v>38</v>
      </c>
      <c r="B38" s="72"/>
      <c r="C38" s="96" t="s">
        <v>74</v>
      </c>
      <c r="D38" s="97" t="str">
        <f t="shared" ref="D38:L41" si="3">P124</f>
        <v/>
      </c>
      <c r="E38" s="98" t="str">
        <f t="shared" si="3"/>
        <v/>
      </c>
      <c r="F38" s="99" t="str">
        <f t="shared" si="3"/>
        <v/>
      </c>
      <c r="G38" s="97" t="str">
        <f t="shared" si="3"/>
        <v/>
      </c>
      <c r="H38" s="98" t="str">
        <f t="shared" si="3"/>
        <v/>
      </c>
      <c r="I38" s="99" t="str">
        <f t="shared" si="3"/>
        <v/>
      </c>
      <c r="J38" s="97" t="str">
        <f t="shared" si="3"/>
        <v/>
      </c>
      <c r="K38" s="98" t="str">
        <f t="shared" si="3"/>
        <v/>
      </c>
      <c r="L38" s="99" t="str">
        <f t="shared" si="3"/>
        <v/>
      </c>
      <c r="M38" s="74"/>
      <c r="O38" s="100" t="s">
        <v>75</v>
      </c>
      <c r="P38" s="27"/>
      <c r="Q38" s="27"/>
      <c r="R38" s="27"/>
      <c r="S38" s="27"/>
      <c r="T38" s="27"/>
      <c r="U38" s="27"/>
      <c r="V38" s="27"/>
      <c r="W38" s="27"/>
      <c r="X38" s="27"/>
      <c r="Y38" s="28"/>
      <c r="AA38" s="39" t="s">
        <v>76</v>
      </c>
      <c r="AB38" s="70"/>
      <c r="AC38" s="53" t="str">
        <f t="shared" si="2"/>
        <v/>
      </c>
      <c r="AD38" s="71" t="str">
        <f>IF(V21="","",V21)</f>
        <v/>
      </c>
      <c r="AH38" s="20">
        <v>30</v>
      </c>
      <c r="AI38" s="20">
        <v>50</v>
      </c>
      <c r="AJ38" s="75">
        <v>0</v>
      </c>
      <c r="AK38" s="20" t="s">
        <v>32</v>
      </c>
      <c r="AL38" s="20" t="s">
        <v>55</v>
      </c>
      <c r="AM38" s="20"/>
      <c r="AN38" s="20"/>
      <c r="AO38" s="20"/>
      <c r="AP38" s="20"/>
      <c r="AQ38" s="76"/>
    </row>
    <row r="39" spans="1:43" ht="14.1" customHeight="1">
      <c r="A39" s="21">
        <v>39</v>
      </c>
      <c r="B39" s="72"/>
      <c r="C39" s="101" t="s">
        <v>77</v>
      </c>
      <c r="D39" s="102" t="str">
        <f t="shared" si="3"/>
        <v/>
      </c>
      <c r="E39" s="20" t="str">
        <f t="shared" si="3"/>
        <v/>
      </c>
      <c r="F39" s="103" t="str">
        <f t="shared" si="3"/>
        <v/>
      </c>
      <c r="G39" s="102" t="str">
        <f t="shared" si="3"/>
        <v/>
      </c>
      <c r="H39" s="20" t="str">
        <f t="shared" si="3"/>
        <v/>
      </c>
      <c r="I39" s="103" t="str">
        <f t="shared" si="3"/>
        <v/>
      </c>
      <c r="J39" s="102" t="str">
        <f t="shared" si="3"/>
        <v/>
      </c>
      <c r="K39" s="20" t="str">
        <f t="shared" si="3"/>
        <v/>
      </c>
      <c r="L39" s="103" t="str">
        <f t="shared" si="3"/>
        <v/>
      </c>
      <c r="M39" s="74"/>
      <c r="O39" s="104">
        <v>1</v>
      </c>
      <c r="P39" s="40" t="s">
        <v>78</v>
      </c>
      <c r="Y39" s="36"/>
      <c r="AA39" s="39" t="s">
        <v>79</v>
      </c>
      <c r="AB39" s="70"/>
      <c r="AC39" s="53" t="str">
        <f t="shared" si="2"/>
        <v/>
      </c>
      <c r="AD39" s="71" t="str">
        <f>IF(V22="","",V22)</f>
        <v/>
      </c>
      <c r="AH39" s="20">
        <v>32</v>
      </c>
      <c r="AI39" s="20">
        <v>50</v>
      </c>
      <c r="AJ39" s="75">
        <v>0</v>
      </c>
      <c r="AK39" s="20" t="s">
        <v>32</v>
      </c>
      <c r="AL39" s="20" t="s">
        <v>55</v>
      </c>
      <c r="AM39" s="20"/>
      <c r="AN39" s="20"/>
      <c r="AO39" s="20"/>
      <c r="AP39" s="20"/>
      <c r="AQ39" s="76"/>
    </row>
    <row r="40" spans="1:43" ht="14.1" customHeight="1">
      <c r="A40" s="21">
        <v>40</v>
      </c>
      <c r="B40" s="72"/>
      <c r="C40" s="101" t="s">
        <v>80</v>
      </c>
      <c r="D40" s="102" t="str">
        <f t="shared" si="3"/>
        <v/>
      </c>
      <c r="E40" s="20" t="str">
        <f t="shared" si="3"/>
        <v/>
      </c>
      <c r="F40" s="103" t="str">
        <f t="shared" si="3"/>
        <v/>
      </c>
      <c r="G40" s="102" t="str">
        <f t="shared" si="3"/>
        <v/>
      </c>
      <c r="H40" s="20" t="str">
        <f t="shared" si="3"/>
        <v/>
      </c>
      <c r="I40" s="103" t="str">
        <f t="shared" si="3"/>
        <v/>
      </c>
      <c r="J40" s="102" t="str">
        <f t="shared" si="3"/>
        <v/>
      </c>
      <c r="K40" s="20" t="str">
        <f t="shared" si="3"/>
        <v/>
      </c>
      <c r="L40" s="103" t="str">
        <f t="shared" si="3"/>
        <v/>
      </c>
      <c r="M40" s="74"/>
      <c r="O40" s="104">
        <v>1</v>
      </c>
      <c r="P40" s="40" t="s">
        <v>81</v>
      </c>
      <c r="Y40" s="36"/>
      <c r="AA40" s="39" t="s">
        <v>82</v>
      </c>
      <c r="AB40" s="70"/>
      <c r="AC40" s="53" t="str">
        <f t="shared" si="2"/>
        <v/>
      </c>
      <c r="AD40" s="71" t="str">
        <f>IF(V24="","",V24)</f>
        <v/>
      </c>
      <c r="AH40" s="20">
        <v>32</v>
      </c>
      <c r="AI40" s="20">
        <v>50</v>
      </c>
      <c r="AJ40" s="75">
        <v>0</v>
      </c>
      <c r="AK40" s="20" t="s">
        <v>32</v>
      </c>
      <c r="AL40" s="20" t="s">
        <v>55</v>
      </c>
      <c r="AM40" s="20"/>
      <c r="AN40" s="20"/>
      <c r="AO40" s="20"/>
      <c r="AP40" s="20"/>
      <c r="AQ40" s="76"/>
    </row>
    <row r="41" spans="1:43" ht="14.1" customHeight="1" thickBot="1">
      <c r="A41" s="21">
        <v>41</v>
      </c>
      <c r="B41" s="72"/>
      <c r="C41" s="105" t="s">
        <v>83</v>
      </c>
      <c r="D41" s="106" t="str">
        <f t="shared" si="3"/>
        <v/>
      </c>
      <c r="E41" s="107" t="str">
        <f t="shared" si="3"/>
        <v/>
      </c>
      <c r="F41" s="108" t="str">
        <f t="shared" si="3"/>
        <v/>
      </c>
      <c r="G41" s="106" t="str">
        <f t="shared" si="3"/>
        <v/>
      </c>
      <c r="H41" s="107" t="str">
        <f t="shared" si="3"/>
        <v/>
      </c>
      <c r="I41" s="108" t="str">
        <f t="shared" si="3"/>
        <v/>
      </c>
      <c r="J41" s="106" t="str">
        <f t="shared" si="3"/>
        <v/>
      </c>
      <c r="K41" s="107" t="str">
        <f t="shared" si="3"/>
        <v/>
      </c>
      <c r="L41" s="108" t="str">
        <f t="shared" si="3"/>
        <v/>
      </c>
      <c r="M41" s="74"/>
      <c r="O41" s="104">
        <v>1</v>
      </c>
      <c r="P41" s="40" t="s">
        <v>84</v>
      </c>
      <c r="Y41" s="36"/>
      <c r="AA41" s="39" t="s">
        <v>85</v>
      </c>
      <c r="AB41" s="70"/>
      <c r="AC41" s="53" t="str">
        <f t="shared" si="2"/>
        <v/>
      </c>
      <c r="AD41" s="71" t="str">
        <f>IF(V25="","",V25)</f>
        <v/>
      </c>
      <c r="AH41" s="20">
        <v>32</v>
      </c>
      <c r="AI41" s="20">
        <v>50</v>
      </c>
      <c r="AJ41" s="75">
        <v>0.4</v>
      </c>
      <c r="AK41" s="20" t="s">
        <v>32</v>
      </c>
      <c r="AL41" s="20" t="s">
        <v>55</v>
      </c>
      <c r="AM41" s="20"/>
      <c r="AN41" s="20"/>
      <c r="AO41" s="20"/>
      <c r="AP41" s="20"/>
      <c r="AQ41" s="76"/>
    </row>
    <row r="42" spans="1:43" ht="14.1" customHeight="1">
      <c r="A42" s="21">
        <v>42</v>
      </c>
      <c r="B42" s="72"/>
      <c r="M42" s="74"/>
      <c r="O42" s="104">
        <v>1</v>
      </c>
      <c r="P42" s="40" t="s">
        <v>86</v>
      </c>
      <c r="Y42" s="36"/>
      <c r="AA42" s="39" t="s">
        <v>61</v>
      </c>
      <c r="AB42" s="70"/>
      <c r="AC42" s="53" t="str">
        <f t="shared" si="2"/>
        <v/>
      </c>
      <c r="AD42" s="71" t="str">
        <f>IF(V32="","",V32)</f>
        <v/>
      </c>
      <c r="AH42" s="20">
        <v>32</v>
      </c>
      <c r="AI42" s="20">
        <v>50</v>
      </c>
      <c r="AJ42" s="75">
        <v>0.4</v>
      </c>
      <c r="AK42" s="20" t="s">
        <v>32</v>
      </c>
      <c r="AL42" s="20" t="s">
        <v>55</v>
      </c>
      <c r="AM42" s="20"/>
      <c r="AN42" s="20"/>
      <c r="AO42" s="20"/>
      <c r="AP42" s="20"/>
      <c r="AQ42" s="76"/>
    </row>
    <row r="43" spans="1:43" ht="14.1" customHeight="1">
      <c r="A43" s="21">
        <v>43</v>
      </c>
      <c r="B43" s="72"/>
      <c r="H43" s="55" t="s">
        <v>73</v>
      </c>
      <c r="M43" s="74"/>
      <c r="O43" s="104">
        <v>1</v>
      </c>
      <c r="P43" s="40" t="s">
        <v>87</v>
      </c>
      <c r="Y43" s="36"/>
      <c r="AA43" s="39" t="s">
        <v>88</v>
      </c>
      <c r="AB43" s="70"/>
      <c r="AC43" s="53" t="str">
        <f t="shared" si="2"/>
        <v/>
      </c>
      <c r="AD43" s="71" t="str">
        <f>IF(V33="","",V33)</f>
        <v/>
      </c>
      <c r="AH43" s="20">
        <v>32</v>
      </c>
      <c r="AI43" s="20">
        <v>50</v>
      </c>
      <c r="AJ43" s="75">
        <v>0.5</v>
      </c>
      <c r="AK43" s="20" t="s">
        <v>32</v>
      </c>
      <c r="AL43" s="20" t="s">
        <v>55</v>
      </c>
      <c r="AM43" s="20"/>
      <c r="AN43" s="20"/>
      <c r="AO43" s="20"/>
      <c r="AP43" s="20"/>
      <c r="AQ43" s="76"/>
    </row>
    <row r="44" spans="1:43" ht="14.1" customHeight="1">
      <c r="A44" s="21">
        <v>44</v>
      </c>
      <c r="B44" s="72"/>
      <c r="C44" s="109" t="s">
        <v>89</v>
      </c>
      <c r="L44" s="765" t="s">
        <v>90</v>
      </c>
      <c r="M44" s="765"/>
      <c r="O44" s="34"/>
      <c r="Y44" s="36"/>
      <c r="AA44" s="80" t="s">
        <v>63</v>
      </c>
      <c r="AH44" s="20">
        <v>32</v>
      </c>
      <c r="AI44" s="20">
        <v>50</v>
      </c>
      <c r="AJ44" s="75">
        <v>0.5</v>
      </c>
      <c r="AK44" s="20" t="s">
        <v>32</v>
      </c>
      <c r="AL44" s="20" t="s">
        <v>55</v>
      </c>
      <c r="AM44" s="20"/>
      <c r="AN44" s="20"/>
      <c r="AO44" s="20"/>
      <c r="AP44" s="20"/>
      <c r="AQ44" s="76"/>
    </row>
    <row r="45" spans="1:43" ht="14.1" customHeight="1">
      <c r="A45" s="21">
        <v>45</v>
      </c>
      <c r="B45" s="72"/>
      <c r="C45" s="110" t="s">
        <v>91</v>
      </c>
      <c r="E45" s="40" t="s">
        <v>78</v>
      </c>
      <c r="L45" s="111" t="str">
        <f>IF(O39="","TBD",IF(O39=1,"YES",IF(O39=3,"NA","")))</f>
        <v>YES</v>
      </c>
      <c r="M45" s="112" t="str">
        <f>IF(O39=2,"NO","")</f>
        <v/>
      </c>
      <c r="O45" s="104">
        <v>1</v>
      </c>
      <c r="P45" s="25" t="s">
        <v>522</v>
      </c>
      <c r="Y45" s="36"/>
      <c r="AA45" s="47" t="s">
        <v>65</v>
      </c>
      <c r="AH45" s="20">
        <v>34</v>
      </c>
      <c r="AI45" s="20">
        <v>50</v>
      </c>
      <c r="AJ45" s="75">
        <v>0</v>
      </c>
      <c r="AK45" s="20" t="s">
        <v>32</v>
      </c>
      <c r="AL45" s="20" t="s">
        <v>55</v>
      </c>
      <c r="AM45" s="20"/>
      <c r="AN45" s="20"/>
      <c r="AO45" s="20"/>
      <c r="AP45" s="20"/>
      <c r="AQ45" s="76"/>
    </row>
    <row r="46" spans="1:43" ht="14.1" customHeight="1">
      <c r="A46" s="21">
        <v>46</v>
      </c>
      <c r="B46" s="72"/>
      <c r="C46" s="110" t="s">
        <v>93</v>
      </c>
      <c r="E46" s="40" t="s">
        <v>81</v>
      </c>
      <c r="L46" s="111" t="str">
        <f>IF(O40="","TBD",IF(O40=1,"YES",IF(O40=3,"NA","")))</f>
        <v>YES</v>
      </c>
      <c r="M46" s="112" t="str">
        <f>IF(O40=2,"NO","")</f>
        <v/>
      </c>
      <c r="O46" s="104">
        <v>1</v>
      </c>
      <c r="P46" s="25" t="s">
        <v>523</v>
      </c>
      <c r="Y46" s="36"/>
      <c r="AA46" s="39" t="s">
        <v>95</v>
      </c>
      <c r="AB46" s="70"/>
      <c r="AD46" s="71" t="str">
        <f>IF(P124="","",P124)</f>
        <v/>
      </c>
      <c r="AH46" s="20">
        <v>26</v>
      </c>
      <c r="AI46" s="20">
        <v>50</v>
      </c>
      <c r="AJ46" s="75">
        <v>0</v>
      </c>
      <c r="AK46" s="20" t="s">
        <v>52</v>
      </c>
      <c r="AL46" s="20" t="s">
        <v>55</v>
      </c>
      <c r="AM46" s="20"/>
      <c r="AN46" s="20"/>
      <c r="AO46" s="20"/>
      <c r="AP46" s="20"/>
      <c r="AQ46" s="76"/>
    </row>
    <row r="47" spans="1:43" ht="14.1" customHeight="1">
      <c r="A47" s="21">
        <v>47</v>
      </c>
      <c r="B47" s="72"/>
      <c r="C47" s="110" t="s">
        <v>96</v>
      </c>
      <c r="E47" s="40" t="s">
        <v>84</v>
      </c>
      <c r="L47" s="111" t="str">
        <f>IF(O41="","TBD",IF(O41=1,"YES",IF(O41=3,"NA","")))</f>
        <v>YES</v>
      </c>
      <c r="M47" s="112" t="str">
        <f>IF(O41=2,"NO","")</f>
        <v/>
      </c>
      <c r="O47" s="104">
        <v>1</v>
      </c>
      <c r="P47" s="25" t="s">
        <v>524</v>
      </c>
      <c r="Y47" s="36"/>
      <c r="AA47" s="39" t="s">
        <v>98</v>
      </c>
      <c r="AB47" s="70"/>
      <c r="AD47" s="71" t="str">
        <f>IF(Q124="","",Q124)</f>
        <v/>
      </c>
      <c r="AH47" s="20">
        <v>28</v>
      </c>
      <c r="AI47" s="20">
        <v>50</v>
      </c>
      <c r="AJ47" s="75">
        <v>0</v>
      </c>
      <c r="AK47" s="20" t="s">
        <v>52</v>
      </c>
      <c r="AL47" s="20" t="s">
        <v>55</v>
      </c>
      <c r="AM47" s="20"/>
      <c r="AN47" s="20"/>
      <c r="AO47" s="20"/>
      <c r="AP47" s="20"/>
      <c r="AQ47" s="76"/>
    </row>
    <row r="48" spans="1:43" ht="14.1" customHeight="1">
      <c r="A48" s="21">
        <v>48</v>
      </c>
      <c r="B48" s="72"/>
      <c r="E48" s="40" t="s">
        <v>86</v>
      </c>
      <c r="L48" s="111" t="str">
        <f>IF(O42="","TBD",IF(O42=1,"YES",IF(O42=3,"NA","")))</f>
        <v>YES</v>
      </c>
      <c r="M48" s="112" t="str">
        <f>IF(O42=2,"NO","")</f>
        <v/>
      </c>
      <c r="O48" s="104">
        <v>1</v>
      </c>
      <c r="P48" s="25" t="s">
        <v>525</v>
      </c>
      <c r="Y48" s="36"/>
      <c r="AA48" s="39" t="s">
        <v>100</v>
      </c>
      <c r="AB48" s="70"/>
      <c r="AD48" s="71" t="str">
        <f>IF(R124="","",R124)</f>
        <v/>
      </c>
      <c r="AH48" s="20">
        <v>28</v>
      </c>
      <c r="AI48" s="20">
        <v>50</v>
      </c>
      <c r="AJ48" s="75">
        <v>0</v>
      </c>
      <c r="AK48" s="20" t="s">
        <v>52</v>
      </c>
      <c r="AL48" s="20" t="s">
        <v>55</v>
      </c>
      <c r="AM48" s="20"/>
      <c r="AN48" s="20"/>
      <c r="AO48" s="20"/>
      <c r="AP48" s="20"/>
      <c r="AQ48" s="76"/>
    </row>
    <row r="49" spans="1:43" ht="14.1" customHeight="1">
      <c r="A49" s="21">
        <v>49</v>
      </c>
      <c r="B49" s="72"/>
      <c r="E49" s="40" t="s">
        <v>87</v>
      </c>
      <c r="L49" s="111" t="str">
        <f>IF(O43="","TBD",IF(O43=1,"YES",IF(O43=3,"NA","")))</f>
        <v>YES</v>
      </c>
      <c r="M49" s="112" t="str">
        <f>IF(O43=2,"NO","")</f>
        <v/>
      </c>
      <c r="O49" s="104">
        <v>1</v>
      </c>
      <c r="P49" s="25" t="s">
        <v>526</v>
      </c>
      <c r="Y49" s="36"/>
      <c r="AA49" s="39" t="s">
        <v>95</v>
      </c>
      <c r="AB49" s="70"/>
      <c r="AD49" s="71" t="str">
        <f>IF(P125="","",P125)</f>
        <v/>
      </c>
      <c r="AH49" s="20">
        <v>28</v>
      </c>
      <c r="AI49" s="20">
        <v>50</v>
      </c>
      <c r="AJ49" s="75">
        <v>0</v>
      </c>
      <c r="AK49" s="20" t="s">
        <v>52</v>
      </c>
      <c r="AL49" s="20" t="s">
        <v>55</v>
      </c>
      <c r="AM49" s="20"/>
      <c r="AN49" s="20"/>
      <c r="AO49" s="20"/>
      <c r="AP49" s="20"/>
      <c r="AQ49" s="76"/>
    </row>
    <row r="50" spans="1:43" ht="14.1" customHeight="1">
      <c r="A50" s="21">
        <v>50</v>
      </c>
      <c r="B50" s="72"/>
      <c r="H50" s="58" t="s">
        <v>92</v>
      </c>
      <c r="M50" s="74"/>
      <c r="O50" s="104">
        <v>1</v>
      </c>
      <c r="P50" s="25" t="s">
        <v>527</v>
      </c>
      <c r="Y50" s="36"/>
      <c r="AA50" s="39" t="s">
        <v>98</v>
      </c>
      <c r="AB50" s="70"/>
      <c r="AD50" s="71" t="str">
        <f>IF(Q125="","",Q125)</f>
        <v/>
      </c>
      <c r="AH50" s="20">
        <v>28</v>
      </c>
      <c r="AI50" s="20">
        <v>50</v>
      </c>
      <c r="AJ50" s="75">
        <v>0</v>
      </c>
      <c r="AK50" s="20" t="s">
        <v>52</v>
      </c>
      <c r="AL50" s="20" t="s">
        <v>55</v>
      </c>
      <c r="AM50" s="20"/>
      <c r="AN50" s="20"/>
      <c r="AO50" s="20"/>
      <c r="AP50" s="20"/>
      <c r="AQ50" s="76"/>
    </row>
    <row r="51" spans="1:43" ht="14.1" customHeight="1">
      <c r="A51" s="21">
        <v>51</v>
      </c>
      <c r="B51" s="72"/>
      <c r="E51" s="73" t="s">
        <v>94</v>
      </c>
      <c r="L51" s="111" t="str">
        <f t="shared" ref="L51:L63" si="4">IF(O64="","TBD",IF(O64=1,"YES",IF(O64=3,"NA","")))</f>
        <v>YES</v>
      </c>
      <c r="M51" s="112" t="str">
        <f t="shared" ref="M51:M63" si="5">IF(O64=2,"NO","")</f>
        <v/>
      </c>
      <c r="O51" s="104">
        <v>1</v>
      </c>
      <c r="P51" s="25" t="s">
        <v>528</v>
      </c>
      <c r="Y51" s="36"/>
      <c r="AA51" s="39" t="s">
        <v>100</v>
      </c>
      <c r="AB51" s="70"/>
      <c r="AD51" s="71" t="str">
        <f>IF(R125="","",R125)</f>
        <v/>
      </c>
      <c r="AH51" s="20">
        <v>28</v>
      </c>
      <c r="AI51" s="20">
        <v>50</v>
      </c>
      <c r="AJ51" s="75">
        <v>0.5</v>
      </c>
      <c r="AK51" s="20" t="s">
        <v>52</v>
      </c>
      <c r="AL51" s="20" t="s">
        <v>55</v>
      </c>
      <c r="AM51" s="20"/>
      <c r="AN51" s="20"/>
      <c r="AO51" s="20"/>
      <c r="AP51" s="20"/>
      <c r="AQ51" s="76"/>
    </row>
    <row r="52" spans="1:43" ht="14.1" customHeight="1">
      <c r="A52" s="21">
        <v>52</v>
      </c>
      <c r="B52" s="72"/>
      <c r="E52" s="73" t="s">
        <v>97</v>
      </c>
      <c r="L52" s="111" t="str">
        <f t="shared" si="4"/>
        <v>YES</v>
      </c>
      <c r="M52" s="112" t="str">
        <f t="shared" si="5"/>
        <v/>
      </c>
      <c r="O52" s="104">
        <v>1</v>
      </c>
      <c r="P52" s="25" t="s">
        <v>529</v>
      </c>
      <c r="Y52" s="36"/>
      <c r="AA52" s="39" t="s">
        <v>95</v>
      </c>
      <c r="AB52" s="70"/>
      <c r="AD52" s="71" t="str">
        <f>IF(P126="","",P126)</f>
        <v/>
      </c>
      <c r="AH52" s="20">
        <v>28</v>
      </c>
      <c r="AI52" s="20">
        <v>50</v>
      </c>
      <c r="AJ52" s="75">
        <v>0.5</v>
      </c>
      <c r="AK52" s="20" t="s">
        <v>52</v>
      </c>
      <c r="AL52" s="20" t="s">
        <v>55</v>
      </c>
      <c r="AM52" s="20"/>
      <c r="AN52" s="20"/>
      <c r="AO52" s="20"/>
      <c r="AP52" s="20"/>
      <c r="AQ52" s="76"/>
    </row>
    <row r="53" spans="1:43" ht="14.1" customHeight="1">
      <c r="A53" s="21">
        <v>53</v>
      </c>
      <c r="B53" s="72"/>
      <c r="E53" s="73" t="s">
        <v>99</v>
      </c>
      <c r="L53" s="111" t="str">
        <f t="shared" si="4"/>
        <v>YES</v>
      </c>
      <c r="M53" s="112" t="str">
        <f t="shared" si="5"/>
        <v/>
      </c>
      <c r="O53" s="104">
        <v>1</v>
      </c>
      <c r="P53" s="25" t="s">
        <v>530</v>
      </c>
      <c r="Y53" s="36"/>
      <c r="AA53" s="39" t="s">
        <v>98</v>
      </c>
      <c r="AB53" s="70"/>
      <c r="AD53" s="71" t="str">
        <f>IF(Q126="","",Q126)</f>
        <v/>
      </c>
      <c r="AH53" s="20">
        <v>28</v>
      </c>
      <c r="AI53" s="20">
        <v>50</v>
      </c>
      <c r="AJ53" s="75">
        <v>0.6</v>
      </c>
      <c r="AK53" s="20" t="s">
        <v>52</v>
      </c>
      <c r="AL53" s="20" t="s">
        <v>55</v>
      </c>
      <c r="AM53" s="20"/>
      <c r="AN53" s="20"/>
      <c r="AO53" s="20"/>
      <c r="AP53" s="20"/>
      <c r="AQ53" s="76"/>
    </row>
    <row r="54" spans="1:43" ht="14.1" customHeight="1">
      <c r="A54" s="21">
        <v>54</v>
      </c>
      <c r="B54" s="72"/>
      <c r="E54" s="73" t="s">
        <v>101</v>
      </c>
      <c r="L54" s="111" t="str">
        <f t="shared" si="4"/>
        <v>YES</v>
      </c>
      <c r="M54" s="112" t="str">
        <f t="shared" si="5"/>
        <v/>
      </c>
      <c r="O54" s="104">
        <v>1</v>
      </c>
      <c r="P54" s="25" t="s">
        <v>531</v>
      </c>
      <c r="Y54" s="36"/>
      <c r="AA54" s="39" t="s">
        <v>100</v>
      </c>
      <c r="AB54" s="70"/>
      <c r="AD54" s="71" t="str">
        <f>IF(R126="","",R126)</f>
        <v/>
      </c>
      <c r="AH54" s="20">
        <v>28</v>
      </c>
      <c r="AI54" s="20">
        <v>50</v>
      </c>
      <c r="AJ54" s="75">
        <v>0.6</v>
      </c>
      <c r="AK54" s="20" t="s">
        <v>52</v>
      </c>
      <c r="AL54" s="20" t="s">
        <v>55</v>
      </c>
      <c r="AM54" s="20"/>
      <c r="AN54" s="20"/>
      <c r="AO54" s="20"/>
      <c r="AP54" s="20"/>
      <c r="AQ54" s="76"/>
    </row>
    <row r="55" spans="1:43" ht="14.1" customHeight="1">
      <c r="A55" s="21">
        <v>55</v>
      </c>
      <c r="B55" s="72"/>
      <c r="E55" s="73" t="s">
        <v>102</v>
      </c>
      <c r="L55" s="111" t="str">
        <f t="shared" si="4"/>
        <v>NA</v>
      </c>
      <c r="M55" s="112" t="str">
        <f t="shared" si="5"/>
        <v/>
      </c>
      <c r="O55" s="104">
        <v>1</v>
      </c>
      <c r="P55" s="25" t="s">
        <v>532</v>
      </c>
      <c r="Y55" s="36"/>
      <c r="AA55" s="39" t="s">
        <v>95</v>
      </c>
      <c r="AB55" s="70"/>
      <c r="AD55" s="71" t="str">
        <f>IF(P127="","",P127)</f>
        <v/>
      </c>
      <c r="AH55" s="20">
        <v>30</v>
      </c>
      <c r="AI55" s="20">
        <v>50</v>
      </c>
      <c r="AJ55" s="75">
        <v>0</v>
      </c>
      <c r="AK55" s="20" t="s">
        <v>52</v>
      </c>
      <c r="AL55" s="20" t="s">
        <v>55</v>
      </c>
      <c r="AM55" s="20"/>
      <c r="AN55" s="20"/>
      <c r="AO55" s="20"/>
      <c r="AP55" s="20"/>
      <c r="AQ55" s="76"/>
    </row>
    <row r="56" spans="1:43" ht="14.1" customHeight="1">
      <c r="A56" s="21">
        <v>56</v>
      </c>
      <c r="B56" s="72"/>
      <c r="E56" s="73" t="s">
        <v>103</v>
      </c>
      <c r="L56" s="111" t="str">
        <f t="shared" si="4"/>
        <v>NA</v>
      </c>
      <c r="M56" s="112" t="str">
        <f t="shared" si="5"/>
        <v/>
      </c>
      <c r="O56" s="104">
        <v>1</v>
      </c>
      <c r="P56" s="25" t="s">
        <v>533</v>
      </c>
      <c r="Y56" s="36"/>
      <c r="AA56" s="39" t="s">
        <v>98</v>
      </c>
      <c r="AB56" s="70"/>
      <c r="AD56" s="71"/>
      <c r="AH56" s="20">
        <v>32</v>
      </c>
      <c r="AI56" s="20">
        <v>50</v>
      </c>
      <c r="AJ56" s="75">
        <v>0</v>
      </c>
      <c r="AK56" s="20" t="s">
        <v>52</v>
      </c>
      <c r="AL56" s="20" t="s">
        <v>55</v>
      </c>
      <c r="AM56" s="20"/>
      <c r="AN56" s="20"/>
      <c r="AO56" s="20"/>
      <c r="AP56" s="20"/>
      <c r="AQ56" s="76"/>
    </row>
    <row r="57" spans="1:43" ht="14.1" customHeight="1">
      <c r="A57" s="21">
        <v>57</v>
      </c>
      <c r="B57" s="72"/>
      <c r="E57" s="73" t="s">
        <v>109</v>
      </c>
      <c r="L57" s="111" t="str">
        <f t="shared" si="4"/>
        <v>YES</v>
      </c>
      <c r="M57" s="112" t="str">
        <f t="shared" si="5"/>
        <v/>
      </c>
      <c r="O57" s="104">
        <v>1</v>
      </c>
      <c r="P57" s="25" t="s">
        <v>534</v>
      </c>
      <c r="Y57" s="36"/>
      <c r="AA57" s="39" t="s">
        <v>100</v>
      </c>
      <c r="AB57" s="70"/>
      <c r="AD57" s="71"/>
      <c r="AH57" s="20">
        <v>32</v>
      </c>
      <c r="AI57" s="20">
        <v>50</v>
      </c>
      <c r="AJ57" s="75">
        <v>0</v>
      </c>
      <c r="AK57" s="20" t="s">
        <v>52</v>
      </c>
      <c r="AL57" s="20" t="s">
        <v>55</v>
      </c>
      <c r="AM57" s="20"/>
      <c r="AN57" s="20"/>
      <c r="AO57" s="20"/>
      <c r="AP57" s="20"/>
      <c r="AQ57" s="76"/>
    </row>
    <row r="58" spans="1:43" ht="14.1" customHeight="1">
      <c r="A58" s="21">
        <v>58</v>
      </c>
      <c r="B58" s="72"/>
      <c r="E58" s="73" t="s">
        <v>105</v>
      </c>
      <c r="L58" s="111" t="str">
        <f t="shared" si="4"/>
        <v>YES</v>
      </c>
      <c r="M58" s="112" t="str">
        <f t="shared" si="5"/>
        <v/>
      </c>
      <c r="O58" s="104">
        <v>1</v>
      </c>
      <c r="P58" s="25" t="s">
        <v>535</v>
      </c>
      <c r="Y58" s="36"/>
      <c r="AA58" s="47" t="s">
        <v>112</v>
      </c>
      <c r="AH58" s="20">
        <v>32</v>
      </c>
      <c r="AI58" s="20">
        <v>50</v>
      </c>
      <c r="AJ58" s="20">
        <v>0.6</v>
      </c>
      <c r="AK58" s="20" t="s">
        <v>52</v>
      </c>
      <c r="AL58" s="20" t="s">
        <v>55</v>
      </c>
      <c r="AM58" s="113"/>
      <c r="AN58" s="113"/>
      <c r="AO58" s="113"/>
      <c r="AP58" s="113"/>
      <c r="AQ58" s="16"/>
    </row>
    <row r="59" spans="1:43" ht="14.1" customHeight="1">
      <c r="A59" s="21">
        <v>59</v>
      </c>
      <c r="B59" s="72"/>
      <c r="E59" s="73" t="s">
        <v>106</v>
      </c>
      <c r="L59" s="111" t="str">
        <f t="shared" si="4"/>
        <v>YES</v>
      </c>
      <c r="M59" s="112" t="str">
        <f t="shared" si="5"/>
        <v/>
      </c>
      <c r="O59" s="104">
        <v>1</v>
      </c>
      <c r="P59" s="25" t="s">
        <v>536</v>
      </c>
      <c r="Y59" s="36"/>
      <c r="AA59" s="39" t="s">
        <v>95</v>
      </c>
      <c r="AB59" s="70"/>
      <c r="AD59" s="71" t="str">
        <f>IF(S124="","",S124)</f>
        <v/>
      </c>
      <c r="AH59" s="15">
        <v>32</v>
      </c>
      <c r="AI59" s="15">
        <v>50</v>
      </c>
      <c r="AJ59" s="15">
        <v>0.6</v>
      </c>
      <c r="AK59" s="15" t="s">
        <v>52</v>
      </c>
      <c r="AL59" s="15" t="s">
        <v>55</v>
      </c>
      <c r="AM59" s="113"/>
      <c r="AN59" s="113"/>
      <c r="AO59" s="113"/>
      <c r="AP59" s="113"/>
      <c r="AQ59" s="16"/>
    </row>
    <row r="60" spans="1:43" ht="14.1" customHeight="1">
      <c r="A60" s="21">
        <v>60</v>
      </c>
      <c r="B60" s="72"/>
      <c r="E60" s="73" t="s">
        <v>107</v>
      </c>
      <c r="L60" s="111" t="str">
        <f t="shared" si="4"/>
        <v>YES</v>
      </c>
      <c r="M60" s="112" t="str">
        <f t="shared" si="5"/>
        <v/>
      </c>
      <c r="O60" s="104">
        <v>1</v>
      </c>
      <c r="P60" s="25" t="s">
        <v>537</v>
      </c>
      <c r="Y60" s="36"/>
      <c r="AA60" s="39" t="s">
        <v>98</v>
      </c>
      <c r="AB60" s="70"/>
      <c r="AD60" s="71" t="str">
        <f>IF(T124="","",T124)</f>
        <v/>
      </c>
      <c r="AH60" s="15">
        <v>32</v>
      </c>
      <c r="AI60" s="15">
        <v>50</v>
      </c>
      <c r="AJ60" s="15">
        <v>0.7</v>
      </c>
      <c r="AK60" s="15" t="s">
        <v>52</v>
      </c>
      <c r="AL60" s="15" t="s">
        <v>55</v>
      </c>
      <c r="AM60" s="113"/>
      <c r="AN60" s="113"/>
      <c r="AO60" s="113"/>
      <c r="AP60" s="113"/>
      <c r="AQ60" s="16"/>
    </row>
    <row r="61" spans="1:43" ht="14.1" customHeight="1">
      <c r="A61" s="21">
        <v>61</v>
      </c>
      <c r="B61" s="72"/>
      <c r="E61" s="73" t="s">
        <v>108</v>
      </c>
      <c r="L61" s="111" t="str">
        <f t="shared" si="4"/>
        <v>YES</v>
      </c>
      <c r="M61" s="112" t="str">
        <f t="shared" si="5"/>
        <v/>
      </c>
      <c r="O61" s="104">
        <v>1</v>
      </c>
      <c r="P61" s="25" t="s">
        <v>538</v>
      </c>
      <c r="Y61" s="36"/>
      <c r="AA61" s="39" t="s">
        <v>100</v>
      </c>
      <c r="AB61" s="70"/>
      <c r="AD61" s="71" t="str">
        <f>IF(U124="","",U124)</f>
        <v/>
      </c>
      <c r="AH61" s="15">
        <v>32</v>
      </c>
      <c r="AI61" s="15">
        <v>50</v>
      </c>
      <c r="AJ61" s="15">
        <v>0.7</v>
      </c>
      <c r="AK61" s="15" t="s">
        <v>52</v>
      </c>
      <c r="AL61" s="15" t="s">
        <v>55</v>
      </c>
      <c r="AM61" s="113"/>
      <c r="AN61" s="113"/>
      <c r="AO61" s="113"/>
      <c r="AP61" s="113"/>
      <c r="AQ61" s="16"/>
    </row>
    <row r="62" spans="1:43" ht="14.1" customHeight="1">
      <c r="A62" s="21">
        <v>62</v>
      </c>
      <c r="B62" s="72"/>
      <c r="E62" s="73" t="s">
        <v>115</v>
      </c>
      <c r="L62" s="111" t="str">
        <f t="shared" si="4"/>
        <v>YES</v>
      </c>
      <c r="M62" s="112" t="str">
        <f t="shared" si="5"/>
        <v/>
      </c>
      <c r="O62" s="34"/>
      <c r="Y62" s="36"/>
      <c r="AA62" s="39" t="s">
        <v>95</v>
      </c>
      <c r="AB62" s="70"/>
      <c r="AD62" s="71" t="str">
        <f>IF(S125="","",S125)</f>
        <v/>
      </c>
      <c r="AH62" s="15">
        <v>34</v>
      </c>
      <c r="AI62" s="15">
        <v>50</v>
      </c>
      <c r="AJ62" s="114">
        <v>0</v>
      </c>
      <c r="AK62" s="15" t="s">
        <v>52</v>
      </c>
      <c r="AL62" s="15" t="s">
        <v>55</v>
      </c>
      <c r="AM62" s="113"/>
      <c r="AN62" s="113"/>
      <c r="AO62" s="113"/>
      <c r="AP62" s="113"/>
      <c r="AQ62" s="16"/>
    </row>
    <row r="63" spans="1:43" ht="14.1" customHeight="1">
      <c r="A63" s="21">
        <v>63</v>
      </c>
      <c r="B63" s="72"/>
      <c r="E63" s="25" t="s">
        <v>117</v>
      </c>
      <c r="L63" s="111" t="str">
        <f t="shared" si="4"/>
        <v>YES</v>
      </c>
      <c r="M63" s="112" t="str">
        <f t="shared" si="5"/>
        <v/>
      </c>
      <c r="O63" s="34"/>
      <c r="T63" s="58" t="s">
        <v>92</v>
      </c>
      <c r="Y63" s="36"/>
      <c r="AA63" s="39" t="s">
        <v>98</v>
      </c>
      <c r="AB63" s="70"/>
      <c r="AD63" s="71" t="str">
        <f>IF(T125="","",T125)</f>
        <v/>
      </c>
    </row>
    <row r="64" spans="1:43" ht="14.1" customHeight="1">
      <c r="A64" s="21">
        <v>64</v>
      </c>
      <c r="B64" s="72"/>
      <c r="C64" s="73"/>
      <c r="D64" s="73"/>
      <c r="E64" s="73"/>
      <c r="F64" s="73"/>
      <c r="G64" s="73"/>
      <c r="H64" s="73"/>
      <c r="I64" s="73"/>
      <c r="J64" s="73"/>
      <c r="K64" s="73"/>
      <c r="L64" s="73"/>
      <c r="M64" s="74"/>
      <c r="O64" s="104">
        <v>1</v>
      </c>
      <c r="P64" s="73" t="s">
        <v>94</v>
      </c>
      <c r="Y64" s="36"/>
      <c r="AA64" s="39" t="s">
        <v>100</v>
      </c>
      <c r="AB64" s="70"/>
      <c r="AD64" s="71" t="str">
        <f>IF(U125="","",U125)</f>
        <v/>
      </c>
    </row>
    <row r="65" spans="1:43" ht="14.1" customHeight="1">
      <c r="A65" s="21">
        <v>65</v>
      </c>
      <c r="B65" s="72"/>
      <c r="C65" s="73"/>
      <c r="D65" s="73"/>
      <c r="E65" s="73"/>
      <c r="F65" s="73"/>
      <c r="G65" s="73"/>
      <c r="H65" s="73"/>
      <c r="I65" s="73"/>
      <c r="J65" s="73"/>
      <c r="K65" s="73"/>
      <c r="L65" s="73"/>
      <c r="M65" s="74"/>
      <c r="O65" s="104">
        <v>1</v>
      </c>
      <c r="P65" s="73" t="s">
        <v>97</v>
      </c>
      <c r="Y65" s="36"/>
      <c r="AA65" s="39" t="s">
        <v>95</v>
      </c>
      <c r="AB65" s="70"/>
      <c r="AD65" s="71" t="str">
        <f>IF(S126="","",S126)</f>
        <v/>
      </c>
    </row>
    <row r="66" spans="1:43" ht="14.1" customHeight="1">
      <c r="A66" s="21">
        <v>66</v>
      </c>
      <c r="B66" s="72"/>
      <c r="C66" s="73"/>
      <c r="D66" s="73"/>
      <c r="E66" s="73"/>
      <c r="F66" s="73"/>
      <c r="G66" s="73"/>
      <c r="H66" s="73"/>
      <c r="I66" s="73"/>
      <c r="J66" s="73"/>
      <c r="K66" s="73"/>
      <c r="L66" s="73"/>
      <c r="M66" s="74"/>
      <c r="O66" s="104">
        <v>1</v>
      </c>
      <c r="P66" s="73" t="s">
        <v>99</v>
      </c>
      <c r="Y66" s="36"/>
      <c r="AA66" s="39" t="s">
        <v>98</v>
      </c>
      <c r="AB66" s="70"/>
      <c r="AD66" s="71" t="str">
        <f>IF(T126="","",T126)</f>
        <v/>
      </c>
    </row>
    <row r="67" spans="1:43" ht="14.1" customHeight="1">
      <c r="A67" s="21">
        <v>67</v>
      </c>
      <c r="B67" s="72"/>
      <c r="C67" s="73"/>
      <c r="D67" s="73"/>
      <c r="E67" s="73"/>
      <c r="F67" s="73"/>
      <c r="G67" s="73"/>
      <c r="H67" s="73"/>
      <c r="I67" s="73"/>
      <c r="J67" s="73"/>
      <c r="K67" s="73"/>
      <c r="L67" s="73"/>
      <c r="M67" s="74"/>
      <c r="O67" s="104">
        <v>1</v>
      </c>
      <c r="P67" s="73" t="s">
        <v>101</v>
      </c>
      <c r="Y67" s="36"/>
      <c r="AA67" s="39" t="s">
        <v>100</v>
      </c>
      <c r="AB67" s="70"/>
      <c r="AD67" s="71" t="str">
        <f>IF(U126="","",U126)</f>
        <v/>
      </c>
    </row>
    <row r="68" spans="1:43" ht="14.1" customHeight="1">
      <c r="A68" s="21">
        <v>68</v>
      </c>
      <c r="B68" s="72"/>
      <c r="C68" s="73"/>
      <c r="D68" s="73"/>
      <c r="E68" s="73"/>
      <c r="F68" s="73"/>
      <c r="G68" s="73"/>
      <c r="H68" s="73"/>
      <c r="I68" s="73"/>
      <c r="J68" s="73"/>
      <c r="K68" s="73"/>
      <c r="L68" s="73"/>
      <c r="M68" s="74"/>
      <c r="O68" s="104">
        <v>3</v>
      </c>
      <c r="P68" s="73" t="s">
        <v>102</v>
      </c>
      <c r="Y68" s="36"/>
      <c r="AA68" s="39" t="s">
        <v>95</v>
      </c>
      <c r="AB68" s="70"/>
      <c r="AD68" s="71" t="str">
        <f>IF(S127="","",S127)</f>
        <v/>
      </c>
    </row>
    <row r="69" spans="1:43" ht="14.1" customHeight="1">
      <c r="A69" s="21">
        <v>69</v>
      </c>
      <c r="B69" s="72"/>
      <c r="C69" s="73"/>
      <c r="D69" s="73"/>
      <c r="E69" s="73"/>
      <c r="F69" s="73"/>
      <c r="G69" s="73"/>
      <c r="H69" s="73"/>
      <c r="I69" s="73"/>
      <c r="J69" s="73"/>
      <c r="K69" s="73"/>
      <c r="L69" s="73"/>
      <c r="M69" s="74"/>
      <c r="O69" s="104">
        <v>3</v>
      </c>
      <c r="P69" s="73" t="s">
        <v>103</v>
      </c>
      <c r="Y69" s="36"/>
      <c r="AA69" s="39" t="s">
        <v>98</v>
      </c>
      <c r="AB69" s="70"/>
      <c r="AD69" s="71" t="str">
        <f>IF(T127="","",T127)</f>
        <v/>
      </c>
    </row>
    <row r="70" spans="1:43" ht="14.1" customHeight="1" thickBot="1">
      <c r="A70" s="21">
        <v>70</v>
      </c>
      <c r="B70" s="85"/>
      <c r="C70" s="86"/>
      <c r="D70" s="86"/>
      <c r="E70" s="86"/>
      <c r="F70" s="86"/>
      <c r="G70" s="86"/>
      <c r="H70" s="86"/>
      <c r="I70" s="86"/>
      <c r="J70" s="86"/>
      <c r="K70" s="86"/>
      <c r="L70" s="86"/>
      <c r="M70" s="87"/>
      <c r="O70" s="104">
        <v>1</v>
      </c>
      <c r="P70" s="73" t="s">
        <v>104</v>
      </c>
      <c r="Y70" s="36"/>
      <c r="AA70" s="39" t="s">
        <v>100</v>
      </c>
      <c r="AB70" s="70"/>
      <c r="AD70" s="71" t="str">
        <f>IF(U127="","",U127)</f>
        <v/>
      </c>
    </row>
    <row r="71" spans="1:43" ht="14.1" customHeight="1" thickTop="1">
      <c r="A71" s="21">
        <v>71</v>
      </c>
      <c r="C71" s="117" t="s">
        <v>11</v>
      </c>
      <c r="D71" s="422" t="str">
        <f>IF($P$7="","",$P$7)</f>
        <v/>
      </c>
      <c r="E71" s="31"/>
      <c r="F71" s="31"/>
      <c r="G71" s="31"/>
      <c r="H71" s="31"/>
      <c r="I71" s="31"/>
      <c r="J71" s="31"/>
      <c r="K71" s="31"/>
      <c r="L71" s="117" t="s">
        <v>12</v>
      </c>
      <c r="M71" s="423" t="str">
        <f>IF($X$7="","",$X$7)</f>
        <v>Eugene Mah</v>
      </c>
      <c r="O71" s="104">
        <v>1</v>
      </c>
      <c r="P71" s="73" t="s">
        <v>105</v>
      </c>
      <c r="Y71" s="36"/>
      <c r="AA71" s="47" t="s">
        <v>67</v>
      </c>
    </row>
    <row r="72" spans="1:43" ht="14.1" customHeight="1">
      <c r="A72" s="21">
        <v>72</v>
      </c>
      <c r="C72" s="117" t="s">
        <v>121</v>
      </c>
      <c r="D72" s="423" t="str">
        <f>IF($R$14="","",$R$14)</f>
        <v/>
      </c>
      <c r="E72" s="31"/>
      <c r="F72" s="31"/>
      <c r="G72" s="31"/>
      <c r="H72" s="31"/>
      <c r="I72" s="31"/>
      <c r="J72" s="31"/>
      <c r="K72" s="31"/>
      <c r="L72" s="117" t="s">
        <v>37</v>
      </c>
      <c r="M72" s="423" t="str">
        <f>IF($R$13="","",$R$13)</f>
        <v/>
      </c>
      <c r="O72" s="104">
        <v>1</v>
      </c>
      <c r="P72" s="73" t="s">
        <v>106</v>
      </c>
      <c r="Y72" s="36"/>
      <c r="AA72" s="39" t="s">
        <v>95</v>
      </c>
      <c r="AB72" s="70"/>
      <c r="AD72" s="71" t="str">
        <f>IF(V124="","",V124)</f>
        <v/>
      </c>
    </row>
    <row r="73" spans="1:43" ht="14.1" customHeight="1">
      <c r="A73" s="21">
        <v>1</v>
      </c>
      <c r="M73" s="120" t="str">
        <f>$H$2</f>
        <v>Medical University of South Carolina</v>
      </c>
      <c r="O73" s="104">
        <v>1</v>
      </c>
      <c r="P73" s="73" t="s">
        <v>107</v>
      </c>
      <c r="Y73" s="36"/>
      <c r="AA73" s="39" t="s">
        <v>98</v>
      </c>
      <c r="AB73" s="70"/>
      <c r="AD73" s="71" t="str">
        <f>IF(W124="","",W124)</f>
        <v/>
      </c>
      <c r="AH73" s="6"/>
      <c r="AI73" s="6"/>
      <c r="AJ73" s="6"/>
      <c r="AK73" s="6"/>
      <c r="AL73" s="6"/>
      <c r="AM73" s="6"/>
      <c r="AN73" s="6"/>
      <c r="AO73" s="6"/>
      <c r="AP73" s="6"/>
      <c r="AQ73" s="6"/>
    </row>
    <row r="74" spans="1:43" ht="14.1" customHeight="1" thickBot="1">
      <c r="A74" s="21">
        <v>2</v>
      </c>
      <c r="H74" s="55" t="s">
        <v>73</v>
      </c>
      <c r="M74" s="121" t="str">
        <f>$H$5</f>
        <v>Mammography System Compliance Inspection</v>
      </c>
      <c r="O74" s="104">
        <v>1</v>
      </c>
      <c r="P74" s="73" t="s">
        <v>108</v>
      </c>
      <c r="Y74" s="36"/>
      <c r="AA74" s="39" t="s">
        <v>100</v>
      </c>
      <c r="AB74" s="70"/>
      <c r="AD74" s="71" t="str">
        <f>IF(X124="","",X124)</f>
        <v/>
      </c>
    </row>
    <row r="75" spans="1:43" ht="14.1" customHeight="1" thickTop="1">
      <c r="A75" s="21">
        <v>3</v>
      </c>
      <c r="B75" s="63"/>
      <c r="C75" s="122" t="s">
        <v>89</v>
      </c>
      <c r="D75" s="64"/>
      <c r="E75" s="64"/>
      <c r="F75" s="64"/>
      <c r="G75" s="64"/>
      <c r="H75" s="123" t="s">
        <v>113</v>
      </c>
      <c r="I75" s="64"/>
      <c r="J75" s="64"/>
      <c r="K75" s="64"/>
      <c r="L75" s="64"/>
      <c r="M75" s="66"/>
      <c r="O75" s="104">
        <v>1</v>
      </c>
      <c r="P75" s="73" t="s">
        <v>110</v>
      </c>
      <c r="Y75" s="36"/>
      <c r="AA75" s="39" t="s">
        <v>95</v>
      </c>
      <c r="AB75" s="70"/>
      <c r="AD75" s="71" t="str">
        <f>IF(V125="","",V125)</f>
        <v/>
      </c>
    </row>
    <row r="76" spans="1:43" ht="14.1" customHeight="1">
      <c r="A76" s="21">
        <v>4</v>
      </c>
      <c r="B76" s="72"/>
      <c r="C76" s="73" t="s">
        <v>126</v>
      </c>
      <c r="D76" s="73"/>
      <c r="E76" s="73" t="s">
        <v>127</v>
      </c>
      <c r="F76" s="73"/>
      <c r="G76" s="73"/>
      <c r="H76" s="73"/>
      <c r="I76" s="73"/>
      <c r="J76" s="73"/>
      <c r="K76" s="73"/>
      <c r="L76" s="156" t="str">
        <f t="shared" ref="L76:L107" si="6">IF(O79="","TBD",IF(O79=1,"YES",IF(O79=3,"NA","")))</f>
        <v>YES</v>
      </c>
      <c r="M76" s="112" t="str">
        <f t="shared" ref="M76:M107" si="7">IF(O79=2,"NO","")</f>
        <v/>
      </c>
      <c r="O76" s="104">
        <v>1</v>
      </c>
      <c r="P76" s="25" t="s">
        <v>111</v>
      </c>
      <c r="Y76" s="36"/>
      <c r="AA76" s="39" t="s">
        <v>98</v>
      </c>
      <c r="AB76" s="70"/>
      <c r="AD76" s="71" t="str">
        <f>IF(W125="","",W125)</f>
        <v/>
      </c>
    </row>
    <row r="77" spans="1:43" ht="14.1" customHeight="1">
      <c r="A77" s="21">
        <v>5</v>
      </c>
      <c r="B77" s="72"/>
      <c r="C77" s="73" t="s">
        <v>129</v>
      </c>
      <c r="D77" s="73"/>
      <c r="E77" s="73" t="s">
        <v>130</v>
      </c>
      <c r="F77" s="73"/>
      <c r="G77" s="73"/>
      <c r="H77" s="73"/>
      <c r="I77" s="73"/>
      <c r="J77" s="73"/>
      <c r="K77" s="73"/>
      <c r="L77" s="156" t="str">
        <f t="shared" si="6"/>
        <v>YES</v>
      </c>
      <c r="M77" s="112" t="str">
        <f t="shared" si="7"/>
        <v/>
      </c>
      <c r="O77" s="34"/>
      <c r="Y77" s="36"/>
      <c r="AA77" s="39" t="s">
        <v>100</v>
      </c>
      <c r="AB77" s="70"/>
      <c r="AD77" s="71" t="str">
        <f>IF(X125="","",X125)</f>
        <v/>
      </c>
    </row>
    <row r="78" spans="1:43" ht="14.1" customHeight="1">
      <c r="A78" s="21">
        <v>6</v>
      </c>
      <c r="B78" s="72"/>
      <c r="C78" s="73" t="s">
        <v>132</v>
      </c>
      <c r="D78" s="73"/>
      <c r="E78" s="73" t="s">
        <v>118</v>
      </c>
      <c r="F78" s="73"/>
      <c r="G78" s="73"/>
      <c r="H78" s="73"/>
      <c r="I78" s="73"/>
      <c r="J78" s="73"/>
      <c r="K78" s="73"/>
      <c r="L78" s="156" t="str">
        <f t="shared" si="6"/>
        <v>YES</v>
      </c>
      <c r="M78" s="112" t="str">
        <f t="shared" si="7"/>
        <v/>
      </c>
      <c r="O78" s="34"/>
      <c r="T78" s="58" t="s">
        <v>113</v>
      </c>
      <c r="Y78" s="36"/>
      <c r="AA78" s="39" t="s">
        <v>95</v>
      </c>
      <c r="AB78" s="70"/>
      <c r="AD78" s="71" t="str">
        <f>IF(V126="","",V126)</f>
        <v/>
      </c>
    </row>
    <row r="79" spans="1:43" ht="14.1" customHeight="1">
      <c r="A79" s="21">
        <v>7</v>
      </c>
      <c r="B79" s="72"/>
      <c r="C79" s="73" t="s">
        <v>134</v>
      </c>
      <c r="D79" s="73"/>
      <c r="E79" s="73" t="s">
        <v>135</v>
      </c>
      <c r="F79" s="73"/>
      <c r="G79" s="73"/>
      <c r="H79" s="73"/>
      <c r="I79" s="73"/>
      <c r="J79" s="73"/>
      <c r="K79" s="73"/>
      <c r="L79" s="156" t="str">
        <f t="shared" si="6"/>
        <v>YES</v>
      </c>
      <c r="M79" s="112" t="str">
        <f t="shared" si="7"/>
        <v/>
      </c>
      <c r="O79" s="104">
        <v>1</v>
      </c>
      <c r="P79" s="25" t="s">
        <v>114</v>
      </c>
      <c r="Y79" s="36"/>
      <c r="AA79" s="39" t="s">
        <v>98</v>
      </c>
      <c r="AB79" s="70"/>
      <c r="AD79" s="71" t="str">
        <f>IF(W126="","",W126)</f>
        <v/>
      </c>
    </row>
    <row r="80" spans="1:43" ht="14.1" customHeight="1">
      <c r="A80" s="21">
        <v>8</v>
      </c>
      <c r="B80" s="72"/>
      <c r="C80" s="73" t="s">
        <v>137</v>
      </c>
      <c r="D80" s="73"/>
      <c r="E80" s="73" t="s">
        <v>120</v>
      </c>
      <c r="F80" s="73"/>
      <c r="G80" s="73"/>
      <c r="H80" s="73"/>
      <c r="I80" s="73"/>
      <c r="J80" s="73"/>
      <c r="K80" s="73"/>
      <c r="L80" s="156" t="str">
        <f t="shared" si="6"/>
        <v>YES</v>
      </c>
      <c r="M80" s="112" t="str">
        <f t="shared" si="7"/>
        <v/>
      </c>
      <c r="O80" s="104">
        <v>1</v>
      </c>
      <c r="P80" s="25" t="s">
        <v>116</v>
      </c>
      <c r="Y80" s="36"/>
      <c r="AA80" s="39" t="s">
        <v>100</v>
      </c>
      <c r="AB80" s="70"/>
      <c r="AD80" s="71" t="str">
        <f>IF(X126="","",X126)</f>
        <v/>
      </c>
    </row>
    <row r="81" spans="1:30" ht="14.1" customHeight="1">
      <c r="A81" s="21">
        <v>9</v>
      </c>
      <c r="B81" s="72"/>
      <c r="C81" s="73" t="s">
        <v>139</v>
      </c>
      <c r="D81" s="73"/>
      <c r="E81" s="73" t="s">
        <v>140</v>
      </c>
      <c r="F81" s="73"/>
      <c r="G81" s="73"/>
      <c r="H81" s="73"/>
      <c r="I81" s="73"/>
      <c r="J81" s="73"/>
      <c r="K81" s="73"/>
      <c r="L81" s="156" t="str">
        <f t="shared" si="6"/>
        <v>YES</v>
      </c>
      <c r="M81" s="112" t="str">
        <f t="shared" si="7"/>
        <v/>
      </c>
      <c r="O81" s="104">
        <v>1</v>
      </c>
      <c r="P81" s="25" t="s">
        <v>118</v>
      </c>
      <c r="Y81" s="36"/>
      <c r="AA81" s="39" t="s">
        <v>95</v>
      </c>
      <c r="AB81" s="70"/>
      <c r="AD81" s="71" t="str">
        <f>IF(V127="","",V127)</f>
        <v/>
      </c>
    </row>
    <row r="82" spans="1:30" ht="14.1" customHeight="1">
      <c r="A82" s="21">
        <v>10</v>
      </c>
      <c r="B82" s="72"/>
      <c r="C82" s="73" t="s">
        <v>142</v>
      </c>
      <c r="D82" s="73"/>
      <c r="E82" s="73" t="s">
        <v>123</v>
      </c>
      <c r="F82" s="73"/>
      <c r="G82" s="73"/>
      <c r="H82" s="73"/>
      <c r="I82" s="73"/>
      <c r="J82" s="73"/>
      <c r="K82" s="73"/>
      <c r="L82" s="156" t="str">
        <f t="shared" si="6"/>
        <v>YES</v>
      </c>
      <c r="M82" s="112" t="str">
        <f t="shared" si="7"/>
        <v/>
      </c>
      <c r="O82" s="104">
        <v>1</v>
      </c>
      <c r="P82" s="25" t="s">
        <v>119</v>
      </c>
      <c r="Y82" s="36"/>
      <c r="AA82" s="39" t="s">
        <v>98</v>
      </c>
      <c r="AB82" s="70"/>
      <c r="AD82" s="71" t="str">
        <f>IF(W127="","",W127)</f>
        <v/>
      </c>
    </row>
    <row r="83" spans="1:30" ht="14.1" customHeight="1">
      <c r="A83" s="21">
        <v>11</v>
      </c>
      <c r="B83" s="72"/>
      <c r="C83" s="73" t="s">
        <v>144</v>
      </c>
      <c r="D83" s="73"/>
      <c r="E83" s="73" t="s">
        <v>145</v>
      </c>
      <c r="F83" s="73"/>
      <c r="G83" s="73"/>
      <c r="H83" s="73"/>
      <c r="I83" s="73"/>
      <c r="J83" s="73"/>
      <c r="K83" s="73"/>
      <c r="L83" s="156" t="str">
        <f t="shared" si="6"/>
        <v>YES</v>
      </c>
      <c r="M83" s="112" t="str">
        <f t="shared" si="7"/>
        <v/>
      </c>
      <c r="O83" s="104">
        <v>1</v>
      </c>
      <c r="P83" s="25" t="s">
        <v>120</v>
      </c>
      <c r="Y83" s="36"/>
      <c r="AA83" s="39" t="s">
        <v>100</v>
      </c>
      <c r="AB83" s="70"/>
      <c r="AD83" s="71" t="str">
        <f>IF(X127="","",X127)</f>
        <v/>
      </c>
    </row>
    <row r="84" spans="1:30" ht="14.1" customHeight="1">
      <c r="A84" s="21">
        <v>12</v>
      </c>
      <c r="B84" s="72"/>
      <c r="C84" s="73" t="s">
        <v>147</v>
      </c>
      <c r="D84" s="73"/>
      <c r="E84" s="73" t="s">
        <v>125</v>
      </c>
      <c r="F84" s="73"/>
      <c r="G84" s="73"/>
      <c r="H84" s="73"/>
      <c r="I84" s="73"/>
      <c r="J84" s="73"/>
      <c r="K84" s="73"/>
      <c r="L84" s="156" t="str">
        <f t="shared" si="6"/>
        <v>YES</v>
      </c>
      <c r="M84" s="112" t="str">
        <f t="shared" si="7"/>
        <v/>
      </c>
      <c r="O84" s="104">
        <v>1</v>
      </c>
      <c r="P84" s="25" t="s">
        <v>122</v>
      </c>
      <c r="Y84" s="36"/>
    </row>
    <row r="85" spans="1:30" ht="14.1" customHeight="1">
      <c r="A85" s="21">
        <v>13</v>
      </c>
      <c r="B85" s="72"/>
      <c r="C85" s="73" t="s">
        <v>149</v>
      </c>
      <c r="D85" s="73"/>
      <c r="E85" s="73" t="s">
        <v>128</v>
      </c>
      <c r="F85" s="73"/>
      <c r="G85" s="73"/>
      <c r="H85" s="73"/>
      <c r="I85" s="73"/>
      <c r="J85" s="73"/>
      <c r="K85" s="73"/>
      <c r="L85" s="156" t="str">
        <f t="shared" si="6"/>
        <v>YES</v>
      </c>
      <c r="M85" s="112" t="str">
        <f t="shared" si="7"/>
        <v/>
      </c>
      <c r="O85" s="104">
        <v>1</v>
      </c>
      <c r="P85" s="25" t="s">
        <v>123</v>
      </c>
      <c r="Y85" s="36"/>
      <c r="AA85" s="39" t="s">
        <v>161</v>
      </c>
      <c r="AB85" s="70"/>
      <c r="AD85" s="124" t="str">
        <f>IF(X271="","",X271)</f>
        <v/>
      </c>
    </row>
    <row r="86" spans="1:30" ht="14.1" customHeight="1">
      <c r="A86" s="21">
        <v>14</v>
      </c>
      <c r="B86" s="72"/>
      <c r="C86" s="73" t="s">
        <v>149</v>
      </c>
      <c r="D86" s="73"/>
      <c r="E86" s="73" t="s">
        <v>131</v>
      </c>
      <c r="F86" s="73"/>
      <c r="G86" s="73"/>
      <c r="H86" s="73"/>
      <c r="I86" s="73"/>
      <c r="J86" s="73"/>
      <c r="K86" s="73"/>
      <c r="L86" s="156" t="str">
        <f t="shared" si="6"/>
        <v>YES</v>
      </c>
      <c r="M86" s="112" t="str">
        <f t="shared" si="7"/>
        <v/>
      </c>
      <c r="O86" s="104">
        <v>1</v>
      </c>
      <c r="P86" s="25" t="s">
        <v>124</v>
      </c>
      <c r="Y86" s="36"/>
      <c r="AA86" s="39" t="s">
        <v>540</v>
      </c>
      <c r="AB86" s="70"/>
      <c r="AD86" s="125" t="str">
        <f>IF(S312="","",S312)</f>
        <v/>
      </c>
    </row>
    <row r="87" spans="1:30" ht="14.1" customHeight="1">
      <c r="A87" s="21">
        <v>15</v>
      </c>
      <c r="B87" s="72"/>
      <c r="C87" s="73" t="s">
        <v>152</v>
      </c>
      <c r="D87" s="73"/>
      <c r="E87" s="73" t="s">
        <v>133</v>
      </c>
      <c r="F87" s="73"/>
      <c r="G87" s="73"/>
      <c r="H87" s="73"/>
      <c r="I87" s="73"/>
      <c r="J87" s="73"/>
      <c r="K87" s="73"/>
      <c r="L87" s="156" t="str">
        <f t="shared" si="6"/>
        <v>YES</v>
      </c>
      <c r="M87" s="112" t="str">
        <f t="shared" si="7"/>
        <v/>
      </c>
      <c r="O87" s="104">
        <v>1</v>
      </c>
      <c r="P87" s="25" t="s">
        <v>125</v>
      </c>
      <c r="Y87" s="36"/>
      <c r="AA87" s="39" t="s">
        <v>541</v>
      </c>
      <c r="AB87" s="70"/>
      <c r="AD87" s="124" t="str">
        <f>IF(T312="","",T312)</f>
        <v/>
      </c>
    </row>
    <row r="88" spans="1:30" ht="14.1" customHeight="1">
      <c r="A88" s="21">
        <v>16</v>
      </c>
      <c r="B88" s="72"/>
      <c r="C88" s="73" t="s">
        <v>154</v>
      </c>
      <c r="D88" s="73"/>
      <c r="E88" s="73" t="s">
        <v>136</v>
      </c>
      <c r="F88" s="73"/>
      <c r="G88" s="73"/>
      <c r="H88" s="73"/>
      <c r="I88" s="73"/>
      <c r="J88" s="73"/>
      <c r="K88" s="73"/>
      <c r="L88" s="156" t="str">
        <f t="shared" si="6"/>
        <v>YES</v>
      </c>
      <c r="M88" s="112" t="str">
        <f t="shared" si="7"/>
        <v/>
      </c>
      <c r="O88" s="104">
        <v>1</v>
      </c>
      <c r="P88" s="25" t="s">
        <v>128</v>
      </c>
      <c r="Y88" s="36"/>
      <c r="AA88" s="39" t="s">
        <v>542</v>
      </c>
      <c r="AB88" s="70"/>
      <c r="AD88" s="125" t="str">
        <f>IF(X312="","",X312)</f>
        <v/>
      </c>
    </row>
    <row r="89" spans="1:30" ht="14.1" customHeight="1">
      <c r="A89" s="21">
        <v>17</v>
      </c>
      <c r="B89" s="72"/>
      <c r="C89" s="378"/>
      <c r="D89" s="73"/>
      <c r="E89" s="73" t="s">
        <v>138</v>
      </c>
      <c r="F89" s="73"/>
      <c r="G89" s="73"/>
      <c r="H89" s="73"/>
      <c r="I89" s="73"/>
      <c r="J89" s="73"/>
      <c r="K89" s="73"/>
      <c r="L89" s="156" t="str">
        <f t="shared" si="6"/>
        <v>YES</v>
      </c>
      <c r="M89" s="112" t="str">
        <f t="shared" si="7"/>
        <v/>
      </c>
      <c r="O89" s="104">
        <v>1</v>
      </c>
      <c r="P89" s="25" t="s">
        <v>131</v>
      </c>
      <c r="Y89" s="36"/>
      <c r="AA89" s="39" t="s">
        <v>543</v>
      </c>
      <c r="AB89" s="70"/>
      <c r="AD89" s="124" t="str">
        <f>IF(Y312="","",Y312)</f>
        <v/>
      </c>
    </row>
    <row r="90" spans="1:30" ht="14.1" customHeight="1">
      <c r="A90" s="21">
        <v>18</v>
      </c>
      <c r="B90" s="72"/>
      <c r="C90" s="73" t="s">
        <v>157</v>
      </c>
      <c r="D90" s="73"/>
      <c r="E90" s="73" t="s">
        <v>141</v>
      </c>
      <c r="F90" s="73"/>
      <c r="G90" s="73"/>
      <c r="H90" s="73"/>
      <c r="I90" s="73"/>
      <c r="J90" s="73"/>
      <c r="K90" s="73"/>
      <c r="L90" s="156" t="str">
        <f t="shared" si="6"/>
        <v>YES</v>
      </c>
      <c r="M90" s="112" t="str">
        <f t="shared" si="7"/>
        <v/>
      </c>
      <c r="O90" s="104">
        <v>1</v>
      </c>
      <c r="P90" s="25" t="s">
        <v>133</v>
      </c>
      <c r="Y90" s="36"/>
      <c r="AA90" s="80" t="s">
        <v>170</v>
      </c>
    </row>
    <row r="91" spans="1:30" ht="14.1" customHeight="1">
      <c r="A91" s="21">
        <v>19</v>
      </c>
      <c r="B91" s="72"/>
      <c r="C91" s="73" t="s">
        <v>159</v>
      </c>
      <c r="D91" s="73"/>
      <c r="E91" s="73" t="s">
        <v>143</v>
      </c>
      <c r="F91" s="73"/>
      <c r="G91" s="73"/>
      <c r="H91" s="73"/>
      <c r="I91" s="73"/>
      <c r="J91" s="73"/>
      <c r="K91" s="73"/>
      <c r="L91" s="156" t="str">
        <f t="shared" si="6"/>
        <v>YES</v>
      </c>
      <c r="M91" s="112" t="str">
        <f t="shared" si="7"/>
        <v/>
      </c>
      <c r="O91" s="104">
        <v>1</v>
      </c>
      <c r="P91" s="25" t="s">
        <v>136</v>
      </c>
      <c r="Y91" s="36"/>
      <c r="AA91" s="39" t="s">
        <v>173</v>
      </c>
      <c r="AB91" s="70"/>
      <c r="AD91" s="71" t="str">
        <f t="shared" ref="AD91:AD96" si="8">IF(Q351="","",Q351)</f>
        <v/>
      </c>
    </row>
    <row r="92" spans="1:30" ht="14.1" customHeight="1">
      <c r="A92" s="21">
        <v>20</v>
      </c>
      <c r="B92" s="72"/>
      <c r="C92" s="73" t="s">
        <v>162</v>
      </c>
      <c r="D92" s="73"/>
      <c r="E92" s="73" t="s">
        <v>146</v>
      </c>
      <c r="F92" s="73"/>
      <c r="G92" s="73"/>
      <c r="H92" s="73"/>
      <c r="I92" s="73"/>
      <c r="J92" s="73"/>
      <c r="K92" s="73"/>
      <c r="L92" s="156" t="str">
        <f t="shared" si="6"/>
        <v>YES</v>
      </c>
      <c r="M92" s="112" t="str">
        <f t="shared" si="7"/>
        <v/>
      </c>
      <c r="O92" s="104">
        <v>1</v>
      </c>
      <c r="P92" s="25" t="s">
        <v>138</v>
      </c>
      <c r="Y92" s="36"/>
      <c r="AA92" s="39" t="s">
        <v>176</v>
      </c>
      <c r="AB92" s="70"/>
      <c r="AD92" s="71" t="str">
        <f t="shared" si="8"/>
        <v/>
      </c>
    </row>
    <row r="93" spans="1:30" ht="14.1" customHeight="1">
      <c r="A93" s="21">
        <v>21</v>
      </c>
      <c r="B93" s="72"/>
      <c r="C93" s="73" t="s">
        <v>164</v>
      </c>
      <c r="D93" s="73"/>
      <c r="E93" s="73" t="s">
        <v>165</v>
      </c>
      <c r="F93" s="73"/>
      <c r="G93" s="73"/>
      <c r="H93" s="73"/>
      <c r="I93" s="73"/>
      <c r="J93" s="73"/>
      <c r="K93" s="73"/>
      <c r="L93" s="156" t="str">
        <f t="shared" si="6"/>
        <v>YES</v>
      </c>
      <c r="M93" s="112" t="str">
        <f t="shared" si="7"/>
        <v/>
      </c>
      <c r="O93" s="104">
        <v>1</v>
      </c>
      <c r="P93" s="25" t="s">
        <v>141</v>
      </c>
      <c r="Y93" s="36"/>
      <c r="AA93" s="39" t="s">
        <v>179</v>
      </c>
      <c r="AB93" s="70"/>
      <c r="AD93" s="71" t="str">
        <f t="shared" si="8"/>
        <v/>
      </c>
    </row>
    <row r="94" spans="1:30" ht="14.1" customHeight="1">
      <c r="A94" s="21">
        <v>22</v>
      </c>
      <c r="B94" s="72"/>
      <c r="C94" s="73" t="s">
        <v>167</v>
      </c>
      <c r="D94" s="73"/>
      <c r="E94" s="73" t="s">
        <v>168</v>
      </c>
      <c r="F94" s="73"/>
      <c r="G94" s="73"/>
      <c r="H94" s="73"/>
      <c r="I94" s="73"/>
      <c r="J94" s="73"/>
      <c r="K94" s="73"/>
      <c r="L94" s="156" t="str">
        <f t="shared" si="6"/>
        <v>YES</v>
      </c>
      <c r="M94" s="112" t="str">
        <f t="shared" si="7"/>
        <v/>
      </c>
      <c r="O94" s="104">
        <v>1</v>
      </c>
      <c r="P94" s="25" t="s">
        <v>143</v>
      </c>
      <c r="Y94" s="36"/>
      <c r="AA94" s="39" t="s">
        <v>182</v>
      </c>
      <c r="AB94" s="70"/>
      <c r="AD94" s="71" t="str">
        <f t="shared" si="8"/>
        <v/>
      </c>
    </row>
    <row r="95" spans="1:30" ht="14.1" customHeight="1">
      <c r="A95" s="21">
        <v>23</v>
      </c>
      <c r="B95" s="72"/>
      <c r="C95" s="73" t="s">
        <v>171</v>
      </c>
      <c r="D95" s="73"/>
      <c r="E95" s="73" t="s">
        <v>151</v>
      </c>
      <c r="F95" s="73"/>
      <c r="G95" s="73"/>
      <c r="H95" s="73"/>
      <c r="I95" s="73"/>
      <c r="J95" s="73"/>
      <c r="K95" s="73"/>
      <c r="L95" s="156" t="str">
        <f t="shared" si="6"/>
        <v>YES</v>
      </c>
      <c r="M95" s="112" t="str">
        <f t="shared" si="7"/>
        <v/>
      </c>
      <c r="O95" s="104">
        <v>1</v>
      </c>
      <c r="P95" s="25" t="s">
        <v>146</v>
      </c>
      <c r="Y95" s="36"/>
      <c r="AA95" s="39" t="s">
        <v>184</v>
      </c>
      <c r="AB95" s="70"/>
      <c r="AD95" s="71" t="str">
        <f t="shared" si="8"/>
        <v/>
      </c>
    </row>
    <row r="96" spans="1:30" ht="14.1" customHeight="1">
      <c r="A96" s="21">
        <v>24</v>
      </c>
      <c r="B96" s="72"/>
      <c r="C96" s="73" t="s">
        <v>174</v>
      </c>
      <c r="D96" s="73"/>
      <c r="E96" s="73" t="s">
        <v>153</v>
      </c>
      <c r="F96" s="73"/>
      <c r="G96" s="73"/>
      <c r="H96" s="73"/>
      <c r="I96" s="73"/>
      <c r="J96" s="73"/>
      <c r="K96" s="73"/>
      <c r="L96" s="156" t="str">
        <f t="shared" si="6"/>
        <v>YES</v>
      </c>
      <c r="M96" s="112" t="str">
        <f t="shared" si="7"/>
        <v/>
      </c>
      <c r="O96" s="104">
        <v>1</v>
      </c>
      <c r="P96" s="25" t="s">
        <v>148</v>
      </c>
      <c r="Y96" s="36"/>
      <c r="AA96" s="39" t="s">
        <v>185</v>
      </c>
      <c r="AB96" s="70"/>
      <c r="AD96" s="71" t="str">
        <f t="shared" si="8"/>
        <v/>
      </c>
    </row>
    <row r="97" spans="1:30" ht="14.1" customHeight="1">
      <c r="A97" s="21">
        <v>25</v>
      </c>
      <c r="B97" s="72"/>
      <c r="C97" s="73" t="s">
        <v>177</v>
      </c>
      <c r="D97" s="73"/>
      <c r="E97" s="73" t="s">
        <v>155</v>
      </c>
      <c r="F97" s="73"/>
      <c r="G97" s="73"/>
      <c r="H97" s="73"/>
      <c r="I97" s="73"/>
      <c r="J97" s="73"/>
      <c r="K97" s="73"/>
      <c r="L97" s="156" t="str">
        <f t="shared" si="6"/>
        <v>YES</v>
      </c>
      <c r="M97" s="112" t="str">
        <f t="shared" si="7"/>
        <v/>
      </c>
      <c r="O97" s="104">
        <v>1</v>
      </c>
      <c r="P97" s="25" t="s">
        <v>150</v>
      </c>
      <c r="Y97" s="36"/>
      <c r="AA97" s="39" t="s">
        <v>187</v>
      </c>
      <c r="AB97" s="70"/>
      <c r="AD97" s="71" t="str">
        <f>IF(U351="","",U351)</f>
        <v/>
      </c>
    </row>
    <row r="98" spans="1:30" ht="14.1" customHeight="1">
      <c r="A98" s="21">
        <v>26</v>
      </c>
      <c r="B98" s="72"/>
      <c r="C98" s="73" t="s">
        <v>180</v>
      </c>
      <c r="D98" s="73"/>
      <c r="E98" s="73" t="s">
        <v>156</v>
      </c>
      <c r="F98" s="73"/>
      <c r="G98" s="73"/>
      <c r="H98" s="73"/>
      <c r="I98" s="73"/>
      <c r="J98" s="73"/>
      <c r="K98" s="73"/>
      <c r="L98" s="156" t="str">
        <f t="shared" si="6"/>
        <v>YES</v>
      </c>
      <c r="M98" s="112" t="str">
        <f t="shared" si="7"/>
        <v/>
      </c>
      <c r="O98" s="104">
        <v>1</v>
      </c>
      <c r="P98" s="25" t="s">
        <v>151</v>
      </c>
      <c r="Y98" s="36"/>
      <c r="AA98" s="39" t="s">
        <v>189</v>
      </c>
      <c r="AB98" s="70"/>
      <c r="AD98" s="71" t="str">
        <f>IF(U352="","",U352)</f>
        <v/>
      </c>
    </row>
    <row r="99" spans="1:30" ht="14.1" customHeight="1">
      <c r="A99" s="21">
        <v>27</v>
      </c>
      <c r="B99" s="72"/>
      <c r="C99" s="73" t="s">
        <v>183</v>
      </c>
      <c r="D99" s="73"/>
      <c r="E99" s="73" t="s">
        <v>158</v>
      </c>
      <c r="F99" s="73"/>
      <c r="G99" s="73"/>
      <c r="H99" s="73"/>
      <c r="I99" s="73"/>
      <c r="J99" s="73"/>
      <c r="K99" s="73"/>
      <c r="L99" s="156" t="str">
        <f t="shared" si="6"/>
        <v>YES</v>
      </c>
      <c r="M99" s="112" t="str">
        <f t="shared" si="7"/>
        <v/>
      </c>
      <c r="O99" s="104">
        <v>1</v>
      </c>
      <c r="P99" s="25" t="s">
        <v>153</v>
      </c>
      <c r="Y99" s="36"/>
      <c r="AA99" s="39" t="s">
        <v>191</v>
      </c>
      <c r="AB99" s="70"/>
      <c r="AD99" s="71" t="str">
        <f>IF(U353="","",U353)</f>
        <v/>
      </c>
    </row>
    <row r="100" spans="1:30" ht="14.1" customHeight="1">
      <c r="A100" s="21">
        <v>28</v>
      </c>
      <c r="B100" s="72"/>
      <c r="C100" s="378"/>
      <c r="D100" s="73"/>
      <c r="E100" s="73" t="s">
        <v>160</v>
      </c>
      <c r="F100" s="73"/>
      <c r="G100" s="73"/>
      <c r="H100" s="73"/>
      <c r="I100" s="73"/>
      <c r="J100" s="73"/>
      <c r="K100" s="73"/>
      <c r="L100" s="156" t="str">
        <f t="shared" si="6"/>
        <v>YES</v>
      </c>
      <c r="M100" s="112" t="str">
        <f t="shared" si="7"/>
        <v/>
      </c>
      <c r="O100" s="104">
        <v>1</v>
      </c>
      <c r="P100" s="25" t="s">
        <v>155</v>
      </c>
      <c r="Y100" s="36"/>
      <c r="AA100" s="80" t="s">
        <v>194</v>
      </c>
    </row>
    <row r="101" spans="1:30" ht="14.1" customHeight="1">
      <c r="A101" s="21">
        <v>29</v>
      </c>
      <c r="B101" s="72"/>
      <c r="C101" s="73"/>
      <c r="D101" s="73"/>
      <c r="E101" s="73" t="s">
        <v>163</v>
      </c>
      <c r="F101" s="73"/>
      <c r="G101" s="73"/>
      <c r="H101" s="73"/>
      <c r="I101" s="73"/>
      <c r="J101" s="73"/>
      <c r="K101" s="73"/>
      <c r="L101" s="156" t="str">
        <f t="shared" si="6"/>
        <v>YES</v>
      </c>
      <c r="M101" s="112" t="str">
        <f t="shared" si="7"/>
        <v/>
      </c>
      <c r="O101" s="104">
        <v>1</v>
      </c>
      <c r="P101" s="25" t="s">
        <v>156</v>
      </c>
      <c r="Y101" s="36"/>
      <c r="AA101" s="39" t="s">
        <v>173</v>
      </c>
      <c r="AB101" s="70"/>
      <c r="AD101" s="71" t="str">
        <f>IF(Q367="","",Q367)</f>
        <v/>
      </c>
    </row>
    <row r="102" spans="1:30" ht="14.1" customHeight="1">
      <c r="A102" s="21">
        <v>30</v>
      </c>
      <c r="B102" s="72"/>
      <c r="C102" s="73" t="s">
        <v>188</v>
      </c>
      <c r="D102" s="73"/>
      <c r="E102" s="73" t="s">
        <v>166</v>
      </c>
      <c r="F102" s="73"/>
      <c r="G102" s="73"/>
      <c r="H102" s="73"/>
      <c r="I102" s="73"/>
      <c r="J102" s="73"/>
      <c r="K102" s="73"/>
      <c r="L102" s="156" t="str">
        <f t="shared" si="6"/>
        <v>YES</v>
      </c>
      <c r="M102" s="112" t="str">
        <f t="shared" si="7"/>
        <v/>
      </c>
      <c r="O102" s="104">
        <v>1</v>
      </c>
      <c r="P102" s="25" t="s">
        <v>158</v>
      </c>
      <c r="Y102" s="36"/>
      <c r="AA102" s="39" t="s">
        <v>176</v>
      </c>
      <c r="AB102" s="70"/>
      <c r="AD102" s="71" t="str">
        <f>IF(Q368="","",Q368)</f>
        <v/>
      </c>
    </row>
    <row r="103" spans="1:30" ht="14.1" customHeight="1">
      <c r="A103" s="21">
        <v>31</v>
      </c>
      <c r="B103" s="72"/>
      <c r="C103" s="73" t="s">
        <v>190</v>
      </c>
      <c r="D103" s="73"/>
      <c r="E103" s="73" t="s">
        <v>169</v>
      </c>
      <c r="F103" s="73"/>
      <c r="G103" s="73"/>
      <c r="H103" s="73"/>
      <c r="I103" s="73"/>
      <c r="J103" s="73"/>
      <c r="K103" s="73"/>
      <c r="L103" s="156" t="str">
        <f t="shared" si="6"/>
        <v>NA</v>
      </c>
      <c r="M103" s="112" t="str">
        <f t="shared" si="7"/>
        <v/>
      </c>
      <c r="O103" s="104">
        <v>1</v>
      </c>
      <c r="P103" s="25" t="s">
        <v>160</v>
      </c>
      <c r="Y103" s="36"/>
      <c r="AA103" s="39" t="s">
        <v>187</v>
      </c>
      <c r="AB103" s="70"/>
      <c r="AD103" s="71" t="str">
        <f>IF(Q369="","",Q369)</f>
        <v/>
      </c>
    </row>
    <row r="104" spans="1:30" ht="14.1" customHeight="1">
      <c r="A104" s="21">
        <v>32</v>
      </c>
      <c r="B104" s="72"/>
      <c r="C104" s="73" t="s">
        <v>192</v>
      </c>
      <c r="D104" s="73"/>
      <c r="E104" s="73" t="s">
        <v>193</v>
      </c>
      <c r="F104" s="73"/>
      <c r="G104" s="73"/>
      <c r="H104" s="73"/>
      <c r="I104" s="73"/>
      <c r="J104" s="73"/>
      <c r="K104" s="73"/>
      <c r="L104" s="156" t="str">
        <f t="shared" si="6"/>
        <v>NA</v>
      </c>
      <c r="M104" s="112" t="str">
        <f t="shared" si="7"/>
        <v/>
      </c>
      <c r="O104" s="104">
        <v>1</v>
      </c>
      <c r="P104" s="25" t="s">
        <v>163</v>
      </c>
      <c r="Y104" s="36"/>
      <c r="AA104" s="39" t="s">
        <v>189</v>
      </c>
      <c r="AB104" s="70"/>
      <c r="AD104" s="71" t="str">
        <f>IF(Q370="","",Q370)</f>
        <v/>
      </c>
    </row>
    <row r="105" spans="1:30" ht="14.1" customHeight="1">
      <c r="A105" s="21">
        <v>33</v>
      </c>
      <c r="B105" s="72"/>
      <c r="C105" s="73" t="s">
        <v>195</v>
      </c>
      <c r="D105" s="73"/>
      <c r="E105" s="73" t="s">
        <v>175</v>
      </c>
      <c r="F105" s="73"/>
      <c r="G105" s="73"/>
      <c r="H105" s="73"/>
      <c r="I105" s="73"/>
      <c r="J105" s="73"/>
      <c r="K105" s="73"/>
      <c r="L105" s="156" t="str">
        <f t="shared" si="6"/>
        <v>NA</v>
      </c>
      <c r="M105" s="112" t="str">
        <f t="shared" si="7"/>
        <v/>
      </c>
      <c r="O105" s="104">
        <v>1</v>
      </c>
      <c r="P105" s="25" t="s">
        <v>166</v>
      </c>
      <c r="Y105" s="36"/>
      <c r="AA105" s="39" t="s">
        <v>191</v>
      </c>
      <c r="AB105" s="70"/>
      <c r="AD105" s="71" t="str">
        <f>IF(Q371="","",Q371)</f>
        <v/>
      </c>
    </row>
    <row r="106" spans="1:30" ht="14.1" customHeight="1">
      <c r="A106" s="21">
        <v>34</v>
      </c>
      <c r="B106" s="72"/>
      <c r="C106" s="73" t="s">
        <v>196</v>
      </c>
      <c r="D106" s="73"/>
      <c r="E106" s="73" t="s">
        <v>178</v>
      </c>
      <c r="F106" s="73"/>
      <c r="G106" s="73"/>
      <c r="H106" s="73"/>
      <c r="I106" s="73"/>
      <c r="J106" s="73"/>
      <c r="K106" s="73"/>
      <c r="L106" s="156" t="str">
        <f t="shared" si="6"/>
        <v>YES</v>
      </c>
      <c r="M106" s="112" t="str">
        <f t="shared" si="7"/>
        <v/>
      </c>
      <c r="O106" s="104">
        <v>3</v>
      </c>
      <c r="P106" s="25" t="s">
        <v>169</v>
      </c>
      <c r="Y106" s="36"/>
      <c r="AA106" s="39" t="s">
        <v>173</v>
      </c>
      <c r="AB106" s="70"/>
      <c r="AD106" s="71" t="str">
        <f>IF(R367="","",R367)</f>
        <v/>
      </c>
    </row>
    <row r="107" spans="1:30" ht="14.1" customHeight="1">
      <c r="A107" s="21">
        <v>35</v>
      </c>
      <c r="B107" s="72"/>
      <c r="C107" s="73" t="s">
        <v>197</v>
      </c>
      <c r="D107" s="73"/>
      <c r="E107" s="73" t="s">
        <v>181</v>
      </c>
      <c r="F107" s="73"/>
      <c r="G107" s="73"/>
      <c r="H107" s="73"/>
      <c r="I107" s="73"/>
      <c r="J107" s="73"/>
      <c r="K107" s="73"/>
      <c r="L107" s="156" t="str">
        <f t="shared" si="6"/>
        <v>YES</v>
      </c>
      <c r="M107" s="112" t="str">
        <f t="shared" si="7"/>
        <v/>
      </c>
      <c r="O107" s="104">
        <v>3</v>
      </c>
      <c r="P107" s="25" t="s">
        <v>172</v>
      </c>
      <c r="Y107" s="36"/>
      <c r="AA107" s="39" t="s">
        <v>176</v>
      </c>
      <c r="AB107" s="70"/>
      <c r="AD107" s="71" t="str">
        <f>IF(R368="","",R368)</f>
        <v/>
      </c>
    </row>
    <row r="108" spans="1:30" ht="14.1" customHeight="1">
      <c r="A108" s="21">
        <v>36</v>
      </c>
      <c r="B108" s="72"/>
      <c r="C108" s="73"/>
      <c r="D108" s="73"/>
      <c r="E108" s="73"/>
      <c r="F108" s="73"/>
      <c r="G108" s="73"/>
      <c r="H108" s="73"/>
      <c r="I108" s="73"/>
      <c r="J108" s="73"/>
      <c r="K108" s="73"/>
      <c r="L108" s="73"/>
      <c r="M108" s="74"/>
      <c r="O108" s="104">
        <v>3</v>
      </c>
      <c r="P108" s="25" t="s">
        <v>175</v>
      </c>
      <c r="Y108" s="36"/>
      <c r="AA108" s="39" t="s">
        <v>187</v>
      </c>
      <c r="AB108" s="70"/>
      <c r="AD108" s="71" t="str">
        <f>IF(R369="","",R369)</f>
        <v/>
      </c>
    </row>
    <row r="109" spans="1:30" ht="14.1" customHeight="1">
      <c r="A109" s="21">
        <v>37</v>
      </c>
      <c r="B109" s="72"/>
      <c r="C109" s="73"/>
      <c r="D109" s="73"/>
      <c r="E109" s="73" t="s">
        <v>522</v>
      </c>
      <c r="F109" s="73"/>
      <c r="G109" s="73"/>
      <c r="H109" s="73"/>
      <c r="I109" s="73"/>
      <c r="J109" s="73"/>
      <c r="K109" s="73"/>
      <c r="L109" s="156" t="str">
        <f t="shared" ref="L109:L125" si="9">IF(O45="","TBD",IF(O45=1,"YES",IF(O45=3,"NA","")))</f>
        <v>YES</v>
      </c>
      <c r="M109" s="112" t="str">
        <f t="shared" ref="M109:M125" si="10">IF(O45=2,"NO","")</f>
        <v/>
      </c>
      <c r="O109" s="104">
        <v>1</v>
      </c>
      <c r="P109" s="25" t="s">
        <v>178</v>
      </c>
      <c r="Y109" s="36"/>
      <c r="AA109" s="39" t="s">
        <v>189</v>
      </c>
      <c r="AB109" s="70"/>
      <c r="AD109" s="71" t="str">
        <f>IF(R370="","",R370)</f>
        <v/>
      </c>
    </row>
    <row r="110" spans="1:30" ht="14.1" customHeight="1">
      <c r="A110" s="21">
        <v>38</v>
      </c>
      <c r="B110" s="72"/>
      <c r="C110" s="73"/>
      <c r="D110" s="73"/>
      <c r="E110" s="73" t="s">
        <v>523</v>
      </c>
      <c r="F110" s="73"/>
      <c r="G110" s="73"/>
      <c r="H110" s="73"/>
      <c r="I110" s="73"/>
      <c r="J110" s="73"/>
      <c r="K110" s="73"/>
      <c r="L110" s="156" t="str">
        <f t="shared" si="9"/>
        <v>YES</v>
      </c>
      <c r="M110" s="112" t="str">
        <f t="shared" si="10"/>
        <v/>
      </c>
      <c r="O110" s="104">
        <v>1</v>
      </c>
      <c r="P110" s="25" t="s">
        <v>181</v>
      </c>
      <c r="Y110" s="36"/>
      <c r="AA110" s="39" t="s">
        <v>191</v>
      </c>
      <c r="AB110" s="70"/>
      <c r="AD110" s="71" t="str">
        <f>IF(R371="","",R371)</f>
        <v/>
      </c>
    </row>
    <row r="111" spans="1:30" ht="14.1" customHeight="1">
      <c r="A111" s="21">
        <v>39</v>
      </c>
      <c r="B111" s="72"/>
      <c r="C111" s="73"/>
      <c r="D111" s="73"/>
      <c r="E111" s="73" t="s">
        <v>524</v>
      </c>
      <c r="F111" s="73"/>
      <c r="G111" s="73"/>
      <c r="H111" s="73"/>
      <c r="I111" s="73"/>
      <c r="J111" s="73"/>
      <c r="K111" s="73"/>
      <c r="L111" s="156" t="str">
        <f t="shared" si="9"/>
        <v>YES</v>
      </c>
      <c r="M111" s="112" t="str">
        <f t="shared" si="10"/>
        <v/>
      </c>
      <c r="O111" s="545"/>
      <c r="T111" s="80" t="s">
        <v>552</v>
      </c>
      <c r="Y111" s="36"/>
      <c r="AA111" s="39" t="s">
        <v>173</v>
      </c>
      <c r="AB111" s="70"/>
      <c r="AD111" s="71" t="str">
        <f>IF(S367="","",S367)</f>
        <v/>
      </c>
    </row>
    <row r="112" spans="1:30" ht="14.1" customHeight="1">
      <c r="A112" s="21">
        <v>40</v>
      </c>
      <c r="B112" s="72"/>
      <c r="C112" s="73"/>
      <c r="D112" s="73"/>
      <c r="E112" s="73" t="s">
        <v>525</v>
      </c>
      <c r="F112" s="73"/>
      <c r="G112" s="73"/>
      <c r="H112" s="73"/>
      <c r="I112" s="73"/>
      <c r="J112" s="73"/>
      <c r="K112" s="73"/>
      <c r="L112" s="156" t="str">
        <f t="shared" si="9"/>
        <v>YES</v>
      </c>
      <c r="M112" s="112" t="str">
        <f t="shared" si="10"/>
        <v/>
      </c>
      <c r="O112" s="104">
        <v>1</v>
      </c>
      <c r="P112" s="73" t="s">
        <v>553</v>
      </c>
      <c r="Y112" s="36"/>
      <c r="AA112" s="39" t="s">
        <v>176</v>
      </c>
      <c r="AB112" s="70"/>
      <c r="AD112" s="71" t="str">
        <f>IF(S368="","",S368)</f>
        <v/>
      </c>
    </row>
    <row r="113" spans="1:30" ht="14.1" customHeight="1">
      <c r="A113" s="21">
        <v>41</v>
      </c>
      <c r="B113" s="72"/>
      <c r="C113" s="73"/>
      <c r="D113" s="73"/>
      <c r="E113" s="73" t="s">
        <v>526</v>
      </c>
      <c r="F113" s="73"/>
      <c r="G113" s="73"/>
      <c r="H113" s="73"/>
      <c r="I113" s="73"/>
      <c r="J113" s="73"/>
      <c r="K113" s="73"/>
      <c r="L113" s="156" t="str">
        <f t="shared" si="9"/>
        <v>YES</v>
      </c>
      <c r="M113" s="112" t="str">
        <f t="shared" si="10"/>
        <v/>
      </c>
      <c r="O113" s="104">
        <v>1</v>
      </c>
      <c r="P113" s="73" t="s">
        <v>554</v>
      </c>
      <c r="Y113" s="36"/>
      <c r="AA113" s="39" t="s">
        <v>187</v>
      </c>
      <c r="AB113" s="70"/>
      <c r="AD113" s="71" t="str">
        <f>IF(S369="","",S369)</f>
        <v/>
      </c>
    </row>
    <row r="114" spans="1:30" ht="14.1" customHeight="1">
      <c r="A114" s="21">
        <v>42</v>
      </c>
      <c r="B114" s="72"/>
      <c r="C114" s="73"/>
      <c r="D114" s="73"/>
      <c r="E114" s="73" t="s">
        <v>527</v>
      </c>
      <c r="F114" s="73"/>
      <c r="G114" s="73"/>
      <c r="H114" s="73"/>
      <c r="I114" s="73"/>
      <c r="J114" s="73"/>
      <c r="K114" s="73"/>
      <c r="L114" s="156" t="str">
        <f t="shared" si="9"/>
        <v>YES</v>
      </c>
      <c r="M114" s="112" t="str">
        <f t="shared" si="10"/>
        <v/>
      </c>
      <c r="O114" s="104">
        <v>1</v>
      </c>
      <c r="P114" s="73" t="s">
        <v>555</v>
      </c>
      <c r="Y114" s="36"/>
      <c r="AA114" s="39" t="s">
        <v>189</v>
      </c>
      <c r="AB114" s="70"/>
      <c r="AD114" s="71" t="str">
        <f>IF(S370="","",S370)</f>
        <v/>
      </c>
    </row>
    <row r="115" spans="1:30" ht="14.1" customHeight="1">
      <c r="A115" s="21">
        <v>43</v>
      </c>
      <c r="B115" s="72"/>
      <c r="C115" s="73"/>
      <c r="D115" s="73"/>
      <c r="E115" s="73" t="s">
        <v>528</v>
      </c>
      <c r="F115" s="73"/>
      <c r="G115" s="73"/>
      <c r="H115" s="73"/>
      <c r="I115" s="73"/>
      <c r="J115" s="73"/>
      <c r="K115" s="73"/>
      <c r="L115" s="156" t="str">
        <f t="shared" si="9"/>
        <v>YES</v>
      </c>
      <c r="M115" s="112" t="str">
        <f t="shared" si="10"/>
        <v/>
      </c>
      <c r="O115" s="104">
        <v>1</v>
      </c>
      <c r="P115" s="73" t="s">
        <v>556</v>
      </c>
      <c r="Y115" s="36"/>
      <c r="AA115" s="39" t="s">
        <v>191</v>
      </c>
      <c r="AB115" s="70"/>
      <c r="AD115" s="71" t="str">
        <f>IF(S371="","",S371)</f>
        <v/>
      </c>
    </row>
    <row r="116" spans="1:30" ht="14.1" customHeight="1">
      <c r="A116" s="21">
        <v>44</v>
      </c>
      <c r="B116" s="72"/>
      <c r="C116" s="73"/>
      <c r="D116" s="73"/>
      <c r="E116" s="73" t="s">
        <v>529</v>
      </c>
      <c r="F116" s="73"/>
      <c r="G116" s="73"/>
      <c r="H116" s="73"/>
      <c r="I116" s="73"/>
      <c r="J116" s="73"/>
      <c r="K116" s="73"/>
      <c r="L116" s="156" t="str">
        <f t="shared" si="9"/>
        <v>YES</v>
      </c>
      <c r="M116" s="112" t="str">
        <f t="shared" si="10"/>
        <v/>
      </c>
      <c r="O116" s="104">
        <v>1</v>
      </c>
      <c r="P116" s="73" t="s">
        <v>557</v>
      </c>
      <c r="Y116" s="36"/>
      <c r="AA116" s="39" t="s">
        <v>198</v>
      </c>
      <c r="AB116" s="70"/>
      <c r="AD116" s="71" t="str">
        <f>IF(U380="","",U380)</f>
        <v/>
      </c>
    </row>
    <row r="117" spans="1:30" ht="14.1" customHeight="1" thickBot="1">
      <c r="A117" s="21">
        <v>45</v>
      </c>
      <c r="B117" s="72"/>
      <c r="C117" s="73"/>
      <c r="D117" s="73"/>
      <c r="E117" s="73" t="s">
        <v>530</v>
      </c>
      <c r="F117" s="73"/>
      <c r="G117" s="73"/>
      <c r="H117" s="73"/>
      <c r="I117" s="73"/>
      <c r="J117" s="73"/>
      <c r="K117" s="73"/>
      <c r="L117" s="156" t="str">
        <f t="shared" si="9"/>
        <v>YES</v>
      </c>
      <c r="M117" s="112" t="str">
        <f t="shared" si="10"/>
        <v/>
      </c>
      <c r="O117" s="44"/>
      <c r="P117" s="45"/>
      <c r="Q117" s="45"/>
      <c r="R117" s="45"/>
      <c r="S117" s="45"/>
      <c r="T117" s="45"/>
      <c r="U117" s="45"/>
      <c r="V117" s="45"/>
      <c r="W117" s="45"/>
      <c r="X117" s="45"/>
      <c r="Y117" s="46"/>
      <c r="AA117" s="39" t="s">
        <v>199</v>
      </c>
      <c r="AB117" s="70"/>
      <c r="AD117" s="71" t="str">
        <f>IF(U381="","",U381)</f>
        <v/>
      </c>
    </row>
    <row r="118" spans="1:30" ht="14.1" customHeight="1">
      <c r="A118" s="21">
        <v>46</v>
      </c>
      <c r="B118" s="72"/>
      <c r="C118" s="73"/>
      <c r="D118" s="73"/>
      <c r="E118" s="73" t="s">
        <v>531</v>
      </c>
      <c r="F118" s="73"/>
      <c r="G118" s="73"/>
      <c r="H118" s="73"/>
      <c r="I118" s="73"/>
      <c r="J118" s="73"/>
      <c r="K118" s="73"/>
      <c r="L118" s="156" t="str">
        <f t="shared" si="9"/>
        <v>YES</v>
      </c>
      <c r="M118" s="112" t="str">
        <f t="shared" si="10"/>
        <v/>
      </c>
    </row>
    <row r="119" spans="1:30" ht="14.1" customHeight="1" thickBot="1">
      <c r="A119" s="21">
        <v>47</v>
      </c>
      <c r="B119" s="72"/>
      <c r="C119" s="73"/>
      <c r="D119" s="73"/>
      <c r="E119" s="73" t="s">
        <v>532</v>
      </c>
      <c r="F119" s="73"/>
      <c r="G119" s="73"/>
      <c r="H119" s="73"/>
      <c r="I119" s="73"/>
      <c r="J119" s="73"/>
      <c r="K119" s="73"/>
      <c r="L119" s="156" t="str">
        <f t="shared" si="9"/>
        <v>YES</v>
      </c>
      <c r="M119" s="112" t="str">
        <f t="shared" si="10"/>
        <v/>
      </c>
      <c r="T119" s="58" t="s">
        <v>186</v>
      </c>
    </row>
    <row r="120" spans="1:30" ht="14.1" customHeight="1" thickBot="1">
      <c r="A120" s="21">
        <v>48</v>
      </c>
      <c r="B120" s="72"/>
      <c r="C120" s="73"/>
      <c r="D120" s="73"/>
      <c r="E120" s="73" t="s">
        <v>533</v>
      </c>
      <c r="F120" s="73"/>
      <c r="G120" s="73"/>
      <c r="H120" s="73"/>
      <c r="I120" s="73"/>
      <c r="J120" s="73"/>
      <c r="K120" s="73"/>
      <c r="L120" s="156" t="str">
        <f t="shared" si="9"/>
        <v>YES</v>
      </c>
      <c r="M120" s="112" t="str">
        <f t="shared" si="10"/>
        <v/>
      </c>
      <c r="O120" s="67"/>
      <c r="P120" s="27"/>
      <c r="Q120" s="27"/>
      <c r="R120" s="27"/>
      <c r="S120" s="27"/>
      <c r="T120" s="27"/>
      <c r="U120" s="27"/>
      <c r="V120" s="27"/>
      <c r="W120" s="27"/>
      <c r="X120" s="27"/>
      <c r="Y120" s="28"/>
    </row>
    <row r="121" spans="1:30" ht="14.1" customHeight="1">
      <c r="A121" s="21">
        <v>49</v>
      </c>
      <c r="B121" s="72"/>
      <c r="C121" s="73"/>
      <c r="D121" s="73"/>
      <c r="E121" s="73" t="s">
        <v>534</v>
      </c>
      <c r="F121" s="73"/>
      <c r="G121" s="73"/>
      <c r="H121" s="73"/>
      <c r="I121" s="73"/>
      <c r="J121" s="73"/>
      <c r="K121" s="73"/>
      <c r="L121" s="156" t="str">
        <f t="shared" si="9"/>
        <v>YES</v>
      </c>
      <c r="M121" s="112" t="str">
        <f t="shared" si="10"/>
        <v/>
      </c>
      <c r="O121" s="88" t="s">
        <v>64</v>
      </c>
      <c r="P121" s="749" t="s">
        <v>65</v>
      </c>
      <c r="Q121" s="750"/>
      <c r="R121" s="751"/>
      <c r="S121" s="749" t="s">
        <v>539</v>
      </c>
      <c r="T121" s="750"/>
      <c r="U121" s="751"/>
      <c r="V121" s="749" t="s">
        <v>67</v>
      </c>
      <c r="W121" s="750"/>
      <c r="X121" s="766"/>
      <c r="Y121" s="36"/>
    </row>
    <row r="122" spans="1:30" ht="14.1" customHeight="1">
      <c r="A122" s="21">
        <v>50</v>
      </c>
      <c r="B122" s="72"/>
      <c r="C122" s="73"/>
      <c r="D122" s="73"/>
      <c r="E122" s="73" t="s">
        <v>535</v>
      </c>
      <c r="F122" s="73"/>
      <c r="G122" s="73"/>
      <c r="H122" s="73"/>
      <c r="I122" s="73"/>
      <c r="J122" s="73"/>
      <c r="K122" s="73"/>
      <c r="L122" s="156" t="str">
        <f t="shared" si="9"/>
        <v>YES</v>
      </c>
      <c r="M122" s="112" t="str">
        <f t="shared" si="10"/>
        <v/>
      </c>
      <c r="O122" s="89" t="s">
        <v>68</v>
      </c>
      <c r="P122" s="752"/>
      <c r="Q122" s="753"/>
      <c r="R122" s="754"/>
      <c r="S122" s="752"/>
      <c r="T122" s="753"/>
      <c r="U122" s="754"/>
      <c r="V122" s="752"/>
      <c r="W122" s="753"/>
      <c r="X122" s="767"/>
      <c r="Y122" s="36"/>
    </row>
    <row r="123" spans="1:30" ht="14.1" customHeight="1" thickBot="1">
      <c r="A123" s="21">
        <v>51</v>
      </c>
      <c r="B123" s="72"/>
      <c r="C123" s="73"/>
      <c r="D123" s="73"/>
      <c r="E123" s="73" t="s">
        <v>536</v>
      </c>
      <c r="F123" s="73"/>
      <c r="G123" s="73"/>
      <c r="H123" s="73"/>
      <c r="I123" s="73"/>
      <c r="J123" s="73"/>
      <c r="K123" s="73"/>
      <c r="L123" s="156" t="str">
        <f t="shared" si="9"/>
        <v>YES</v>
      </c>
      <c r="M123" s="112" t="str">
        <f t="shared" si="10"/>
        <v/>
      </c>
      <c r="O123" s="89" t="s">
        <v>70</v>
      </c>
      <c r="P123" s="93" t="s">
        <v>71</v>
      </c>
      <c r="Q123" s="94" t="s">
        <v>25</v>
      </c>
      <c r="R123" s="95" t="s">
        <v>72</v>
      </c>
      <c r="S123" s="93" t="s">
        <v>71</v>
      </c>
      <c r="T123" s="94" t="s">
        <v>25</v>
      </c>
      <c r="U123" s="95" t="s">
        <v>72</v>
      </c>
      <c r="V123" s="93" t="s">
        <v>71</v>
      </c>
      <c r="W123" s="94" t="s">
        <v>25</v>
      </c>
      <c r="X123" s="95" t="s">
        <v>72</v>
      </c>
      <c r="Y123" s="36"/>
    </row>
    <row r="124" spans="1:30" ht="14.1" customHeight="1" thickTop="1">
      <c r="A124" s="21">
        <v>52</v>
      </c>
      <c r="B124" s="72"/>
      <c r="C124" s="73"/>
      <c r="D124" s="73"/>
      <c r="E124" s="73" t="s">
        <v>537</v>
      </c>
      <c r="F124" s="73"/>
      <c r="G124" s="73"/>
      <c r="H124" s="73"/>
      <c r="I124" s="73"/>
      <c r="J124" s="73"/>
      <c r="K124" s="73"/>
      <c r="L124" s="156" t="str">
        <f t="shared" si="9"/>
        <v>YES</v>
      </c>
      <c r="M124" s="112" t="str">
        <f t="shared" si="10"/>
        <v/>
      </c>
      <c r="O124" s="96" t="s">
        <v>74</v>
      </c>
      <c r="P124" s="126" t="str">
        <f>IF(P132&lt;&gt;"",P132,IF(AB46="","",AB46))</f>
        <v/>
      </c>
      <c r="Q124" s="127" t="str">
        <f>IF(Q132&lt;&gt;"",Q132,IF(AB47="","",AB47))</f>
        <v/>
      </c>
      <c r="R124" s="128" t="str">
        <f>IF(R132&lt;&gt;"",R132,IF(AB48="","",AB48))</f>
        <v/>
      </c>
      <c r="S124" s="126" t="str">
        <f>IF(S132&lt;&gt;"",S132,IF(AB59="","",AB59))</f>
        <v/>
      </c>
      <c r="T124" s="127" t="str">
        <f>IF(T132&lt;&gt;"",T132,IF(AB60="","",AB60))</f>
        <v/>
      </c>
      <c r="U124" s="128" t="str">
        <f>IF(U132&lt;&gt;"",U132,IF(AB61="","",AB61))</f>
        <v/>
      </c>
      <c r="V124" s="126" t="str">
        <f>IF(V132&lt;&gt;"",V132,IF(AB72="","",AB72))</f>
        <v/>
      </c>
      <c r="W124" s="127" t="str">
        <f>IF(W132&lt;&gt;"",W132,IF(AB73="","",AB73))</f>
        <v/>
      </c>
      <c r="X124" s="128" t="str">
        <f>IF(X132&lt;&gt;"",X132,IF(AB74="","",AB74))</f>
        <v/>
      </c>
      <c r="Y124" s="36"/>
    </row>
    <row r="125" spans="1:30" ht="14.1" customHeight="1">
      <c r="A125" s="21">
        <v>53</v>
      </c>
      <c r="B125" s="72"/>
      <c r="C125" s="73"/>
      <c r="D125" s="73"/>
      <c r="E125" s="73" t="s">
        <v>538</v>
      </c>
      <c r="F125" s="73"/>
      <c r="G125" s="73"/>
      <c r="H125" s="73"/>
      <c r="I125" s="73"/>
      <c r="J125" s="73"/>
      <c r="K125" s="73"/>
      <c r="L125" s="156" t="str">
        <f t="shared" si="9"/>
        <v>YES</v>
      </c>
      <c r="M125" s="112" t="str">
        <f t="shared" si="10"/>
        <v/>
      </c>
      <c r="O125" s="101" t="s">
        <v>77</v>
      </c>
      <c r="P125" s="129" t="str">
        <f>IF(P133&lt;&gt;"",P133,IF(AB49="","",AB49))</f>
        <v/>
      </c>
      <c r="Q125" s="130" t="str">
        <f>IF(Q133&lt;&gt;"",Q133,IF(AB50="","",AB50))</f>
        <v/>
      </c>
      <c r="R125" s="131" t="str">
        <f>IF(R133&lt;&gt;"",R133,IF(AB51="","",AB51))</f>
        <v/>
      </c>
      <c r="S125" s="129" t="str">
        <f>IF(S133&lt;&gt;"",S133,IF(AB60="","",AB60))</f>
        <v/>
      </c>
      <c r="T125" s="130" t="str">
        <f>IF(T133&lt;&gt;"",T133,IF(AB63="","",AB63))</f>
        <v/>
      </c>
      <c r="U125" s="131" t="str">
        <f>IF(U133&lt;&gt;"",U133,IF(AB64="","",AB64))</f>
        <v/>
      </c>
      <c r="V125" s="129" t="str">
        <f>IF(V133&lt;&gt;"",V133,IF(AB75="","",AB75))</f>
        <v/>
      </c>
      <c r="W125" s="130" t="str">
        <f>IF(W133&lt;&gt;"",W133,IF(AB76="","",AB76))</f>
        <v/>
      </c>
      <c r="X125" s="131" t="str">
        <f>IF(X133&lt;&gt;"",X133,IF(AB77="","",AB77))</f>
        <v/>
      </c>
      <c r="Y125" s="36"/>
    </row>
    <row r="126" spans="1:30" ht="14.1" customHeight="1">
      <c r="A126" s="21">
        <v>54</v>
      </c>
      <c r="B126" s="72"/>
      <c r="C126" s="73"/>
      <c r="D126" s="73"/>
      <c r="E126" s="73"/>
      <c r="F126" s="73"/>
      <c r="G126" s="73"/>
      <c r="H126" s="73"/>
      <c r="I126" s="73"/>
      <c r="J126" s="73"/>
      <c r="K126" s="73"/>
      <c r="L126" s="73"/>
      <c r="M126" s="74"/>
      <c r="O126" s="101" t="s">
        <v>80</v>
      </c>
      <c r="P126" s="129" t="str">
        <f>IF(P134&lt;&gt;"",P134,IF(AB52="","",AB52))</f>
        <v/>
      </c>
      <c r="Q126" s="130" t="str">
        <f>IF(Q134&lt;&gt;"",Q134,IF(AB53="","",AB53))</f>
        <v/>
      </c>
      <c r="R126" s="131" t="str">
        <f>IF(R134&lt;&gt;"",R134,IF(AB54="","",AB54))</f>
        <v/>
      </c>
      <c r="S126" s="129" t="str">
        <f>IF(S134&lt;&gt;"",S134,IF(AB61="","",AB61))</f>
        <v/>
      </c>
      <c r="T126" s="130" t="str">
        <f>IF(T134&lt;&gt;"",T134,IF(AB66="","",AB66))</f>
        <v/>
      </c>
      <c r="U126" s="131" t="str">
        <f>IF(U134&lt;&gt;"",U134,IF(AB67="","",AB67))</f>
        <v/>
      </c>
      <c r="V126" s="129" t="str">
        <f>IF(V134&lt;&gt;"",V134,IF(AB78="","",AB78))</f>
        <v/>
      </c>
      <c r="W126" s="130" t="str">
        <f>IF(W134&lt;&gt;"",W134,IF(AB79="","",AB79))</f>
        <v/>
      </c>
      <c r="X126" s="131" t="str">
        <f>IF(X134&lt;&gt;"",X134,IF(AB80="","",AB80))</f>
        <v/>
      </c>
      <c r="Y126" s="36"/>
    </row>
    <row r="127" spans="1:30" ht="14.1" customHeight="1" thickBot="1">
      <c r="A127" s="21">
        <v>55</v>
      </c>
      <c r="B127" s="72"/>
      <c r="C127" s="73"/>
      <c r="D127" s="73"/>
      <c r="E127" s="378"/>
      <c r="F127" s="73"/>
      <c r="G127" s="73"/>
      <c r="H127" s="549" t="s">
        <v>552</v>
      </c>
      <c r="I127" s="73"/>
      <c r="J127" s="73"/>
      <c r="K127" s="73"/>
      <c r="L127" s="73"/>
      <c r="M127" s="74"/>
      <c r="O127" s="105" t="s">
        <v>83</v>
      </c>
      <c r="P127" s="132" t="str">
        <f>IF(P135&lt;&gt;"",P135,IF(AB55="","",AB55))</f>
        <v/>
      </c>
      <c r="Q127" s="133" t="str">
        <f>IF(Q135&lt;&gt;"",Q135,IF(AB56="","",AB56))</f>
        <v/>
      </c>
      <c r="R127" s="134" t="str">
        <f>IF(R135&lt;&gt;"",R135,IF(AB57="","",AB57))</f>
        <v/>
      </c>
      <c r="S127" s="132" t="str">
        <f>IF(S135&lt;&gt;"",S135,IF(AB62="","",AB62))</f>
        <v/>
      </c>
      <c r="T127" s="133" t="str">
        <f>IF(T135&lt;&gt;"",T135,IF(AB69="","",AB69))</f>
        <v/>
      </c>
      <c r="U127" s="134" t="str">
        <f>IF(U135&lt;&gt;"",U135,IF(AB70="","",AB70))</f>
        <v/>
      </c>
      <c r="V127" s="132" t="str">
        <f>IF(V135&lt;&gt;"",V135,IF(AB81="","",AB81))</f>
        <v/>
      </c>
      <c r="W127" s="133" t="str">
        <f>IF(W135&lt;&gt;"",W135,IF(AB82="","",AB82))</f>
        <v/>
      </c>
      <c r="X127" s="134" t="str">
        <f>IF(X135&lt;&gt;"",X135,IF(AB83="","",AB83))</f>
        <v/>
      </c>
      <c r="Y127" s="36"/>
    </row>
    <row r="128" spans="1:30" ht="14.1" customHeight="1" thickBot="1">
      <c r="A128" s="21">
        <v>56</v>
      </c>
      <c r="B128" s="72"/>
      <c r="C128" s="73"/>
      <c r="D128" s="73"/>
      <c r="E128" s="73" t="s">
        <v>553</v>
      </c>
      <c r="F128" s="73"/>
      <c r="G128" s="73"/>
      <c r="H128" s="73"/>
      <c r="I128" s="73"/>
      <c r="J128" s="73"/>
      <c r="K128" s="73"/>
      <c r="L128" s="156" t="str">
        <f>IF(O112="","TBD",IF(O112=1,"YES",IF(O112=3,"NA","")))</f>
        <v>YES</v>
      </c>
      <c r="M128" s="112" t="str">
        <f>IF(O112=2,"NO","")</f>
        <v/>
      </c>
      <c r="O128" s="34"/>
      <c r="Y128" s="36"/>
    </row>
    <row r="129" spans="1:25" ht="14.1" customHeight="1">
      <c r="A129" s="21">
        <v>57</v>
      </c>
      <c r="B129" s="72"/>
      <c r="C129" s="73"/>
      <c r="D129" s="73"/>
      <c r="E129" s="73" t="s">
        <v>554</v>
      </c>
      <c r="F129" s="73"/>
      <c r="G129" s="73"/>
      <c r="H129" s="73"/>
      <c r="I129" s="73"/>
      <c r="J129" s="73"/>
      <c r="K129" s="73"/>
      <c r="L129" s="156" t="str">
        <f>IF(O113="","TBD",IF(O113=1,"YES",IF(O113=3,"NA","")))</f>
        <v>YES</v>
      </c>
      <c r="M129" s="112" t="str">
        <f>IF(O113=2,"NO","")</f>
        <v/>
      </c>
      <c r="O129" s="88" t="s">
        <v>64</v>
      </c>
      <c r="P129" s="749" t="s">
        <v>65</v>
      </c>
      <c r="Q129" s="750"/>
      <c r="R129" s="751"/>
      <c r="S129" s="749" t="s">
        <v>539</v>
      </c>
      <c r="T129" s="750"/>
      <c r="U129" s="751"/>
      <c r="V129" s="755" t="s">
        <v>67</v>
      </c>
      <c r="W129" s="756"/>
      <c r="X129" s="757"/>
      <c r="Y129" s="36"/>
    </row>
    <row r="130" spans="1:25" ht="14.1" customHeight="1">
      <c r="A130" s="21">
        <v>58</v>
      </c>
      <c r="B130" s="72"/>
      <c r="C130" s="73"/>
      <c r="D130" s="73"/>
      <c r="E130" s="73" t="s">
        <v>555</v>
      </c>
      <c r="F130" s="73"/>
      <c r="G130" s="73"/>
      <c r="H130" s="73"/>
      <c r="I130" s="73"/>
      <c r="J130" s="73"/>
      <c r="K130" s="73"/>
      <c r="L130" s="156" t="str">
        <f>IF(O114="","TBD",IF(O114=1,"YES",IF(O114=3,"NA","")))</f>
        <v>YES</v>
      </c>
      <c r="M130" s="112" t="str">
        <f>IF(O114=2,"NO","")</f>
        <v/>
      </c>
      <c r="O130" s="89" t="s">
        <v>68</v>
      </c>
      <c r="P130" s="752"/>
      <c r="Q130" s="753"/>
      <c r="R130" s="754"/>
      <c r="S130" s="752"/>
      <c r="T130" s="753"/>
      <c r="U130" s="754"/>
      <c r="V130" s="758"/>
      <c r="W130" s="759"/>
      <c r="X130" s="760"/>
      <c r="Y130" s="36"/>
    </row>
    <row r="131" spans="1:25" ht="14.1" customHeight="1" thickBot="1">
      <c r="A131" s="21">
        <v>59</v>
      </c>
      <c r="B131" s="72"/>
      <c r="C131" s="73"/>
      <c r="D131" s="73"/>
      <c r="E131" s="73" t="s">
        <v>556</v>
      </c>
      <c r="F131" s="73"/>
      <c r="G131" s="73"/>
      <c r="H131" s="73"/>
      <c r="I131" s="73"/>
      <c r="J131" s="73"/>
      <c r="K131" s="73"/>
      <c r="L131" s="156" t="str">
        <f>IF(O115="","TBD",IF(O115=1,"YES",IF(O115=3,"NA","")))</f>
        <v>YES</v>
      </c>
      <c r="M131" s="112" t="str">
        <f>IF(O115=2,"NO","")</f>
        <v/>
      </c>
      <c r="O131" s="89" t="s">
        <v>70</v>
      </c>
      <c r="P131" s="93" t="s">
        <v>71</v>
      </c>
      <c r="Q131" s="94" t="s">
        <v>25</v>
      </c>
      <c r="R131" s="95" t="s">
        <v>72</v>
      </c>
      <c r="S131" s="93" t="s">
        <v>71</v>
      </c>
      <c r="T131" s="94" t="s">
        <v>25</v>
      </c>
      <c r="U131" s="95" t="s">
        <v>72</v>
      </c>
      <c r="V131" s="93" t="s">
        <v>71</v>
      </c>
      <c r="W131" s="94" t="s">
        <v>25</v>
      </c>
      <c r="X131" s="95" t="s">
        <v>72</v>
      </c>
      <c r="Y131" s="36"/>
    </row>
    <row r="132" spans="1:25" ht="14.1" customHeight="1" thickTop="1">
      <c r="A132" s="21">
        <v>60</v>
      </c>
      <c r="B132" s="72"/>
      <c r="C132" s="73"/>
      <c r="D132" s="73"/>
      <c r="E132" s="73" t="s">
        <v>557</v>
      </c>
      <c r="F132" s="73"/>
      <c r="G132" s="73"/>
      <c r="H132" s="73"/>
      <c r="I132" s="73"/>
      <c r="J132" s="73"/>
      <c r="K132" s="73"/>
      <c r="L132" s="156" t="str">
        <f>IF(O116="","TBD",IF(O116=1,"YES",IF(O116=3,"NA","")))</f>
        <v>YES</v>
      </c>
      <c r="M132" s="112" t="str">
        <f>IF(O116=2,"NO","")</f>
        <v/>
      </c>
      <c r="O132" s="96" t="s">
        <v>74</v>
      </c>
      <c r="P132" s="135"/>
      <c r="Q132" s="136"/>
      <c r="R132" s="137"/>
      <c r="S132" s="135"/>
      <c r="T132" s="136"/>
      <c r="U132" s="137"/>
      <c r="V132" s="135"/>
      <c r="W132" s="136"/>
      <c r="X132" s="137"/>
      <c r="Y132" s="36"/>
    </row>
    <row r="133" spans="1:25" ht="14.1" customHeight="1">
      <c r="A133" s="21">
        <v>61</v>
      </c>
      <c r="B133" s="72"/>
      <c r="C133" s="73"/>
      <c r="D133" s="73"/>
      <c r="E133" s="73"/>
      <c r="F133" s="73"/>
      <c r="G133" s="73"/>
      <c r="H133" s="73"/>
      <c r="I133" s="73"/>
      <c r="J133" s="73"/>
      <c r="K133" s="73"/>
      <c r="L133" s="73"/>
      <c r="M133" s="74"/>
      <c r="O133" s="101" t="s">
        <v>77</v>
      </c>
      <c r="P133" s="138"/>
      <c r="Q133" s="139"/>
      <c r="R133" s="140"/>
      <c r="S133" s="138"/>
      <c r="T133" s="139"/>
      <c r="U133" s="140"/>
      <c r="V133" s="138"/>
      <c r="W133" s="139"/>
      <c r="X133" s="140"/>
      <c r="Y133" s="36"/>
    </row>
    <row r="134" spans="1:25" ht="14.1" customHeight="1">
      <c r="A134" s="21">
        <v>62</v>
      </c>
      <c r="B134" s="72"/>
      <c r="C134" s="73"/>
      <c r="D134" s="73"/>
      <c r="E134" s="73"/>
      <c r="F134" s="73"/>
      <c r="G134" s="73"/>
      <c r="H134" s="73"/>
      <c r="I134" s="73"/>
      <c r="J134" s="73"/>
      <c r="K134" s="73"/>
      <c r="L134" s="73"/>
      <c r="M134" s="74"/>
      <c r="O134" s="101" t="s">
        <v>80</v>
      </c>
      <c r="P134" s="138"/>
      <c r="Q134" s="139"/>
      <c r="R134" s="140"/>
      <c r="S134" s="138"/>
      <c r="T134" s="139"/>
      <c r="U134" s="140"/>
      <c r="V134" s="138"/>
      <c r="W134" s="139"/>
      <c r="X134" s="140"/>
      <c r="Y134" s="36"/>
    </row>
    <row r="135" spans="1:25" ht="14.1" customHeight="1" thickBot="1">
      <c r="A135" s="21">
        <v>63</v>
      </c>
      <c r="B135" s="72"/>
      <c r="C135" s="73"/>
      <c r="D135" s="73"/>
      <c r="E135" s="73"/>
      <c r="F135" s="73"/>
      <c r="G135" s="73"/>
      <c r="H135" s="73"/>
      <c r="I135" s="73"/>
      <c r="J135" s="73"/>
      <c r="K135" s="73"/>
      <c r="L135" s="73"/>
      <c r="M135" s="74"/>
      <c r="O135" s="105" t="s">
        <v>83</v>
      </c>
      <c r="P135" s="141"/>
      <c r="Q135" s="142"/>
      <c r="R135" s="143"/>
      <c r="S135" s="141"/>
      <c r="T135" s="142"/>
      <c r="U135" s="143"/>
      <c r="V135" s="141"/>
      <c r="W135" s="142"/>
      <c r="X135" s="143"/>
      <c r="Y135" s="46"/>
    </row>
    <row r="136" spans="1:25" ht="14.1" customHeight="1">
      <c r="A136" s="21">
        <v>64</v>
      </c>
      <c r="B136" s="72"/>
      <c r="C136" s="73"/>
      <c r="D136" s="73"/>
      <c r="E136" s="73"/>
      <c r="F136" s="73"/>
      <c r="G136" s="73"/>
      <c r="H136" s="73"/>
      <c r="I136" s="73"/>
      <c r="J136" s="73"/>
      <c r="K136" s="73"/>
      <c r="L136" s="73"/>
      <c r="M136" s="74"/>
      <c r="O136" s="6"/>
      <c r="P136" s="6"/>
      <c r="Q136" s="6"/>
      <c r="R136" s="6"/>
      <c r="S136" s="6"/>
      <c r="T136" s="6"/>
      <c r="U136" s="6"/>
      <c r="V136" s="6"/>
      <c r="W136" s="6"/>
      <c r="X136" s="6"/>
    </row>
    <row r="137" spans="1:25" ht="14.1" customHeight="1" thickBot="1">
      <c r="A137" s="21">
        <v>65</v>
      </c>
      <c r="B137" s="72"/>
      <c r="C137" s="73"/>
      <c r="D137" s="73"/>
      <c r="E137" s="73"/>
      <c r="F137" s="73"/>
      <c r="G137" s="73"/>
      <c r="H137" s="73"/>
      <c r="I137" s="73"/>
      <c r="J137" s="73"/>
      <c r="K137" s="73"/>
      <c r="L137" s="73"/>
      <c r="M137" s="74"/>
      <c r="T137" s="273" t="s">
        <v>73</v>
      </c>
    </row>
    <row r="138" spans="1:25" ht="14.1" customHeight="1">
      <c r="A138" s="21">
        <v>66</v>
      </c>
      <c r="B138" s="72"/>
      <c r="C138" s="73"/>
      <c r="D138" s="73"/>
      <c r="E138" s="73"/>
      <c r="F138" s="73"/>
      <c r="G138" s="73"/>
      <c r="H138" s="73"/>
      <c r="I138" s="73"/>
      <c r="J138" s="73"/>
      <c r="K138" s="73"/>
      <c r="L138" s="73"/>
      <c r="M138" s="74"/>
      <c r="O138" s="144" t="s">
        <v>200</v>
      </c>
      <c r="P138" s="27"/>
      <c r="Q138" s="27"/>
      <c r="R138" s="27"/>
      <c r="S138" s="27"/>
      <c r="T138" s="27"/>
      <c r="U138" s="27"/>
      <c r="V138" s="27"/>
      <c r="W138" s="27"/>
      <c r="X138" s="27"/>
      <c r="Y138" s="28"/>
    </row>
    <row r="139" spans="1:25" ht="14.1" customHeight="1">
      <c r="A139" s="21">
        <v>67</v>
      </c>
      <c r="B139" s="72"/>
      <c r="C139" s="73"/>
      <c r="D139" s="73"/>
      <c r="E139" s="73"/>
      <c r="F139" s="73"/>
      <c r="G139" s="73"/>
      <c r="H139" s="73"/>
      <c r="I139" s="73"/>
      <c r="J139" s="73"/>
      <c r="K139" s="73"/>
      <c r="L139" s="73"/>
      <c r="M139" s="74"/>
      <c r="O139" s="34"/>
      <c r="P139" s="6"/>
      <c r="Q139" s="39" t="s">
        <v>201</v>
      </c>
      <c r="R139" s="145"/>
      <c r="S139" s="6"/>
      <c r="T139" s="6"/>
      <c r="Y139" s="36"/>
    </row>
    <row r="140" spans="1:25" ht="14.1" customHeight="1">
      <c r="A140" s="21">
        <v>68</v>
      </c>
      <c r="B140" s="72"/>
      <c r="C140" s="73"/>
      <c r="D140" s="73"/>
      <c r="E140" s="73"/>
      <c r="F140" s="73"/>
      <c r="G140" s="73"/>
      <c r="H140" s="73"/>
      <c r="I140" s="73"/>
      <c r="J140" s="73"/>
      <c r="K140" s="73"/>
      <c r="L140" s="73"/>
      <c r="M140" s="74"/>
      <c r="O140" s="34"/>
      <c r="P140" s="6"/>
      <c r="Q140" s="39" t="s">
        <v>202</v>
      </c>
      <c r="R140" s="145"/>
      <c r="S140" s="6"/>
      <c r="T140" s="6"/>
      <c r="Y140" s="36"/>
    </row>
    <row r="141" spans="1:25" ht="14.1" customHeight="1">
      <c r="A141" s="21">
        <v>69</v>
      </c>
      <c r="B141" s="72"/>
      <c r="C141" s="73"/>
      <c r="D141" s="73"/>
      <c r="E141" s="73"/>
      <c r="F141" s="73"/>
      <c r="G141" s="73"/>
      <c r="H141" s="73"/>
      <c r="I141" s="73"/>
      <c r="J141" s="73"/>
      <c r="K141" s="73"/>
      <c r="L141" s="73"/>
      <c r="M141" s="74"/>
      <c r="O141" s="34"/>
      <c r="P141" s="6"/>
      <c r="Q141" s="39" t="s">
        <v>203</v>
      </c>
      <c r="R141" s="145"/>
      <c r="S141" s="6"/>
      <c r="T141" s="6"/>
      <c r="Y141" s="36"/>
    </row>
    <row r="142" spans="1:25" ht="14.1" customHeight="1" thickBot="1">
      <c r="A142" s="21">
        <v>70</v>
      </c>
      <c r="B142" s="85"/>
      <c r="C142" s="86"/>
      <c r="D142" s="86"/>
      <c r="E142" s="376"/>
      <c r="F142" s="86"/>
      <c r="G142" s="86"/>
      <c r="H142" s="86"/>
      <c r="I142" s="86"/>
      <c r="J142" s="86"/>
      <c r="K142" s="86"/>
      <c r="L142" s="86"/>
      <c r="M142" s="87"/>
      <c r="O142" s="34"/>
      <c r="P142" s="6"/>
      <c r="Q142" s="6"/>
      <c r="R142" s="4" t="str">
        <f>IF(R140="","",IF(AND(R140&gt;=120,R140&lt;=200),"Pass","Fail"))</f>
        <v/>
      </c>
      <c r="Y142" s="36"/>
    </row>
    <row r="143" spans="1:25" ht="14.1" customHeight="1" thickTop="1">
      <c r="A143" s="21">
        <v>71</v>
      </c>
      <c r="C143" s="117" t="s">
        <v>11</v>
      </c>
      <c r="D143" s="422" t="str">
        <f>IF($P$7="","",$P$7)</f>
        <v/>
      </c>
      <c r="E143" s="31"/>
      <c r="F143" s="31"/>
      <c r="G143" s="31"/>
      <c r="H143" s="31"/>
      <c r="I143" s="31"/>
      <c r="J143" s="31"/>
      <c r="K143" s="31"/>
      <c r="L143" s="117" t="s">
        <v>12</v>
      </c>
      <c r="M143" s="423" t="str">
        <f>IF($X$7="","",$X$7)</f>
        <v>Eugene Mah</v>
      </c>
      <c r="O143" s="34"/>
      <c r="P143" s="121" t="s">
        <v>204</v>
      </c>
      <c r="Q143" s="146" t="s">
        <v>205</v>
      </c>
      <c r="Y143" s="36"/>
    </row>
    <row r="144" spans="1:25" ht="14.1" customHeight="1">
      <c r="A144" s="21">
        <v>72</v>
      </c>
      <c r="C144" s="117" t="s">
        <v>121</v>
      </c>
      <c r="D144" s="423" t="str">
        <f>IF($R$14="","",$R$14)</f>
        <v/>
      </c>
      <c r="E144" s="31"/>
      <c r="F144" s="31"/>
      <c r="G144" s="31"/>
      <c r="H144" s="31"/>
      <c r="I144" s="31"/>
      <c r="J144" s="31"/>
      <c r="K144" s="31"/>
      <c r="L144" s="117" t="s">
        <v>37</v>
      </c>
      <c r="M144" s="423" t="str">
        <f>IF($R$13="","",$R$13)</f>
        <v/>
      </c>
      <c r="O144" s="34"/>
      <c r="Y144" s="36"/>
    </row>
    <row r="145" spans="1:25" ht="14.1" customHeight="1">
      <c r="A145" s="21">
        <v>1</v>
      </c>
      <c r="M145" s="120" t="str">
        <f>$H$2</f>
        <v>Medical University of South Carolina</v>
      </c>
      <c r="O145" s="147" t="s">
        <v>206</v>
      </c>
      <c r="Y145" s="36"/>
    </row>
    <row r="146" spans="1:25" ht="14.1" customHeight="1" thickBot="1">
      <c r="A146" s="21">
        <v>2</v>
      </c>
      <c r="H146" s="55" t="s">
        <v>73</v>
      </c>
      <c r="M146" s="121" t="str">
        <f>$H$5</f>
        <v>Mammography System Compliance Inspection</v>
      </c>
      <c r="O146" s="34"/>
      <c r="P146" s="25" t="s">
        <v>207</v>
      </c>
      <c r="Q146" s="14" t="s">
        <v>208</v>
      </c>
      <c r="R146" s="14" t="s">
        <v>209</v>
      </c>
      <c r="Y146" s="36"/>
    </row>
    <row r="147" spans="1:25" ht="14.1" customHeight="1" thickTop="1" thickBot="1">
      <c r="A147" s="21">
        <v>3</v>
      </c>
      <c r="B147" s="63"/>
      <c r="C147" s="65" t="s">
        <v>200</v>
      </c>
      <c r="D147" s="64"/>
      <c r="E147" s="64"/>
      <c r="F147" s="64"/>
      <c r="G147" s="64"/>
      <c r="H147" s="64"/>
      <c r="I147" s="64"/>
      <c r="J147" s="64"/>
      <c r="K147" s="64"/>
      <c r="L147" s="64"/>
      <c r="M147" s="66"/>
      <c r="O147" s="34"/>
      <c r="P147" s="14">
        <v>1</v>
      </c>
      <c r="Q147" s="145"/>
      <c r="R147" s="148" t="str">
        <f t="shared" ref="R147:R154" si="11">IF(Q147="","",ABS(Q147-P147))</f>
        <v/>
      </c>
      <c r="Y147" s="36"/>
    </row>
    <row r="148" spans="1:25" ht="14.1" customHeight="1" thickBot="1">
      <c r="A148" s="21">
        <v>4</v>
      </c>
      <c r="B148" s="72"/>
      <c r="C148" s="73"/>
      <c r="D148" s="73"/>
      <c r="E148" s="171" t="s">
        <v>201</v>
      </c>
      <c r="F148" s="380" t="str">
        <f>IF(R139="","",R139)</f>
        <v/>
      </c>
      <c r="G148" s="73"/>
      <c r="H148" s="171" t="s">
        <v>218</v>
      </c>
      <c r="I148" s="152" t="str">
        <f>IF(R142="","",R142)</f>
        <v/>
      </c>
      <c r="J148" s="73"/>
      <c r="K148" s="73"/>
      <c r="L148" s="73"/>
      <c r="M148" s="74"/>
      <c r="O148" s="34"/>
      <c r="P148" s="14">
        <v>2</v>
      </c>
      <c r="Q148" s="145"/>
      <c r="R148" s="148" t="str">
        <f t="shared" si="11"/>
        <v/>
      </c>
      <c r="Y148" s="36"/>
    </row>
    <row r="149" spans="1:25" ht="14.1" customHeight="1" thickBot="1">
      <c r="A149" s="21">
        <v>5</v>
      </c>
      <c r="B149" s="72"/>
      <c r="C149" s="73"/>
      <c r="D149" s="73"/>
      <c r="E149" s="171" t="s">
        <v>202</v>
      </c>
      <c r="F149" s="482" t="str">
        <f>IF(R140="","",R140)</f>
        <v/>
      </c>
      <c r="G149" s="354"/>
      <c r="H149" s="354"/>
      <c r="I149" s="73"/>
      <c r="J149" s="73"/>
      <c r="K149" s="73"/>
      <c r="L149" s="73"/>
      <c r="M149" s="74"/>
      <c r="O149" s="34"/>
      <c r="P149" s="14">
        <v>4</v>
      </c>
      <c r="Q149" s="145"/>
      <c r="R149" s="148" t="str">
        <f t="shared" si="11"/>
        <v/>
      </c>
      <c r="S149" s="39" t="s">
        <v>210</v>
      </c>
      <c r="T149" s="149" t="str">
        <f>IF(OR(Q149="",Q150="",Q151="",Q152=""),"",AVERAGE(Q149:Q152))</f>
        <v/>
      </c>
      <c r="Y149" s="36"/>
    </row>
    <row r="150" spans="1:25" ht="14.1" customHeight="1" thickBot="1">
      <c r="A150" s="21">
        <v>6</v>
      </c>
      <c r="B150" s="72"/>
      <c r="C150" s="73"/>
      <c r="D150" s="73"/>
      <c r="E150" s="171" t="s">
        <v>203</v>
      </c>
      <c r="F150" s="483" t="str">
        <f>IF(R141="","",IF(R141=1,"Pass","Fail"))</f>
        <v/>
      </c>
      <c r="G150" s="354"/>
      <c r="H150" s="73"/>
      <c r="I150" s="73"/>
      <c r="J150" s="73"/>
      <c r="K150" s="73"/>
      <c r="L150" s="73"/>
      <c r="M150" s="74"/>
      <c r="O150" s="34"/>
      <c r="P150" s="14">
        <v>4</v>
      </c>
      <c r="Q150" s="145"/>
      <c r="R150" s="148" t="str">
        <f t="shared" si="11"/>
        <v/>
      </c>
      <c r="S150" s="39" t="s">
        <v>211</v>
      </c>
      <c r="T150" s="150" t="str">
        <f>IF(OR(Q149="",Q150="",Q151="",Q152=""),"",_xlfn.STDEV.S(Q149:Q152))</f>
        <v/>
      </c>
      <c r="Y150" s="36"/>
    </row>
    <row r="151" spans="1:25" ht="14.1" customHeight="1">
      <c r="A151" s="21">
        <v>7</v>
      </c>
      <c r="B151" s="72"/>
      <c r="C151" s="73"/>
      <c r="D151" s="5" t="s">
        <v>204</v>
      </c>
      <c r="E151" s="109" t="s">
        <v>205</v>
      </c>
      <c r="F151" s="73"/>
      <c r="G151" s="73"/>
      <c r="H151" s="73"/>
      <c r="I151" s="73"/>
      <c r="J151" s="73"/>
      <c r="K151" s="73"/>
      <c r="L151" s="73"/>
      <c r="M151" s="74"/>
      <c r="O151" s="34"/>
      <c r="P151" s="14">
        <v>4</v>
      </c>
      <c r="Q151" s="145"/>
      <c r="R151" s="148" t="str">
        <f t="shared" si="11"/>
        <v/>
      </c>
      <c r="Y151" s="36"/>
    </row>
    <row r="152" spans="1:25" ht="14.1" customHeight="1">
      <c r="A152" s="21">
        <v>8</v>
      </c>
      <c r="B152" s="72"/>
      <c r="C152" s="73"/>
      <c r="D152" s="202"/>
      <c r="E152" s="202"/>
      <c r="F152" s="73"/>
      <c r="G152" s="73"/>
      <c r="H152" s="73"/>
      <c r="I152" s="73"/>
      <c r="J152" s="73"/>
      <c r="K152" s="73"/>
      <c r="L152" s="73"/>
      <c r="M152" s="74"/>
      <c r="O152" s="34"/>
      <c r="P152" s="14">
        <v>4</v>
      </c>
      <c r="Q152" s="145"/>
      <c r="R152" s="148" t="str">
        <f t="shared" si="11"/>
        <v/>
      </c>
      <c r="T152" s="117" t="s">
        <v>204</v>
      </c>
      <c r="U152" s="31" t="s">
        <v>212</v>
      </c>
      <c r="Y152" s="36"/>
    </row>
    <row r="153" spans="1:25" ht="14.1" customHeight="1" thickBot="1">
      <c r="A153" s="21">
        <v>9</v>
      </c>
      <c r="B153" s="72"/>
      <c r="C153" s="154" t="s">
        <v>206</v>
      </c>
      <c r="D153" s="73"/>
      <c r="E153" s="73"/>
      <c r="F153" s="73"/>
      <c r="G153" s="73"/>
      <c r="H153" s="73"/>
      <c r="I153" s="73"/>
      <c r="J153" s="73"/>
      <c r="K153" s="73"/>
      <c r="L153" s="73"/>
      <c r="M153" s="74"/>
      <c r="O153" s="34"/>
      <c r="P153" s="14">
        <v>6</v>
      </c>
      <c r="Q153" s="145"/>
      <c r="R153" s="148" t="str">
        <f t="shared" si="11"/>
        <v/>
      </c>
      <c r="U153" s="31" t="s">
        <v>213</v>
      </c>
      <c r="Y153" s="36"/>
    </row>
    <row r="154" spans="1:25" ht="14.1" customHeight="1" thickBot="1">
      <c r="A154" s="21">
        <v>10</v>
      </c>
      <c r="B154" s="72"/>
      <c r="C154" s="433" t="s">
        <v>207</v>
      </c>
      <c r="D154" s="467" t="s">
        <v>208</v>
      </c>
      <c r="E154" s="468" t="s">
        <v>209</v>
      </c>
      <c r="F154" s="73"/>
      <c r="G154" s="73"/>
      <c r="H154" s="378"/>
      <c r="I154" s="171" t="s">
        <v>222</v>
      </c>
      <c r="J154" s="424" t="str">
        <f>IF(O156="","TBD",IF(O156=1,"YES",IF(O156=3,"NA","")))</f>
        <v>TBD</v>
      </c>
      <c r="K154" s="73"/>
      <c r="L154" s="156" t="str">
        <f>IF(O156=2,"NO","")</f>
        <v/>
      </c>
      <c r="M154" s="74"/>
      <c r="O154" s="34"/>
      <c r="P154" s="14">
        <v>8</v>
      </c>
      <c r="Q154" s="145"/>
      <c r="R154" s="148" t="str">
        <f t="shared" si="11"/>
        <v/>
      </c>
      <c r="Y154" s="36"/>
    </row>
    <row r="155" spans="1:25" ht="14.1" customHeight="1" thickBot="1">
      <c r="A155" s="21">
        <v>11</v>
      </c>
      <c r="B155" s="72"/>
      <c r="C155" s="384">
        <v>1</v>
      </c>
      <c r="D155" s="352" t="str">
        <f t="shared" ref="D155:E162" si="12">IF(Q147="","",Q147)</f>
        <v/>
      </c>
      <c r="E155" s="385" t="str">
        <f t="shared" si="12"/>
        <v/>
      </c>
      <c r="F155" s="73"/>
      <c r="G155" s="73"/>
      <c r="H155" s="378"/>
      <c r="I155" s="171" t="s">
        <v>223</v>
      </c>
      <c r="J155" s="424" t="str">
        <f>IF(O157="","TBD",IF(O157=1,"YES",IF(O157=3,"NA","")))</f>
        <v>TBD</v>
      </c>
      <c r="K155" s="73"/>
      <c r="L155" s="156" t="str">
        <f>IF(O157=2,"NO","")</f>
        <v/>
      </c>
      <c r="M155" s="74"/>
      <c r="O155" s="34"/>
      <c r="Y155" s="36"/>
    </row>
    <row r="156" spans="1:25" ht="14.1" customHeight="1" thickBot="1">
      <c r="A156" s="21">
        <v>12</v>
      </c>
      <c r="B156" s="72"/>
      <c r="C156" s="384">
        <v>2</v>
      </c>
      <c r="D156" s="352" t="str">
        <f t="shared" si="12"/>
        <v/>
      </c>
      <c r="E156" s="385" t="str">
        <f t="shared" si="12"/>
        <v/>
      </c>
      <c r="F156" s="73"/>
      <c r="G156" s="73"/>
      <c r="H156" s="73"/>
      <c r="I156" s="171" t="s">
        <v>215</v>
      </c>
      <c r="J156" s="424" t="str">
        <f>IF(S156="","TBD",S156)</f>
        <v>TBD</v>
      </c>
      <c r="K156" s="73"/>
      <c r="L156" s="73"/>
      <c r="M156" s="74"/>
      <c r="O156" s="104"/>
      <c r="P156" s="25" t="s">
        <v>214</v>
      </c>
      <c r="S156" s="148" t="str">
        <f>IF(R147="","",IF(OR(R147&gt;0.5,R148&gt;0.5,R149&gt;0.5,R150&gt;0.5,R151&gt;0.5,R152&gt;0.5,R153&gt;0.5,R154&gt;0.5),"Fail","Pass"))</f>
        <v/>
      </c>
      <c r="T156" s="40" t="s">
        <v>215</v>
      </c>
      <c r="Y156" s="36"/>
    </row>
    <row r="157" spans="1:25" ht="14.1" customHeight="1">
      <c r="A157" s="21">
        <v>13</v>
      </c>
      <c r="B157" s="72"/>
      <c r="C157" s="384">
        <v>4</v>
      </c>
      <c r="D157" s="352" t="str">
        <f t="shared" si="12"/>
        <v/>
      </c>
      <c r="E157" s="385" t="str">
        <f t="shared" si="12"/>
        <v/>
      </c>
      <c r="F157" s="73"/>
      <c r="G157" s="73"/>
      <c r="H157" s="73"/>
      <c r="I157" s="171" t="s">
        <v>210</v>
      </c>
      <c r="J157" s="149" t="str">
        <f>IF(T149="","",T149)</f>
        <v/>
      </c>
      <c r="K157" s="73"/>
      <c r="L157" s="73"/>
      <c r="M157" s="74"/>
      <c r="O157" s="104"/>
      <c r="P157" s="25" t="s">
        <v>216</v>
      </c>
      <c r="Y157" s="36"/>
    </row>
    <row r="158" spans="1:25" ht="14.1" customHeight="1">
      <c r="A158" s="21">
        <v>14</v>
      </c>
      <c r="B158" s="72"/>
      <c r="C158" s="384">
        <v>4</v>
      </c>
      <c r="D158" s="352" t="str">
        <f t="shared" si="12"/>
        <v/>
      </c>
      <c r="E158" s="385" t="str">
        <f t="shared" si="12"/>
        <v/>
      </c>
      <c r="F158" s="73"/>
      <c r="G158" s="73"/>
      <c r="H158" s="73"/>
      <c r="I158" s="171" t="s">
        <v>211</v>
      </c>
      <c r="J158" s="150" t="str">
        <f>IF(T150="","",T150)</f>
        <v/>
      </c>
      <c r="K158" s="73"/>
      <c r="L158" s="73"/>
      <c r="M158" s="74"/>
      <c r="O158" s="34"/>
      <c r="Y158" s="36"/>
    </row>
    <row r="159" spans="1:25" ht="14.1" customHeight="1">
      <c r="A159" s="21">
        <v>15</v>
      </c>
      <c r="B159" s="72"/>
      <c r="C159" s="384">
        <v>4</v>
      </c>
      <c r="D159" s="352" t="str">
        <f t="shared" si="12"/>
        <v/>
      </c>
      <c r="E159" s="385" t="str">
        <f t="shared" si="12"/>
        <v/>
      </c>
      <c r="F159" s="73"/>
      <c r="G159" s="73"/>
      <c r="H159" s="73"/>
      <c r="I159" s="73"/>
      <c r="J159" s="73"/>
      <c r="K159" s="73"/>
      <c r="L159" s="73"/>
      <c r="M159" s="74"/>
      <c r="O159" s="147" t="s">
        <v>217</v>
      </c>
      <c r="Y159" s="36"/>
    </row>
    <row r="160" spans="1:25" ht="14.1" customHeight="1">
      <c r="A160" s="21">
        <v>16</v>
      </c>
      <c r="B160" s="72"/>
      <c r="C160" s="384">
        <v>4</v>
      </c>
      <c r="D160" s="352" t="str">
        <f t="shared" si="12"/>
        <v/>
      </c>
      <c r="E160" s="385" t="str">
        <f t="shared" si="12"/>
        <v/>
      </c>
      <c r="F160" s="5" t="s">
        <v>204</v>
      </c>
      <c r="G160" s="109" t="s">
        <v>212</v>
      </c>
      <c r="H160" s="73"/>
      <c r="I160" s="73"/>
      <c r="J160" s="73"/>
      <c r="K160" s="73"/>
      <c r="L160" s="73"/>
      <c r="M160" s="74"/>
      <c r="O160" s="34"/>
      <c r="P160" s="39" t="s">
        <v>51</v>
      </c>
      <c r="Q160" s="20" t="s">
        <v>32</v>
      </c>
      <c r="R160" s="20" t="s">
        <v>32</v>
      </c>
      <c r="S160" s="20" t="s">
        <v>52</v>
      </c>
      <c r="T160" s="151"/>
      <c r="Y160" s="36"/>
    </row>
    <row r="161" spans="1:25" ht="14.1" customHeight="1">
      <c r="A161" s="21">
        <v>17</v>
      </c>
      <c r="B161" s="72"/>
      <c r="C161" s="384">
        <v>6</v>
      </c>
      <c r="D161" s="352" t="str">
        <f t="shared" si="12"/>
        <v/>
      </c>
      <c r="E161" s="385" t="str">
        <f t="shared" si="12"/>
        <v/>
      </c>
      <c r="F161" s="154"/>
      <c r="G161" s="109" t="s">
        <v>213</v>
      </c>
      <c r="H161" s="73"/>
      <c r="I161" s="73"/>
      <c r="J161" s="73"/>
      <c r="K161" s="73"/>
      <c r="L161" s="73"/>
      <c r="M161" s="74"/>
      <c r="O161" s="34"/>
      <c r="P161" s="39" t="s">
        <v>54</v>
      </c>
      <c r="Q161" s="20" t="s">
        <v>32</v>
      </c>
      <c r="R161" s="20" t="s">
        <v>55</v>
      </c>
      <c r="S161" s="20" t="s">
        <v>55</v>
      </c>
      <c r="T161" s="151"/>
      <c r="Y161" s="36"/>
    </row>
    <row r="162" spans="1:25" ht="14.1" customHeight="1" thickBot="1">
      <c r="A162" s="21">
        <v>18</v>
      </c>
      <c r="B162" s="72"/>
      <c r="C162" s="434">
        <v>8</v>
      </c>
      <c r="D162" s="398" t="str">
        <f t="shared" si="12"/>
        <v/>
      </c>
      <c r="E162" s="435" t="str">
        <f t="shared" si="12"/>
        <v/>
      </c>
      <c r="F162" s="73"/>
      <c r="G162" s="73"/>
      <c r="H162" s="73"/>
      <c r="I162" s="73"/>
      <c r="J162" s="73"/>
      <c r="K162" s="73"/>
      <c r="L162" s="73"/>
      <c r="M162" s="74"/>
      <c r="O162" s="34"/>
      <c r="P162" s="39" t="s">
        <v>173</v>
      </c>
      <c r="Q162" s="153"/>
      <c r="R162" s="153"/>
      <c r="S162" s="153"/>
      <c r="T162" s="151"/>
      <c r="Y162" s="36"/>
    </row>
    <row r="163" spans="1:25" ht="14.1" customHeight="1" thickBot="1">
      <c r="A163" s="21">
        <v>19</v>
      </c>
      <c r="B163" s="168"/>
      <c r="C163" s="45"/>
      <c r="D163" s="45"/>
      <c r="E163" s="45"/>
      <c r="F163" s="45"/>
      <c r="G163" s="45"/>
      <c r="H163" s="45"/>
      <c r="I163" s="45"/>
      <c r="J163" s="45"/>
      <c r="K163" s="45"/>
      <c r="L163" s="45"/>
      <c r="M163" s="169"/>
      <c r="O163" s="34"/>
      <c r="P163" s="39" t="s">
        <v>219</v>
      </c>
      <c r="Q163" s="153"/>
      <c r="R163" s="153"/>
      <c r="S163" s="153"/>
      <c r="T163" s="151"/>
      <c r="Y163" s="36"/>
    </row>
    <row r="164" spans="1:25" ht="14.1" customHeight="1" thickBot="1">
      <c r="A164" s="21">
        <v>20</v>
      </c>
      <c r="B164" s="72"/>
      <c r="C164" s="154" t="s">
        <v>217</v>
      </c>
      <c r="D164" s="73"/>
      <c r="E164" s="73"/>
      <c r="F164" s="73"/>
      <c r="G164" s="73"/>
      <c r="H164" s="73"/>
      <c r="I164" s="73"/>
      <c r="J164" s="73"/>
      <c r="K164" s="73"/>
      <c r="L164" s="73"/>
      <c r="M164" s="74"/>
      <c r="O164" s="34"/>
      <c r="P164" s="39" t="s">
        <v>220</v>
      </c>
      <c r="Q164" s="153"/>
      <c r="R164" s="153"/>
      <c r="S164" s="153"/>
      <c r="T164" s="151"/>
      <c r="Y164" s="36"/>
    </row>
    <row r="165" spans="1:25" ht="14.1" customHeight="1">
      <c r="A165" s="21">
        <v>21</v>
      </c>
      <c r="B165" s="72"/>
      <c r="C165" s="171" t="s">
        <v>51</v>
      </c>
      <c r="D165" s="425" t="str">
        <f t="shared" ref="D165:F167" si="13">IF(Q160="","",Q160)</f>
        <v>Mo</v>
      </c>
      <c r="E165" s="426" t="str">
        <f t="shared" si="13"/>
        <v>Mo</v>
      </c>
      <c r="F165" s="427" t="str">
        <f t="shared" si="13"/>
        <v>W</v>
      </c>
      <c r="G165" s="73"/>
      <c r="H165" s="354" t="str">
        <f>IF(T160="","",T160)</f>
        <v/>
      </c>
      <c r="I165" s="73"/>
      <c r="J165" s="73"/>
      <c r="K165" s="73"/>
      <c r="L165" s="73"/>
      <c r="M165" s="74"/>
      <c r="O165" s="34"/>
      <c r="P165" s="39" t="s">
        <v>218</v>
      </c>
      <c r="Q165" s="153"/>
      <c r="R165" s="153"/>
      <c r="S165" s="153"/>
      <c r="T165" s="151"/>
      <c r="Y165" s="36"/>
    </row>
    <row r="166" spans="1:25" ht="14.1" customHeight="1">
      <c r="A166" s="21">
        <v>22</v>
      </c>
      <c r="B166" s="72"/>
      <c r="C166" s="171" t="s">
        <v>54</v>
      </c>
      <c r="D166" s="428" t="str">
        <f t="shared" si="13"/>
        <v>Mo</v>
      </c>
      <c r="E166" s="20" t="str">
        <f t="shared" si="13"/>
        <v>Rh</v>
      </c>
      <c r="F166" s="429" t="str">
        <f t="shared" si="13"/>
        <v>Rh</v>
      </c>
      <c r="G166" s="73"/>
      <c r="H166" s="354" t="str">
        <f>IF(T160="","",T160)</f>
        <v/>
      </c>
      <c r="I166" s="73"/>
      <c r="J166" s="73"/>
      <c r="K166" s="73"/>
      <c r="L166" s="73"/>
      <c r="M166" s="74"/>
      <c r="O166" s="34"/>
      <c r="P166" s="5" t="s">
        <v>204</v>
      </c>
      <c r="Q166" s="12" t="s">
        <v>221</v>
      </c>
      <c r="R166" s="6"/>
      <c r="S166" s="6"/>
      <c r="T166" s="155"/>
      <c r="Y166" s="36"/>
    </row>
    <row r="167" spans="1:25" ht="14.1" customHeight="1">
      <c r="A167" s="21">
        <v>23</v>
      </c>
      <c r="B167" s="72"/>
      <c r="C167" s="171" t="s">
        <v>239</v>
      </c>
      <c r="D167" s="428" t="str">
        <f t="shared" si="13"/>
        <v/>
      </c>
      <c r="E167" s="20" t="str">
        <f t="shared" si="13"/>
        <v/>
      </c>
      <c r="F167" s="429" t="str">
        <f t="shared" si="13"/>
        <v/>
      </c>
      <c r="G167" s="73"/>
      <c r="H167" s="354" t="str">
        <f>IF(T161="","",T161)</f>
        <v/>
      </c>
      <c r="I167" s="73"/>
      <c r="J167" s="73"/>
      <c r="K167" s="73"/>
      <c r="L167" s="73"/>
      <c r="M167" s="74"/>
      <c r="O167" s="34"/>
      <c r="P167" s="6"/>
      <c r="Q167" s="6"/>
      <c r="R167" s="6"/>
      <c r="S167" s="6"/>
      <c r="T167" s="6"/>
      <c r="Y167" s="36"/>
    </row>
    <row r="168" spans="1:25" ht="14.1" customHeight="1">
      <c r="A168" s="21">
        <v>24</v>
      </c>
      <c r="B168" s="72"/>
      <c r="C168" s="171" t="s">
        <v>173</v>
      </c>
      <c r="D168" s="428" t="str">
        <f t="shared" ref="D168:F171" si="14">IF(Q162="","",Q162)</f>
        <v/>
      </c>
      <c r="E168" s="20" t="str">
        <f t="shared" si="14"/>
        <v/>
      </c>
      <c r="F168" s="429" t="str">
        <f t="shared" si="14"/>
        <v/>
      </c>
      <c r="G168" s="73"/>
      <c r="H168" s="354" t="str">
        <f>IF(T162="","",T162)</f>
        <v/>
      </c>
      <c r="I168" s="73"/>
      <c r="J168" s="73"/>
      <c r="K168" s="73"/>
      <c r="L168" s="73"/>
      <c r="M168" s="74"/>
      <c r="O168" s="34"/>
      <c r="P168" s="117" t="s">
        <v>224</v>
      </c>
      <c r="Q168" s="158" t="str">
        <f>IF(Q170&lt;&gt;"",Q170,IF(AB190="","",AB190))</f>
        <v/>
      </c>
      <c r="R168" s="159"/>
      <c r="S168" s="159"/>
      <c r="T168" s="159"/>
      <c r="U168" s="159"/>
      <c r="V168" s="159"/>
      <c r="W168" s="159"/>
      <c r="X168" s="159"/>
      <c r="Y168" s="36"/>
    </row>
    <row r="169" spans="1:25" ht="14.1" customHeight="1">
      <c r="A169" s="21">
        <v>25</v>
      </c>
      <c r="B169" s="72"/>
      <c r="C169" s="171" t="s">
        <v>219</v>
      </c>
      <c r="D169" s="428" t="str">
        <f t="shared" si="14"/>
        <v/>
      </c>
      <c r="E169" s="20" t="str">
        <f t="shared" si="14"/>
        <v/>
      </c>
      <c r="F169" s="429" t="str">
        <f t="shared" si="14"/>
        <v/>
      </c>
      <c r="G169" s="73"/>
      <c r="H169" s="354" t="str">
        <f>IF(T162="","",T162)</f>
        <v/>
      </c>
      <c r="I169" s="73"/>
      <c r="J169" s="73"/>
      <c r="K169" s="73"/>
      <c r="L169" s="73"/>
      <c r="M169" s="74"/>
      <c r="O169" s="34"/>
      <c r="P169" s="160" t="s">
        <v>225</v>
      </c>
      <c r="Q169" s="161"/>
      <c r="R169" s="162"/>
      <c r="S169" s="162"/>
      <c r="T169" s="162"/>
      <c r="U169" s="162"/>
      <c r="V169" s="162"/>
      <c r="W169" s="162"/>
      <c r="X169" s="162"/>
      <c r="Y169" s="36"/>
    </row>
    <row r="170" spans="1:25" ht="14.1" customHeight="1">
      <c r="A170" s="21">
        <v>26</v>
      </c>
      <c r="B170" s="72"/>
      <c r="C170" s="171" t="s">
        <v>220</v>
      </c>
      <c r="D170" s="428" t="str">
        <f t="shared" si="14"/>
        <v/>
      </c>
      <c r="E170" s="20" t="str">
        <f t="shared" si="14"/>
        <v/>
      </c>
      <c r="F170" s="429" t="str">
        <f t="shared" si="14"/>
        <v/>
      </c>
      <c r="G170" s="73"/>
      <c r="H170" s="354" t="str">
        <f>IF(T163="","",T163)</f>
        <v/>
      </c>
      <c r="I170" s="73"/>
      <c r="J170" s="73"/>
      <c r="K170" s="73"/>
      <c r="L170" s="73"/>
      <c r="M170" s="74"/>
      <c r="O170" s="34"/>
      <c r="P170" s="117" t="s">
        <v>226</v>
      </c>
      <c r="Q170" s="163"/>
      <c r="R170" s="162"/>
      <c r="S170" s="162"/>
      <c r="T170" s="162"/>
      <c r="U170" s="162"/>
      <c r="V170" s="162"/>
      <c r="W170" s="162"/>
      <c r="X170" s="162"/>
      <c r="Y170" s="36"/>
    </row>
    <row r="171" spans="1:25" ht="14.1" customHeight="1" thickBot="1">
      <c r="A171" s="21">
        <v>27</v>
      </c>
      <c r="B171" s="72"/>
      <c r="C171" s="171" t="s">
        <v>218</v>
      </c>
      <c r="D171" s="430" t="str">
        <f t="shared" si="14"/>
        <v/>
      </c>
      <c r="E171" s="431" t="str">
        <f t="shared" si="14"/>
        <v/>
      </c>
      <c r="F171" s="432" t="str">
        <f t="shared" si="14"/>
        <v/>
      </c>
      <c r="G171" s="73"/>
      <c r="H171" s="354" t="str">
        <f>IF(T164="","",T164)</f>
        <v/>
      </c>
      <c r="I171" s="73"/>
      <c r="J171" s="73"/>
      <c r="K171" s="73"/>
      <c r="L171" s="73"/>
      <c r="M171" s="74"/>
      <c r="O171" s="44"/>
      <c r="P171" s="45"/>
      <c r="Q171" s="45"/>
      <c r="R171" s="45"/>
      <c r="S171" s="45"/>
      <c r="T171" s="45"/>
      <c r="U171" s="45"/>
      <c r="V171" s="45"/>
      <c r="W171" s="45"/>
      <c r="X171" s="45"/>
      <c r="Y171" s="46"/>
    </row>
    <row r="172" spans="1:25" ht="14.1" customHeight="1">
      <c r="A172" s="21">
        <v>28</v>
      </c>
      <c r="B172" s="72"/>
      <c r="C172" s="73"/>
      <c r="D172" s="73"/>
      <c r="E172" s="73"/>
      <c r="F172" s="73"/>
      <c r="G172" s="73"/>
      <c r="H172" s="354" t="str">
        <f>IF(T165="","",T165)</f>
        <v/>
      </c>
      <c r="I172" s="73"/>
      <c r="J172" s="73"/>
      <c r="K172" s="73"/>
      <c r="L172" s="73"/>
      <c r="M172" s="74"/>
      <c r="O172" s="147" t="s">
        <v>227</v>
      </c>
      <c r="R172" s="145"/>
      <c r="S172" s="80" t="s">
        <v>75</v>
      </c>
      <c r="Y172" s="36"/>
    </row>
    <row r="173" spans="1:25" ht="14.1" customHeight="1">
      <c r="A173" s="21">
        <v>29</v>
      </c>
      <c r="B173" s="72"/>
      <c r="C173" s="5" t="s">
        <v>204</v>
      </c>
      <c r="D173" s="12" t="s">
        <v>221</v>
      </c>
      <c r="E173" s="73"/>
      <c r="F173" s="73"/>
      <c r="G173" s="73"/>
      <c r="H173" s="73"/>
      <c r="I173" s="73"/>
      <c r="J173" s="73"/>
      <c r="K173" s="73"/>
      <c r="L173" s="73"/>
      <c r="M173" s="74"/>
      <c r="O173" s="34"/>
      <c r="P173" s="761" t="s">
        <v>228</v>
      </c>
      <c r="Q173" s="761"/>
      <c r="R173" s="761"/>
      <c r="S173" s="761"/>
      <c r="U173" s="218" t="s">
        <v>229</v>
      </c>
      <c r="V173" s="218"/>
      <c r="Y173" s="36"/>
    </row>
    <row r="174" spans="1:25" ht="14.1" customHeight="1">
      <c r="A174" s="21">
        <v>30</v>
      </c>
      <c r="B174" s="72"/>
      <c r="C174" s="73"/>
      <c r="D174" s="611" t="str">
        <f>P168</f>
        <v>Comments:</v>
      </c>
      <c r="E174" s="119" t="str">
        <f>IF(Q168="","",IF(LEN(Q168)&lt;=135,Q168,IF(LEN(Q168)&lt;=260,LEFT(Q168,SEARCH(" ",Q168,125)),LEFT(Q168,SEARCH(" ",Q168,130)))))</f>
        <v/>
      </c>
      <c r="F174" s="118"/>
      <c r="G174" s="118"/>
      <c r="H174" s="118"/>
      <c r="I174" s="118"/>
      <c r="J174" s="118"/>
      <c r="K174" s="118"/>
      <c r="L174" s="118"/>
      <c r="M174" s="178"/>
      <c r="O174" s="34"/>
      <c r="P174" s="164" t="s">
        <v>230</v>
      </c>
      <c r="Q174" s="164" t="s">
        <v>231</v>
      </c>
      <c r="R174" s="164" t="s">
        <v>232</v>
      </c>
      <c r="S174" s="165" t="s">
        <v>233</v>
      </c>
      <c r="U174" s="359" t="s">
        <v>234</v>
      </c>
      <c r="V174" s="218"/>
      <c r="Y174" s="36"/>
    </row>
    <row r="175" spans="1:25" ht="14.1" customHeight="1">
      <c r="A175" s="21">
        <v>31</v>
      </c>
      <c r="B175" s="72"/>
      <c r="C175" s="73"/>
      <c r="D175" s="202"/>
      <c r="E175" s="182" t="str">
        <f>IF(LEN(Q168)&lt;=135,"",IF(LEN(Q168)&lt;=260,RIGHT(Q168,LEN(Q168)-SEARCH(" ",Q168,125)),MID(Q168,SEARCH(" ",Q168,130),IF(LEN(Q168)&lt;=265,LEN(Q168),SEARCH(" ",Q168,255)-SEARCH(" ",Q168,130)))))</f>
        <v/>
      </c>
      <c r="F175" s="183"/>
      <c r="G175" s="183"/>
      <c r="H175" s="183"/>
      <c r="I175" s="183"/>
      <c r="J175" s="183"/>
      <c r="K175" s="183"/>
      <c r="L175" s="183"/>
      <c r="M175" s="184"/>
      <c r="O175" s="34"/>
      <c r="P175" s="166"/>
      <c r="Q175" s="166"/>
      <c r="R175" s="166"/>
      <c r="S175" s="167"/>
      <c r="U175" s="358" t="str">
        <f>IF(OR(R172=2,R172=3),"NA",IF(OR(P175="",Q175="",R175="",S175=""),"TBD",AVERAGE(P175:S175)))</f>
        <v>TBD</v>
      </c>
      <c r="V175" s="357"/>
      <c r="Y175" s="36"/>
    </row>
    <row r="176" spans="1:25" ht="14.1" customHeight="1">
      <c r="A176" s="21">
        <v>32</v>
      </c>
      <c r="B176" s="72"/>
      <c r="C176" s="73"/>
      <c r="D176" s="202"/>
      <c r="E176" s="182" t="str">
        <f>IF(LEN(Q168)&lt;=265,"",RIGHT(Q168,LEN(Q168)-SEARCH(" ",Q168,255)))</f>
        <v/>
      </c>
      <c r="F176" s="183"/>
      <c r="G176" s="183"/>
      <c r="H176" s="183"/>
      <c r="I176" s="183"/>
      <c r="J176" s="183"/>
      <c r="K176" s="183"/>
      <c r="L176" s="183"/>
      <c r="M176" s="184"/>
      <c r="O176" s="34"/>
      <c r="P176" s="121" t="s">
        <v>204</v>
      </c>
      <c r="Q176" s="146" t="s">
        <v>235</v>
      </c>
      <c r="Y176" s="36"/>
    </row>
    <row r="177" spans="1:25" ht="14.1" customHeight="1" thickBot="1">
      <c r="A177" s="21">
        <v>33</v>
      </c>
      <c r="B177" s="168"/>
      <c r="C177" s="45"/>
      <c r="D177" s="45"/>
      <c r="E177" s="45"/>
      <c r="F177" s="45"/>
      <c r="G177" s="45"/>
      <c r="H177" s="45"/>
      <c r="I177" s="45"/>
      <c r="J177" s="45"/>
      <c r="K177" s="45"/>
      <c r="L177" s="45"/>
      <c r="M177" s="169"/>
      <c r="O177" s="34"/>
      <c r="P177" s="6"/>
      <c r="Q177" s="6"/>
      <c r="R177" s="6"/>
      <c r="S177" s="6"/>
      <c r="T177" s="6"/>
      <c r="U177" s="6"/>
      <c r="V177" s="6"/>
      <c r="W177" s="6"/>
      <c r="Y177" s="36"/>
    </row>
    <row r="178" spans="1:25" ht="14.1" customHeight="1">
      <c r="A178" s="21">
        <v>34</v>
      </c>
      <c r="B178" s="72"/>
      <c r="C178" s="154" t="s">
        <v>227</v>
      </c>
      <c r="D178" s="73"/>
      <c r="E178" s="73"/>
      <c r="F178" s="73"/>
      <c r="G178" s="73"/>
      <c r="H178" s="73"/>
      <c r="I178" s="73"/>
      <c r="J178" s="73"/>
      <c r="K178" s="73"/>
      <c r="L178" s="73"/>
      <c r="M178" s="74"/>
      <c r="O178" s="147" t="s">
        <v>236</v>
      </c>
      <c r="Y178" s="36"/>
    </row>
    <row r="179" spans="1:25" ht="14.1" customHeight="1">
      <c r="A179" s="21">
        <v>35</v>
      </c>
      <c r="B179" s="72"/>
      <c r="C179" s="73"/>
      <c r="D179" s="761" t="s">
        <v>228</v>
      </c>
      <c r="E179" s="761"/>
      <c r="F179" s="761"/>
      <c r="G179" s="761"/>
      <c r="H179" s="73"/>
      <c r="I179" s="354" t="s">
        <v>229</v>
      </c>
      <c r="J179" s="354"/>
      <c r="K179" s="73"/>
      <c r="L179" s="73"/>
      <c r="M179" s="74"/>
      <c r="O179" s="170"/>
      <c r="P179" s="171" t="s">
        <v>95</v>
      </c>
      <c r="Q179" s="145" t="s">
        <v>237</v>
      </c>
      <c r="T179" s="171" t="s">
        <v>95</v>
      </c>
      <c r="U179" s="145" t="s">
        <v>238</v>
      </c>
      <c r="V179" s="6"/>
      <c r="X179" s="6"/>
      <c r="Y179" s="36"/>
    </row>
    <row r="180" spans="1:25" ht="14.1" customHeight="1">
      <c r="A180" s="21">
        <v>36</v>
      </c>
      <c r="B180" s="72"/>
      <c r="C180" s="73"/>
      <c r="D180" s="164" t="s">
        <v>230</v>
      </c>
      <c r="E180" s="164" t="s">
        <v>231</v>
      </c>
      <c r="F180" s="164" t="s">
        <v>232</v>
      </c>
      <c r="G180" s="165" t="s">
        <v>233</v>
      </c>
      <c r="H180" s="73"/>
      <c r="I180" s="351" t="s">
        <v>234</v>
      </c>
      <c r="J180" s="151"/>
      <c r="K180" s="73"/>
      <c r="L180" s="73"/>
      <c r="M180" s="74"/>
      <c r="O180" s="170"/>
      <c r="P180" s="171" t="s">
        <v>173</v>
      </c>
      <c r="Q180" s="145">
        <v>28</v>
      </c>
      <c r="R180" s="6"/>
      <c r="S180" s="6"/>
      <c r="T180" s="171" t="s">
        <v>173</v>
      </c>
      <c r="U180" s="145">
        <v>32</v>
      </c>
      <c r="V180" s="6"/>
      <c r="W180" s="6"/>
      <c r="X180" s="6"/>
      <c r="Y180" s="36"/>
    </row>
    <row r="181" spans="1:25" ht="14.1" customHeight="1">
      <c r="A181" s="21">
        <v>37</v>
      </c>
      <c r="B181" s="72"/>
      <c r="C181" s="73"/>
      <c r="D181" s="187" t="str">
        <f>IF(P175="","",P175)</f>
        <v/>
      </c>
      <c r="E181" s="187" t="str">
        <f>IF(Q175="","",Q175)</f>
        <v/>
      </c>
      <c r="F181" s="187" t="str">
        <f>IF(R175="","",R175)</f>
        <v/>
      </c>
      <c r="G181" s="188" t="str">
        <f>IF(S175="","",S175)</f>
        <v/>
      </c>
      <c r="H181" s="73"/>
      <c r="I181" s="189" t="str">
        <f>IF(U175="","",U175)</f>
        <v>TBD</v>
      </c>
      <c r="J181" s="417"/>
      <c r="K181" s="73"/>
      <c r="L181" s="73"/>
      <c r="M181" s="74"/>
      <c r="O181" s="170"/>
      <c r="P181" s="171" t="s">
        <v>219</v>
      </c>
      <c r="Q181" s="145">
        <v>50</v>
      </c>
      <c r="R181" s="6"/>
      <c r="S181" s="6"/>
      <c r="T181" s="171" t="s">
        <v>219</v>
      </c>
      <c r="U181" s="145">
        <v>71</v>
      </c>
      <c r="V181" s="6"/>
      <c r="W181" s="6"/>
      <c r="X181" s="6"/>
      <c r="Y181" s="36"/>
    </row>
    <row r="182" spans="1:25" ht="14.1" customHeight="1">
      <c r="A182" s="21">
        <v>38</v>
      </c>
      <c r="B182" s="72"/>
      <c r="C182" s="73"/>
      <c r="D182" s="5" t="s">
        <v>204</v>
      </c>
      <c r="E182" s="109" t="s">
        <v>253</v>
      </c>
      <c r="F182" s="73"/>
      <c r="G182" s="73"/>
      <c r="H182" s="73"/>
      <c r="I182" s="73"/>
      <c r="J182" s="73"/>
      <c r="K182" s="73"/>
      <c r="L182" s="73"/>
      <c r="M182" s="74"/>
      <c r="O182" s="34"/>
      <c r="P182" s="73"/>
      <c r="Q182" s="762" t="s">
        <v>240</v>
      </c>
      <c r="R182" s="762"/>
      <c r="S182" s="762"/>
      <c r="T182" s="6"/>
      <c r="U182" s="762" t="s">
        <v>240</v>
      </c>
      <c r="V182" s="762"/>
      <c r="W182" s="762"/>
      <c r="X182" s="6"/>
      <c r="Y182" s="36"/>
    </row>
    <row r="183" spans="1:25" ht="14.1" customHeight="1" thickBot="1">
      <c r="A183" s="21">
        <v>39</v>
      </c>
      <c r="B183" s="168"/>
      <c r="C183" s="45"/>
      <c r="D183" s="45"/>
      <c r="E183" s="45"/>
      <c r="F183" s="45"/>
      <c r="G183" s="45"/>
      <c r="H183" s="45"/>
      <c r="I183" s="45"/>
      <c r="J183" s="45"/>
      <c r="K183" s="45"/>
      <c r="L183" s="45"/>
      <c r="M183" s="169"/>
      <c r="O183" s="34"/>
      <c r="P183" s="73"/>
      <c r="Q183" s="14" t="s">
        <v>241</v>
      </c>
      <c r="R183" s="14" t="s">
        <v>242</v>
      </c>
      <c r="S183" s="115" t="s">
        <v>243</v>
      </c>
      <c r="T183" s="6"/>
      <c r="U183" s="14" t="s">
        <v>241</v>
      </c>
      <c r="V183" s="14" t="s">
        <v>242</v>
      </c>
      <c r="W183" s="115" t="s">
        <v>243</v>
      </c>
      <c r="X183" s="6"/>
      <c r="Y183" s="36"/>
    </row>
    <row r="184" spans="1:25" ht="14.1" customHeight="1">
      <c r="A184" s="21">
        <v>40</v>
      </c>
      <c r="B184" s="612"/>
      <c r="C184" s="68" t="s">
        <v>236</v>
      </c>
      <c r="D184" s="27"/>
      <c r="E184" s="27"/>
      <c r="F184" s="27"/>
      <c r="G184" s="68"/>
      <c r="H184" s="68" t="s">
        <v>252</v>
      </c>
      <c r="I184" s="27"/>
      <c r="J184" s="27"/>
      <c r="K184" s="27"/>
      <c r="L184" s="27"/>
      <c r="M184" s="527"/>
      <c r="O184" s="170"/>
      <c r="P184" s="171" t="s">
        <v>244</v>
      </c>
      <c r="Q184" s="172"/>
      <c r="R184" s="173"/>
      <c r="S184" s="174"/>
      <c r="T184" s="6"/>
      <c r="U184" s="172"/>
      <c r="V184" s="173"/>
      <c r="W184" s="174"/>
      <c r="X184" s="6"/>
      <c r="Y184" s="36"/>
    </row>
    <row r="185" spans="1:25" ht="14.1" customHeight="1" thickBot="1">
      <c r="A185" s="21">
        <v>41</v>
      </c>
      <c r="B185" s="72"/>
      <c r="C185" s="171" t="s">
        <v>95</v>
      </c>
      <c r="D185" s="115" t="str">
        <f>IF(Q179="","",Q179)</f>
        <v>Mo/Mo</v>
      </c>
      <c r="E185" s="73"/>
      <c r="F185" s="73"/>
      <c r="G185" s="73"/>
      <c r="H185" s="171" t="s">
        <v>95</v>
      </c>
      <c r="I185" s="115" t="str">
        <f>IF(Q194="","",Q194)</f>
        <v>Mo/Mo</v>
      </c>
      <c r="J185" s="73"/>
      <c r="K185" s="171" t="s">
        <v>95</v>
      </c>
      <c r="L185" s="115" t="str">
        <f>IF(U194="","",U194)</f>
        <v>W/Rh</v>
      </c>
      <c r="M185" s="74"/>
      <c r="O185" s="170"/>
      <c r="P185" s="171" t="s">
        <v>245</v>
      </c>
      <c r="Q185" s="175"/>
      <c r="R185" s="176"/>
      <c r="S185" s="177"/>
      <c r="T185" s="6"/>
      <c r="U185" s="175"/>
      <c r="V185" s="176"/>
      <c r="W185" s="177"/>
      <c r="X185" s="6"/>
      <c r="Y185" s="36"/>
    </row>
    <row r="186" spans="1:25" ht="14.1" customHeight="1">
      <c r="A186" s="21">
        <v>42</v>
      </c>
      <c r="B186" s="72"/>
      <c r="C186" s="115"/>
      <c r="D186" s="774" t="s">
        <v>240</v>
      </c>
      <c r="E186" s="775"/>
      <c r="F186" s="776"/>
      <c r="G186" s="171"/>
      <c r="H186" s="774" t="s">
        <v>240</v>
      </c>
      <c r="I186" s="775"/>
      <c r="J186" s="776"/>
      <c r="K186" s="774" t="s">
        <v>240</v>
      </c>
      <c r="L186" s="775"/>
      <c r="M186" s="777"/>
      <c r="O186" s="170"/>
      <c r="P186" s="171" t="s">
        <v>246</v>
      </c>
      <c r="Q186" s="175"/>
      <c r="R186" s="176"/>
      <c r="S186" s="177"/>
      <c r="T186" s="6"/>
      <c r="U186" s="175"/>
      <c r="V186" s="176"/>
      <c r="W186" s="177"/>
      <c r="X186" s="6"/>
      <c r="Y186" s="36"/>
    </row>
    <row r="187" spans="1:25" ht="14.1" customHeight="1" thickBot="1">
      <c r="A187" s="21">
        <v>43</v>
      </c>
      <c r="B187" s="72"/>
      <c r="C187" s="378"/>
      <c r="D187" s="384" t="s">
        <v>241</v>
      </c>
      <c r="E187" s="323" t="s">
        <v>242</v>
      </c>
      <c r="F187" s="385" t="s">
        <v>243</v>
      </c>
      <c r="G187" s="115"/>
      <c r="H187" s="384" t="s">
        <v>241</v>
      </c>
      <c r="I187" s="323" t="s">
        <v>242</v>
      </c>
      <c r="J187" s="385" t="s">
        <v>243</v>
      </c>
      <c r="K187" s="384" t="s">
        <v>241</v>
      </c>
      <c r="L187" s="323" t="s">
        <v>242</v>
      </c>
      <c r="M187" s="613" t="s">
        <v>243</v>
      </c>
      <c r="O187" s="170"/>
      <c r="P187" s="171" t="s">
        <v>247</v>
      </c>
      <c r="Q187" s="179"/>
      <c r="R187" s="180"/>
      <c r="S187" s="181"/>
      <c r="T187" s="6"/>
      <c r="U187" s="179"/>
      <c r="V187" s="180"/>
      <c r="W187" s="181"/>
      <c r="Y187" s="36"/>
    </row>
    <row r="188" spans="1:25" ht="14.1" customHeight="1">
      <c r="A188" s="21">
        <v>44</v>
      </c>
      <c r="B188" s="72"/>
      <c r="C188" s="171" t="s">
        <v>244</v>
      </c>
      <c r="D188" s="395" t="str">
        <f>IF(Q184="","",Q184)</f>
        <v/>
      </c>
      <c r="E188" s="352" t="str">
        <f t="shared" ref="E188:F188" si="15">IF(R184="","",R184)</f>
        <v/>
      </c>
      <c r="F188" s="396" t="str">
        <f t="shared" si="15"/>
        <v/>
      </c>
      <c r="G188" s="394" t="s">
        <v>244</v>
      </c>
      <c r="H188" s="386" t="str">
        <f>IF(Q199="","",Q199)</f>
        <v/>
      </c>
      <c r="I188" s="382" t="str">
        <f t="shared" ref="I188:J195" si="16">IF(R199="","",R199)</f>
        <v/>
      </c>
      <c r="J188" s="387" t="str">
        <f t="shared" si="16"/>
        <v/>
      </c>
      <c r="K188" s="391" t="str">
        <f>IF(U199="","",U199)</f>
        <v/>
      </c>
      <c r="L188" s="381" t="str">
        <f t="shared" ref="L188:M195" si="17">IF(V199="","",V199)</f>
        <v/>
      </c>
      <c r="M188" s="614" t="str">
        <f t="shared" si="17"/>
        <v/>
      </c>
      <c r="O188" s="170"/>
      <c r="P188" s="171" t="s">
        <v>248</v>
      </c>
      <c r="Q188" s="213" t="str">
        <f>IF(OR(Q184="",Q185=""),"",ABS(Q184)+ABS(Q185))</f>
        <v/>
      </c>
      <c r="R188" s="214" t="str">
        <f>IF(OR(R184="",R185=""),"",ABS(R184)+ABS(R185))</f>
        <v/>
      </c>
      <c r="S188" s="185" t="str">
        <f>IF(OR(S184="",S185=""),"",ABS(S184)+ABS(S185))</f>
        <v/>
      </c>
      <c r="U188" s="213" t="str">
        <f>IF(OR(U184="",U185=""),"",ABS(U184)+ABS(U185))</f>
        <v/>
      </c>
      <c r="V188" s="214" t="str">
        <f>IF(OR(V184="",V185=""),"",ABS(V184)+ABS(V185))</f>
        <v/>
      </c>
      <c r="W188" s="185" t="str">
        <f>IF(OR(W184="",W185=""),"",ABS(W184)+ABS(W185))</f>
        <v/>
      </c>
      <c r="Y188" s="36"/>
    </row>
    <row r="189" spans="1:25" ht="14.1" customHeight="1" thickBot="1">
      <c r="A189" s="21">
        <v>45</v>
      </c>
      <c r="B189" s="72"/>
      <c r="C189" s="171" t="s">
        <v>245</v>
      </c>
      <c r="D189" s="395" t="str">
        <f t="shared" ref="D189:F193" si="18">IF(Q185="","",Q185)</f>
        <v/>
      </c>
      <c r="E189" s="352" t="str">
        <f t="shared" si="18"/>
        <v/>
      </c>
      <c r="F189" s="396" t="str">
        <f t="shared" si="18"/>
        <v/>
      </c>
      <c r="G189" s="394" t="s">
        <v>245</v>
      </c>
      <c r="H189" s="386" t="str">
        <f t="shared" ref="H189:H195" si="19">IF(Q200="","",Q200)</f>
        <v/>
      </c>
      <c r="I189" s="382" t="str">
        <f t="shared" si="16"/>
        <v/>
      </c>
      <c r="J189" s="387" t="str">
        <f t="shared" si="16"/>
        <v/>
      </c>
      <c r="K189" s="391" t="str">
        <f t="shared" ref="K189:K195" si="20">IF(U200="","",U200)</f>
        <v/>
      </c>
      <c r="L189" s="381" t="str">
        <f t="shared" si="17"/>
        <v/>
      </c>
      <c r="M189" s="614" t="str">
        <f t="shared" si="17"/>
        <v/>
      </c>
      <c r="O189" s="170"/>
      <c r="P189" s="171" t="s">
        <v>249</v>
      </c>
      <c r="Q189" s="216" t="str">
        <f>IF(OR(Q186="",Q187=""),"",ABS(Q186)+ABS(Q187))</f>
        <v/>
      </c>
      <c r="R189" s="217" t="str">
        <f>IF(OR(R186="",R187=""),"",ABS(R186)+ABS(R187))</f>
        <v/>
      </c>
      <c r="S189" s="186" t="str">
        <f>IF(OR(S186="",S187=""),"",ABS(S186)+ABS(S187))</f>
        <v/>
      </c>
      <c r="U189" s="216" t="str">
        <f>IF(OR(U186="",U187=""),"",ABS(U186)+ABS(U187))</f>
        <v/>
      </c>
      <c r="V189" s="217" t="str">
        <f>IF(OR(V186="",V187=""),"",ABS(V186)+ABS(V187))</f>
        <v/>
      </c>
      <c r="W189" s="186" t="str">
        <f>IF(OR(W186="",W187=""),"",ABS(W186)+ABS(W187))</f>
        <v/>
      </c>
      <c r="Y189" s="36"/>
    </row>
    <row r="190" spans="1:25" ht="14.1" customHeight="1">
      <c r="A190" s="21">
        <v>46</v>
      </c>
      <c r="B190" s="72"/>
      <c r="C190" s="171" t="s">
        <v>246</v>
      </c>
      <c r="D190" s="395" t="str">
        <f t="shared" si="18"/>
        <v/>
      </c>
      <c r="E190" s="352" t="str">
        <f t="shared" si="18"/>
        <v/>
      </c>
      <c r="F190" s="396" t="str">
        <f t="shared" si="18"/>
        <v/>
      </c>
      <c r="G190" s="394" t="s">
        <v>246</v>
      </c>
      <c r="H190" s="386" t="str">
        <f t="shared" si="19"/>
        <v/>
      </c>
      <c r="I190" s="382" t="str">
        <f t="shared" si="16"/>
        <v/>
      </c>
      <c r="J190" s="387" t="str">
        <f t="shared" si="16"/>
        <v/>
      </c>
      <c r="K190" s="391" t="str">
        <f t="shared" si="20"/>
        <v/>
      </c>
      <c r="L190" s="381" t="str">
        <f t="shared" si="17"/>
        <v/>
      </c>
      <c r="M190" s="614" t="str">
        <f t="shared" si="17"/>
        <v/>
      </c>
      <c r="O190" s="34"/>
      <c r="P190" s="121" t="s">
        <v>204</v>
      </c>
      <c r="Q190" s="146" t="s">
        <v>250</v>
      </c>
      <c r="R190" s="6"/>
      <c r="X190" s="6"/>
      <c r="Y190" s="36"/>
    </row>
    <row r="191" spans="1:25" ht="14.1" customHeight="1" thickBot="1">
      <c r="A191" s="21">
        <v>47</v>
      </c>
      <c r="B191" s="72"/>
      <c r="C191" s="171" t="s">
        <v>247</v>
      </c>
      <c r="D191" s="397" t="str">
        <f t="shared" si="18"/>
        <v/>
      </c>
      <c r="E191" s="398" t="str">
        <f t="shared" si="18"/>
        <v/>
      </c>
      <c r="F191" s="399" t="str">
        <f t="shared" si="18"/>
        <v/>
      </c>
      <c r="G191" s="394" t="s">
        <v>247</v>
      </c>
      <c r="H191" s="388" t="str">
        <f t="shared" si="19"/>
        <v/>
      </c>
      <c r="I191" s="389" t="str">
        <f t="shared" si="16"/>
        <v/>
      </c>
      <c r="J191" s="390" t="str">
        <f t="shared" si="16"/>
        <v/>
      </c>
      <c r="K191" s="392" t="str">
        <f t="shared" si="20"/>
        <v/>
      </c>
      <c r="L191" s="393" t="str">
        <f t="shared" si="17"/>
        <v/>
      </c>
      <c r="M191" s="615" t="str">
        <f t="shared" si="17"/>
        <v/>
      </c>
      <c r="O191" s="34"/>
      <c r="P191" s="31"/>
      <c r="Q191" s="146" t="s">
        <v>251</v>
      </c>
      <c r="R191" s="6"/>
      <c r="S191" s="6"/>
      <c r="T191" s="6"/>
      <c r="U191" s="6"/>
      <c r="V191" s="6"/>
      <c r="W191" s="6"/>
      <c r="X191" s="6"/>
      <c r="Y191" s="36"/>
    </row>
    <row r="192" spans="1:25" ht="14.1" customHeight="1">
      <c r="A192" s="21">
        <v>48</v>
      </c>
      <c r="B192" s="72"/>
      <c r="C192" s="171" t="s">
        <v>248</v>
      </c>
      <c r="D192" s="405" t="str">
        <f t="shared" si="18"/>
        <v/>
      </c>
      <c r="E192" s="406" t="str">
        <f t="shared" si="18"/>
        <v/>
      </c>
      <c r="F192" s="407" t="str">
        <f t="shared" si="18"/>
        <v/>
      </c>
      <c r="G192" s="394" t="s">
        <v>248</v>
      </c>
      <c r="H192" s="411" t="str">
        <f t="shared" si="19"/>
        <v/>
      </c>
      <c r="I192" s="412" t="str">
        <f t="shared" si="16"/>
        <v/>
      </c>
      <c r="J192" s="413" t="str">
        <f t="shared" si="16"/>
        <v/>
      </c>
      <c r="K192" s="408" t="str">
        <f t="shared" si="20"/>
        <v/>
      </c>
      <c r="L192" s="409" t="str">
        <f t="shared" si="17"/>
        <v/>
      </c>
      <c r="M192" s="616" t="str">
        <f t="shared" si="17"/>
        <v/>
      </c>
      <c r="O192" s="34"/>
      <c r="P192" s="6"/>
      <c r="Q192" s="6"/>
      <c r="R192" s="6"/>
      <c r="S192" s="6"/>
      <c r="T192" s="6"/>
      <c r="U192" s="6"/>
      <c r="V192" s="6"/>
      <c r="W192" s="6"/>
      <c r="Y192" s="36"/>
    </row>
    <row r="193" spans="1:29" ht="14.1" customHeight="1" thickBot="1">
      <c r="A193" s="21">
        <v>49</v>
      </c>
      <c r="B193" s="72"/>
      <c r="C193" s="171" t="s">
        <v>249</v>
      </c>
      <c r="D193" s="397" t="str">
        <f t="shared" si="18"/>
        <v/>
      </c>
      <c r="E193" s="398" t="str">
        <f t="shared" si="18"/>
        <v/>
      </c>
      <c r="F193" s="399" t="str">
        <f t="shared" si="18"/>
        <v/>
      </c>
      <c r="G193" s="383" t="s">
        <v>249</v>
      </c>
      <c r="H193" s="388" t="str">
        <f t="shared" si="19"/>
        <v/>
      </c>
      <c r="I193" s="389" t="str">
        <f t="shared" si="16"/>
        <v/>
      </c>
      <c r="J193" s="390" t="str">
        <f t="shared" si="16"/>
        <v/>
      </c>
      <c r="K193" s="392" t="str">
        <f t="shared" si="20"/>
        <v/>
      </c>
      <c r="L193" s="393" t="str">
        <f t="shared" si="17"/>
        <v/>
      </c>
      <c r="M193" s="615" t="str">
        <f t="shared" si="17"/>
        <v/>
      </c>
      <c r="O193" s="147" t="s">
        <v>252</v>
      </c>
      <c r="Y193" s="36"/>
    </row>
    <row r="194" spans="1:29" ht="14.1" customHeight="1" thickBot="1">
      <c r="A194" s="21">
        <v>50</v>
      </c>
      <c r="B194" s="72"/>
      <c r="C194" s="171" t="s">
        <v>95</v>
      </c>
      <c r="D194" s="115" t="str">
        <f>IF(U179="","",U179)</f>
        <v>W/Rh</v>
      </c>
      <c r="E194" s="73"/>
      <c r="F194" s="73"/>
      <c r="G194" s="394" t="s">
        <v>257</v>
      </c>
      <c r="H194" s="411" t="str">
        <f t="shared" si="19"/>
        <v/>
      </c>
      <c r="I194" s="412" t="str">
        <f t="shared" si="16"/>
        <v/>
      </c>
      <c r="J194" s="413" t="str">
        <f t="shared" si="16"/>
        <v/>
      </c>
      <c r="K194" s="408" t="str">
        <f t="shared" si="20"/>
        <v/>
      </c>
      <c r="L194" s="409" t="str">
        <f t="shared" si="17"/>
        <v/>
      </c>
      <c r="M194" s="616" t="str">
        <f t="shared" si="17"/>
        <v/>
      </c>
      <c r="O194" s="170"/>
      <c r="P194" s="171" t="s">
        <v>95</v>
      </c>
      <c r="Q194" s="145" t="s">
        <v>237</v>
      </c>
      <c r="T194" s="171" t="s">
        <v>95</v>
      </c>
      <c r="U194" s="145" t="s">
        <v>238</v>
      </c>
      <c r="V194" s="6"/>
      <c r="X194" s="6"/>
      <c r="Y194" s="36"/>
    </row>
    <row r="195" spans="1:29" ht="14.1" customHeight="1" thickBot="1">
      <c r="A195" s="21">
        <v>51</v>
      </c>
      <c r="B195" s="72"/>
      <c r="C195" s="171" t="s">
        <v>244</v>
      </c>
      <c r="D195" s="400" t="str">
        <f>IF(U184="","",U184)</f>
        <v/>
      </c>
      <c r="E195" s="401" t="str">
        <f t="shared" ref="E195:F200" si="21">IF(V184="","",V184)</f>
        <v/>
      </c>
      <c r="F195" s="402" t="str">
        <f t="shared" si="21"/>
        <v/>
      </c>
      <c r="G195" s="394" t="s">
        <v>258</v>
      </c>
      <c r="H195" s="388" t="str">
        <f t="shared" si="19"/>
        <v/>
      </c>
      <c r="I195" s="389" t="str">
        <f t="shared" si="16"/>
        <v/>
      </c>
      <c r="J195" s="390" t="str">
        <f t="shared" si="16"/>
        <v/>
      </c>
      <c r="K195" s="392" t="str">
        <f t="shared" si="20"/>
        <v/>
      </c>
      <c r="L195" s="393" t="str">
        <f t="shared" si="17"/>
        <v/>
      </c>
      <c r="M195" s="615" t="str">
        <f t="shared" si="17"/>
        <v/>
      </c>
      <c r="O195" s="170"/>
      <c r="P195" s="171" t="s">
        <v>173</v>
      </c>
      <c r="Q195" s="145">
        <v>28</v>
      </c>
      <c r="R195" s="6"/>
      <c r="S195" s="6"/>
      <c r="T195" s="171" t="s">
        <v>173</v>
      </c>
      <c r="U195" s="145">
        <v>32</v>
      </c>
      <c r="V195" s="6"/>
      <c r="W195" s="6"/>
      <c r="X195" s="6"/>
      <c r="Y195" s="36"/>
    </row>
    <row r="196" spans="1:29" ht="14.1" customHeight="1">
      <c r="A196" s="21">
        <v>52</v>
      </c>
      <c r="B196" s="72"/>
      <c r="C196" s="171" t="s">
        <v>245</v>
      </c>
      <c r="D196" s="391" t="str">
        <f t="shared" ref="D196:D200" si="22">IF(U185="","",U185)</f>
        <v/>
      </c>
      <c r="E196" s="381" t="str">
        <f t="shared" si="21"/>
        <v/>
      </c>
      <c r="F196" s="403" t="str">
        <f t="shared" si="21"/>
        <v/>
      </c>
      <c r="G196" s="73"/>
      <c r="H196" s="380" t="str">
        <f>IF(MAX(D192:F193,D199:F200)&gt;13,"Fail","Pass")</f>
        <v>Pass</v>
      </c>
      <c r="I196" s="73" t="s">
        <v>544</v>
      </c>
      <c r="J196" s="73"/>
      <c r="K196" s="73"/>
      <c r="L196" s="73"/>
      <c r="M196" s="74"/>
      <c r="O196" s="170"/>
      <c r="P196" s="171" t="s">
        <v>219</v>
      </c>
      <c r="Q196" s="145">
        <v>50</v>
      </c>
      <c r="R196" s="6"/>
      <c r="S196" s="6"/>
      <c r="T196" s="171" t="s">
        <v>219</v>
      </c>
      <c r="U196" s="145">
        <v>71</v>
      </c>
      <c r="V196" s="6"/>
      <c r="W196" s="6"/>
      <c r="X196" s="6"/>
      <c r="Y196" s="36"/>
    </row>
    <row r="197" spans="1:29" ht="14.1" customHeight="1">
      <c r="A197" s="21">
        <v>53</v>
      </c>
      <c r="B197" s="72"/>
      <c r="C197" s="171" t="s">
        <v>246</v>
      </c>
      <c r="D197" s="391" t="str">
        <f t="shared" si="22"/>
        <v/>
      </c>
      <c r="E197" s="381" t="str">
        <f t="shared" si="21"/>
        <v/>
      </c>
      <c r="F197" s="403" t="str">
        <f t="shared" si="21"/>
        <v/>
      </c>
      <c r="G197" s="73"/>
      <c r="H197" s="380" t="str">
        <f>IF(MAX(H192:M193)&gt;13,"Fail","Pass")</f>
        <v>Pass</v>
      </c>
      <c r="I197" s="73" t="s">
        <v>545</v>
      </c>
      <c r="J197" s="73"/>
      <c r="K197" s="73"/>
      <c r="L197" s="73"/>
      <c r="M197" s="74"/>
      <c r="O197" s="34"/>
      <c r="P197" s="73"/>
      <c r="Q197" s="762" t="s">
        <v>240</v>
      </c>
      <c r="R197" s="762"/>
      <c r="S197" s="762"/>
      <c r="T197" s="6"/>
      <c r="U197" s="762" t="s">
        <v>240</v>
      </c>
      <c r="V197" s="762"/>
      <c r="W197" s="762"/>
      <c r="X197" s="6"/>
      <c r="Y197" s="36"/>
    </row>
    <row r="198" spans="1:29" ht="14.1" customHeight="1" thickBot="1">
      <c r="A198" s="21">
        <v>54</v>
      </c>
      <c r="B198" s="72"/>
      <c r="C198" s="171" t="s">
        <v>247</v>
      </c>
      <c r="D198" s="392" t="str">
        <f t="shared" si="22"/>
        <v/>
      </c>
      <c r="E198" s="393" t="str">
        <f t="shared" si="21"/>
        <v/>
      </c>
      <c r="F198" s="404" t="str">
        <f t="shared" si="21"/>
        <v/>
      </c>
      <c r="G198" s="73"/>
      <c r="H198" s="380" t="str">
        <f>IF(OR(MAX(H194:M194)&gt;6.5,MAX(H195:M195)&gt;5),"Fail","Pass")</f>
        <v>Pass</v>
      </c>
      <c r="I198" s="73" t="s">
        <v>546</v>
      </c>
      <c r="J198" s="73"/>
      <c r="K198" s="73"/>
      <c r="L198" s="73"/>
      <c r="M198" s="74"/>
      <c r="O198" s="34"/>
      <c r="P198" s="73"/>
      <c r="Q198" s="14" t="s">
        <v>241</v>
      </c>
      <c r="R198" s="14" t="s">
        <v>242</v>
      </c>
      <c r="S198" s="115" t="s">
        <v>243</v>
      </c>
      <c r="T198" s="6"/>
      <c r="U198" s="14" t="s">
        <v>241</v>
      </c>
      <c r="V198" s="14" t="s">
        <v>242</v>
      </c>
      <c r="W198" s="115" t="s">
        <v>243</v>
      </c>
      <c r="X198" s="6"/>
      <c r="Y198" s="36"/>
    </row>
    <row r="199" spans="1:29" ht="14.1" customHeight="1">
      <c r="A199" s="21">
        <v>55</v>
      </c>
      <c r="B199" s="72"/>
      <c r="C199" s="171" t="s">
        <v>248</v>
      </c>
      <c r="D199" s="408" t="str">
        <f t="shared" si="22"/>
        <v/>
      </c>
      <c r="E199" s="409" t="str">
        <f t="shared" si="21"/>
        <v/>
      </c>
      <c r="F199" s="410" t="str">
        <f t="shared" si="21"/>
        <v/>
      </c>
      <c r="G199" s="5" t="s">
        <v>204</v>
      </c>
      <c r="H199" s="109" t="s">
        <v>250</v>
      </c>
      <c r="I199" s="73"/>
      <c r="J199" s="73"/>
      <c r="K199" s="73"/>
      <c r="L199" s="73"/>
      <c r="M199" s="74"/>
      <c r="O199" s="170"/>
      <c r="P199" s="171" t="s">
        <v>244</v>
      </c>
      <c r="Q199" s="172"/>
      <c r="R199" s="173"/>
      <c r="S199" s="174"/>
      <c r="T199" s="6"/>
      <c r="U199" s="172"/>
      <c r="V199" s="173"/>
      <c r="W199" s="174"/>
      <c r="X199" s="6"/>
      <c r="Y199" s="36"/>
    </row>
    <row r="200" spans="1:29" ht="14.1" customHeight="1" thickBot="1">
      <c r="A200" s="21">
        <v>56</v>
      </c>
      <c r="B200" s="72"/>
      <c r="C200" s="171" t="s">
        <v>249</v>
      </c>
      <c r="D200" s="392" t="str">
        <f t="shared" si="22"/>
        <v/>
      </c>
      <c r="E200" s="393" t="str">
        <f t="shared" si="21"/>
        <v/>
      </c>
      <c r="F200" s="404" t="str">
        <f t="shared" si="21"/>
        <v/>
      </c>
      <c r="G200" s="418"/>
      <c r="H200" s="109" t="s">
        <v>251</v>
      </c>
      <c r="I200" s="73"/>
      <c r="J200" s="73"/>
      <c r="K200" s="73"/>
      <c r="L200" s="73"/>
      <c r="M200" s="74"/>
      <c r="O200" s="170"/>
      <c r="P200" s="171" t="s">
        <v>245</v>
      </c>
      <c r="Q200" s="175"/>
      <c r="R200" s="176"/>
      <c r="S200" s="177"/>
      <c r="T200" s="6"/>
      <c r="U200" s="175"/>
      <c r="V200" s="176"/>
      <c r="W200" s="177"/>
      <c r="X200" s="6"/>
      <c r="Y200" s="36"/>
    </row>
    <row r="201" spans="1:29" ht="14.1" customHeight="1">
      <c r="A201" s="21">
        <v>57</v>
      </c>
      <c r="B201" s="72"/>
      <c r="C201" s="73"/>
      <c r="D201" s="73"/>
      <c r="E201" s="202"/>
      <c r="F201" s="73"/>
      <c r="G201" s="5"/>
      <c r="H201" s="109" t="s">
        <v>259</v>
      </c>
      <c r="I201" s="73"/>
      <c r="J201" s="73"/>
      <c r="K201" s="73"/>
      <c r="L201" s="73"/>
      <c r="M201" s="74"/>
      <c r="O201" s="170"/>
      <c r="P201" s="171" t="s">
        <v>246</v>
      </c>
      <c r="Q201" s="175"/>
      <c r="R201" s="176"/>
      <c r="S201" s="177"/>
      <c r="T201" s="6"/>
      <c r="U201" s="175"/>
      <c r="V201" s="176"/>
      <c r="W201" s="177"/>
      <c r="X201" s="73"/>
      <c r="Y201" s="36"/>
    </row>
    <row r="202" spans="1:29" ht="14.1" customHeight="1" thickBot="1">
      <c r="A202" s="21">
        <v>58</v>
      </c>
      <c r="B202" s="419"/>
      <c r="C202" s="420"/>
      <c r="D202" s="420"/>
      <c r="E202" s="420"/>
      <c r="F202" s="420"/>
      <c r="G202" s="414"/>
      <c r="H202" s="415" t="s">
        <v>260</v>
      </c>
      <c r="I202" s="420"/>
      <c r="J202" s="420"/>
      <c r="K202" s="420"/>
      <c r="L202" s="420"/>
      <c r="M202" s="421"/>
      <c r="O202" s="170"/>
      <c r="P202" s="171" t="s">
        <v>247</v>
      </c>
      <c r="Q202" s="179"/>
      <c r="R202" s="180"/>
      <c r="S202" s="181"/>
      <c r="T202" s="6"/>
      <c r="U202" s="179"/>
      <c r="V202" s="180"/>
      <c r="W202" s="181"/>
      <c r="X202" s="73"/>
      <c r="Y202" s="36"/>
    </row>
    <row r="203" spans="1:29" ht="14.1" customHeight="1" thickBot="1">
      <c r="A203" s="21">
        <v>59</v>
      </c>
      <c r="B203" s="72"/>
      <c r="C203" s="154" t="s">
        <v>261</v>
      </c>
      <c r="D203" s="73"/>
      <c r="E203" s="73"/>
      <c r="F203" s="73"/>
      <c r="G203" s="73"/>
      <c r="H203" s="73"/>
      <c r="I203" s="73"/>
      <c r="J203" s="73"/>
      <c r="K203" s="73"/>
      <c r="L203" s="73"/>
      <c r="M203" s="74"/>
      <c r="O203" s="170"/>
      <c r="P203" s="171" t="s">
        <v>248</v>
      </c>
      <c r="Q203" s="213" t="str">
        <f>IF(OR(Q199="",Q200=""),"",ABS(Q199)+ABS(Q200))</f>
        <v/>
      </c>
      <c r="R203" s="214" t="str">
        <f>IF(OR(R199="",R200=""),"",ABS(R199)+ABS(R200))</f>
        <v/>
      </c>
      <c r="S203" s="185" t="str">
        <f>IF(OR(S199="",S200=""),"",ABS(S199)+ABS(S200))</f>
        <v/>
      </c>
      <c r="U203" s="213" t="str">
        <f>IF(OR(U199="",U200=""),"",ABS(U199)+ABS(U200))</f>
        <v/>
      </c>
      <c r="V203" s="214" t="str">
        <f>IF(OR(V199="",V200=""),"",ABS(V199)+ABS(V200))</f>
        <v/>
      </c>
      <c r="W203" s="185" t="str">
        <f>IF(OR(W199="",W200=""),"",ABS(W199)+ABS(W200))</f>
        <v/>
      </c>
      <c r="Y203" s="36"/>
    </row>
    <row r="204" spans="1:29" ht="14.1" customHeight="1" thickBot="1">
      <c r="A204" s="21">
        <v>60</v>
      </c>
      <c r="B204" s="72"/>
      <c r="C204" s="171" t="s">
        <v>51</v>
      </c>
      <c r="D204" s="436" t="str">
        <f t="shared" ref="D204:E207" si="23">IF(Q213="","",Q213)</f>
        <v>Mo/Mo</v>
      </c>
      <c r="E204" s="437" t="str">
        <f t="shared" si="23"/>
        <v>W/Rh</v>
      </c>
      <c r="F204" s="73"/>
      <c r="G204" s="73"/>
      <c r="H204" s="73"/>
      <c r="I204" s="73"/>
      <c r="J204" s="73"/>
      <c r="K204" s="73"/>
      <c r="L204" s="73"/>
      <c r="M204" s="74"/>
      <c r="O204" s="170"/>
      <c r="P204" s="171" t="s">
        <v>249</v>
      </c>
      <c r="Q204" s="216" t="str">
        <f>IF(OR(Q201="",Q202=""),"",ABS(Q201)+ABS(Q202))</f>
        <v/>
      </c>
      <c r="R204" s="217" t="str">
        <f>IF(OR(R201="",R202=""),"",ABS(R201)+ABS(R202))</f>
        <v/>
      </c>
      <c r="S204" s="186" t="str">
        <f>IF(OR(S201="",S202=""),"",ABS(S201)+ABS(S202))</f>
        <v/>
      </c>
      <c r="U204" s="216" t="str">
        <f>IF(OR(U201="",U202=""),"",ABS(U201)+ABS(U202))</f>
        <v/>
      </c>
      <c r="V204" s="217" t="str">
        <f>IF(OR(V201="",V202=""),"",ABS(V201)+ABS(V202))</f>
        <v/>
      </c>
      <c r="W204" s="186" t="str">
        <f>IF(OR(W201="",W202=""),"",ABS(W201)+ABS(W202))</f>
        <v/>
      </c>
      <c r="Y204" s="36"/>
    </row>
    <row r="205" spans="1:29" ht="14.1" customHeight="1" thickBot="1">
      <c r="A205" s="21">
        <v>61</v>
      </c>
      <c r="B205" s="72"/>
      <c r="C205" s="171" t="s">
        <v>173</v>
      </c>
      <c r="D205" s="438" t="str">
        <f t="shared" si="23"/>
        <v/>
      </c>
      <c r="E205" s="439" t="str">
        <f t="shared" si="23"/>
        <v/>
      </c>
      <c r="F205" s="73"/>
      <c r="G205" s="171" t="s">
        <v>218</v>
      </c>
      <c r="H205" s="152" t="str">
        <f>IF(AND(Q217="",R217=""),"",IF(OR(Q217="Fail",R217="Fail"),"Fail","Pass"))</f>
        <v/>
      </c>
      <c r="I205" s="73"/>
      <c r="J205" s="73"/>
      <c r="K205" s="73"/>
      <c r="L205" s="73"/>
      <c r="M205" s="74"/>
      <c r="O205" s="170"/>
      <c r="P205" s="171" t="s">
        <v>256</v>
      </c>
      <c r="Q205" s="172"/>
      <c r="R205" s="173"/>
      <c r="S205" s="174"/>
      <c r="U205" s="172"/>
      <c r="V205" s="173"/>
      <c r="W205" s="174"/>
      <c r="Y205" s="36"/>
    </row>
    <row r="206" spans="1:29" ht="14.1" customHeight="1" thickBot="1">
      <c r="A206" s="21">
        <v>62</v>
      </c>
      <c r="B206" s="72"/>
      <c r="C206" s="171" t="s">
        <v>219</v>
      </c>
      <c r="D206" s="438" t="str">
        <f t="shared" si="23"/>
        <v/>
      </c>
      <c r="E206" s="439" t="str">
        <f t="shared" si="23"/>
        <v/>
      </c>
      <c r="F206" s="73"/>
      <c r="G206" s="5"/>
      <c r="H206" s="202"/>
      <c r="I206" s="73"/>
      <c r="J206" s="73"/>
      <c r="K206" s="73"/>
      <c r="L206" s="73"/>
      <c r="M206" s="74"/>
      <c r="O206" s="195"/>
      <c r="P206" s="171" t="s">
        <v>258</v>
      </c>
      <c r="Q206" s="196"/>
      <c r="R206" s="197"/>
      <c r="S206" s="198"/>
      <c r="U206" s="196"/>
      <c r="V206" s="197"/>
      <c r="W206" s="198"/>
      <c r="Y206" s="36"/>
    </row>
    <row r="207" spans="1:29" ht="14.1" customHeight="1" thickBot="1">
      <c r="A207" s="21">
        <v>63</v>
      </c>
      <c r="B207" s="72"/>
      <c r="C207" s="171" t="s">
        <v>263</v>
      </c>
      <c r="D207" s="440" t="str">
        <f t="shared" si="23"/>
        <v/>
      </c>
      <c r="E207" s="441" t="str">
        <f t="shared" si="23"/>
        <v/>
      </c>
      <c r="F207" s="73"/>
      <c r="G207" s="73"/>
      <c r="H207" s="73"/>
      <c r="I207" s="73"/>
      <c r="J207" s="73"/>
      <c r="K207" s="73"/>
      <c r="L207" s="73"/>
      <c r="M207" s="74"/>
      <c r="O207" s="147"/>
      <c r="P207" s="121" t="s">
        <v>204</v>
      </c>
      <c r="Q207" s="146" t="s">
        <v>250</v>
      </c>
      <c r="R207" s="6"/>
      <c r="Y207" s="36"/>
    </row>
    <row r="208" spans="1:29" ht="14.1" customHeight="1">
      <c r="A208" s="21">
        <v>64</v>
      </c>
      <c r="B208" s="72"/>
      <c r="C208" s="5" t="s">
        <v>204</v>
      </c>
      <c r="D208" s="109" t="str">
        <f>Q218</f>
        <v>Limiting system resolution must be 6 lp/mm or higher</v>
      </c>
      <c r="E208" s="73"/>
      <c r="F208" s="73"/>
      <c r="G208" s="73"/>
      <c r="H208" s="73"/>
      <c r="I208" s="73"/>
      <c r="J208" s="73"/>
      <c r="K208" s="73"/>
      <c r="L208" s="73"/>
      <c r="M208" s="74"/>
      <c r="O208" s="34"/>
      <c r="P208" s="31"/>
      <c r="Q208" s="146" t="s">
        <v>251</v>
      </c>
      <c r="R208" s="6"/>
      <c r="Y208" s="36"/>
      <c r="AA208" s="13"/>
      <c r="AB208" s="13"/>
      <c r="AC208" s="13"/>
    </row>
    <row r="209" spans="1:29" ht="14.1" customHeight="1">
      <c r="A209" s="21">
        <v>65</v>
      </c>
      <c r="B209" s="72"/>
      <c r="C209" s="73"/>
      <c r="D209" s="73"/>
      <c r="E209" s="73"/>
      <c r="F209" s="73"/>
      <c r="G209" s="73"/>
      <c r="H209" s="73"/>
      <c r="I209" s="73"/>
      <c r="J209" s="73"/>
      <c r="K209" s="73"/>
      <c r="L209" s="73"/>
      <c r="M209" s="74"/>
      <c r="O209" s="34"/>
      <c r="P209" s="6"/>
      <c r="Q209" s="200" t="s">
        <v>259</v>
      </c>
      <c r="R209" s="6"/>
      <c r="Y209" s="36"/>
      <c r="AA209" s="13"/>
      <c r="AB209" s="13"/>
      <c r="AC209" s="13"/>
    </row>
    <row r="210" spans="1:29" ht="14.1" customHeight="1">
      <c r="A210" s="21">
        <v>66</v>
      </c>
      <c r="B210" s="72"/>
      <c r="C210" s="73"/>
      <c r="D210" s="73"/>
      <c r="E210" s="73"/>
      <c r="F210" s="73"/>
      <c r="G210" s="73"/>
      <c r="H210" s="73"/>
      <c r="I210" s="73"/>
      <c r="J210" s="73"/>
      <c r="K210" s="73"/>
      <c r="L210" s="73"/>
      <c r="M210" s="74"/>
      <c r="O210" s="34"/>
      <c r="Q210" s="146" t="s">
        <v>260</v>
      </c>
      <c r="R210" s="6"/>
      <c r="Y210" s="36"/>
      <c r="AA210" s="13"/>
      <c r="AB210" s="13"/>
      <c r="AC210" s="13"/>
    </row>
    <row r="211" spans="1:29" ht="14.1" customHeight="1" thickBot="1">
      <c r="A211" s="21">
        <v>67</v>
      </c>
      <c r="B211" s="72"/>
      <c r="C211" s="73"/>
      <c r="D211" s="73"/>
      <c r="E211" s="73"/>
      <c r="F211" s="73"/>
      <c r="G211" s="73"/>
      <c r="H211" s="73"/>
      <c r="I211" s="73"/>
      <c r="J211" s="73"/>
      <c r="K211" s="73"/>
      <c r="L211" s="73"/>
      <c r="M211" s="74"/>
      <c r="O211" s="44"/>
      <c r="P211" s="201"/>
      <c r="Q211" s="201"/>
      <c r="R211" s="45"/>
      <c r="S211" s="45"/>
      <c r="T211" s="45"/>
      <c r="U211" s="45"/>
      <c r="V211" s="45"/>
      <c r="W211" s="45"/>
      <c r="X211" s="45"/>
      <c r="Y211" s="46"/>
      <c r="AA211" s="13"/>
      <c r="AB211" s="13"/>
      <c r="AC211" s="13"/>
    </row>
    <row r="212" spans="1:29" ht="14.1" customHeight="1">
      <c r="A212" s="21">
        <v>68</v>
      </c>
      <c r="B212" s="72"/>
      <c r="C212" s="73"/>
      <c r="D212" s="73"/>
      <c r="E212" s="73"/>
      <c r="F212" s="73"/>
      <c r="G212" s="73"/>
      <c r="H212" s="73"/>
      <c r="I212" s="73"/>
      <c r="J212" s="73"/>
      <c r="K212" s="73"/>
      <c r="L212" s="73"/>
      <c r="M212" s="74"/>
      <c r="O212" s="147" t="s">
        <v>261</v>
      </c>
      <c r="Y212" s="36"/>
      <c r="AA212" s="13"/>
      <c r="AB212" s="13"/>
      <c r="AC212" s="13"/>
    </row>
    <row r="213" spans="1:29" ht="14.1" customHeight="1">
      <c r="A213" s="21">
        <v>69</v>
      </c>
      <c r="B213" s="72"/>
      <c r="C213" s="73"/>
      <c r="D213" s="73"/>
      <c r="E213" s="73"/>
      <c r="F213" s="73"/>
      <c r="G213" s="73"/>
      <c r="H213" s="73"/>
      <c r="I213" s="73"/>
      <c r="J213" s="73"/>
      <c r="K213" s="73"/>
      <c r="L213" s="73"/>
      <c r="M213" s="74"/>
      <c r="O213" s="34"/>
      <c r="P213" s="39" t="s">
        <v>95</v>
      </c>
      <c r="Q213" s="20" t="s">
        <v>237</v>
      </c>
      <c r="R213" s="20" t="s">
        <v>238</v>
      </c>
      <c r="Y213" s="36"/>
      <c r="AA213" s="13"/>
      <c r="AB213" s="13"/>
      <c r="AC213" s="13"/>
    </row>
    <row r="214" spans="1:29" ht="14.1" customHeight="1" thickBot="1">
      <c r="A214" s="21">
        <v>70</v>
      </c>
      <c r="B214" s="85"/>
      <c r="C214" s="86"/>
      <c r="D214" s="86"/>
      <c r="E214" s="86"/>
      <c r="F214" s="86"/>
      <c r="G214" s="86"/>
      <c r="H214" s="86"/>
      <c r="I214" s="86"/>
      <c r="J214" s="86"/>
      <c r="K214" s="86"/>
      <c r="L214" s="86"/>
      <c r="M214" s="87"/>
      <c r="O214" s="34"/>
      <c r="P214" s="39" t="s">
        <v>173</v>
      </c>
      <c r="Q214" s="153"/>
      <c r="R214" s="153"/>
      <c r="Y214" s="36"/>
      <c r="AA214" s="13"/>
      <c r="AB214" s="13"/>
      <c r="AC214" s="13"/>
    </row>
    <row r="215" spans="1:29" ht="14.1" customHeight="1" thickTop="1">
      <c r="A215" s="21">
        <v>71</v>
      </c>
      <c r="C215" s="117" t="s">
        <v>11</v>
      </c>
      <c r="D215" s="422" t="str">
        <f>IF($P$7="","",$P$7)</f>
        <v/>
      </c>
      <c r="E215" s="31"/>
      <c r="F215" s="31"/>
      <c r="G215" s="31"/>
      <c r="H215" s="31"/>
      <c r="I215" s="31"/>
      <c r="J215" s="31"/>
      <c r="K215" s="31"/>
      <c r="L215" s="117" t="s">
        <v>12</v>
      </c>
      <c r="M215" s="423" t="str">
        <f>IF($X$7="","",$X$7)</f>
        <v>Eugene Mah</v>
      </c>
      <c r="O215" s="34"/>
      <c r="P215" s="39" t="s">
        <v>219</v>
      </c>
      <c r="Q215" s="153"/>
      <c r="R215" s="153"/>
      <c r="Y215" s="36"/>
      <c r="AA215" s="13"/>
      <c r="AB215" s="13"/>
      <c r="AC215" s="13"/>
    </row>
    <row r="216" spans="1:29" ht="14.1" customHeight="1">
      <c r="A216" s="21">
        <v>72</v>
      </c>
      <c r="C216" s="117" t="s">
        <v>121</v>
      </c>
      <c r="D216" s="423" t="str">
        <f>IF($R$14="","",$R$14)</f>
        <v/>
      </c>
      <c r="E216" s="31"/>
      <c r="F216" s="31"/>
      <c r="G216" s="31"/>
      <c r="H216" s="31"/>
      <c r="I216" s="31"/>
      <c r="J216" s="31"/>
      <c r="K216" s="31"/>
      <c r="L216" s="117" t="s">
        <v>37</v>
      </c>
      <c r="M216" s="423" t="str">
        <f>IF($R$13="","",$R$13)</f>
        <v/>
      </c>
      <c r="O216" s="34"/>
      <c r="P216" s="39" t="s">
        <v>263</v>
      </c>
      <c r="Q216" s="153"/>
      <c r="R216" s="153"/>
      <c r="Y216" s="36"/>
      <c r="AA216" s="13"/>
      <c r="AB216" s="13"/>
      <c r="AC216" s="13"/>
    </row>
    <row r="217" spans="1:29" ht="14.1" customHeight="1">
      <c r="A217" s="21">
        <v>1</v>
      </c>
      <c r="M217" s="120" t="str">
        <f>$H$2</f>
        <v>Medical University of South Carolina</v>
      </c>
      <c r="O217" s="34"/>
      <c r="P217" s="39" t="s">
        <v>218</v>
      </c>
      <c r="Q217" s="15" t="str">
        <f>IF(Q216="","",IF(Q216&gt;=7,"Pass","Fail"))</f>
        <v/>
      </c>
      <c r="R217" s="15" t="str">
        <f>IF(R216="","",IF(R216&gt;=7,"Pass","Fail"))</f>
        <v/>
      </c>
      <c r="Y217" s="36"/>
    </row>
    <row r="218" spans="1:29" ht="14.1" customHeight="1" thickBot="1">
      <c r="A218" s="21">
        <v>2</v>
      </c>
      <c r="H218" s="55" t="s">
        <v>73</v>
      </c>
      <c r="M218" s="121" t="str">
        <f>$H$5</f>
        <v>Mammography System Compliance Inspection</v>
      </c>
      <c r="O218" s="34"/>
      <c r="P218" s="5" t="s">
        <v>204</v>
      </c>
      <c r="Q218" s="202" t="s">
        <v>264</v>
      </c>
      <c r="R218" s="73"/>
      <c r="S218" s="73"/>
      <c r="T218" s="73"/>
      <c r="U218" s="73"/>
      <c r="V218" s="73"/>
      <c r="W218" s="73"/>
      <c r="X218" s="73"/>
      <c r="Y218" s="36"/>
    </row>
    <row r="219" spans="1:29" ht="14.1" customHeight="1" thickTop="1" thickBot="1">
      <c r="A219" s="21">
        <v>3</v>
      </c>
      <c r="B219" s="63"/>
      <c r="C219" s="65" t="s">
        <v>265</v>
      </c>
      <c r="D219" s="64"/>
      <c r="E219" s="64"/>
      <c r="F219" s="64"/>
      <c r="G219" s="64"/>
      <c r="H219" s="64"/>
      <c r="I219" s="64"/>
      <c r="J219" s="64"/>
      <c r="K219" s="64"/>
      <c r="L219" s="64"/>
      <c r="M219" s="66"/>
      <c r="O219" s="44"/>
      <c r="P219" s="45"/>
      <c r="Q219" s="45"/>
      <c r="R219" s="45"/>
      <c r="S219" s="45"/>
      <c r="T219" s="45"/>
      <c r="U219" s="45"/>
      <c r="V219" s="45"/>
      <c r="W219" s="45"/>
      <c r="X219" s="45"/>
      <c r="Y219" s="46"/>
    </row>
    <row r="220" spans="1:29" ht="14.1" customHeight="1">
      <c r="A220" s="21">
        <v>4</v>
      </c>
      <c r="B220" s="72"/>
      <c r="C220" s="171" t="s">
        <v>266</v>
      </c>
      <c r="D220" s="148" t="str">
        <f>IF(P221="","",P221)</f>
        <v/>
      </c>
      <c r="E220" s="73"/>
      <c r="F220" s="171" t="s">
        <v>267</v>
      </c>
      <c r="G220" s="148" t="str">
        <f>IF(S221="","",S221)</f>
        <v/>
      </c>
      <c r="H220" s="73"/>
      <c r="I220" s="73" t="s">
        <v>95</v>
      </c>
      <c r="J220" s="148" t="str">
        <f>IF(V221="","",V221)</f>
        <v>W/Rh</v>
      </c>
      <c r="K220" s="73"/>
      <c r="L220" s="73"/>
      <c r="M220" s="74"/>
      <c r="O220" s="147" t="s">
        <v>265</v>
      </c>
      <c r="Y220" s="36"/>
    </row>
    <row r="221" spans="1:29" ht="14.1" customHeight="1">
      <c r="A221" s="21">
        <v>5</v>
      </c>
      <c r="B221" s="72"/>
      <c r="C221" s="115" t="s">
        <v>70</v>
      </c>
      <c r="D221" s="73"/>
      <c r="E221" s="73"/>
      <c r="F221" s="73"/>
      <c r="G221" s="73"/>
      <c r="H221" s="115"/>
      <c r="I221" s="73"/>
      <c r="J221" s="378"/>
      <c r="K221" s="73"/>
      <c r="L221" s="73"/>
      <c r="M221" s="74"/>
      <c r="O221" s="34" t="s">
        <v>266</v>
      </c>
      <c r="P221" s="145"/>
      <c r="R221" s="39" t="s">
        <v>267</v>
      </c>
      <c r="S221" s="145"/>
      <c r="U221" s="25" t="s">
        <v>95</v>
      </c>
      <c r="V221" s="145" t="s">
        <v>238</v>
      </c>
      <c r="Y221" s="36"/>
    </row>
    <row r="222" spans="1:29" ht="14.1" customHeight="1" thickBot="1">
      <c r="A222" s="21">
        <v>6</v>
      </c>
      <c r="B222" s="72"/>
      <c r="C222" s="115" t="s">
        <v>268</v>
      </c>
      <c r="D222" s="115" t="s">
        <v>518</v>
      </c>
      <c r="E222" s="115" t="s">
        <v>269</v>
      </c>
      <c r="F222" s="115" t="s">
        <v>72</v>
      </c>
      <c r="G222" s="115" t="s">
        <v>270</v>
      </c>
      <c r="H222" s="115" t="s">
        <v>271</v>
      </c>
      <c r="I222" s="115"/>
      <c r="J222" s="378"/>
      <c r="K222" s="73"/>
      <c r="L222" s="73"/>
      <c r="M222" s="74"/>
      <c r="O222" s="34"/>
      <c r="P222" s="14" t="s">
        <v>70</v>
      </c>
      <c r="U222" s="14"/>
      <c r="W222" s="6"/>
      <c r="Y222" s="36"/>
    </row>
    <row r="223" spans="1:29" ht="14.1" customHeight="1" thickBot="1">
      <c r="A223" s="21">
        <v>7</v>
      </c>
      <c r="B223" s="72"/>
      <c r="C223" s="436">
        <f t="shared" ref="C223:H226" si="24">IF(P224="","",P224)</f>
        <v>2</v>
      </c>
      <c r="D223" s="442" t="str">
        <f t="shared" si="24"/>
        <v/>
      </c>
      <c r="E223" s="442" t="str">
        <f t="shared" si="24"/>
        <v/>
      </c>
      <c r="F223" s="442" t="str">
        <f t="shared" si="24"/>
        <v/>
      </c>
      <c r="G223" s="442" t="str">
        <f t="shared" si="24"/>
        <v/>
      </c>
      <c r="H223" s="443" t="str">
        <f t="shared" si="24"/>
        <v/>
      </c>
      <c r="I223" s="379"/>
      <c r="J223" s="171" t="s">
        <v>272</v>
      </c>
      <c r="K223" s="333" t="str">
        <f>IF(X224="","",X224)</f>
        <v/>
      </c>
      <c r="L223" s="73"/>
      <c r="M223" s="74"/>
      <c r="O223" s="34"/>
      <c r="P223" s="14" t="s">
        <v>268</v>
      </c>
      <c r="Q223" s="14" t="s">
        <v>518</v>
      </c>
      <c r="R223" s="14" t="s">
        <v>269</v>
      </c>
      <c r="S223" s="14" t="s">
        <v>72</v>
      </c>
      <c r="T223" s="14" t="s">
        <v>270</v>
      </c>
      <c r="U223" s="14" t="s">
        <v>271</v>
      </c>
      <c r="V223" s="6"/>
      <c r="W223" s="6"/>
      <c r="Y223" s="36"/>
    </row>
    <row r="224" spans="1:29" ht="14.1" customHeight="1" thickBot="1">
      <c r="A224" s="21">
        <v>8</v>
      </c>
      <c r="B224" s="72"/>
      <c r="C224" s="438">
        <f t="shared" si="24"/>
        <v>4</v>
      </c>
      <c r="D224" s="15" t="str">
        <f t="shared" si="24"/>
        <v/>
      </c>
      <c r="E224" s="15" t="str">
        <f t="shared" si="24"/>
        <v/>
      </c>
      <c r="F224" s="15" t="str">
        <f t="shared" si="24"/>
        <v/>
      </c>
      <c r="G224" s="15" t="str">
        <f t="shared" si="24"/>
        <v/>
      </c>
      <c r="H224" s="444" t="str">
        <f t="shared" si="24"/>
        <v/>
      </c>
      <c r="I224" s="379"/>
      <c r="J224" s="171" t="s">
        <v>273</v>
      </c>
      <c r="K224" s="333" t="str">
        <f>IF(X225="","",X225)</f>
        <v/>
      </c>
      <c r="L224" s="73"/>
      <c r="M224" s="74"/>
      <c r="O224" s="34"/>
      <c r="P224" s="203">
        <v>2</v>
      </c>
      <c r="Q224" s="204"/>
      <c r="R224" s="205"/>
      <c r="S224" s="205"/>
      <c r="T224" s="205"/>
      <c r="U224" s="192" t="str">
        <f>IF(OR(T224="",$X$224=""),"",(T224-$X$224)/$X$224)</f>
        <v/>
      </c>
      <c r="V224" s="6"/>
      <c r="W224" s="39" t="s">
        <v>272</v>
      </c>
      <c r="X224" s="206" t="str">
        <f>IF(T224="","",AVERAGE(T224:T231))</f>
        <v/>
      </c>
      <c r="Y224" s="36"/>
    </row>
    <row r="225" spans="1:27" ht="14.1" customHeight="1" thickBot="1">
      <c r="A225" s="21">
        <v>9</v>
      </c>
      <c r="B225" s="72"/>
      <c r="C225" s="438">
        <f t="shared" si="24"/>
        <v>6</v>
      </c>
      <c r="D225" s="15" t="str">
        <f t="shared" si="24"/>
        <v/>
      </c>
      <c r="E225" s="15" t="str">
        <f t="shared" si="24"/>
        <v/>
      </c>
      <c r="F225" s="15" t="str">
        <f t="shared" si="24"/>
        <v/>
      </c>
      <c r="G225" s="15" t="str">
        <f t="shared" si="24"/>
        <v/>
      </c>
      <c r="H225" s="444" t="str">
        <f t="shared" si="24"/>
        <v/>
      </c>
      <c r="I225" s="379"/>
      <c r="J225" s="171" t="s">
        <v>274</v>
      </c>
      <c r="K225" s="447" t="str">
        <f>IF(X226="","",X226)</f>
        <v/>
      </c>
      <c r="L225" s="73"/>
      <c r="M225" s="74"/>
      <c r="O225" s="34"/>
      <c r="P225" s="207">
        <v>4</v>
      </c>
      <c r="Q225" s="208"/>
      <c r="R225" s="153"/>
      <c r="S225" s="153"/>
      <c r="T225" s="153"/>
      <c r="U225" s="191" t="str">
        <f>IF(OR(T225="",$X$224=""),"",(T225-$X$224)/$X$224)</f>
        <v/>
      </c>
      <c r="V225" s="6"/>
      <c r="W225" s="39" t="s">
        <v>273</v>
      </c>
      <c r="X225" s="206" t="str">
        <f>IF(T224="","",_xlfn.STDEV.S(T224:T227))</f>
        <v/>
      </c>
      <c r="Y225" s="36"/>
    </row>
    <row r="226" spans="1:27" ht="14.1" customHeight="1" thickBot="1">
      <c r="A226" s="21">
        <v>10</v>
      </c>
      <c r="B226" s="72"/>
      <c r="C226" s="440">
        <f t="shared" si="24"/>
        <v>8</v>
      </c>
      <c r="D226" s="445" t="str">
        <f t="shared" si="24"/>
        <v/>
      </c>
      <c r="E226" s="445" t="str">
        <f t="shared" si="24"/>
        <v/>
      </c>
      <c r="F226" s="445" t="str">
        <f t="shared" si="24"/>
        <v/>
      </c>
      <c r="G226" s="445" t="str">
        <f t="shared" si="24"/>
        <v/>
      </c>
      <c r="H226" s="446" t="str">
        <f t="shared" si="24"/>
        <v/>
      </c>
      <c r="I226" s="379"/>
      <c r="J226" s="73" t="s">
        <v>218</v>
      </c>
      <c r="K226" s="424" t="str">
        <f>IF(H223="","",IF(AND(H223&lt;0.1,H224&lt;0.1,H225&lt;0.1,H226&lt;0.1,K225&lt;0.5),"Pass","Fail"))</f>
        <v/>
      </c>
      <c r="L226" s="73"/>
      <c r="M226" s="74"/>
      <c r="O226" s="34"/>
      <c r="P226" s="207">
        <v>6</v>
      </c>
      <c r="Q226" s="208"/>
      <c r="R226" s="153"/>
      <c r="S226" s="153"/>
      <c r="T226" s="153"/>
      <c r="U226" s="191" t="str">
        <f>IF(OR(T226="",$X$224=""),"",(T226-$X$224)/$X$224)</f>
        <v/>
      </c>
      <c r="V226" s="6"/>
      <c r="W226" s="39" t="s">
        <v>274</v>
      </c>
      <c r="X226" s="209" t="str">
        <f>IF(OR(X224="",X225=""),"",X225/X224)</f>
        <v/>
      </c>
      <c r="Y226" s="36"/>
    </row>
    <row r="227" spans="1:27" ht="14.1" customHeight="1" thickBot="1">
      <c r="A227" s="21">
        <v>11</v>
      </c>
      <c r="B227" s="72"/>
      <c r="C227" s="5" t="s">
        <v>204</v>
      </c>
      <c r="D227" s="109" t="s">
        <v>277</v>
      </c>
      <c r="E227" s="115"/>
      <c r="F227" s="115"/>
      <c r="G227" s="115"/>
      <c r="H227" s="115"/>
      <c r="I227" s="379"/>
      <c r="J227" s="378"/>
      <c r="K227" s="73"/>
      <c r="L227" s="73"/>
      <c r="M227" s="74"/>
      <c r="O227" s="34"/>
      <c r="P227" s="210">
        <v>8</v>
      </c>
      <c r="Q227" s="211"/>
      <c r="R227" s="212"/>
      <c r="S227" s="212"/>
      <c r="T227" s="212"/>
      <c r="U227" s="194" t="str">
        <f>IF(OR(T227="",$X$224=""),"",(T227-$X$224)/$X$224)</f>
        <v/>
      </c>
      <c r="V227" s="6"/>
      <c r="W227" s="6"/>
      <c r="Y227" s="36"/>
    </row>
    <row r="228" spans="1:27" ht="14.1" customHeight="1" thickBot="1">
      <c r="A228" s="21">
        <v>12</v>
      </c>
      <c r="B228" s="72"/>
      <c r="C228" s="115"/>
      <c r="D228" s="484" t="s">
        <v>278</v>
      </c>
      <c r="E228" s="115"/>
      <c r="F228" s="115"/>
      <c r="G228" s="115"/>
      <c r="H228" s="115"/>
      <c r="I228" s="379"/>
      <c r="J228" s="378"/>
      <c r="K228" s="73"/>
      <c r="L228" s="73"/>
      <c r="M228" s="74"/>
      <c r="O228" s="34"/>
      <c r="P228" s="121" t="s">
        <v>204</v>
      </c>
      <c r="Q228" s="146" t="s">
        <v>277</v>
      </c>
      <c r="S228" s="6"/>
      <c r="T228" s="6"/>
      <c r="W228" s="6"/>
      <c r="Y228" s="36"/>
    </row>
    <row r="229" spans="1:27" ht="14.1" customHeight="1" thickBot="1">
      <c r="A229" s="21">
        <v>13</v>
      </c>
      <c r="B229" s="72"/>
      <c r="C229" s="424" t="str">
        <f>IF(O230="","TBD",IF(O230=1,"YES",IF(O230=3,"NA","")))</f>
        <v>YES</v>
      </c>
      <c r="D229" s="73" t="s">
        <v>279</v>
      </c>
      <c r="E229" s="115"/>
      <c r="F229" s="115"/>
      <c r="G229" s="115"/>
      <c r="H229" s="115"/>
      <c r="I229" s="115"/>
      <c r="J229" s="379"/>
      <c r="K229" s="378"/>
      <c r="L229" s="73"/>
      <c r="M229" s="74"/>
      <c r="O229" s="34"/>
      <c r="P229" s="6"/>
      <c r="Q229" s="200" t="s">
        <v>278</v>
      </c>
      <c r="S229" s="6"/>
      <c r="T229" s="6"/>
      <c r="W229" s="6"/>
      <c r="Y229" s="36"/>
    </row>
    <row r="230" spans="1:27" ht="14.1" customHeight="1" thickBot="1">
      <c r="A230" s="21">
        <v>14</v>
      </c>
      <c r="B230" s="72"/>
      <c r="C230" s="424" t="str">
        <f>IF(O231="","TBD",IF(O231=1,"YES",IF(O231=3,"NA","")))</f>
        <v>YES</v>
      </c>
      <c r="D230" s="73" t="s">
        <v>280</v>
      </c>
      <c r="E230" s="115"/>
      <c r="F230" s="115"/>
      <c r="G230" s="115"/>
      <c r="H230" s="115"/>
      <c r="I230" s="115"/>
      <c r="J230" s="379"/>
      <c r="K230" s="378"/>
      <c r="L230" s="73"/>
      <c r="M230" s="74"/>
      <c r="O230" s="104">
        <v>1</v>
      </c>
      <c r="P230" s="25" t="s">
        <v>279</v>
      </c>
      <c r="Q230" s="6"/>
      <c r="R230" s="6"/>
      <c r="S230" s="6"/>
      <c r="T230" s="6"/>
      <c r="U230" s="6"/>
      <c r="V230" s="6"/>
      <c r="W230" s="6"/>
      <c r="Y230" s="36"/>
    </row>
    <row r="231" spans="1:27" ht="14.1" customHeight="1" thickBot="1">
      <c r="A231" s="21">
        <v>15</v>
      </c>
      <c r="B231" s="419"/>
      <c r="C231" s="420"/>
      <c r="D231" s="420"/>
      <c r="E231" s="420"/>
      <c r="F231" s="420"/>
      <c r="G231" s="478"/>
      <c r="H231" s="479"/>
      <c r="I231" s="420"/>
      <c r="J231" s="420"/>
      <c r="K231" s="480"/>
      <c r="L231" s="420"/>
      <c r="M231" s="421"/>
      <c r="O231" s="104">
        <v>1</v>
      </c>
      <c r="P231" s="25" t="s">
        <v>280</v>
      </c>
      <c r="Q231" s="6"/>
      <c r="R231" s="6"/>
      <c r="S231" s="6"/>
      <c r="T231" s="6"/>
      <c r="U231" s="6"/>
      <c r="V231" s="6" t="str">
        <f>IF(OR(T231="",$X$224=""),"",(T231-$X$224)/$X$224)</f>
        <v/>
      </c>
      <c r="W231" s="6"/>
      <c r="Y231" s="36"/>
    </row>
    <row r="232" spans="1:27" ht="14.1" customHeight="1">
      <c r="A232" s="21">
        <v>16</v>
      </c>
      <c r="B232" s="72"/>
      <c r="C232" s="154" t="s">
        <v>281</v>
      </c>
      <c r="D232" s="73"/>
      <c r="E232" s="73"/>
      <c r="F232" s="73"/>
      <c r="G232" s="73"/>
      <c r="H232" s="73"/>
      <c r="I232" s="73"/>
      <c r="J232" s="73"/>
      <c r="K232" s="73"/>
      <c r="L232" s="73"/>
      <c r="M232" s="74"/>
      <c r="O232" s="34"/>
      <c r="P232" s="6"/>
      <c r="Q232" s="6"/>
      <c r="R232" s="6"/>
      <c r="S232" s="6"/>
      <c r="T232" s="6"/>
      <c r="U232" s="6"/>
      <c r="V232" s="6"/>
      <c r="W232" s="6"/>
      <c r="Y232" s="36"/>
      <c r="AA232" s="249"/>
    </row>
    <row r="233" spans="1:27" ht="14.1" customHeight="1">
      <c r="A233" s="21">
        <v>17</v>
      </c>
      <c r="B233" s="72"/>
      <c r="C233" s="171" t="s">
        <v>266</v>
      </c>
      <c r="D233" s="148" t="str">
        <f>IF(P234="","",P234)</f>
        <v>AEC</v>
      </c>
      <c r="E233" s="73"/>
      <c r="F233" s="73" t="s">
        <v>95</v>
      </c>
      <c r="G233" s="148" t="str">
        <f>IF(S234="","",S234)</f>
        <v>W/Rh</v>
      </c>
      <c r="H233" s="171" t="s">
        <v>173</v>
      </c>
      <c r="I233" s="148">
        <f>IF(U234="","",U234)</f>
        <v>28</v>
      </c>
      <c r="J233" s="73"/>
      <c r="K233" s="73"/>
      <c r="L233" s="73"/>
      <c r="M233" s="74"/>
      <c r="O233" s="147" t="s">
        <v>281</v>
      </c>
      <c r="P233" s="6"/>
      <c r="Q233" s="6"/>
      <c r="R233" s="6"/>
      <c r="S233" s="6"/>
      <c r="T233" s="6"/>
      <c r="U233" s="6"/>
      <c r="V233" s="6"/>
      <c r="Y233" s="36"/>
      <c r="AA233" s="249"/>
    </row>
    <row r="234" spans="1:27" ht="14.1" customHeight="1">
      <c r="A234" s="21">
        <v>18</v>
      </c>
      <c r="B234" s="72"/>
      <c r="C234" s="73"/>
      <c r="D234" s="73"/>
      <c r="E234" s="73"/>
      <c r="F234" s="73"/>
      <c r="G234" s="73"/>
      <c r="H234" s="73"/>
      <c r="I234" s="115"/>
      <c r="J234" s="73"/>
      <c r="K234" s="73"/>
      <c r="L234" s="73"/>
      <c r="M234" s="74"/>
      <c r="O234" s="34" t="s">
        <v>266</v>
      </c>
      <c r="P234" s="145" t="s">
        <v>499</v>
      </c>
      <c r="R234" s="25" t="s">
        <v>95</v>
      </c>
      <c r="S234" s="145" t="s">
        <v>238</v>
      </c>
      <c r="T234" s="171" t="s">
        <v>173</v>
      </c>
      <c r="U234" s="145">
        <v>28</v>
      </c>
      <c r="Y234" s="36"/>
      <c r="AA234" s="249"/>
    </row>
    <row r="235" spans="1:27" ht="14.1" customHeight="1" thickBot="1">
      <c r="A235" s="21">
        <v>19</v>
      </c>
      <c r="B235" s="72"/>
      <c r="C235" s="73"/>
      <c r="D235" s="354"/>
      <c r="E235" s="73"/>
      <c r="F235" s="171"/>
      <c r="G235" s="354"/>
      <c r="H235" s="115"/>
      <c r="I235" s="378"/>
      <c r="J235" s="73" t="s">
        <v>282</v>
      </c>
      <c r="K235" s="73"/>
      <c r="L235" s="73"/>
      <c r="M235" s="74"/>
      <c r="O235" s="34"/>
      <c r="Y235" s="36"/>
      <c r="AA235" s="249"/>
    </row>
    <row r="236" spans="1:27" ht="14.1" customHeight="1" thickBot="1">
      <c r="A236" s="21">
        <v>20</v>
      </c>
      <c r="B236" s="72"/>
      <c r="C236" s="73"/>
      <c r="D236" s="502" t="s">
        <v>72</v>
      </c>
      <c r="E236" s="476" t="s">
        <v>283</v>
      </c>
      <c r="F236" s="476" t="s">
        <v>284</v>
      </c>
      <c r="G236" s="476" t="s">
        <v>285</v>
      </c>
      <c r="H236" s="476" t="s">
        <v>286</v>
      </c>
      <c r="I236" s="476" t="s">
        <v>287</v>
      </c>
      <c r="J236" s="477" t="s">
        <v>27</v>
      </c>
      <c r="K236" s="433" t="s">
        <v>288</v>
      </c>
      <c r="L236" s="449" t="s">
        <v>289</v>
      </c>
      <c r="M236" s="74"/>
      <c r="O236" s="34"/>
      <c r="P236" s="218"/>
      <c r="R236" s="39"/>
      <c r="S236" s="218"/>
      <c r="T236" s="14"/>
      <c r="U236" s="6"/>
      <c r="V236" s="25" t="s">
        <v>282</v>
      </c>
      <c r="Y236" s="36"/>
      <c r="AA236" s="249"/>
    </row>
    <row r="237" spans="1:27" ht="14.1" customHeight="1" thickBot="1">
      <c r="A237" s="21">
        <v>21</v>
      </c>
      <c r="B237" s="72"/>
      <c r="C237" s="73"/>
      <c r="D237" s="473" t="str">
        <f t="shared" ref="D237:J244" si="25">IF(P238="","",P238)</f>
        <v/>
      </c>
      <c r="E237" s="474" t="str">
        <f t="shared" si="25"/>
        <v/>
      </c>
      <c r="F237" s="474" t="str">
        <f t="shared" si="25"/>
        <v/>
      </c>
      <c r="G237" s="474" t="str">
        <f t="shared" si="25"/>
        <v/>
      </c>
      <c r="H237" s="474" t="str">
        <f t="shared" si="25"/>
        <v/>
      </c>
      <c r="I237" s="474" t="str">
        <f t="shared" si="25"/>
        <v/>
      </c>
      <c r="J237" s="475" t="str">
        <f t="shared" si="25"/>
        <v/>
      </c>
      <c r="K237" s="463" t="str">
        <f t="shared" ref="K237:L243" si="26">IF(X238="","",X238)</f>
        <v/>
      </c>
      <c r="L237" s="469" t="str">
        <f t="shared" si="26"/>
        <v/>
      </c>
      <c r="M237" s="74"/>
      <c r="O237" s="34"/>
      <c r="P237" s="14" t="s">
        <v>72</v>
      </c>
      <c r="Q237" s="14" t="s">
        <v>283</v>
      </c>
      <c r="R237" s="14" t="s">
        <v>284</v>
      </c>
      <c r="S237" s="14" t="s">
        <v>285</v>
      </c>
      <c r="T237" s="14" t="s">
        <v>286</v>
      </c>
      <c r="U237" s="14" t="s">
        <v>287</v>
      </c>
      <c r="V237" s="25" t="s">
        <v>27</v>
      </c>
      <c r="X237" s="14" t="s">
        <v>288</v>
      </c>
      <c r="Y237" s="219" t="s">
        <v>289</v>
      </c>
      <c r="AA237" s="249"/>
    </row>
    <row r="238" spans="1:27" ht="14.1" customHeight="1">
      <c r="A238" s="21">
        <v>22</v>
      </c>
      <c r="B238" s="72"/>
      <c r="C238" s="73"/>
      <c r="D238" s="450" t="str">
        <f t="shared" si="25"/>
        <v/>
      </c>
      <c r="E238" s="448" t="str">
        <f t="shared" si="25"/>
        <v/>
      </c>
      <c r="F238" s="448" t="str">
        <f t="shared" si="25"/>
        <v/>
      </c>
      <c r="G238" s="448" t="str">
        <f t="shared" si="25"/>
        <v/>
      </c>
      <c r="H238" s="448" t="str">
        <f t="shared" si="25"/>
        <v/>
      </c>
      <c r="I238" s="448" t="str">
        <f t="shared" si="25"/>
        <v/>
      </c>
      <c r="J238" s="451" t="str">
        <f t="shared" si="25"/>
        <v/>
      </c>
      <c r="K238" s="463" t="str">
        <f t="shared" si="26"/>
        <v/>
      </c>
      <c r="L238" s="469" t="str">
        <f t="shared" si="26"/>
        <v/>
      </c>
      <c r="M238" s="74"/>
      <c r="O238" s="34"/>
      <c r="P238" s="172"/>
      <c r="Q238" s="173"/>
      <c r="R238" s="173"/>
      <c r="S238" s="173"/>
      <c r="T238" s="220" t="str">
        <f>IF(OR(R238="",S238=""),"",(R238-50)/S238)</f>
        <v/>
      </c>
      <c r="U238" s="221" t="str">
        <f>IF(OR(Q238="",R238="",S238=""),"",(R238-Q238)/S238)</f>
        <v/>
      </c>
      <c r="V238" s="222" t="str">
        <f>IF($V$296="","",$V$296*P238)</f>
        <v/>
      </c>
      <c r="X238" s="223" t="str">
        <f>IF(OR(Q238="",$Q$243=""),"",ABS(Q238-$Q$243)/$Q$243)</f>
        <v/>
      </c>
      <c r="Y238" s="224" t="str">
        <f>IF(OR(T238="",$T$243=""),"",ABS(T238-$T$243)/$T$243)</f>
        <v/>
      </c>
      <c r="AA238" s="249"/>
    </row>
    <row r="239" spans="1:27" ht="14.1" customHeight="1">
      <c r="A239" s="21">
        <v>23</v>
      </c>
      <c r="B239" s="72"/>
      <c r="C239" s="73"/>
      <c r="D239" s="450" t="str">
        <f t="shared" si="25"/>
        <v/>
      </c>
      <c r="E239" s="448" t="str">
        <f t="shared" si="25"/>
        <v/>
      </c>
      <c r="F239" s="448" t="str">
        <f t="shared" si="25"/>
        <v/>
      </c>
      <c r="G239" s="448" t="str">
        <f t="shared" si="25"/>
        <v/>
      </c>
      <c r="H239" s="448" t="str">
        <f t="shared" si="25"/>
        <v/>
      </c>
      <c r="I239" s="448" t="str">
        <f t="shared" si="25"/>
        <v/>
      </c>
      <c r="J239" s="451" t="str">
        <f t="shared" si="25"/>
        <v/>
      </c>
      <c r="K239" s="463" t="str">
        <f t="shared" si="26"/>
        <v/>
      </c>
      <c r="L239" s="469" t="str">
        <f t="shared" si="26"/>
        <v/>
      </c>
      <c r="M239" s="74"/>
      <c r="O239" s="34"/>
      <c r="P239" s="175"/>
      <c r="Q239" s="176"/>
      <c r="R239" s="176"/>
      <c r="S239" s="176"/>
      <c r="T239" s="75" t="str">
        <f>IF(OR(R239="",S239=""),"",(R239-50)/S239)</f>
        <v/>
      </c>
      <c r="U239" s="76" t="str">
        <f>IF(OR(Q239="",R239="",S239=""),"",(R239-Q239)/S239)</f>
        <v/>
      </c>
      <c r="V239" s="225" t="str">
        <f>IF($V$296="","",$V$296*P239)</f>
        <v/>
      </c>
      <c r="X239" s="223" t="str">
        <f>IF(OR(Q239="",$Q$243=""),"",ABS(Q239-$Q$243)/$Q$243)</f>
        <v/>
      </c>
      <c r="Y239" s="224" t="str">
        <f>IF(OR(T239="",$T$243=""),"",ABS(T239-$T$243)/$T$243)</f>
        <v/>
      </c>
      <c r="AA239" s="249"/>
    </row>
    <row r="240" spans="1:27" ht="14.1" customHeight="1">
      <c r="A240" s="21">
        <v>24</v>
      </c>
      <c r="B240" s="72"/>
      <c r="C240" s="73"/>
      <c r="D240" s="450" t="str">
        <f t="shared" si="25"/>
        <v/>
      </c>
      <c r="E240" s="448" t="str">
        <f t="shared" si="25"/>
        <v/>
      </c>
      <c r="F240" s="448" t="str">
        <f t="shared" si="25"/>
        <v/>
      </c>
      <c r="G240" s="448" t="str">
        <f t="shared" si="25"/>
        <v/>
      </c>
      <c r="H240" s="448" t="str">
        <f t="shared" si="25"/>
        <v/>
      </c>
      <c r="I240" s="448" t="str">
        <f t="shared" si="25"/>
        <v/>
      </c>
      <c r="J240" s="451" t="str">
        <f t="shared" si="25"/>
        <v/>
      </c>
      <c r="K240" s="463" t="str">
        <f t="shared" si="26"/>
        <v/>
      </c>
      <c r="L240" s="469" t="str">
        <f t="shared" si="26"/>
        <v/>
      </c>
      <c r="M240" s="74"/>
      <c r="O240" s="34"/>
      <c r="P240" s="175"/>
      <c r="Q240" s="176"/>
      <c r="R240" s="176"/>
      <c r="S240" s="176"/>
      <c r="T240" s="75" t="str">
        <f>IF(OR(R240="",S240=""),"",(R240-50)/S240)</f>
        <v/>
      </c>
      <c r="U240" s="76" t="str">
        <f>IF(OR(Q240="",R240="",S240=""),"",(R240-Q240)/S240)</f>
        <v/>
      </c>
      <c r="V240" s="225" t="str">
        <f>IF($V$296="","",$V$296*P240)</f>
        <v/>
      </c>
      <c r="X240" s="223" t="str">
        <f>IF(OR(Q240="",$Q$243=""),"",ABS(Q240-$Q$243)/$Q$243)</f>
        <v/>
      </c>
      <c r="Y240" s="224" t="str">
        <f>IF(OR(T240="",$T$243=""),"",ABS(T240-$T$243)/$T$243)</f>
        <v/>
      </c>
      <c r="AA240" s="249"/>
    </row>
    <row r="241" spans="1:27" ht="14.1" customHeight="1" thickBot="1">
      <c r="A241" s="21">
        <v>25</v>
      </c>
      <c r="B241" s="72"/>
      <c r="C241" s="73"/>
      <c r="D241" s="452" t="str">
        <f t="shared" si="25"/>
        <v/>
      </c>
      <c r="E241" s="453" t="str">
        <f t="shared" si="25"/>
        <v/>
      </c>
      <c r="F241" s="453" t="str">
        <f t="shared" si="25"/>
        <v/>
      </c>
      <c r="G241" s="453" t="str">
        <f t="shared" si="25"/>
        <v/>
      </c>
      <c r="H241" s="453" t="str">
        <f t="shared" si="25"/>
        <v/>
      </c>
      <c r="I241" s="453" t="str">
        <f t="shared" si="25"/>
        <v/>
      </c>
      <c r="J241" s="454" t="str">
        <f t="shared" si="25"/>
        <v/>
      </c>
      <c r="K241" s="464" t="str">
        <f t="shared" si="26"/>
        <v/>
      </c>
      <c r="L241" s="481" t="str">
        <f t="shared" si="26"/>
        <v/>
      </c>
      <c r="M241" s="74"/>
      <c r="O241" s="34"/>
      <c r="P241" s="175"/>
      <c r="Q241" s="176"/>
      <c r="R241" s="176"/>
      <c r="S241" s="176"/>
      <c r="T241" s="75" t="str">
        <f>IF(OR(R241="",S241=""),"",(R241-50)/S241)</f>
        <v/>
      </c>
      <c r="U241" s="76" t="str">
        <f>IF(OR(Q241="",R241="",S241=""),"",(R241-Q241)/S241)</f>
        <v/>
      </c>
      <c r="V241" s="225" t="str">
        <f>IF($V$296="","",$V$296*P241)</f>
        <v/>
      </c>
      <c r="X241" s="223" t="str">
        <f>IF(OR(Q241="",$Q$243=""),"",ABS(Q241-$Q$243)/$Q$243)</f>
        <v/>
      </c>
      <c r="Y241" s="224" t="str">
        <f>IF(OR(T241="",$T$243=""),"",ABS(T241-$T$243)/$T$243)</f>
        <v/>
      </c>
    </row>
    <row r="242" spans="1:27" ht="14.1" customHeight="1" thickBot="1">
      <c r="A242" s="21">
        <v>26</v>
      </c>
      <c r="B242" s="72"/>
      <c r="C242" s="504" t="s">
        <v>272</v>
      </c>
      <c r="D242" s="455" t="str">
        <f t="shared" si="25"/>
        <v/>
      </c>
      <c r="E242" s="456" t="str">
        <f t="shared" si="25"/>
        <v/>
      </c>
      <c r="F242" s="456" t="str">
        <f t="shared" si="25"/>
        <v/>
      </c>
      <c r="G242" s="456" t="str">
        <f t="shared" si="25"/>
        <v/>
      </c>
      <c r="H242" s="456" t="str">
        <f t="shared" si="25"/>
        <v/>
      </c>
      <c r="I242" s="456" t="str">
        <f t="shared" si="25"/>
        <v/>
      </c>
      <c r="J242" s="457" t="str">
        <f t="shared" si="25"/>
        <v/>
      </c>
      <c r="K242" s="465" t="str">
        <f t="shared" si="26"/>
        <v/>
      </c>
      <c r="L242" s="465" t="str">
        <f t="shared" si="26"/>
        <v/>
      </c>
      <c r="M242" s="74"/>
      <c r="O242" s="34"/>
      <c r="P242" s="226"/>
      <c r="Q242" s="227"/>
      <c r="R242" s="227"/>
      <c r="S242" s="227"/>
      <c r="T242" s="228" t="str">
        <f>IF(OR(R242="",S242=""),"",(R242-50)/S242)</f>
        <v/>
      </c>
      <c r="U242" s="229" t="str">
        <f>IF(OR(Q242="",R242="",S242=""),"",(R242-Q242)/S242)</f>
        <v/>
      </c>
      <c r="V242" s="230" t="str">
        <f>IF($V$296="","",$V$296*P242)</f>
        <v/>
      </c>
      <c r="X242" s="223" t="str">
        <f>IF(OR(Q242="",$Q$243=""),"",ABS(Q242-$Q$243)/$Q$243)</f>
        <v/>
      </c>
      <c r="Y242" s="224" t="str">
        <f>IF(OR(T242="",$T$243=""),"",ABS(T242-$T$243)/$T$243)</f>
        <v/>
      </c>
    </row>
    <row r="243" spans="1:27" ht="14.1" customHeight="1" thickBot="1">
      <c r="A243" s="21">
        <v>27</v>
      </c>
      <c r="B243" s="72"/>
      <c r="C243" s="504" t="s">
        <v>273</v>
      </c>
      <c r="D243" s="450" t="str">
        <f t="shared" si="25"/>
        <v/>
      </c>
      <c r="E243" s="448" t="str">
        <f t="shared" si="25"/>
        <v/>
      </c>
      <c r="F243" s="448" t="str">
        <f t="shared" si="25"/>
        <v/>
      </c>
      <c r="G243" s="448" t="str">
        <f t="shared" si="25"/>
        <v/>
      </c>
      <c r="H243" s="448" t="str">
        <f t="shared" si="25"/>
        <v/>
      </c>
      <c r="I243" s="448" t="str">
        <f t="shared" si="25"/>
        <v/>
      </c>
      <c r="J243" s="451" t="str">
        <f t="shared" si="25"/>
        <v/>
      </c>
      <c r="K243" s="465" t="str">
        <f t="shared" si="26"/>
        <v/>
      </c>
      <c r="L243" s="465" t="str">
        <f t="shared" si="26"/>
        <v/>
      </c>
      <c r="M243" s="74"/>
      <c r="O243" s="34" t="s">
        <v>272</v>
      </c>
      <c r="P243" s="232" t="str">
        <f t="shared" ref="P243:V243" si="27">IF(P238="","",AVERAGE(P238:P242))</f>
        <v/>
      </c>
      <c r="Q243" s="220" t="str">
        <f t="shared" si="27"/>
        <v/>
      </c>
      <c r="R243" s="220" t="str">
        <f t="shared" si="27"/>
        <v/>
      </c>
      <c r="S243" s="220" t="str">
        <f t="shared" si="27"/>
        <v/>
      </c>
      <c r="T243" s="220" t="str">
        <f t="shared" si="27"/>
        <v/>
      </c>
      <c r="U243" s="221" t="str">
        <f t="shared" si="27"/>
        <v/>
      </c>
      <c r="V243" s="233" t="str">
        <f t="shared" si="27"/>
        <v/>
      </c>
      <c r="W243" s="39" t="s">
        <v>292</v>
      </c>
      <c r="X243" s="209" t="str">
        <f>IF(X238="","",MAX(X238:X242))</f>
        <v/>
      </c>
      <c r="Y243" s="209" t="str">
        <f>IF(Y238="","",MAX(Y238:Y242))</f>
        <v/>
      </c>
    </row>
    <row r="244" spans="1:27" ht="14.1" customHeight="1" thickBot="1">
      <c r="A244" s="21">
        <v>28</v>
      </c>
      <c r="B244" s="72"/>
      <c r="C244" s="170" t="s">
        <v>274</v>
      </c>
      <c r="D244" s="458" t="str">
        <f t="shared" si="25"/>
        <v/>
      </c>
      <c r="E244" s="459" t="str">
        <f t="shared" si="25"/>
        <v/>
      </c>
      <c r="F244" s="459" t="str">
        <f t="shared" si="25"/>
        <v/>
      </c>
      <c r="G244" s="459" t="str">
        <f t="shared" si="25"/>
        <v/>
      </c>
      <c r="H244" s="459" t="str">
        <f t="shared" si="25"/>
        <v/>
      </c>
      <c r="I244" s="459" t="str">
        <f t="shared" si="25"/>
        <v/>
      </c>
      <c r="J244" s="460" t="str">
        <f t="shared" si="25"/>
        <v/>
      </c>
      <c r="K244" s="73"/>
      <c r="L244" s="73"/>
      <c r="M244" s="74"/>
      <c r="O244" s="34" t="s">
        <v>273</v>
      </c>
      <c r="P244" s="235" t="str">
        <f>IF(P238="","",STDEV(P238:P242))</f>
        <v/>
      </c>
      <c r="Q244" s="75" t="str">
        <f t="shared" ref="Q244:V244" si="28">IF(Q238="","",STDEV(Q238:Q242))</f>
        <v/>
      </c>
      <c r="R244" s="75" t="str">
        <f t="shared" si="28"/>
        <v/>
      </c>
      <c r="S244" s="75" t="str">
        <f t="shared" si="28"/>
        <v/>
      </c>
      <c r="T244" s="75" t="str">
        <f t="shared" si="28"/>
        <v/>
      </c>
      <c r="U244" s="76" t="str">
        <f t="shared" si="28"/>
        <v/>
      </c>
      <c r="V244" s="236" t="str">
        <f t="shared" si="28"/>
        <v/>
      </c>
      <c r="X244" s="152" t="str">
        <f>IF(X243="","",IF(X243&lt;=0.15,"Pass","Fail"))</f>
        <v/>
      </c>
      <c r="Y244" s="152" t="str">
        <f>IF(Y243="","",IF(Y243&lt;=0.15,"Pass","Fail"))</f>
        <v/>
      </c>
    </row>
    <row r="245" spans="1:27" ht="14.1" customHeight="1" thickBot="1">
      <c r="A245" s="21">
        <v>29</v>
      </c>
      <c r="B245" s="72"/>
      <c r="C245" s="73"/>
      <c r="D245" s="461" t="str">
        <f>IF(P246="","",P246)</f>
        <v/>
      </c>
      <c r="E245" s="116"/>
      <c r="F245" s="116"/>
      <c r="G245" s="116"/>
      <c r="H245" s="116"/>
      <c r="I245" s="116"/>
      <c r="J245" s="461" t="str">
        <f>IF(V246="","",V246)</f>
        <v/>
      </c>
      <c r="K245" s="73"/>
      <c r="L245" s="73"/>
      <c r="M245" s="74"/>
      <c r="O245" s="34" t="s">
        <v>274</v>
      </c>
      <c r="P245" s="237" t="str">
        <f t="shared" ref="P245:V245" si="29">IF(OR(P243="",P244=""),"",P244/P243)</f>
        <v/>
      </c>
      <c r="Q245" s="238" t="str">
        <f t="shared" si="29"/>
        <v/>
      </c>
      <c r="R245" s="238" t="str">
        <f t="shared" si="29"/>
        <v/>
      </c>
      <c r="S245" s="238" t="str">
        <f t="shared" si="29"/>
        <v/>
      </c>
      <c r="T245" s="238" t="str">
        <f t="shared" si="29"/>
        <v/>
      </c>
      <c r="U245" s="238" t="str">
        <f t="shared" si="29"/>
        <v/>
      </c>
      <c r="V245" s="239" t="str">
        <f t="shared" si="29"/>
        <v/>
      </c>
      <c r="X245" s="14"/>
      <c r="Y245" s="219"/>
      <c r="Z245" s="13"/>
      <c r="AA245" s="6"/>
    </row>
    <row r="246" spans="1:27" ht="14.1" customHeight="1" thickBot="1">
      <c r="A246" s="21">
        <v>30</v>
      </c>
      <c r="B246" s="72"/>
      <c r="C246" s="5" t="s">
        <v>204</v>
      </c>
      <c r="D246" s="109" t="s">
        <v>293</v>
      </c>
      <c r="E246" s="73"/>
      <c r="F246" s="73"/>
      <c r="G246" s="73"/>
      <c r="H246" s="73"/>
      <c r="I246" s="73"/>
      <c r="J246" s="73"/>
      <c r="K246" s="73"/>
      <c r="L246" s="73"/>
      <c r="M246" s="74"/>
      <c r="O246" s="34"/>
      <c r="P246" s="152" t="str">
        <f>IF(P245="","",IF(P245&lt;=0.05,"Pass","Fail"))</f>
        <v/>
      </c>
      <c r="Q246" s="6"/>
      <c r="R246" s="6"/>
      <c r="S246" s="6"/>
      <c r="T246" s="6"/>
      <c r="U246" s="6"/>
      <c r="V246" s="152" t="str">
        <f>IF(V245="","",IF(V245&lt;=0.05,"Pass","Fail"))</f>
        <v/>
      </c>
      <c r="Y246" s="36"/>
      <c r="Z246" s="13"/>
      <c r="AA246" s="6"/>
    </row>
    <row r="247" spans="1:27" ht="14.1" customHeight="1">
      <c r="A247" s="21">
        <v>31</v>
      </c>
      <c r="B247" s="72"/>
      <c r="C247" s="73"/>
      <c r="D247" s="109" t="s">
        <v>294</v>
      </c>
      <c r="E247" s="73"/>
      <c r="F247" s="73"/>
      <c r="G247" s="73"/>
      <c r="H247" s="73"/>
      <c r="I247" s="73"/>
      <c r="J247" s="73"/>
      <c r="K247" s="73"/>
      <c r="L247" s="73"/>
      <c r="M247" s="74"/>
      <c r="O247" s="34"/>
      <c r="P247" s="5" t="s">
        <v>204</v>
      </c>
      <c r="Q247" s="109" t="s">
        <v>293</v>
      </c>
      <c r="R247" s="73"/>
      <c r="S247" s="73"/>
      <c r="T247" s="73"/>
      <c r="U247" s="73"/>
      <c r="V247" s="73"/>
      <c r="W247" s="73"/>
      <c r="X247" s="73"/>
      <c r="Y247" s="36"/>
      <c r="Z247" s="13"/>
      <c r="AA247" s="31"/>
    </row>
    <row r="248" spans="1:27" ht="14.1" customHeight="1" thickBot="1">
      <c r="A248" s="21">
        <v>32</v>
      </c>
      <c r="B248" s="168"/>
      <c r="C248" s="45"/>
      <c r="D248" s="45"/>
      <c r="E248" s="45"/>
      <c r="F248" s="45"/>
      <c r="G248" s="45"/>
      <c r="H248" s="45"/>
      <c r="I248" s="45"/>
      <c r="J248" s="45"/>
      <c r="K248" s="45"/>
      <c r="L248" s="45"/>
      <c r="M248" s="169"/>
      <c r="O248" s="34"/>
      <c r="P248" s="73"/>
      <c r="Q248" s="109" t="s">
        <v>294</v>
      </c>
      <c r="R248" s="73"/>
      <c r="S248" s="73"/>
      <c r="T248" s="73"/>
      <c r="U248" s="73"/>
      <c r="V248" s="73"/>
      <c r="W248" s="73"/>
      <c r="X248" s="73"/>
      <c r="Y248" s="36"/>
    </row>
    <row r="249" spans="1:27" ht="14.1" customHeight="1" thickBot="1">
      <c r="A249" s="21">
        <v>33</v>
      </c>
      <c r="B249" s="72"/>
      <c r="C249" s="154" t="s">
        <v>295</v>
      </c>
      <c r="D249" s="73"/>
      <c r="E249" s="73"/>
      <c r="F249" s="73"/>
      <c r="G249" s="73"/>
      <c r="H249" s="73"/>
      <c r="I249" s="73"/>
      <c r="J249" s="73"/>
      <c r="K249" s="73"/>
      <c r="L249" s="73"/>
      <c r="M249" s="74"/>
      <c r="O249" s="240"/>
      <c r="P249" s="201"/>
      <c r="Q249" s="201"/>
      <c r="R249" s="201"/>
      <c r="S249" s="201"/>
      <c r="T249" s="201"/>
      <c r="U249" s="201"/>
      <c r="V249" s="201"/>
      <c r="W249" s="201"/>
      <c r="X249" s="201"/>
      <c r="Y249" s="241"/>
    </row>
    <row r="250" spans="1:27" ht="14.1" customHeight="1">
      <c r="A250" s="21">
        <v>34</v>
      </c>
      <c r="B250" s="72"/>
      <c r="C250" s="470" t="s">
        <v>71</v>
      </c>
      <c r="D250" s="467" t="s">
        <v>237</v>
      </c>
      <c r="E250" s="467" t="s">
        <v>262</v>
      </c>
      <c r="F250" s="468" t="s">
        <v>238</v>
      </c>
      <c r="G250" s="73"/>
      <c r="H250" s="774" t="s">
        <v>296</v>
      </c>
      <c r="I250" s="775"/>
      <c r="J250" s="776"/>
      <c r="K250" s="73"/>
      <c r="L250" s="73"/>
      <c r="M250" s="74"/>
      <c r="O250" s="144" t="s">
        <v>295</v>
      </c>
      <c r="P250" s="242"/>
      <c r="Q250" s="242"/>
      <c r="R250" s="242"/>
      <c r="S250" s="242"/>
      <c r="T250" s="242"/>
      <c r="U250" s="242"/>
      <c r="V250" s="242"/>
      <c r="W250" s="242"/>
      <c r="X250" s="242"/>
      <c r="Y250" s="243"/>
    </row>
    <row r="251" spans="1:27" ht="14.1" customHeight="1">
      <c r="A251" s="21">
        <v>35</v>
      </c>
      <c r="B251" s="72"/>
      <c r="C251" s="471" t="s">
        <v>269</v>
      </c>
      <c r="D251" s="323">
        <v>28</v>
      </c>
      <c r="E251" s="323">
        <v>28</v>
      </c>
      <c r="F251" s="385">
        <v>28</v>
      </c>
      <c r="G251" s="73"/>
      <c r="H251" s="384" t="s">
        <v>237</v>
      </c>
      <c r="I251" s="323" t="s">
        <v>262</v>
      </c>
      <c r="J251" s="385" t="s">
        <v>238</v>
      </c>
      <c r="K251" s="73"/>
      <c r="L251" s="73"/>
      <c r="M251" s="74"/>
      <c r="O251" s="195"/>
      <c r="P251" s="245" t="s">
        <v>71</v>
      </c>
      <c r="Q251" s="246" t="s">
        <v>237</v>
      </c>
      <c r="R251" s="246" t="s">
        <v>262</v>
      </c>
      <c r="S251" s="246" t="s">
        <v>238</v>
      </c>
      <c r="T251" s="6"/>
      <c r="U251" s="762" t="s">
        <v>296</v>
      </c>
      <c r="V251" s="762"/>
      <c r="W251" s="762"/>
      <c r="X251" s="6"/>
      <c r="Y251" s="247"/>
    </row>
    <row r="252" spans="1:27" ht="14.1" customHeight="1">
      <c r="A252" s="21">
        <v>36</v>
      </c>
      <c r="B252" s="72"/>
      <c r="C252" s="471" t="s">
        <v>72</v>
      </c>
      <c r="D252" s="323" t="str">
        <f t="shared" ref="D252:D260" si="30">IF(Q253="","",Q253)</f>
        <v/>
      </c>
      <c r="E252" s="323" t="str">
        <f t="shared" ref="E252:E260" si="31">IF(R253="","",R253)</f>
        <v/>
      </c>
      <c r="F252" s="385" t="str">
        <f t="shared" ref="F252:F260" si="32">IF(S253="","",S253)</f>
        <v/>
      </c>
      <c r="G252" s="73"/>
      <c r="H252" s="463" t="str">
        <f t="shared" ref="H252:J256" si="33">IF(U253="","",U253)</f>
        <v/>
      </c>
      <c r="I252" s="19" t="str">
        <f t="shared" si="33"/>
        <v/>
      </c>
      <c r="J252" s="469" t="str">
        <f t="shared" si="33"/>
        <v/>
      </c>
      <c r="K252" s="73"/>
      <c r="L252" s="73"/>
      <c r="M252" s="74"/>
      <c r="O252" s="195"/>
      <c r="P252" s="248" t="s">
        <v>269</v>
      </c>
      <c r="Q252" s="15">
        <v>28</v>
      </c>
      <c r="R252" s="15">
        <v>28</v>
      </c>
      <c r="S252" s="15">
        <v>28</v>
      </c>
      <c r="T252" s="6"/>
      <c r="U252" s="246" t="s">
        <v>237</v>
      </c>
      <c r="V252" s="246" t="s">
        <v>262</v>
      </c>
      <c r="W252" s="246" t="s">
        <v>238</v>
      </c>
      <c r="X252" s="6"/>
      <c r="Y252" s="247"/>
    </row>
    <row r="253" spans="1:27" ht="14.1" customHeight="1">
      <c r="A253" s="21">
        <v>37</v>
      </c>
      <c r="B253" s="72"/>
      <c r="C253" s="471" t="s">
        <v>298</v>
      </c>
      <c r="D253" s="448" t="str">
        <f t="shared" si="30"/>
        <v/>
      </c>
      <c r="E253" s="323" t="str">
        <f t="shared" si="31"/>
        <v/>
      </c>
      <c r="F253" s="385" t="str">
        <f t="shared" si="32"/>
        <v/>
      </c>
      <c r="G253" s="73"/>
      <c r="H253" s="463" t="str">
        <f t="shared" si="33"/>
        <v/>
      </c>
      <c r="I253" s="19" t="str">
        <f t="shared" si="33"/>
        <v/>
      </c>
      <c r="J253" s="469" t="str">
        <f t="shared" si="33"/>
        <v/>
      </c>
      <c r="K253" s="73"/>
      <c r="L253" s="73"/>
      <c r="M253" s="74"/>
      <c r="O253" s="195"/>
      <c r="P253" s="248" t="s">
        <v>72</v>
      </c>
      <c r="Q253" s="694" t="str">
        <f>IF(Q163="","",Q163)</f>
        <v/>
      </c>
      <c r="R253" s="694" t="str">
        <f t="shared" ref="R253:S253" si="34">IF(R163="","",R163)</f>
        <v/>
      </c>
      <c r="S253" s="694" t="str">
        <f t="shared" si="34"/>
        <v/>
      </c>
      <c r="T253" s="6"/>
      <c r="U253" s="190" t="str">
        <f t="shared" ref="U253:W257" si="35">IF(Q254="","",(Q254-Q$259)/Q$259)</f>
        <v/>
      </c>
      <c r="V253" s="190" t="str">
        <f t="shared" si="35"/>
        <v/>
      </c>
      <c r="W253" s="190" t="str">
        <f t="shared" si="35"/>
        <v/>
      </c>
      <c r="X253" s="6"/>
      <c r="Y253" s="247"/>
    </row>
    <row r="254" spans="1:27" ht="14.1" customHeight="1">
      <c r="A254" s="21">
        <v>38</v>
      </c>
      <c r="B254" s="72"/>
      <c r="C254" s="471" t="s">
        <v>300</v>
      </c>
      <c r="D254" s="448" t="str">
        <f t="shared" si="30"/>
        <v/>
      </c>
      <c r="E254" s="323" t="str">
        <f t="shared" si="31"/>
        <v/>
      </c>
      <c r="F254" s="385" t="str">
        <f t="shared" si="32"/>
        <v/>
      </c>
      <c r="G254" s="73"/>
      <c r="H254" s="463" t="str">
        <f t="shared" si="33"/>
        <v/>
      </c>
      <c r="I254" s="19" t="str">
        <f t="shared" si="33"/>
        <v/>
      </c>
      <c r="J254" s="469" t="str">
        <f t="shared" si="33"/>
        <v/>
      </c>
      <c r="K254" s="73"/>
      <c r="L254" s="73"/>
      <c r="M254" s="74"/>
      <c r="O254" s="195"/>
      <c r="P254" s="245" t="s">
        <v>298</v>
      </c>
      <c r="Q254" s="2"/>
      <c r="R254" s="2"/>
      <c r="S254" s="2"/>
      <c r="T254" s="6"/>
      <c r="U254" s="190" t="str">
        <f t="shared" si="35"/>
        <v/>
      </c>
      <c r="V254" s="190" t="str">
        <f t="shared" si="35"/>
        <v/>
      </c>
      <c r="W254" s="190" t="str">
        <f t="shared" si="35"/>
        <v/>
      </c>
      <c r="X254" s="6"/>
      <c r="Y254" s="247"/>
    </row>
    <row r="255" spans="1:27" ht="14.1" customHeight="1">
      <c r="A255" s="21">
        <v>39</v>
      </c>
      <c r="B255" s="72"/>
      <c r="C255" s="471" t="s">
        <v>301</v>
      </c>
      <c r="D255" s="448" t="str">
        <f t="shared" si="30"/>
        <v/>
      </c>
      <c r="E255" s="323" t="str">
        <f t="shared" si="31"/>
        <v/>
      </c>
      <c r="F255" s="385" t="str">
        <f t="shared" si="32"/>
        <v/>
      </c>
      <c r="G255" s="73"/>
      <c r="H255" s="463" t="str">
        <f t="shared" si="33"/>
        <v/>
      </c>
      <c r="I255" s="19" t="str">
        <f t="shared" si="33"/>
        <v/>
      </c>
      <c r="J255" s="469" t="str">
        <f t="shared" si="33"/>
        <v/>
      </c>
      <c r="K255" s="73"/>
      <c r="L255" s="73"/>
      <c r="M255" s="74"/>
      <c r="O255" s="195"/>
      <c r="P255" s="248" t="s">
        <v>300</v>
      </c>
      <c r="Q255" s="3"/>
      <c r="R255" s="3"/>
      <c r="S255" s="3"/>
      <c r="T255" s="6"/>
      <c r="U255" s="190" t="str">
        <f t="shared" si="35"/>
        <v/>
      </c>
      <c r="V255" s="190" t="str">
        <f t="shared" si="35"/>
        <v/>
      </c>
      <c r="W255" s="190" t="str">
        <f t="shared" si="35"/>
        <v/>
      </c>
      <c r="X255" s="6"/>
      <c r="Y255" s="247"/>
    </row>
    <row r="256" spans="1:27" ht="14.1" customHeight="1" thickBot="1">
      <c r="A256" s="21">
        <v>40</v>
      </c>
      <c r="B256" s="72"/>
      <c r="C256" s="471" t="s">
        <v>303</v>
      </c>
      <c r="D256" s="448" t="str">
        <f t="shared" si="30"/>
        <v/>
      </c>
      <c r="E256" s="323" t="str">
        <f t="shared" si="31"/>
        <v/>
      </c>
      <c r="F256" s="385" t="str">
        <f t="shared" si="32"/>
        <v/>
      </c>
      <c r="G256" s="73"/>
      <c r="H256" s="458" t="str">
        <f t="shared" si="33"/>
        <v/>
      </c>
      <c r="I256" s="459" t="str">
        <f t="shared" si="33"/>
        <v/>
      </c>
      <c r="J256" s="460" t="str">
        <f t="shared" si="33"/>
        <v/>
      </c>
      <c r="K256" s="73"/>
      <c r="L256" s="73"/>
      <c r="M256" s="74"/>
      <c r="O256" s="195"/>
      <c r="P256" s="248" t="s">
        <v>301</v>
      </c>
      <c r="Q256" s="3"/>
      <c r="R256" s="3"/>
      <c r="S256" s="3"/>
      <c r="T256" s="6"/>
      <c r="U256" s="190" t="str">
        <f t="shared" si="35"/>
        <v/>
      </c>
      <c r="V256" s="190" t="str">
        <f t="shared" si="35"/>
        <v/>
      </c>
      <c r="W256" s="190" t="str">
        <f t="shared" si="35"/>
        <v/>
      </c>
      <c r="X256" s="6"/>
      <c r="Y256" s="247"/>
    </row>
    <row r="257" spans="1:34" ht="14.1" customHeight="1">
      <c r="A257" s="21">
        <v>41</v>
      </c>
      <c r="B257" s="72"/>
      <c r="C257" s="471" t="s">
        <v>307</v>
      </c>
      <c r="D257" s="448" t="str">
        <f t="shared" si="30"/>
        <v/>
      </c>
      <c r="E257" s="323" t="str">
        <f t="shared" si="31"/>
        <v/>
      </c>
      <c r="F257" s="385" t="str">
        <f t="shared" si="32"/>
        <v/>
      </c>
      <c r="G257" s="73"/>
      <c r="H257" s="73"/>
      <c r="I257" s="73"/>
      <c r="J257" s="73"/>
      <c r="K257" s="73"/>
      <c r="L257" s="73"/>
      <c r="M257" s="74"/>
      <c r="O257" s="195"/>
      <c r="P257" s="248" t="s">
        <v>303</v>
      </c>
      <c r="Q257" s="3"/>
      <c r="R257" s="3"/>
      <c r="S257" s="3"/>
      <c r="T257" s="6"/>
      <c r="U257" s="190" t="str">
        <f t="shared" si="35"/>
        <v/>
      </c>
      <c r="V257" s="190" t="str">
        <f t="shared" si="35"/>
        <v/>
      </c>
      <c r="W257" s="190" t="str">
        <f t="shared" si="35"/>
        <v/>
      </c>
      <c r="X257" s="6"/>
      <c r="Y257" s="247"/>
    </row>
    <row r="258" spans="1:34" ht="14.1" customHeight="1">
      <c r="A258" s="21">
        <v>42</v>
      </c>
      <c r="B258" s="72"/>
      <c r="C258" s="471" t="s">
        <v>309</v>
      </c>
      <c r="D258" s="448" t="str">
        <f t="shared" si="30"/>
        <v/>
      </c>
      <c r="E258" s="323" t="str">
        <f t="shared" si="31"/>
        <v/>
      </c>
      <c r="F258" s="385" t="str">
        <f t="shared" si="32"/>
        <v/>
      </c>
      <c r="G258" s="73"/>
      <c r="H258" s="73"/>
      <c r="I258" s="73"/>
      <c r="J258" s="73"/>
      <c r="K258" s="73"/>
      <c r="L258" s="73"/>
      <c r="M258" s="74"/>
      <c r="O258" s="195"/>
      <c r="P258" s="248" t="s">
        <v>307</v>
      </c>
      <c r="Q258" s="3"/>
      <c r="R258" s="3"/>
      <c r="S258" s="3"/>
      <c r="T258" s="6"/>
      <c r="U258" s="6"/>
      <c r="V258" s="6"/>
      <c r="W258" s="6"/>
      <c r="X258" s="6"/>
      <c r="Y258" s="247"/>
    </row>
    <row r="259" spans="1:34" ht="14.1" customHeight="1" thickBot="1">
      <c r="A259" s="21">
        <v>43</v>
      </c>
      <c r="B259" s="72"/>
      <c r="C259" s="472" t="s">
        <v>311</v>
      </c>
      <c r="D259" s="459" t="str">
        <f t="shared" si="30"/>
        <v/>
      </c>
      <c r="E259" s="459" t="str">
        <f t="shared" si="31"/>
        <v/>
      </c>
      <c r="F259" s="460" t="str">
        <f t="shared" si="32"/>
        <v/>
      </c>
      <c r="G259" s="73"/>
      <c r="H259" s="73"/>
      <c r="I259" s="73"/>
      <c r="J259" s="73"/>
      <c r="K259" s="73"/>
      <c r="L259" s="73"/>
      <c r="M259" s="74"/>
      <c r="O259" s="195"/>
      <c r="P259" s="248" t="s">
        <v>309</v>
      </c>
      <c r="Q259" s="114" t="str">
        <f>IF(Q254="","",AVERAGE(Q254:Q258))</f>
        <v/>
      </c>
      <c r="R259" s="114" t="str">
        <f>IF(R254="","",AVERAGE(R254:R258))</f>
        <v/>
      </c>
      <c r="S259" s="114" t="str">
        <f>IF(S254="","",AVERAGE(S254:S258))</f>
        <v/>
      </c>
      <c r="T259" s="6"/>
      <c r="U259" s="6"/>
      <c r="V259" s="6"/>
      <c r="W259" s="6"/>
      <c r="X259" s="6"/>
      <c r="Y259" s="247"/>
      <c r="AA259" s="6"/>
    </row>
    <row r="260" spans="1:34" ht="14.1" customHeight="1" thickBot="1">
      <c r="A260" s="21">
        <v>44</v>
      </c>
      <c r="B260" s="72"/>
      <c r="C260" s="73"/>
      <c r="D260" s="424" t="str">
        <f t="shared" si="30"/>
        <v/>
      </c>
      <c r="E260" s="424" t="str">
        <f t="shared" si="31"/>
        <v/>
      </c>
      <c r="F260" s="424" t="str">
        <f t="shared" si="32"/>
        <v/>
      </c>
      <c r="G260" s="73"/>
      <c r="H260" s="73"/>
      <c r="I260" s="73"/>
      <c r="J260" s="73"/>
      <c r="K260" s="73"/>
      <c r="L260" s="73"/>
      <c r="M260" s="74"/>
      <c r="O260" s="195"/>
      <c r="P260" s="248" t="s">
        <v>311</v>
      </c>
      <c r="Q260" s="256" t="str">
        <f>IF(U253="","",MAX(U253:U257))</f>
        <v/>
      </c>
      <c r="R260" s="256" t="str">
        <f t="shared" ref="R260:S260" si="36">IF(V253="","",MAX(V253:V257))</f>
        <v/>
      </c>
      <c r="S260" s="256" t="str">
        <f t="shared" si="36"/>
        <v/>
      </c>
      <c r="T260" s="6"/>
      <c r="U260" s="6"/>
      <c r="V260" s="6"/>
      <c r="W260" s="6"/>
      <c r="X260" s="6"/>
      <c r="Y260" s="247"/>
      <c r="AA260" s="6"/>
      <c r="AD260" s="13"/>
      <c r="AE260" s="13"/>
      <c r="AF260" s="13"/>
      <c r="AG260" s="13"/>
      <c r="AH260" s="13"/>
    </row>
    <row r="261" spans="1:34" ht="14.1" customHeight="1">
      <c r="A261" s="21">
        <v>45</v>
      </c>
      <c r="B261" s="72"/>
      <c r="C261" s="5" t="s">
        <v>204</v>
      </c>
      <c r="D261" s="109" t="s">
        <v>314</v>
      </c>
      <c r="E261" s="73"/>
      <c r="F261" s="73"/>
      <c r="G261" s="73"/>
      <c r="H261" s="73"/>
      <c r="I261" s="73"/>
      <c r="J261" s="73"/>
      <c r="K261" s="73"/>
      <c r="L261" s="73"/>
      <c r="M261" s="74"/>
      <c r="O261" s="195"/>
      <c r="Q261" s="4" t="str">
        <f>IF(Q260="","",IF(Q260&lt;=0.07,"Pass","Fail"))</f>
        <v/>
      </c>
      <c r="R261" s="4" t="str">
        <f t="shared" ref="R261:S261" si="37">IF(R260="","",IF(R260&lt;=0.07,"Pass","Fail"))</f>
        <v/>
      </c>
      <c r="S261" s="4" t="str">
        <f t="shared" si="37"/>
        <v/>
      </c>
      <c r="T261" s="6"/>
      <c r="U261" s="6"/>
      <c r="V261" s="6"/>
      <c r="W261" s="6"/>
      <c r="X261" s="6"/>
      <c r="Y261" s="247"/>
      <c r="AA261" s="6"/>
    </row>
    <row r="262" spans="1:34" ht="14.1" customHeight="1" thickBot="1">
      <c r="A262" s="21">
        <v>46</v>
      </c>
      <c r="B262" s="168"/>
      <c r="C262" s="45"/>
      <c r="D262" s="45"/>
      <c r="E262" s="45"/>
      <c r="F262" s="45"/>
      <c r="G262" s="45"/>
      <c r="H262" s="45"/>
      <c r="I262" s="45"/>
      <c r="J262" s="45"/>
      <c r="K262" s="45"/>
      <c r="L262" s="45"/>
      <c r="M262" s="169"/>
      <c r="O262" s="195"/>
      <c r="P262" s="5" t="s">
        <v>204</v>
      </c>
      <c r="Q262" s="146" t="s">
        <v>314</v>
      </c>
      <c r="T262" s="6"/>
      <c r="U262" s="6"/>
      <c r="V262" s="6"/>
      <c r="W262" s="6"/>
      <c r="X262" s="6"/>
      <c r="Y262" s="247"/>
      <c r="AA262" s="6"/>
    </row>
    <row r="263" spans="1:34" ht="14.1" customHeight="1" thickBot="1">
      <c r="A263" s="21">
        <v>47</v>
      </c>
      <c r="B263" s="72"/>
      <c r="C263" s="154" t="s">
        <v>297</v>
      </c>
      <c r="D263" s="73"/>
      <c r="E263" s="73"/>
      <c r="F263" s="73"/>
      <c r="G263" s="73"/>
      <c r="H263" s="73"/>
      <c r="I263" s="73"/>
      <c r="J263" s="73"/>
      <c r="K263" s="73"/>
      <c r="L263" s="73"/>
      <c r="M263" s="74"/>
      <c r="O263" s="240"/>
      <c r="P263" s="201"/>
      <c r="Q263" s="201"/>
      <c r="R263" s="201"/>
      <c r="S263" s="201"/>
      <c r="T263" s="201"/>
      <c r="U263" s="201"/>
      <c r="V263" s="201"/>
      <c r="W263" s="201"/>
      <c r="X263" s="201"/>
      <c r="Y263" s="241"/>
      <c r="AA263" s="6"/>
    </row>
    <row r="264" spans="1:34" ht="14.1" customHeight="1">
      <c r="A264" s="21">
        <v>48</v>
      </c>
      <c r="B264" s="72"/>
      <c r="C264" s="171" t="s">
        <v>299</v>
      </c>
      <c r="D264" s="148" t="str">
        <f>IF(Q265="","",Q265)</f>
        <v/>
      </c>
      <c r="E264" s="73"/>
      <c r="F264" s="171" t="s">
        <v>173</v>
      </c>
      <c r="G264" s="148">
        <f>IF(T265="","",T265)</f>
        <v>28</v>
      </c>
      <c r="H264" s="73"/>
      <c r="I264" s="73"/>
      <c r="J264" s="73"/>
      <c r="K264" s="73"/>
      <c r="L264" s="73"/>
      <c r="M264" s="74"/>
      <c r="O264" s="144" t="s">
        <v>297</v>
      </c>
      <c r="P264" s="27"/>
      <c r="Q264" s="27"/>
      <c r="R264" s="27"/>
      <c r="S264" s="27"/>
      <c r="T264" s="27"/>
      <c r="U264" s="27"/>
      <c r="V264" s="27"/>
      <c r="W264" s="27"/>
      <c r="X264" s="27"/>
      <c r="Y264" s="28"/>
      <c r="AA264" s="6"/>
    </row>
    <row r="265" spans="1:34" ht="14.1" customHeight="1">
      <c r="A265" s="21">
        <v>49</v>
      </c>
      <c r="B265" s="72"/>
      <c r="C265" s="171" t="s">
        <v>95</v>
      </c>
      <c r="D265" s="148" t="str">
        <f>IF(Q266="","",Q266)</f>
        <v>W/Rh</v>
      </c>
      <c r="E265" s="73"/>
      <c r="F265" s="171" t="s">
        <v>176</v>
      </c>
      <c r="G265" s="148">
        <f>IF(T266="","",T266)</f>
        <v>100</v>
      </c>
      <c r="H265" s="73"/>
      <c r="I265" s="73"/>
      <c r="J265" s="73"/>
      <c r="K265" s="73"/>
      <c r="L265" s="73"/>
      <c r="M265" s="74"/>
      <c r="O265" s="34"/>
      <c r="P265" s="39" t="s">
        <v>299</v>
      </c>
      <c r="Q265" s="1"/>
      <c r="S265" s="39" t="s">
        <v>173</v>
      </c>
      <c r="T265" s="145">
        <v>28</v>
      </c>
      <c r="V265" s="6"/>
      <c r="W265" s="6"/>
      <c r="Y265" s="36"/>
      <c r="AA265" s="6"/>
    </row>
    <row r="266" spans="1:34" ht="14.1" customHeight="1">
      <c r="A266" s="21">
        <v>50</v>
      </c>
      <c r="B266" s="72"/>
      <c r="C266" s="73"/>
      <c r="D266" s="73"/>
      <c r="E266" s="73"/>
      <c r="F266" s="115" t="s">
        <v>275</v>
      </c>
      <c r="G266" s="73"/>
      <c r="H266" s="73" t="s">
        <v>302</v>
      </c>
      <c r="I266" s="73"/>
      <c r="J266" s="73"/>
      <c r="K266" s="73"/>
      <c r="L266" s="73"/>
      <c r="M266" s="74"/>
      <c r="O266" s="34"/>
      <c r="P266" s="39" t="s">
        <v>95</v>
      </c>
      <c r="Q266" s="145" t="s">
        <v>238</v>
      </c>
      <c r="S266" s="39" t="s">
        <v>176</v>
      </c>
      <c r="T266" s="145">
        <v>100</v>
      </c>
      <c r="Y266" s="36"/>
      <c r="AA266" s="6"/>
    </row>
    <row r="267" spans="1:34" ht="14.1" customHeight="1" thickBot="1">
      <c r="A267" s="21">
        <v>51</v>
      </c>
      <c r="B267" s="72"/>
      <c r="C267" s="115"/>
      <c r="D267" s="115" t="s">
        <v>72</v>
      </c>
      <c r="E267" s="115" t="s">
        <v>284</v>
      </c>
      <c r="F267" s="115" t="s">
        <v>276</v>
      </c>
      <c r="G267" s="115" t="s">
        <v>304</v>
      </c>
      <c r="H267" s="115" t="s">
        <v>305</v>
      </c>
      <c r="I267" s="73"/>
      <c r="J267" s="171" t="s">
        <v>306</v>
      </c>
      <c r="K267" s="149" t="e">
        <f t="shared" ref="K267:K272" si="38">IF(X268="","",X268)</f>
        <v>#DIV/0!</v>
      </c>
      <c r="L267" s="73"/>
      <c r="M267" s="74"/>
      <c r="O267" s="34"/>
      <c r="S267" s="14" t="s">
        <v>275</v>
      </c>
      <c r="U267" s="25" t="s">
        <v>302</v>
      </c>
      <c r="Y267" s="36"/>
    </row>
    <row r="268" spans="1:34" ht="14.1" customHeight="1">
      <c r="A268" s="21">
        <v>52</v>
      </c>
      <c r="B268" s="72"/>
      <c r="C268" s="73"/>
      <c r="D268" s="250" t="str">
        <f t="shared" ref="D268:H273" si="39">IF(Q269="","",Q269)</f>
        <v/>
      </c>
      <c r="E268" s="782" t="str">
        <f t="shared" si="39"/>
        <v/>
      </c>
      <c r="F268" s="214" t="str">
        <f t="shared" si="39"/>
        <v/>
      </c>
      <c r="G268" s="251" t="str">
        <f t="shared" si="39"/>
        <v/>
      </c>
      <c r="H268" s="252" t="str">
        <f t="shared" si="39"/>
        <v/>
      </c>
      <c r="I268" s="73"/>
      <c r="J268" s="171" t="s">
        <v>308</v>
      </c>
      <c r="K268" s="150" t="str">
        <f t="shared" si="38"/>
        <v/>
      </c>
      <c r="L268" s="73"/>
      <c r="M268" s="74"/>
      <c r="O268" s="195"/>
      <c r="Q268" s="14" t="s">
        <v>72</v>
      </c>
      <c r="R268" s="14" t="s">
        <v>284</v>
      </c>
      <c r="S268" s="14" t="s">
        <v>276</v>
      </c>
      <c r="T268" s="14" t="s">
        <v>304</v>
      </c>
      <c r="U268" s="14" t="s">
        <v>305</v>
      </c>
      <c r="W268" s="39" t="s">
        <v>306</v>
      </c>
      <c r="X268" s="288" t="e">
        <f>IF(T265="","",T265*HLOOKUP($Q$266,Tables!D78:F80,2)+HLOOKUP(Sheet1!$Q$266,Tables!D78:F80,3))</f>
        <v>#DIV/0!</v>
      </c>
      <c r="Y268" s="36"/>
    </row>
    <row r="269" spans="1:34" ht="14.1" customHeight="1">
      <c r="A269" s="21">
        <v>53</v>
      </c>
      <c r="B269" s="72"/>
      <c r="C269" s="73"/>
      <c r="D269" s="253" t="str">
        <f t="shared" si="39"/>
        <v/>
      </c>
      <c r="E269" s="114" t="str">
        <f t="shared" si="39"/>
        <v/>
      </c>
      <c r="F269" s="15" t="str">
        <f t="shared" si="39"/>
        <v/>
      </c>
      <c r="G269" s="17" t="str">
        <f t="shared" si="39"/>
        <v/>
      </c>
      <c r="H269" s="254" t="str">
        <f t="shared" si="39"/>
        <v/>
      </c>
      <c r="I269" s="73"/>
      <c r="J269" s="171" t="s">
        <v>310</v>
      </c>
      <c r="K269" s="255" t="str">
        <f t="shared" si="38"/>
        <v>TBD</v>
      </c>
      <c r="L269" s="73"/>
      <c r="M269" s="74"/>
      <c r="O269" s="195"/>
      <c r="Q269" s="153"/>
      <c r="R269" s="153"/>
      <c r="S269" s="153"/>
      <c r="T269" s="331" t="str">
        <f>IF(Q269="","",Q269/$T$266)</f>
        <v/>
      </c>
      <c r="U269" s="333" t="str">
        <f>IF(Q269="","",($T$265^2*HLOOKUP($Q$266,Tables!$D$70:$F$72,2)+HLOOKUP(Sheet1!$Q$266,Tables!$D$70:$F$72,3))*Q269)</f>
        <v/>
      </c>
      <c r="W269" s="39" t="s">
        <v>308</v>
      </c>
      <c r="X269" s="288" t="str">
        <f>IF(U273="","",U273)</f>
        <v/>
      </c>
      <c r="Y269" s="36"/>
    </row>
    <row r="270" spans="1:34" ht="14.1" customHeight="1">
      <c r="A270" s="21">
        <v>54</v>
      </c>
      <c r="B270" s="72"/>
      <c r="C270" s="73"/>
      <c r="D270" s="253" t="str">
        <f t="shared" si="39"/>
        <v/>
      </c>
      <c r="E270" s="114" t="str">
        <f t="shared" si="39"/>
        <v/>
      </c>
      <c r="F270" s="15" t="str">
        <f t="shared" si="39"/>
        <v/>
      </c>
      <c r="G270" s="17" t="str">
        <f t="shared" si="39"/>
        <v/>
      </c>
      <c r="H270" s="254" t="str">
        <f t="shared" si="39"/>
        <v/>
      </c>
      <c r="I270" s="73"/>
      <c r="J270" s="171" t="s">
        <v>312</v>
      </c>
      <c r="K270" s="150" t="str">
        <f t="shared" si="38"/>
        <v/>
      </c>
      <c r="L270" s="73"/>
      <c r="M270" s="74"/>
      <c r="O270" s="195"/>
      <c r="Q270" s="153"/>
      <c r="R270" s="153"/>
      <c r="S270" s="153"/>
      <c r="T270" s="331" t="str">
        <f>IF(Q270="","",Q270/$T$266)</f>
        <v/>
      </c>
      <c r="U270" s="333" t="str">
        <f>IF(Q270="","",($T$265^2*HLOOKUP($Q$266,Tables!$D$70:$F$72,2)+HLOOKUP(Sheet1!$Q$266,Tables!$D$70:$F$72,3))*Q270)</f>
        <v/>
      </c>
      <c r="W270" s="39" t="s">
        <v>310</v>
      </c>
      <c r="X270" s="266" t="str">
        <f>IF(Q266="","",HLOOKUP(Q266,Tables!A83:F84,2))</f>
        <v>TBD</v>
      </c>
      <c r="Y270" s="36"/>
    </row>
    <row r="271" spans="1:34" ht="14.1" customHeight="1" thickBot="1">
      <c r="A271" s="21">
        <v>55</v>
      </c>
      <c r="B271" s="72"/>
      <c r="C271" s="73"/>
      <c r="D271" s="257" t="str">
        <f t="shared" si="39"/>
        <v/>
      </c>
      <c r="E271" s="783" t="str">
        <f t="shared" si="39"/>
        <v/>
      </c>
      <c r="F271" s="217" t="str">
        <f t="shared" si="39"/>
        <v/>
      </c>
      <c r="G271" s="258" t="str">
        <f t="shared" si="39"/>
        <v/>
      </c>
      <c r="H271" s="259" t="str">
        <f t="shared" si="39"/>
        <v/>
      </c>
      <c r="I271" s="73"/>
      <c r="J271" s="171" t="s">
        <v>313</v>
      </c>
      <c r="K271" s="150" t="str">
        <f t="shared" si="38"/>
        <v/>
      </c>
      <c r="L271" s="73"/>
      <c r="M271" s="74"/>
      <c r="O271" s="195"/>
      <c r="Q271" s="153"/>
      <c r="R271" s="153"/>
      <c r="S271" s="153"/>
      <c r="T271" s="331" t="str">
        <f>IF(Q271="","",Q271/$T$266)</f>
        <v/>
      </c>
      <c r="U271" s="333" t="str">
        <f>IF(Q271="","",($T$265^2*HLOOKUP($Q$266,Tables!$D$70:$F$72,2)+HLOOKUP(Sheet1!$Q$266,Tables!$D$70:$F$72,3))*Q271)</f>
        <v/>
      </c>
      <c r="W271" s="39" t="s">
        <v>312</v>
      </c>
      <c r="X271" s="267" t="str">
        <f>IF(ESE="","",ESE*Tables!D84)</f>
        <v/>
      </c>
      <c r="Y271" s="36"/>
    </row>
    <row r="272" spans="1:34" ht="14.1" customHeight="1">
      <c r="A272" s="21">
        <v>56</v>
      </c>
      <c r="B272" s="72"/>
      <c r="C272" s="171" t="s">
        <v>272</v>
      </c>
      <c r="D272" s="253" t="str">
        <f t="shared" si="39"/>
        <v/>
      </c>
      <c r="E272" s="114" t="str">
        <f t="shared" si="39"/>
        <v/>
      </c>
      <c r="F272" s="16" t="str">
        <f t="shared" si="39"/>
        <v/>
      </c>
      <c r="G272" s="17" t="str">
        <f t="shared" si="39"/>
        <v/>
      </c>
      <c r="H272" s="254" t="str">
        <f t="shared" si="39"/>
        <v/>
      </c>
      <c r="I272" s="73"/>
      <c r="J272" s="171" t="s">
        <v>315</v>
      </c>
      <c r="K272" s="260" t="str">
        <f t="shared" si="38"/>
        <v/>
      </c>
      <c r="L272" s="73"/>
      <c r="M272" s="74"/>
      <c r="O272" s="195"/>
      <c r="Q272" s="153"/>
      <c r="R272" s="153"/>
      <c r="S272" s="153"/>
      <c r="T272" s="331" t="str">
        <f>IF(Q272="","",Q272/$T$266)</f>
        <v/>
      </c>
      <c r="U272" s="333" t="str">
        <f>IF(Q272="","",($T$265^2*HLOOKUP($Q$266,Tables!$D$70:$F$72,2)+HLOOKUP(Sheet1!$Q$266,Tables!$D$70:$F$72,3))*Q272)</f>
        <v/>
      </c>
      <c r="W272" s="39" t="s">
        <v>313</v>
      </c>
      <c r="X272" s="268" t="str">
        <f>IF(AB85="","",AB85)</f>
        <v/>
      </c>
      <c r="Y272" s="36"/>
    </row>
    <row r="273" spans="1:25" ht="14.1" customHeight="1" thickBot="1">
      <c r="A273" s="21">
        <v>57</v>
      </c>
      <c r="B273" s="72"/>
      <c r="C273" s="171" t="s">
        <v>274</v>
      </c>
      <c r="D273" s="199" t="str">
        <f t="shared" si="39"/>
        <v/>
      </c>
      <c r="E273" s="193" t="str">
        <f t="shared" si="39"/>
        <v/>
      </c>
      <c r="F273" s="193" t="str">
        <f t="shared" si="39"/>
        <v/>
      </c>
      <c r="G273" s="193" t="str">
        <f t="shared" si="39"/>
        <v/>
      </c>
      <c r="H273" s="194" t="str">
        <f t="shared" si="39"/>
        <v/>
      </c>
      <c r="I273" s="73"/>
      <c r="J273" s="73"/>
      <c r="K273" s="73"/>
      <c r="L273" s="73"/>
      <c r="M273" s="74"/>
      <c r="O273" s="195"/>
      <c r="P273" s="39" t="s">
        <v>272</v>
      </c>
      <c r="Q273" s="75" t="str">
        <f>IF(OR(Q269="",Q270="",Q271="",Q272=""),"",AVERAGE(Q269:Q272))</f>
        <v/>
      </c>
      <c r="R273" s="269" t="str">
        <f>IF(OR(R269="",R270="",R271="",R272=""),"",AVERAGE(R269:R272))</f>
        <v/>
      </c>
      <c r="S273" s="76" t="str">
        <f>IF(OR(S269="",S270="",S271="",S272=""),"",AVERAGE(S269:S272))</f>
        <v/>
      </c>
      <c r="T273" s="270" t="str">
        <f>IF(OR(T269="",T270="",T271="",T272=""),"",AVERAGE(T269:T272))</f>
        <v/>
      </c>
      <c r="U273" s="332" t="str">
        <f>IF(OR(U269="",U270="",U271="",U272=""),"",AVERAGE(U269:U272))</f>
        <v/>
      </c>
      <c r="W273" s="39" t="s">
        <v>315</v>
      </c>
      <c r="X273" s="271" t="str">
        <f>IF(OR(X271="",X272=""),"",(X271-X272)/X272)</f>
        <v/>
      </c>
      <c r="Y273" s="36"/>
    </row>
    <row r="274" spans="1:25" ht="14.1" customHeight="1">
      <c r="A274" s="21">
        <v>58</v>
      </c>
      <c r="B274" s="72"/>
      <c r="C274" s="5" t="s">
        <v>204</v>
      </c>
      <c r="D274" s="109" t="s">
        <v>316</v>
      </c>
      <c r="E274" s="73"/>
      <c r="F274" s="73"/>
      <c r="G274" s="73"/>
      <c r="H274" s="73"/>
      <c r="I274" s="73"/>
      <c r="J274" s="171" t="s">
        <v>317</v>
      </c>
      <c r="K274" s="261" t="str">
        <f>IF(X276="","",X276)</f>
        <v/>
      </c>
      <c r="L274" s="73"/>
      <c r="M274" s="74"/>
      <c r="O274" s="195"/>
      <c r="P274" s="39" t="s">
        <v>274</v>
      </c>
      <c r="Q274" s="264" t="str">
        <f>IF(Q273="","",_xlfn.STDEV.S(Q269:Q272)/Q273)</f>
        <v/>
      </c>
      <c r="R274" s="264" t="str">
        <f>IF(R273="","",_xlfn.STDEV.S(R269:R272)/R273)</f>
        <v/>
      </c>
      <c r="S274" s="264" t="str">
        <f>IF(S273="","",_xlfn.STDEV.S(S269:S272)/S273)</f>
        <v/>
      </c>
      <c r="T274" s="264" t="str">
        <f>IF(T273="","",_xlfn.STDEV.S(T269:T272)/T273)</f>
        <v/>
      </c>
      <c r="U274" s="264" t="str">
        <f>IF(U273="","",_xlfn.STDEV.S(U269:U272)/U273)</f>
        <v/>
      </c>
      <c r="W274" s="6"/>
      <c r="X274" s="6"/>
      <c r="Y274" s="36"/>
    </row>
    <row r="275" spans="1:25" ht="14.1" customHeight="1">
      <c r="A275" s="21">
        <v>59</v>
      </c>
      <c r="B275" s="72"/>
      <c r="C275" s="73"/>
      <c r="D275" s="109" t="s">
        <v>318</v>
      </c>
      <c r="E275" s="73"/>
      <c r="F275" s="73"/>
      <c r="G275" s="73"/>
      <c r="H275" s="73"/>
      <c r="I275" s="73"/>
      <c r="J275" s="171" t="s">
        <v>319</v>
      </c>
      <c r="K275" s="262" t="str">
        <f>IF(X277="","",X277)</f>
        <v/>
      </c>
      <c r="L275" s="73"/>
      <c r="M275" s="74"/>
      <c r="O275" s="34"/>
      <c r="P275" s="6"/>
      <c r="Q275" s="6"/>
      <c r="R275" s="6"/>
      <c r="S275" s="6"/>
      <c r="T275" s="6"/>
      <c r="U275" s="6"/>
      <c r="Y275" s="36"/>
    </row>
    <row r="276" spans="1:25" ht="14.1" customHeight="1">
      <c r="A276" s="21">
        <v>60</v>
      </c>
      <c r="B276" s="72"/>
      <c r="C276" s="73"/>
      <c r="D276" s="73"/>
      <c r="E276" s="73"/>
      <c r="F276" s="73"/>
      <c r="G276" s="73"/>
      <c r="H276" s="73"/>
      <c r="I276" s="73"/>
      <c r="J276" s="73"/>
      <c r="K276" s="73"/>
      <c r="L276" s="73"/>
      <c r="M276" s="74"/>
      <c r="O276" s="34"/>
      <c r="P276" s="272" t="s">
        <v>204</v>
      </c>
      <c r="Q276" s="200" t="s">
        <v>316</v>
      </c>
      <c r="W276" s="39" t="s">
        <v>317</v>
      </c>
      <c r="X276" s="261" t="str">
        <f>IF(X271="","",(X271-AVERAGE(S269:S272))/AVERAGE(S269:S272))</f>
        <v/>
      </c>
      <c r="Y276" s="36"/>
    </row>
    <row r="277" spans="1:25" ht="14.1" customHeight="1">
      <c r="A277" s="21">
        <v>61</v>
      </c>
      <c r="B277" s="72"/>
      <c r="C277" s="73"/>
      <c r="D277" s="73"/>
      <c r="E277" s="73"/>
      <c r="F277" s="73"/>
      <c r="G277" s="73"/>
      <c r="H277" s="73"/>
      <c r="I277" s="73"/>
      <c r="J277" s="73"/>
      <c r="K277" s="73"/>
      <c r="L277" s="73"/>
      <c r="M277" s="74"/>
      <c r="O277" s="34"/>
      <c r="P277" s="6"/>
      <c r="Q277" s="200" t="s">
        <v>521</v>
      </c>
      <c r="W277" s="39" t="s">
        <v>319</v>
      </c>
      <c r="X277" s="262" t="str">
        <f>IF(OR(X271="",Q273=""),"",3/(X271/Q273))</f>
        <v/>
      </c>
      <c r="Y277" s="36"/>
    </row>
    <row r="278" spans="1:25" ht="14.1" customHeight="1" thickBot="1">
      <c r="A278" s="21">
        <v>62</v>
      </c>
      <c r="B278" s="72"/>
      <c r="C278" s="73"/>
      <c r="D278" s="73"/>
      <c r="E278" s="73"/>
      <c r="F278" s="73"/>
      <c r="G278" s="73"/>
      <c r="H278" s="73"/>
      <c r="I278" s="73"/>
      <c r="J278" s="73"/>
      <c r="K278" s="73"/>
      <c r="L278" s="73"/>
      <c r="M278" s="74"/>
      <c r="O278" s="44"/>
      <c r="P278" s="201"/>
      <c r="Q278" s="201"/>
      <c r="R278" s="45"/>
      <c r="S278" s="45"/>
      <c r="T278" s="201"/>
      <c r="U278" s="201"/>
      <c r="V278" s="45"/>
      <c r="W278" s="275"/>
      <c r="X278" s="45"/>
      <c r="Y278" s="46"/>
    </row>
    <row r="279" spans="1:25" ht="14.1" customHeight="1">
      <c r="A279" s="21">
        <v>63</v>
      </c>
      <c r="B279" s="72"/>
      <c r="C279" s="73"/>
      <c r="D279" s="73"/>
      <c r="E279" s="73"/>
      <c r="F279" s="73"/>
      <c r="G279" s="73"/>
      <c r="H279" s="73"/>
      <c r="I279" s="73"/>
      <c r="J279" s="73"/>
      <c r="K279" s="73"/>
      <c r="L279" s="73"/>
      <c r="M279" s="74"/>
      <c r="O279" s="144" t="s">
        <v>331</v>
      </c>
      <c r="P279" s="242"/>
      <c r="Q279" s="242"/>
      <c r="R279" s="27"/>
      <c r="S279" s="27"/>
      <c r="T279" s="242"/>
      <c r="U279" s="242"/>
      <c r="V279" s="27"/>
      <c r="W279" s="27"/>
      <c r="X279" s="27"/>
      <c r="Y279" s="28"/>
    </row>
    <row r="280" spans="1:25" ht="14.1" customHeight="1">
      <c r="A280" s="21">
        <v>64</v>
      </c>
      <c r="B280" s="72"/>
      <c r="C280" s="73"/>
      <c r="D280" s="73"/>
      <c r="E280" s="73"/>
      <c r="F280" s="73"/>
      <c r="G280" s="73"/>
      <c r="H280" s="73"/>
      <c r="I280" s="73"/>
      <c r="J280" s="73"/>
      <c r="K280" s="73"/>
      <c r="L280" s="73"/>
      <c r="M280" s="74"/>
      <c r="O280" s="34" t="s">
        <v>333</v>
      </c>
      <c r="P280" s="145"/>
      <c r="R280" s="39" t="s">
        <v>334</v>
      </c>
      <c r="S280" s="278"/>
      <c r="Y280" s="36"/>
    </row>
    <row r="281" spans="1:25" ht="14.1" customHeight="1">
      <c r="A281" s="21">
        <v>65</v>
      </c>
      <c r="B281" s="72"/>
      <c r="C281" s="73"/>
      <c r="D281" s="73"/>
      <c r="E281" s="73"/>
      <c r="F281" s="73"/>
      <c r="G281" s="73"/>
      <c r="H281" s="73"/>
      <c r="I281" s="73"/>
      <c r="J281" s="73"/>
      <c r="K281" s="73"/>
      <c r="L281" s="73"/>
      <c r="M281" s="74"/>
      <c r="O281" s="34" t="s">
        <v>335</v>
      </c>
      <c r="P281" s="145"/>
      <c r="R281" s="39" t="s">
        <v>336</v>
      </c>
      <c r="S281" s="278"/>
      <c r="Y281" s="36"/>
    </row>
    <row r="282" spans="1:25" ht="14.1" customHeight="1">
      <c r="A282" s="21">
        <v>66</v>
      </c>
      <c r="B282" s="72"/>
      <c r="C282" s="73"/>
      <c r="D282" s="73"/>
      <c r="E282" s="73"/>
      <c r="F282" s="73"/>
      <c r="G282" s="73"/>
      <c r="H282" s="73"/>
      <c r="I282" s="73"/>
      <c r="J282" s="73"/>
      <c r="K282" s="73"/>
      <c r="L282" s="73"/>
      <c r="M282" s="74"/>
      <c r="O282" s="34"/>
      <c r="S282" s="762" t="s">
        <v>337</v>
      </c>
      <c r="T282" s="762"/>
      <c r="U282" s="762"/>
      <c r="V282" s="14"/>
      <c r="W282" s="14"/>
      <c r="Y282" s="36"/>
    </row>
    <row r="283" spans="1:25" ht="14.1" customHeight="1">
      <c r="A283" s="21">
        <v>67</v>
      </c>
      <c r="B283" s="72"/>
      <c r="C283" s="73"/>
      <c r="D283" s="73"/>
      <c r="E283" s="73"/>
      <c r="F283" s="73"/>
      <c r="G283" s="73"/>
      <c r="H283" s="73"/>
      <c r="I283" s="73"/>
      <c r="J283" s="73"/>
      <c r="K283" s="73"/>
      <c r="L283" s="73"/>
      <c r="M283" s="74"/>
      <c r="O283" s="34"/>
      <c r="P283" s="25" t="s">
        <v>71</v>
      </c>
      <c r="Q283" s="14" t="s">
        <v>269</v>
      </c>
      <c r="R283" s="14" t="s">
        <v>72</v>
      </c>
      <c r="S283" s="14" t="s">
        <v>25</v>
      </c>
      <c r="T283" s="14" t="s">
        <v>26</v>
      </c>
      <c r="U283" s="14" t="s">
        <v>27</v>
      </c>
      <c r="V283" s="14" t="s">
        <v>338</v>
      </c>
      <c r="W283" s="14" t="s">
        <v>339</v>
      </c>
      <c r="X283" s="14" t="s">
        <v>519</v>
      </c>
      <c r="Y283" s="36"/>
    </row>
    <row r="284" spans="1:25" ht="14.1" customHeight="1">
      <c r="A284" s="21">
        <v>68</v>
      </c>
      <c r="B284" s="72"/>
      <c r="C284" s="73"/>
      <c r="D284" s="73"/>
      <c r="E284" s="73"/>
      <c r="F284" s="73"/>
      <c r="G284" s="73"/>
      <c r="H284" s="73"/>
      <c r="I284" s="73"/>
      <c r="J284" s="73"/>
      <c r="K284" s="73"/>
      <c r="L284" s="73"/>
      <c r="M284" s="74"/>
      <c r="O284" s="34"/>
      <c r="P284" s="485" t="str">
        <f>AK10&amp;"/"&amp;AL10</f>
        <v>Mo/Mo</v>
      </c>
      <c r="Q284" s="348">
        <f t="shared" ref="Q284:R286" si="40">AH10</f>
        <v>24</v>
      </c>
      <c r="R284" s="15">
        <f t="shared" si="40"/>
        <v>50</v>
      </c>
      <c r="S284" s="16" t="str">
        <f>IF(AQ10="","",AQ10)</f>
        <v/>
      </c>
      <c r="T284" s="16" t="str">
        <f t="shared" ref="T284:U286" si="41">IF(AN10="","",AN10)</f>
        <v/>
      </c>
      <c r="U284" s="16" t="str">
        <f t="shared" si="41"/>
        <v/>
      </c>
      <c r="V284" s="17" t="str">
        <f t="shared" ref="V284:V294" si="42">IF(U284="","",U284/R284)</f>
        <v/>
      </c>
      <c r="W284" s="18" t="str">
        <f t="shared" ref="W284:W294" si="43">IF(U284="","",U284/(T284/1000))</f>
        <v/>
      </c>
      <c r="X284" s="19" t="str">
        <f>IF(S284="","",(S284-Q284)/Q284)</f>
        <v/>
      </c>
      <c r="Y284" s="36"/>
    </row>
    <row r="285" spans="1:25" ht="14.1" customHeight="1">
      <c r="A285" s="21">
        <v>69</v>
      </c>
      <c r="B285" s="72"/>
      <c r="C285" s="73"/>
      <c r="D285" s="73"/>
      <c r="E285" s="73"/>
      <c r="F285" s="73"/>
      <c r="G285" s="73"/>
      <c r="H285" s="73"/>
      <c r="I285" s="73"/>
      <c r="J285" s="73"/>
      <c r="K285" s="73"/>
      <c r="L285" s="73"/>
      <c r="M285" s="74"/>
      <c r="O285" s="34"/>
      <c r="P285" s="486"/>
      <c r="Q285" s="349">
        <f t="shared" si="40"/>
        <v>26</v>
      </c>
      <c r="R285" s="15">
        <f t="shared" si="40"/>
        <v>50</v>
      </c>
      <c r="S285" s="16" t="str">
        <f>IF(AQ11="","",AQ11)</f>
        <v/>
      </c>
      <c r="T285" s="16" t="str">
        <f t="shared" si="41"/>
        <v/>
      </c>
      <c r="U285" s="16" t="str">
        <f t="shared" si="41"/>
        <v/>
      </c>
      <c r="V285" s="17" t="str">
        <f t="shared" si="42"/>
        <v/>
      </c>
      <c r="W285" s="16" t="str">
        <f t="shared" si="43"/>
        <v/>
      </c>
      <c r="X285" s="19" t="str">
        <f t="shared" ref="X285:X299" si="44">IF(S285="","",(S285-Q285)/Q285)</f>
        <v/>
      </c>
      <c r="Y285" s="36"/>
    </row>
    <row r="286" spans="1:25" ht="14.1" customHeight="1" thickBot="1">
      <c r="A286" s="21">
        <v>70</v>
      </c>
      <c r="B286" s="85"/>
      <c r="C286" s="86"/>
      <c r="D286" s="86"/>
      <c r="E286" s="86"/>
      <c r="F286" s="86"/>
      <c r="G286" s="86"/>
      <c r="H286" s="86"/>
      <c r="I286" s="86"/>
      <c r="J286" s="86"/>
      <c r="K286" s="86"/>
      <c r="L286" s="86"/>
      <c r="M286" s="87"/>
      <c r="O286" s="34"/>
      <c r="P286" s="486"/>
      <c r="Q286" s="348">
        <f t="shared" si="40"/>
        <v>28</v>
      </c>
      <c r="R286" s="15">
        <f t="shared" si="40"/>
        <v>50</v>
      </c>
      <c r="S286" s="16" t="str">
        <f>IF(AQ12="","",AQ12)</f>
        <v/>
      </c>
      <c r="T286" s="16" t="str">
        <f t="shared" si="41"/>
        <v/>
      </c>
      <c r="U286" s="16" t="str">
        <f t="shared" si="41"/>
        <v/>
      </c>
      <c r="V286" s="17" t="str">
        <f t="shared" si="42"/>
        <v/>
      </c>
      <c r="W286" s="16" t="str">
        <f t="shared" si="43"/>
        <v/>
      </c>
      <c r="X286" s="19" t="str">
        <f t="shared" si="44"/>
        <v/>
      </c>
      <c r="Y286" s="36"/>
    </row>
    <row r="287" spans="1:25" ht="14.1" customHeight="1" thickTop="1">
      <c r="A287" s="21">
        <v>71</v>
      </c>
      <c r="C287" s="117" t="s">
        <v>11</v>
      </c>
      <c r="D287" s="422" t="str">
        <f>IF($P$7="","",$P$7)</f>
        <v/>
      </c>
      <c r="E287" s="31"/>
      <c r="F287" s="31"/>
      <c r="G287" s="31"/>
      <c r="H287" s="31"/>
      <c r="I287" s="31"/>
      <c r="J287" s="31"/>
      <c r="K287" s="31"/>
      <c r="L287" s="117" t="s">
        <v>12</v>
      </c>
      <c r="M287" s="423" t="str">
        <f>IF($X$7="","",$X$7)</f>
        <v>Eugene Mah</v>
      </c>
      <c r="O287" s="34"/>
      <c r="P287" s="486"/>
      <c r="Q287" s="348">
        <f>AH23</f>
        <v>30</v>
      </c>
      <c r="R287" s="15">
        <f>AI23</f>
        <v>50</v>
      </c>
      <c r="S287" s="16" t="str">
        <f>IF(AQ23="","",AQ23)</f>
        <v/>
      </c>
      <c r="T287" s="16" t="str">
        <f>IF(AN23="","",AN23)</f>
        <v/>
      </c>
      <c r="U287" s="16" t="str">
        <f>IF(AO23="","",AO23)</f>
        <v/>
      </c>
      <c r="V287" s="17" t="str">
        <f t="shared" si="42"/>
        <v/>
      </c>
      <c r="W287" s="16" t="str">
        <f t="shared" si="43"/>
        <v/>
      </c>
      <c r="X287" s="19" t="str">
        <f t="shared" si="44"/>
        <v/>
      </c>
      <c r="Y287" s="36"/>
    </row>
    <row r="288" spans="1:25" ht="14.1" customHeight="1">
      <c r="A288" s="21">
        <v>72</v>
      </c>
      <c r="C288" s="117" t="s">
        <v>121</v>
      </c>
      <c r="D288" s="423" t="str">
        <f>IF($R$14="","",$R$14)</f>
        <v/>
      </c>
      <c r="E288" s="31"/>
      <c r="F288" s="31"/>
      <c r="G288" s="31"/>
      <c r="H288" s="31"/>
      <c r="I288" s="31"/>
      <c r="J288" s="31"/>
      <c r="K288" s="31"/>
      <c r="L288" s="117" t="s">
        <v>37</v>
      </c>
      <c r="M288" s="423" t="str">
        <f>IF($R$13="","",$R$13)</f>
        <v/>
      </c>
      <c r="O288" s="34"/>
      <c r="P288" s="486"/>
      <c r="Q288" s="348">
        <f>AH24</f>
        <v>32</v>
      </c>
      <c r="R288" s="15">
        <f>AI24</f>
        <v>50</v>
      </c>
      <c r="S288" s="16" t="str">
        <f>IF(AQ24="","",AQ24)</f>
        <v/>
      </c>
      <c r="T288" s="16" t="str">
        <f>IF(AN24="","",AN24)</f>
        <v/>
      </c>
      <c r="U288" s="16" t="str">
        <f>IF(AO24="","",AO24)</f>
        <v/>
      </c>
      <c r="V288" s="17" t="str">
        <f t="shared" si="42"/>
        <v/>
      </c>
      <c r="W288" s="16" t="str">
        <f t="shared" si="43"/>
        <v/>
      </c>
      <c r="X288" s="19" t="str">
        <f t="shared" si="44"/>
        <v/>
      </c>
      <c r="Y288" s="36"/>
    </row>
    <row r="289" spans="1:25" ht="14.1" customHeight="1">
      <c r="A289" s="21">
        <v>1</v>
      </c>
      <c r="M289" s="120" t="str">
        <f>$H$2</f>
        <v>Medical University of South Carolina</v>
      </c>
      <c r="O289" s="34"/>
      <c r="P289" s="462"/>
      <c r="Q289" s="348">
        <f t="shared" ref="Q289:R291" si="45">AH30</f>
        <v>34</v>
      </c>
      <c r="R289" s="15">
        <f t="shared" si="45"/>
        <v>50</v>
      </c>
      <c r="S289" s="16" t="str">
        <f>IF(AQ30="","",AQ30)</f>
        <v/>
      </c>
      <c r="T289" s="16" t="str">
        <f t="shared" ref="T289:U291" si="46">IF(AN30="","",AN30)</f>
        <v/>
      </c>
      <c r="U289" s="16" t="str">
        <f t="shared" si="46"/>
        <v/>
      </c>
      <c r="V289" s="17" t="str">
        <f t="shared" si="42"/>
        <v/>
      </c>
      <c r="W289" s="16" t="str">
        <f t="shared" si="43"/>
        <v/>
      </c>
      <c r="X289" s="19" t="str">
        <f t="shared" si="44"/>
        <v/>
      </c>
      <c r="Y289" s="36"/>
    </row>
    <row r="290" spans="1:25" ht="14.1" customHeight="1" thickBot="1">
      <c r="A290" s="21">
        <v>2</v>
      </c>
      <c r="H290" s="55" t="s">
        <v>73</v>
      </c>
      <c r="M290" s="121" t="str">
        <f>$H$5</f>
        <v>Mammography System Compliance Inspection</v>
      </c>
      <c r="O290" s="34"/>
      <c r="P290" s="487" t="str">
        <f>AK31&amp;"/"&amp;AL31</f>
        <v>Mo/Rh</v>
      </c>
      <c r="Q290" s="348">
        <f t="shared" si="45"/>
        <v>26</v>
      </c>
      <c r="R290" s="15">
        <f t="shared" si="45"/>
        <v>50</v>
      </c>
      <c r="S290" s="16" t="str">
        <f>IF(AQ31="","",AQ31)</f>
        <v/>
      </c>
      <c r="T290" s="16" t="str">
        <f t="shared" si="46"/>
        <v/>
      </c>
      <c r="U290" s="16" t="str">
        <f t="shared" si="46"/>
        <v/>
      </c>
      <c r="V290" s="17" t="str">
        <f t="shared" si="42"/>
        <v/>
      </c>
      <c r="W290" s="16" t="str">
        <f t="shared" si="43"/>
        <v/>
      </c>
      <c r="X290" s="19" t="str">
        <f t="shared" si="44"/>
        <v/>
      </c>
      <c r="Y290" s="36"/>
    </row>
    <row r="291" spans="1:25" ht="14.1" customHeight="1" thickTop="1">
      <c r="A291" s="21">
        <v>3</v>
      </c>
      <c r="B291" s="63"/>
      <c r="C291" s="281" t="s">
        <v>333</v>
      </c>
      <c r="D291" s="282" t="str">
        <f>IF(P280="","",P280)</f>
        <v/>
      </c>
      <c r="E291" s="281" t="s">
        <v>340</v>
      </c>
      <c r="F291" s="617" t="str">
        <f>IF(P281="","",P281)</f>
        <v/>
      </c>
      <c r="G291" s="64"/>
      <c r="H291" s="281" t="s">
        <v>334</v>
      </c>
      <c r="I291" s="772" t="str">
        <f>IF(S280="","",S280)</f>
        <v/>
      </c>
      <c r="J291" s="772"/>
      <c r="K291" s="64"/>
      <c r="L291" s="64"/>
      <c r="M291" s="66"/>
      <c r="O291" s="34"/>
      <c r="P291" s="488"/>
      <c r="Q291" s="348">
        <f t="shared" si="45"/>
        <v>28</v>
      </c>
      <c r="R291" s="15">
        <f t="shared" si="45"/>
        <v>50</v>
      </c>
      <c r="S291" s="16" t="str">
        <f>IF(AQ32="","",AQ32)</f>
        <v/>
      </c>
      <c r="T291" s="16" t="str">
        <f t="shared" si="46"/>
        <v/>
      </c>
      <c r="U291" s="16" t="str">
        <f t="shared" si="46"/>
        <v/>
      </c>
      <c r="V291" s="17" t="str">
        <f t="shared" si="42"/>
        <v/>
      </c>
      <c r="W291" s="16" t="str">
        <f t="shared" si="43"/>
        <v/>
      </c>
      <c r="X291" s="19" t="str">
        <f t="shared" si="44"/>
        <v/>
      </c>
      <c r="Y291" s="36"/>
    </row>
    <row r="292" spans="1:25" ht="14.1" customHeight="1">
      <c r="A292" s="21">
        <v>4</v>
      </c>
      <c r="B292" s="72"/>
      <c r="C292" s="6"/>
      <c r="D292" s="6"/>
      <c r="E292" s="6"/>
      <c r="F292" s="6"/>
      <c r="G292" s="6"/>
      <c r="H292" s="171" t="s">
        <v>336</v>
      </c>
      <c r="I292" s="773" t="str">
        <f>IF(S281="","",S281)</f>
        <v/>
      </c>
      <c r="J292" s="773"/>
      <c r="K292" s="6"/>
      <c r="M292" s="74"/>
      <c r="O292" s="170"/>
      <c r="P292" s="488"/>
      <c r="Q292" s="348">
        <f>AH38</f>
        <v>30</v>
      </c>
      <c r="R292" s="15">
        <f>AI38</f>
        <v>50</v>
      </c>
      <c r="S292" s="16" t="str">
        <f>IF(AQ38="","",AQ38)</f>
        <v/>
      </c>
      <c r="T292" s="16" t="str">
        <f>IF(AN38="","",AN38)</f>
        <v/>
      </c>
      <c r="U292" s="16" t="str">
        <f>IF(AO38="","",AO38)</f>
        <v/>
      </c>
      <c r="V292" s="17" t="str">
        <f t="shared" si="42"/>
        <v/>
      </c>
      <c r="W292" s="16" t="str">
        <f t="shared" si="43"/>
        <v/>
      </c>
      <c r="X292" s="19" t="str">
        <f t="shared" si="44"/>
        <v/>
      </c>
      <c r="Y292" s="36"/>
    </row>
    <row r="293" spans="1:25" ht="14.1" customHeight="1">
      <c r="A293" s="21">
        <v>5</v>
      </c>
      <c r="B293" s="72"/>
      <c r="C293" s="154" t="s">
        <v>331</v>
      </c>
      <c r="D293" s="73"/>
      <c r="E293" s="73"/>
      <c r="F293" s="73"/>
      <c r="G293" s="73"/>
      <c r="H293" s="73"/>
      <c r="I293" s="73"/>
      <c r="J293" s="73"/>
      <c r="K293" s="73"/>
      <c r="M293" s="74"/>
      <c r="O293" s="34"/>
      <c r="P293" s="488"/>
      <c r="Q293" s="348">
        <f>AH39</f>
        <v>32</v>
      </c>
      <c r="R293" s="15">
        <f>AI39</f>
        <v>50</v>
      </c>
      <c r="S293" s="16" t="str">
        <f>IF(AQ39="","",AQ39)</f>
        <v/>
      </c>
      <c r="T293" s="16" t="str">
        <f>IF(AN39="","",AN39)</f>
        <v/>
      </c>
      <c r="U293" s="16" t="str">
        <f>IF(AO39="","",AO39)</f>
        <v/>
      </c>
      <c r="V293" s="17" t="str">
        <f t="shared" si="42"/>
        <v/>
      </c>
      <c r="W293" s="16" t="str">
        <f t="shared" si="43"/>
        <v/>
      </c>
      <c r="X293" s="19" t="str">
        <f t="shared" si="44"/>
        <v/>
      </c>
      <c r="Y293" s="36"/>
    </row>
    <row r="294" spans="1:25" ht="14.1" customHeight="1">
      <c r="A294" s="21">
        <v>6</v>
      </c>
      <c r="B294" s="72"/>
      <c r="C294" s="171"/>
      <c r="F294" s="762" t="s">
        <v>337</v>
      </c>
      <c r="G294" s="762"/>
      <c r="H294" s="762"/>
      <c r="I294" s="355"/>
      <c r="J294" s="355"/>
      <c r="K294" s="115"/>
      <c r="M294" s="74"/>
      <c r="O294" s="34"/>
      <c r="P294" s="406"/>
      <c r="Q294" s="348">
        <f t="shared" ref="Q294:R296" si="47">AH45</f>
        <v>34</v>
      </c>
      <c r="R294" s="15">
        <f t="shared" si="47"/>
        <v>50</v>
      </c>
      <c r="S294" s="16" t="str">
        <f>IF(AQ45="","",AQ45)</f>
        <v/>
      </c>
      <c r="T294" s="16" t="str">
        <f t="shared" ref="T294:U296" si="48">IF(AN45="","",AN45)</f>
        <v/>
      </c>
      <c r="U294" s="16" t="str">
        <f t="shared" si="48"/>
        <v/>
      </c>
      <c r="V294" s="17" t="str">
        <f t="shared" si="42"/>
        <v/>
      </c>
      <c r="W294" s="16" t="str">
        <f t="shared" si="43"/>
        <v/>
      </c>
      <c r="X294" s="19" t="str">
        <f t="shared" si="44"/>
        <v/>
      </c>
      <c r="Y294" s="36"/>
    </row>
    <row r="295" spans="1:25" ht="14.1" customHeight="1" thickBot="1">
      <c r="A295" s="21">
        <v>7</v>
      </c>
      <c r="B295" s="72"/>
      <c r="C295" s="25" t="s">
        <v>71</v>
      </c>
      <c r="D295" s="355" t="s">
        <v>269</v>
      </c>
      <c r="E295" s="355" t="s">
        <v>72</v>
      </c>
      <c r="F295" s="355" t="s">
        <v>25</v>
      </c>
      <c r="G295" s="355" t="s">
        <v>26</v>
      </c>
      <c r="H295" s="355" t="s">
        <v>27</v>
      </c>
      <c r="I295" s="355" t="s">
        <v>338</v>
      </c>
      <c r="J295" s="355" t="s">
        <v>339</v>
      </c>
      <c r="K295" s="355" t="s">
        <v>519</v>
      </c>
      <c r="M295" s="74"/>
      <c r="O295" s="34"/>
      <c r="P295" s="487" t="str">
        <f>AK46&amp;"/"&amp;AL46</f>
        <v>W/Rh</v>
      </c>
      <c r="Q295" s="349">
        <f t="shared" si="47"/>
        <v>26</v>
      </c>
      <c r="R295" s="15">
        <f t="shared" si="47"/>
        <v>50</v>
      </c>
      <c r="S295" s="16" t="str">
        <f>IF(AQ46="","",AQ46)</f>
        <v/>
      </c>
      <c r="T295" s="16" t="str">
        <f t="shared" si="48"/>
        <v/>
      </c>
      <c r="U295" s="16" t="str">
        <f t="shared" si="48"/>
        <v/>
      </c>
      <c r="V295" s="17" t="str">
        <f>IF(U295="","",U295/R295)</f>
        <v/>
      </c>
      <c r="W295" s="16" t="str">
        <f>IF(U295="","",U295/(T295/1000))</f>
        <v/>
      </c>
      <c r="X295" s="19" t="str">
        <f t="shared" si="44"/>
        <v/>
      </c>
      <c r="Y295" s="36"/>
    </row>
    <row r="296" spans="1:25" ht="14.1" customHeight="1">
      <c r="A296" s="21">
        <v>8</v>
      </c>
      <c r="B296" s="72"/>
      <c r="C296" s="489" t="str">
        <f>P284</f>
        <v>Mo/Mo</v>
      </c>
      <c r="D296" s="467">
        <f t="shared" ref="D296:D311" si="49">IF(Q284="","",Q284)</f>
        <v>24</v>
      </c>
      <c r="E296" s="467">
        <f t="shared" ref="E296:E311" si="50">IF(R284="","",R284)</f>
        <v>50</v>
      </c>
      <c r="F296" s="490" t="str">
        <f t="shared" ref="F296:F311" si="51">IF(S284="","",S284)</f>
        <v/>
      </c>
      <c r="G296" s="490" t="str">
        <f t="shared" ref="G296:G311" si="52">IF(T284="","",T284)</f>
        <v/>
      </c>
      <c r="H296" s="490" t="str">
        <f t="shared" ref="H296:H311" si="53">IF(U284="","",U284)</f>
        <v/>
      </c>
      <c r="I296" s="491" t="str">
        <f t="shared" ref="I296:I311" si="54">IF(V284="","",V284)</f>
        <v/>
      </c>
      <c r="J296" s="490" t="str">
        <f t="shared" ref="J296:J311" si="55">IF(W284="","",W284)</f>
        <v/>
      </c>
      <c r="K296" s="492" t="str">
        <f t="shared" ref="K296:K311" si="56">IF(X284="","",X284)</f>
        <v/>
      </c>
      <c r="M296" s="74"/>
      <c r="O296" s="34"/>
      <c r="P296" s="488"/>
      <c r="Q296" s="349">
        <f t="shared" si="47"/>
        <v>28</v>
      </c>
      <c r="R296" s="15">
        <f t="shared" si="47"/>
        <v>50</v>
      </c>
      <c r="S296" s="16" t="str">
        <f>IF(AQ47="","",AQ47)</f>
        <v/>
      </c>
      <c r="T296" s="16" t="str">
        <f t="shared" si="48"/>
        <v/>
      </c>
      <c r="U296" s="16" t="str">
        <f t="shared" si="48"/>
        <v/>
      </c>
      <c r="V296" s="17" t="str">
        <f>IF(U296="","",U296/R296)</f>
        <v/>
      </c>
      <c r="W296" s="16" t="str">
        <f>IF(U296="","",U296/(T296/1000))</f>
        <v/>
      </c>
      <c r="X296" s="19" t="str">
        <f t="shared" si="44"/>
        <v/>
      </c>
      <c r="Y296" s="36"/>
    </row>
    <row r="297" spans="1:25" ht="14.1" customHeight="1">
      <c r="A297" s="21">
        <v>9</v>
      </c>
      <c r="B297" s="72"/>
      <c r="C297" s="493"/>
      <c r="D297" s="323">
        <f t="shared" si="49"/>
        <v>26</v>
      </c>
      <c r="E297" s="323">
        <f t="shared" si="50"/>
        <v>50</v>
      </c>
      <c r="F297" s="333" t="str">
        <f t="shared" si="51"/>
        <v/>
      </c>
      <c r="G297" s="333" t="str">
        <f t="shared" si="52"/>
        <v/>
      </c>
      <c r="H297" s="333" t="str">
        <f t="shared" si="53"/>
        <v/>
      </c>
      <c r="I297" s="324" t="str">
        <f t="shared" si="54"/>
        <v/>
      </c>
      <c r="J297" s="333" t="str">
        <f t="shared" si="55"/>
        <v/>
      </c>
      <c r="K297" s="469" t="str">
        <f t="shared" si="56"/>
        <v/>
      </c>
      <c r="M297" s="74"/>
      <c r="O297" s="34"/>
      <c r="P297" s="488"/>
      <c r="Q297" s="348">
        <f>AH55</f>
        <v>30</v>
      </c>
      <c r="R297" s="15">
        <f>AI55</f>
        <v>50</v>
      </c>
      <c r="S297" s="16" t="str">
        <f>IF(AQ55="","",AQ55)</f>
        <v/>
      </c>
      <c r="T297" s="16" t="str">
        <f>IF(AN55="","",AN55)</f>
        <v/>
      </c>
      <c r="U297" s="16" t="str">
        <f>IF(AO55="","",AO55)</f>
        <v/>
      </c>
      <c r="V297" s="17" t="str">
        <f>IF(U297="","",U297/R297)</f>
        <v/>
      </c>
      <c r="W297" s="16" t="str">
        <f>IF(U297="","",U297/(T297/1000))</f>
        <v/>
      </c>
      <c r="X297" s="19" t="str">
        <f t="shared" si="44"/>
        <v/>
      </c>
      <c r="Y297" s="36"/>
    </row>
    <row r="298" spans="1:25" ht="14.1" customHeight="1">
      <c r="A298" s="21">
        <v>10</v>
      </c>
      <c r="B298" s="72"/>
      <c r="C298" s="493"/>
      <c r="D298" s="323">
        <f t="shared" si="49"/>
        <v>28</v>
      </c>
      <c r="E298" s="323">
        <f t="shared" si="50"/>
        <v>50</v>
      </c>
      <c r="F298" s="333" t="str">
        <f t="shared" si="51"/>
        <v/>
      </c>
      <c r="G298" s="333" t="str">
        <f t="shared" si="52"/>
        <v/>
      </c>
      <c r="H298" s="333" t="str">
        <f t="shared" si="53"/>
        <v/>
      </c>
      <c r="I298" s="324" t="str">
        <f t="shared" si="54"/>
        <v/>
      </c>
      <c r="J298" s="333" t="str">
        <f t="shared" si="55"/>
        <v/>
      </c>
      <c r="K298" s="469" t="str">
        <f t="shared" si="56"/>
        <v/>
      </c>
      <c r="M298" s="74"/>
      <c r="O298" s="34"/>
      <c r="P298" s="488"/>
      <c r="Q298" s="348">
        <f>AH56</f>
        <v>32</v>
      </c>
      <c r="R298" s="15">
        <f>AI56</f>
        <v>50</v>
      </c>
      <c r="S298" s="16" t="str">
        <f>IF(AQ56="","",AQ56)</f>
        <v/>
      </c>
      <c r="T298" s="16" t="str">
        <f>IF(AN56="","",AN56)</f>
        <v/>
      </c>
      <c r="U298" s="16" t="str">
        <f>IF(AO56="","",AO56)</f>
        <v/>
      </c>
      <c r="V298" s="17" t="str">
        <f>IF(U298="","",U298/R298)</f>
        <v/>
      </c>
      <c r="W298" s="16" t="str">
        <f>IF(U298="","",U298/(T298/1000))</f>
        <v/>
      </c>
      <c r="X298" s="19" t="str">
        <f t="shared" si="44"/>
        <v/>
      </c>
      <c r="Y298" s="36"/>
    </row>
    <row r="299" spans="1:25" ht="14.1" customHeight="1">
      <c r="A299" s="21">
        <v>11</v>
      </c>
      <c r="B299" s="72"/>
      <c r="C299" s="493"/>
      <c r="D299" s="323">
        <f t="shared" si="49"/>
        <v>30</v>
      </c>
      <c r="E299" s="323">
        <f t="shared" si="50"/>
        <v>50</v>
      </c>
      <c r="F299" s="333" t="str">
        <f t="shared" si="51"/>
        <v/>
      </c>
      <c r="G299" s="333" t="str">
        <f t="shared" si="52"/>
        <v/>
      </c>
      <c r="H299" s="333" t="str">
        <f t="shared" si="53"/>
        <v/>
      </c>
      <c r="I299" s="324" t="str">
        <f t="shared" si="54"/>
        <v/>
      </c>
      <c r="J299" s="333" t="str">
        <f t="shared" si="55"/>
        <v/>
      </c>
      <c r="K299" s="469" t="str">
        <f t="shared" si="56"/>
        <v/>
      </c>
      <c r="M299" s="74"/>
      <c r="O299" s="34"/>
      <c r="P299" s="406"/>
      <c r="Q299" s="348">
        <f>AH62</f>
        <v>34</v>
      </c>
      <c r="R299" s="15">
        <f>AI62</f>
        <v>50</v>
      </c>
      <c r="S299" s="16" t="str">
        <f>IF(AQ62="","",AQ62)</f>
        <v/>
      </c>
      <c r="T299" s="16" t="str">
        <f>IF(AN62="","",AN62)</f>
        <v/>
      </c>
      <c r="U299" s="16" t="str">
        <f>IF(AO62="","",AO62)</f>
        <v/>
      </c>
      <c r="V299" s="17" t="str">
        <f>IF(U299="","",U299/R299)</f>
        <v/>
      </c>
      <c r="W299" s="16" t="str">
        <f>IF(U299="","",U299/(T299/1000))</f>
        <v/>
      </c>
      <c r="X299" s="19" t="str">
        <f t="shared" si="44"/>
        <v/>
      </c>
      <c r="Y299" s="36"/>
    </row>
    <row r="300" spans="1:25" ht="14.1" customHeight="1" thickBot="1">
      <c r="A300" s="21">
        <v>12</v>
      </c>
      <c r="B300" s="72"/>
      <c r="C300" s="493"/>
      <c r="D300" s="323">
        <f t="shared" si="49"/>
        <v>32</v>
      </c>
      <c r="E300" s="323">
        <f t="shared" si="50"/>
        <v>50</v>
      </c>
      <c r="F300" s="333" t="str">
        <f t="shared" si="51"/>
        <v/>
      </c>
      <c r="G300" s="333" t="str">
        <f t="shared" si="52"/>
        <v/>
      </c>
      <c r="H300" s="333" t="str">
        <f t="shared" si="53"/>
        <v/>
      </c>
      <c r="I300" s="324" t="str">
        <f t="shared" si="54"/>
        <v/>
      </c>
      <c r="J300" s="333" t="str">
        <f t="shared" si="55"/>
        <v/>
      </c>
      <c r="K300" s="469" t="str">
        <f t="shared" si="56"/>
        <v/>
      </c>
      <c r="M300" s="74"/>
      <c r="O300" s="34"/>
      <c r="P300" s="115"/>
      <c r="Q300" s="284"/>
      <c r="R300" s="284"/>
      <c r="S300" s="284"/>
      <c r="T300" s="285"/>
      <c r="U300" s="286"/>
      <c r="V300" s="284"/>
      <c r="W300" s="284"/>
      <c r="X300" s="287"/>
      <c r="Y300" s="36"/>
    </row>
    <row r="301" spans="1:25" ht="14.1" customHeight="1" thickBot="1">
      <c r="A301" s="21">
        <v>13</v>
      </c>
      <c r="B301" s="72"/>
      <c r="C301" s="502"/>
      <c r="D301" s="496">
        <f t="shared" si="49"/>
        <v>34</v>
      </c>
      <c r="E301" s="496">
        <f t="shared" si="50"/>
        <v>50</v>
      </c>
      <c r="F301" s="497" t="str">
        <f t="shared" si="51"/>
        <v/>
      </c>
      <c r="G301" s="497" t="str">
        <f t="shared" si="52"/>
        <v/>
      </c>
      <c r="H301" s="497" t="str">
        <f t="shared" si="53"/>
        <v/>
      </c>
      <c r="I301" s="498" t="str">
        <f t="shared" si="54"/>
        <v/>
      </c>
      <c r="J301" s="497" t="str">
        <f t="shared" si="55"/>
        <v/>
      </c>
      <c r="K301" s="460" t="str">
        <f t="shared" si="56"/>
        <v/>
      </c>
      <c r="L301" s="424" t="str">
        <f>IF(K296="","",IF(MAX(K296:K301)&lt;0.05,"Pass","Fail"))</f>
        <v/>
      </c>
      <c r="M301" s="74"/>
      <c r="O301" s="34"/>
      <c r="X301" s="287"/>
      <c r="Y301" s="36"/>
    </row>
    <row r="302" spans="1:25" ht="14.1" customHeight="1">
      <c r="A302" s="21">
        <v>14</v>
      </c>
      <c r="B302" s="72"/>
      <c r="C302" s="503" t="str">
        <f>P290</f>
        <v>Mo/Rh</v>
      </c>
      <c r="D302" s="467">
        <f t="shared" si="49"/>
        <v>26</v>
      </c>
      <c r="E302" s="467">
        <f t="shared" si="50"/>
        <v>50</v>
      </c>
      <c r="F302" s="490" t="str">
        <f t="shared" si="51"/>
        <v/>
      </c>
      <c r="G302" s="490" t="str">
        <f t="shared" si="52"/>
        <v/>
      </c>
      <c r="H302" s="490" t="str">
        <f t="shared" si="53"/>
        <v/>
      </c>
      <c r="I302" s="491" t="str">
        <f t="shared" si="54"/>
        <v/>
      </c>
      <c r="J302" s="490" t="str">
        <f t="shared" si="55"/>
        <v/>
      </c>
      <c r="K302" s="492" t="str">
        <f t="shared" si="56"/>
        <v/>
      </c>
      <c r="M302" s="74"/>
      <c r="O302" s="34"/>
      <c r="P302" s="121" t="s">
        <v>204</v>
      </c>
      <c r="Q302" s="31" t="s">
        <v>341</v>
      </c>
      <c r="Y302" s="36"/>
    </row>
    <row r="303" spans="1:25" ht="14.1" customHeight="1" thickBot="1">
      <c r="A303" s="21">
        <v>15</v>
      </c>
      <c r="B303" s="72"/>
      <c r="C303" s="494"/>
      <c r="D303" s="323">
        <f t="shared" si="49"/>
        <v>28</v>
      </c>
      <c r="E303" s="323">
        <f t="shared" si="50"/>
        <v>50</v>
      </c>
      <c r="F303" s="333" t="str">
        <f t="shared" si="51"/>
        <v/>
      </c>
      <c r="G303" s="333" t="str">
        <f t="shared" si="52"/>
        <v/>
      </c>
      <c r="H303" s="333" t="str">
        <f t="shared" si="53"/>
        <v/>
      </c>
      <c r="I303" s="324" t="str">
        <f t="shared" si="54"/>
        <v/>
      </c>
      <c r="J303" s="333" t="str">
        <f t="shared" si="55"/>
        <v/>
      </c>
      <c r="K303" s="469" t="str">
        <f t="shared" si="56"/>
        <v/>
      </c>
      <c r="M303" s="74"/>
      <c r="O303" s="44"/>
      <c r="P303" s="45"/>
      <c r="Q303" s="45"/>
      <c r="R303" s="45"/>
      <c r="S303" s="45"/>
      <c r="T303" s="45"/>
      <c r="U303" s="45"/>
      <c r="V303" s="45"/>
      <c r="W303" s="45"/>
      <c r="X303" s="45"/>
      <c r="Y303" s="46"/>
    </row>
    <row r="304" spans="1:25" ht="14.1" customHeight="1" thickBot="1">
      <c r="A304" s="21">
        <v>16</v>
      </c>
      <c r="B304" s="72"/>
      <c r="C304" s="494"/>
      <c r="D304" s="323">
        <f t="shared" si="49"/>
        <v>30</v>
      </c>
      <c r="E304" s="323">
        <f t="shared" si="50"/>
        <v>50</v>
      </c>
      <c r="F304" s="333" t="str">
        <f t="shared" si="51"/>
        <v/>
      </c>
      <c r="G304" s="333" t="str">
        <f t="shared" si="52"/>
        <v/>
      </c>
      <c r="H304" s="333" t="str">
        <f t="shared" si="53"/>
        <v/>
      </c>
      <c r="I304" s="324" t="str">
        <f t="shared" si="54"/>
        <v/>
      </c>
      <c r="J304" s="333" t="str">
        <f t="shared" si="55"/>
        <v/>
      </c>
      <c r="K304" s="469" t="str">
        <f t="shared" si="56"/>
        <v/>
      </c>
      <c r="M304" s="74"/>
      <c r="O304" s="144" t="s">
        <v>342</v>
      </c>
      <c r="P304" s="27"/>
      <c r="Q304" s="27"/>
      <c r="R304" s="27"/>
      <c r="S304" s="27"/>
      <c r="T304" s="27"/>
      <c r="U304" s="27"/>
      <c r="V304" s="27"/>
      <c r="W304" s="27"/>
      <c r="X304" s="27"/>
      <c r="Y304" s="28"/>
    </row>
    <row r="305" spans="1:25" ht="14.1" customHeight="1" thickBot="1">
      <c r="A305" s="21">
        <v>17</v>
      </c>
      <c r="B305" s="72"/>
      <c r="C305" s="494"/>
      <c r="D305" s="323">
        <f t="shared" si="49"/>
        <v>32</v>
      </c>
      <c r="E305" s="323">
        <f t="shared" si="50"/>
        <v>50</v>
      </c>
      <c r="F305" s="333" t="str">
        <f t="shared" si="51"/>
        <v/>
      </c>
      <c r="G305" s="333" t="str">
        <f t="shared" si="52"/>
        <v/>
      </c>
      <c r="H305" s="333" t="str">
        <f t="shared" si="53"/>
        <v/>
      </c>
      <c r="I305" s="324" t="str">
        <f t="shared" si="54"/>
        <v/>
      </c>
      <c r="J305" s="333" t="str">
        <f t="shared" si="55"/>
        <v/>
      </c>
      <c r="K305" s="469" t="str">
        <f t="shared" si="56"/>
        <v/>
      </c>
      <c r="M305" s="74"/>
      <c r="O305" s="34"/>
      <c r="P305" s="365" t="s">
        <v>95</v>
      </c>
      <c r="Q305" s="366" t="str">
        <f>AK10&amp;"/"&amp;AL10</f>
        <v>Mo/Mo</v>
      </c>
      <c r="R305" s="505" t="s">
        <v>173</v>
      </c>
      <c r="S305" s="511">
        <f>AH12</f>
        <v>28</v>
      </c>
      <c r="T305" s="28"/>
      <c r="U305" s="365" t="s">
        <v>95</v>
      </c>
      <c r="V305" s="366" t="str">
        <f>AK47&amp;"/"&amp;AL47</f>
        <v>W/Rh</v>
      </c>
      <c r="W305" s="367" t="s">
        <v>173</v>
      </c>
      <c r="X305" s="516">
        <f>AH47</f>
        <v>28</v>
      </c>
      <c r="Y305" s="28"/>
    </row>
    <row r="306" spans="1:25" ht="14.1" customHeight="1" thickBot="1">
      <c r="A306" s="21">
        <v>18</v>
      </c>
      <c r="B306" s="72"/>
      <c r="C306" s="495"/>
      <c r="D306" s="496">
        <f t="shared" si="49"/>
        <v>34</v>
      </c>
      <c r="E306" s="496">
        <f t="shared" si="50"/>
        <v>50</v>
      </c>
      <c r="F306" s="497" t="str">
        <f t="shared" si="51"/>
        <v/>
      </c>
      <c r="G306" s="497" t="str">
        <f t="shared" si="52"/>
        <v/>
      </c>
      <c r="H306" s="497" t="str">
        <f t="shared" si="53"/>
        <v/>
      </c>
      <c r="I306" s="498" t="str">
        <f t="shared" si="54"/>
        <v/>
      </c>
      <c r="J306" s="497" t="str">
        <f t="shared" si="55"/>
        <v/>
      </c>
      <c r="K306" s="460" t="str">
        <f t="shared" si="56"/>
        <v/>
      </c>
      <c r="L306" s="424" t="str">
        <f>IF(K302="","",IF(MAX(K302:K306)&lt;0.05,"Pass","Fail"))</f>
        <v/>
      </c>
      <c r="M306" s="74"/>
      <c r="O306" s="363"/>
      <c r="P306" s="517"/>
      <c r="R306" s="171" t="s">
        <v>219</v>
      </c>
      <c r="S306" s="157">
        <f>AI12</f>
        <v>50</v>
      </c>
      <c r="T306" s="219"/>
      <c r="W306" s="171" t="s">
        <v>219</v>
      </c>
      <c r="X306" s="157">
        <f>AI47</f>
        <v>50</v>
      </c>
      <c r="Y306" s="36"/>
    </row>
    <row r="307" spans="1:25" ht="14.1" customHeight="1" thickBot="1">
      <c r="A307" s="21">
        <v>19</v>
      </c>
      <c r="B307" s="72"/>
      <c r="C307" s="494" t="str">
        <f>P295</f>
        <v>W/Rh</v>
      </c>
      <c r="D307" s="462">
        <f t="shared" si="49"/>
        <v>26</v>
      </c>
      <c r="E307" s="462">
        <f t="shared" si="50"/>
        <v>50</v>
      </c>
      <c r="F307" s="499" t="str">
        <f t="shared" si="51"/>
        <v/>
      </c>
      <c r="G307" s="499" t="str">
        <f t="shared" si="52"/>
        <v/>
      </c>
      <c r="H307" s="499" t="str">
        <f t="shared" si="53"/>
        <v/>
      </c>
      <c r="I307" s="500" t="str">
        <f t="shared" si="54"/>
        <v/>
      </c>
      <c r="J307" s="499" t="str">
        <f t="shared" si="55"/>
        <v/>
      </c>
      <c r="K307" s="501" t="str">
        <f t="shared" si="56"/>
        <v/>
      </c>
      <c r="M307" s="74"/>
      <c r="O307" s="364"/>
      <c r="P307" s="368" t="s">
        <v>25</v>
      </c>
      <c r="Q307" s="115" t="s">
        <v>26</v>
      </c>
      <c r="R307" s="115" t="s">
        <v>27</v>
      </c>
      <c r="S307" s="115" t="s">
        <v>338</v>
      </c>
      <c r="T307" s="219" t="s">
        <v>339</v>
      </c>
      <c r="U307" s="373" t="s">
        <v>25</v>
      </c>
      <c r="V307" s="374" t="s">
        <v>26</v>
      </c>
      <c r="W307" s="374" t="s">
        <v>27</v>
      </c>
      <c r="X307" s="374" t="s">
        <v>338</v>
      </c>
      <c r="Y307" s="375" t="s">
        <v>339</v>
      </c>
    </row>
    <row r="308" spans="1:25" ht="14.1" customHeight="1">
      <c r="A308" s="21">
        <v>20</v>
      </c>
      <c r="B308" s="72"/>
      <c r="C308" s="494"/>
      <c r="D308" s="323">
        <f t="shared" si="49"/>
        <v>28</v>
      </c>
      <c r="E308" s="323">
        <f t="shared" si="50"/>
        <v>50</v>
      </c>
      <c r="F308" s="333" t="str">
        <f t="shared" si="51"/>
        <v/>
      </c>
      <c r="G308" s="333" t="str">
        <f t="shared" si="52"/>
        <v/>
      </c>
      <c r="H308" s="333" t="str">
        <f t="shared" si="53"/>
        <v/>
      </c>
      <c r="I308" s="324" t="str">
        <f t="shared" si="54"/>
        <v/>
      </c>
      <c r="J308" s="333" t="str">
        <f t="shared" si="55"/>
        <v/>
      </c>
      <c r="K308" s="469" t="str">
        <f t="shared" si="56"/>
        <v/>
      </c>
      <c r="M308" s="74"/>
      <c r="O308" s="364"/>
      <c r="P308" s="372" t="str">
        <f>IF(AQ12="","",AQ12)</f>
        <v/>
      </c>
      <c r="Q308" s="295" t="str">
        <f t="shared" ref="Q308:R311" si="57">IF(AN12="","",AN12)</f>
        <v/>
      </c>
      <c r="R308" s="295" t="str">
        <f t="shared" si="57"/>
        <v/>
      </c>
      <c r="S308" s="251" t="str">
        <f>IF(R308="","",R308/$S$306)</f>
        <v/>
      </c>
      <c r="T308" s="252" t="str">
        <f>IF(OR(R308="",Q308=""),"",R308/(Q308/1000))</f>
        <v/>
      </c>
      <c r="U308" s="372" t="str">
        <f>IF(AQ47="","",AQ47)</f>
        <v/>
      </c>
      <c r="V308" s="295" t="str">
        <f t="shared" ref="V308:W311" si="58">IF(AN47="","",AN47)</f>
        <v/>
      </c>
      <c r="W308" s="295" t="str">
        <f t="shared" si="58"/>
        <v/>
      </c>
      <c r="X308" s="251" t="str">
        <f>IF(W308="","",W308/$X$306)</f>
        <v/>
      </c>
      <c r="Y308" s="252" t="str">
        <f>IF(OR(W308="",V308=""),"",W308/(V308/1000))</f>
        <v/>
      </c>
    </row>
    <row r="309" spans="1:25" ht="14.1" customHeight="1">
      <c r="A309" s="21">
        <v>21</v>
      </c>
      <c r="B309" s="72"/>
      <c r="C309" s="494"/>
      <c r="D309" s="323">
        <f t="shared" si="49"/>
        <v>30</v>
      </c>
      <c r="E309" s="323">
        <f t="shared" si="50"/>
        <v>50</v>
      </c>
      <c r="F309" s="333" t="str">
        <f t="shared" si="51"/>
        <v/>
      </c>
      <c r="G309" s="333" t="str">
        <f t="shared" si="52"/>
        <v/>
      </c>
      <c r="H309" s="333" t="str">
        <f t="shared" si="53"/>
        <v/>
      </c>
      <c r="I309" s="324" t="str">
        <f t="shared" si="54"/>
        <v/>
      </c>
      <c r="J309" s="333" t="str">
        <f t="shared" si="55"/>
        <v/>
      </c>
      <c r="K309" s="469" t="str">
        <f t="shared" si="56"/>
        <v/>
      </c>
      <c r="M309" s="74"/>
      <c r="O309" s="364"/>
      <c r="P309" s="369" t="str">
        <f>IF(AQ13="","",AQ13)</f>
        <v/>
      </c>
      <c r="Q309" s="16" t="str">
        <f t="shared" si="57"/>
        <v/>
      </c>
      <c r="R309" s="16" t="str">
        <f t="shared" si="57"/>
        <v/>
      </c>
      <c r="S309" s="17" t="str">
        <f>IF(R309="","",R309/$S$306)</f>
        <v/>
      </c>
      <c r="T309" s="254" t="str">
        <f>IF(OR(R309="",Q309=""),"",R309/(Q309/1000))</f>
        <v/>
      </c>
      <c r="U309" s="369" t="str">
        <f>IF(AQ48="","",AQ48)</f>
        <v/>
      </c>
      <c r="V309" s="16" t="str">
        <f t="shared" si="58"/>
        <v/>
      </c>
      <c r="W309" s="16" t="str">
        <f t="shared" si="58"/>
        <v/>
      </c>
      <c r="X309" s="17" t="str">
        <f>IF(W309="","",W309/$X$306)</f>
        <v/>
      </c>
      <c r="Y309" s="254" t="str">
        <f t="shared" ref="Y309:Y311" si="59">IF(OR(W309="",V309=""),"",W309/(V309/1000))</f>
        <v/>
      </c>
    </row>
    <row r="310" spans="1:25" ht="14.1" customHeight="1" thickBot="1">
      <c r="A310" s="21">
        <v>22</v>
      </c>
      <c r="B310" s="72"/>
      <c r="C310" s="494"/>
      <c r="D310" s="323">
        <f t="shared" si="49"/>
        <v>32</v>
      </c>
      <c r="E310" s="323">
        <f t="shared" si="50"/>
        <v>50</v>
      </c>
      <c r="F310" s="333" t="str">
        <f t="shared" si="51"/>
        <v/>
      </c>
      <c r="G310" s="333" t="str">
        <f t="shared" si="52"/>
        <v/>
      </c>
      <c r="H310" s="333" t="str">
        <f t="shared" si="53"/>
        <v/>
      </c>
      <c r="I310" s="324" t="str">
        <f t="shared" si="54"/>
        <v/>
      </c>
      <c r="J310" s="333" t="str">
        <f t="shared" si="55"/>
        <v/>
      </c>
      <c r="K310" s="469" t="str">
        <f t="shared" si="56"/>
        <v/>
      </c>
      <c r="M310" s="74"/>
      <c r="O310" s="364"/>
      <c r="P310" s="369" t="str">
        <f>IF(AQ14="","",AQ14)</f>
        <v/>
      </c>
      <c r="Q310" s="16" t="str">
        <f t="shared" si="57"/>
        <v/>
      </c>
      <c r="R310" s="16" t="str">
        <f t="shared" si="57"/>
        <v/>
      </c>
      <c r="S310" s="17" t="str">
        <f>IF(R310="","",R310/$S$306)</f>
        <v/>
      </c>
      <c r="T310" s="254" t="str">
        <f>IF(OR(R310="",Q310=""),"",R310/(Q310/1000))</f>
        <v/>
      </c>
      <c r="U310" s="369" t="str">
        <f>IF(AQ49="","",AQ49)</f>
        <v/>
      </c>
      <c r="V310" s="16" t="str">
        <f t="shared" si="58"/>
        <v/>
      </c>
      <c r="W310" s="16" t="str">
        <f t="shared" si="58"/>
        <v/>
      </c>
      <c r="X310" s="17" t="str">
        <f>IF(W310="","",W310/$X$306)</f>
        <v/>
      </c>
      <c r="Y310" s="254" t="str">
        <f t="shared" si="59"/>
        <v/>
      </c>
    </row>
    <row r="311" spans="1:25" ht="14.1" customHeight="1" thickBot="1">
      <c r="A311" s="21">
        <v>23</v>
      </c>
      <c r="B311" s="72"/>
      <c r="C311" s="495"/>
      <c r="D311" s="496">
        <f t="shared" si="49"/>
        <v>34</v>
      </c>
      <c r="E311" s="496">
        <f t="shared" si="50"/>
        <v>50</v>
      </c>
      <c r="F311" s="497" t="str">
        <f t="shared" si="51"/>
        <v/>
      </c>
      <c r="G311" s="497" t="str">
        <f t="shared" si="52"/>
        <v/>
      </c>
      <c r="H311" s="497" t="str">
        <f t="shared" si="53"/>
        <v/>
      </c>
      <c r="I311" s="498" t="str">
        <f t="shared" si="54"/>
        <v/>
      </c>
      <c r="J311" s="497" t="str">
        <f t="shared" si="55"/>
        <v/>
      </c>
      <c r="K311" s="460" t="str">
        <f t="shared" si="56"/>
        <v/>
      </c>
      <c r="L311" s="424" t="str">
        <f>IF(K307="","",IF(MAX(K307:K311)&lt;0.05,"Pass","Fail"))</f>
        <v/>
      </c>
      <c r="M311" s="74"/>
      <c r="O311" s="364"/>
      <c r="P311" s="523" t="str">
        <f>IF(AQ15="","",AQ15)</f>
        <v/>
      </c>
      <c r="Q311" s="244" t="str">
        <f t="shared" si="57"/>
        <v/>
      </c>
      <c r="R311" s="244" t="str">
        <f t="shared" si="57"/>
        <v/>
      </c>
      <c r="S311" s="258" t="str">
        <f>IF(R311="","",R311/$S$306)</f>
        <v/>
      </c>
      <c r="T311" s="259" t="str">
        <f>IF(OR(R311="",Q311=""),"",R311/(Q311/1000))</f>
        <v/>
      </c>
      <c r="U311" s="523" t="str">
        <f>IF(AQ50="","",AQ50)</f>
        <v/>
      </c>
      <c r="V311" s="244" t="str">
        <f t="shared" si="58"/>
        <v/>
      </c>
      <c r="W311" s="244" t="str">
        <f t="shared" si="58"/>
        <v/>
      </c>
      <c r="X311" s="258" t="str">
        <f>IF(W311="","",W311/$X$306)</f>
        <v/>
      </c>
      <c r="Y311" s="259" t="str">
        <f t="shared" si="59"/>
        <v/>
      </c>
    </row>
    <row r="312" spans="1:25" ht="14.1" customHeight="1">
      <c r="A312" s="21">
        <v>24</v>
      </c>
      <c r="B312" s="72"/>
      <c r="J312" s="505"/>
      <c r="K312" s="416"/>
      <c r="M312" s="74"/>
      <c r="O312" s="363" t="s">
        <v>210</v>
      </c>
      <c r="P312" s="518" t="str">
        <f t="shared" ref="P312:Y312" si="60">IF(OR(P308="",P309="",P310="",P311=""),"",AVERAGE(P308:P311))</f>
        <v/>
      </c>
      <c r="Q312" s="519" t="str">
        <f t="shared" si="60"/>
        <v/>
      </c>
      <c r="R312" s="520" t="str">
        <f t="shared" si="60"/>
        <v/>
      </c>
      <c r="S312" s="521" t="str">
        <f t="shared" si="60"/>
        <v/>
      </c>
      <c r="T312" s="522" t="str">
        <f t="shared" si="60"/>
        <v/>
      </c>
      <c r="U312" s="518" t="str">
        <f t="shared" si="60"/>
        <v/>
      </c>
      <c r="V312" s="519" t="str">
        <f t="shared" si="60"/>
        <v/>
      </c>
      <c r="W312" s="520" t="str">
        <f t="shared" si="60"/>
        <v/>
      </c>
      <c r="X312" s="521" t="str">
        <f t="shared" si="60"/>
        <v/>
      </c>
      <c r="Y312" s="522" t="str">
        <f t="shared" si="60"/>
        <v/>
      </c>
    </row>
    <row r="313" spans="1:25" ht="14.1" customHeight="1">
      <c r="A313" s="21">
        <v>25</v>
      </c>
      <c r="B313" s="72"/>
      <c r="M313" s="74"/>
      <c r="O313" s="363" t="s">
        <v>344</v>
      </c>
      <c r="P313" s="369" t="str">
        <f t="shared" ref="P313:Y313" si="61">IF(OR(P308="",P309="",P310="",P311=""),"",_xlfn.STDEV.S(P308:P311))</f>
        <v/>
      </c>
      <c r="Q313" s="16" t="str">
        <f t="shared" si="61"/>
        <v/>
      </c>
      <c r="R313" s="16" t="str">
        <f t="shared" si="61"/>
        <v/>
      </c>
      <c r="S313" s="17" t="str">
        <f t="shared" si="61"/>
        <v/>
      </c>
      <c r="T313" s="254" t="str">
        <f t="shared" si="61"/>
        <v/>
      </c>
      <c r="U313" s="369" t="str">
        <f t="shared" si="61"/>
        <v/>
      </c>
      <c r="V313" s="16" t="str">
        <f t="shared" si="61"/>
        <v/>
      </c>
      <c r="W313" s="16" t="str">
        <f t="shared" si="61"/>
        <v/>
      </c>
      <c r="X313" s="17" t="str">
        <f t="shared" si="61"/>
        <v/>
      </c>
      <c r="Y313" s="254" t="str">
        <f t="shared" si="61"/>
        <v/>
      </c>
    </row>
    <row r="314" spans="1:25" ht="14.1" customHeight="1" thickBot="1">
      <c r="A314" s="21">
        <v>26</v>
      </c>
      <c r="B314" s="72"/>
      <c r="M314" s="74"/>
      <c r="O314" s="363" t="s">
        <v>274</v>
      </c>
      <c r="P314" s="199" t="str">
        <f t="shared" ref="P314:Y314" si="62">IF(OR(P312="",P313=""),"",P313/P312)</f>
        <v/>
      </c>
      <c r="Q314" s="193" t="str">
        <f t="shared" si="62"/>
        <v/>
      </c>
      <c r="R314" s="193" t="str">
        <f t="shared" si="62"/>
        <v/>
      </c>
      <c r="S314" s="370" t="str">
        <f t="shared" si="62"/>
        <v/>
      </c>
      <c r="T314" s="371" t="str">
        <f t="shared" si="62"/>
        <v/>
      </c>
      <c r="U314" s="199" t="str">
        <f t="shared" si="62"/>
        <v/>
      </c>
      <c r="V314" s="193" t="str">
        <f t="shared" si="62"/>
        <v/>
      </c>
      <c r="W314" s="193" t="str">
        <f t="shared" si="62"/>
        <v/>
      </c>
      <c r="X314" s="370" t="str">
        <f t="shared" si="62"/>
        <v/>
      </c>
      <c r="Y314" s="371" t="str">
        <f t="shared" si="62"/>
        <v/>
      </c>
    </row>
    <row r="315" spans="1:25" ht="14.1" customHeight="1">
      <c r="A315" s="21">
        <v>27</v>
      </c>
      <c r="B315" s="72"/>
      <c r="I315" s="6"/>
      <c r="J315" s="6"/>
      <c r="M315" s="74"/>
      <c r="O315" s="363" t="s">
        <v>346</v>
      </c>
      <c r="P315" s="218"/>
      <c r="Q315" s="218"/>
      <c r="R315" s="360"/>
      <c r="S315" s="361" t="str">
        <f>IF(AB86="","",AB86)</f>
        <v/>
      </c>
      <c r="T315" s="362" t="str">
        <f>IF(AB87="","",AB87)</f>
        <v/>
      </c>
      <c r="U315" s="218"/>
      <c r="V315" s="218"/>
      <c r="W315" s="360"/>
      <c r="X315" s="361" t="str">
        <f>IF(AG86="","",AG86)</f>
        <v/>
      </c>
      <c r="Y315" s="362" t="str">
        <f>IF(AG87="","",AG87)</f>
        <v/>
      </c>
    </row>
    <row r="316" spans="1:25" ht="14.1" customHeight="1">
      <c r="A316" s="21">
        <v>28</v>
      </c>
      <c r="B316" s="72"/>
      <c r="I316" s="6"/>
      <c r="J316" s="6"/>
      <c r="M316" s="74"/>
      <c r="O316" s="34"/>
      <c r="P316" s="121" t="s">
        <v>204</v>
      </c>
      <c r="Q316" s="146" t="s">
        <v>347</v>
      </c>
      <c r="Y316" s="36"/>
    </row>
    <row r="317" spans="1:25" ht="14.1" customHeight="1">
      <c r="A317" s="21">
        <v>29</v>
      </c>
      <c r="B317" s="72"/>
      <c r="I317" s="6"/>
      <c r="J317" s="6"/>
      <c r="M317" s="74"/>
      <c r="O317" s="34"/>
      <c r="Q317" s="146" t="s">
        <v>348</v>
      </c>
      <c r="Y317" s="36"/>
    </row>
    <row r="318" spans="1:25" ht="14.1" customHeight="1" thickBot="1">
      <c r="A318" s="21">
        <v>30</v>
      </c>
      <c r="B318" s="72"/>
      <c r="M318" s="74"/>
      <c r="O318" s="44"/>
      <c r="P318" s="45"/>
      <c r="Q318" s="289" t="s">
        <v>349</v>
      </c>
      <c r="R318" s="45"/>
      <c r="S318" s="45"/>
      <c r="T318" s="45"/>
      <c r="U318" s="45"/>
      <c r="V318" s="45"/>
      <c r="W318" s="45"/>
      <c r="X318" s="45"/>
      <c r="Y318" s="46"/>
    </row>
    <row r="319" spans="1:25" ht="14.1" customHeight="1">
      <c r="A319" s="21">
        <v>31</v>
      </c>
      <c r="B319" s="72"/>
      <c r="M319" s="74"/>
      <c r="O319" s="144" t="s">
        <v>350</v>
      </c>
      <c r="P319" s="27"/>
      <c r="Q319" s="27"/>
      <c r="R319" s="27"/>
      <c r="S319" s="27"/>
      <c r="T319" s="27"/>
      <c r="U319" s="27"/>
      <c r="V319" s="27"/>
      <c r="W319" s="27"/>
      <c r="X319" s="27"/>
      <c r="Y319" s="28"/>
    </row>
    <row r="320" spans="1:25" ht="14.1" customHeight="1">
      <c r="A320" s="21">
        <v>32</v>
      </c>
      <c r="B320" s="72"/>
      <c r="M320" s="74"/>
      <c r="O320" s="34"/>
      <c r="P320" s="39" t="s">
        <v>95</v>
      </c>
      <c r="Q320" s="157" t="str">
        <f>AK10&amp;"/"&amp;AL10</f>
        <v>Mo/Mo</v>
      </c>
      <c r="R320" s="39" t="s">
        <v>173</v>
      </c>
      <c r="S320" s="157">
        <f>AH12</f>
        <v>28</v>
      </c>
      <c r="T320" s="14"/>
      <c r="Y320" s="36"/>
    </row>
    <row r="321" spans="1:25" ht="14.1" customHeight="1">
      <c r="A321" s="21">
        <v>33</v>
      </c>
      <c r="B321" s="72"/>
      <c r="M321" s="74"/>
      <c r="O321" s="34"/>
      <c r="P321" s="14" t="s">
        <v>72</v>
      </c>
      <c r="Q321" s="14" t="s">
        <v>25</v>
      </c>
      <c r="R321" s="14" t="s">
        <v>26</v>
      </c>
      <c r="S321" s="14" t="s">
        <v>27</v>
      </c>
      <c r="T321" s="14" t="s">
        <v>338</v>
      </c>
      <c r="U321" s="14" t="s">
        <v>339</v>
      </c>
      <c r="V321" s="6"/>
      <c r="W321" s="6"/>
      <c r="X321" s="6"/>
      <c r="Y321" s="36"/>
    </row>
    <row r="322" spans="1:25" ht="14.1" customHeight="1">
      <c r="A322" s="21">
        <v>34</v>
      </c>
      <c r="B322" s="72"/>
      <c r="C322" s="73"/>
      <c r="D322" s="73"/>
      <c r="E322" s="73"/>
      <c r="F322" s="73"/>
      <c r="G322" s="73"/>
      <c r="H322" s="73"/>
      <c r="I322" s="73"/>
      <c r="J322" s="73"/>
      <c r="K322" s="73"/>
      <c r="L322" s="73"/>
      <c r="M322" s="74"/>
      <c r="O322" s="34"/>
      <c r="P322" s="15">
        <f>IF(AI20="","",AI20)</f>
        <v>20</v>
      </c>
      <c r="Q322" s="16" t="str">
        <f>IF(AQ20="","",AQ20)</f>
        <v/>
      </c>
      <c r="R322" s="114" t="str">
        <f>IF(AN20="","",AN20)</f>
        <v/>
      </c>
      <c r="S322" s="16" t="str">
        <f>IF(AO20="","",AO20)</f>
        <v/>
      </c>
      <c r="T322" s="17" t="str">
        <f>IF(S322="","",S322/P322)</f>
        <v/>
      </c>
      <c r="U322" s="16" t="str">
        <f>IF(OR(S322="",R322=""),"",S322/(R322/1000))</f>
        <v/>
      </c>
      <c r="V322" s="6"/>
      <c r="W322" s="6"/>
      <c r="X322" s="6"/>
      <c r="Y322" s="36"/>
    </row>
    <row r="323" spans="1:25" ht="14.1" customHeight="1">
      <c r="A323" s="21">
        <v>35</v>
      </c>
      <c r="B323" s="72"/>
      <c r="C323" s="73"/>
      <c r="D323" s="73"/>
      <c r="E323" s="73"/>
      <c r="F323" s="73"/>
      <c r="G323" s="73"/>
      <c r="H323" s="73"/>
      <c r="I323" s="73"/>
      <c r="J323" s="73"/>
      <c r="K323" s="73"/>
      <c r="L323" s="73"/>
      <c r="M323" s="74"/>
      <c r="O323" s="34"/>
      <c r="P323" s="15">
        <f>IF(AI12="","",AI12)</f>
        <v>50</v>
      </c>
      <c r="Q323" s="16" t="str">
        <f>P312</f>
        <v/>
      </c>
      <c r="R323" s="114" t="str">
        <f>Q312</f>
        <v/>
      </c>
      <c r="S323" s="16" t="str">
        <f>R312</f>
        <v/>
      </c>
      <c r="T323" s="17" t="str">
        <f>S312</f>
        <v/>
      </c>
      <c r="U323" s="16" t="str">
        <f>T312</f>
        <v/>
      </c>
      <c r="V323" s="6"/>
      <c r="W323" s="6"/>
      <c r="X323" s="6"/>
      <c r="Y323" s="36"/>
    </row>
    <row r="324" spans="1:25" ht="14.1" customHeight="1">
      <c r="A324" s="21">
        <v>36</v>
      </c>
      <c r="B324" s="72"/>
      <c r="C324" s="73"/>
      <c r="D324" s="73"/>
      <c r="E324" s="73"/>
      <c r="F324" s="73"/>
      <c r="G324" s="73"/>
      <c r="H324" s="73"/>
      <c r="I324" s="73"/>
      <c r="J324" s="73"/>
      <c r="K324" s="73"/>
      <c r="L324" s="73"/>
      <c r="M324" s="74"/>
      <c r="O324" s="34"/>
      <c r="P324" s="15">
        <f>IF(AI21="","",AI21)</f>
        <v>100</v>
      </c>
      <c r="Q324" s="16" t="str">
        <f>IF(AQ21="","",AQ21)</f>
        <v/>
      </c>
      <c r="R324" s="114" t="str">
        <f>IF(AN21="","",AN21)</f>
        <v/>
      </c>
      <c r="S324" s="16" t="str">
        <f>IF(AO21="","",AO21)</f>
        <v/>
      </c>
      <c r="T324" s="17" t="str">
        <f>IF(S324="","",S324/P324)</f>
        <v/>
      </c>
      <c r="U324" s="16" t="str">
        <f>IF(OR(S324="",R324=""),"",S324/(R324/1000))</f>
        <v/>
      </c>
      <c r="V324" s="6"/>
      <c r="W324" s="6"/>
      <c r="X324" s="6"/>
      <c r="Y324" s="36"/>
    </row>
    <row r="325" spans="1:25" ht="14.1" customHeight="1">
      <c r="A325" s="21">
        <v>37</v>
      </c>
      <c r="B325" s="72"/>
      <c r="C325" s="73"/>
      <c r="D325" s="73"/>
      <c r="E325" s="73"/>
      <c r="F325" s="73"/>
      <c r="G325" s="73"/>
      <c r="H325" s="73"/>
      <c r="I325" s="73"/>
      <c r="J325" s="73"/>
      <c r="K325" s="73"/>
      <c r="L325" s="73"/>
      <c r="M325" s="74"/>
      <c r="O325" s="34"/>
      <c r="P325" s="15">
        <f>IF(AI22="","",AI22)</f>
        <v>320</v>
      </c>
      <c r="Q325" s="16" t="str">
        <f>IF(AQ22="","",AQ22)</f>
        <v/>
      </c>
      <c r="R325" s="114" t="str">
        <f>IF(AN22="","",AN22)</f>
        <v/>
      </c>
      <c r="S325" s="16" t="str">
        <f>IF(AO22="","",AO22)</f>
        <v/>
      </c>
      <c r="T325" s="17" t="str">
        <f>IF(S325="","",S325/P325)</f>
        <v/>
      </c>
      <c r="U325" s="16" t="str">
        <f>IF(OR(S325="",R325=""),"",S325/(R325/1000))</f>
        <v/>
      </c>
      <c r="V325" s="6"/>
      <c r="W325" s="6"/>
      <c r="X325" s="6"/>
      <c r="Y325" s="36"/>
    </row>
    <row r="326" spans="1:25" ht="14.1" customHeight="1">
      <c r="A326" s="21">
        <v>38</v>
      </c>
      <c r="B326" s="72"/>
      <c r="C326" s="73"/>
      <c r="D326" s="73"/>
      <c r="E326" s="73"/>
      <c r="F326" s="73"/>
      <c r="G326" s="73"/>
      <c r="H326" s="73"/>
      <c r="I326" s="73"/>
      <c r="J326" s="73"/>
      <c r="K326" s="73"/>
      <c r="L326" s="73"/>
      <c r="M326" s="74"/>
      <c r="O326" s="34"/>
      <c r="S326" s="39" t="s">
        <v>351</v>
      </c>
      <c r="T326" s="190" t="str">
        <f>IF(OR(T322="",T323="",T324="",T325=""),"",(MAX(T322:T325)-MIN(T322:T325))/(MAX(T322:T325)+MIN(T322:T325)))</f>
        <v/>
      </c>
      <c r="V326" s="6"/>
      <c r="W326" s="6"/>
      <c r="X326" s="6"/>
      <c r="Y326" s="36"/>
    </row>
    <row r="327" spans="1:25" ht="14.1" customHeight="1">
      <c r="A327" s="21">
        <v>39</v>
      </c>
      <c r="B327" s="72"/>
      <c r="C327" s="73"/>
      <c r="D327" s="73"/>
      <c r="E327" s="73"/>
      <c r="F327" s="73"/>
      <c r="G327" s="73"/>
      <c r="H327" s="73"/>
      <c r="I327" s="73"/>
      <c r="J327" s="73"/>
      <c r="K327" s="73"/>
      <c r="L327" s="73"/>
      <c r="M327" s="74"/>
      <c r="O327" s="34"/>
      <c r="P327" s="121" t="s">
        <v>204</v>
      </c>
      <c r="Q327" s="146" t="s">
        <v>352</v>
      </c>
      <c r="Y327" s="36"/>
    </row>
    <row r="328" spans="1:25" ht="14.1" customHeight="1">
      <c r="A328" s="21">
        <v>40</v>
      </c>
      <c r="B328" s="72"/>
      <c r="C328" s="73"/>
      <c r="D328" s="73"/>
      <c r="E328" s="73"/>
      <c r="F328" s="73"/>
      <c r="G328" s="73"/>
      <c r="H328" s="73"/>
      <c r="I328" s="73"/>
      <c r="J328" s="73"/>
      <c r="K328" s="73"/>
      <c r="L328" s="73"/>
      <c r="M328" s="74"/>
      <c r="O328" s="290" t="str">
        <f>IF(R325="","",IF(R325/1000&gt;=3,1,2))</f>
        <v/>
      </c>
      <c r="P328" s="25" t="s">
        <v>353</v>
      </c>
      <c r="Y328" s="36"/>
    </row>
    <row r="329" spans="1:25" ht="14.1" customHeight="1" thickBot="1">
      <c r="A329" s="21">
        <v>41</v>
      </c>
      <c r="B329" s="72"/>
      <c r="C329" s="73"/>
      <c r="D329" s="73"/>
      <c r="E329" s="73"/>
      <c r="F329" s="73"/>
      <c r="G329" s="73"/>
      <c r="H329" s="73"/>
      <c r="I329" s="73"/>
      <c r="J329" s="73"/>
      <c r="K329" s="73"/>
      <c r="L329" s="73"/>
      <c r="M329" s="74"/>
      <c r="O329" s="44"/>
      <c r="P329" s="45"/>
      <c r="Q329" s="45"/>
      <c r="R329" s="45"/>
      <c r="S329" s="45"/>
      <c r="T329" s="45"/>
      <c r="U329" s="45"/>
      <c r="V329" s="45"/>
      <c r="W329" s="45"/>
      <c r="X329" s="45"/>
      <c r="Y329" s="46"/>
    </row>
    <row r="330" spans="1:25" ht="14.1" customHeight="1">
      <c r="A330" s="21">
        <v>42</v>
      </c>
      <c r="B330" s="72"/>
      <c r="C330" s="73"/>
      <c r="D330" s="73"/>
      <c r="E330" s="73"/>
      <c r="F330" s="73"/>
      <c r="G330" s="73"/>
      <c r="H330" s="73"/>
      <c r="I330" s="73"/>
      <c r="J330" s="73"/>
      <c r="K330" s="73"/>
      <c r="L330" s="73"/>
      <c r="M330" s="74"/>
      <c r="O330" s="144" t="s">
        <v>355</v>
      </c>
      <c r="P330" s="27"/>
      <c r="Q330" s="350">
        <v>1</v>
      </c>
      <c r="R330" s="27" t="s">
        <v>520</v>
      </c>
      <c r="S330" s="27"/>
      <c r="T330" s="27"/>
      <c r="U330" s="27"/>
      <c r="V330" s="27"/>
      <c r="W330" s="27"/>
      <c r="X330" s="27"/>
      <c r="Y330" s="28"/>
    </row>
    <row r="331" spans="1:25" ht="14.1" customHeight="1">
      <c r="A331" s="21">
        <v>43</v>
      </c>
      <c r="B331" s="72"/>
      <c r="C331" s="73"/>
      <c r="D331" s="73"/>
      <c r="E331" s="73"/>
      <c r="F331" s="73"/>
      <c r="G331" s="73"/>
      <c r="H331" s="73"/>
      <c r="I331" s="73"/>
      <c r="J331" s="73"/>
      <c r="K331" s="73"/>
      <c r="L331" s="73"/>
      <c r="M331" s="74"/>
      <c r="O331" s="34"/>
      <c r="P331" s="246" t="s">
        <v>71</v>
      </c>
      <c r="Q331" s="246" t="str">
        <f>AK12&amp;"/"&amp;AL12</f>
        <v>Mo/Mo</v>
      </c>
      <c r="R331" s="246" t="str">
        <f>AK24&amp;"/"&amp;AL24</f>
        <v>Mo/Mo</v>
      </c>
      <c r="S331" s="246" t="str">
        <f>AK32&amp;"/"&amp;AL32</f>
        <v>Mo/Rh</v>
      </c>
      <c r="T331" s="246" t="str">
        <f>AK39&amp;"/"&amp;AL39</f>
        <v>Mo/Rh</v>
      </c>
      <c r="U331" s="246" t="str">
        <f>AK47&amp;"/"&amp;AL47</f>
        <v>W/Rh</v>
      </c>
      <c r="V331" s="246" t="str">
        <f>AK56&amp;"/"&amp;AL56</f>
        <v>W/Rh</v>
      </c>
      <c r="W331" s="151"/>
      <c r="X331" s="218"/>
      <c r="Y331" s="36"/>
    </row>
    <row r="332" spans="1:25" ht="14.1" customHeight="1">
      <c r="A332" s="21">
        <v>44</v>
      </c>
      <c r="B332" s="72"/>
      <c r="C332" s="73"/>
      <c r="D332" s="73"/>
      <c r="E332" s="73"/>
      <c r="F332" s="73"/>
      <c r="G332" s="73"/>
      <c r="H332" s="73"/>
      <c r="I332" s="73"/>
      <c r="J332" s="73"/>
      <c r="K332" s="73"/>
      <c r="L332" s="73"/>
      <c r="M332" s="74"/>
      <c r="O332" s="34"/>
      <c r="P332" s="15" t="s">
        <v>269</v>
      </c>
      <c r="Q332" s="15">
        <f>AH12</f>
        <v>28</v>
      </c>
      <c r="R332" s="15">
        <f>AH24</f>
        <v>32</v>
      </c>
      <c r="S332" s="15">
        <f>AH32</f>
        <v>28</v>
      </c>
      <c r="T332" s="15">
        <f>AH39</f>
        <v>32</v>
      </c>
      <c r="U332" s="15">
        <f>AH47</f>
        <v>28</v>
      </c>
      <c r="V332" s="15">
        <f>AH56</f>
        <v>32</v>
      </c>
      <c r="W332" s="151"/>
      <c r="X332" s="218"/>
      <c r="Y332" s="36"/>
    </row>
    <row r="333" spans="1:25" ht="14.1" customHeight="1">
      <c r="A333" s="21">
        <v>45</v>
      </c>
      <c r="B333" s="72"/>
      <c r="C333" s="73"/>
      <c r="D333" s="73"/>
      <c r="E333" s="73"/>
      <c r="F333" s="73"/>
      <c r="G333" s="73"/>
      <c r="H333" s="73"/>
      <c r="I333" s="73"/>
      <c r="J333" s="73"/>
      <c r="K333" s="73"/>
      <c r="L333" s="73"/>
      <c r="M333" s="74"/>
      <c r="O333" s="34"/>
      <c r="P333" s="115" t="s">
        <v>356</v>
      </c>
      <c r="Q333" s="763" t="s">
        <v>357</v>
      </c>
      <c r="R333" s="763"/>
      <c r="S333" s="763"/>
      <c r="T333" s="763"/>
      <c r="U333" s="763"/>
      <c r="V333" s="763"/>
      <c r="W333" s="336"/>
      <c r="X333" s="336"/>
      <c r="Y333" s="36"/>
    </row>
    <row r="334" spans="1:25" ht="14.1" customHeight="1">
      <c r="A334" s="21">
        <v>46</v>
      </c>
      <c r="B334" s="72"/>
      <c r="C334" s="73"/>
      <c r="D334" s="73"/>
      <c r="E334" s="73"/>
      <c r="F334" s="73"/>
      <c r="G334" s="73"/>
      <c r="H334" s="73"/>
      <c r="I334" s="73"/>
      <c r="J334" s="73"/>
      <c r="K334" s="73"/>
      <c r="L334" s="73"/>
      <c r="M334" s="74"/>
      <c r="O334" s="34"/>
      <c r="P334" s="114">
        <v>0</v>
      </c>
      <c r="Q334" s="291" t="str">
        <f>IF(AO12="","",AO12)</f>
        <v/>
      </c>
      <c r="R334" s="291" t="str">
        <f>IF(AO24="","",AO24)</f>
        <v/>
      </c>
      <c r="S334" s="291" t="str">
        <f>IF(AO32="","",AO32)</f>
        <v/>
      </c>
      <c r="T334" s="291" t="str">
        <f>IF(AO39="","",AO39)</f>
        <v/>
      </c>
      <c r="U334" s="291" t="str">
        <f>IF(AO47="","",AO47)</f>
        <v/>
      </c>
      <c r="V334" s="291" t="str">
        <f>IF(AO56="","",AO56)</f>
        <v/>
      </c>
      <c r="W334" s="337"/>
      <c r="X334" s="338"/>
      <c r="Y334" s="36"/>
    </row>
    <row r="335" spans="1:25" ht="14.1" customHeight="1">
      <c r="A335" s="21">
        <v>47</v>
      </c>
      <c r="B335" s="72"/>
      <c r="C335" s="73"/>
      <c r="D335" s="73"/>
      <c r="E335" s="73"/>
      <c r="F335" s="73"/>
      <c r="G335" s="73"/>
      <c r="H335" s="73"/>
      <c r="I335" s="73"/>
      <c r="J335" s="73"/>
      <c r="K335" s="73"/>
      <c r="L335" s="73"/>
      <c r="M335" s="74"/>
      <c r="O335" s="34"/>
      <c r="P335" s="114">
        <v>0.3</v>
      </c>
      <c r="Q335" s="291" t="str">
        <f>IF(OR(AO16="",AO17=""),"",AVERAGE(AO16:AO17))</f>
        <v/>
      </c>
      <c r="R335" s="318"/>
      <c r="S335" s="318"/>
      <c r="T335" s="318"/>
      <c r="U335" s="327"/>
      <c r="V335" s="327"/>
      <c r="W335" s="339"/>
      <c r="X335" s="340"/>
      <c r="Y335" s="36"/>
    </row>
    <row r="336" spans="1:25" ht="14.1" customHeight="1">
      <c r="A336" s="21">
        <v>48</v>
      </c>
      <c r="B336" s="72"/>
      <c r="C336" s="73"/>
      <c r="D336" s="73"/>
      <c r="E336" s="73"/>
      <c r="F336" s="73"/>
      <c r="G336" s="73"/>
      <c r="H336" s="73"/>
      <c r="I336" s="73"/>
      <c r="J336" s="73"/>
      <c r="K336" s="73"/>
      <c r="L336" s="73"/>
      <c r="M336" s="74"/>
      <c r="O336" s="34"/>
      <c r="P336" s="114">
        <v>0.4</v>
      </c>
      <c r="Q336" s="270" t="str">
        <f>IF(OR(AO18="",AO19=""),"",AVERAGE(AO18:AO19))</f>
        <v/>
      </c>
      <c r="R336" s="291" t="str">
        <f>IF(OR(AO26="",AO27=""),"",AVERAGE(AO26:AO27))</f>
        <v/>
      </c>
      <c r="S336" s="291" t="str">
        <f>IF(OR(AO34="",AO35=""),"",AVERAGE(AO34:AO35))</f>
        <v/>
      </c>
      <c r="T336" s="291" t="str">
        <f>IF(OR(AO41="",AO42=""),"",AVERAGE(AO41:AO42))</f>
        <v/>
      </c>
      <c r="U336" s="318"/>
      <c r="V336" s="318"/>
      <c r="W336" s="337"/>
      <c r="X336" s="338"/>
      <c r="Y336" s="36"/>
    </row>
    <row r="337" spans="1:25" ht="14.1" customHeight="1">
      <c r="A337" s="21">
        <v>49</v>
      </c>
      <c r="B337" s="72"/>
      <c r="M337" s="74"/>
      <c r="O337" s="34"/>
      <c r="P337" s="293">
        <v>0.5</v>
      </c>
      <c r="Q337" s="325"/>
      <c r="R337" s="319" t="str">
        <f>IF(OR(AO28="",AO29=""),"",AVERAGE(AO28:AO29))</f>
        <v/>
      </c>
      <c r="S337" s="319" t="str">
        <f>IF(OR(AO36="",AO37=""),"",AVERAGE(AO36:AO37))</f>
        <v/>
      </c>
      <c r="T337" s="319" t="str">
        <f>IF(OR(AO43="",AO44=""),"",AVERAGE(AO43:AO44))</f>
        <v/>
      </c>
      <c r="U337" s="294" t="str">
        <f>IF(OR(AO51="",AO52=""),"",AVERAGE(AO51:AO52))</f>
        <v/>
      </c>
      <c r="V337" s="318"/>
      <c r="W337" s="337"/>
      <c r="X337" s="338"/>
      <c r="Y337" s="36"/>
    </row>
    <row r="338" spans="1:25" ht="14.1" customHeight="1">
      <c r="A338" s="21">
        <v>50</v>
      </c>
      <c r="B338" s="72"/>
      <c r="M338" s="74"/>
      <c r="O338" s="34"/>
      <c r="P338" s="323">
        <v>0.6</v>
      </c>
      <c r="Q338" s="326"/>
      <c r="R338" s="326"/>
      <c r="S338" s="326"/>
      <c r="T338" s="326"/>
      <c r="U338" s="324" t="str">
        <f>IF(OR(AO53="",AO54=""),"",AVERAGE(AO53:AO54))</f>
        <v/>
      </c>
      <c r="V338" s="324" t="str">
        <f>IF(OR(AO58="",AO59=""),"",AVERAGE(AO58:AO59))</f>
        <v/>
      </c>
      <c r="W338" s="341"/>
      <c r="X338" s="340"/>
      <c r="Y338" s="36"/>
    </row>
    <row r="339" spans="1:25" ht="14.1" customHeight="1">
      <c r="A339" s="21">
        <v>51</v>
      </c>
      <c r="B339" s="72"/>
      <c r="M339" s="74"/>
      <c r="O339" s="34"/>
      <c r="P339" s="323">
        <v>0.7</v>
      </c>
      <c r="Q339" s="326"/>
      <c r="R339" s="326"/>
      <c r="S339" s="326"/>
      <c r="T339" s="326"/>
      <c r="U339" s="326"/>
      <c r="V339" s="324" t="str">
        <f>IF(OR(AO60="",AO61=""),"",AVERAGE(AO60:AO61))</f>
        <v/>
      </c>
      <c r="W339" s="341"/>
      <c r="X339" s="340"/>
      <c r="Y339" s="36"/>
    </row>
    <row r="340" spans="1:25" ht="14.1" customHeight="1">
      <c r="A340" s="21">
        <v>52</v>
      </c>
      <c r="B340" s="72"/>
      <c r="M340" s="74"/>
      <c r="O340" s="34"/>
      <c r="P340" s="320">
        <v>0</v>
      </c>
      <c r="Q340" s="321" t="str">
        <f>IF(AO13="","",AO13)</f>
        <v/>
      </c>
      <c r="R340" s="321" t="str">
        <f>IF(AO25="","",AO25)</f>
        <v/>
      </c>
      <c r="S340" s="321" t="str">
        <f>IF(AO33="","",AO33)</f>
        <v/>
      </c>
      <c r="T340" s="321" t="str">
        <f>IF(AO40="","",AO40)</f>
        <v/>
      </c>
      <c r="U340" s="321" t="str">
        <f>IF(AO48="","",AO48)</f>
        <v/>
      </c>
      <c r="V340" s="322" t="str">
        <f>IF(AO57="","",AO57)</f>
        <v/>
      </c>
      <c r="W340" s="337"/>
      <c r="X340" s="338"/>
      <c r="Y340" s="36"/>
    </row>
    <row r="341" spans="1:25" ht="14.1" customHeight="1">
      <c r="A341" s="21">
        <v>53</v>
      </c>
      <c r="B341" s="72"/>
      <c r="M341" s="74"/>
      <c r="O341" s="34"/>
      <c r="P341" s="15" t="s">
        <v>358</v>
      </c>
      <c r="Q341" s="16" t="str">
        <f>IF(OR(Q335="",Q336=""),"",($P$336*LN(2*Q335/AVERAGE(Q334,Q340))-($P$335*LN(2*Q336/AVERAGE(Q334,Q340))))/LN(Q335/Q336))</f>
        <v/>
      </c>
      <c r="R341" s="16" t="str">
        <f>IF(OR(R336="",R337=""),"",($P$337*LN(2*R336/AVERAGE(R334,R340))-($P$336*LN(2*R337/AVERAGE(R334,R340))))/LN(R336/R337))</f>
        <v/>
      </c>
      <c r="S341" s="16" t="str">
        <f>IF(OR(S336="",S337=""),"",($P$337*LN(2*S336/AVERAGE(S334,S340))-($P$336*LN(2*S337/AVERAGE(S334,S340))))/LN(S336/S337))</f>
        <v/>
      </c>
      <c r="T341" s="16" t="str">
        <f>IF(OR(T336="",T337=""),"",($P$337*LN(2*T336/AVERAGE(T334,T340))-($P$336*LN(2*T337/AVERAGE(T334,T340))))/LN(T336/T337))</f>
        <v/>
      </c>
      <c r="U341" s="16" t="str">
        <f>IF(OR(U337="",U338=""),"",($P$338*LN(2*U337/AVERAGE(U334,U340))-($P$337*LN(2*U338/AVERAGE(U334,U340))))/LN(U337/U338))</f>
        <v/>
      </c>
      <c r="V341" s="16" t="str">
        <f>IF(OR(V338="",V339=""),"",($P$339*LN(2*V338/AVERAGE(V334,V340))-($P$338*LN(2*V339/AVERAGE(V334,V340))))/LN(V338/V339))</f>
        <v/>
      </c>
      <c r="W341" s="342"/>
      <c r="X341" s="343"/>
      <c r="Y341" s="36"/>
    </row>
    <row r="342" spans="1:25" ht="14.1" customHeight="1" thickBot="1">
      <c r="A342" s="21">
        <v>54</v>
      </c>
      <c r="B342" s="72"/>
      <c r="C342" s="154" t="s">
        <v>343</v>
      </c>
      <c r="D342" s="73"/>
      <c r="E342" s="73"/>
      <c r="F342" s="73"/>
      <c r="G342" s="73"/>
      <c r="H342" s="73"/>
      <c r="I342" s="73"/>
      <c r="J342" s="73"/>
      <c r="K342" s="73"/>
      <c r="L342" s="73"/>
      <c r="M342" s="74"/>
      <c r="O342" s="34"/>
      <c r="P342" s="15" t="s">
        <v>359</v>
      </c>
      <c r="Q342" s="190" t="str">
        <f t="shared" ref="Q342:V342" si="63">IF(OR(Q334="",Q340=""),"",ABS(Q340-Q334)/Q334)</f>
        <v/>
      </c>
      <c r="R342" s="190" t="str">
        <f t="shared" si="63"/>
        <v/>
      </c>
      <c r="S342" s="190" t="str">
        <f t="shared" si="63"/>
        <v/>
      </c>
      <c r="T342" s="190" t="str">
        <f t="shared" si="63"/>
        <v/>
      </c>
      <c r="U342" s="190" t="str">
        <f t="shared" si="63"/>
        <v/>
      </c>
      <c r="V342" s="190" t="str">
        <f t="shared" si="63"/>
        <v/>
      </c>
      <c r="W342" s="344"/>
      <c r="X342" s="345"/>
      <c r="Y342" s="36"/>
    </row>
    <row r="343" spans="1:25" ht="14.1" customHeight="1">
      <c r="A343" s="21">
        <v>55</v>
      </c>
      <c r="B343" s="72"/>
      <c r="C343" s="171"/>
      <c r="D343" s="365" t="s">
        <v>95</v>
      </c>
      <c r="E343" s="366" t="str">
        <f>Q305</f>
        <v>Mo/Mo</v>
      </c>
      <c r="F343" s="505" t="s">
        <v>173</v>
      </c>
      <c r="G343" s="511">
        <f>S305</f>
        <v>28</v>
      </c>
      <c r="H343" s="28"/>
      <c r="I343" s="365" t="s">
        <v>95</v>
      </c>
      <c r="J343" s="366" t="str">
        <f>V305</f>
        <v>W/Rh</v>
      </c>
      <c r="K343" s="367" t="s">
        <v>173</v>
      </c>
      <c r="L343" s="547">
        <f>X305</f>
        <v>28</v>
      </c>
      <c r="M343" s="527"/>
      <c r="O343" s="34"/>
      <c r="P343" s="15" t="s">
        <v>360</v>
      </c>
      <c r="Q343" s="296">
        <f>IF($Q$330=1,Q332/100+0.03,Q332/100)</f>
        <v>0.31000000000000005</v>
      </c>
      <c r="R343" s="296">
        <f>IF($Q$330=1,R332/100+0.03,R332/100)</f>
        <v>0.35</v>
      </c>
      <c r="S343" s="296">
        <f>IF($Q$330=1,S332/100+0.03,S332/100)</f>
        <v>0.31000000000000005</v>
      </c>
      <c r="T343" s="296">
        <f>IF($Q$330=1,T332/100+0.03,T332/100)</f>
        <v>0.35</v>
      </c>
      <c r="U343" s="296">
        <f>IF($B$175=1,U332/100+0.03,U332/100)</f>
        <v>0.28000000000000003</v>
      </c>
      <c r="V343" s="296">
        <f>IF($B$175=1,V332/100+0.03,V332/100)</f>
        <v>0.32</v>
      </c>
      <c r="W343" s="346"/>
      <c r="X343" s="347"/>
      <c r="Y343" s="36"/>
    </row>
    <row r="344" spans="1:25" ht="14.1" customHeight="1">
      <c r="A344" s="21">
        <v>56</v>
      </c>
      <c r="B344" s="72"/>
      <c r="C344" s="171"/>
      <c r="D344" s="517"/>
      <c r="E344" s="73"/>
      <c r="F344" s="171" t="s">
        <v>219</v>
      </c>
      <c r="G344" s="353">
        <f>S306</f>
        <v>50</v>
      </c>
      <c r="H344" s="219"/>
      <c r="I344" s="73"/>
      <c r="J344" s="73"/>
      <c r="K344" s="171" t="s">
        <v>219</v>
      </c>
      <c r="L344" s="353">
        <f>X306</f>
        <v>50</v>
      </c>
      <c r="M344" s="74"/>
      <c r="O344" s="34"/>
      <c r="P344" s="297" t="s">
        <v>361</v>
      </c>
      <c r="Q344" s="296">
        <f>Q332/100+0.12</f>
        <v>0.4</v>
      </c>
      <c r="R344" s="296">
        <f>R332/100+0.12</f>
        <v>0.44</v>
      </c>
      <c r="S344" s="296">
        <f>S332/100+0.19</f>
        <v>0.47000000000000003</v>
      </c>
      <c r="T344" s="296">
        <f>T332/100+0.19</f>
        <v>0.51</v>
      </c>
      <c r="U344" s="296"/>
      <c r="V344" s="296"/>
      <c r="W344" s="346"/>
      <c r="X344" s="347"/>
      <c r="Y344" s="36"/>
    </row>
    <row r="345" spans="1:25" ht="14.1" customHeight="1" thickBot="1">
      <c r="A345" s="21">
        <v>57</v>
      </c>
      <c r="B345" s="72"/>
      <c r="C345" s="115"/>
      <c r="D345" s="373" t="s">
        <v>25</v>
      </c>
      <c r="E345" s="374" t="s">
        <v>26</v>
      </c>
      <c r="F345" s="374" t="s">
        <v>27</v>
      </c>
      <c r="G345" s="374" t="s">
        <v>338</v>
      </c>
      <c r="H345" s="375" t="s">
        <v>339</v>
      </c>
      <c r="I345" s="373" t="s">
        <v>25</v>
      </c>
      <c r="J345" s="374" t="s">
        <v>26</v>
      </c>
      <c r="K345" s="374" t="s">
        <v>27</v>
      </c>
      <c r="L345" s="374" t="s">
        <v>338</v>
      </c>
      <c r="M345" s="528" t="s">
        <v>339</v>
      </c>
      <c r="O345" s="34"/>
      <c r="P345" s="298"/>
      <c r="Q345" s="299" t="str">
        <f>IF(Q341="","",IF(AND(Q341&gt;=Q343,Q341&lt;=Q344),"Pass","Fail"))</f>
        <v/>
      </c>
      <c r="R345" s="299" t="str">
        <f>IF(R341="","",IF(AND(R341&gt;=R343,R341&lt;=R344),"Pass","Fail"))</f>
        <v/>
      </c>
      <c r="S345" s="299" t="str">
        <f>IF(S341="","",IF(AND(S341&gt;=S343,S341&lt;=S344),"Pass","Fail"))</f>
        <v/>
      </c>
      <c r="T345" s="299" t="str">
        <f>IF(T341="","",IF(AND(T341&gt;=T343,T341&lt;=T344),"Pass","Fail"))</f>
        <v/>
      </c>
      <c r="U345" s="299" t="str">
        <f>IF(U341="","",IF(U341&gt;=U343,"Pass","Fail"))</f>
        <v/>
      </c>
      <c r="V345" s="299" t="str">
        <f>IF(V341="","",IF(V341&gt;=V343,"Pass","Fail"))</f>
        <v/>
      </c>
      <c r="W345" s="151"/>
      <c r="X345" s="218"/>
      <c r="Y345" s="247"/>
    </row>
    <row r="346" spans="1:25" ht="14.1" customHeight="1" thickBot="1">
      <c r="A346" s="21">
        <v>58</v>
      </c>
      <c r="B346" s="72"/>
      <c r="C346" s="115"/>
      <c r="D346" s="510" t="str">
        <f t="shared" ref="D346:M351" si="64">IF(P308="","",P308)</f>
        <v/>
      </c>
      <c r="E346" s="499" t="str">
        <f t="shared" si="64"/>
        <v/>
      </c>
      <c r="F346" s="499" t="str">
        <f t="shared" si="64"/>
        <v/>
      </c>
      <c r="G346" s="500" t="str">
        <f t="shared" si="64"/>
        <v/>
      </c>
      <c r="H346" s="512" t="str">
        <f t="shared" si="64"/>
        <v/>
      </c>
      <c r="I346" s="515" t="str">
        <f t="shared" si="64"/>
        <v/>
      </c>
      <c r="J346" s="490" t="str">
        <f t="shared" si="64"/>
        <v/>
      </c>
      <c r="K346" s="490" t="str">
        <f t="shared" si="64"/>
        <v/>
      </c>
      <c r="L346" s="491" t="str">
        <f t="shared" si="64"/>
        <v/>
      </c>
      <c r="M346" s="529" t="str">
        <f t="shared" si="64"/>
        <v/>
      </c>
      <c r="O346" s="44"/>
      <c r="P346" s="121" t="s">
        <v>204</v>
      </c>
      <c r="Q346" s="200" t="s">
        <v>362</v>
      </c>
      <c r="R346" s="6"/>
      <c r="S346" s="6"/>
      <c r="T346" s="6"/>
      <c r="U346" s="6"/>
      <c r="V346" s="6"/>
      <c r="W346" s="6"/>
      <c r="X346" s="6"/>
      <c r="Y346" s="46"/>
    </row>
    <row r="347" spans="1:25" ht="14.1" customHeight="1">
      <c r="A347" s="21">
        <v>59</v>
      </c>
      <c r="B347" s="72"/>
      <c r="C347" s="115"/>
      <c r="D347" s="506" t="str">
        <f t="shared" si="64"/>
        <v/>
      </c>
      <c r="E347" s="333" t="str">
        <f t="shared" si="64"/>
        <v/>
      </c>
      <c r="F347" s="333" t="str">
        <f t="shared" si="64"/>
        <v/>
      </c>
      <c r="G347" s="324" t="str">
        <f t="shared" si="64"/>
        <v/>
      </c>
      <c r="H347" s="513" t="str">
        <f t="shared" si="64"/>
        <v/>
      </c>
      <c r="I347" s="506" t="str">
        <f t="shared" si="64"/>
        <v/>
      </c>
      <c r="J347" s="333" t="str">
        <f t="shared" si="64"/>
        <v/>
      </c>
      <c r="K347" s="333" t="str">
        <f t="shared" si="64"/>
        <v/>
      </c>
      <c r="L347" s="324" t="str">
        <f t="shared" si="64"/>
        <v/>
      </c>
      <c r="M347" s="530" t="str">
        <f t="shared" si="64"/>
        <v/>
      </c>
      <c r="O347" s="144" t="s">
        <v>325</v>
      </c>
      <c r="P347" s="27"/>
      <c r="Q347" s="27"/>
      <c r="R347" s="27"/>
      <c r="S347" s="27"/>
      <c r="T347" s="27"/>
      <c r="U347" s="27"/>
      <c r="V347" s="27"/>
      <c r="W347" s="27"/>
      <c r="X347" s="27"/>
      <c r="Y347" s="28"/>
    </row>
    <row r="348" spans="1:25" ht="14.1" customHeight="1">
      <c r="A348" s="21">
        <v>60</v>
      </c>
      <c r="B348" s="72"/>
      <c r="C348" s="115"/>
      <c r="D348" s="506" t="str">
        <f t="shared" si="64"/>
        <v/>
      </c>
      <c r="E348" s="333" t="str">
        <f t="shared" si="64"/>
        <v/>
      </c>
      <c r="F348" s="333" t="str">
        <f t="shared" si="64"/>
        <v/>
      </c>
      <c r="G348" s="324" t="str">
        <f t="shared" si="64"/>
        <v/>
      </c>
      <c r="H348" s="513" t="str">
        <f t="shared" si="64"/>
        <v/>
      </c>
      <c r="I348" s="506" t="str">
        <f t="shared" si="64"/>
        <v/>
      </c>
      <c r="J348" s="333" t="str">
        <f t="shared" si="64"/>
        <v/>
      </c>
      <c r="K348" s="333" t="str">
        <f t="shared" si="64"/>
        <v/>
      </c>
      <c r="L348" s="324" t="str">
        <f t="shared" si="64"/>
        <v/>
      </c>
      <c r="M348" s="530" t="str">
        <f t="shared" si="64"/>
        <v/>
      </c>
      <c r="O348" s="300" t="s">
        <v>326</v>
      </c>
      <c r="P348" s="39" t="s">
        <v>44</v>
      </c>
      <c r="Q348" s="278"/>
      <c r="R348" s="39" t="s">
        <v>340</v>
      </c>
      <c r="S348" s="278"/>
      <c r="U348" s="39" t="s">
        <v>363</v>
      </c>
      <c r="V348" s="278"/>
      <c r="Y348" s="36"/>
    </row>
    <row r="349" spans="1:25" ht="14.1" customHeight="1" thickBot="1">
      <c r="A349" s="21">
        <v>61</v>
      </c>
      <c r="B349" s="72"/>
      <c r="C349" s="115"/>
      <c r="D349" s="508" t="str">
        <f t="shared" si="64"/>
        <v/>
      </c>
      <c r="E349" s="497" t="str">
        <f t="shared" si="64"/>
        <v/>
      </c>
      <c r="F349" s="497" t="str">
        <f t="shared" si="64"/>
        <v/>
      </c>
      <c r="G349" s="498" t="str">
        <f t="shared" si="64"/>
        <v/>
      </c>
      <c r="H349" s="514" t="str">
        <f t="shared" si="64"/>
        <v/>
      </c>
      <c r="I349" s="508" t="str">
        <f t="shared" si="64"/>
        <v/>
      </c>
      <c r="J349" s="497" t="str">
        <f t="shared" si="64"/>
        <v/>
      </c>
      <c r="K349" s="497" t="str">
        <f t="shared" si="64"/>
        <v/>
      </c>
      <c r="L349" s="498" t="str">
        <f t="shared" si="64"/>
        <v/>
      </c>
      <c r="M349" s="531" t="str">
        <f t="shared" si="64"/>
        <v/>
      </c>
      <c r="O349" s="34"/>
      <c r="Y349" s="36"/>
    </row>
    <row r="350" spans="1:25" ht="14.1" customHeight="1">
      <c r="A350" s="21">
        <v>62</v>
      </c>
      <c r="B350" s="72"/>
      <c r="C350" s="171" t="s">
        <v>210</v>
      </c>
      <c r="D350" s="510" t="str">
        <f t="shared" si="64"/>
        <v/>
      </c>
      <c r="E350" s="499" t="str">
        <f t="shared" si="64"/>
        <v/>
      </c>
      <c r="F350" s="499" t="str">
        <f t="shared" si="64"/>
        <v/>
      </c>
      <c r="G350" s="500" t="str">
        <f t="shared" si="64"/>
        <v/>
      </c>
      <c r="H350" s="512" t="str">
        <f t="shared" si="64"/>
        <v/>
      </c>
      <c r="I350" s="510" t="str">
        <f t="shared" si="64"/>
        <v/>
      </c>
      <c r="J350" s="499" t="str">
        <f t="shared" si="64"/>
        <v/>
      </c>
      <c r="K350" s="499" t="str">
        <f t="shared" si="64"/>
        <v/>
      </c>
      <c r="L350" s="500" t="str">
        <f t="shared" si="64"/>
        <v/>
      </c>
      <c r="M350" s="532" t="str">
        <f t="shared" si="64"/>
        <v/>
      </c>
      <c r="O350" s="34"/>
      <c r="P350" s="39"/>
      <c r="R350" s="25" t="s">
        <v>322</v>
      </c>
      <c r="V350" s="25" t="s">
        <v>322</v>
      </c>
      <c r="Y350" s="36"/>
    </row>
    <row r="351" spans="1:25" ht="14.1" customHeight="1">
      <c r="A351" s="21">
        <v>63</v>
      </c>
      <c r="B351" s="72"/>
      <c r="C351" s="171" t="s">
        <v>344</v>
      </c>
      <c r="D351" s="506" t="str">
        <f t="shared" si="64"/>
        <v/>
      </c>
      <c r="E351" s="333" t="str">
        <f t="shared" si="64"/>
        <v/>
      </c>
      <c r="F351" s="333" t="str">
        <f t="shared" si="64"/>
        <v/>
      </c>
      <c r="G351" s="324" t="str">
        <f t="shared" si="64"/>
        <v/>
      </c>
      <c r="H351" s="513" t="str">
        <f t="shared" si="64"/>
        <v/>
      </c>
      <c r="I351" s="506" t="str">
        <f t="shared" si="64"/>
        <v/>
      </c>
      <c r="J351" s="333" t="str">
        <f t="shared" si="64"/>
        <v/>
      </c>
      <c r="K351" s="333" t="str">
        <f t="shared" si="64"/>
        <v/>
      </c>
      <c r="L351" s="324" t="str">
        <f t="shared" si="64"/>
        <v/>
      </c>
      <c r="M351" s="530" t="str">
        <f t="shared" si="64"/>
        <v/>
      </c>
      <c r="O351" s="34"/>
      <c r="P351" s="39" t="s">
        <v>173</v>
      </c>
      <c r="Q351" s="153"/>
      <c r="R351" s="130" t="str">
        <f t="shared" ref="R351:R356" si="65">IF(AB91="","",AB91)</f>
        <v/>
      </c>
      <c r="T351" s="39" t="s">
        <v>187</v>
      </c>
      <c r="U351" s="153"/>
      <c r="V351" s="130" t="str">
        <f>IF(AB97="","",AB97)</f>
        <v/>
      </c>
      <c r="Y351" s="36"/>
    </row>
    <row r="352" spans="1:25" ht="14.1" customHeight="1" thickBot="1">
      <c r="A352" s="21">
        <v>64</v>
      </c>
      <c r="B352" s="72"/>
      <c r="C352" s="363" t="s">
        <v>274</v>
      </c>
      <c r="D352" s="458" t="str">
        <f>IF(P314="","",P314)</f>
        <v/>
      </c>
      <c r="E352" s="526"/>
      <c r="F352" s="459" t="str">
        <f>IF(R314="","",R314)</f>
        <v/>
      </c>
      <c r="G352" s="459" t="str">
        <f>IF(S314="","",S314)</f>
        <v/>
      </c>
      <c r="H352" s="525"/>
      <c r="I352" s="458" t="str">
        <f>IF(U314="","",U314)</f>
        <v/>
      </c>
      <c r="J352" s="526"/>
      <c r="K352" s="459" t="str">
        <f>IF(W314="","",W314)</f>
        <v/>
      </c>
      <c r="L352" s="459" t="str">
        <f>IF(X314="","",X314)</f>
        <v/>
      </c>
      <c r="M352" s="533"/>
      <c r="O352" s="34"/>
      <c r="P352" s="39" t="s">
        <v>176</v>
      </c>
      <c r="Q352" s="153"/>
      <c r="R352" s="130" t="str">
        <f t="shared" si="65"/>
        <v/>
      </c>
      <c r="T352" s="39" t="s">
        <v>189</v>
      </c>
      <c r="U352" s="153"/>
      <c r="V352" s="130" t="str">
        <f>IF(AB98="","",AB98)</f>
        <v/>
      </c>
      <c r="Y352" s="36"/>
    </row>
    <row r="353" spans="1:25" ht="14.1" customHeight="1" thickBot="1">
      <c r="A353" s="21">
        <v>65</v>
      </c>
      <c r="B353" s="72"/>
      <c r="C353" s="171"/>
      <c r="D353" s="379"/>
      <c r="E353" s="379"/>
      <c r="F353" s="379"/>
      <c r="G353" s="524" t="s">
        <v>547</v>
      </c>
      <c r="H353" s="424" t="str">
        <f>IF(H350="","",IF(H350&gt;7,"Pass","Fail"))</f>
        <v/>
      </c>
      <c r="I353" s="73"/>
      <c r="J353" s="73"/>
      <c r="K353" s="73"/>
      <c r="L353" s="171" t="s">
        <v>548</v>
      </c>
      <c r="M353" s="534" t="str">
        <f>IF(M350="","",IF(M350&gt;2,"Pass","Fail"))</f>
        <v/>
      </c>
      <c r="O353" s="34"/>
      <c r="P353" s="39" t="s">
        <v>332</v>
      </c>
      <c r="Q353" s="153"/>
      <c r="R353" s="130" t="str">
        <f t="shared" si="65"/>
        <v/>
      </c>
      <c r="T353" s="39" t="s">
        <v>191</v>
      </c>
      <c r="U353" s="153"/>
      <c r="V353" s="130" t="str">
        <f>IF(AB99="","",AB99)</f>
        <v/>
      </c>
      <c r="Y353" s="36"/>
    </row>
    <row r="354" spans="1:25" ht="14.1" customHeight="1" thickBot="1">
      <c r="A354" s="21">
        <v>66</v>
      </c>
      <c r="B354" s="72"/>
      <c r="C354" s="171"/>
      <c r="D354" s="73"/>
      <c r="E354" s="73"/>
      <c r="F354" s="115"/>
      <c r="G354" s="115"/>
      <c r="H354" s="73"/>
      <c r="I354" s="73"/>
      <c r="J354" s="73"/>
      <c r="K354" s="73"/>
      <c r="L354" s="73"/>
      <c r="M354" s="74"/>
      <c r="O354" s="34"/>
      <c r="P354" s="39" t="s">
        <v>182</v>
      </c>
      <c r="Q354" s="153"/>
      <c r="R354" s="130" t="str">
        <f t="shared" si="65"/>
        <v/>
      </c>
      <c r="T354" s="39" t="s">
        <v>218</v>
      </c>
      <c r="U354" s="152" t="str">
        <f>IF(OR(U351="",U352="",U353=""),"",IF(AND(U351&gt;=5,U352&gt;=4,U353&gt;=4),"Pass","Fail"))</f>
        <v/>
      </c>
      <c r="Y354" s="36"/>
    </row>
    <row r="355" spans="1:25" ht="14.1" customHeight="1">
      <c r="A355" s="21">
        <v>67</v>
      </c>
      <c r="B355" s="72"/>
      <c r="C355" s="73"/>
      <c r="D355" s="5" t="s">
        <v>204</v>
      </c>
      <c r="E355" s="109" t="s">
        <v>347</v>
      </c>
      <c r="F355" s="73"/>
      <c r="G355" s="73"/>
      <c r="H355" s="73"/>
      <c r="I355" s="73"/>
      <c r="J355" s="73"/>
      <c r="K355" s="73"/>
      <c r="L355" s="73"/>
      <c r="M355" s="74"/>
      <c r="O355" s="34"/>
      <c r="P355" s="39" t="s">
        <v>184</v>
      </c>
      <c r="Q355" s="153"/>
      <c r="R355" s="130" t="str">
        <f t="shared" si="65"/>
        <v/>
      </c>
      <c r="T355" s="121" t="s">
        <v>204</v>
      </c>
      <c r="U355" s="146" t="s">
        <v>364</v>
      </c>
      <c r="Y355" s="36"/>
    </row>
    <row r="356" spans="1:25" ht="14.1" customHeight="1">
      <c r="A356" s="21">
        <v>68</v>
      </c>
      <c r="B356" s="72"/>
      <c r="C356" s="73"/>
      <c r="D356" s="73"/>
      <c r="E356" s="109" t="s">
        <v>348</v>
      </c>
      <c r="F356" s="73"/>
      <c r="G356" s="73"/>
      <c r="H356" s="73"/>
      <c r="I356" s="73"/>
      <c r="J356" s="73"/>
      <c r="K356" s="73"/>
      <c r="L356" s="73"/>
      <c r="M356" s="74"/>
      <c r="O356" s="34"/>
      <c r="P356" s="39" t="s">
        <v>185</v>
      </c>
      <c r="Q356" s="20" t="str">
        <f>IF(OR(Q354="",Q355=""),"",Q355-Q354)</f>
        <v/>
      </c>
      <c r="R356" s="130" t="str">
        <f t="shared" si="65"/>
        <v/>
      </c>
      <c r="Y356" s="36"/>
    </row>
    <row r="357" spans="1:25" ht="14.1" customHeight="1">
      <c r="A357" s="21">
        <v>69</v>
      </c>
      <c r="B357" s="72"/>
      <c r="C357" s="73"/>
      <c r="D357" s="73"/>
      <c r="E357" s="109" t="s">
        <v>349</v>
      </c>
      <c r="F357" s="73"/>
      <c r="G357" s="73"/>
      <c r="H357" s="73"/>
      <c r="I357" s="73"/>
      <c r="J357" s="73"/>
      <c r="K357" s="73"/>
      <c r="L357" s="73"/>
      <c r="M357" s="74"/>
      <c r="O357" s="34"/>
      <c r="Y357" s="36"/>
    </row>
    <row r="358" spans="1:25" ht="14.1" customHeight="1" thickBot="1">
      <c r="A358" s="21">
        <v>70</v>
      </c>
      <c r="B358" s="85"/>
      <c r="C358" s="86"/>
      <c r="D358" s="86"/>
      <c r="E358" s="86"/>
      <c r="F358" s="86"/>
      <c r="G358" s="86"/>
      <c r="H358" s="86"/>
      <c r="I358" s="86"/>
      <c r="J358" s="86"/>
      <c r="K358" s="86"/>
      <c r="L358" s="86"/>
      <c r="M358" s="87"/>
      <c r="O358" s="300" t="s">
        <v>365</v>
      </c>
      <c r="Y358" s="36"/>
    </row>
    <row r="359" spans="1:25" ht="14.1" customHeight="1" thickTop="1">
      <c r="A359" s="21">
        <v>71</v>
      </c>
      <c r="C359" s="117" t="s">
        <v>11</v>
      </c>
      <c r="D359" s="422" t="str">
        <f>IF($P$7="","",$P$7)</f>
        <v/>
      </c>
      <c r="E359" s="31"/>
      <c r="F359" s="31"/>
      <c r="G359" s="31"/>
      <c r="H359" s="31"/>
      <c r="I359" s="31"/>
      <c r="J359" s="31"/>
      <c r="K359" s="31"/>
      <c r="L359" s="117" t="s">
        <v>12</v>
      </c>
      <c r="M359" s="423" t="str">
        <f>IF($X$7="","",$X$7)</f>
        <v>Eugene Mah</v>
      </c>
      <c r="O359" s="34"/>
      <c r="Q359" s="39" t="s">
        <v>330</v>
      </c>
      <c r="R359" s="278"/>
      <c r="U359" s="39" t="s">
        <v>330</v>
      </c>
      <c r="V359" s="278"/>
      <c r="Y359" s="36"/>
    </row>
    <row r="360" spans="1:25" ht="14.1" customHeight="1">
      <c r="A360" s="21">
        <v>72</v>
      </c>
      <c r="C360" s="117" t="s">
        <v>121</v>
      </c>
      <c r="D360" s="548" t="str">
        <f>IF($R$14="","",$R$14)</f>
        <v/>
      </c>
      <c r="E360" s="31"/>
      <c r="F360" s="31"/>
      <c r="G360" s="31"/>
      <c r="H360" s="31"/>
      <c r="I360" s="31"/>
      <c r="J360" s="31"/>
      <c r="K360" s="31"/>
      <c r="L360" s="117" t="s">
        <v>37</v>
      </c>
      <c r="M360" s="548" t="str">
        <f>IF($R$13="","",$R$13)</f>
        <v/>
      </c>
      <c r="O360" s="34"/>
      <c r="Q360" s="607" t="s">
        <v>254</v>
      </c>
      <c r="R360" s="607" t="s">
        <v>255</v>
      </c>
      <c r="U360" s="607" t="s">
        <v>254</v>
      </c>
      <c r="V360" s="607" t="s">
        <v>255</v>
      </c>
      <c r="Y360" s="36"/>
    </row>
    <row r="361" spans="1:25" ht="14.1" customHeight="1">
      <c r="A361" s="21">
        <v>1</v>
      </c>
      <c r="B361" s="73"/>
      <c r="C361" s="73"/>
      <c r="D361" s="73"/>
      <c r="E361" s="73"/>
      <c r="F361" s="73"/>
      <c r="G361" s="73"/>
      <c r="H361" s="73"/>
      <c r="I361" s="73"/>
      <c r="J361" s="73"/>
      <c r="K361" s="73"/>
      <c r="L361" s="73"/>
      <c r="M361" s="689" t="str">
        <f>$H$2</f>
        <v>Medical University of South Carolina</v>
      </c>
      <c r="O361" s="170"/>
      <c r="P361" s="39" t="s">
        <v>187</v>
      </c>
      <c r="Q361" s="153"/>
      <c r="R361" s="153"/>
      <c r="T361" s="39" t="s">
        <v>187</v>
      </c>
      <c r="U361" s="153"/>
      <c r="V361" s="153"/>
      <c r="Y361" s="36"/>
    </row>
    <row r="362" spans="1:25" ht="14.1" customHeight="1" thickBot="1">
      <c r="A362" s="21">
        <v>2</v>
      </c>
      <c r="B362" s="86"/>
      <c r="C362" s="86"/>
      <c r="D362" s="86"/>
      <c r="E362" s="86"/>
      <c r="F362" s="86"/>
      <c r="G362" s="86"/>
      <c r="H362" s="690" t="s">
        <v>73</v>
      </c>
      <c r="I362" s="86"/>
      <c r="J362" s="86"/>
      <c r="K362" s="86"/>
      <c r="L362" s="86"/>
      <c r="M362" s="691" t="str">
        <f>$H$5</f>
        <v>Mammography System Compliance Inspection</v>
      </c>
      <c r="O362" s="170"/>
      <c r="P362" s="39" t="s">
        <v>189</v>
      </c>
      <c r="Q362" s="153"/>
      <c r="R362" s="153"/>
      <c r="T362" s="39" t="s">
        <v>189</v>
      </c>
      <c r="U362" s="153"/>
      <c r="V362" s="153"/>
      <c r="Y362" s="36"/>
    </row>
    <row r="363" spans="1:25" ht="14.1" customHeight="1" thickTop="1">
      <c r="A363" s="21">
        <v>3</v>
      </c>
      <c r="B363" s="72"/>
      <c r="C363" s="154" t="s">
        <v>350</v>
      </c>
      <c r="D363" s="73"/>
      <c r="E363" s="73"/>
      <c r="F363" s="73"/>
      <c r="G363" s="73"/>
      <c r="H363" s="73"/>
      <c r="I363" s="73"/>
      <c r="J363" s="73"/>
      <c r="K363" s="73"/>
      <c r="L363" s="73"/>
      <c r="M363" s="74"/>
      <c r="O363" s="170"/>
      <c r="P363" s="39" t="s">
        <v>191</v>
      </c>
      <c r="Q363" s="153"/>
      <c r="R363" s="153"/>
      <c r="T363" s="39" t="s">
        <v>191</v>
      </c>
      <c r="U363" s="153"/>
      <c r="V363" s="153"/>
      <c r="Y363" s="36"/>
    </row>
    <row r="364" spans="1:25" ht="14.1" customHeight="1">
      <c r="A364" s="21">
        <v>4</v>
      </c>
      <c r="B364" s="72"/>
      <c r="C364" s="171" t="s">
        <v>51</v>
      </c>
      <c r="D364" s="148" t="str">
        <f>IF(Q320="","",Q320)</f>
        <v>Mo/Mo</v>
      </c>
      <c r="E364" s="171" t="s">
        <v>54</v>
      </c>
      <c r="F364" s="148">
        <f>IF(S320="","",S320)</f>
        <v>28</v>
      </c>
      <c r="G364" s="73"/>
      <c r="H364" s="73"/>
      <c r="I364" s="73"/>
      <c r="J364" s="73"/>
      <c r="K364" s="73"/>
      <c r="L364" s="73"/>
      <c r="M364" s="74"/>
      <c r="O364" s="34"/>
      <c r="Y364" s="36"/>
    </row>
    <row r="365" spans="1:25" ht="14.1" customHeight="1" thickBot="1">
      <c r="A365" s="21">
        <v>5</v>
      </c>
      <c r="B365" s="72"/>
      <c r="C365" s="73"/>
      <c r="D365" s="115"/>
      <c r="E365" s="73"/>
      <c r="F365" s="73"/>
      <c r="G365" s="73"/>
      <c r="H365" s="73"/>
      <c r="I365" s="73"/>
      <c r="J365" s="73"/>
      <c r="K365" s="73"/>
      <c r="L365" s="73"/>
      <c r="M365" s="74"/>
      <c r="O365" s="300" t="s">
        <v>366</v>
      </c>
      <c r="Q365" s="6"/>
      <c r="R365" s="39" t="s">
        <v>367</v>
      </c>
      <c r="S365" s="695">
        <f>Q265</f>
        <v>0</v>
      </c>
      <c r="Y365" s="36"/>
    </row>
    <row r="366" spans="1:25" ht="14.1" customHeight="1" thickBot="1">
      <c r="A366" s="21">
        <v>6</v>
      </c>
      <c r="B366" s="72"/>
      <c r="C366" s="283" t="s">
        <v>354</v>
      </c>
      <c r="D366" s="283" t="s">
        <v>25</v>
      </c>
      <c r="E366" s="283" t="s">
        <v>345</v>
      </c>
      <c r="F366" s="283" t="s">
        <v>338</v>
      </c>
      <c r="G366" s="283" t="s">
        <v>339</v>
      </c>
      <c r="H366" s="73"/>
      <c r="I366" s="424" t="str">
        <f>IF(F371="","",IF(F371&lt;=0.1,"Pass","Fail"))</f>
        <v/>
      </c>
      <c r="J366" s="73" t="s">
        <v>549</v>
      </c>
      <c r="K366" s="73"/>
      <c r="L366" s="73"/>
      <c r="M366" s="74"/>
      <c r="O366" s="34"/>
      <c r="P366" s="39" t="s">
        <v>71</v>
      </c>
      <c r="Q366" s="301" t="s">
        <v>237</v>
      </c>
      <c r="R366" s="301" t="s">
        <v>262</v>
      </c>
      <c r="S366" s="301" t="s">
        <v>238</v>
      </c>
      <c r="T366" s="39" t="s">
        <v>322</v>
      </c>
      <c r="U366" s="39" t="s">
        <v>71</v>
      </c>
      <c r="V366" s="301" t="s">
        <v>237</v>
      </c>
      <c r="W366" s="301" t="s">
        <v>262</v>
      </c>
      <c r="X366" s="301" t="s">
        <v>238</v>
      </c>
      <c r="Y366" s="36"/>
    </row>
    <row r="367" spans="1:25" ht="14.1" customHeight="1" thickBot="1">
      <c r="A367" s="21">
        <v>7</v>
      </c>
      <c r="B367" s="72"/>
      <c r="C367" s="15">
        <f t="shared" ref="C367:D370" si="66">IF(P322="","",P322)</f>
        <v>20</v>
      </c>
      <c r="D367" s="16" t="str">
        <f t="shared" si="66"/>
        <v/>
      </c>
      <c r="E367" s="16" t="str">
        <f t="shared" ref="E367:G370" si="67">IF(S322="","",S322)</f>
        <v/>
      </c>
      <c r="F367" s="17" t="str">
        <f t="shared" si="67"/>
        <v/>
      </c>
      <c r="G367" s="16" t="str">
        <f t="shared" si="67"/>
        <v/>
      </c>
      <c r="H367" s="73"/>
      <c r="I367" s="424" t="str">
        <f>IF(O328="","",IF(O328=1,"Pass","Fail"))</f>
        <v/>
      </c>
      <c r="J367" s="73" t="s">
        <v>550</v>
      </c>
      <c r="K367" s="73"/>
      <c r="L367" s="73"/>
      <c r="M367" s="74"/>
      <c r="O367" s="34"/>
      <c r="P367" s="39" t="s">
        <v>269</v>
      </c>
      <c r="Q367" s="302"/>
      <c r="R367" s="303"/>
      <c r="S367" s="304"/>
      <c r="T367" s="6"/>
      <c r="U367" s="39" t="s">
        <v>269</v>
      </c>
      <c r="V367" s="305" t="str">
        <f>IF(AB101="","",AB101)</f>
        <v/>
      </c>
      <c r="W367" s="306" t="str">
        <f>IF(AB106="","",AB106)</f>
        <v/>
      </c>
      <c r="X367" s="307" t="str">
        <f>IF(AB111="","",AB111)</f>
        <v/>
      </c>
      <c r="Y367" s="36"/>
    </row>
    <row r="368" spans="1:25" ht="14.1" customHeight="1">
      <c r="A368" s="21">
        <v>8</v>
      </c>
      <c r="B368" s="72"/>
      <c r="C368" s="15">
        <f t="shared" si="66"/>
        <v>50</v>
      </c>
      <c r="D368" s="16" t="str">
        <f t="shared" si="66"/>
        <v/>
      </c>
      <c r="E368" s="16" t="str">
        <f t="shared" si="67"/>
        <v/>
      </c>
      <c r="F368" s="17" t="str">
        <f t="shared" si="67"/>
        <v/>
      </c>
      <c r="G368" s="16" t="str">
        <f t="shared" si="67"/>
        <v/>
      </c>
      <c r="H368" s="73"/>
      <c r="I368" s="73"/>
      <c r="J368" s="73"/>
      <c r="K368" s="73"/>
      <c r="L368" s="73"/>
      <c r="M368" s="74"/>
      <c r="O368" s="34"/>
      <c r="P368" s="39" t="s">
        <v>72</v>
      </c>
      <c r="Q368" s="308"/>
      <c r="R368" s="309"/>
      <c r="S368" s="310"/>
      <c r="T368" s="6"/>
      <c r="U368" s="39" t="s">
        <v>72</v>
      </c>
      <c r="V368" s="311" t="str">
        <f>IF(AB102="","",AB102)</f>
        <v/>
      </c>
      <c r="W368" s="312" t="str">
        <f>IF(AB107="","",AB107)</f>
        <v/>
      </c>
      <c r="X368" s="313" t="str">
        <f>IF(AB112="","",AB112)</f>
        <v/>
      </c>
      <c r="Y368" s="36"/>
    </row>
    <row r="369" spans="1:25" ht="14.1" customHeight="1">
      <c r="A369" s="21">
        <v>9</v>
      </c>
      <c r="B369" s="72"/>
      <c r="C369" s="15">
        <f t="shared" si="66"/>
        <v>100</v>
      </c>
      <c r="D369" s="16" t="str">
        <f t="shared" si="66"/>
        <v/>
      </c>
      <c r="E369" s="16" t="str">
        <f t="shared" si="67"/>
        <v/>
      </c>
      <c r="F369" s="17" t="str">
        <f t="shared" si="67"/>
        <v/>
      </c>
      <c r="G369" s="16" t="str">
        <f t="shared" si="67"/>
        <v/>
      </c>
      <c r="H369" s="73"/>
      <c r="I369" s="73"/>
      <c r="J369" s="73"/>
      <c r="K369" s="73"/>
      <c r="L369" s="73"/>
      <c r="M369" s="74"/>
      <c r="O369" s="34"/>
      <c r="P369" s="39" t="s">
        <v>368</v>
      </c>
      <c r="Q369" s="308"/>
      <c r="R369" s="309"/>
      <c r="S369" s="310"/>
      <c r="T369" s="6"/>
      <c r="U369" s="39" t="s">
        <v>368</v>
      </c>
      <c r="V369" s="311" t="str">
        <f>IF(AB103="","",AB103)</f>
        <v/>
      </c>
      <c r="W369" s="312" t="str">
        <f>IF(AB108="","",AB108)</f>
        <v/>
      </c>
      <c r="X369" s="313" t="str">
        <f>IF(AB113="","",AB113)</f>
        <v/>
      </c>
      <c r="Y369" s="36"/>
    </row>
    <row r="370" spans="1:25" ht="14.1" customHeight="1" thickBot="1">
      <c r="A370" s="21">
        <v>10</v>
      </c>
      <c r="B370" s="72"/>
      <c r="C370" s="15">
        <f t="shared" si="66"/>
        <v>320</v>
      </c>
      <c r="D370" s="16" t="str">
        <f t="shared" si="66"/>
        <v/>
      </c>
      <c r="E370" s="16" t="str">
        <f t="shared" si="67"/>
        <v/>
      </c>
      <c r="F370" s="17" t="str">
        <f t="shared" si="67"/>
        <v/>
      </c>
      <c r="G370" s="16" t="str">
        <f t="shared" si="67"/>
        <v/>
      </c>
      <c r="H370" s="73"/>
      <c r="I370" s="73"/>
      <c r="J370" s="73"/>
      <c r="K370" s="73"/>
      <c r="L370" s="73"/>
      <c r="M370" s="74"/>
      <c r="O370" s="34"/>
      <c r="P370" s="39" t="s">
        <v>369</v>
      </c>
      <c r="Q370" s="308"/>
      <c r="R370" s="309"/>
      <c r="S370" s="310"/>
      <c r="T370" s="6"/>
      <c r="U370" s="39" t="s">
        <v>369</v>
      </c>
      <c r="V370" s="311" t="str">
        <f>IF(AB104="","",AB104)</f>
        <v/>
      </c>
      <c r="W370" s="312" t="str">
        <f>IF(AB109="","",AB109)</f>
        <v/>
      </c>
      <c r="X370" s="313" t="str">
        <f>IF(AB114="","",AB114)</f>
        <v/>
      </c>
      <c r="Y370" s="36"/>
    </row>
    <row r="371" spans="1:25" ht="14.1" customHeight="1" thickBot="1">
      <c r="A371" s="21">
        <v>11</v>
      </c>
      <c r="B371" s="72"/>
      <c r="C371" s="73"/>
      <c r="D371" s="73"/>
      <c r="E371" s="171" t="s">
        <v>351</v>
      </c>
      <c r="F371" s="292" t="str">
        <f>IF(T326="","",T326)</f>
        <v/>
      </c>
      <c r="G371" s="73"/>
      <c r="H371" s="73"/>
      <c r="I371" s="73"/>
      <c r="J371" s="73"/>
      <c r="K371" s="73"/>
      <c r="L371" s="73"/>
      <c r="M371" s="74"/>
      <c r="O371" s="34"/>
      <c r="P371" s="39" t="s">
        <v>370</v>
      </c>
      <c r="Q371" s="308"/>
      <c r="R371" s="309"/>
      <c r="S371" s="310"/>
      <c r="T371" s="6"/>
      <c r="U371" s="39" t="s">
        <v>370</v>
      </c>
      <c r="V371" s="311" t="str">
        <f>IF(AB105="","",AB105)</f>
        <v/>
      </c>
      <c r="W371" s="312" t="str">
        <f>IF(AB110="","",AB110)</f>
        <v/>
      </c>
      <c r="X371" s="313" t="str">
        <f>IF(AB115="","",AB115)</f>
        <v/>
      </c>
      <c r="Y371" s="36"/>
    </row>
    <row r="372" spans="1:25" ht="14.1" customHeight="1">
      <c r="A372" s="21">
        <v>12</v>
      </c>
      <c r="B372" s="72"/>
      <c r="C372" s="73"/>
      <c r="D372" s="5" t="s">
        <v>204</v>
      </c>
      <c r="E372" s="109" t="s">
        <v>352</v>
      </c>
      <c r="F372" s="73"/>
      <c r="G372" s="73"/>
      <c r="H372" s="73"/>
      <c r="I372" s="73"/>
      <c r="J372" s="73"/>
      <c r="K372" s="73"/>
      <c r="L372" s="73"/>
      <c r="M372" s="74"/>
      <c r="O372" s="34"/>
      <c r="P372" s="314"/>
      <c r="Q372" s="4" t="str">
        <f>IF(Q369="","",IF(AND(Q369&gt;=5,Q370&gt;=4,Q371&gt;=4),"Pass","Fail"))</f>
        <v/>
      </c>
      <c r="R372" s="4" t="str">
        <f>IF(R369="","",IF(AND(R369&gt;=5,R370&gt;=4,R371&gt;=4),"Pass","Fail"))</f>
        <v/>
      </c>
      <c r="S372" s="4" t="str">
        <f>IF(S369="","",IF(AND(S369&gt;=5,S370&gt;=4,S371&gt;=4),"Pass","Fail"))</f>
        <v/>
      </c>
      <c r="T372" s="6"/>
      <c r="U372" s="6"/>
      <c r="V372" s="6"/>
      <c r="Y372" s="36"/>
    </row>
    <row r="373" spans="1:25" ht="14.1" customHeight="1" thickBot="1">
      <c r="A373" s="21">
        <v>13</v>
      </c>
      <c r="B373" s="72"/>
      <c r="C373" s="154" t="s">
        <v>355</v>
      </c>
      <c r="D373" s="73"/>
      <c r="E373" s="73"/>
      <c r="F373" s="73"/>
      <c r="G373" s="73"/>
      <c r="H373" s="73"/>
      <c r="I373" s="73"/>
      <c r="J373" s="73"/>
      <c r="K373" s="73"/>
      <c r="L373" s="73"/>
      <c r="M373" s="74"/>
      <c r="O373" s="44"/>
      <c r="P373" s="315" t="s">
        <v>204</v>
      </c>
      <c r="Q373" s="316" t="s">
        <v>371</v>
      </c>
      <c r="R373" s="201"/>
      <c r="S373" s="201"/>
      <c r="T373" s="45"/>
      <c r="U373" s="45"/>
      <c r="V373" s="45"/>
      <c r="W373" s="45"/>
      <c r="X373" s="45"/>
      <c r="Y373" s="46"/>
    </row>
    <row r="374" spans="1:25" ht="14.1" customHeight="1">
      <c r="A374" s="21">
        <v>14</v>
      </c>
      <c r="B374" s="72"/>
      <c r="C374" s="466" t="s">
        <v>71</v>
      </c>
      <c r="D374" s="467" t="str">
        <f>Q331</f>
        <v>Mo/Mo</v>
      </c>
      <c r="E374" s="467" t="str">
        <f>R331</f>
        <v>Mo/Mo</v>
      </c>
      <c r="F374" s="467" t="str">
        <f>S331</f>
        <v>Mo/Rh</v>
      </c>
      <c r="G374" s="467" t="str">
        <f>T331</f>
        <v>Mo/Rh</v>
      </c>
      <c r="H374" s="467" t="str">
        <f>U331</f>
        <v>W/Rh</v>
      </c>
      <c r="I374" s="468" t="str">
        <f>V331</f>
        <v>W/Rh</v>
      </c>
      <c r="J374" s="73"/>
      <c r="K374" s="73"/>
      <c r="L374" s="73"/>
      <c r="M374" s="74"/>
      <c r="O374" s="147" t="s">
        <v>372</v>
      </c>
      <c r="Y374" s="36"/>
    </row>
    <row r="375" spans="1:25" ht="14.1" customHeight="1">
      <c r="A375" s="21">
        <v>15</v>
      </c>
      <c r="B375" s="72"/>
      <c r="C375" s="384" t="s">
        <v>25</v>
      </c>
      <c r="D375" s="381" t="str">
        <f>IF(OR(Q341="",Q332=""),"",Q332)</f>
        <v/>
      </c>
      <c r="E375" s="333" t="str">
        <f t="shared" ref="E375:I375" si="68">IF(OR(R341="",R332=""),"",R332)</f>
        <v/>
      </c>
      <c r="F375" s="333" t="str">
        <f t="shared" si="68"/>
        <v/>
      </c>
      <c r="G375" s="333" t="str">
        <f t="shared" si="68"/>
        <v/>
      </c>
      <c r="H375" s="333" t="str">
        <f t="shared" si="68"/>
        <v/>
      </c>
      <c r="I375" s="507" t="str">
        <f t="shared" si="68"/>
        <v/>
      </c>
      <c r="J375" s="73"/>
      <c r="K375" s="73"/>
      <c r="L375" s="73"/>
      <c r="M375" s="74"/>
      <c r="O375" s="34"/>
      <c r="T375" s="25" t="s">
        <v>373</v>
      </c>
      <c r="U375" s="25" t="s">
        <v>374</v>
      </c>
      <c r="Y375" s="36"/>
    </row>
    <row r="376" spans="1:25" ht="14.1" customHeight="1">
      <c r="A376" s="21">
        <v>16</v>
      </c>
      <c r="B376" s="72"/>
      <c r="C376" s="471" t="s">
        <v>452</v>
      </c>
      <c r="D376" s="333" t="str">
        <f t="shared" ref="D376:I377" si="69">IF(Q341="","",Q341)</f>
        <v/>
      </c>
      <c r="E376" s="333" t="str">
        <f t="shared" si="69"/>
        <v/>
      </c>
      <c r="F376" s="333" t="str">
        <f t="shared" si="69"/>
        <v/>
      </c>
      <c r="G376" s="333" t="str">
        <f t="shared" si="69"/>
        <v/>
      </c>
      <c r="H376" s="333" t="str">
        <f t="shared" si="69"/>
        <v/>
      </c>
      <c r="I376" s="507" t="str">
        <f t="shared" si="69"/>
        <v/>
      </c>
      <c r="J376" s="73"/>
      <c r="K376" s="73"/>
      <c r="L376" s="73"/>
      <c r="M376" s="74"/>
      <c r="O376" s="34"/>
      <c r="P376" s="39" t="s">
        <v>173</v>
      </c>
      <c r="Q376" s="145"/>
      <c r="R376" s="39"/>
      <c r="S376" s="39" t="s">
        <v>375</v>
      </c>
      <c r="T376" s="153"/>
      <c r="U376" s="153"/>
      <c r="Y376" s="36"/>
    </row>
    <row r="377" spans="1:25" ht="14.1" customHeight="1">
      <c r="A377" s="21">
        <v>17</v>
      </c>
      <c r="B377" s="72"/>
      <c r="C377" s="471" t="s">
        <v>551</v>
      </c>
      <c r="D377" s="19" t="str">
        <f t="shared" si="69"/>
        <v/>
      </c>
      <c r="E377" s="19" t="str">
        <f t="shared" si="69"/>
        <v/>
      </c>
      <c r="F377" s="19" t="str">
        <f t="shared" si="69"/>
        <v/>
      </c>
      <c r="G377" s="19" t="str">
        <f t="shared" si="69"/>
        <v/>
      </c>
      <c r="H377" s="19" t="str">
        <f t="shared" si="69"/>
        <v/>
      </c>
      <c r="I377" s="469" t="str">
        <f t="shared" si="69"/>
        <v/>
      </c>
      <c r="J377" s="73"/>
      <c r="K377" s="73"/>
      <c r="L377" s="73"/>
      <c r="M377" s="74"/>
      <c r="O377" s="34"/>
      <c r="P377" s="39" t="s">
        <v>176</v>
      </c>
      <c r="Q377" s="145"/>
      <c r="R377" s="39"/>
      <c r="S377" s="39" t="s">
        <v>376</v>
      </c>
      <c r="T377" s="153"/>
      <c r="U377" s="153"/>
      <c r="Y377" s="36"/>
    </row>
    <row r="378" spans="1:25" ht="14.1" customHeight="1">
      <c r="A378" s="21">
        <v>18</v>
      </c>
      <c r="B378" s="72"/>
      <c r="C378" s="384" t="s">
        <v>360</v>
      </c>
      <c r="D378" s="333">
        <f t="shared" ref="D378:I380" si="70">Q343</f>
        <v>0.31000000000000005</v>
      </c>
      <c r="E378" s="333">
        <f t="shared" si="70"/>
        <v>0.35</v>
      </c>
      <c r="F378" s="333">
        <f t="shared" si="70"/>
        <v>0.31000000000000005</v>
      </c>
      <c r="G378" s="333">
        <f t="shared" si="70"/>
        <v>0.35</v>
      </c>
      <c r="H378" s="333">
        <f t="shared" si="70"/>
        <v>0.28000000000000003</v>
      </c>
      <c r="I378" s="507">
        <f t="shared" si="70"/>
        <v>0.32</v>
      </c>
      <c r="J378" s="73"/>
      <c r="K378" s="73"/>
      <c r="L378" s="73"/>
      <c r="M378" s="74"/>
      <c r="O378" s="34"/>
      <c r="P378" s="39" t="s">
        <v>51</v>
      </c>
      <c r="Q378" s="278"/>
      <c r="Y378" s="36"/>
    </row>
    <row r="379" spans="1:25" ht="14.1" customHeight="1" thickBot="1">
      <c r="A379" s="21">
        <v>19</v>
      </c>
      <c r="B379" s="72"/>
      <c r="C379" s="536" t="s">
        <v>361</v>
      </c>
      <c r="D379" s="497">
        <f t="shared" si="70"/>
        <v>0.4</v>
      </c>
      <c r="E379" s="497">
        <f t="shared" si="70"/>
        <v>0.44</v>
      </c>
      <c r="F379" s="497">
        <f t="shared" si="70"/>
        <v>0.47000000000000003</v>
      </c>
      <c r="G379" s="497">
        <f t="shared" si="70"/>
        <v>0.51</v>
      </c>
      <c r="H379" s="497"/>
      <c r="I379" s="509"/>
      <c r="J379" s="73"/>
      <c r="K379" s="73"/>
      <c r="L379" s="73"/>
      <c r="M379" s="74"/>
      <c r="O379" s="34"/>
      <c r="P379" s="39" t="s">
        <v>54</v>
      </c>
      <c r="Q379" s="278"/>
      <c r="T379" s="14" t="s">
        <v>321</v>
      </c>
      <c r="U379" s="14" t="s">
        <v>322</v>
      </c>
      <c r="V379" s="14" t="s">
        <v>290</v>
      </c>
      <c r="W379" s="14" t="s">
        <v>377</v>
      </c>
      <c r="X379" s="14" t="s">
        <v>291</v>
      </c>
      <c r="Y379" s="36"/>
    </row>
    <row r="380" spans="1:25" ht="14.1" customHeight="1" thickBot="1">
      <c r="A380" s="21">
        <v>20</v>
      </c>
      <c r="B380" s="72"/>
      <c r="C380" s="73"/>
      <c r="D380" s="535" t="str">
        <f t="shared" si="70"/>
        <v/>
      </c>
      <c r="E380" s="535" t="str">
        <f t="shared" si="70"/>
        <v/>
      </c>
      <c r="F380" s="535" t="str">
        <f t="shared" si="70"/>
        <v/>
      </c>
      <c r="G380" s="535" t="str">
        <f t="shared" si="70"/>
        <v/>
      </c>
      <c r="H380" s="535" t="str">
        <f>U345</f>
        <v/>
      </c>
      <c r="I380" s="535" t="str">
        <f>V345</f>
        <v/>
      </c>
      <c r="J380" s="73"/>
      <c r="K380" s="73"/>
      <c r="L380" s="73"/>
      <c r="M380" s="74"/>
      <c r="O380" s="34"/>
      <c r="S380" s="25" t="s">
        <v>198</v>
      </c>
      <c r="T380" s="263" t="str">
        <f>IF(OR(T377="",U377=""),"",(T377-50)/U377)</f>
        <v/>
      </c>
      <c r="U380" s="130" t="str">
        <f>IF(AB116="","",AB116)</f>
        <v/>
      </c>
      <c r="V380" s="264" t="str">
        <f>IF(OR(T380="",W380=""),"",(T380-W380)/W380)</f>
        <v/>
      </c>
      <c r="W380" s="317"/>
      <c r="X380" s="265" t="str">
        <f>IF(T380="","",IF(AND(T380&gt;=40,ABS(V380)&lt;=0.15),"Pass","Fail"))</f>
        <v/>
      </c>
      <c r="Y380" s="36"/>
    </row>
    <row r="381" spans="1:25" ht="14.1" customHeight="1">
      <c r="A381" s="21">
        <v>21</v>
      </c>
      <c r="B381" s="72"/>
      <c r="C381" s="73"/>
      <c r="D381" s="5" t="s">
        <v>204</v>
      </c>
      <c r="E381" s="484" t="s">
        <v>362</v>
      </c>
      <c r="F381" s="73"/>
      <c r="G381" s="73"/>
      <c r="H381" s="73"/>
      <c r="I381" s="73"/>
      <c r="J381" s="73"/>
      <c r="K381" s="73"/>
      <c r="L381" s="73"/>
      <c r="M381" s="74"/>
      <c r="O381" s="34"/>
      <c r="S381" s="25" t="s">
        <v>199</v>
      </c>
      <c r="T381" s="263" t="str">
        <f>IF(OR(T377="",T376=""),"",(T377-T376)/U377)</f>
        <v/>
      </c>
      <c r="U381" s="130" t="str">
        <f>IF(AB117="","",AB117)</f>
        <v/>
      </c>
      <c r="V381" s="264" t="str">
        <f>IF(OR(T381="",W381=""),"",(T381-W381)/W381)</f>
        <v/>
      </c>
      <c r="W381" s="317"/>
      <c r="X381" s="20" t="str">
        <f>IF(T381="","",IF(AND(T381&gt;=2,ABS(V381)&lt;=0.15),"Pass","Fail"))</f>
        <v/>
      </c>
      <c r="Y381" s="36"/>
    </row>
    <row r="382" spans="1:25" ht="14.1" customHeight="1">
      <c r="A382" s="21">
        <v>22</v>
      </c>
      <c r="B382" s="72"/>
      <c r="C382" s="73"/>
      <c r="D382" s="73"/>
      <c r="E382" s="73"/>
      <c r="F382" s="73"/>
      <c r="G382" s="73"/>
      <c r="H382" s="73"/>
      <c r="I382" s="73"/>
      <c r="J382" s="73"/>
      <c r="K382" s="73"/>
      <c r="L382" s="73"/>
      <c r="M382" s="74"/>
      <c r="O382" s="34"/>
      <c r="P382" s="121" t="s">
        <v>204</v>
      </c>
      <c r="Q382" s="109" t="s">
        <v>378</v>
      </c>
      <c r="R382" s="73"/>
      <c r="S382" s="73"/>
      <c r="T382" s="73"/>
      <c r="U382" s="73"/>
      <c r="V382" s="73"/>
      <c r="W382" s="73"/>
      <c r="X382" s="73"/>
      <c r="Y382" s="36"/>
    </row>
    <row r="383" spans="1:25" ht="14.1" customHeight="1">
      <c r="A383" s="21">
        <v>23</v>
      </c>
      <c r="B383" s="72"/>
      <c r="C383" s="154" t="s">
        <v>320</v>
      </c>
      <c r="D383" s="73"/>
      <c r="E383" s="73"/>
      <c r="F383" s="73"/>
      <c r="G383" s="73"/>
      <c r="H383" s="73"/>
      <c r="I383" s="73"/>
      <c r="J383" s="73"/>
      <c r="K383" s="73"/>
      <c r="L383" s="73"/>
      <c r="M383" s="74"/>
      <c r="O383" s="34"/>
      <c r="Q383" s="146" t="s">
        <v>379</v>
      </c>
      <c r="Y383" s="36"/>
    </row>
    <row r="384" spans="1:25" ht="14.1" customHeight="1" thickBot="1">
      <c r="A384" s="21">
        <v>24</v>
      </c>
      <c r="B384" s="72"/>
      <c r="C384" s="73"/>
      <c r="D384" s="171" t="s">
        <v>173</v>
      </c>
      <c r="E384" s="148" t="str">
        <f>IF(Q376="","",Q376)</f>
        <v/>
      </c>
      <c r="F384" s="73"/>
      <c r="G384" s="73"/>
      <c r="H384" s="73" t="s">
        <v>321</v>
      </c>
      <c r="I384" s="73" t="s">
        <v>322</v>
      </c>
      <c r="J384" s="73" t="s">
        <v>290</v>
      </c>
      <c r="K384" s="73" t="s">
        <v>291</v>
      </c>
      <c r="L384" s="73"/>
      <c r="M384" s="74"/>
      <c r="O384" s="44"/>
      <c r="P384" s="45"/>
      <c r="Q384" s="45"/>
      <c r="R384" s="45"/>
      <c r="S384" s="45"/>
      <c r="T384" s="45"/>
      <c r="U384" s="45"/>
      <c r="V384" s="45"/>
      <c r="W384" s="45"/>
      <c r="X384" s="45"/>
      <c r="Y384" s="46"/>
    </row>
    <row r="385" spans="1:25" ht="14.1" customHeight="1" thickBot="1">
      <c r="A385" s="21">
        <v>25</v>
      </c>
      <c r="B385" s="72"/>
      <c r="C385" s="73"/>
      <c r="D385" s="171" t="s">
        <v>176</v>
      </c>
      <c r="E385" s="148" t="str">
        <f>IF(Q377="","",Q377)</f>
        <v/>
      </c>
      <c r="F385" s="73"/>
      <c r="G385" s="171" t="s">
        <v>198</v>
      </c>
      <c r="H385" s="537" t="str">
        <f t="shared" ref="H385:J386" si="71">IF(T380="","",T380)</f>
        <v/>
      </c>
      <c r="I385" s="426" t="str">
        <f t="shared" si="71"/>
        <v/>
      </c>
      <c r="J385" s="539" t="str">
        <f t="shared" si="71"/>
        <v/>
      </c>
      <c r="K385" s="540" t="str">
        <f>IF(X380="","",X380)</f>
        <v/>
      </c>
      <c r="L385" s="73"/>
      <c r="M385" s="74"/>
      <c r="O385" s="546"/>
      <c r="P385" s="377"/>
    </row>
    <row r="386" spans="1:25" ht="14.1" customHeight="1" thickBot="1">
      <c r="A386" s="21">
        <v>26</v>
      </c>
      <c r="B386" s="72"/>
      <c r="C386" s="73"/>
      <c r="D386" s="171" t="s">
        <v>51</v>
      </c>
      <c r="E386" s="148" t="str">
        <f>IF(Q378="","",Q378)</f>
        <v/>
      </c>
      <c r="F386" s="73"/>
      <c r="G386" s="171" t="s">
        <v>199</v>
      </c>
      <c r="H386" s="538" t="str">
        <f t="shared" si="71"/>
        <v/>
      </c>
      <c r="I386" s="431" t="str">
        <f t="shared" si="71"/>
        <v/>
      </c>
      <c r="J386" s="541" t="str">
        <f t="shared" si="71"/>
        <v/>
      </c>
      <c r="K386" s="483" t="str">
        <f>IF(X381="","",X381)</f>
        <v/>
      </c>
      <c r="L386" s="73"/>
      <c r="M386" s="74"/>
      <c r="O386" s="550"/>
      <c r="P386" s="550"/>
      <c r="Q386" s="550"/>
      <c r="R386" s="550"/>
      <c r="S386" s="550"/>
      <c r="T386" s="551" t="s">
        <v>558</v>
      </c>
      <c r="U386" s="550"/>
      <c r="V386" s="550"/>
      <c r="W386" s="550"/>
      <c r="X386" s="550"/>
      <c r="Y386" s="550"/>
    </row>
    <row r="387" spans="1:25" ht="14.1" customHeight="1" thickBot="1">
      <c r="A387" s="21">
        <v>27</v>
      </c>
      <c r="B387" s="72"/>
      <c r="C387" s="73"/>
      <c r="D387" s="171" t="s">
        <v>54</v>
      </c>
      <c r="E387" s="148" t="str">
        <f>IF(Q379="","",Q379)</f>
        <v/>
      </c>
      <c r="F387" s="73"/>
      <c r="G387" s="73"/>
      <c r="H387" s="73"/>
      <c r="I387" s="73"/>
      <c r="J387" s="73"/>
      <c r="K387" s="73"/>
      <c r="L387" s="73"/>
      <c r="M387" s="74"/>
      <c r="O387" s="550"/>
      <c r="P387" s="552" t="s">
        <v>559</v>
      </c>
      <c r="Q387" s="550"/>
      <c r="R387" s="550"/>
      <c r="S387" s="550"/>
      <c r="T387" s="550"/>
      <c r="U387" s="550"/>
      <c r="V387" s="550"/>
      <c r="W387" s="550"/>
      <c r="X387" s="550"/>
      <c r="Y387" s="550"/>
    </row>
    <row r="388" spans="1:25" ht="14.1" customHeight="1" thickTop="1">
      <c r="A388" s="21">
        <v>28</v>
      </c>
      <c r="B388" s="72"/>
      <c r="C388" s="73"/>
      <c r="D388" s="5" t="s">
        <v>204</v>
      </c>
      <c r="E388" s="109" t="s">
        <v>323</v>
      </c>
      <c r="F388" s="73"/>
      <c r="G388" s="73"/>
      <c r="H388" s="73"/>
      <c r="I388" s="73"/>
      <c r="J388" s="73"/>
      <c r="K388" s="73"/>
      <c r="L388" s="73"/>
      <c r="M388" s="74"/>
      <c r="O388" s="553"/>
      <c r="P388" s="554"/>
      <c r="Q388" s="554"/>
      <c r="R388" s="555"/>
      <c r="S388" s="556" t="s">
        <v>560</v>
      </c>
      <c r="T388" s="554"/>
      <c r="U388" s="554"/>
      <c r="V388" s="554"/>
      <c r="W388" s="554"/>
      <c r="X388" s="554"/>
      <c r="Y388" s="557"/>
    </row>
    <row r="389" spans="1:25" ht="14.1" customHeight="1">
      <c r="A389" s="21">
        <v>29</v>
      </c>
      <c r="B389" s="72"/>
      <c r="C389" s="73"/>
      <c r="D389" s="73"/>
      <c r="E389" s="109" t="s">
        <v>324</v>
      </c>
      <c r="F389" s="73"/>
      <c r="G389" s="73"/>
      <c r="H389" s="73"/>
      <c r="I389" s="73"/>
      <c r="J389" s="73"/>
      <c r="K389" s="73"/>
      <c r="L389" s="73"/>
      <c r="M389" s="74"/>
      <c r="O389" s="558"/>
      <c r="P389" s="559" t="s">
        <v>224</v>
      </c>
      <c r="Q389" s="560"/>
      <c r="R389" s="561"/>
      <c r="S389" s="601" t="str">
        <f>IF(OR(AD720=0,AD720=""),"",AD720)</f>
        <v/>
      </c>
      <c r="T389" s="562"/>
      <c r="U389" s="562"/>
      <c r="V389" s="562"/>
      <c r="W389" s="562"/>
      <c r="X389" s="562"/>
      <c r="Y389" s="563"/>
    </row>
    <row r="390" spans="1:25" ht="14.1" customHeight="1">
      <c r="A390" s="21">
        <v>30</v>
      </c>
      <c r="B390" s="72"/>
      <c r="C390" s="73"/>
      <c r="D390" s="73"/>
      <c r="E390" s="73"/>
      <c r="F390" s="73"/>
      <c r="G390" s="73"/>
      <c r="H390" s="73"/>
      <c r="I390" s="73"/>
      <c r="J390" s="73"/>
      <c r="K390" s="73"/>
      <c r="L390" s="73"/>
      <c r="M390" s="74"/>
      <c r="O390" s="564"/>
      <c r="P390" s="565" t="s">
        <v>561</v>
      </c>
      <c r="Q390" s="566"/>
      <c r="R390" s="567">
        <f>LEN(Q389)</f>
        <v>0</v>
      </c>
      <c r="S390" s="602"/>
      <c r="T390" s="568">
        <f>LEN(S389)</f>
        <v>0</v>
      </c>
      <c r="U390" s="569"/>
      <c r="V390" s="570"/>
      <c r="W390" s="570"/>
      <c r="X390" s="570"/>
      <c r="Y390" s="571"/>
    </row>
    <row r="391" spans="1:25" ht="14.1" customHeight="1">
      <c r="A391" s="21">
        <v>31</v>
      </c>
      <c r="B391" s="72"/>
      <c r="C391" s="154" t="s">
        <v>325</v>
      </c>
      <c r="D391" s="73"/>
      <c r="E391" s="73"/>
      <c r="F391" s="73"/>
      <c r="G391" s="73"/>
      <c r="H391" s="73"/>
      <c r="I391" s="73"/>
      <c r="J391" s="73"/>
      <c r="K391" s="73"/>
      <c r="L391" s="73"/>
      <c r="M391" s="74"/>
      <c r="O391" s="564"/>
      <c r="P391" s="559" t="s">
        <v>562</v>
      </c>
      <c r="Q391" s="560"/>
      <c r="R391" s="561"/>
      <c r="S391" s="601" t="str">
        <f>IF(OR(AD722=0,AD722=""),"",AD722)</f>
        <v/>
      </c>
      <c r="T391" s="562"/>
      <c r="U391" s="562"/>
      <c r="V391" s="562"/>
      <c r="W391" s="562"/>
      <c r="X391" s="562"/>
      <c r="Y391" s="563"/>
    </row>
    <row r="392" spans="1:25" ht="14.1" customHeight="1" thickBot="1">
      <c r="A392" s="21">
        <v>32</v>
      </c>
      <c r="B392" s="72"/>
      <c r="C392" s="73"/>
      <c r="D392" s="549" t="s">
        <v>326</v>
      </c>
      <c r="E392" s="549"/>
      <c r="F392" s="378"/>
      <c r="G392" s="378"/>
      <c r="H392" s="549" t="s">
        <v>327</v>
      </c>
      <c r="I392" s="549"/>
      <c r="J392" s="73"/>
      <c r="K392" s="378"/>
      <c r="L392" s="356" t="s">
        <v>328</v>
      </c>
      <c r="M392" s="356"/>
      <c r="O392" s="564"/>
      <c r="P392" s="565" t="s">
        <v>561</v>
      </c>
      <c r="Q392" s="566"/>
      <c r="R392" s="567">
        <f>LEN(Q391)</f>
        <v>0</v>
      </c>
      <c r="S392" s="602"/>
      <c r="T392" s="568">
        <f>LEN(S391)</f>
        <v>0</v>
      </c>
      <c r="U392" s="569"/>
      <c r="V392" s="562"/>
      <c r="W392" s="562"/>
      <c r="X392" s="562"/>
      <c r="Y392" s="563"/>
    </row>
    <row r="393" spans="1:25" ht="14.1" customHeight="1">
      <c r="A393" s="21">
        <v>33</v>
      </c>
      <c r="B393" s="72"/>
      <c r="C393" s="378"/>
      <c r="D393" s="171" t="s">
        <v>173</v>
      </c>
      <c r="E393" s="542" t="str">
        <f t="shared" ref="E393:E398" si="72">IF(Q351="","",Q351)</f>
        <v/>
      </c>
      <c r="F393" s="378"/>
      <c r="G393" s="171" t="s">
        <v>71</v>
      </c>
      <c r="H393" s="384" t="str">
        <f>IF(Q366="","",Q366)</f>
        <v>Mo/Mo</v>
      </c>
      <c r="I393" s="323" t="str">
        <f t="shared" ref="I393:J398" si="73">IF(R366="","",R366)</f>
        <v>Mo/Rh</v>
      </c>
      <c r="J393" s="385" t="str">
        <f t="shared" si="73"/>
        <v>W/Rh</v>
      </c>
      <c r="K393" s="378"/>
      <c r="L393" s="115" t="s">
        <v>254</v>
      </c>
      <c r="M393" s="274" t="s">
        <v>255</v>
      </c>
      <c r="O393" s="572"/>
      <c r="P393" s="559" t="s">
        <v>562</v>
      </c>
      <c r="Q393" s="560"/>
      <c r="R393" s="561"/>
      <c r="S393" s="601" t="str">
        <f>IF(OR(AD724=0,AD724=""),"",AD724)</f>
        <v/>
      </c>
      <c r="T393" s="570"/>
      <c r="U393" s="570"/>
      <c r="V393" s="570"/>
      <c r="W393" s="570"/>
      <c r="X393" s="570"/>
      <c r="Y393" s="571"/>
    </row>
    <row r="394" spans="1:25" ht="14.1" customHeight="1" thickBot="1">
      <c r="A394" s="21">
        <v>34</v>
      </c>
      <c r="B394" s="72"/>
      <c r="C394" s="378"/>
      <c r="D394" s="171" t="s">
        <v>176</v>
      </c>
      <c r="E394" s="543" t="str">
        <f t="shared" si="72"/>
        <v/>
      </c>
      <c r="F394" s="378"/>
      <c r="G394" s="171" t="s">
        <v>173</v>
      </c>
      <c r="H394" s="384" t="str">
        <f t="shared" ref="H394:H398" si="74">IF(Q367="","",Q367)</f>
        <v/>
      </c>
      <c r="I394" s="323" t="str">
        <f t="shared" si="73"/>
        <v/>
      </c>
      <c r="J394" s="385" t="str">
        <f t="shared" si="73"/>
        <v/>
      </c>
      <c r="K394" s="378"/>
      <c r="L394" s="171" t="s">
        <v>330</v>
      </c>
      <c r="M394" s="276" t="str">
        <f>IF(R359="","",R359)</f>
        <v/>
      </c>
      <c r="O394" s="564"/>
      <c r="P394" s="565" t="s">
        <v>561</v>
      </c>
      <c r="Q394" s="566"/>
      <c r="R394" s="567">
        <f>LEN(Q393)</f>
        <v>0</v>
      </c>
      <c r="S394" s="602"/>
      <c r="T394" s="568">
        <f>LEN(S393)</f>
        <v>0</v>
      </c>
      <c r="U394" s="569"/>
      <c r="V394" s="562"/>
      <c r="W394" s="562"/>
      <c r="X394" s="562"/>
      <c r="Y394" s="563"/>
    </row>
    <row r="395" spans="1:25" ht="14.1" customHeight="1">
      <c r="A395" s="21">
        <v>35</v>
      </c>
      <c r="B395" s="72"/>
      <c r="C395" s="378"/>
      <c r="D395" s="171" t="s">
        <v>332</v>
      </c>
      <c r="E395" s="543" t="str">
        <f t="shared" si="72"/>
        <v/>
      </c>
      <c r="F395" s="378"/>
      <c r="G395" s="171" t="s">
        <v>176</v>
      </c>
      <c r="H395" s="384" t="str">
        <f t="shared" si="74"/>
        <v/>
      </c>
      <c r="I395" s="323" t="str">
        <f t="shared" si="73"/>
        <v/>
      </c>
      <c r="J395" s="385" t="str">
        <f t="shared" si="73"/>
        <v/>
      </c>
      <c r="K395" s="171" t="s">
        <v>187</v>
      </c>
      <c r="L395" s="213" t="str">
        <f t="shared" ref="L395:M397" si="75">IF(Q361="","",Q361)</f>
        <v/>
      </c>
      <c r="M395" s="277" t="str">
        <f t="shared" si="75"/>
        <v/>
      </c>
      <c r="O395" s="564"/>
      <c r="P395" s="559" t="s">
        <v>562</v>
      </c>
      <c r="Q395" s="560"/>
      <c r="R395" s="561"/>
      <c r="S395" s="601" t="str">
        <f>IF(OR(AD726=0,AD726=""),"",AD726)</f>
        <v/>
      </c>
      <c r="T395" s="562"/>
      <c r="U395" s="562"/>
      <c r="V395" s="562"/>
      <c r="W395" s="562"/>
      <c r="X395" s="562"/>
      <c r="Y395" s="563"/>
    </row>
    <row r="396" spans="1:25" ht="14.1" customHeight="1">
      <c r="A396" s="21">
        <v>36</v>
      </c>
      <c r="B396" s="72"/>
      <c r="C396" s="378"/>
      <c r="D396" s="171" t="s">
        <v>182</v>
      </c>
      <c r="E396" s="543" t="str">
        <f t="shared" si="72"/>
        <v/>
      </c>
      <c r="F396" s="378"/>
      <c r="G396" s="171" t="s">
        <v>187</v>
      </c>
      <c r="H396" s="384" t="str">
        <f t="shared" si="74"/>
        <v/>
      </c>
      <c r="I396" s="323" t="str">
        <f t="shared" si="73"/>
        <v/>
      </c>
      <c r="J396" s="385" t="str">
        <f t="shared" si="73"/>
        <v/>
      </c>
      <c r="K396" s="171" t="s">
        <v>189</v>
      </c>
      <c r="L396" s="215" t="str">
        <f t="shared" si="75"/>
        <v/>
      </c>
      <c r="M396" s="279" t="str">
        <f t="shared" si="75"/>
        <v/>
      </c>
      <c r="O396" s="572"/>
      <c r="P396" s="565" t="s">
        <v>561</v>
      </c>
      <c r="Q396" s="566"/>
      <c r="R396" s="567">
        <f>LEN(Q395)</f>
        <v>0</v>
      </c>
      <c r="S396" s="602"/>
      <c r="T396" s="568">
        <f>LEN(S395)</f>
        <v>0</v>
      </c>
      <c r="U396" s="569"/>
      <c r="V396" s="570"/>
      <c r="W396" s="570"/>
      <c r="X396" s="570"/>
      <c r="Y396" s="571"/>
    </row>
    <row r="397" spans="1:25" ht="14.1" customHeight="1" thickBot="1">
      <c r="A397" s="21">
        <v>37</v>
      </c>
      <c r="B397" s="72"/>
      <c r="C397" s="378"/>
      <c r="D397" s="171" t="s">
        <v>184</v>
      </c>
      <c r="E397" s="543" t="str">
        <f t="shared" si="72"/>
        <v/>
      </c>
      <c r="F397" s="378"/>
      <c r="G397" s="171" t="s">
        <v>189</v>
      </c>
      <c r="H397" s="434" t="str">
        <f t="shared" si="74"/>
        <v/>
      </c>
      <c r="I397" s="496" t="str">
        <f t="shared" si="73"/>
        <v/>
      </c>
      <c r="J397" s="435" t="str">
        <f t="shared" si="73"/>
        <v/>
      </c>
      <c r="K397" s="171" t="s">
        <v>191</v>
      </c>
      <c r="L397" s="216" t="str">
        <f t="shared" si="75"/>
        <v/>
      </c>
      <c r="M397" s="280" t="str">
        <f t="shared" si="75"/>
        <v/>
      </c>
      <c r="O397" s="564"/>
      <c r="P397" s="559" t="s">
        <v>562</v>
      </c>
      <c r="Q397" s="560"/>
      <c r="R397" s="561"/>
      <c r="S397" s="601" t="str">
        <f>IF(OR(AD728=0,AD728=""),"",AD728)</f>
        <v/>
      </c>
      <c r="T397" s="562"/>
      <c r="U397" s="562"/>
      <c r="V397" s="562"/>
      <c r="W397" s="562"/>
      <c r="X397" s="562"/>
      <c r="Y397" s="563"/>
    </row>
    <row r="398" spans="1:25" ht="14.1" customHeight="1" thickBot="1">
      <c r="A398" s="21">
        <v>38</v>
      </c>
      <c r="B398" s="72"/>
      <c r="C398" s="378"/>
      <c r="D398" s="171" t="s">
        <v>185</v>
      </c>
      <c r="E398" s="543" t="str">
        <f t="shared" si="72"/>
        <v/>
      </c>
      <c r="F398" s="378"/>
      <c r="G398" s="171" t="s">
        <v>191</v>
      </c>
      <c r="H398" s="696" t="str">
        <f t="shared" si="74"/>
        <v/>
      </c>
      <c r="I398" s="697" t="str">
        <f t="shared" si="73"/>
        <v/>
      </c>
      <c r="J398" s="698" t="str">
        <f t="shared" si="73"/>
        <v/>
      </c>
      <c r="K398" s="378"/>
      <c r="L398" s="171" t="s">
        <v>330</v>
      </c>
      <c r="M398" s="276" t="str">
        <f>IF(V359="","",V359)</f>
        <v/>
      </c>
      <c r="O398" s="564"/>
      <c r="P398" s="565" t="s">
        <v>561</v>
      </c>
      <c r="Q398" s="566"/>
      <c r="R398" s="567">
        <f>LEN(Q397)</f>
        <v>0</v>
      </c>
      <c r="S398" s="602"/>
      <c r="T398" s="568">
        <f>LEN(S397)</f>
        <v>0</v>
      </c>
      <c r="U398" s="569"/>
      <c r="V398" s="562"/>
      <c r="W398" s="562"/>
      <c r="X398" s="562"/>
      <c r="Y398" s="563"/>
    </row>
    <row r="399" spans="1:25" ht="14.1" customHeight="1" thickBot="1">
      <c r="A399" s="21">
        <v>39</v>
      </c>
      <c r="B399" s="72"/>
      <c r="C399" s="73"/>
      <c r="D399" s="171" t="s">
        <v>187</v>
      </c>
      <c r="E399" s="543" t="str">
        <f>IF(U351="","",U351)</f>
        <v/>
      </c>
      <c r="F399" s="378"/>
      <c r="G399" s="171"/>
      <c r="H399" s="502" t="str">
        <f t="shared" ref="H399:J399" si="76">Q372</f>
        <v/>
      </c>
      <c r="I399" s="476" t="str">
        <f t="shared" si="76"/>
        <v/>
      </c>
      <c r="J399" s="699" t="str">
        <f t="shared" si="76"/>
        <v/>
      </c>
      <c r="K399" s="171" t="s">
        <v>187</v>
      </c>
      <c r="L399" s="213" t="str">
        <f t="shared" ref="L399:M401" si="77">IF(U361="","",U361)</f>
        <v/>
      </c>
      <c r="M399" s="277" t="str">
        <f t="shared" si="77"/>
        <v/>
      </c>
      <c r="O399" s="572"/>
      <c r="P399" s="559" t="s">
        <v>562</v>
      </c>
      <c r="Q399" s="560"/>
      <c r="R399" s="561"/>
      <c r="S399" s="601" t="str">
        <f>IF(OR(AD730=0,AD730=""),"",AD730)</f>
        <v/>
      </c>
      <c r="T399" s="570"/>
      <c r="U399" s="570"/>
      <c r="V399" s="570"/>
      <c r="W399" s="570"/>
      <c r="X399" s="570"/>
      <c r="Y399" s="571"/>
    </row>
    <row r="400" spans="1:25" ht="14.1" customHeight="1">
      <c r="A400" s="21">
        <v>40</v>
      </c>
      <c r="B400" s="72"/>
      <c r="C400" s="73"/>
      <c r="D400" s="171" t="s">
        <v>189</v>
      </c>
      <c r="E400" s="543" t="str">
        <f>IF(U352="","",U352)</f>
        <v/>
      </c>
      <c r="F400" s="73"/>
      <c r="G400" s="73"/>
      <c r="H400" s="73"/>
      <c r="I400" s="115"/>
      <c r="J400" s="115"/>
      <c r="K400" s="171" t="s">
        <v>189</v>
      </c>
      <c r="L400" s="215" t="str">
        <f t="shared" si="77"/>
        <v/>
      </c>
      <c r="M400" s="279" t="str">
        <f t="shared" si="77"/>
        <v/>
      </c>
      <c r="O400" s="564"/>
      <c r="P400" s="565" t="s">
        <v>561</v>
      </c>
      <c r="Q400" s="585"/>
      <c r="R400" s="586">
        <f>LEN(Q399)</f>
        <v>0</v>
      </c>
      <c r="S400" s="603"/>
      <c r="T400" s="587">
        <f>LEN(S399)</f>
        <v>0</v>
      </c>
      <c r="U400" s="588"/>
      <c r="V400" s="575"/>
      <c r="W400" s="575"/>
      <c r="X400" s="575"/>
      <c r="Y400" s="563"/>
    </row>
    <row r="401" spans="1:25" ht="14.1" customHeight="1" thickBot="1">
      <c r="A401" s="21">
        <v>41</v>
      </c>
      <c r="B401" s="72"/>
      <c r="C401" s="73"/>
      <c r="D401" s="171" t="s">
        <v>191</v>
      </c>
      <c r="E401" s="544" t="str">
        <f>IF(U353="","",U353)</f>
        <v/>
      </c>
      <c r="F401" s="73"/>
      <c r="G401" s="73"/>
      <c r="H401" s="73"/>
      <c r="I401" s="73"/>
      <c r="J401" s="73"/>
      <c r="K401" s="171" t="s">
        <v>191</v>
      </c>
      <c r="L401" s="216" t="str">
        <f t="shared" si="77"/>
        <v/>
      </c>
      <c r="M401" s="280" t="str">
        <f t="shared" si="77"/>
        <v/>
      </c>
      <c r="O401" s="564"/>
      <c r="P401" s="559" t="s">
        <v>562</v>
      </c>
      <c r="Q401" s="560"/>
      <c r="R401" s="561"/>
      <c r="S401" s="601" t="str">
        <f>IF(OR(AD732=0,AD732=""),"",AD732)</f>
        <v/>
      </c>
      <c r="T401" s="570"/>
      <c r="U401" s="570"/>
      <c r="V401" s="570"/>
      <c r="W401" s="570"/>
      <c r="X401" s="570"/>
      <c r="Y401" s="563"/>
    </row>
    <row r="402" spans="1:25" ht="14.1" customHeight="1">
      <c r="A402" s="21">
        <v>42</v>
      </c>
      <c r="B402" s="72"/>
      <c r="C402" s="73"/>
      <c r="D402" s="73"/>
      <c r="E402" s="73"/>
      <c r="F402" s="73"/>
      <c r="G402" s="73"/>
      <c r="H402" s="73"/>
      <c r="I402" s="73"/>
      <c r="J402" s="73"/>
      <c r="K402" s="73"/>
      <c r="L402" s="73"/>
      <c r="M402" s="74"/>
      <c r="O402" s="572"/>
      <c r="P402" s="565" t="s">
        <v>561</v>
      </c>
      <c r="Q402" s="585"/>
      <c r="R402" s="586">
        <f>LEN(Q401)</f>
        <v>0</v>
      </c>
      <c r="S402" s="603"/>
      <c r="T402" s="587">
        <f>LEN(S401)</f>
        <v>0</v>
      </c>
      <c r="U402" s="588"/>
      <c r="V402" s="575"/>
      <c r="W402" s="575"/>
      <c r="X402" s="575"/>
      <c r="Y402" s="571"/>
    </row>
    <row r="403" spans="1:25" ht="14.1" customHeight="1">
      <c r="A403" s="21">
        <v>43</v>
      </c>
      <c r="B403" s="72"/>
      <c r="C403" s="73"/>
      <c r="D403" s="5" t="s">
        <v>204</v>
      </c>
      <c r="E403" s="12" t="s">
        <v>371</v>
      </c>
      <c r="F403" s="73"/>
      <c r="G403" s="73"/>
      <c r="H403" s="73"/>
      <c r="I403" s="73"/>
      <c r="J403" s="73"/>
      <c r="K403" s="73"/>
      <c r="L403" s="73"/>
      <c r="M403" s="74"/>
      <c r="O403" s="564"/>
      <c r="P403" s="559" t="s">
        <v>562</v>
      </c>
      <c r="Q403" s="560"/>
      <c r="R403" s="561"/>
      <c r="S403" s="601" t="str">
        <f>IF(OR(AD734=0,AD734=""),"",AD734)</f>
        <v/>
      </c>
      <c r="T403" s="570"/>
      <c r="U403" s="570"/>
      <c r="V403" s="570"/>
      <c r="W403" s="570"/>
      <c r="X403" s="570"/>
      <c r="Y403" s="563"/>
    </row>
    <row r="404" spans="1:25" ht="14.1" customHeight="1">
      <c r="A404" s="21">
        <v>44</v>
      </c>
      <c r="B404" s="72"/>
      <c r="C404" s="73"/>
      <c r="D404" s="73"/>
      <c r="E404" s="73"/>
      <c r="F404" s="73"/>
      <c r="G404" s="73"/>
      <c r="H404" s="73"/>
      <c r="I404" s="73"/>
      <c r="J404" s="73"/>
      <c r="K404" s="73"/>
      <c r="L404" s="73"/>
      <c r="M404" s="74"/>
      <c r="O404" s="564"/>
      <c r="P404" s="565" t="s">
        <v>561</v>
      </c>
      <c r="Q404" s="585"/>
      <c r="R404" s="586">
        <f>LEN(Q403)</f>
        <v>0</v>
      </c>
      <c r="S404" s="603"/>
      <c r="T404" s="587">
        <f>LEN(S403)</f>
        <v>0</v>
      </c>
      <c r="U404" s="588"/>
      <c r="V404" s="575"/>
      <c r="W404" s="575"/>
      <c r="X404" s="575"/>
      <c r="Y404" s="563"/>
    </row>
    <row r="405" spans="1:25" ht="14.1" customHeight="1">
      <c r="A405" s="21">
        <v>45</v>
      </c>
      <c r="B405" s="72"/>
      <c r="C405" s="606" t="s">
        <v>224</v>
      </c>
      <c r="D405" s="692" t="str">
        <f>IF(Q389="","",IF(LEN(Q389)&lt;=135,Q389,IF(LEN(Q389)&lt;=260,LEFT(Q389,SEARCH(" ",Q389,125)),LEFT(Q389,SEARCH(" ",Q389,130)))))</f>
        <v/>
      </c>
      <c r="E405" s="582"/>
      <c r="F405" s="582"/>
      <c r="G405" s="582"/>
      <c r="H405" s="582"/>
      <c r="I405" s="582"/>
      <c r="J405" s="582"/>
      <c r="K405" s="582"/>
      <c r="L405" s="582"/>
      <c r="M405" s="74"/>
      <c r="O405" s="572"/>
      <c r="P405" s="559"/>
      <c r="Q405" s="591"/>
      <c r="R405" s="592"/>
      <c r="S405" s="593"/>
      <c r="T405" s="597"/>
      <c r="U405" s="597"/>
      <c r="V405" s="597"/>
      <c r="W405" s="597"/>
      <c r="X405" s="597"/>
      <c r="Y405" s="571"/>
    </row>
    <row r="406" spans="1:25" ht="14.1" customHeight="1">
      <c r="A406" s="21">
        <v>46</v>
      </c>
      <c r="B406" s="72"/>
      <c r="C406" s="576"/>
      <c r="D406" s="693" t="str">
        <f>IF(LEN(Q389)&lt;=135,"",IF(LEN(Q389)&lt;=260,RIGHT(Q389,LEN(Q389)-SEARCH(" ",Q389,125)),MID(Q389,SEARCH(" ",Q389,130),IF(LEN(Q389)&lt;=265,LEN(Q389),SEARCH(" ",Q389,255)-SEARCH(" ",Q389,130)))))</f>
        <v/>
      </c>
      <c r="E406" s="608"/>
      <c r="F406" s="608"/>
      <c r="G406" s="608"/>
      <c r="H406" s="608"/>
      <c r="I406" s="608"/>
      <c r="J406" s="608"/>
      <c r="K406" s="608"/>
      <c r="L406" s="608"/>
      <c r="M406" s="74"/>
      <c r="O406" s="564"/>
      <c r="P406" s="565"/>
      <c r="Q406" s="595"/>
      <c r="R406" s="596"/>
      <c r="S406" s="596"/>
      <c r="T406" s="596"/>
      <c r="U406" s="598"/>
      <c r="V406" s="594"/>
      <c r="W406" s="594"/>
      <c r="X406" s="594"/>
      <c r="Y406" s="563"/>
    </row>
    <row r="407" spans="1:25" ht="14.1" customHeight="1">
      <c r="A407" s="21">
        <v>47</v>
      </c>
      <c r="B407" s="72"/>
      <c r="C407" s="576"/>
      <c r="D407" s="693" t="str">
        <f>IF(LEN(Q389)&lt;=265,"",RIGHT(Q389,LEN(Q389)-SEARCH(" ",Q389,255)))</f>
        <v/>
      </c>
      <c r="E407" s="608"/>
      <c r="F407" s="608"/>
      <c r="G407" s="608"/>
      <c r="H407" s="608"/>
      <c r="I407" s="608"/>
      <c r="J407" s="608"/>
      <c r="K407" s="608"/>
      <c r="L407" s="608"/>
      <c r="M407" s="74"/>
      <c r="O407" s="564"/>
      <c r="P407" s="573"/>
      <c r="Q407" s="574"/>
      <c r="R407" s="589"/>
      <c r="S407" s="590"/>
      <c r="T407" s="575"/>
      <c r="U407" s="575"/>
      <c r="V407" s="575"/>
      <c r="W407" s="575"/>
      <c r="X407" s="575"/>
      <c r="Y407" s="563"/>
    </row>
    <row r="408" spans="1:25" ht="14.1" customHeight="1">
      <c r="A408" s="21">
        <v>48</v>
      </c>
      <c r="B408" s="72"/>
      <c r="C408" s="583"/>
      <c r="D408" s="693" t="str">
        <f>IF(Q391="","",IF(LEN(Q391)&lt;=135,Q391,IF(LEN(Q391)&lt;=260,LEFT(Q391,SEARCH(" ",Q391,125)),LEFT(Q391,SEARCH(" ",Q391,130)))))</f>
        <v/>
      </c>
      <c r="E408" s="608"/>
      <c r="F408" s="608"/>
      <c r="G408" s="608"/>
      <c r="H408" s="608"/>
      <c r="I408" s="608"/>
      <c r="J408" s="608"/>
      <c r="K408" s="608"/>
      <c r="L408" s="608"/>
      <c r="M408" s="74"/>
      <c r="O408" s="572"/>
      <c r="P408" s="599"/>
      <c r="Q408" s="599"/>
      <c r="R408" s="592"/>
      <c r="S408" s="597"/>
      <c r="T408" s="597"/>
      <c r="U408" s="597"/>
      <c r="V408" s="597"/>
      <c r="W408" s="597"/>
      <c r="X408" s="597"/>
      <c r="Y408" s="571"/>
    </row>
    <row r="409" spans="1:25" ht="14.1" customHeight="1">
      <c r="A409" s="21">
        <v>49</v>
      </c>
      <c r="B409" s="72"/>
      <c r="C409" s="583"/>
      <c r="D409" s="693" t="str">
        <f>IF(LEN(Q391)&lt;=135,"",IF(LEN(Q391)&lt;=260,RIGHT(Q391,LEN(Q391)-SEARCH(" ",Q391,125)),MID(Q391,SEARCH(" ",Q391,130),IF(LEN(Q391)&lt;=265,LEN(Q391),SEARCH(" ",Q391,255)-SEARCH(" ",Q391,130)))))</f>
        <v/>
      </c>
      <c r="E409" s="608"/>
      <c r="F409" s="608"/>
      <c r="G409" s="608"/>
      <c r="H409" s="608"/>
      <c r="I409" s="608"/>
      <c r="J409" s="608"/>
      <c r="K409" s="608"/>
      <c r="L409" s="608"/>
      <c r="M409" s="74"/>
      <c r="O409" s="564"/>
      <c r="P409" s="599"/>
      <c r="Q409" s="599"/>
      <c r="R409" s="592"/>
      <c r="S409" s="594"/>
      <c r="T409" s="594"/>
      <c r="U409" s="594"/>
      <c r="V409" s="594"/>
      <c r="W409" s="594"/>
      <c r="X409" s="594"/>
      <c r="Y409" s="563"/>
    </row>
    <row r="410" spans="1:25" ht="14.1" customHeight="1">
      <c r="A410" s="21">
        <v>50</v>
      </c>
      <c r="B410" s="72"/>
      <c r="C410" s="583"/>
      <c r="D410" s="693" t="str">
        <f>IF(LEN(Q391)&lt;=265,"",RIGHT(Q391,LEN(Q391)-SEARCH(" ",Q391,255)))</f>
        <v/>
      </c>
      <c r="E410" s="608"/>
      <c r="F410" s="608"/>
      <c r="G410" s="608"/>
      <c r="H410" s="608"/>
      <c r="I410" s="608"/>
      <c r="J410" s="608"/>
      <c r="K410" s="608"/>
      <c r="L410" s="608"/>
      <c r="M410" s="74"/>
      <c r="O410" s="564"/>
      <c r="P410" s="599"/>
      <c r="Q410" s="599"/>
      <c r="R410" s="592"/>
      <c r="S410" s="594"/>
      <c r="T410" s="594"/>
      <c r="U410" s="594"/>
      <c r="V410" s="594"/>
      <c r="W410" s="594"/>
      <c r="X410" s="594"/>
      <c r="Y410" s="563"/>
    </row>
    <row r="411" spans="1:25" ht="14.1" customHeight="1">
      <c r="A411" s="21">
        <v>51</v>
      </c>
      <c r="B411" s="72"/>
      <c r="C411" s="584"/>
      <c r="D411" s="693" t="str">
        <f>IF(Q393="","",IF(LEN(Q393)&lt;=135,Q393,IF(LEN(Q393)&lt;=260,LEFT(Q393,SEARCH(" ",Q393,125)),LEFT(Q393,SEARCH(" ",Q393,130)))))</f>
        <v/>
      </c>
      <c r="E411" s="608"/>
      <c r="F411" s="608"/>
      <c r="G411" s="608"/>
      <c r="H411" s="608"/>
      <c r="I411" s="608"/>
      <c r="J411" s="608"/>
      <c r="K411" s="608"/>
      <c r="L411" s="608"/>
      <c r="M411" s="74"/>
      <c r="O411" s="572"/>
      <c r="P411" s="599"/>
      <c r="Q411" s="599"/>
      <c r="R411" s="592"/>
      <c r="S411" s="600"/>
      <c r="T411" s="597"/>
      <c r="U411" s="597"/>
      <c r="V411" s="594"/>
      <c r="W411" s="594"/>
      <c r="X411" s="594"/>
      <c r="Y411" s="571"/>
    </row>
    <row r="412" spans="1:25" ht="14.1" customHeight="1">
      <c r="A412" s="21">
        <v>52</v>
      </c>
      <c r="B412" s="72"/>
      <c r="C412" s="584"/>
      <c r="D412" s="693" t="str">
        <f>IF(LEN(Q393)&lt;=135,"",IF(LEN(Q393)&lt;=260,RIGHT(Q393,LEN(Q393)-SEARCH(" ",Q393,125)),MID(Q393,SEARCH(" ",Q393,130),IF(LEN(Q393)&lt;=265,LEN(Q393),SEARCH(" ",Q393,255)-SEARCH(" ",Q393,130)))))</f>
        <v/>
      </c>
      <c r="E412" s="608"/>
      <c r="F412" s="608"/>
      <c r="G412" s="608"/>
      <c r="H412" s="608"/>
      <c r="I412" s="608"/>
      <c r="J412" s="608"/>
      <c r="K412" s="608"/>
      <c r="L412" s="608"/>
      <c r="M412" s="74"/>
      <c r="O412" s="564"/>
      <c r="P412" s="599"/>
      <c r="Q412" s="599"/>
      <c r="R412" s="592"/>
      <c r="S412" s="594"/>
      <c r="T412" s="592"/>
      <c r="U412" s="594"/>
      <c r="V412" s="592"/>
      <c r="W412" s="594"/>
      <c r="X412" s="594"/>
      <c r="Y412" s="563"/>
    </row>
    <row r="413" spans="1:25" ht="14.1" customHeight="1">
      <c r="A413" s="21">
        <v>53</v>
      </c>
      <c r="B413" s="72"/>
      <c r="C413" s="584"/>
      <c r="D413" s="693" t="str">
        <f>IF(LEN(Q393)&lt;=265,"",RIGHT(Q393,LEN(Q393)-SEARCH(" ",Q393,255)))</f>
        <v/>
      </c>
      <c r="E413" s="608"/>
      <c r="F413" s="608"/>
      <c r="G413" s="608"/>
      <c r="H413" s="608"/>
      <c r="I413" s="608"/>
      <c r="J413" s="608"/>
      <c r="K413" s="608"/>
      <c r="L413" s="608"/>
      <c r="M413" s="74"/>
      <c r="O413" s="564"/>
      <c r="P413" s="599"/>
      <c r="Q413" s="599"/>
      <c r="R413" s="592"/>
      <c r="S413" s="594"/>
      <c r="T413" s="592"/>
      <c r="U413" s="594"/>
      <c r="V413" s="592"/>
      <c r="W413" s="594"/>
      <c r="X413" s="594"/>
      <c r="Y413" s="563"/>
    </row>
    <row r="414" spans="1:25" ht="14.1" customHeight="1">
      <c r="A414" s="21">
        <v>54</v>
      </c>
      <c r="B414" s="72"/>
      <c r="C414" s="559"/>
      <c r="D414" s="693" t="str">
        <f>IF(Q395="","",IF(LEN(Q395)&lt;=135,Q395,IF(LEN(Q395)&lt;=260,LEFT(Q395,SEARCH(" ",Q395,125)),LEFT(Q395,SEARCH(" ",Q395,130)))))</f>
        <v/>
      </c>
      <c r="E414" s="608"/>
      <c r="F414" s="608"/>
      <c r="G414" s="608"/>
      <c r="H414" s="608"/>
      <c r="I414" s="608"/>
      <c r="J414" s="608"/>
      <c r="K414" s="608"/>
      <c r="L414" s="608"/>
      <c r="M414" s="74"/>
      <c r="O414" s="572"/>
      <c r="P414" s="599"/>
      <c r="Q414" s="599"/>
      <c r="R414" s="592"/>
      <c r="S414" s="594"/>
      <c r="T414" s="592"/>
      <c r="U414" s="594"/>
      <c r="V414" s="592"/>
      <c r="W414" s="594"/>
      <c r="X414" s="594"/>
      <c r="Y414" s="571"/>
    </row>
    <row r="415" spans="1:25" ht="14.1" customHeight="1" thickBot="1">
      <c r="A415" s="21">
        <v>55</v>
      </c>
      <c r="B415" s="72"/>
      <c r="C415" s="576"/>
      <c r="D415" s="693" t="str">
        <f>IF(LEN(Q395)&lt;=135,"",IF(LEN(Q395)&lt;=260,RIGHT(Q395,LEN(Q395)-SEARCH(" ",Q395,125)),MID(Q395,SEARCH(" ",Q395,130),IF(LEN(Q395)&lt;=265,LEN(Q395),SEARCH(" ",Q395,255)-SEARCH(" ",Q395,130)))))</f>
        <v/>
      </c>
      <c r="E415" s="608"/>
      <c r="F415" s="608"/>
      <c r="G415" s="608"/>
      <c r="H415" s="608"/>
      <c r="I415" s="608"/>
      <c r="J415" s="608"/>
      <c r="K415" s="608"/>
      <c r="L415" s="608"/>
      <c r="M415" s="74"/>
      <c r="O415" s="577"/>
      <c r="P415" s="578"/>
      <c r="Q415" s="579"/>
      <c r="R415" s="580"/>
      <c r="S415" s="578"/>
      <c r="T415" s="578"/>
      <c r="U415" s="578"/>
      <c r="V415" s="578"/>
      <c r="W415" s="578"/>
      <c r="X415" s="578"/>
      <c r="Y415" s="581"/>
    </row>
    <row r="416" spans="1:25" ht="14.1" customHeight="1" thickTop="1">
      <c r="A416" s="21">
        <v>56</v>
      </c>
      <c r="B416" s="72"/>
      <c r="C416" s="576"/>
      <c r="D416" s="693" t="str">
        <f>IF(LEN(Q395)&lt;=265,"",RIGHT(Q395,LEN(Q395)-SEARCH(" ",Q395,255)))</f>
        <v/>
      </c>
      <c r="E416" s="608"/>
      <c r="F416" s="608"/>
      <c r="G416" s="608"/>
      <c r="H416" s="608"/>
      <c r="I416" s="608"/>
      <c r="J416" s="608"/>
      <c r="K416" s="608"/>
      <c r="L416" s="608"/>
      <c r="M416" s="74"/>
    </row>
    <row r="417" spans="1:13" ht="14.1" customHeight="1">
      <c r="A417" s="21">
        <v>57</v>
      </c>
      <c r="B417" s="72"/>
      <c r="C417" s="559"/>
      <c r="D417" s="693" t="str">
        <f>IF(Q397="","",IF(LEN(Q397)&lt;=135,Q397,IF(LEN(Q397)&lt;=260,LEFT(Q397,SEARCH(" ",Q397,125)),LEFT(Q397,SEARCH(" ",Q397,130)))))</f>
        <v/>
      </c>
      <c r="E417" s="608"/>
      <c r="F417" s="608"/>
      <c r="G417" s="608"/>
      <c r="H417" s="608"/>
      <c r="I417" s="608"/>
      <c r="J417" s="608"/>
      <c r="K417" s="608"/>
      <c r="L417" s="608"/>
      <c r="M417" s="74"/>
    </row>
    <row r="418" spans="1:13" ht="14.1" customHeight="1">
      <c r="A418" s="21">
        <v>58</v>
      </c>
      <c r="B418" s="72"/>
      <c r="C418" s="576"/>
      <c r="D418" s="693" t="str">
        <f>IF(LEN(Q397)&lt;=135,"",IF(LEN(Q397)&lt;=260,RIGHT(Q397,LEN(Q397)-SEARCH(" ",Q397,125)),MID(Q397,SEARCH(" ",Q397,130),IF(LEN(Q397)&lt;=265,LEN(Q397),SEARCH(" ",Q397,255)-SEARCH(" ",Q397,130)))))</f>
        <v/>
      </c>
      <c r="E418" s="608"/>
      <c r="F418" s="608"/>
      <c r="G418" s="608"/>
      <c r="H418" s="608"/>
      <c r="I418" s="608"/>
      <c r="J418" s="608"/>
      <c r="K418" s="608"/>
      <c r="L418" s="608"/>
      <c r="M418" s="74"/>
    </row>
    <row r="419" spans="1:13" ht="14.1" customHeight="1">
      <c r="A419" s="21">
        <v>59</v>
      </c>
      <c r="B419" s="72"/>
      <c r="C419" s="576"/>
      <c r="D419" s="693" t="str">
        <f>IF(LEN(Q397)&lt;=265,"",RIGHT(Q397,LEN(Q397)-SEARCH(" ",Q397,255)))</f>
        <v/>
      </c>
      <c r="E419" s="608"/>
      <c r="F419" s="608"/>
      <c r="G419" s="608"/>
      <c r="H419" s="608"/>
      <c r="I419" s="608"/>
      <c r="J419" s="608"/>
      <c r="K419" s="608"/>
      <c r="L419" s="608"/>
      <c r="M419" s="74"/>
    </row>
    <row r="420" spans="1:13" ht="14.1" customHeight="1">
      <c r="A420" s="21">
        <v>60</v>
      </c>
      <c r="B420" s="72"/>
      <c r="C420" s="559"/>
      <c r="D420" s="693" t="str">
        <f>IF(Q399="","",IF(LEN(Q399)&lt;=135,Q399,IF(LEN(Q399)&lt;=260,LEFT(Q399,SEARCH(" ",Q399,125)),LEFT(Q399,SEARCH(" ",Q399,130)))))</f>
        <v/>
      </c>
      <c r="E420" s="608"/>
      <c r="F420" s="608"/>
      <c r="G420" s="608"/>
      <c r="H420" s="608"/>
      <c r="I420" s="608"/>
      <c r="J420" s="608"/>
      <c r="K420" s="608"/>
      <c r="L420" s="608"/>
      <c r="M420" s="74"/>
    </row>
    <row r="421" spans="1:13" ht="14.1" customHeight="1">
      <c r="A421" s="21">
        <v>61</v>
      </c>
      <c r="B421" s="72"/>
      <c r="C421" s="576"/>
      <c r="D421" s="693" t="str">
        <f>IF(LEN(Q399)&lt;=135,"",IF(LEN(Q399)&lt;=260,RIGHT(Q399,LEN(Q399)-SEARCH(" ",Q399,125)),MID(Q399,SEARCH(" ",Q399,130),IF(LEN(Q399)&lt;=265,LEN(Q399),SEARCH(" ",Q399,255)-SEARCH(" ",Q399,130)))))</f>
        <v/>
      </c>
      <c r="E421" s="608"/>
      <c r="F421" s="608"/>
      <c r="G421" s="608"/>
      <c r="H421" s="608"/>
      <c r="I421" s="608"/>
      <c r="J421" s="608"/>
      <c r="K421" s="608"/>
      <c r="L421" s="608"/>
      <c r="M421" s="74"/>
    </row>
    <row r="422" spans="1:13" ht="14.1" customHeight="1">
      <c r="A422" s="21">
        <v>62</v>
      </c>
      <c r="B422" s="72"/>
      <c r="C422" s="576"/>
      <c r="D422" s="693" t="str">
        <f>IF(LEN(Q399)&lt;=265,"",RIGHT(Q399,LEN(Q399)-SEARCH(" ",Q399,255)))</f>
        <v/>
      </c>
      <c r="E422" s="608"/>
      <c r="F422" s="608"/>
      <c r="G422" s="608"/>
      <c r="H422" s="608"/>
      <c r="I422" s="608"/>
      <c r="J422" s="608"/>
      <c r="K422" s="608"/>
      <c r="L422" s="609"/>
      <c r="M422" s="74"/>
    </row>
    <row r="423" spans="1:13" ht="14.1" customHeight="1">
      <c r="A423" s="21">
        <v>63</v>
      </c>
      <c r="B423" s="72"/>
      <c r="C423" s="559"/>
      <c r="D423" s="693" t="str">
        <f>IF(Q401="","",IF(LEN(Q401)&lt;=135,Q401,IF(LEN(Q401)&lt;=260,LEFT(Q401,SEARCH(" ",Q401,125)),LEFT(Q401,SEARCH(" ",Q401,130)))))</f>
        <v/>
      </c>
      <c r="E423" s="608"/>
      <c r="F423" s="608"/>
      <c r="G423" s="608"/>
      <c r="H423" s="608"/>
      <c r="I423" s="608"/>
      <c r="J423" s="608"/>
      <c r="K423" s="608"/>
      <c r="L423" s="609"/>
      <c r="M423" s="74"/>
    </row>
    <row r="424" spans="1:13" ht="14.1" customHeight="1">
      <c r="A424" s="21">
        <v>64</v>
      </c>
      <c r="B424" s="72"/>
      <c r="C424" s="73"/>
      <c r="D424" s="693" t="str">
        <f>IF(LEN(Q401)&lt;=135,"",IF(LEN(Q401)&lt;=260,RIGHT(Q401,LEN(Q401)-SEARCH(" ",Q401,125)),MID(Q401,SEARCH(" ",Q401,130),IF(LEN(Q401)&lt;=265,LEN(Q401),SEARCH(" ",Q401,255)-SEARCH(" ",Q401,130)))))</f>
        <v/>
      </c>
      <c r="E424" s="609"/>
      <c r="F424" s="609"/>
      <c r="G424" s="609"/>
      <c r="H424" s="609"/>
      <c r="I424" s="609"/>
      <c r="J424" s="609"/>
      <c r="K424" s="609"/>
      <c r="L424" s="609"/>
      <c r="M424" s="74"/>
    </row>
    <row r="425" spans="1:13" ht="14.1" customHeight="1">
      <c r="A425" s="21">
        <v>65</v>
      </c>
      <c r="B425" s="72"/>
      <c r="C425" s="73"/>
      <c r="D425" s="693" t="str">
        <f>IF(LEN(Q401)&lt;=265,"",RIGHT(Q401,LEN(Q401)-SEARCH(" ",Q401,255)))</f>
        <v/>
      </c>
      <c r="E425" s="609"/>
      <c r="F425" s="609"/>
      <c r="G425" s="609"/>
      <c r="H425" s="609"/>
      <c r="I425" s="609"/>
      <c r="J425" s="609"/>
      <c r="K425" s="609"/>
      <c r="L425" s="609"/>
      <c r="M425" s="74"/>
    </row>
    <row r="426" spans="1:13" ht="14.1" customHeight="1">
      <c r="A426" s="21">
        <v>66</v>
      </c>
      <c r="B426" s="72"/>
      <c r="C426" s="73"/>
      <c r="D426" s="693" t="str">
        <f>IF(Q403="","",IF(LEN(Q403)&lt;=135,Q403,IF(LEN(Q403)&lt;=260,LEFT(Q403,SEARCH(" ",Q403,125)),LEFT(Q403,SEARCH(" ",Q403,130)))))</f>
        <v/>
      </c>
      <c r="E426" s="609"/>
      <c r="F426" s="609"/>
      <c r="G426" s="609"/>
      <c r="H426" s="609"/>
      <c r="I426" s="609"/>
      <c r="J426" s="609"/>
      <c r="K426" s="609"/>
      <c r="L426" s="609"/>
      <c r="M426" s="74"/>
    </row>
    <row r="427" spans="1:13" ht="14.1" customHeight="1">
      <c r="A427" s="21">
        <v>67</v>
      </c>
      <c r="B427" s="72"/>
      <c r="C427" s="576"/>
      <c r="D427" s="693" t="str">
        <f>IF(LEN(Q403)&lt;=135,"",IF(LEN(Q403)&lt;=260,RIGHT(Q403,LEN(Q403)-SEARCH(" ",Q403,125)),MID(Q403,SEARCH(" ",Q403,130),IF(LEN(Q403)&lt;=265,LEN(Q403),SEARCH(" ",Q403,255)-SEARCH(" ",Q403,130)))))</f>
        <v/>
      </c>
      <c r="E427" s="608"/>
      <c r="F427" s="608"/>
      <c r="G427" s="608"/>
      <c r="H427" s="608"/>
      <c r="I427" s="608"/>
      <c r="J427" s="608"/>
      <c r="K427" s="608"/>
      <c r="L427" s="610"/>
      <c r="M427" s="74"/>
    </row>
    <row r="428" spans="1:13" ht="14.1" customHeight="1">
      <c r="A428" s="21">
        <v>68</v>
      </c>
      <c r="B428" s="72"/>
      <c r="C428" s="73"/>
      <c r="D428" s="693" t="str">
        <f>IF(LEN(Q403)&lt;=265,"",RIGHT(Q403,LEN(Q403)-SEARCH(" ",Q403,255)))</f>
        <v/>
      </c>
      <c r="E428" s="609"/>
      <c r="F428" s="609"/>
      <c r="G428" s="609"/>
      <c r="H428" s="609"/>
      <c r="I428" s="609"/>
      <c r="J428" s="609"/>
      <c r="K428" s="609"/>
      <c r="L428" s="609"/>
      <c r="M428" s="74"/>
    </row>
    <row r="429" spans="1:13" ht="14.1" customHeight="1">
      <c r="A429" s="21">
        <v>69</v>
      </c>
      <c r="B429" s="72"/>
      <c r="C429" s="73"/>
      <c r="D429" s="73"/>
      <c r="E429" s="73"/>
      <c r="F429" s="73"/>
      <c r="G429" s="73"/>
      <c r="H429" s="73"/>
      <c r="I429" s="73"/>
      <c r="J429" s="73"/>
      <c r="K429" s="73"/>
      <c r="L429" s="73"/>
      <c r="M429" s="74"/>
    </row>
    <row r="430" spans="1:13" ht="14.1" customHeight="1" thickBot="1">
      <c r="A430" s="21">
        <v>70</v>
      </c>
      <c r="B430" s="85"/>
      <c r="C430" s="604"/>
      <c r="D430" s="605"/>
      <c r="E430" s="578"/>
      <c r="F430" s="578"/>
      <c r="G430" s="578"/>
      <c r="H430" s="578"/>
      <c r="I430" s="578"/>
      <c r="J430" s="578"/>
      <c r="K430" s="578"/>
      <c r="L430" s="86"/>
      <c r="M430" s="87"/>
    </row>
    <row r="431" spans="1:13" ht="14.1" customHeight="1" thickTop="1">
      <c r="A431" s="21">
        <v>71</v>
      </c>
      <c r="C431" s="117" t="s">
        <v>11</v>
      </c>
      <c r="D431" s="422" t="str">
        <f>IF($P$7="","",$P$7)</f>
        <v/>
      </c>
      <c r="E431" s="31"/>
      <c r="F431" s="31"/>
      <c r="G431" s="31"/>
      <c r="H431" s="31"/>
      <c r="I431" s="31"/>
      <c r="J431" s="31"/>
      <c r="K431" s="31"/>
      <c r="L431" s="117" t="s">
        <v>12</v>
      </c>
      <c r="M431" s="423" t="str">
        <f>IF($X$7="","",$X$7)</f>
        <v>Eugene Mah</v>
      </c>
    </row>
    <row r="432" spans="1:13" ht="14.1" customHeight="1">
      <c r="A432" s="21">
        <v>72</v>
      </c>
      <c r="C432" s="117" t="s">
        <v>121</v>
      </c>
      <c r="D432" s="423" t="str">
        <f>IF($R$14="","",$R$14)</f>
        <v/>
      </c>
      <c r="E432" s="31"/>
      <c r="F432" s="31"/>
      <c r="G432" s="31"/>
      <c r="H432" s="31"/>
      <c r="I432" s="31"/>
      <c r="J432" s="31"/>
      <c r="K432" s="31"/>
      <c r="L432" s="117" t="s">
        <v>37</v>
      </c>
      <c r="M432" s="423" t="str">
        <f>IF($R$13="","",$R$13)</f>
        <v/>
      </c>
    </row>
  </sheetData>
  <mergeCells count="5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U197:W197"/>
    <mergeCell ref="U251:W251"/>
    <mergeCell ref="S282:U282"/>
    <mergeCell ref="Q333:V333"/>
    <mergeCell ref="Q197:S197"/>
    <mergeCell ref="P129:R130"/>
    <mergeCell ref="S129:U130"/>
    <mergeCell ref="V129:X130"/>
    <mergeCell ref="P173:S173"/>
    <mergeCell ref="Q182:S182"/>
    <mergeCell ref="U182:W182"/>
  </mergeCells>
  <conditionalFormatting sqref="Q266:S266">
    <cfRule type="cellIs" dxfId="61" priority="70" stopIfTrue="1" operator="equal">
      <formula>"Fail"</formula>
    </cfRule>
  </conditionalFormatting>
  <conditionalFormatting sqref="Q305">
    <cfRule type="cellIs" dxfId="60" priority="72" stopIfTrue="1" operator="equal">
      <formula>"Fail"</formula>
    </cfRule>
  </conditionalFormatting>
  <conditionalFormatting sqref="Q320">
    <cfRule type="cellIs" dxfId="59" priority="74" stopIfTrue="1" operator="equal">
      <formula>"Fail"</formula>
    </cfRule>
  </conditionalFormatting>
  <conditionalFormatting sqref="Q266:S266">
    <cfRule type="cellIs" dxfId="58" priority="69" stopIfTrue="1" operator="equal">
      <formula>"Pass"</formula>
    </cfRule>
  </conditionalFormatting>
  <conditionalFormatting sqref="Q305">
    <cfRule type="cellIs" dxfId="57" priority="71" stopIfTrue="1" operator="equal">
      <formula>"Pass"</formula>
    </cfRule>
  </conditionalFormatting>
  <conditionalFormatting sqref="Q320">
    <cfRule type="cellIs" dxfId="56" priority="73" stopIfTrue="1" operator="equal">
      <formula>"Pass"</formula>
    </cfRule>
  </conditionalFormatting>
  <conditionalFormatting sqref="X284:X299">
    <cfRule type="cellIs" dxfId="55" priority="61" operator="lessThan">
      <formula>0.05</formula>
    </cfRule>
    <cfRule type="cellIs" dxfId="54" priority="64" operator="greaterThan">
      <formula>0.05</formula>
    </cfRule>
  </conditionalFormatting>
  <conditionalFormatting sqref="U224:U227">
    <cfRule type="cellIs" dxfId="53" priority="62" operator="lessThan">
      <formula>0.1</formula>
    </cfRule>
    <cfRule type="cellIs" dxfId="52" priority="63" operator="greaterThan">
      <formula>0.1</formula>
    </cfRule>
  </conditionalFormatting>
  <conditionalFormatting sqref="T381">
    <cfRule type="cellIs" dxfId="51" priority="59" operator="lessThan">
      <formula>2</formula>
    </cfRule>
    <cfRule type="cellIs" dxfId="50" priority="60" operator="greaterThan">
      <formula>2</formula>
    </cfRule>
  </conditionalFormatting>
  <conditionalFormatting sqref="T380">
    <cfRule type="cellIs" dxfId="49" priority="57" operator="lessThan">
      <formula>40</formula>
    </cfRule>
    <cfRule type="cellIs" dxfId="48" priority="58" operator="greaterThan">
      <formula>40</formula>
    </cfRule>
  </conditionalFormatting>
  <conditionalFormatting sqref="V380:V381">
    <cfRule type="cellIs" dxfId="47" priority="55" operator="greaterThan">
      <formula>0.15</formula>
    </cfRule>
    <cfRule type="cellIs" dxfId="46" priority="56" operator="lessThan">
      <formula>0.15</formula>
    </cfRule>
  </conditionalFormatting>
  <conditionalFormatting sqref="X243:Y243">
    <cfRule type="cellIs" dxfId="45" priority="53" operator="lessThan">
      <formula>0.15</formula>
    </cfRule>
    <cfRule type="cellIs" dxfId="44" priority="54" operator="greaterThan">
      <formula>0.15</formula>
    </cfRule>
  </conditionalFormatting>
  <conditionalFormatting sqref="P245:V245">
    <cfRule type="cellIs" dxfId="43" priority="51" operator="lessThan">
      <formula>0.05</formula>
    </cfRule>
    <cfRule type="cellIs" dxfId="42" priority="52" operator="greaterThan">
      <formula>0.05</formula>
    </cfRule>
  </conditionalFormatting>
  <conditionalFormatting sqref="X226">
    <cfRule type="cellIs" dxfId="41" priority="49" operator="lessThan">
      <formula>0.05</formula>
    </cfRule>
    <cfRule type="cellIs" dxfId="40" priority="50" operator="greaterThan">
      <formula>0.05</formula>
    </cfRule>
  </conditionalFormatting>
  <conditionalFormatting sqref="Q188:S189 U188:W189 Q203:S204 U203:W204">
    <cfRule type="cellIs" dxfId="39" priority="47" operator="lessThan">
      <formula>13</formula>
    </cfRule>
    <cfRule type="cellIs" dxfId="38" priority="48" operator="greaterThan">
      <formula>13</formula>
    </cfRule>
  </conditionalFormatting>
  <conditionalFormatting sqref="Q205:S205 U205:W205">
    <cfRule type="cellIs" dxfId="37" priority="45" operator="lessThan">
      <formula>6.5</formula>
    </cfRule>
    <cfRule type="cellIs" dxfId="36" priority="46" operator="greaterThan">
      <formula>6.5</formula>
    </cfRule>
  </conditionalFormatting>
  <conditionalFormatting sqref="Q206:S206 U206:W206">
    <cfRule type="cellIs" dxfId="35" priority="43" operator="lessThan">
      <formula>5</formula>
    </cfRule>
    <cfRule type="cellIs" dxfId="34" priority="44" operator="greaterThan">
      <formula>5</formula>
    </cfRule>
  </conditionalFormatting>
  <conditionalFormatting sqref="X271">
    <cfRule type="cellIs" dxfId="31" priority="39" operator="lessThan">
      <formula>3</formula>
    </cfRule>
    <cfRule type="cellIs" dxfId="30" priority="40" operator="greaterThan">
      <formula>3</formula>
    </cfRule>
  </conditionalFormatting>
  <conditionalFormatting sqref="X276">
    <cfRule type="cellIs" dxfId="29" priority="38" operator="between">
      <formula>-0.15</formula>
      <formula>0.15</formula>
    </cfRule>
  </conditionalFormatting>
  <conditionalFormatting sqref="P314:S314">
    <cfRule type="cellIs" dxfId="28" priority="35" operator="greaterThan">
      <formula>0.02</formula>
    </cfRule>
    <cfRule type="cellIs" dxfId="27" priority="36" operator="lessThan">
      <formula>0.02</formula>
    </cfRule>
  </conditionalFormatting>
  <conditionalFormatting sqref="Q341">
    <cfRule type="cellIs" dxfId="26" priority="34" operator="between">
      <formula>$Q$343</formula>
      <formula>"$Q$320"</formula>
    </cfRule>
  </conditionalFormatting>
  <conditionalFormatting sqref="R341">
    <cfRule type="cellIs" dxfId="25" priority="33" operator="between">
      <formula>$R$343</formula>
      <formula>$R$344</formula>
    </cfRule>
  </conditionalFormatting>
  <conditionalFormatting sqref="S341">
    <cfRule type="cellIs" dxfId="24" priority="31" operator="between">
      <formula>$S$343</formula>
      <formula>$S$344</formula>
    </cfRule>
  </conditionalFormatting>
  <conditionalFormatting sqref="T341">
    <cfRule type="cellIs" dxfId="23" priority="30" operator="between">
      <formula>$T$343</formula>
      <formula>$T$344</formula>
    </cfRule>
  </conditionalFormatting>
  <conditionalFormatting sqref="U341">
    <cfRule type="cellIs" dxfId="22" priority="29" operator="greaterThan">
      <formula>$U$343</formula>
    </cfRule>
  </conditionalFormatting>
  <conditionalFormatting sqref="V341">
    <cfRule type="cellIs" dxfId="21" priority="28" operator="greaterThan">
      <formula>$V$343</formula>
    </cfRule>
  </conditionalFormatting>
  <conditionalFormatting sqref="Q217:R217">
    <cfRule type="containsText" dxfId="20" priority="26" operator="containsText" text="Fail">
      <formula>NOT(ISERROR(SEARCH("Fail",Q217)))</formula>
    </cfRule>
    <cfRule type="containsText" dxfId="19" priority="27" operator="containsText" text="Pass">
      <formula>NOT(ISERROR(SEARCH("Pass",Q217)))</formula>
    </cfRule>
  </conditionalFormatting>
  <conditionalFormatting sqref="V305">
    <cfRule type="cellIs" dxfId="18" priority="25" stopIfTrue="1" operator="equal">
      <formula>"Fail"</formula>
    </cfRule>
  </conditionalFormatting>
  <conditionalFormatting sqref="V305">
    <cfRule type="cellIs" dxfId="17" priority="24" stopIfTrue="1" operator="equal">
      <formula>"Pass"</formula>
    </cfRule>
  </conditionalFormatting>
  <conditionalFormatting sqref="U314:X314">
    <cfRule type="cellIs" dxfId="16" priority="22" operator="greaterThan">
      <formula>0.02</formula>
    </cfRule>
    <cfRule type="cellIs" dxfId="15" priority="23" operator="lessThan">
      <formula>0.02</formula>
    </cfRule>
  </conditionalFormatting>
  <conditionalFormatting sqref="T312">
    <cfRule type="cellIs" dxfId="14" priority="20" operator="lessThan">
      <formula>7</formula>
    </cfRule>
    <cfRule type="cellIs" dxfId="13" priority="21" operator="greaterThan">
      <formula>7</formula>
    </cfRule>
  </conditionalFormatting>
  <conditionalFormatting sqref="Y312">
    <cfRule type="cellIs" dxfId="12" priority="18" operator="lessThan">
      <formula>2</formula>
    </cfRule>
    <cfRule type="cellIs" dxfId="11" priority="19" operator="greaterThan">
      <formula>2</formula>
    </cfRule>
  </conditionalFormatting>
  <conditionalFormatting sqref="U253:W257">
    <cfRule type="cellIs" dxfId="10" priority="17" operator="greaterThan">
      <formula>0.07</formula>
    </cfRule>
  </conditionalFormatting>
  <conditionalFormatting sqref="J343">
    <cfRule type="cellIs" dxfId="9" priority="6" stopIfTrue="1" operator="equal">
      <formula>"Fail"</formula>
    </cfRule>
  </conditionalFormatting>
  <conditionalFormatting sqref="J343">
    <cfRule type="cellIs" dxfId="8" priority="5" stopIfTrue="1" operator="equal">
      <formula>"Pass"</formula>
    </cfRule>
  </conditionalFormatting>
  <conditionalFormatting sqref="E343">
    <cfRule type="cellIs" dxfId="7" priority="8" stopIfTrue="1" operator="equal">
      <formula>"Fail"</formula>
    </cfRule>
  </conditionalFormatting>
  <conditionalFormatting sqref="E343">
    <cfRule type="cellIs" dxfId="6" priority="7" stopIfTrue="1" operator="equal">
      <formula>"Pass"</formula>
    </cfRule>
  </conditionalFormatting>
  <conditionalFormatting sqref="R147:R154">
    <cfRule type="cellIs" dxfId="5" priority="4" operator="greaterThan">
      <formula>0.5</formula>
    </cfRule>
    <cfRule type="cellIs" dxfId="4" priority="3" operator="lessThan">
      <formula>0.5</formula>
    </cfRule>
  </conditionalFormatting>
  <conditionalFormatting sqref="Q260:S260">
    <cfRule type="cellIs" dxfId="3" priority="1" operator="lessThan">
      <formula>0.07</formula>
    </cfRule>
    <cfRule type="cellIs" dxfId="2" priority="2" operator="greaterThan">
      <formula>0.07</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50" workbookViewId="0">
      <selection activeCell="C71" sqref="C71"/>
    </sheetView>
  </sheetViews>
  <sheetFormatPr defaultRowHeight="14.1" customHeight="1"/>
  <cols>
    <col min="1" max="30" width="10.625" style="25" customWidth="1"/>
    <col min="31" max="16384" width="9" style="25"/>
  </cols>
  <sheetData>
    <row r="1" spans="1:30" ht="14.1" customHeight="1" thickBot="1">
      <c r="A1" s="80" t="s">
        <v>444</v>
      </c>
      <c r="K1" s="80" t="s">
        <v>445</v>
      </c>
      <c r="U1" s="25" t="s">
        <v>446</v>
      </c>
    </row>
    <row r="2" spans="1:30" ht="14.1" customHeight="1">
      <c r="A2" s="334"/>
      <c r="B2" s="778" t="s">
        <v>25</v>
      </c>
      <c r="C2" s="778"/>
      <c r="D2" s="778"/>
      <c r="E2" s="778"/>
      <c r="F2" s="778"/>
      <c r="G2" s="778"/>
      <c r="H2" s="778"/>
      <c r="I2" s="778"/>
      <c r="J2" s="778"/>
      <c r="K2" s="334"/>
      <c r="L2" s="778" t="s">
        <v>25</v>
      </c>
      <c r="M2" s="778"/>
      <c r="N2" s="778"/>
      <c r="O2" s="778"/>
      <c r="P2" s="778"/>
      <c r="Q2" s="778"/>
      <c r="R2" s="778"/>
      <c r="S2" s="778"/>
      <c r="T2" s="778"/>
      <c r="U2" s="334"/>
      <c r="V2" s="778" t="s">
        <v>25</v>
      </c>
      <c r="W2" s="778"/>
      <c r="X2" s="778"/>
      <c r="Y2" s="778"/>
      <c r="Z2" s="778"/>
      <c r="AA2" s="778"/>
      <c r="AB2" s="778"/>
      <c r="AC2" s="778"/>
      <c r="AD2" s="778"/>
    </row>
    <row r="3" spans="1:30" ht="14.1" customHeight="1">
      <c r="A3" s="215" t="s">
        <v>358</v>
      </c>
      <c r="B3" s="15">
        <v>23</v>
      </c>
      <c r="C3" s="15">
        <v>24</v>
      </c>
      <c r="D3" s="15">
        <v>25</v>
      </c>
      <c r="E3" s="15">
        <v>26</v>
      </c>
      <c r="F3" s="15">
        <v>27</v>
      </c>
      <c r="G3" s="15">
        <v>28</v>
      </c>
      <c r="H3" s="15">
        <v>29</v>
      </c>
      <c r="I3" s="15">
        <v>30</v>
      </c>
      <c r="J3" s="234">
        <v>31</v>
      </c>
      <c r="K3" s="215" t="s">
        <v>358</v>
      </c>
      <c r="L3" s="15">
        <v>23</v>
      </c>
      <c r="M3" s="15">
        <v>24</v>
      </c>
      <c r="N3" s="15">
        <v>25</v>
      </c>
      <c r="O3" s="15">
        <v>26</v>
      </c>
      <c r="P3" s="15">
        <v>27</v>
      </c>
      <c r="Q3" s="15">
        <v>28</v>
      </c>
      <c r="R3" s="15">
        <v>29</v>
      </c>
      <c r="S3" s="15">
        <v>30</v>
      </c>
      <c r="T3" s="234">
        <v>31</v>
      </c>
      <c r="U3" s="215" t="s">
        <v>358</v>
      </c>
      <c r="V3" s="15">
        <v>23</v>
      </c>
      <c r="W3" s="15">
        <v>24</v>
      </c>
      <c r="X3" s="15">
        <v>25</v>
      </c>
      <c r="Y3" s="15">
        <v>26</v>
      </c>
      <c r="Z3" s="15">
        <v>27</v>
      </c>
      <c r="AA3" s="15">
        <v>28</v>
      </c>
      <c r="AB3" s="15">
        <v>29</v>
      </c>
      <c r="AC3" s="15">
        <v>30</v>
      </c>
      <c r="AD3" s="234">
        <v>31</v>
      </c>
    </row>
    <row r="4" spans="1:30" ht="14.1" customHeight="1">
      <c r="A4" s="215">
        <v>0.23</v>
      </c>
      <c r="B4" s="15">
        <v>116</v>
      </c>
      <c r="C4" s="15"/>
      <c r="D4" s="15"/>
      <c r="E4" s="15"/>
      <c r="F4" s="15"/>
      <c r="G4" s="15"/>
      <c r="H4" s="15"/>
      <c r="I4" s="15"/>
      <c r="J4" s="234"/>
      <c r="K4" s="215">
        <v>0.23</v>
      </c>
      <c r="L4" s="15"/>
      <c r="M4" s="15"/>
      <c r="N4" s="15"/>
      <c r="O4" s="15"/>
      <c r="P4" s="15"/>
      <c r="Q4" s="15"/>
      <c r="R4" s="15"/>
      <c r="S4" s="15"/>
      <c r="T4" s="234"/>
      <c r="U4" s="215">
        <v>0.23</v>
      </c>
      <c r="V4" s="15"/>
      <c r="W4" s="15"/>
      <c r="X4" s="15"/>
      <c r="Y4" s="15"/>
      <c r="Z4" s="15"/>
      <c r="AA4" s="15"/>
      <c r="AB4" s="15"/>
      <c r="AC4" s="15"/>
      <c r="AD4" s="234"/>
    </row>
    <row r="5" spans="1:30" ht="14.1" customHeight="1">
      <c r="A5" s="215">
        <v>0.24</v>
      </c>
      <c r="B5" s="15">
        <v>121</v>
      </c>
      <c r="C5" s="15">
        <v>124</v>
      </c>
      <c r="D5" s="15"/>
      <c r="E5" s="15"/>
      <c r="F5" s="15"/>
      <c r="G5" s="15"/>
      <c r="H5" s="15"/>
      <c r="I5" s="15"/>
      <c r="J5" s="234"/>
      <c r="K5" s="215">
        <v>0.24</v>
      </c>
      <c r="L5" s="15"/>
      <c r="M5" s="15"/>
      <c r="N5" s="15"/>
      <c r="O5" s="15"/>
      <c r="P5" s="15"/>
      <c r="Q5" s="15"/>
      <c r="R5" s="15"/>
      <c r="S5" s="15"/>
      <c r="T5" s="234"/>
      <c r="U5" s="215">
        <v>0.24</v>
      </c>
      <c r="V5" s="15"/>
      <c r="W5" s="15"/>
      <c r="X5" s="15"/>
      <c r="Y5" s="15"/>
      <c r="Z5" s="15"/>
      <c r="AA5" s="15"/>
      <c r="AB5" s="15"/>
      <c r="AC5" s="15"/>
      <c r="AD5" s="234"/>
    </row>
    <row r="6" spans="1:30" ht="14.1" customHeight="1">
      <c r="A6" s="215">
        <v>0.25</v>
      </c>
      <c r="B6" s="15">
        <v>126</v>
      </c>
      <c r="C6" s="15">
        <v>129</v>
      </c>
      <c r="D6" s="15">
        <v>131</v>
      </c>
      <c r="E6" s="15"/>
      <c r="F6" s="15"/>
      <c r="G6" s="15"/>
      <c r="H6" s="15"/>
      <c r="I6" s="15"/>
      <c r="J6" s="234"/>
      <c r="K6" s="215">
        <v>0.25</v>
      </c>
      <c r="L6" s="15"/>
      <c r="M6" s="15"/>
      <c r="N6" s="15"/>
      <c r="O6" s="15"/>
      <c r="P6" s="15"/>
      <c r="Q6" s="15"/>
      <c r="R6" s="15"/>
      <c r="S6" s="15"/>
      <c r="T6" s="234"/>
      <c r="U6" s="215">
        <v>0.25</v>
      </c>
      <c r="V6" s="15"/>
      <c r="W6" s="15"/>
      <c r="X6" s="15"/>
      <c r="Y6" s="15"/>
      <c r="Z6" s="15"/>
      <c r="AA6" s="15"/>
      <c r="AB6" s="15"/>
      <c r="AC6" s="15"/>
      <c r="AD6" s="234"/>
    </row>
    <row r="7" spans="1:30" ht="14.1" customHeight="1">
      <c r="A7" s="215">
        <v>0.26</v>
      </c>
      <c r="B7" s="15">
        <v>130</v>
      </c>
      <c r="C7" s="15">
        <v>133</v>
      </c>
      <c r="D7" s="15">
        <v>135</v>
      </c>
      <c r="E7" s="15">
        <v>138</v>
      </c>
      <c r="F7" s="15"/>
      <c r="G7" s="15"/>
      <c r="H7" s="15"/>
      <c r="I7" s="15"/>
      <c r="J7" s="234"/>
      <c r="K7" s="215">
        <v>0.26</v>
      </c>
      <c r="L7" s="15"/>
      <c r="M7" s="15"/>
      <c r="N7" s="15"/>
      <c r="O7" s="15"/>
      <c r="P7" s="15"/>
      <c r="Q7" s="15"/>
      <c r="R7" s="15"/>
      <c r="S7" s="15"/>
      <c r="T7" s="234"/>
      <c r="U7" s="215">
        <v>0.26</v>
      </c>
      <c r="V7" s="15"/>
      <c r="W7" s="15"/>
      <c r="X7" s="15"/>
      <c r="Y7" s="15"/>
      <c r="Z7" s="15"/>
      <c r="AA7" s="15"/>
      <c r="AB7" s="15"/>
      <c r="AC7" s="15"/>
      <c r="AD7" s="234"/>
    </row>
    <row r="8" spans="1:30" ht="14.1" customHeight="1">
      <c r="A8" s="215">
        <v>0.27</v>
      </c>
      <c r="B8" s="15">
        <v>135</v>
      </c>
      <c r="C8" s="15">
        <v>138</v>
      </c>
      <c r="D8" s="15">
        <v>140</v>
      </c>
      <c r="E8" s="15">
        <v>142</v>
      </c>
      <c r="F8" s="15">
        <v>143</v>
      </c>
      <c r="G8" s="15"/>
      <c r="H8" s="15"/>
      <c r="I8" s="15"/>
      <c r="J8" s="234"/>
      <c r="K8" s="215">
        <v>0.27</v>
      </c>
      <c r="L8" s="15"/>
      <c r="M8" s="15"/>
      <c r="N8" s="15"/>
      <c r="O8" s="15"/>
      <c r="P8" s="15"/>
      <c r="Q8" s="15"/>
      <c r="R8" s="15"/>
      <c r="S8" s="15"/>
      <c r="T8" s="234"/>
      <c r="U8" s="215">
        <v>0.27</v>
      </c>
      <c r="V8" s="15"/>
      <c r="W8" s="15"/>
      <c r="X8" s="15"/>
      <c r="Y8" s="15"/>
      <c r="Z8" s="15"/>
      <c r="AA8" s="15"/>
      <c r="AB8" s="15"/>
      <c r="AC8" s="15"/>
      <c r="AD8" s="234"/>
    </row>
    <row r="9" spans="1:30" ht="14.1" customHeight="1">
      <c r="A9" s="215">
        <v>0.28000000000000003</v>
      </c>
      <c r="B9" s="15">
        <v>140</v>
      </c>
      <c r="C9" s="15">
        <v>142</v>
      </c>
      <c r="D9" s="15">
        <v>144</v>
      </c>
      <c r="E9" s="15">
        <v>146</v>
      </c>
      <c r="F9" s="15">
        <v>147</v>
      </c>
      <c r="G9" s="15">
        <v>149</v>
      </c>
      <c r="H9" s="15"/>
      <c r="I9" s="15"/>
      <c r="J9" s="234"/>
      <c r="K9" s="215">
        <v>0.28000000000000003</v>
      </c>
      <c r="L9" s="15"/>
      <c r="M9" s="15"/>
      <c r="N9" s="15">
        <v>149</v>
      </c>
      <c r="O9" s="15">
        <v>151</v>
      </c>
      <c r="P9" s="15">
        <v>154</v>
      </c>
      <c r="Q9" s="15"/>
      <c r="R9" s="15"/>
      <c r="S9" s="15"/>
      <c r="T9" s="234"/>
      <c r="U9" s="215">
        <v>0.28000000000000003</v>
      </c>
      <c r="V9" s="15"/>
      <c r="W9" s="15"/>
      <c r="X9" s="15">
        <v>150</v>
      </c>
      <c r="Y9" s="15">
        <v>155</v>
      </c>
      <c r="Z9" s="15">
        <v>159</v>
      </c>
      <c r="AA9" s="15"/>
      <c r="AB9" s="15"/>
      <c r="AC9" s="15"/>
      <c r="AD9" s="234"/>
    </row>
    <row r="10" spans="1:30" ht="14.1" customHeight="1">
      <c r="A10" s="215">
        <v>0.28999999999999998</v>
      </c>
      <c r="B10" s="15">
        <v>144</v>
      </c>
      <c r="C10" s="15">
        <v>146</v>
      </c>
      <c r="D10" s="15">
        <v>148</v>
      </c>
      <c r="E10" s="15">
        <v>150</v>
      </c>
      <c r="F10" s="15">
        <v>151</v>
      </c>
      <c r="G10" s="15">
        <v>153</v>
      </c>
      <c r="H10" s="15">
        <v>154</v>
      </c>
      <c r="I10" s="15"/>
      <c r="J10" s="234"/>
      <c r="K10" s="215">
        <v>0.28999999999999998</v>
      </c>
      <c r="L10" s="15"/>
      <c r="M10" s="15"/>
      <c r="N10" s="15">
        <v>154</v>
      </c>
      <c r="O10" s="15">
        <v>156</v>
      </c>
      <c r="P10" s="15">
        <v>158</v>
      </c>
      <c r="Q10" s="15">
        <v>159</v>
      </c>
      <c r="R10" s="15"/>
      <c r="S10" s="15"/>
      <c r="T10" s="234"/>
      <c r="U10" s="215">
        <v>0.28999999999999998</v>
      </c>
      <c r="V10" s="15"/>
      <c r="W10" s="15"/>
      <c r="X10" s="15">
        <v>155</v>
      </c>
      <c r="Y10" s="15">
        <v>160</v>
      </c>
      <c r="Z10" s="15">
        <v>164</v>
      </c>
      <c r="AA10" s="15">
        <v>168</v>
      </c>
      <c r="AB10" s="15"/>
      <c r="AC10" s="15"/>
      <c r="AD10" s="234"/>
    </row>
    <row r="11" spans="1:30" ht="14.1" customHeight="1">
      <c r="A11" s="215">
        <v>0.3</v>
      </c>
      <c r="B11" s="15">
        <v>149</v>
      </c>
      <c r="C11" s="15">
        <v>151</v>
      </c>
      <c r="D11" s="15">
        <v>153</v>
      </c>
      <c r="E11" s="15">
        <v>155</v>
      </c>
      <c r="F11" s="15">
        <v>156</v>
      </c>
      <c r="G11" s="15">
        <v>157</v>
      </c>
      <c r="H11" s="15">
        <v>158</v>
      </c>
      <c r="I11" s="15">
        <v>159</v>
      </c>
      <c r="J11" s="234"/>
      <c r="K11" s="215">
        <v>0.3</v>
      </c>
      <c r="L11" s="15"/>
      <c r="M11" s="15"/>
      <c r="N11" s="15">
        <v>158</v>
      </c>
      <c r="O11" s="15">
        <v>160</v>
      </c>
      <c r="P11" s="15">
        <v>162</v>
      </c>
      <c r="Q11" s="15">
        <v>162</v>
      </c>
      <c r="R11" s="15">
        <v>163</v>
      </c>
      <c r="S11" s="15"/>
      <c r="T11" s="234"/>
      <c r="U11" s="215">
        <v>0.3</v>
      </c>
      <c r="V11" s="15"/>
      <c r="W11" s="15"/>
      <c r="X11" s="15">
        <v>160</v>
      </c>
      <c r="Y11" s="15">
        <v>164</v>
      </c>
      <c r="Z11" s="15">
        <v>168</v>
      </c>
      <c r="AA11" s="15">
        <v>172</v>
      </c>
      <c r="AB11" s="15">
        <v>176</v>
      </c>
      <c r="AC11" s="15"/>
      <c r="AD11" s="234"/>
    </row>
    <row r="12" spans="1:30" ht="14.1" customHeight="1">
      <c r="A12" s="215">
        <v>0.31</v>
      </c>
      <c r="B12" s="15">
        <v>154</v>
      </c>
      <c r="C12" s="15">
        <v>156</v>
      </c>
      <c r="D12" s="15">
        <v>157</v>
      </c>
      <c r="E12" s="15">
        <v>159</v>
      </c>
      <c r="F12" s="15">
        <v>160</v>
      </c>
      <c r="G12" s="15">
        <v>161</v>
      </c>
      <c r="H12" s="15">
        <v>162</v>
      </c>
      <c r="I12" s="15">
        <v>163</v>
      </c>
      <c r="J12" s="234">
        <v>164</v>
      </c>
      <c r="K12" s="215">
        <v>0.31</v>
      </c>
      <c r="L12" s="15"/>
      <c r="M12" s="15"/>
      <c r="N12" s="15">
        <v>163</v>
      </c>
      <c r="O12" s="15">
        <v>164</v>
      </c>
      <c r="P12" s="15">
        <v>166</v>
      </c>
      <c r="Q12" s="15">
        <v>166</v>
      </c>
      <c r="R12" s="15">
        <v>167</v>
      </c>
      <c r="S12" s="15">
        <v>167</v>
      </c>
      <c r="T12" s="234"/>
      <c r="U12" s="215">
        <v>0.31</v>
      </c>
      <c r="V12" s="15"/>
      <c r="W12" s="15"/>
      <c r="X12" s="15">
        <v>165</v>
      </c>
      <c r="Y12" s="15">
        <v>168</v>
      </c>
      <c r="Z12" s="15">
        <v>172</v>
      </c>
      <c r="AA12" s="15">
        <v>174</v>
      </c>
      <c r="AB12" s="15">
        <v>180</v>
      </c>
      <c r="AC12" s="15">
        <v>182</v>
      </c>
      <c r="AD12" s="234"/>
    </row>
    <row r="13" spans="1:30" ht="14.1" customHeight="1">
      <c r="A13" s="215">
        <v>0.32</v>
      </c>
      <c r="B13" s="15">
        <v>158</v>
      </c>
      <c r="C13" s="15">
        <v>160</v>
      </c>
      <c r="D13" s="15">
        <v>162</v>
      </c>
      <c r="E13" s="15">
        <v>163</v>
      </c>
      <c r="F13" s="15">
        <v>164</v>
      </c>
      <c r="G13" s="15">
        <v>166</v>
      </c>
      <c r="H13" s="15">
        <v>167</v>
      </c>
      <c r="I13" s="15">
        <v>168</v>
      </c>
      <c r="J13" s="234">
        <v>168</v>
      </c>
      <c r="K13" s="215">
        <v>0.32</v>
      </c>
      <c r="L13" s="15"/>
      <c r="M13" s="15"/>
      <c r="N13" s="15">
        <v>167</v>
      </c>
      <c r="O13" s="15">
        <v>169</v>
      </c>
      <c r="P13" s="15">
        <v>171</v>
      </c>
      <c r="Q13" s="15">
        <v>171</v>
      </c>
      <c r="R13" s="15">
        <v>171</v>
      </c>
      <c r="S13" s="15">
        <v>172</v>
      </c>
      <c r="T13" s="234">
        <v>172</v>
      </c>
      <c r="U13" s="215">
        <v>0.32</v>
      </c>
      <c r="V13" s="15"/>
      <c r="W13" s="15"/>
      <c r="X13" s="15">
        <v>169</v>
      </c>
      <c r="Y13" s="15">
        <v>173</v>
      </c>
      <c r="Z13" s="15">
        <v>177</v>
      </c>
      <c r="AA13" s="15">
        <v>181</v>
      </c>
      <c r="AB13" s="15">
        <v>184</v>
      </c>
      <c r="AC13" s="15">
        <v>186</v>
      </c>
      <c r="AD13" s="234">
        <v>188</v>
      </c>
    </row>
    <row r="14" spans="1:30" ht="14.1" customHeight="1">
      <c r="A14" s="215">
        <v>0.33</v>
      </c>
      <c r="B14" s="15">
        <v>163</v>
      </c>
      <c r="C14" s="15">
        <v>165</v>
      </c>
      <c r="D14" s="15">
        <v>166</v>
      </c>
      <c r="E14" s="15">
        <v>168</v>
      </c>
      <c r="F14" s="15">
        <v>169</v>
      </c>
      <c r="G14" s="15">
        <v>170</v>
      </c>
      <c r="H14" s="15">
        <v>171</v>
      </c>
      <c r="I14" s="15">
        <v>173</v>
      </c>
      <c r="J14" s="234">
        <v>173</v>
      </c>
      <c r="K14" s="215">
        <v>0.33</v>
      </c>
      <c r="L14" s="15"/>
      <c r="M14" s="15"/>
      <c r="N14" s="15">
        <v>171</v>
      </c>
      <c r="O14" s="15">
        <v>173</v>
      </c>
      <c r="P14" s="15">
        <v>175</v>
      </c>
      <c r="Q14" s="15">
        <v>176</v>
      </c>
      <c r="R14" s="15">
        <v>176</v>
      </c>
      <c r="S14" s="15">
        <v>176</v>
      </c>
      <c r="T14" s="234">
        <v>176</v>
      </c>
      <c r="U14" s="215">
        <v>0.33</v>
      </c>
      <c r="V14" s="15"/>
      <c r="W14" s="15"/>
      <c r="X14" s="15">
        <v>174</v>
      </c>
      <c r="Y14" s="15">
        <v>178</v>
      </c>
      <c r="Z14" s="15">
        <v>181</v>
      </c>
      <c r="AA14" s="15">
        <v>185</v>
      </c>
      <c r="AB14" s="15">
        <v>188</v>
      </c>
      <c r="AC14" s="15">
        <v>190</v>
      </c>
      <c r="AD14" s="234">
        <v>192</v>
      </c>
    </row>
    <row r="15" spans="1:30" ht="14.1" customHeight="1">
      <c r="A15" s="215">
        <v>0.34</v>
      </c>
      <c r="B15" s="15">
        <v>168</v>
      </c>
      <c r="C15" s="15">
        <v>170</v>
      </c>
      <c r="D15" s="15">
        <v>171</v>
      </c>
      <c r="E15" s="15">
        <v>172</v>
      </c>
      <c r="F15" s="15">
        <v>173</v>
      </c>
      <c r="G15" s="15">
        <v>174</v>
      </c>
      <c r="H15" s="15">
        <v>175</v>
      </c>
      <c r="I15" s="15">
        <v>176</v>
      </c>
      <c r="J15" s="234">
        <v>177</v>
      </c>
      <c r="K15" s="215">
        <v>0.34</v>
      </c>
      <c r="L15" s="15"/>
      <c r="M15" s="15"/>
      <c r="N15" s="15">
        <v>176</v>
      </c>
      <c r="O15" s="15">
        <v>178</v>
      </c>
      <c r="P15" s="15">
        <v>179</v>
      </c>
      <c r="Q15" s="15">
        <v>179</v>
      </c>
      <c r="R15" s="15">
        <v>180</v>
      </c>
      <c r="S15" s="15">
        <v>180</v>
      </c>
      <c r="T15" s="234">
        <v>180</v>
      </c>
      <c r="U15" s="215">
        <v>0.34</v>
      </c>
      <c r="V15" s="15"/>
      <c r="W15" s="15"/>
      <c r="X15" s="15">
        <v>179</v>
      </c>
      <c r="Y15" s="15">
        <v>183</v>
      </c>
      <c r="Z15" s="15">
        <v>186</v>
      </c>
      <c r="AA15" s="15">
        <v>190</v>
      </c>
      <c r="AB15" s="15">
        <v>193</v>
      </c>
      <c r="AC15" s="15">
        <v>195</v>
      </c>
      <c r="AD15" s="234">
        <v>196</v>
      </c>
    </row>
    <row r="16" spans="1:30" ht="14.1" customHeight="1">
      <c r="A16" s="215">
        <v>0.35</v>
      </c>
      <c r="B16" s="15"/>
      <c r="C16" s="15">
        <v>174</v>
      </c>
      <c r="D16" s="15">
        <v>175</v>
      </c>
      <c r="E16" s="15">
        <v>176</v>
      </c>
      <c r="F16" s="15">
        <v>177</v>
      </c>
      <c r="G16" s="15">
        <v>178</v>
      </c>
      <c r="H16" s="15">
        <v>179</v>
      </c>
      <c r="I16" s="15">
        <v>180</v>
      </c>
      <c r="J16" s="234">
        <v>181</v>
      </c>
      <c r="K16" s="215">
        <v>0.35</v>
      </c>
      <c r="L16" s="15"/>
      <c r="M16" s="15"/>
      <c r="N16" s="15">
        <v>180</v>
      </c>
      <c r="O16" s="15">
        <v>181</v>
      </c>
      <c r="P16" s="15">
        <v>183</v>
      </c>
      <c r="Q16" s="15">
        <v>183</v>
      </c>
      <c r="R16" s="15">
        <v>184</v>
      </c>
      <c r="S16" s="15">
        <v>185</v>
      </c>
      <c r="T16" s="234">
        <v>185</v>
      </c>
      <c r="U16" s="215">
        <v>0.35</v>
      </c>
      <c r="V16" s="15"/>
      <c r="W16" s="15"/>
      <c r="X16" s="15">
        <v>184</v>
      </c>
      <c r="Y16" s="15">
        <v>187</v>
      </c>
      <c r="Z16" s="15">
        <v>190</v>
      </c>
      <c r="AA16" s="15">
        <v>194</v>
      </c>
      <c r="AB16" s="15">
        <v>197</v>
      </c>
      <c r="AC16" s="15">
        <v>199</v>
      </c>
      <c r="AD16" s="234">
        <v>201</v>
      </c>
    </row>
    <row r="17" spans="1:30" ht="14.1" customHeight="1">
      <c r="A17" s="215">
        <v>0.36</v>
      </c>
      <c r="B17" s="15"/>
      <c r="C17" s="15"/>
      <c r="D17" s="15">
        <v>179</v>
      </c>
      <c r="E17" s="15">
        <v>181</v>
      </c>
      <c r="F17" s="15">
        <v>182</v>
      </c>
      <c r="G17" s="15">
        <v>183</v>
      </c>
      <c r="H17" s="15">
        <v>184</v>
      </c>
      <c r="I17" s="15">
        <v>185</v>
      </c>
      <c r="J17" s="234">
        <v>185</v>
      </c>
      <c r="K17" s="215">
        <v>0.36</v>
      </c>
      <c r="L17" s="15"/>
      <c r="M17" s="15"/>
      <c r="N17" s="15">
        <v>185</v>
      </c>
      <c r="O17" s="15">
        <v>186</v>
      </c>
      <c r="P17" s="15">
        <v>187</v>
      </c>
      <c r="Q17" s="15">
        <v>187</v>
      </c>
      <c r="R17" s="15">
        <v>188</v>
      </c>
      <c r="S17" s="15">
        <v>188</v>
      </c>
      <c r="T17" s="234">
        <v>189</v>
      </c>
      <c r="U17" s="215">
        <v>0.36</v>
      </c>
      <c r="V17" s="15"/>
      <c r="W17" s="15"/>
      <c r="X17" s="15">
        <v>189</v>
      </c>
      <c r="Y17" s="15">
        <v>192</v>
      </c>
      <c r="Z17" s="15">
        <v>195</v>
      </c>
      <c r="AA17" s="15">
        <v>198</v>
      </c>
      <c r="AB17" s="15">
        <v>201</v>
      </c>
      <c r="AC17" s="15">
        <v>204</v>
      </c>
      <c r="AD17" s="234">
        <v>205</v>
      </c>
    </row>
    <row r="18" spans="1:30" ht="14.1" customHeight="1">
      <c r="A18" s="215">
        <v>0.37</v>
      </c>
      <c r="B18" s="15"/>
      <c r="C18" s="15"/>
      <c r="D18" s="15"/>
      <c r="E18" s="15">
        <v>185</v>
      </c>
      <c r="F18" s="15">
        <v>186</v>
      </c>
      <c r="G18" s="15">
        <v>187</v>
      </c>
      <c r="H18" s="15">
        <v>188</v>
      </c>
      <c r="I18" s="15">
        <v>189</v>
      </c>
      <c r="J18" s="234">
        <v>190</v>
      </c>
      <c r="K18" s="215">
        <v>0.37</v>
      </c>
      <c r="L18" s="15"/>
      <c r="M18" s="15"/>
      <c r="N18" s="15">
        <v>189</v>
      </c>
      <c r="O18" s="15">
        <v>190</v>
      </c>
      <c r="P18" s="15">
        <v>191</v>
      </c>
      <c r="Q18" s="15">
        <v>191</v>
      </c>
      <c r="R18" s="15">
        <v>192</v>
      </c>
      <c r="S18" s="15">
        <v>193</v>
      </c>
      <c r="T18" s="234">
        <v>193</v>
      </c>
      <c r="U18" s="215">
        <v>0.37</v>
      </c>
      <c r="V18" s="15"/>
      <c r="W18" s="15"/>
      <c r="X18" s="15">
        <v>193</v>
      </c>
      <c r="Y18" s="15">
        <v>196</v>
      </c>
      <c r="Z18" s="15">
        <v>199</v>
      </c>
      <c r="AA18" s="15">
        <v>202</v>
      </c>
      <c r="AB18" s="15">
        <v>205</v>
      </c>
      <c r="AC18" s="15">
        <v>207</v>
      </c>
      <c r="AD18" s="234">
        <v>209</v>
      </c>
    </row>
    <row r="19" spans="1:30" ht="14.1" customHeight="1">
      <c r="A19" s="215">
        <v>0.38</v>
      </c>
      <c r="B19" s="15"/>
      <c r="C19" s="15"/>
      <c r="D19" s="15"/>
      <c r="E19" s="15"/>
      <c r="F19" s="15">
        <v>190</v>
      </c>
      <c r="G19" s="15">
        <v>191</v>
      </c>
      <c r="H19" s="15">
        <v>192</v>
      </c>
      <c r="I19" s="15">
        <v>193</v>
      </c>
      <c r="J19" s="234">
        <v>194</v>
      </c>
      <c r="K19" s="215">
        <v>0.38</v>
      </c>
      <c r="L19" s="15"/>
      <c r="M19" s="15"/>
      <c r="N19" s="15">
        <v>193</v>
      </c>
      <c r="O19" s="15">
        <v>194</v>
      </c>
      <c r="P19" s="15">
        <v>196</v>
      </c>
      <c r="Q19" s="15">
        <v>196</v>
      </c>
      <c r="R19" s="15">
        <v>197</v>
      </c>
      <c r="S19" s="15">
        <v>197</v>
      </c>
      <c r="T19" s="234">
        <v>197</v>
      </c>
      <c r="U19" s="215">
        <v>0.38</v>
      </c>
      <c r="V19" s="15"/>
      <c r="W19" s="15"/>
      <c r="X19" s="15">
        <v>198</v>
      </c>
      <c r="Y19" s="15">
        <v>201</v>
      </c>
      <c r="Z19" s="15">
        <v>204</v>
      </c>
      <c r="AA19" s="15">
        <v>207</v>
      </c>
      <c r="AB19" s="15">
        <v>209</v>
      </c>
      <c r="AC19" s="15">
        <v>211</v>
      </c>
      <c r="AD19" s="234">
        <v>213</v>
      </c>
    </row>
    <row r="20" spans="1:30" ht="14.1" customHeight="1">
      <c r="A20" s="215">
        <v>0.39</v>
      </c>
      <c r="B20" s="15"/>
      <c r="C20" s="15"/>
      <c r="D20" s="15"/>
      <c r="E20" s="15"/>
      <c r="F20" s="15"/>
      <c r="G20" s="15">
        <v>196</v>
      </c>
      <c r="H20" s="15">
        <v>197</v>
      </c>
      <c r="I20" s="15">
        <v>198</v>
      </c>
      <c r="J20" s="234">
        <v>198</v>
      </c>
      <c r="K20" s="215">
        <v>0.39</v>
      </c>
      <c r="L20" s="15"/>
      <c r="M20" s="15"/>
      <c r="N20" s="15">
        <v>198</v>
      </c>
      <c r="O20" s="15">
        <v>199</v>
      </c>
      <c r="P20" s="15">
        <v>200</v>
      </c>
      <c r="Q20" s="15">
        <v>200</v>
      </c>
      <c r="R20" s="15">
        <v>201</v>
      </c>
      <c r="S20" s="15">
        <v>201</v>
      </c>
      <c r="T20" s="234">
        <v>202</v>
      </c>
      <c r="U20" s="215">
        <v>0.39</v>
      </c>
      <c r="V20" s="15"/>
      <c r="W20" s="15"/>
      <c r="X20" s="15">
        <v>203</v>
      </c>
      <c r="Y20" s="15">
        <v>206</v>
      </c>
      <c r="Z20" s="15">
        <v>208</v>
      </c>
      <c r="AA20" s="15">
        <v>211</v>
      </c>
      <c r="AB20" s="15">
        <v>214</v>
      </c>
      <c r="AC20" s="15">
        <v>216</v>
      </c>
      <c r="AD20" s="234">
        <v>217</v>
      </c>
    </row>
    <row r="21" spans="1:30" ht="14.1" customHeight="1">
      <c r="A21" s="215">
        <v>0.4</v>
      </c>
      <c r="B21" s="15"/>
      <c r="C21" s="15"/>
      <c r="D21" s="15"/>
      <c r="E21" s="15"/>
      <c r="F21" s="15"/>
      <c r="G21" s="15"/>
      <c r="H21" s="15">
        <v>201</v>
      </c>
      <c r="I21" s="15">
        <v>202</v>
      </c>
      <c r="J21" s="234">
        <v>203</v>
      </c>
      <c r="K21" s="215">
        <v>0.4</v>
      </c>
      <c r="L21" s="15"/>
      <c r="M21" s="15"/>
      <c r="N21" s="15">
        <v>202</v>
      </c>
      <c r="O21" s="15">
        <v>203</v>
      </c>
      <c r="P21" s="15">
        <v>204</v>
      </c>
      <c r="Q21" s="15">
        <v>204</v>
      </c>
      <c r="R21" s="15">
        <v>205</v>
      </c>
      <c r="S21" s="15">
        <v>205</v>
      </c>
      <c r="T21" s="234">
        <v>206</v>
      </c>
      <c r="U21" s="215">
        <v>0.4</v>
      </c>
      <c r="V21" s="15"/>
      <c r="W21" s="15"/>
      <c r="X21" s="15">
        <v>208</v>
      </c>
      <c r="Y21" s="15">
        <v>211</v>
      </c>
      <c r="Z21" s="15">
        <v>213</v>
      </c>
      <c r="AA21" s="15">
        <v>216</v>
      </c>
      <c r="AB21" s="15">
        <v>218</v>
      </c>
      <c r="AC21" s="15">
        <v>220</v>
      </c>
      <c r="AD21" s="234">
        <v>221</v>
      </c>
    </row>
    <row r="22" spans="1:30" ht="14.1" customHeight="1">
      <c r="A22" s="215">
        <v>0.41</v>
      </c>
      <c r="B22" s="15"/>
      <c r="C22" s="15"/>
      <c r="D22" s="15"/>
      <c r="E22" s="15"/>
      <c r="F22" s="15"/>
      <c r="G22" s="15"/>
      <c r="H22" s="15"/>
      <c r="I22" s="15">
        <v>206</v>
      </c>
      <c r="J22" s="234">
        <v>207</v>
      </c>
      <c r="K22" s="215">
        <v>0.41</v>
      </c>
      <c r="L22" s="15"/>
      <c r="M22" s="15"/>
      <c r="N22" s="15">
        <v>206</v>
      </c>
      <c r="O22" s="15">
        <v>207</v>
      </c>
      <c r="P22" s="15">
        <v>208</v>
      </c>
      <c r="Q22" s="15">
        <v>208</v>
      </c>
      <c r="R22" s="15">
        <v>209</v>
      </c>
      <c r="S22" s="15">
        <v>209</v>
      </c>
      <c r="T22" s="234">
        <v>210</v>
      </c>
      <c r="U22" s="215">
        <v>0.41</v>
      </c>
      <c r="V22" s="15"/>
      <c r="W22" s="15"/>
      <c r="X22" s="15">
        <v>213</v>
      </c>
      <c r="Y22" s="15">
        <v>215</v>
      </c>
      <c r="Z22" s="15">
        <v>217</v>
      </c>
      <c r="AA22" s="15">
        <v>220</v>
      </c>
      <c r="AB22" s="15">
        <v>222</v>
      </c>
      <c r="AC22" s="15">
        <v>224</v>
      </c>
      <c r="AD22" s="234">
        <v>225</v>
      </c>
    </row>
    <row r="23" spans="1:30" ht="14.1" customHeight="1" thickBot="1">
      <c r="A23" s="216">
        <v>0.42</v>
      </c>
      <c r="B23" s="217"/>
      <c r="C23" s="217"/>
      <c r="D23" s="217"/>
      <c r="E23" s="217"/>
      <c r="F23" s="217"/>
      <c r="G23" s="217"/>
      <c r="H23" s="217"/>
      <c r="I23" s="217"/>
      <c r="J23" s="186">
        <v>211</v>
      </c>
      <c r="K23" s="216">
        <v>0.42</v>
      </c>
      <c r="L23" s="217"/>
      <c r="M23" s="217"/>
      <c r="N23" s="217">
        <v>211</v>
      </c>
      <c r="O23" s="217">
        <v>211</v>
      </c>
      <c r="P23" s="217">
        <v>212</v>
      </c>
      <c r="Q23" s="217">
        <v>212</v>
      </c>
      <c r="R23" s="217">
        <v>213</v>
      </c>
      <c r="S23" s="217">
        <v>213</v>
      </c>
      <c r="T23" s="186">
        <v>214</v>
      </c>
      <c r="U23" s="216">
        <v>0.42</v>
      </c>
      <c r="V23" s="217"/>
      <c r="W23" s="217"/>
      <c r="X23" s="217">
        <v>218</v>
      </c>
      <c r="Y23" s="217">
        <v>220</v>
      </c>
      <c r="Z23" s="217">
        <v>222</v>
      </c>
      <c r="AA23" s="217">
        <v>224</v>
      </c>
      <c r="AB23" s="217">
        <v>226</v>
      </c>
      <c r="AC23" s="217">
        <v>228</v>
      </c>
      <c r="AD23" s="186">
        <v>229</v>
      </c>
    </row>
    <row r="25" spans="1:30" ht="14.1" customHeight="1" thickBot="1">
      <c r="A25" s="80" t="s">
        <v>447</v>
      </c>
      <c r="N25" s="80" t="s">
        <v>448</v>
      </c>
    </row>
    <row r="26" spans="1:30" ht="14.1" customHeight="1">
      <c r="A26" s="334"/>
      <c r="B26" s="779" t="s">
        <v>25</v>
      </c>
      <c r="C26" s="779"/>
      <c r="D26" s="779"/>
      <c r="E26" s="779"/>
      <c r="F26" s="779"/>
      <c r="G26" s="779"/>
      <c r="H26" s="779"/>
      <c r="I26" s="779"/>
      <c r="J26" s="779"/>
      <c r="K26" s="779"/>
      <c r="L26" s="779"/>
      <c r="M26" s="231"/>
      <c r="N26" s="334"/>
      <c r="O26" s="778" t="s">
        <v>25</v>
      </c>
      <c r="P26" s="778"/>
      <c r="Q26" s="778"/>
      <c r="R26" s="778"/>
      <c r="S26" s="778"/>
      <c r="T26" s="778"/>
      <c r="U26" s="778"/>
      <c r="V26" s="778"/>
      <c r="W26" s="778"/>
      <c r="X26" s="778"/>
      <c r="Y26" s="778"/>
      <c r="Z26" s="778"/>
      <c r="AA26" s="778"/>
    </row>
    <row r="27" spans="1:30" ht="14.1" customHeight="1">
      <c r="A27" s="215" t="s">
        <v>358</v>
      </c>
      <c r="B27" s="15">
        <v>22</v>
      </c>
      <c r="C27" s="15">
        <v>23</v>
      </c>
      <c r="D27" s="15">
        <v>24</v>
      </c>
      <c r="E27" s="15">
        <v>25</v>
      </c>
      <c r="F27" s="15">
        <v>26</v>
      </c>
      <c r="G27" s="15">
        <v>27</v>
      </c>
      <c r="H27" s="15">
        <v>28</v>
      </c>
      <c r="I27" s="15">
        <v>29</v>
      </c>
      <c r="J27" s="15">
        <v>30</v>
      </c>
      <c r="K27" s="15">
        <v>31</v>
      </c>
      <c r="L27" s="15">
        <v>32</v>
      </c>
      <c r="M27" s="234">
        <v>33</v>
      </c>
      <c r="N27" s="215" t="s">
        <v>358</v>
      </c>
      <c r="O27" s="15">
        <v>27</v>
      </c>
      <c r="P27" s="15">
        <v>28</v>
      </c>
      <c r="Q27" s="15">
        <v>29</v>
      </c>
      <c r="R27" s="15">
        <v>30</v>
      </c>
      <c r="S27" s="15">
        <v>31</v>
      </c>
      <c r="T27" s="15">
        <v>32</v>
      </c>
      <c r="U27" s="15">
        <v>33</v>
      </c>
      <c r="V27" s="15">
        <v>34</v>
      </c>
      <c r="W27" s="15">
        <v>35</v>
      </c>
      <c r="X27" s="15">
        <v>36</v>
      </c>
      <c r="Y27" s="15">
        <v>37</v>
      </c>
      <c r="Z27" s="15">
        <v>38</v>
      </c>
      <c r="AA27" s="234">
        <v>39</v>
      </c>
    </row>
    <row r="28" spans="1:30" ht="14.1" customHeight="1">
      <c r="A28" s="215">
        <v>0.3</v>
      </c>
      <c r="B28" s="15">
        <v>152</v>
      </c>
      <c r="C28" s="15">
        <v>157</v>
      </c>
      <c r="D28" s="15">
        <v>163</v>
      </c>
      <c r="E28" s="15">
        <v>166</v>
      </c>
      <c r="F28" s="15">
        <v>170</v>
      </c>
      <c r="G28" s="15">
        <v>173</v>
      </c>
      <c r="H28" s="15">
        <v>175</v>
      </c>
      <c r="I28" s="15">
        <v>177</v>
      </c>
      <c r="J28" s="15">
        <v>179</v>
      </c>
      <c r="K28" s="15">
        <v>182</v>
      </c>
      <c r="L28" s="15">
        <v>184</v>
      </c>
      <c r="M28" s="234">
        <v>187</v>
      </c>
      <c r="N28" s="215">
        <v>0.3</v>
      </c>
      <c r="O28" s="15">
        <v>222</v>
      </c>
      <c r="P28" s="15">
        <v>226</v>
      </c>
      <c r="Q28" s="15">
        <v>229</v>
      </c>
      <c r="R28" s="15">
        <v>231</v>
      </c>
      <c r="S28" s="15">
        <v>234</v>
      </c>
      <c r="T28" s="15">
        <v>236</v>
      </c>
      <c r="U28" s="15">
        <v>239</v>
      </c>
      <c r="V28" s="15">
        <v>241</v>
      </c>
      <c r="W28" s="15">
        <v>244</v>
      </c>
      <c r="X28" s="15">
        <v>246</v>
      </c>
      <c r="Y28" s="15">
        <v>248</v>
      </c>
      <c r="Z28" s="15">
        <v>250</v>
      </c>
      <c r="AA28" s="234">
        <v>252</v>
      </c>
    </row>
    <row r="29" spans="1:30" ht="14.1" customHeight="1">
      <c r="A29" s="215">
        <v>0.32500000000000001</v>
      </c>
      <c r="B29" s="15">
        <v>163</v>
      </c>
      <c r="C29" s="15">
        <v>169</v>
      </c>
      <c r="D29" s="15">
        <v>174</v>
      </c>
      <c r="E29" s="15">
        <v>177</v>
      </c>
      <c r="F29" s="15">
        <v>181</v>
      </c>
      <c r="G29" s="15">
        <v>183</v>
      </c>
      <c r="H29" s="15">
        <v>186</v>
      </c>
      <c r="I29" s="15">
        <v>188</v>
      </c>
      <c r="J29" s="15">
        <v>190</v>
      </c>
      <c r="K29" s="15">
        <v>192</v>
      </c>
      <c r="L29" s="15">
        <v>195</v>
      </c>
      <c r="M29" s="234">
        <v>197</v>
      </c>
      <c r="N29" s="215">
        <v>0.32500000000000001</v>
      </c>
      <c r="O29" s="15">
        <v>233</v>
      </c>
      <c r="P29" s="15">
        <v>236</v>
      </c>
      <c r="Q29" s="15">
        <v>239</v>
      </c>
      <c r="R29" s="15">
        <v>242</v>
      </c>
      <c r="S29" s="15">
        <v>244</v>
      </c>
      <c r="T29" s="15">
        <v>246</v>
      </c>
      <c r="U29" s="15">
        <v>248</v>
      </c>
      <c r="V29" s="15">
        <v>251</v>
      </c>
      <c r="W29" s="15">
        <v>253</v>
      </c>
      <c r="X29" s="15">
        <v>256</v>
      </c>
      <c r="Y29" s="15">
        <v>258</v>
      </c>
      <c r="Z29" s="15">
        <v>260</v>
      </c>
      <c r="AA29" s="234">
        <v>262</v>
      </c>
    </row>
    <row r="30" spans="1:30" ht="14.1" customHeight="1">
      <c r="A30" s="215">
        <v>0.35</v>
      </c>
      <c r="B30" s="15">
        <v>175</v>
      </c>
      <c r="C30" s="15">
        <v>180</v>
      </c>
      <c r="D30" s="15">
        <v>185</v>
      </c>
      <c r="E30" s="15">
        <v>188</v>
      </c>
      <c r="F30" s="15">
        <v>191</v>
      </c>
      <c r="G30" s="15">
        <v>194</v>
      </c>
      <c r="H30" s="15">
        <v>196</v>
      </c>
      <c r="I30" s="15">
        <v>198</v>
      </c>
      <c r="J30" s="15">
        <v>200</v>
      </c>
      <c r="K30" s="15">
        <v>202</v>
      </c>
      <c r="L30" s="15">
        <v>205</v>
      </c>
      <c r="M30" s="234">
        <v>207</v>
      </c>
      <c r="N30" s="215">
        <v>0.35</v>
      </c>
      <c r="O30" s="15">
        <v>244</v>
      </c>
      <c r="P30" s="15">
        <v>247</v>
      </c>
      <c r="Q30" s="15">
        <v>249</v>
      </c>
      <c r="R30" s="15">
        <v>252</v>
      </c>
      <c r="S30" s="15">
        <v>254</v>
      </c>
      <c r="T30" s="15">
        <v>256</v>
      </c>
      <c r="U30" s="15">
        <v>258</v>
      </c>
      <c r="V30" s="15">
        <v>260</v>
      </c>
      <c r="W30" s="15">
        <v>263</v>
      </c>
      <c r="X30" s="15">
        <v>265</v>
      </c>
      <c r="Y30" s="15">
        <v>267</v>
      </c>
      <c r="Z30" s="15">
        <v>269</v>
      </c>
      <c r="AA30" s="234">
        <v>271</v>
      </c>
    </row>
    <row r="31" spans="1:30" ht="14.1" customHeight="1">
      <c r="A31" s="215">
        <v>0.375</v>
      </c>
      <c r="B31" s="15">
        <v>186</v>
      </c>
      <c r="C31" s="15">
        <v>191</v>
      </c>
      <c r="D31" s="15">
        <v>196</v>
      </c>
      <c r="E31" s="15">
        <v>199</v>
      </c>
      <c r="F31" s="15">
        <v>202</v>
      </c>
      <c r="G31" s="15">
        <v>205</v>
      </c>
      <c r="H31" s="15">
        <v>207</v>
      </c>
      <c r="I31" s="15">
        <v>209</v>
      </c>
      <c r="J31" s="15">
        <v>211</v>
      </c>
      <c r="K31" s="15">
        <v>213</v>
      </c>
      <c r="L31" s="15">
        <v>215</v>
      </c>
      <c r="M31" s="234">
        <v>218</v>
      </c>
      <c r="N31" s="215">
        <v>0.375</v>
      </c>
      <c r="O31" s="15">
        <v>254</v>
      </c>
      <c r="P31" s="15">
        <v>257</v>
      </c>
      <c r="Q31" s="15">
        <v>260</v>
      </c>
      <c r="R31" s="15">
        <v>262</v>
      </c>
      <c r="S31" s="15">
        <v>264</v>
      </c>
      <c r="T31" s="15">
        <v>266</v>
      </c>
      <c r="U31" s="15">
        <v>268</v>
      </c>
      <c r="V31" s="15">
        <v>270</v>
      </c>
      <c r="W31" s="15">
        <v>273</v>
      </c>
      <c r="X31" s="15">
        <v>275</v>
      </c>
      <c r="Y31" s="15">
        <v>277</v>
      </c>
      <c r="Z31" s="15">
        <v>279</v>
      </c>
      <c r="AA31" s="234">
        <v>281</v>
      </c>
    </row>
    <row r="32" spans="1:30" ht="14.1" customHeight="1">
      <c r="A32" s="215">
        <v>0.4</v>
      </c>
      <c r="B32" s="15">
        <v>198</v>
      </c>
      <c r="C32" s="15">
        <v>203</v>
      </c>
      <c r="D32" s="15">
        <v>207</v>
      </c>
      <c r="E32" s="15">
        <v>210</v>
      </c>
      <c r="F32" s="15">
        <v>213</v>
      </c>
      <c r="G32" s="15">
        <v>215</v>
      </c>
      <c r="H32" s="15">
        <v>217</v>
      </c>
      <c r="I32" s="15">
        <v>219</v>
      </c>
      <c r="J32" s="15">
        <v>221</v>
      </c>
      <c r="K32" s="15">
        <v>223</v>
      </c>
      <c r="L32" s="15">
        <v>226</v>
      </c>
      <c r="M32" s="234">
        <v>228</v>
      </c>
      <c r="N32" s="215">
        <v>0.4</v>
      </c>
      <c r="O32" s="15">
        <v>265</v>
      </c>
      <c r="P32" s="15">
        <v>267</v>
      </c>
      <c r="Q32" s="15">
        <v>270</v>
      </c>
      <c r="R32" s="15">
        <v>272</v>
      </c>
      <c r="S32" s="15">
        <v>274</v>
      </c>
      <c r="T32" s="15">
        <v>276</v>
      </c>
      <c r="U32" s="15">
        <v>278</v>
      </c>
      <c r="V32" s="15">
        <v>280</v>
      </c>
      <c r="W32" s="15">
        <v>282</v>
      </c>
      <c r="X32" s="15">
        <v>284</v>
      </c>
      <c r="Y32" s="15">
        <v>286</v>
      </c>
      <c r="Z32" s="15">
        <v>288</v>
      </c>
      <c r="AA32" s="234">
        <v>290</v>
      </c>
    </row>
    <row r="33" spans="1:27" ht="14.1" customHeight="1">
      <c r="A33" s="215">
        <v>0.42499999999999999</v>
      </c>
      <c r="B33" s="15">
        <v>209</v>
      </c>
      <c r="C33" s="15">
        <v>214</v>
      </c>
      <c r="D33" s="15">
        <v>218</v>
      </c>
      <c r="E33" s="15">
        <v>221</v>
      </c>
      <c r="F33" s="15">
        <v>224</v>
      </c>
      <c r="G33" s="15">
        <v>226</v>
      </c>
      <c r="H33" s="15">
        <v>228</v>
      </c>
      <c r="I33" s="15">
        <v>230</v>
      </c>
      <c r="J33" s="15">
        <v>232</v>
      </c>
      <c r="K33" s="15">
        <v>234</v>
      </c>
      <c r="L33" s="15">
        <v>236</v>
      </c>
      <c r="M33" s="234">
        <v>238</v>
      </c>
      <c r="N33" s="215">
        <v>0.42499999999999999</v>
      </c>
      <c r="O33" s="15">
        <v>275</v>
      </c>
      <c r="P33" s="15">
        <v>278</v>
      </c>
      <c r="Q33" s="15">
        <v>280</v>
      </c>
      <c r="R33" s="15">
        <v>282</v>
      </c>
      <c r="S33" s="15">
        <v>284</v>
      </c>
      <c r="T33" s="15">
        <v>286</v>
      </c>
      <c r="U33" s="15">
        <v>288</v>
      </c>
      <c r="V33" s="15">
        <v>290</v>
      </c>
      <c r="W33" s="15">
        <v>292</v>
      </c>
      <c r="X33" s="15">
        <v>294</v>
      </c>
      <c r="Y33" s="15">
        <v>296</v>
      </c>
      <c r="Z33" s="15">
        <v>298</v>
      </c>
      <c r="AA33" s="234">
        <v>300</v>
      </c>
    </row>
    <row r="34" spans="1:27" ht="14.1" customHeight="1">
      <c r="A34" s="215">
        <v>0.45</v>
      </c>
      <c r="B34" s="15">
        <v>221</v>
      </c>
      <c r="C34" s="15">
        <v>226</v>
      </c>
      <c r="D34" s="15">
        <v>230</v>
      </c>
      <c r="E34" s="15">
        <v>232</v>
      </c>
      <c r="F34" s="15">
        <v>235</v>
      </c>
      <c r="G34" s="15">
        <v>237</v>
      </c>
      <c r="H34" s="15">
        <v>238</v>
      </c>
      <c r="I34" s="15">
        <v>240</v>
      </c>
      <c r="J34" s="15">
        <v>242</v>
      </c>
      <c r="K34" s="15">
        <v>244</v>
      </c>
      <c r="L34" s="15">
        <v>246</v>
      </c>
      <c r="M34" s="234">
        <v>248</v>
      </c>
      <c r="N34" s="215">
        <v>0.45</v>
      </c>
      <c r="O34" s="15">
        <v>286</v>
      </c>
      <c r="P34" s="15">
        <v>288</v>
      </c>
      <c r="Q34" s="15">
        <v>290</v>
      </c>
      <c r="R34" s="15">
        <v>292</v>
      </c>
      <c r="S34" s="15">
        <v>294</v>
      </c>
      <c r="T34" s="15">
        <v>296</v>
      </c>
      <c r="U34" s="15">
        <v>298</v>
      </c>
      <c r="V34" s="15">
        <v>299</v>
      </c>
      <c r="W34" s="15">
        <v>301</v>
      </c>
      <c r="X34" s="15">
        <v>303</v>
      </c>
      <c r="Y34" s="15">
        <v>305</v>
      </c>
      <c r="Z34" s="15">
        <v>307</v>
      </c>
      <c r="AA34" s="234">
        <v>309</v>
      </c>
    </row>
    <row r="35" spans="1:27" ht="14.1" customHeight="1">
      <c r="A35" s="215">
        <v>0.47499999999999998</v>
      </c>
      <c r="B35" s="15">
        <v>233</v>
      </c>
      <c r="C35" s="15">
        <v>237</v>
      </c>
      <c r="D35" s="15">
        <v>241</v>
      </c>
      <c r="E35" s="15">
        <v>243</v>
      </c>
      <c r="F35" s="15">
        <v>245</v>
      </c>
      <c r="G35" s="15">
        <v>247</v>
      </c>
      <c r="H35" s="15">
        <v>249</v>
      </c>
      <c r="I35" s="15">
        <v>251</v>
      </c>
      <c r="J35" s="15">
        <v>253</v>
      </c>
      <c r="K35" s="15">
        <v>254</v>
      </c>
      <c r="L35" s="15">
        <v>256</v>
      </c>
      <c r="M35" s="234">
        <v>258</v>
      </c>
      <c r="N35" s="215">
        <v>0.47499999999999998</v>
      </c>
      <c r="O35" s="15">
        <v>296</v>
      </c>
      <c r="P35" s="15">
        <v>298</v>
      </c>
      <c r="Q35" s="15">
        <v>3090</v>
      </c>
      <c r="R35" s="15">
        <v>302</v>
      </c>
      <c r="S35" s="15">
        <v>304</v>
      </c>
      <c r="T35" s="15">
        <v>305</v>
      </c>
      <c r="U35" s="15">
        <v>307</v>
      </c>
      <c r="V35" s="15">
        <v>309</v>
      </c>
      <c r="W35" s="15">
        <v>311</v>
      </c>
      <c r="X35" s="15">
        <v>313</v>
      </c>
      <c r="Y35" s="15">
        <v>315</v>
      </c>
      <c r="Z35" s="15">
        <v>317</v>
      </c>
      <c r="AA35" s="234">
        <v>318</v>
      </c>
    </row>
    <row r="36" spans="1:27" ht="14.1" customHeight="1">
      <c r="A36" s="215">
        <v>0.5</v>
      </c>
      <c r="B36" s="15">
        <v>244</v>
      </c>
      <c r="C36" s="15">
        <v>248</v>
      </c>
      <c r="D36" s="15">
        <v>252</v>
      </c>
      <c r="E36" s="15">
        <v>254</v>
      </c>
      <c r="F36" s="15">
        <v>256</v>
      </c>
      <c r="G36" s="15">
        <v>258</v>
      </c>
      <c r="H36" s="15">
        <v>260</v>
      </c>
      <c r="I36" s="15">
        <v>261</v>
      </c>
      <c r="J36" s="15">
        <v>263</v>
      </c>
      <c r="K36" s="15">
        <v>265</v>
      </c>
      <c r="L36" s="15">
        <v>267</v>
      </c>
      <c r="M36" s="234">
        <v>269</v>
      </c>
      <c r="N36" s="215">
        <v>0.5</v>
      </c>
      <c r="O36" s="15">
        <v>306</v>
      </c>
      <c r="P36" s="15">
        <v>308</v>
      </c>
      <c r="Q36" s="15">
        <v>310</v>
      </c>
      <c r="R36" s="15">
        <v>312</v>
      </c>
      <c r="S36" s="15">
        <v>313</v>
      </c>
      <c r="T36" s="15">
        <v>315</v>
      </c>
      <c r="U36" s="15">
        <v>317</v>
      </c>
      <c r="V36" s="15">
        <v>319</v>
      </c>
      <c r="W36" s="15">
        <v>320</v>
      </c>
      <c r="X36" s="15">
        <v>322</v>
      </c>
      <c r="Y36" s="15">
        <v>324</v>
      </c>
      <c r="Z36" s="15">
        <v>326</v>
      </c>
      <c r="AA36" s="234">
        <v>328</v>
      </c>
    </row>
    <row r="37" spans="1:27" ht="14.1" customHeight="1">
      <c r="A37" s="215">
        <v>0.52500000000000002</v>
      </c>
      <c r="B37" s="15">
        <v>256</v>
      </c>
      <c r="C37" s="15">
        <v>260</v>
      </c>
      <c r="D37" s="15">
        <v>263</v>
      </c>
      <c r="E37" s="15">
        <v>265</v>
      </c>
      <c r="F37" s="15">
        <v>267</v>
      </c>
      <c r="G37" s="15">
        <v>269</v>
      </c>
      <c r="H37" s="15">
        <v>270</v>
      </c>
      <c r="I37" s="15">
        <v>272</v>
      </c>
      <c r="J37" s="15">
        <v>273</v>
      </c>
      <c r="K37" s="15">
        <v>275</v>
      </c>
      <c r="L37" s="15">
        <v>277</v>
      </c>
      <c r="M37" s="234">
        <v>279</v>
      </c>
      <c r="N37" s="215">
        <v>0.52500000000000002</v>
      </c>
      <c r="O37" s="15">
        <v>316</v>
      </c>
      <c r="P37" s="15">
        <v>318</v>
      </c>
      <c r="Q37" s="15">
        <v>320</v>
      </c>
      <c r="R37" s="15">
        <v>322</v>
      </c>
      <c r="S37" s="15">
        <v>323</v>
      </c>
      <c r="T37" s="15">
        <v>325</v>
      </c>
      <c r="U37" s="15">
        <v>326</v>
      </c>
      <c r="V37" s="15">
        <v>328</v>
      </c>
      <c r="W37" s="15">
        <v>330</v>
      </c>
      <c r="X37" s="15">
        <v>332</v>
      </c>
      <c r="Y37" s="15">
        <v>333</v>
      </c>
      <c r="Z37" s="15">
        <v>335</v>
      </c>
      <c r="AA37" s="234">
        <v>337</v>
      </c>
    </row>
    <row r="38" spans="1:27" ht="14.1" customHeight="1">
      <c r="A38" s="215">
        <v>0.55000000000000004</v>
      </c>
      <c r="B38" s="15">
        <v>267</v>
      </c>
      <c r="C38" s="15">
        <v>271</v>
      </c>
      <c r="D38" s="15">
        <v>274</v>
      </c>
      <c r="E38" s="15">
        <v>276</v>
      </c>
      <c r="F38" s="15">
        <v>278</v>
      </c>
      <c r="G38" s="15">
        <v>279</v>
      </c>
      <c r="H38" s="15">
        <v>281</v>
      </c>
      <c r="I38" s="15">
        <v>282</v>
      </c>
      <c r="J38" s="15">
        <v>284</v>
      </c>
      <c r="K38" s="15">
        <v>285</v>
      </c>
      <c r="L38" s="15">
        <v>287</v>
      </c>
      <c r="M38" s="234">
        <v>289</v>
      </c>
      <c r="N38" s="215">
        <v>0.55000000000000004</v>
      </c>
      <c r="O38" s="15">
        <v>326</v>
      </c>
      <c r="P38" s="15">
        <v>328</v>
      </c>
      <c r="Q38" s="15">
        <v>330</v>
      </c>
      <c r="R38" s="15">
        <v>331</v>
      </c>
      <c r="S38" s="15">
        <v>333</v>
      </c>
      <c r="T38" s="15">
        <v>334</v>
      </c>
      <c r="U38" s="15">
        <v>336</v>
      </c>
      <c r="V38" s="15">
        <v>338</v>
      </c>
      <c r="W38" s="15">
        <v>339</v>
      </c>
      <c r="X38" s="15">
        <v>341</v>
      </c>
      <c r="Y38" s="15">
        <v>343</v>
      </c>
      <c r="Z38" s="15">
        <v>344</v>
      </c>
      <c r="AA38" s="234">
        <v>346</v>
      </c>
    </row>
    <row r="39" spans="1:27" ht="14.1" customHeight="1">
      <c r="A39" s="215">
        <v>0.57499999999999996</v>
      </c>
      <c r="B39" s="15">
        <v>279</v>
      </c>
      <c r="C39" s="15">
        <v>282</v>
      </c>
      <c r="D39" s="15">
        <v>285</v>
      </c>
      <c r="E39" s="15">
        <v>287</v>
      </c>
      <c r="F39" s="15">
        <v>288</v>
      </c>
      <c r="G39" s="15">
        <v>290</v>
      </c>
      <c r="H39" s="15">
        <v>291</v>
      </c>
      <c r="I39" s="15">
        <v>292</v>
      </c>
      <c r="J39" s="15">
        <v>294</v>
      </c>
      <c r="K39" s="15">
        <v>296</v>
      </c>
      <c r="L39" s="15">
        <v>297</v>
      </c>
      <c r="M39" s="234">
        <v>299</v>
      </c>
      <c r="N39" s="215">
        <v>0.57499999999999996</v>
      </c>
      <c r="O39" s="15">
        <v>336</v>
      </c>
      <c r="P39" s="15">
        <v>338</v>
      </c>
      <c r="Q39" s="15">
        <v>339</v>
      </c>
      <c r="R39" s="15">
        <v>341</v>
      </c>
      <c r="S39" s="15">
        <v>342</v>
      </c>
      <c r="T39" s="15">
        <v>344</v>
      </c>
      <c r="U39" s="15">
        <v>345</v>
      </c>
      <c r="V39" s="15">
        <v>347</v>
      </c>
      <c r="W39" s="15">
        <v>349</v>
      </c>
      <c r="X39" s="15">
        <v>350</v>
      </c>
      <c r="Y39" s="15">
        <v>352</v>
      </c>
      <c r="Z39" s="15">
        <v>354</v>
      </c>
      <c r="AA39" s="234">
        <v>355</v>
      </c>
    </row>
    <row r="40" spans="1:27" ht="14.1" customHeight="1">
      <c r="A40" s="215">
        <v>0.6</v>
      </c>
      <c r="B40" s="15">
        <v>290</v>
      </c>
      <c r="C40" s="15">
        <v>293</v>
      </c>
      <c r="D40" s="15">
        <v>296</v>
      </c>
      <c r="E40" s="15">
        <v>297</v>
      </c>
      <c r="F40" s="15">
        <v>299</v>
      </c>
      <c r="G40" s="15">
        <v>300</v>
      </c>
      <c r="H40" s="15">
        <v>301</v>
      </c>
      <c r="I40" s="15">
        <v>303</v>
      </c>
      <c r="J40" s="15">
        <v>304</v>
      </c>
      <c r="K40" s="15">
        <v>306</v>
      </c>
      <c r="L40" s="15">
        <v>308</v>
      </c>
      <c r="M40" s="234">
        <v>310</v>
      </c>
      <c r="N40" s="215">
        <v>0.6</v>
      </c>
      <c r="O40" s="15">
        <v>346</v>
      </c>
      <c r="P40" s="15">
        <v>348</v>
      </c>
      <c r="Q40" s="15">
        <v>349</v>
      </c>
      <c r="R40" s="15">
        <v>350</v>
      </c>
      <c r="S40" s="15">
        <v>352</v>
      </c>
      <c r="T40" s="15">
        <v>353</v>
      </c>
      <c r="U40" s="15">
        <v>355</v>
      </c>
      <c r="V40" s="15">
        <v>356</v>
      </c>
      <c r="W40" s="15">
        <v>358</v>
      </c>
      <c r="X40" s="15">
        <v>359</v>
      </c>
      <c r="Y40" s="15">
        <v>361</v>
      </c>
      <c r="Z40" s="15">
        <v>363</v>
      </c>
      <c r="AA40" s="234">
        <v>364</v>
      </c>
    </row>
    <row r="41" spans="1:27" ht="14.1" customHeight="1">
      <c r="A41" s="215">
        <v>0.625</v>
      </c>
      <c r="B41" s="15">
        <v>301</v>
      </c>
      <c r="C41" s="15">
        <v>304</v>
      </c>
      <c r="D41" s="15">
        <v>306</v>
      </c>
      <c r="E41" s="15">
        <v>308</v>
      </c>
      <c r="F41" s="15">
        <v>309</v>
      </c>
      <c r="G41" s="15">
        <v>310</v>
      </c>
      <c r="H41" s="15">
        <v>312</v>
      </c>
      <c r="I41" s="15">
        <v>313</v>
      </c>
      <c r="J41" s="15">
        <v>315</v>
      </c>
      <c r="K41" s="15">
        <v>316</v>
      </c>
      <c r="L41" s="15">
        <v>318</v>
      </c>
      <c r="M41" s="234">
        <v>320</v>
      </c>
      <c r="N41" s="215">
        <v>0.625</v>
      </c>
      <c r="O41" s="15">
        <v>356</v>
      </c>
      <c r="P41" s="15">
        <v>357</v>
      </c>
      <c r="Q41" s="15">
        <v>358</v>
      </c>
      <c r="R41" s="15">
        <v>360</v>
      </c>
      <c r="S41" s="15">
        <v>361</v>
      </c>
      <c r="T41" s="15">
        <v>362</v>
      </c>
      <c r="U41" s="15">
        <v>364</v>
      </c>
      <c r="V41" s="15">
        <v>365</v>
      </c>
      <c r="W41" s="15">
        <v>367</v>
      </c>
      <c r="X41" s="15">
        <v>368</v>
      </c>
      <c r="Y41" s="15">
        <v>370</v>
      </c>
      <c r="Z41" s="15">
        <v>372</v>
      </c>
      <c r="AA41" s="234">
        <v>373</v>
      </c>
    </row>
    <row r="42" spans="1:27" ht="14.1" customHeight="1">
      <c r="A42" s="215">
        <v>0.65</v>
      </c>
      <c r="B42" s="15">
        <v>312</v>
      </c>
      <c r="C42" s="15">
        <v>314</v>
      </c>
      <c r="D42" s="15">
        <v>317</v>
      </c>
      <c r="E42" s="15">
        <v>318</v>
      </c>
      <c r="F42" s="15">
        <v>320</v>
      </c>
      <c r="G42" s="15">
        <v>321</v>
      </c>
      <c r="H42" s="15">
        <v>322</v>
      </c>
      <c r="I42" s="15">
        <v>323</v>
      </c>
      <c r="J42" s="15">
        <v>325</v>
      </c>
      <c r="K42" s="15">
        <v>326</v>
      </c>
      <c r="L42" s="15">
        <v>328</v>
      </c>
      <c r="M42" s="234">
        <v>330</v>
      </c>
      <c r="N42" s="215">
        <v>0.65</v>
      </c>
      <c r="O42" s="15">
        <v>365</v>
      </c>
      <c r="P42" s="15">
        <v>367</v>
      </c>
      <c r="Q42" s="15">
        <v>368</v>
      </c>
      <c r="R42" s="15">
        <v>369</v>
      </c>
      <c r="S42" s="15">
        <v>370</v>
      </c>
      <c r="T42" s="15">
        <v>372</v>
      </c>
      <c r="U42" s="15">
        <v>373</v>
      </c>
      <c r="V42" s="15">
        <v>375</v>
      </c>
      <c r="W42" s="15">
        <v>376</v>
      </c>
      <c r="X42" s="15">
        <v>378</v>
      </c>
      <c r="Y42" s="15">
        <v>379</v>
      </c>
      <c r="Z42" s="15">
        <v>381</v>
      </c>
      <c r="AA42" s="234">
        <v>382</v>
      </c>
    </row>
    <row r="43" spans="1:27" ht="14.1" customHeight="1">
      <c r="A43" s="215">
        <v>0.67500000000000004</v>
      </c>
      <c r="B43" s="15">
        <v>322</v>
      </c>
      <c r="C43" s="15">
        <v>325</v>
      </c>
      <c r="D43" s="15">
        <v>327</v>
      </c>
      <c r="E43" s="15">
        <v>328</v>
      </c>
      <c r="F43" s="15">
        <v>330</v>
      </c>
      <c r="G43" s="15">
        <v>331</v>
      </c>
      <c r="H43" s="15">
        <v>333</v>
      </c>
      <c r="I43" s="15">
        <v>333</v>
      </c>
      <c r="J43" s="15">
        <v>335</v>
      </c>
      <c r="K43" s="15">
        <v>336</v>
      </c>
      <c r="L43" s="15">
        <v>338</v>
      </c>
      <c r="M43" s="234">
        <v>340</v>
      </c>
      <c r="N43" s="215">
        <v>0.67500000000000004</v>
      </c>
      <c r="O43" s="15">
        <v>374</v>
      </c>
      <c r="P43" s="15">
        <v>376</v>
      </c>
      <c r="Q43" s="15">
        <v>377</v>
      </c>
      <c r="R43" s="15">
        <v>378</v>
      </c>
      <c r="S43" s="15">
        <v>379</v>
      </c>
      <c r="T43" s="15">
        <v>381</v>
      </c>
      <c r="U43" s="15">
        <v>382</v>
      </c>
      <c r="V43" s="15">
        <v>383</v>
      </c>
      <c r="W43" s="15">
        <v>385</v>
      </c>
      <c r="X43" s="15">
        <v>386</v>
      </c>
      <c r="Y43" s="15">
        <v>388</v>
      </c>
      <c r="Z43" s="15">
        <v>390</v>
      </c>
      <c r="AA43" s="234">
        <v>391</v>
      </c>
    </row>
    <row r="44" spans="1:27" ht="14.1" customHeight="1">
      <c r="A44" s="215">
        <v>0.7</v>
      </c>
      <c r="B44" s="15">
        <v>333</v>
      </c>
      <c r="C44" s="15">
        <v>335</v>
      </c>
      <c r="D44" s="15">
        <v>337</v>
      </c>
      <c r="E44" s="15">
        <v>339</v>
      </c>
      <c r="F44" s="15">
        <v>340</v>
      </c>
      <c r="G44" s="15">
        <v>341</v>
      </c>
      <c r="H44" s="15">
        <v>342</v>
      </c>
      <c r="I44" s="15">
        <v>343</v>
      </c>
      <c r="J44" s="15">
        <v>345</v>
      </c>
      <c r="K44" s="15">
        <v>346</v>
      </c>
      <c r="L44" s="15">
        <v>348</v>
      </c>
      <c r="M44" s="234">
        <v>350</v>
      </c>
      <c r="N44" s="215">
        <v>0.7</v>
      </c>
      <c r="O44" s="15">
        <v>384</v>
      </c>
      <c r="P44" s="15">
        <v>385</v>
      </c>
      <c r="Q44" s="15">
        <v>386</v>
      </c>
      <c r="R44" s="15">
        <v>387</v>
      </c>
      <c r="S44" s="15">
        <v>388</v>
      </c>
      <c r="T44" s="15">
        <v>390</v>
      </c>
      <c r="U44" s="15">
        <v>391</v>
      </c>
      <c r="V44" s="15">
        <v>392</v>
      </c>
      <c r="W44" s="15">
        <v>394</v>
      </c>
      <c r="X44" s="15">
        <v>395</v>
      </c>
      <c r="Y44" s="15">
        <v>397</v>
      </c>
      <c r="Z44" s="15">
        <v>398</v>
      </c>
      <c r="AA44" s="234">
        <v>400</v>
      </c>
    </row>
    <row r="45" spans="1:27" ht="14.1" customHeight="1">
      <c r="A45" s="215">
        <v>0.72499999999999998</v>
      </c>
      <c r="B45" s="15">
        <v>342</v>
      </c>
      <c r="C45" s="15">
        <v>345</v>
      </c>
      <c r="D45" s="15">
        <v>347</v>
      </c>
      <c r="E45" s="15">
        <v>348</v>
      </c>
      <c r="F45" s="15">
        <v>349</v>
      </c>
      <c r="G45" s="15">
        <v>351</v>
      </c>
      <c r="H45" s="15">
        <v>352</v>
      </c>
      <c r="I45" s="15">
        <v>353</v>
      </c>
      <c r="J45" s="15">
        <v>354</v>
      </c>
      <c r="K45" s="15">
        <v>356</v>
      </c>
      <c r="L45" s="15">
        <v>358</v>
      </c>
      <c r="M45" s="234">
        <v>360</v>
      </c>
      <c r="N45" s="215">
        <v>0.72499999999999998</v>
      </c>
      <c r="O45" s="15">
        <v>393</v>
      </c>
      <c r="P45" s="15">
        <v>394</v>
      </c>
      <c r="Q45" s="15">
        <v>395</v>
      </c>
      <c r="R45" s="15">
        <v>396</v>
      </c>
      <c r="S45" s="15">
        <v>397</v>
      </c>
      <c r="T45" s="15">
        <v>399</v>
      </c>
      <c r="U45" s="15">
        <v>400</v>
      </c>
      <c r="V45" s="15">
        <v>401</v>
      </c>
      <c r="W45" s="15">
        <v>403</v>
      </c>
      <c r="X45" s="15">
        <v>404</v>
      </c>
      <c r="Y45" s="15">
        <v>406</v>
      </c>
      <c r="Z45" s="15">
        <v>407</v>
      </c>
      <c r="AA45" s="234">
        <v>408</v>
      </c>
    </row>
    <row r="46" spans="1:27" ht="14.1" customHeight="1">
      <c r="A46" s="215">
        <v>0.75</v>
      </c>
      <c r="B46" s="15">
        <v>352</v>
      </c>
      <c r="C46" s="15">
        <v>355</v>
      </c>
      <c r="D46" s="15">
        <v>357</v>
      </c>
      <c r="E46" s="15">
        <v>358</v>
      </c>
      <c r="F46" s="15">
        <v>359</v>
      </c>
      <c r="G46" s="15">
        <v>360</v>
      </c>
      <c r="H46" s="15">
        <v>361</v>
      </c>
      <c r="I46" s="15">
        <v>363</v>
      </c>
      <c r="J46" s="15">
        <v>364</v>
      </c>
      <c r="K46" s="15">
        <v>366</v>
      </c>
      <c r="L46" s="15">
        <v>368</v>
      </c>
      <c r="M46" s="234">
        <v>369</v>
      </c>
      <c r="N46" s="215">
        <v>0.75</v>
      </c>
      <c r="O46" s="15">
        <v>402</v>
      </c>
      <c r="P46" s="15">
        <v>403</v>
      </c>
      <c r="Q46" s="15">
        <v>404</v>
      </c>
      <c r="R46" s="15">
        <v>405</v>
      </c>
      <c r="S46" s="15">
        <v>406</v>
      </c>
      <c r="T46" s="15">
        <v>407</v>
      </c>
      <c r="U46" s="15">
        <v>409</v>
      </c>
      <c r="V46" s="15">
        <v>410</v>
      </c>
      <c r="W46" s="15">
        <v>411</v>
      </c>
      <c r="X46" s="15">
        <v>413</v>
      </c>
      <c r="Y46" s="15">
        <v>414</v>
      </c>
      <c r="Z46" s="15">
        <v>416</v>
      </c>
      <c r="AA46" s="234">
        <v>417</v>
      </c>
    </row>
    <row r="47" spans="1:27" ht="14.1" customHeight="1">
      <c r="A47" s="215">
        <v>0.77500000000000002</v>
      </c>
      <c r="B47" s="15">
        <v>361</v>
      </c>
      <c r="C47" s="15">
        <v>365</v>
      </c>
      <c r="D47" s="15">
        <v>367</v>
      </c>
      <c r="E47" s="15">
        <v>368</v>
      </c>
      <c r="F47" s="15">
        <v>369</v>
      </c>
      <c r="G47" s="15">
        <v>370</v>
      </c>
      <c r="H47" s="15">
        <v>371</v>
      </c>
      <c r="I47" s="15">
        <v>372</v>
      </c>
      <c r="J47" s="15">
        <v>374</v>
      </c>
      <c r="K47" s="15">
        <v>375</v>
      </c>
      <c r="L47" s="15">
        <v>377</v>
      </c>
      <c r="M47" s="234">
        <v>379</v>
      </c>
      <c r="N47" s="215">
        <v>0.77500000000000002</v>
      </c>
      <c r="O47" s="15">
        <v>410</v>
      </c>
      <c r="P47" s="15">
        <v>411</v>
      </c>
      <c r="Q47" s="15">
        <v>412</v>
      </c>
      <c r="R47" s="15">
        <v>413</v>
      </c>
      <c r="S47" s="15">
        <v>415</v>
      </c>
      <c r="T47" s="15">
        <v>416</v>
      </c>
      <c r="U47" s="15">
        <v>417</v>
      </c>
      <c r="V47" s="15">
        <v>418</v>
      </c>
      <c r="W47" s="15">
        <v>420</v>
      </c>
      <c r="X47" s="15">
        <v>421</v>
      </c>
      <c r="Y47" s="15">
        <v>423</v>
      </c>
      <c r="Z47" s="15">
        <v>424</v>
      </c>
      <c r="AA47" s="234">
        <v>425</v>
      </c>
    </row>
    <row r="48" spans="1:27" ht="14.1" customHeight="1" thickBot="1">
      <c r="A48" s="216">
        <v>0.8</v>
      </c>
      <c r="B48" s="217">
        <v>369</v>
      </c>
      <c r="C48" s="217">
        <v>374</v>
      </c>
      <c r="D48" s="217">
        <v>376</v>
      </c>
      <c r="E48" s="217">
        <v>377</v>
      </c>
      <c r="F48" s="217">
        <v>378</v>
      </c>
      <c r="G48" s="217">
        <v>379</v>
      </c>
      <c r="H48" s="217">
        <v>380</v>
      </c>
      <c r="I48" s="217">
        <v>382</v>
      </c>
      <c r="J48" s="217">
        <v>383</v>
      </c>
      <c r="K48" s="217">
        <v>385</v>
      </c>
      <c r="L48" s="217">
        <v>387</v>
      </c>
      <c r="M48" s="186">
        <v>389</v>
      </c>
      <c r="N48" s="216">
        <v>0.8</v>
      </c>
      <c r="O48" s="217">
        <v>419</v>
      </c>
      <c r="P48" s="217">
        <v>420</v>
      </c>
      <c r="Q48" s="217">
        <v>421</v>
      </c>
      <c r="R48" s="217">
        <v>422</v>
      </c>
      <c r="S48" s="217">
        <v>423</v>
      </c>
      <c r="T48" s="217">
        <v>424</v>
      </c>
      <c r="U48" s="217">
        <v>425</v>
      </c>
      <c r="V48" s="217">
        <v>427</v>
      </c>
      <c r="W48" s="217">
        <v>428</v>
      </c>
      <c r="X48" s="217">
        <v>429</v>
      </c>
      <c r="Y48" s="217">
        <v>431</v>
      </c>
      <c r="Z48" s="217">
        <v>432</v>
      </c>
      <c r="AA48" s="186">
        <v>434</v>
      </c>
    </row>
    <row r="50" spans="1:19" ht="14.1" customHeight="1">
      <c r="A50" s="80" t="s">
        <v>449</v>
      </c>
    </row>
    <row r="51" spans="1:19" ht="14.1" customHeight="1">
      <c r="B51" s="780" t="s">
        <v>450</v>
      </c>
      <c r="C51" s="780" t="s">
        <v>451</v>
      </c>
      <c r="D51" s="781" t="s">
        <v>452</v>
      </c>
      <c r="E51" s="781"/>
      <c r="F51" s="781"/>
      <c r="G51" s="781"/>
      <c r="H51" s="781"/>
      <c r="I51" s="781"/>
      <c r="J51" s="781"/>
      <c r="K51" s="781"/>
    </row>
    <row r="52" spans="1:19" ht="14.1" customHeight="1">
      <c r="B52" s="780"/>
      <c r="C52" s="780"/>
      <c r="D52" s="246">
        <v>0.25</v>
      </c>
      <c r="E52" s="246">
        <v>0.3</v>
      </c>
      <c r="F52" s="246">
        <v>0.35</v>
      </c>
      <c r="G52" s="246">
        <v>0.4</v>
      </c>
      <c r="H52" s="246">
        <v>0.45</v>
      </c>
      <c r="I52" s="246">
        <v>0.5</v>
      </c>
      <c r="J52" s="246">
        <v>0.55000000000000004</v>
      </c>
      <c r="K52" s="246">
        <v>0.6</v>
      </c>
      <c r="L52" s="25" t="s">
        <v>453</v>
      </c>
      <c r="M52" s="25" t="s">
        <v>454</v>
      </c>
    </row>
    <row r="53" spans="1:19" ht="14.1" customHeight="1">
      <c r="A53" s="113" t="s">
        <v>455</v>
      </c>
      <c r="B53" s="15">
        <v>45</v>
      </c>
      <c r="C53" s="15">
        <v>53</v>
      </c>
      <c r="D53" s="15">
        <v>0.13</v>
      </c>
      <c r="E53" s="15">
        <v>0.155</v>
      </c>
      <c r="F53" s="15">
        <v>0.17699999999999999</v>
      </c>
      <c r="G53" s="15">
        <v>0.19800000000000001</v>
      </c>
      <c r="H53" s="15">
        <v>0.22</v>
      </c>
      <c r="I53" s="15">
        <v>0.245</v>
      </c>
      <c r="J53" s="15">
        <v>0.27200000000000002</v>
      </c>
      <c r="K53" s="15">
        <v>0.29499999999999998</v>
      </c>
      <c r="L53" s="329">
        <f>SLOPE(D53:K53,$D$52:$K$52)</f>
        <v>0.46809523809523801</v>
      </c>
      <c r="M53" s="329">
        <f>INTERCEPT(D53:K53,$D$52:$K$52)</f>
        <v>1.2559523809523854E-2</v>
      </c>
    </row>
    <row r="54" spans="1:19" ht="14.1" customHeight="1">
      <c r="A54" s="113" t="s">
        <v>456</v>
      </c>
      <c r="B54" s="15">
        <v>45</v>
      </c>
      <c r="C54" s="15">
        <v>53</v>
      </c>
      <c r="D54" s="15"/>
      <c r="E54" s="15">
        <v>1.109</v>
      </c>
      <c r="F54" s="15">
        <v>1.105</v>
      </c>
      <c r="G54" s="15">
        <v>1.1020000000000001</v>
      </c>
      <c r="H54" s="15">
        <v>1.099</v>
      </c>
      <c r="I54" s="15">
        <v>1.0960000000000001</v>
      </c>
      <c r="J54" s="15">
        <v>1.091</v>
      </c>
      <c r="K54" s="15">
        <v>1.0880000000000001</v>
      </c>
      <c r="L54" s="329">
        <f>SLOPE(D54:K54,$D$52:$K$52)</f>
        <v>-6.928571428571409E-2</v>
      </c>
      <c r="M54" s="329">
        <f>INTERCEPT(D54:K54,$D$52:$K$52)</f>
        <v>1.1297499999999998</v>
      </c>
    </row>
    <row r="55" spans="1:19" ht="14.1" customHeight="1">
      <c r="A55" s="113" t="s">
        <v>455</v>
      </c>
      <c r="B55" s="15">
        <v>50</v>
      </c>
      <c r="C55" s="15">
        <v>60</v>
      </c>
      <c r="D55" s="15">
        <v>0.112</v>
      </c>
      <c r="E55" s="15">
        <v>0.13500000000000001</v>
      </c>
      <c r="F55" s="15">
        <v>0.154</v>
      </c>
      <c r="G55" s="15">
        <v>0.17199999999999999</v>
      </c>
      <c r="H55" s="15">
        <v>0.192</v>
      </c>
      <c r="I55" s="15">
        <v>0.214</v>
      </c>
      <c r="J55" s="15">
        <v>0.23599999999999999</v>
      </c>
      <c r="K55" s="15">
        <v>0.26100000000000001</v>
      </c>
      <c r="L55" s="329">
        <f>SLOPE(D55:K55,$D$52:$K$52)</f>
        <v>0.41619047619047611</v>
      </c>
      <c r="M55" s="329">
        <f>INTERCEPT(D55:K55,$D$52:$K$52)</f>
        <v>7.6190476190476641E-3</v>
      </c>
    </row>
    <row r="56" spans="1:19" ht="14.1" customHeight="1">
      <c r="A56" s="113" t="s">
        <v>456</v>
      </c>
      <c r="B56" s="15">
        <v>50</v>
      </c>
      <c r="C56" s="15">
        <v>60</v>
      </c>
      <c r="D56" s="15"/>
      <c r="E56" s="17">
        <v>1.1639999999999999</v>
      </c>
      <c r="F56" s="17">
        <v>1.1599999999999999</v>
      </c>
      <c r="G56" s="17">
        <v>1.151</v>
      </c>
      <c r="H56" s="17">
        <v>1.1499999999999999</v>
      </c>
      <c r="I56" s="17">
        <v>1.1439999999999999</v>
      </c>
      <c r="J56" s="17">
        <v>1.139</v>
      </c>
      <c r="K56" s="17">
        <v>1.1339999999999999</v>
      </c>
      <c r="L56" s="329">
        <f>SLOPE(D56:K56,$D$52:$K$52)</f>
        <v>-9.9285714285714269E-2</v>
      </c>
      <c r="M56" s="329">
        <f>INTERCEPT(D56:K56,$D$52:$K$52)</f>
        <v>1.1935357142857141</v>
      </c>
    </row>
    <row r="58" spans="1:19" ht="14.1" customHeight="1">
      <c r="B58" s="15" t="s">
        <v>237</v>
      </c>
      <c r="C58" s="15" t="s">
        <v>262</v>
      </c>
      <c r="D58" s="15" t="s">
        <v>238</v>
      </c>
    </row>
    <row r="59" spans="1:19" ht="14.1" customHeight="1">
      <c r="A59" s="113" t="s">
        <v>457</v>
      </c>
      <c r="B59" s="15">
        <v>1</v>
      </c>
      <c r="C59" s="15">
        <v>1.0169999999999999</v>
      </c>
      <c r="D59" s="15">
        <v>1.042</v>
      </c>
    </row>
    <row r="61" spans="1:19" ht="14.1" customHeight="1">
      <c r="A61" s="80" t="s">
        <v>458</v>
      </c>
      <c r="C61" s="25" t="s">
        <v>459</v>
      </c>
      <c r="N61" s="154"/>
      <c r="O61" s="73"/>
      <c r="P61" s="73"/>
      <c r="Q61" s="73"/>
      <c r="R61" s="73"/>
      <c r="S61" s="73"/>
    </row>
    <row r="62" spans="1:19" ht="14.1" customHeight="1">
      <c r="A62" s="58" t="s">
        <v>71</v>
      </c>
      <c r="B62" s="13" t="s">
        <v>269</v>
      </c>
      <c r="C62" s="13" t="s">
        <v>460</v>
      </c>
      <c r="D62" s="13" t="s">
        <v>338</v>
      </c>
      <c r="E62" s="58" t="s">
        <v>71</v>
      </c>
      <c r="F62" s="13" t="s">
        <v>269</v>
      </c>
      <c r="G62" s="13" t="s">
        <v>460</v>
      </c>
      <c r="H62" s="13" t="s">
        <v>338</v>
      </c>
      <c r="I62" s="58" t="s">
        <v>71</v>
      </c>
      <c r="J62" s="13" t="s">
        <v>269</v>
      </c>
      <c r="K62" s="13" t="s">
        <v>460</v>
      </c>
      <c r="L62" s="13" t="s">
        <v>338</v>
      </c>
      <c r="O62" s="761"/>
      <c r="P62" s="761"/>
      <c r="Q62" s="761"/>
      <c r="R62" s="761"/>
      <c r="S62" s="761"/>
    </row>
    <row r="63" spans="1:19" ht="14.1" customHeight="1">
      <c r="A63" s="13" t="str">
        <f>Sheet1!P284</f>
        <v>Mo/Mo</v>
      </c>
      <c r="B63" s="13">
        <f>Sheet1!Q284</f>
        <v>24</v>
      </c>
      <c r="C63" s="13">
        <f t="shared" ref="C63:C68" si="0">B63^2</f>
        <v>576</v>
      </c>
      <c r="D63" s="329" t="str">
        <f>Sheet1!V284</f>
        <v/>
      </c>
      <c r="E63" s="13" t="str">
        <f>Sheet1!P290</f>
        <v>Mo/Rh</v>
      </c>
      <c r="F63" s="13">
        <f>Sheet1!Q290</f>
        <v>26</v>
      </c>
      <c r="G63" s="13">
        <f t="shared" ref="G63:G67" si="1">F63^2</f>
        <v>676</v>
      </c>
      <c r="H63" s="329" t="str">
        <f>Sheet1!V290</f>
        <v/>
      </c>
      <c r="I63" s="330" t="str">
        <f>Sheet1!P295</f>
        <v>W/Rh</v>
      </c>
      <c r="J63" s="13">
        <f>Sheet1!Q295</f>
        <v>26</v>
      </c>
      <c r="K63" s="13">
        <f t="shared" ref="K63:K67" si="2">J63^2</f>
        <v>676</v>
      </c>
      <c r="L63" s="328" t="str">
        <f>Sheet1!V295</f>
        <v/>
      </c>
      <c r="O63" s="115"/>
      <c r="P63" s="115"/>
      <c r="Q63" s="115"/>
      <c r="R63" s="115"/>
      <c r="S63" s="115"/>
    </row>
    <row r="64" spans="1:19" ht="14.1" customHeight="1">
      <c r="A64" s="58"/>
      <c r="B64" s="13">
        <f>Sheet1!Q285</f>
        <v>26</v>
      </c>
      <c r="C64" s="13">
        <f t="shared" si="0"/>
        <v>676</v>
      </c>
      <c r="D64" s="329" t="str">
        <f>Sheet1!V285</f>
        <v/>
      </c>
      <c r="E64" s="58"/>
      <c r="F64" s="13">
        <f>Sheet1!Q291</f>
        <v>28</v>
      </c>
      <c r="G64" s="13">
        <f t="shared" si="1"/>
        <v>784</v>
      </c>
      <c r="H64" s="329" t="str">
        <f>Sheet1!V291</f>
        <v/>
      </c>
      <c r="I64" s="330"/>
      <c r="J64" s="13">
        <f>Sheet1!Q296</f>
        <v>28</v>
      </c>
      <c r="K64" s="13">
        <f t="shared" si="2"/>
        <v>784</v>
      </c>
      <c r="L64" s="328" t="str">
        <f>Sheet1!V296</f>
        <v/>
      </c>
      <c r="O64" s="287"/>
      <c r="P64" s="287"/>
      <c r="Q64" s="287"/>
      <c r="R64" s="287"/>
      <c r="S64" s="287"/>
    </row>
    <row r="65" spans="1:19" ht="14.1" customHeight="1">
      <c r="A65" s="13"/>
      <c r="B65" s="13">
        <f>Sheet1!Q286</f>
        <v>28</v>
      </c>
      <c r="C65" s="13">
        <f t="shared" si="0"/>
        <v>784</v>
      </c>
      <c r="D65" s="329" t="str">
        <f>Sheet1!V286</f>
        <v/>
      </c>
      <c r="E65" s="13"/>
      <c r="F65" s="13">
        <f>Sheet1!Q292</f>
        <v>30</v>
      </c>
      <c r="G65" s="13">
        <f t="shared" si="1"/>
        <v>900</v>
      </c>
      <c r="H65" s="329" t="str">
        <f>Sheet1!V292</f>
        <v/>
      </c>
      <c r="I65" s="330"/>
      <c r="J65" s="13">
        <f>Sheet1!Q297</f>
        <v>30</v>
      </c>
      <c r="K65" s="13">
        <f t="shared" si="2"/>
        <v>900</v>
      </c>
      <c r="L65" s="328" t="str">
        <f>Sheet1!V297</f>
        <v/>
      </c>
      <c r="O65" s="287"/>
      <c r="P65" s="287"/>
      <c r="Q65" s="287"/>
      <c r="R65" s="287"/>
      <c r="S65" s="287"/>
    </row>
    <row r="66" spans="1:19" ht="14.1" customHeight="1">
      <c r="A66" s="13"/>
      <c r="B66" s="13">
        <f>Sheet1!Q287</f>
        <v>30</v>
      </c>
      <c r="C66" s="13">
        <f t="shared" si="0"/>
        <v>900</v>
      </c>
      <c r="D66" s="329" t="str">
        <f>Sheet1!V287</f>
        <v/>
      </c>
      <c r="E66" s="13"/>
      <c r="F66" s="13">
        <f>Sheet1!Q293</f>
        <v>32</v>
      </c>
      <c r="G66" s="13">
        <f t="shared" si="1"/>
        <v>1024</v>
      </c>
      <c r="H66" s="329" t="str">
        <f>Sheet1!V293</f>
        <v/>
      </c>
      <c r="I66" s="330"/>
      <c r="J66" s="13">
        <f>Sheet1!Q298</f>
        <v>32</v>
      </c>
      <c r="K66" s="13">
        <f t="shared" si="2"/>
        <v>1024</v>
      </c>
      <c r="L66" s="328" t="str">
        <f>Sheet1!V298</f>
        <v/>
      </c>
      <c r="O66" s="287"/>
      <c r="P66" s="287"/>
      <c r="Q66" s="287"/>
      <c r="R66" s="287"/>
      <c r="S66" s="287"/>
    </row>
    <row r="67" spans="1:19" ht="14.1" customHeight="1">
      <c r="A67" s="13"/>
      <c r="B67" s="13">
        <f>Sheet1!Q288</f>
        <v>32</v>
      </c>
      <c r="C67" s="13">
        <f t="shared" si="0"/>
        <v>1024</v>
      </c>
      <c r="D67" s="329" t="str">
        <f>Sheet1!V288</f>
        <v/>
      </c>
      <c r="E67" s="13"/>
      <c r="F67" s="13">
        <f>Sheet1!Q294</f>
        <v>34</v>
      </c>
      <c r="G67" s="13">
        <f t="shared" si="1"/>
        <v>1156</v>
      </c>
      <c r="H67" s="329" t="str">
        <f>Sheet1!V294</f>
        <v/>
      </c>
      <c r="I67" s="330"/>
      <c r="J67" s="13">
        <f>Sheet1!Q299</f>
        <v>34</v>
      </c>
      <c r="K67" s="13">
        <f t="shared" si="2"/>
        <v>1156</v>
      </c>
      <c r="L67" s="328" t="str">
        <f>Sheet1!V299</f>
        <v/>
      </c>
      <c r="O67" s="287"/>
      <c r="P67" s="287"/>
      <c r="Q67" s="287"/>
      <c r="R67" s="287"/>
      <c r="S67" s="287"/>
    </row>
    <row r="68" spans="1:19" ht="14.1" customHeight="1">
      <c r="A68" s="13"/>
      <c r="B68" s="13">
        <f>Sheet1!Q289</f>
        <v>34</v>
      </c>
      <c r="C68" s="13">
        <f t="shared" si="0"/>
        <v>1156</v>
      </c>
      <c r="D68" s="329" t="str">
        <f>Sheet1!V289</f>
        <v/>
      </c>
      <c r="E68" s="13"/>
      <c r="F68" s="13"/>
      <c r="G68" s="13"/>
      <c r="I68" s="288"/>
      <c r="L68" s="73"/>
      <c r="O68" s="287"/>
      <c r="P68" s="287"/>
      <c r="Q68" s="287"/>
      <c r="R68" s="287"/>
      <c r="S68" s="287"/>
    </row>
    <row r="69" spans="1:19" ht="14.1" customHeight="1">
      <c r="A69" s="13"/>
      <c r="B69" s="13"/>
      <c r="O69" s="287"/>
      <c r="P69" s="287"/>
      <c r="Q69" s="287"/>
      <c r="R69" s="287"/>
      <c r="S69" s="287"/>
    </row>
    <row r="70" spans="1:19" ht="14.1" customHeight="1">
      <c r="C70" s="13"/>
      <c r="D70" s="13" t="str">
        <f>A63</f>
        <v>Mo/Mo</v>
      </c>
      <c r="E70" s="13" t="str">
        <f>E63</f>
        <v>Mo/Rh</v>
      </c>
      <c r="F70" s="330" t="str">
        <f>I63</f>
        <v>W/Rh</v>
      </c>
      <c r="G70" s="39"/>
      <c r="K70" s="39"/>
      <c r="O70" s="287"/>
      <c r="P70" s="287"/>
      <c r="Q70" s="287"/>
      <c r="R70" s="287"/>
      <c r="S70" s="287"/>
    </row>
    <row r="71" spans="1:19" ht="14.1" customHeight="1">
      <c r="C71" s="39" t="s">
        <v>463</v>
      </c>
      <c r="D71" s="25" t="e">
        <f>SLOPE(D63:D70,$C$63:$C$70)</f>
        <v>#DIV/0!</v>
      </c>
      <c r="E71" s="25" t="e">
        <f>SLOPE(H63:H68,$G$63:$G$68)</f>
        <v>#DIV/0!</v>
      </c>
      <c r="F71" s="25" t="e">
        <f>SLOPE(L63:L68,$G$63:$G$68)</f>
        <v>#DIV/0!</v>
      </c>
      <c r="G71" s="39"/>
      <c r="K71" s="39"/>
      <c r="N71" s="73"/>
      <c r="O71" s="287"/>
      <c r="P71" s="287"/>
      <c r="Q71" s="287"/>
      <c r="R71" s="287"/>
      <c r="S71" s="287"/>
    </row>
    <row r="72" spans="1:19" ht="14.1" customHeight="1">
      <c r="C72" s="39" t="s">
        <v>464</v>
      </c>
      <c r="D72" s="25" t="e">
        <f>INTERCEPT(D63:D70,$C$63:$C$70)</f>
        <v>#DIV/0!</v>
      </c>
      <c r="E72" s="25" t="e">
        <f>INTERCEPT(H63:H68,$G$63:$G$68)</f>
        <v>#DIV/0!</v>
      </c>
      <c r="F72" s="25" t="e">
        <f>INTERCEPT(L63:L68,$G$63:$G$68)</f>
        <v>#DIV/0!</v>
      </c>
      <c r="N72" s="73"/>
      <c r="O72" s="287"/>
      <c r="P72" s="287"/>
      <c r="Q72" s="287"/>
      <c r="R72" s="287"/>
      <c r="S72" s="287"/>
    </row>
    <row r="73" spans="1:19" ht="14.1" customHeight="1">
      <c r="A73" s="80" t="s">
        <v>355</v>
      </c>
      <c r="C73" s="39" t="s">
        <v>563</v>
      </c>
      <c r="D73" s="25" t="e">
        <f>RSQ(D63:D68,C63:C68)</f>
        <v>#DIV/0!</v>
      </c>
      <c r="E73" s="25" t="e">
        <f>RSQ(H63:H67,G63:G67)</f>
        <v>#DIV/0!</v>
      </c>
      <c r="F73" s="25" t="e">
        <f>RSQ(L63:L67,K63:K67)</f>
        <v>#DIV/0!</v>
      </c>
      <c r="N73" s="73"/>
      <c r="O73" s="287"/>
      <c r="P73" s="287"/>
      <c r="Q73" s="287"/>
      <c r="R73" s="287"/>
      <c r="S73" s="287"/>
    </row>
    <row r="74" spans="1:19" ht="14.1" customHeight="1">
      <c r="A74" s="58" t="s">
        <v>71</v>
      </c>
      <c r="B74" s="13" t="s">
        <v>269</v>
      </c>
      <c r="C74" s="13" t="s">
        <v>358</v>
      </c>
      <c r="D74" s="58" t="s">
        <v>71</v>
      </c>
      <c r="E74" s="13" t="s">
        <v>269</v>
      </c>
      <c r="F74" s="13" t="s">
        <v>358</v>
      </c>
      <c r="G74" s="58" t="s">
        <v>71</v>
      </c>
      <c r="H74" s="13" t="s">
        <v>269</v>
      </c>
      <c r="I74" s="13" t="s">
        <v>358</v>
      </c>
      <c r="K74" s="297" t="s">
        <v>23</v>
      </c>
      <c r="L74" s="297" t="s">
        <v>24</v>
      </c>
      <c r="M74" s="297" t="s">
        <v>465</v>
      </c>
      <c r="O74" s="287"/>
      <c r="P74" s="287"/>
      <c r="Q74" s="287"/>
      <c r="R74" s="287"/>
      <c r="S74" s="287"/>
    </row>
    <row r="75" spans="1:19" ht="14.1" customHeight="1">
      <c r="A75" s="13" t="str">
        <f>Sheet1!Q331</f>
        <v>Mo/Mo</v>
      </c>
      <c r="B75" s="13">
        <f>Sheet1!Q332</f>
        <v>28</v>
      </c>
      <c r="C75" s="288" t="str">
        <f>Sheet1!Q341</f>
        <v/>
      </c>
      <c r="D75" s="13" t="str">
        <f>Sheet1!S331</f>
        <v>Mo/Rh</v>
      </c>
      <c r="E75" s="13">
        <f>Sheet1!S332</f>
        <v>28</v>
      </c>
      <c r="F75" s="288" t="str">
        <f>Sheet1!S341</f>
        <v/>
      </c>
      <c r="G75" s="13" t="str">
        <f>Sheet1!U331</f>
        <v>W/Rh</v>
      </c>
      <c r="H75" s="13">
        <f>Sheet1!U332</f>
        <v>28</v>
      </c>
      <c r="I75" s="288" t="str">
        <f>Sheet1!U341</f>
        <v/>
      </c>
      <c r="K75" s="297" t="s">
        <v>32</v>
      </c>
      <c r="L75" s="297" t="s">
        <v>32</v>
      </c>
      <c r="M75" s="297">
        <v>0.12</v>
      </c>
      <c r="O75" s="287"/>
      <c r="P75" s="287"/>
      <c r="Q75" s="287"/>
      <c r="R75" s="287"/>
      <c r="S75" s="287"/>
    </row>
    <row r="76" spans="1:19" ht="14.1" customHeight="1">
      <c r="A76" s="58"/>
      <c r="B76" s="13">
        <f>Sheet1!R332</f>
        <v>32</v>
      </c>
      <c r="C76" s="288" t="str">
        <f>Sheet1!R341</f>
        <v/>
      </c>
      <c r="D76" s="58"/>
      <c r="E76" s="13">
        <f>Sheet1!T332</f>
        <v>32</v>
      </c>
      <c r="F76" s="288" t="str">
        <f>Sheet1!T341</f>
        <v/>
      </c>
      <c r="H76" s="13">
        <f>Sheet1!V332</f>
        <v>32</v>
      </c>
      <c r="I76" s="288" t="str">
        <f>Sheet1!V341</f>
        <v/>
      </c>
      <c r="K76" s="297" t="s">
        <v>32</v>
      </c>
      <c r="L76" s="297" t="s">
        <v>55</v>
      </c>
      <c r="M76" s="297">
        <v>0.19</v>
      </c>
      <c r="O76" s="287"/>
      <c r="P76" s="287"/>
      <c r="Q76" s="287"/>
      <c r="R76" s="287"/>
      <c r="S76" s="287"/>
    </row>
    <row r="77" spans="1:19" ht="14.1" customHeight="1">
      <c r="A77" s="13"/>
      <c r="B77" s="13"/>
      <c r="D77" s="13"/>
      <c r="E77" s="13"/>
      <c r="K77" s="297" t="s">
        <v>55</v>
      </c>
      <c r="L77" s="297" t="s">
        <v>55</v>
      </c>
      <c r="M77" s="297">
        <v>0.22</v>
      </c>
      <c r="O77" s="287"/>
      <c r="P77" s="287"/>
      <c r="Q77" s="287"/>
      <c r="R77" s="287"/>
      <c r="S77" s="287"/>
    </row>
    <row r="78" spans="1:19" ht="14.1" customHeight="1">
      <c r="D78" s="13" t="str">
        <f>A75</f>
        <v>Mo/Mo</v>
      </c>
      <c r="E78" s="13" t="str">
        <f>D75</f>
        <v>Mo/Rh</v>
      </c>
      <c r="F78" s="13" t="str">
        <f>G75</f>
        <v>W/Rh</v>
      </c>
      <c r="H78" s="39"/>
      <c r="K78" s="335" t="s">
        <v>466</v>
      </c>
      <c r="L78" s="335" t="s">
        <v>467</v>
      </c>
      <c r="M78" s="335"/>
      <c r="O78" s="287"/>
      <c r="P78" s="287"/>
      <c r="Q78" s="287"/>
      <c r="R78" s="287"/>
      <c r="S78" s="287"/>
    </row>
    <row r="79" spans="1:19" ht="14.1" customHeight="1">
      <c r="C79" s="39" t="s">
        <v>463</v>
      </c>
      <c r="D79" s="13" t="e">
        <f>SLOPE(C75:C76,B75:B76)</f>
        <v>#DIV/0!</v>
      </c>
      <c r="E79" s="13" t="e">
        <f>SLOPE(F75:F76,E75:E76)</f>
        <v>#DIV/0!</v>
      </c>
      <c r="F79" s="13" t="e">
        <f>SLOPE(I75:I76,H75:H76)</f>
        <v>#DIV/0!</v>
      </c>
      <c r="H79" s="39"/>
      <c r="K79" s="335"/>
      <c r="L79" s="335" t="s">
        <v>468</v>
      </c>
      <c r="M79" s="335"/>
      <c r="O79" s="287"/>
      <c r="P79" s="287"/>
      <c r="Q79" s="287"/>
      <c r="R79" s="287"/>
      <c r="S79" s="287"/>
    </row>
    <row r="80" spans="1:19" ht="14.1" customHeight="1">
      <c r="C80" s="39" t="s">
        <v>464</v>
      </c>
      <c r="D80" s="13" t="e">
        <f>INTERCEPT(C75:C76,B75:B76)</f>
        <v>#DIV/0!</v>
      </c>
      <c r="E80" s="13" t="e">
        <f>INTERCEPT(F75:F76,E75:E76)</f>
        <v>#DIV/0!</v>
      </c>
      <c r="F80" s="13" t="e">
        <f>INTERCEPT(I75:I76,H75:H76)</f>
        <v>#DIV/0!</v>
      </c>
      <c r="K80" s="335"/>
      <c r="L80" s="335" t="s">
        <v>469</v>
      </c>
      <c r="M80" s="335"/>
      <c r="O80" s="287"/>
      <c r="P80" s="287"/>
      <c r="Q80" s="287"/>
      <c r="R80" s="287"/>
      <c r="S80" s="287"/>
    </row>
    <row r="81" spans="1:19" ht="14.1" customHeight="1">
      <c r="N81" s="73"/>
      <c r="O81" s="287"/>
      <c r="P81" s="287"/>
      <c r="Q81" s="287"/>
      <c r="R81" s="287"/>
      <c r="S81" s="287"/>
    </row>
    <row r="82" spans="1:19" ht="14.1" customHeight="1">
      <c r="A82" s="80" t="s">
        <v>470</v>
      </c>
      <c r="B82" s="25" t="e">
        <f>"DGN values (mrad/R) for "&amp;Sheet1!$T$265&amp;" kV and HVL="&amp;ROUND(Sheet1!$X$268,2)&amp;" mm Al"</f>
        <v>#DIV/0!</v>
      </c>
      <c r="N82" s="73"/>
      <c r="O82" s="287"/>
      <c r="P82" s="287"/>
      <c r="Q82" s="287"/>
      <c r="R82" s="287"/>
      <c r="S82" s="287"/>
    </row>
    <row r="83" spans="1:19" ht="14.1" customHeight="1">
      <c r="A83" s="298" t="s">
        <v>237</v>
      </c>
      <c r="B83" s="298" t="s">
        <v>262</v>
      </c>
      <c r="C83" s="298" t="s">
        <v>471</v>
      </c>
      <c r="D83" s="298" t="s">
        <v>449</v>
      </c>
      <c r="E83" s="298" t="s">
        <v>461</v>
      </c>
      <c r="F83" s="298" t="s">
        <v>238</v>
      </c>
      <c r="N83" s="73"/>
      <c r="O83" s="287"/>
      <c r="P83" s="287"/>
      <c r="Q83" s="287"/>
      <c r="R83" s="287"/>
      <c r="S83" s="287"/>
    </row>
    <row r="84" spans="1:19" ht="14.1" customHeight="1">
      <c r="A84" s="8" t="e">
        <f>IF(Sheet1!$X$268="","",VLOOKUP(Sheet1!X268,A3:J23,MATCH(Sheet1!T265,A3:J3,0)))</f>
        <v>#DIV/0!</v>
      </c>
      <c r="B84" s="8" t="e">
        <f>IF(Sheet1!$X$268="","",VLOOKUP(Sheet1!X268,K3:T23,MATCH(Sheet1!T265,K3:T3,0)))</f>
        <v>#DIV/0!</v>
      </c>
      <c r="C84" s="8" t="e">
        <f>IF(Sheet1!$X$268="","",VLOOKUP(Sheet1!X268,U3:AD23,MATCH(Sheet1!T265,U3:AD3,0)))</f>
        <v>#DIV/0!</v>
      </c>
      <c r="D84" s="329" t="e">
        <f>IF(OR(Sheet1!$X$269="",Sheet1!$X$268=""),"TBD",(L53*Sheet1!X268+M53)*(L54*Sheet1!X268+M54)*HLOOKUP(Sheet1!$Q$266,B58:D59,2))</f>
        <v>#DIV/0!</v>
      </c>
      <c r="E84" s="13" t="str">
        <f>IF(ISERR(Sheet1!$X$268),"TBD",VLOOKUP(Sheet1!X268,N27:AA48,MATCH(Sheet1!$T$265,N27:AA27,0)))</f>
        <v>TBD</v>
      </c>
      <c r="F84" s="13" t="str">
        <f>IF(ISERR(Sheet1!$X$268),"TBD",VLOOKUP(Sheet1!X268,A27:M48,MATCH(Sheet1!T265,A27:M27,0)))</f>
        <v>TBD</v>
      </c>
      <c r="N84" s="73"/>
      <c r="O84" s="287"/>
      <c r="P84" s="287"/>
      <c r="Q84" s="287"/>
      <c r="R84" s="287"/>
      <c r="S84" s="287"/>
    </row>
    <row r="85" spans="1:19" ht="14.1" customHeight="1">
      <c r="N85" s="73"/>
      <c r="O85" s="287"/>
      <c r="P85" s="287"/>
      <c r="Q85" s="287"/>
      <c r="R85" s="287"/>
      <c r="S85" s="287"/>
    </row>
    <row r="86" spans="1:19" ht="14.1" customHeight="1">
      <c r="A86" s="80" t="s">
        <v>472</v>
      </c>
      <c r="N86" s="73"/>
      <c r="O86" s="287"/>
      <c r="P86" s="287"/>
      <c r="Q86" s="287"/>
      <c r="R86" s="287"/>
      <c r="S86" s="287"/>
    </row>
    <row r="87" spans="1:19" ht="14.1" customHeight="1">
      <c r="B87" s="13" t="s">
        <v>269</v>
      </c>
      <c r="D87" s="15" t="s">
        <v>473</v>
      </c>
      <c r="E87" s="15" t="s">
        <v>474</v>
      </c>
      <c r="F87" s="15" t="s">
        <v>460</v>
      </c>
      <c r="G87" s="15" t="s">
        <v>475</v>
      </c>
      <c r="H87" s="15" t="s">
        <v>476</v>
      </c>
      <c r="I87" s="15" t="s">
        <v>477</v>
      </c>
      <c r="J87" s="15" t="s">
        <v>478</v>
      </c>
      <c r="N87" s="73"/>
      <c r="O87" s="287"/>
      <c r="P87" s="287"/>
      <c r="Q87" s="287"/>
      <c r="R87" s="287"/>
      <c r="S87" s="287"/>
    </row>
    <row r="88" spans="1:19" ht="14.1" customHeight="1">
      <c r="A88" s="25" t="s">
        <v>238</v>
      </c>
      <c r="B88" s="13" t="s">
        <v>479</v>
      </c>
      <c r="C88" s="15">
        <v>27.585999999999999</v>
      </c>
      <c r="D88" s="15">
        <v>-8375.0727645925508</v>
      </c>
      <c r="E88" s="15">
        <v>975.92543560432796</v>
      </c>
      <c r="F88" s="15">
        <v>-37.913729682039403</v>
      </c>
      <c r="G88" s="15">
        <v>0.49086583472609402</v>
      </c>
      <c r="H88" s="15">
        <v>0</v>
      </c>
      <c r="I88" s="15">
        <v>0</v>
      </c>
      <c r="J88" s="15">
        <v>0</v>
      </c>
      <c r="N88" s="73"/>
      <c r="O88" s="287"/>
      <c r="P88" s="287"/>
      <c r="Q88" s="287"/>
      <c r="R88" s="287"/>
      <c r="S88" s="287"/>
    </row>
    <row r="89" spans="1:19" ht="14.1" customHeight="1">
      <c r="B89" s="13" t="s">
        <v>480</v>
      </c>
      <c r="C89" s="15">
        <v>27.585999999999999</v>
      </c>
      <c r="D89" s="15">
        <v>-9984.6167916494396</v>
      </c>
      <c r="E89" s="15">
        <v>1436.52454571413</v>
      </c>
      <c r="F89" s="15">
        <v>-82.505102185254898</v>
      </c>
      <c r="G89" s="15">
        <v>2.36559081763837</v>
      </c>
      <c r="H89" s="15">
        <v>-3.38672433779705E-2</v>
      </c>
      <c r="I89" s="15">
        <v>1.93686920423126E-4</v>
      </c>
      <c r="J89" s="15">
        <v>0</v>
      </c>
      <c r="N89" s="73"/>
      <c r="O89" s="287"/>
      <c r="P89" s="287"/>
      <c r="Q89" s="287"/>
      <c r="R89" s="287"/>
      <c r="S89" s="287"/>
    </row>
    <row r="90" spans="1:19" ht="14.1" customHeight="1">
      <c r="C90" s="25" t="s">
        <v>481</v>
      </c>
      <c r="N90" s="73"/>
      <c r="O90" s="287"/>
      <c r="P90" s="287"/>
      <c r="Q90" s="287"/>
      <c r="R90" s="287"/>
      <c r="S90" s="287"/>
    </row>
    <row r="91" spans="1:19" ht="14.1" customHeight="1">
      <c r="C91" s="25" t="s">
        <v>482</v>
      </c>
      <c r="N91" s="73"/>
      <c r="O91" s="287"/>
      <c r="P91" s="287"/>
      <c r="Q91" s="287"/>
      <c r="R91" s="287"/>
      <c r="S91" s="287"/>
    </row>
    <row r="92" spans="1:19" ht="14.1" customHeight="1">
      <c r="B92" s="13" t="s">
        <v>269</v>
      </c>
      <c r="D92" s="15" t="s">
        <v>473</v>
      </c>
      <c r="E92" s="15" t="s">
        <v>474</v>
      </c>
      <c r="F92" s="15" t="s">
        <v>460</v>
      </c>
      <c r="G92" s="15" t="s">
        <v>475</v>
      </c>
      <c r="H92" s="15" t="s">
        <v>476</v>
      </c>
      <c r="I92" s="15" t="s">
        <v>477</v>
      </c>
      <c r="J92" s="15" t="s">
        <v>478</v>
      </c>
      <c r="N92" s="73"/>
      <c r="O92" s="287"/>
      <c r="P92" s="287"/>
      <c r="Q92" s="287"/>
      <c r="R92" s="287"/>
      <c r="S92" s="287"/>
    </row>
    <row r="93" spans="1:19" ht="14.1" customHeight="1">
      <c r="A93" s="25" t="s">
        <v>461</v>
      </c>
      <c r="B93" s="13" t="s">
        <v>479</v>
      </c>
      <c r="C93" s="15">
        <v>30.1</v>
      </c>
      <c r="D93" s="15">
        <v>-540847.69550077303</v>
      </c>
      <c r="E93" s="15">
        <v>100186.23364273099</v>
      </c>
      <c r="F93" s="15">
        <v>-7418.4790179812599</v>
      </c>
      <c r="G93" s="15">
        <v>274.47660929577501</v>
      </c>
      <c r="H93" s="15">
        <v>-5.07436954359087</v>
      </c>
      <c r="I93" s="15">
        <v>3.7500574787580898E-2</v>
      </c>
      <c r="J93" s="15">
        <v>0</v>
      </c>
      <c r="N93" s="73"/>
      <c r="O93" s="287"/>
      <c r="P93" s="287"/>
      <c r="Q93" s="287"/>
      <c r="R93" s="287"/>
      <c r="S93" s="287"/>
    </row>
    <row r="94" spans="1:19" ht="14.1" customHeight="1">
      <c r="B94" s="13" t="s">
        <v>480</v>
      </c>
      <c r="C94" s="15">
        <v>30.1</v>
      </c>
      <c r="D94" s="15">
        <v>-11057.773936199201</v>
      </c>
      <c r="E94" s="15">
        <v>1297.2285673766901</v>
      </c>
      <c r="F94" s="15">
        <v>-56.989188989725697</v>
      </c>
      <c r="G94" s="15">
        <v>1.1115828564217201</v>
      </c>
      <c r="H94" s="15">
        <v>-8.1233997365129599E-3</v>
      </c>
      <c r="I94" s="15">
        <v>0</v>
      </c>
      <c r="J94" s="15">
        <v>0</v>
      </c>
      <c r="N94" s="73"/>
      <c r="O94" s="287"/>
      <c r="P94" s="287"/>
      <c r="Q94" s="287"/>
      <c r="R94" s="287"/>
      <c r="S94" s="287"/>
    </row>
    <row r="95" spans="1:19" ht="14.1" customHeight="1">
      <c r="C95" s="25" t="s">
        <v>483</v>
      </c>
      <c r="N95" s="73"/>
      <c r="O95" s="287"/>
      <c r="P95" s="287"/>
      <c r="Q95" s="287"/>
      <c r="R95" s="287"/>
      <c r="S95" s="287"/>
    </row>
    <row r="96" spans="1:19" ht="14.1" customHeight="1">
      <c r="C96" s="25" t="s">
        <v>484</v>
      </c>
      <c r="N96" s="73"/>
      <c r="O96" s="287"/>
      <c r="P96" s="287"/>
      <c r="Q96" s="287"/>
      <c r="R96" s="287"/>
      <c r="S96" s="287"/>
    </row>
    <row r="97" spans="1:19" ht="14.1" customHeight="1">
      <c r="N97" s="73"/>
      <c r="O97" s="287"/>
      <c r="P97" s="287"/>
      <c r="Q97" s="287"/>
      <c r="R97" s="287"/>
      <c r="S97" s="287"/>
    </row>
    <row r="98" spans="1:19" ht="14.1" customHeight="1">
      <c r="A98" s="80" t="s">
        <v>485</v>
      </c>
      <c r="N98" s="73"/>
      <c r="O98" s="287"/>
      <c r="P98" s="287"/>
      <c r="Q98" s="287"/>
      <c r="R98" s="287"/>
      <c r="S98" s="287"/>
    </row>
    <row r="99" spans="1:19" ht="14.1" customHeight="1">
      <c r="B99" s="13" t="s">
        <v>269</v>
      </c>
      <c r="D99" s="15" t="s">
        <v>473</v>
      </c>
      <c r="E99" s="15" t="s">
        <v>474</v>
      </c>
      <c r="F99" s="15" t="s">
        <v>460</v>
      </c>
      <c r="G99" s="15" t="s">
        <v>475</v>
      </c>
      <c r="H99" s="15" t="s">
        <v>476</v>
      </c>
      <c r="N99" s="73"/>
      <c r="O99" s="287"/>
      <c r="P99" s="287"/>
      <c r="Q99" s="287"/>
      <c r="R99" s="287"/>
      <c r="S99" s="287"/>
    </row>
    <row r="100" spans="1:19" ht="14.1" customHeight="1">
      <c r="A100" s="25" t="s">
        <v>238</v>
      </c>
      <c r="B100" s="13" t="s">
        <v>479</v>
      </c>
      <c r="C100" s="15">
        <v>26.9</v>
      </c>
      <c r="D100" s="113">
        <v>138.88667000000001</v>
      </c>
      <c r="E100" s="113">
        <v>-10.72639</v>
      </c>
      <c r="F100" s="113">
        <v>0.26216</v>
      </c>
      <c r="G100" s="113">
        <v>-8.1999999999999998E-4</v>
      </c>
      <c r="H100" s="113"/>
      <c r="N100" s="73"/>
      <c r="O100" s="287"/>
      <c r="P100" s="287"/>
      <c r="Q100" s="287"/>
      <c r="R100" s="287"/>
      <c r="S100" s="287"/>
    </row>
    <row r="101" spans="1:19" ht="14.1" customHeight="1">
      <c r="B101" s="13" t="s">
        <v>480</v>
      </c>
      <c r="C101" s="15">
        <v>26.9</v>
      </c>
      <c r="D101" s="113">
        <v>-5009.7751651999997</v>
      </c>
      <c r="E101" s="113">
        <v>605.73200599999996</v>
      </c>
      <c r="F101" s="113">
        <v>-27.3018617</v>
      </c>
      <c r="G101" s="113">
        <v>0.54671139999999996</v>
      </c>
      <c r="H101" s="113">
        <v>-4.0986E-3</v>
      </c>
      <c r="N101" s="73"/>
      <c r="O101" s="287"/>
      <c r="P101" s="287"/>
      <c r="Q101" s="287"/>
      <c r="R101" s="287"/>
      <c r="S101" s="287"/>
    </row>
    <row r="102" spans="1:19" ht="14.1" customHeight="1">
      <c r="N102" s="73"/>
      <c r="O102" s="287"/>
      <c r="P102" s="287"/>
      <c r="Q102" s="287"/>
      <c r="R102" s="287"/>
      <c r="S102" s="287"/>
    </row>
    <row r="103" spans="1:19" ht="14.1" customHeight="1">
      <c r="A103" s="25" t="s">
        <v>461</v>
      </c>
      <c r="B103" s="13" t="s">
        <v>269</v>
      </c>
      <c r="D103" s="15" t="s">
        <v>473</v>
      </c>
      <c r="E103" s="15" t="s">
        <v>474</v>
      </c>
      <c r="F103" s="15" t="s">
        <v>460</v>
      </c>
      <c r="G103" s="15" t="s">
        <v>475</v>
      </c>
      <c r="H103" s="15" t="s">
        <v>476</v>
      </c>
      <c r="N103" s="73"/>
      <c r="O103" s="287"/>
      <c r="P103" s="287"/>
      <c r="Q103" s="287"/>
      <c r="R103" s="287"/>
      <c r="S103" s="287"/>
    </row>
    <row r="104" spans="1:19" ht="14.1" customHeight="1">
      <c r="B104" s="13" t="s">
        <v>479</v>
      </c>
      <c r="C104" s="15">
        <v>28.7</v>
      </c>
      <c r="D104" s="15">
        <v>296.34185000000002</v>
      </c>
      <c r="E104" s="15">
        <v>-31.629249999999999</v>
      </c>
      <c r="F104" s="15">
        <v>1.18025</v>
      </c>
      <c r="G104" s="15">
        <v>-1.417E-2</v>
      </c>
      <c r="H104" s="15"/>
      <c r="N104" s="73"/>
      <c r="O104" s="287"/>
      <c r="P104" s="287"/>
      <c r="Q104" s="287"/>
      <c r="R104" s="287"/>
      <c r="S104" s="287"/>
    </row>
    <row r="105" spans="1:19" ht="14.1" customHeight="1">
      <c r="B105" s="13" t="s">
        <v>480</v>
      </c>
      <c r="C105" s="15">
        <v>28.7</v>
      </c>
      <c r="D105" s="15">
        <v>4.8344690000000003</v>
      </c>
      <c r="E105" s="15">
        <v>0.919242</v>
      </c>
      <c r="F105" s="15"/>
      <c r="G105" s="15"/>
      <c r="H105" s="15"/>
      <c r="N105" s="73"/>
      <c r="O105" s="287"/>
      <c r="P105" s="287"/>
      <c r="Q105" s="287"/>
      <c r="R105" s="287"/>
      <c r="S105" s="287"/>
    </row>
    <row r="106" spans="1:19" ht="14.1" customHeight="1">
      <c r="N106" s="73"/>
      <c r="O106" s="287"/>
      <c r="P106" s="287"/>
      <c r="Q106" s="287"/>
      <c r="R106" s="287"/>
      <c r="S106" s="287"/>
    </row>
    <row r="107" spans="1:19" ht="14.1" customHeight="1">
      <c r="A107" s="25" t="s">
        <v>462</v>
      </c>
      <c r="D107" s="15" t="s">
        <v>473</v>
      </c>
      <c r="E107" s="15" t="s">
        <v>474</v>
      </c>
      <c r="F107" s="15" t="s">
        <v>460</v>
      </c>
      <c r="G107" s="15" t="s">
        <v>475</v>
      </c>
      <c r="H107" s="15" t="s">
        <v>476</v>
      </c>
      <c r="N107" s="73"/>
      <c r="O107" s="287"/>
      <c r="P107" s="287"/>
      <c r="Q107" s="287"/>
      <c r="R107" s="287"/>
      <c r="S107" s="287"/>
    </row>
    <row r="108" spans="1:19" ht="14.1" customHeight="1">
      <c r="B108" s="13" t="s">
        <v>479</v>
      </c>
      <c r="C108" s="15">
        <v>28.7</v>
      </c>
      <c r="D108" s="15">
        <v>49.311149999999998</v>
      </c>
      <c r="E108" s="15">
        <v>-2.9301699999999999</v>
      </c>
      <c r="F108" s="15">
        <v>7.3789999999999994E-2</v>
      </c>
      <c r="G108" s="15"/>
      <c r="H108" s="15"/>
      <c r="N108" s="73"/>
      <c r="O108" s="287"/>
      <c r="P108" s="287"/>
      <c r="Q108" s="287"/>
      <c r="R108" s="287"/>
      <c r="S108" s="287"/>
    </row>
    <row r="109" spans="1:19" ht="14.1" customHeight="1">
      <c r="B109" s="13"/>
      <c r="C109" s="248" t="s">
        <v>486</v>
      </c>
      <c r="D109" s="15">
        <v>-24.875</v>
      </c>
      <c r="E109" s="15">
        <v>1.8031999999999999</v>
      </c>
      <c r="F109" s="15"/>
      <c r="G109" s="15"/>
      <c r="H109" s="15"/>
      <c r="N109" s="73"/>
      <c r="O109" s="287"/>
      <c r="P109" s="287"/>
      <c r="Q109" s="287"/>
      <c r="R109" s="287"/>
      <c r="S109" s="287"/>
    </row>
    <row r="110" spans="1:19" ht="14.1" customHeight="1">
      <c r="B110" s="13" t="s">
        <v>480</v>
      </c>
      <c r="C110" s="15">
        <v>30.1</v>
      </c>
      <c r="D110" s="15">
        <v>-4.8346099999999996</v>
      </c>
      <c r="E110" s="15">
        <v>1.1571499999999999</v>
      </c>
      <c r="F110" s="15"/>
      <c r="G110" s="15"/>
      <c r="H110" s="15"/>
      <c r="N110" s="73"/>
      <c r="O110" s="287"/>
      <c r="P110" s="287"/>
      <c r="Q110" s="287"/>
      <c r="R110" s="287"/>
      <c r="S110" s="287"/>
    </row>
    <row r="111" spans="1:19" ht="14.1" customHeight="1">
      <c r="N111" s="73"/>
      <c r="O111" s="287"/>
      <c r="P111" s="287"/>
      <c r="Q111" s="287"/>
      <c r="R111" s="287"/>
      <c r="S111" s="287"/>
    </row>
    <row r="112" spans="1:19" ht="14.1" customHeight="1">
      <c r="N112" s="73"/>
      <c r="O112" s="287"/>
      <c r="P112" s="287"/>
      <c r="Q112" s="287"/>
      <c r="R112" s="287"/>
      <c r="S112" s="287"/>
    </row>
    <row r="113" spans="1:19" ht="14.1" customHeight="1">
      <c r="A113" s="25" t="s">
        <v>487</v>
      </c>
      <c r="N113" s="73"/>
      <c r="O113" s="287"/>
      <c r="P113" s="287"/>
      <c r="Q113" s="287"/>
      <c r="R113" s="287"/>
      <c r="S113" s="287"/>
    </row>
    <row r="114" spans="1:19" ht="14.1" customHeight="1">
      <c r="C114" s="13" t="s">
        <v>488</v>
      </c>
      <c r="D114" s="13" t="s">
        <v>489</v>
      </c>
      <c r="E114" s="13" t="s">
        <v>490</v>
      </c>
      <c r="F114" s="13" t="s">
        <v>491</v>
      </c>
      <c r="G114" s="13" t="s">
        <v>492</v>
      </c>
      <c r="N114" s="73"/>
      <c r="O114" s="287"/>
      <c r="P114" s="287"/>
      <c r="Q114" s="287"/>
      <c r="R114" s="287"/>
      <c r="S114" s="287"/>
    </row>
    <row r="115" spans="1:19" ht="14.1" customHeight="1">
      <c r="B115" s="39" t="s">
        <v>422</v>
      </c>
      <c r="C115" s="13" t="s">
        <v>493</v>
      </c>
      <c r="D115" s="13" t="s">
        <v>494</v>
      </c>
      <c r="E115" s="13" t="s">
        <v>495</v>
      </c>
      <c r="F115" s="13" t="s">
        <v>494</v>
      </c>
      <c r="G115" s="13" t="s">
        <v>329</v>
      </c>
      <c r="N115" s="73"/>
      <c r="O115" s="287"/>
      <c r="P115" s="287"/>
      <c r="Q115" s="287"/>
      <c r="R115" s="287"/>
      <c r="S115" s="287"/>
    </row>
    <row r="116" spans="1:19" ht="14.1" customHeight="1">
      <c r="B116" s="39" t="s">
        <v>428</v>
      </c>
      <c r="C116" s="13" t="s">
        <v>493</v>
      </c>
      <c r="D116" s="13" t="s">
        <v>494</v>
      </c>
      <c r="E116" s="13" t="s">
        <v>494</v>
      </c>
      <c r="F116" s="13" t="s">
        <v>494</v>
      </c>
      <c r="G116" s="13" t="s">
        <v>329</v>
      </c>
      <c r="N116" s="73"/>
      <c r="O116" s="287"/>
      <c r="P116" s="287"/>
      <c r="Q116" s="287"/>
      <c r="R116" s="287"/>
      <c r="S116" s="287"/>
    </row>
    <row r="117" spans="1:19" ht="14.1" customHeight="1">
      <c r="B117" s="39" t="s">
        <v>496</v>
      </c>
      <c r="C117" s="13" t="s">
        <v>493</v>
      </c>
      <c r="D117" s="13" t="s">
        <v>494</v>
      </c>
      <c r="E117" s="13" t="s">
        <v>495</v>
      </c>
      <c r="F117" s="13" t="s">
        <v>494</v>
      </c>
      <c r="G117" s="13" t="s">
        <v>329</v>
      </c>
      <c r="N117" s="73"/>
      <c r="O117" s="287"/>
      <c r="P117" s="287"/>
      <c r="Q117" s="287"/>
      <c r="R117" s="287"/>
      <c r="S117" s="287"/>
    </row>
    <row r="118" spans="1:19" ht="14.1" customHeight="1">
      <c r="B118" s="39" t="s">
        <v>497</v>
      </c>
      <c r="C118" s="13" t="s">
        <v>493</v>
      </c>
      <c r="D118" s="13" t="s">
        <v>494</v>
      </c>
      <c r="E118" s="13" t="s">
        <v>494</v>
      </c>
      <c r="F118" s="13" t="s">
        <v>494</v>
      </c>
      <c r="G118" s="13" t="s">
        <v>329</v>
      </c>
      <c r="N118" s="73"/>
      <c r="O118" s="287"/>
      <c r="P118" s="287"/>
      <c r="Q118" s="287"/>
      <c r="R118" s="287"/>
      <c r="S118" s="287"/>
    </row>
    <row r="119" spans="1:19" ht="14.1" customHeight="1">
      <c r="B119" s="39" t="s">
        <v>498</v>
      </c>
      <c r="C119" s="13" t="s">
        <v>493</v>
      </c>
      <c r="D119" s="13" t="s">
        <v>494</v>
      </c>
      <c r="E119" s="13" t="s">
        <v>494</v>
      </c>
      <c r="F119" s="13" t="s">
        <v>494</v>
      </c>
      <c r="G119" s="13" t="s">
        <v>329</v>
      </c>
      <c r="N119" s="73"/>
      <c r="O119" s="287"/>
      <c r="P119" s="287"/>
      <c r="Q119" s="287"/>
      <c r="R119" s="287"/>
      <c r="S119" s="287"/>
    </row>
    <row r="120" spans="1:19" ht="14.1" customHeight="1">
      <c r="B120" s="39" t="s">
        <v>499</v>
      </c>
      <c r="C120" s="13" t="s">
        <v>493</v>
      </c>
      <c r="D120" s="13" t="s">
        <v>494</v>
      </c>
      <c r="E120" s="13" t="s">
        <v>494</v>
      </c>
      <c r="F120" s="13" t="s">
        <v>494</v>
      </c>
      <c r="G120" s="13" t="s">
        <v>329</v>
      </c>
      <c r="N120" s="73"/>
      <c r="O120" s="287"/>
      <c r="P120" s="287"/>
      <c r="Q120" s="287"/>
      <c r="R120" s="287"/>
      <c r="S120" s="287"/>
    </row>
    <row r="121" spans="1:19" ht="14.1" customHeight="1">
      <c r="B121" s="39" t="s">
        <v>295</v>
      </c>
      <c r="C121" s="13" t="s">
        <v>493</v>
      </c>
      <c r="D121" s="13" t="s">
        <v>494</v>
      </c>
      <c r="E121" s="13" t="s">
        <v>494</v>
      </c>
      <c r="F121" s="13" t="s">
        <v>494</v>
      </c>
      <c r="G121" s="13" t="s">
        <v>329</v>
      </c>
      <c r="N121" s="73"/>
      <c r="O121" s="287"/>
      <c r="P121" s="287"/>
      <c r="Q121" s="287"/>
      <c r="R121" s="287"/>
      <c r="S121" s="287"/>
    </row>
    <row r="122" spans="1:19" ht="14.1" customHeight="1">
      <c r="B122" s="39" t="s">
        <v>500</v>
      </c>
      <c r="C122" s="13" t="s">
        <v>493</v>
      </c>
      <c r="D122" s="13" t="s">
        <v>494</v>
      </c>
      <c r="E122" s="13" t="s">
        <v>494</v>
      </c>
      <c r="F122" s="13" t="s">
        <v>494</v>
      </c>
      <c r="G122" s="13" t="s">
        <v>329</v>
      </c>
      <c r="N122" s="73"/>
      <c r="O122" s="287"/>
      <c r="P122" s="287"/>
      <c r="Q122" s="287"/>
      <c r="R122" s="287"/>
      <c r="S122" s="287"/>
    </row>
    <row r="123" spans="1:19" ht="14.1" customHeight="1">
      <c r="B123" s="39" t="s">
        <v>501</v>
      </c>
      <c r="C123" s="13" t="s">
        <v>493</v>
      </c>
      <c r="D123" s="13" t="s">
        <v>494</v>
      </c>
      <c r="E123" s="13" t="s">
        <v>494</v>
      </c>
      <c r="F123" s="13" t="s">
        <v>494</v>
      </c>
      <c r="G123" s="13" t="s">
        <v>329</v>
      </c>
      <c r="N123" s="73"/>
      <c r="O123" s="73"/>
      <c r="P123" s="73"/>
      <c r="Q123" s="73"/>
      <c r="R123" s="73"/>
      <c r="S123" s="73"/>
    </row>
    <row r="124" spans="1:19" ht="14.1" customHeight="1">
      <c r="B124" s="39" t="s">
        <v>358</v>
      </c>
      <c r="C124" s="13" t="s">
        <v>493</v>
      </c>
      <c r="D124" s="13" t="s">
        <v>494</v>
      </c>
      <c r="E124" s="13" t="s">
        <v>494</v>
      </c>
      <c r="F124" s="13" t="s">
        <v>494</v>
      </c>
      <c r="G124" s="13" t="s">
        <v>329</v>
      </c>
    </row>
    <row r="125" spans="1:19" ht="14.1" customHeight="1">
      <c r="B125" s="39"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election activeCell="C4" sqref="C4:H4"/>
    </sheetView>
  </sheetViews>
  <sheetFormatPr defaultRowHeight="12.75"/>
  <cols>
    <col min="1" max="1" width="9.125" style="618" customWidth="1"/>
    <col min="2" max="16384" width="9" style="618"/>
  </cols>
  <sheetData>
    <row r="1" spans="1:1">
      <c r="A1" s="687" t="s">
        <v>512</v>
      </c>
    </row>
    <row r="2" spans="1:1">
      <c r="A2" s="618" t="s">
        <v>513</v>
      </c>
    </row>
    <row r="3" spans="1:1">
      <c r="A3" s="618" t="s">
        <v>514</v>
      </c>
    </row>
    <row r="5" spans="1:1">
      <c r="A5" s="687" t="s">
        <v>515</v>
      </c>
    </row>
    <row r="6" spans="1:1">
      <c r="A6" s="618" t="s">
        <v>513</v>
      </c>
    </row>
    <row r="7" spans="1:1">
      <c r="A7" s="618" t="s">
        <v>514</v>
      </c>
    </row>
    <row r="8" spans="1:1">
      <c r="A8" s="618" t="s">
        <v>516</v>
      </c>
    </row>
    <row r="10" spans="1:1">
      <c r="A10" s="686" t="s">
        <v>517</v>
      </c>
    </row>
    <row r="11" spans="1:1">
      <c r="A11" s="685">
        <v>6</v>
      </c>
    </row>
    <row r="12" spans="1:1">
      <c r="A12" s="685">
        <v>5.5</v>
      </c>
    </row>
    <row r="13" spans="1:1">
      <c r="A13" s="685">
        <v>5</v>
      </c>
    </row>
    <row r="14" spans="1:1">
      <c r="A14" s="685">
        <v>4.5</v>
      </c>
    </row>
    <row r="15" spans="1:1">
      <c r="A15" s="685">
        <v>4</v>
      </c>
    </row>
    <row r="16" spans="1:1">
      <c r="A16" s="685">
        <v>3.5</v>
      </c>
    </row>
    <row r="17" spans="1:1">
      <c r="A17" s="685">
        <v>3</v>
      </c>
    </row>
    <row r="18" spans="1:1">
      <c r="A18" s="685">
        <v>2.5</v>
      </c>
    </row>
    <row r="19" spans="1:1">
      <c r="A19" s="685">
        <v>2</v>
      </c>
    </row>
    <row r="20" spans="1:1">
      <c r="A20" s="685">
        <v>1.5</v>
      </c>
    </row>
    <row r="21" spans="1:1">
      <c r="A21" s="685">
        <v>1</v>
      </c>
    </row>
    <row r="22" spans="1:1">
      <c r="A22" s="685">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QC Test Summary-Siemens</vt:lpstr>
      <vt:lpstr>Tech QC Eval-Siemens</vt:lpstr>
      <vt:lpstr>Sheet1</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2015-07-06T15:09:12Z</dcterms:modified>
</cp:coreProperties>
</file>